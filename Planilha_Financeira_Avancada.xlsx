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COMEÇAR AQUI" sheetId="1" state="visible" r:id="rId1"/>
    <sheet name="CONFIGURAÇÕES" sheetId="2" state="visible" r:id="rId2"/>
    <sheet name="LANÇAMENTOS" sheetId="3" state="visible" r:id="rId3"/>
    <sheet name="RECORRENTES" sheetId="4" state="visible" r:id="rId4"/>
    <sheet name="DASHBOARD" sheetId="5" state="visible" r:id="rId5"/>
    <sheet name="ORÇAMENTO" sheetId="6" state="visible" r:id="rId6"/>
    <sheet name="FLUXO DE CAIXA" sheetId="7" state="visible" r:id="rId7"/>
    <sheet name="PROJEÇÕES E CENÁRIOS" sheetId="8" state="visible" r:id="rId8"/>
    <sheet name="CARTÕES DE CRÉDITO" sheetId="9" state="visible" r:id="rId9"/>
    <sheet name="DÍVIDAS E FINANCIAMENTOS" sheetId="10" state="visible" r:id="rId10"/>
    <sheet name="INVESTIMENTOS" sheetId="11" state="visible" r:id="rId11"/>
    <sheet name="METAS E OBJETIVOS" sheetId="12" state="visible" r:id="rId12"/>
    <sheet name="PATRIMÔNIO LÍQUIDO" sheetId="13" state="visible" r:id="rId13"/>
    <sheet name="CALENDÁRIO DE CONTAS" sheetId="14" state="visible" r:id="rId14"/>
    <sheet name="IMPOSTO DE RENDA" sheetId="15" state="visible" r:id="rId15"/>
    <sheet name="HISTÓRICO E ANÁLISES" sheetId="16" state="visible" r:id="rId16"/>
    <sheet name="TABELAS" sheetId="17" state="hidden" r:id="rId17"/>
    <sheet name="CÁLCULOS" sheetId="18" state="hidden" r:id="rId18"/>
    <sheet name="SIM_DÍVIDAS" sheetId="19" state="hidden" r:id="rId19"/>
    <sheet name="BACKUP" sheetId="20" state="visible" r:id="rId20"/>
  </sheets>
  <definedNames>
    <definedName name="Lista_Meses">'TABELAS'!$B$7:$B$18</definedName>
    <definedName name="Lista_MesesAb">'TABELAS'!$C$7:$C$18</definedName>
    <definedName name="Lista_Anos">'TABELAS'!$D$7:$D$27</definedName>
    <definedName name="Lista_Tipos">'TABELAS'!$E$7:$E$10</definedName>
    <definedName name="Lista_Status">'TABELAS'!$F$7:$F$9</definedName>
    <definedName name="Lista_Prioridade">'TABELAS'!$G$7:$G$9</definedName>
    <definedName name="Lista_CatMeta">'TABELAS'!$H$7:$H$14</definedName>
    <definedName name="Lista_TipoInv">'TABELAS'!$I$7:$I$15</definedName>
    <definedName name="Lista_Liquidez">'TABELAS'!$J$7:$J$11</definedName>
    <definedName name="Lista_TipoConta">'TABELAS'!$K$7:$K$10</definedName>
    <definedName name="Lista_TipoDivida">'TABELAS'!$L$7:$L$12</definedName>
    <definedName name="Lista_StatusDivida">'TABELAS'!$M$7:$M$10</definedName>
    <definedName name="Lista_Sistema">'TABELAS'!$N$7:$N$9</definedName>
    <definedName name="Lista_SimNao">'TABELAS'!$O$7:$O$8</definedName>
    <definedName name="Lista_Freq">'TABELAS'!$P$7:$P$8</definedName>
    <definedName name="Lista_TipoRec">'TABELAS'!$Q$7:$Q$9</definedName>
    <definedName name="Lista_Natureza">'TABELAS'!$R$7:$R$8</definedName>
    <definedName name="Lista_Essencial">'TABELAS'!$S$7:$S$8</definedName>
    <definedName name="Lista_Regra">'TABELAS'!$T$7:$T$9</definedName>
    <definedName name="Lista_DiaSem">'TABELAS'!$U$7:$U$13</definedName>
    <definedName name="Lista_StatusIR">'TABELAS'!$V$7:$V$9</definedName>
    <definedName name="Lista_ContaCartao">'TABELAS'!$X$7:INDEX('TABELAS'!$X$7:$X$24,MAX(1,COUNTA(Contas_Nome)+COUNTA(Cartoes_Nome)))</definedName>
    <definedName name="Lista_Categorias">'TABELAS'!$Y$7:INDEX('TABELAS'!$Y$7:$Y$35,MAX(1,COUNTA(CatD_Nome)+COUNTA(CatR_Nome)+2))</definedName>
    <definedName name="Cfg_Nome">'CONFIGURAÇÕES'!$C$7</definedName>
    <definedName name="Cfg_AnoIn">'CONFIGURAÇÕES'!$C$8</definedName>
    <definedName name="Cfg_MesIn">'CONFIGURAÇÕES'!$C$9</definedName>
    <definedName name="Cfg_Renda">'CONFIGURAÇÕES'!$C$10</definedName>
    <definedName name="Cfg_MesesReserva">'CONFIGURAÇÕES'!$C$11</definedName>
    <definedName name="Cfg_MetaPoup">'CONFIGURAÇÕES'!$C$12</definedName>
    <definedName name="Cfg_Infl">'CONFIGURAÇÕES'!$C$13</definedName>
    <definedName name="Cfg_CDI">'CONFIGURAÇÕES'!$C$14</definedName>
    <definedName name="Cfg_Hoje">'CONFIGURAÇÕES'!$C$15</definedName>
    <definedName name="Cfg_BaseZero">'CONFIGURAÇÕES'!$C$16</definedName>
    <definedName name="Cfg_LimDiv">'CONFIGURAÇÕES'!$C$17</definedName>
    <definedName name="Cfg_LimCartao">'CONFIGURAÇÕES'!$C$18</definedName>
    <definedName name="Cfg_MaxGasto">'CONFIGURAÇÕES'!$C$21</definedName>
    <definedName name="Cfg_MetaAporte">'CONFIGURAÇÕES'!$C$22</definedName>
    <definedName name="Cfg_MetaPatr">'CONFIGURAÇÕES'!$C$23</definedName>
    <definedName name="Contas_Nome">'CONFIGURAÇÕES'!$B$27:$B$36</definedName>
    <definedName name="Contas_Tipo">'CONFIGURAÇÕES'!$C$27:$C$36</definedName>
    <definedName name="Contas_Saldo0">'CONFIGURAÇÕES'!$D$27:$D$36</definedName>
    <definedName name="Contas_SaldoAtual">'CONFIGURAÇÕES'!$E$27:$E$36</definedName>
    <definedName name="Cartoes_Nome">'CONFIGURAÇÕES'!$B$40:$B$47</definedName>
    <definedName name="Cartoes_Limite">'CONFIGURAÇÕES'!$C$40:$C$47</definedName>
    <definedName name="Cartoes_Fech">'CONFIGURAÇÕES'!$D$40:$D$47</definedName>
    <definedName name="Cartoes_Venc">'CONFIGURAÇÕES'!$E$40:$E$47</definedName>
    <definedName name="CatD_Nome">'CONFIGURAÇÕES'!$B$51:$B$68</definedName>
    <definedName name="CatD_Nat">'CONFIGURAÇÕES'!$C$51:$C$68</definedName>
    <definedName name="CatD_Ess">'CONFIGURAÇÕES'!$D$51:$D$68</definedName>
    <definedName name="CatD_Regra">'CONFIGURAÇÕES'!$E$51:$E$68</definedName>
    <definedName name="CatD_Max">'CONFIGURAÇÕES'!$F$51:$F$68</definedName>
    <definedName name="CatR_Nome">'CONFIGURAÇÕES'!$B$72:$B$80</definedName>
    <definedName name="Sub_Nome">'CONFIGURAÇÕES'!$B$84:$B$123</definedName>
    <definedName name="Sub_Cat">'CONFIGURAÇÕES'!$C$84:$C$123</definedName>
    <definedName name="Forma_Nome">'CONFIGURAÇÕES'!$B$127:$B$136</definedName>
    <definedName name="Tag_Nome">'CONFIGURAÇÕES'!$B$140:$B$154</definedName>
    <definedName name="Lista_Contas">'CONFIGURAÇÕES'!$B$27:INDEX('CONFIGURAÇÕES'!$B$27:$B$36,MAX(1,COUNTA('CONFIGURAÇÕES'!$B$27:$B$36)))</definedName>
    <definedName name="Lista_Cartoes">'CONFIGURAÇÕES'!$B$40:INDEX('CONFIGURAÇÕES'!$B$40:$B$47,MAX(1,COUNTA('CONFIGURAÇÕES'!$B$40:$B$47)))</definedName>
    <definedName name="Lista_CatD">'CONFIGURAÇÕES'!$B$51:INDEX('CONFIGURAÇÕES'!$B$51:$B$68,MAX(1,COUNTA('CONFIGURAÇÕES'!$B$51:$B$68)))</definedName>
    <definedName name="Lista_CatR">'CONFIGURAÇÕES'!$B$72:INDEX('CONFIGURAÇÕES'!$B$72:$B$80,MAX(1,COUNTA('CONFIGURAÇÕES'!$B$72:$B$80)))</definedName>
    <definedName name="Lista_Subcats">'CONFIGURAÇÕES'!$B$84:INDEX('CONFIGURAÇÕES'!$B$84:$B$123,MAX(1,COUNTA('CONFIGURAÇÕES'!$B$84:$B$123)))</definedName>
    <definedName name="Lista_Formas">'CONFIGURAÇÕES'!$B$127:INDEX('CONFIGURAÇÕES'!$B$127:$B$136,MAX(1,COUNTA('CONFIGURAÇÕES'!$B$127:$B$136)))</definedName>
    <definedName name="Lista_Tags">'CONFIGURAÇÕES'!$B$140:INDEX('CONFIGURAÇÕES'!$B$140:$B$154,MAX(1,COUNTA('CONFIGURAÇÕES'!$B$140:$B$154)))</definedName>
    <definedName name="L_Data">'LANÇAMENTOS'!$A$7:$A$1506</definedName>
    <definedName name="L_Desc">'LANÇAMENTOS'!$B$7:$B$1506</definedName>
    <definedName name="L_Tipo">'LANÇAMENTOS'!$C$7:$C$1506</definedName>
    <definedName name="L_Cat">'LANÇAMENTOS'!$D$7:$D$1506</definedName>
    <definedName name="L_Sub">'LANÇAMENTOS'!$E$7:$E$1506</definedName>
    <definedName name="L_Conta">'LANÇAMENTOS'!$F$7:$F$1506</definedName>
    <definedName name="L_Forma">'LANÇAMENTOS'!$G$7:$G$1506</definedName>
    <definedName name="L_ParcAt">'LANÇAMENTOS'!$H$7:$H$1506</definedName>
    <definedName name="L_ParcTot">'LANÇAMENTOS'!$I$7:$I$1506</definedName>
    <definedName name="L_Status">'LANÇAMENTOS'!$J$7:$J$1506</definedName>
    <definedName name="L_Tag">'LANÇAMENTOS'!$K$7:$K$1506</definedName>
    <definedName name="L_Meta">'LANÇAMENTOS'!$L$7:$L$1506</definedName>
    <definedName name="L_Obs">'LANÇAMENTOS'!$M$7:$M$1506</definedName>
    <definedName name="L_Valor">'LANÇAMENTOS'!$N$7:$N$1506</definedName>
    <definedName name="L_Mes">'LANÇAMENTOS'!$O$7:$O$1506</definedName>
    <definedName name="L_Ano">'LANÇAMENTOS'!$P$7:$P$1506</definedName>
    <definedName name="L_Comp">'LANÇAMENTOS'!$Q$7:$Q$1506</definedName>
    <definedName name="L_VParc">'LANÇAMENTOS'!$R$7:$R$1506</definedName>
    <definedName name="L_Fat">'LANÇAMENTOS'!$S$7:$S$1506</definedName>
    <definedName name="L_Alerta">'LANÇAMENTOS'!$T$7:$T$1506</definedName>
    <definedName name="L_IIni">'LANÇAMENTOS'!$U$7:$U$1506</definedName>
    <definedName name="L_IFim">'LANÇAMENTOS'!$V$7:$V$1506</definedName>
    <definedName name="L_FIni">'LANÇAMENTOS'!$W$7:$W$1506</definedName>
    <definedName name="L_FFim">'LANÇAMENTOS'!$X$7:$X$1506</definedName>
    <definedName name="L_Aberto">'LANÇAMENTOS'!$Y$7:$Y$1506</definedName>
    <definedName name="L_Dia">'LANÇAMENTOS'!$Z$7:$Z$1506</definedName>
    <definedName name="L_Sem">'LANÇAMENTOS'!$AA$7:$AA$1506</definedName>
    <definedName name="L_DespSel">'LANÇAMENTOS'!$AB$7:$AB$1506</definedName>
    <definedName name="L_CalChave">'LANÇAMENTOS'!$AC$7:$AC$1506</definedName>
    <definedName name="L_CalOrdem">'LANÇAMENTOS'!$AD$7:$AD$1506</definedName>
    <definedName name="Exemplo_Lancamentos">'LANÇAMENTOS'!$A$7:$N$1506</definedName>
    <definedName name="Rec_Desc">'RECORRENTES'!$B$7:$B$46</definedName>
    <definedName name="Rec_Tipo">'RECORRENTES'!$C$7:$C$46</definedName>
    <definedName name="Rec_Cat">'RECORRENTES'!$D$7:$D$46</definedName>
    <definedName name="Rec_Conta">'RECORRENTES'!$E$7:$E$46</definedName>
    <definedName name="Rec_Valor">'RECORRENTES'!$F$7:$F$46</definedName>
    <definedName name="Rec_Freq">'RECORRENTES'!$G$7:$G$46</definedName>
    <definedName name="Rec_Dia">'RECORRENTES'!$H$7:$H$46</definedName>
    <definedName name="Rec_Ini">'RECORRENTES'!$I$7:$I$46</definedName>
    <definedName name="Rec_Fim">'RECORRENTES'!$J$7:$J$46</definedName>
    <definedName name="Rec_Ativo">'RECORRENTES'!$K$7:$K$46</definedName>
    <definedName name="Rec_IIni">'RECORRENTES'!$L$7:$L$46</definedName>
    <definedName name="Rec_IFim">'RECORRENTES'!$M$7:$M$46</definedName>
    <definedName name="Rec_MesRef">'RECORRENTES'!$N$7:$N$46</definedName>
    <definedName name="Rec_Anual">'RECORRENTES'!$O$7:$O$46</definedName>
    <definedName name="Rec_Assin">'RECORRENTES'!$P$7:$P$46</definedName>
    <definedName name="Rec_AssinOrd">'RECORRENTES'!$Q$7:$Q$46</definedName>
    <definedName name="Exemplo_Recorrentes">'RECORRENTES'!$B$7:$K$46</definedName>
    <definedName name="Cfg_Ano">'CÁLCULOS'!$C$8</definedName>
    <definedName name="Cfg_Mes">'CÁLCULOS'!$C$9</definedName>
    <definedName name="Cfg_Idx">'CÁLCULOS'!$C$10</definedName>
    <definedName name="Sel_Mes">'CÁLCULOS'!$C$11</definedName>
    <definedName name="Sel_Ano">'CÁLCULOS'!$C$12</definedName>
    <definedName name="Sel_Idx">'CÁLCULOS'!$C$13</definedName>
    <definedName name="Sel_Ini">'CÁLCULOS'!$C$14</definedName>
    <definedName name="Sel_Fim">'CÁLCULOS'!$C$15</definedName>
    <definedName name="Sel_Dias">'CÁLCULOS'!$C$16</definedName>
    <definedName name="Sel_MesNome">'CÁLCULOS'!$C$17</definedName>
    <definedName name="Sel_Label">'CÁLCULOS'!$C$18</definedName>
    <definedName name="Cfg_Label">'CÁLCULOS'!$C$19</definedName>
    <definedName name="Meta_Nome">'METAS E OBJETIVOS'!$B$9:$B$23</definedName>
    <definedName name="Meta_Cat">'METAS E OBJETIVOS'!$C$9:$C$23</definedName>
    <definedName name="Meta_Prio">'METAS E OBJETIVOS'!$D$9:$D$23</definedName>
    <definedName name="Meta_Alvo">'METAS E OBJETIVOS'!$E$9:$E$23</definedName>
    <definedName name="Meta_Ini0">'METAS E OBJETIVOS'!$F$9:$F$23</definedName>
    <definedName name="Meta_DataIni">'METAS E OBJETIVOS'!$G$9:$G$23</definedName>
    <definedName name="Meta_Prazo">'METAS E OBJETIVOS'!$H$9:$H$23</definedName>
    <definedName name="Meta_Onde">'METAS E OBJETIVOS'!$I$9:$I$23</definedName>
    <definedName name="Meta_Aportes">'METAS E OBJETIVOS'!$J$9:$J$23</definedName>
    <definedName name="Meta_Guardado">'METAS E OBJETIVOS'!$K$9:$K$23</definedName>
    <definedName name="Meta_Falta">'METAS E OBJETIVOS'!$L$9:$L$23</definedName>
    <definedName name="Meta_Pct">'METAS E OBJETIVOS'!$M$9:$M$23</definedName>
    <definedName name="Meta_MesesRest">'METAS E OBJETIVOS'!$N$9:$N$23</definedName>
    <definedName name="Meta_Nec">'METAS E OBJETIVOS'!$O$9:$O$23</definedName>
    <definedName name="Meta_Ritmo">'METAS E OBJETIVOS'!$P$9:$P$23</definedName>
    <definedName name="Meta_Estim">'METAS E OBJETIVOS'!$Q$9:$Q$23</definedName>
    <definedName name="Meta_Status">'METAS E OBJETIVOS'!$R$9:$R$23</definedName>
    <definedName name="Meta_Barra">'METAS E OBJETIVOS'!$S$9:$S$23</definedName>
    <definedName name="Lista_MetasNomes">'METAS E OBJETIVOS'!$B$9:INDEX('METAS E OBJETIVOS'!$B$9:$B$23,MAX(1,COUNTA('METAS E OBJETIVOS'!$B$9:$B$23)))</definedName>
    <definedName name="Exemplo_Metas">'METAS E OBJETIVOS'!$B$9:$I$23</definedName>
    <definedName name="Meta_Texto">'METAS E OBJETIVOS'!$B$26:$B$40</definedName>
    <definedName name="Meta_TextoStatus">'METAS E OBJETIVOS'!$M$26:$M$40</definedName>
    <definedName name="Pl_X">'METAS E OBJETIVOS'!$C$43</definedName>
    <definedName name="Pl_Data">'METAS E OBJETIVOS'!$C$44</definedName>
    <definedName name="Pl_PV">'METAS E OBJETIVOS'!$C$45</definedName>
    <definedName name="Pl_Taxa">'METAS E OBJETIVOS'!$C$46</definedName>
    <definedName name="Exemplo_Planejador">'METAS E OBJETIVOS'!$C$43:$C$45</definedName>
    <definedName name="Pl_N">'METAS E OBJETIVOS'!$C$48</definedName>
    <definedName name="Pl_SemRend">'METAS E OBJETIVOS'!$C$49</definedName>
    <definedName name="Pl_ComRend">'METAS E OBJETIVOS'!$C$50</definedName>
    <definedName name="Pl_Livre">'METAS E OBJETIVOS'!$C$51</definedName>
    <definedName name="Pl_Cabe">'METAS E OBJETIVOS'!$C$52</definedName>
    <definedName name="Pl_Prazo">'METAS E OBJETIVOS'!$C$53</definedName>
    <definedName name="Pl_DataMin">'METAS E OBJETIVOS'!$C$54</definedName>
    <definedName name="Pl_Cortar">'METAS E OBJETIVOS'!$C$55</definedName>
    <definedName name="Prio_Aporte">'METAS E OBJETIVOS'!$G$61:$G$75</definedName>
    <definedName name="Prio_Ordem">'METAS E OBJETIVOS'!$F$61:$F$75</definedName>
    <definedName name="Comp_Check">'METAS E OBJETIVOS'!$F$81:$F$102</definedName>
    <definedName name="Conq_StreakV">'METAS E OBJETIVOS'!$C$106</definedName>
    <definedName name="Conq_Concl">'METAS E OBJETIVOS'!$C$107</definedName>
    <definedName name="Conq_DiscV">'METAS E OBJETIVOS'!$C$108</definedName>
    <definedName name="Hist24_Rec">'CÁLCULOS'!$H$7:$H$30</definedName>
    <definedName name="Hist24_Desp">'CÁLCULOS'!$I$7:$I$30</definedName>
    <definedName name="Hist24_Apo">'CÁLCULOS'!$J$7:$J$30</definedName>
    <definedName name="Conq_Streak">'CÁLCULOS'!$C$22</definedName>
    <definedName name="Conq_Orc6">'CÁLCULOS'!$C$23</definedName>
    <definedName name="Conq_Apo6">'CÁLCULOS'!$C$24</definedName>
    <definedName name="Conq_Prazo">'CÁLCULOS'!$C$25</definedName>
    <definedName name="Conq_Disc">'CÁLCULOS'!$C$26</definedName>
    <definedName name="Orc_GridR">'ORÇAMENTO'!$C$10:$N$18</definedName>
    <definedName name="Orc_GridD">'ORÇAMENTO'!$C$21:$N$38</definedName>
    <definedName name="Orc_TotRec">'ORÇAMENTO'!$C$19:$N$19</definedName>
    <definedName name="Orc_TotDesp">'ORÇAMENTO'!$C$39:$N$39</definedName>
    <definedName name="Exemplo_OrcReceitas">'ORÇAMENTO'!$C$10:$N$18</definedName>
    <definedName name="Exemplo_OrcDespesas">'ORÇAMENTO'!$C$21:$N$38</definedName>
    <definedName name="OrcR_Cat">'ORÇAMENTO'!$B$47:$B$55</definedName>
    <definedName name="OrcR_Plan">'ORÇAMENTO'!$C$47:$C$55</definedName>
    <definedName name="OrcR_Real">'ORÇAMENTO'!$D$47:$D$55</definedName>
    <definedName name="OrcR_Dif">'ORÇAMENTO'!$E$47:$E$55</definedName>
    <definedName name="OrcR_Pct">'ORÇAMENTO'!$F$47:$F$55</definedName>
    <definedName name="OrcR_Med3">'ORÇAMENTO'!$G$47:$G$55</definedName>
    <definedName name="OrcR_Sug">'ORÇAMENTO'!$H$47:$H$55</definedName>
    <definedName name="OrcR_Ant">'ORÇAMENTO'!$I$47:$I$55</definedName>
    <definedName name="OrcR_AA">'ORÇAMENTO'!$J$47:$J$55</definedName>
    <definedName name="OrcR_Sit">'ORÇAMENTO'!$K$47:$K$55</definedName>
    <definedName name="OrcR_TotPlan">'ORÇAMENTO'!$C$56</definedName>
    <definedName name="OrcR_TotReal">'ORÇAMENTO'!$D$56</definedName>
    <definedName name="OrcR_TotDif">'ORÇAMENTO'!$E$56</definedName>
    <definedName name="OrcR_TotPct">'ORÇAMENTO'!$F$56</definedName>
    <definedName name="OrcR_TotMed3">'ORÇAMENTO'!$G$56</definedName>
    <definedName name="OrcR_TotSug">'ORÇAMENTO'!$H$56</definedName>
    <definedName name="OrcR_TotAnt">'ORÇAMENTO'!$I$56</definedName>
    <definedName name="OrcR_TotAA">'ORÇAMENTO'!$J$56</definedName>
    <definedName name="Orc_Cat">'ORÇAMENTO'!$B$59:$B$76</definedName>
    <definedName name="Orc_Plan">'ORÇAMENTO'!$C$59:$C$76</definedName>
    <definedName name="Orc_Real">'ORÇAMENTO'!$D$59:$D$76</definedName>
    <definedName name="Orc_Dif">'ORÇAMENTO'!$E$59:$E$76</definedName>
    <definedName name="Orc_Pct">'ORÇAMENTO'!$F$59:$F$76</definedName>
    <definedName name="Orc_Med3">'ORÇAMENTO'!$G$59:$G$76</definedName>
    <definedName name="Orc_Sug">'ORÇAMENTO'!$H$59:$H$76</definedName>
    <definedName name="Orc_Ant">'ORÇAMENTO'!$I$59:$I$76</definedName>
    <definedName name="Orc_AA">'ORÇAMENTO'!$J$59:$J$76</definedName>
    <definedName name="Orc_Sit">'ORÇAMENTO'!$K$59:$K$76</definedName>
    <definedName name="Orc_TotPlan">'ORÇAMENTO'!$C$77</definedName>
    <definedName name="Orc_TotReal">'ORÇAMENTO'!$D$77</definedName>
    <definedName name="Orc_TotDif">'ORÇAMENTO'!$E$77</definedName>
    <definedName name="Orc_TotPct">'ORÇAMENTO'!$F$77</definedName>
    <definedName name="Orc_TotMed3">'ORÇAMENTO'!$G$77</definedName>
    <definedName name="Orc_TotSug">'ORÇAMENTO'!$H$77</definedName>
    <definedName name="Orc_TotAnt">'ORÇAMENTO'!$I$77</definedName>
    <definedName name="Orc_TotAA">'ORÇAMENTO'!$J$77</definedName>
    <definedName name="Orc_QtdPlan">COUNTIF(Orc_Plan,"&gt;0")</definedName>
    <definedName name="R50_Grupo">'ORÇAMENTO'!$B$82:$B$84</definedName>
    <definedName name="R50_Ideal">'ORÇAMENTO'!$C$82:$C$84</definedName>
    <definedName name="R50_Real">'ORÇAMENTO'!$F$82:$F$84</definedName>
    <definedName name="R50_RealRS">'ORÇAMENTO'!$E$82:$E$84</definedName>
    <definedName name="Flux_Mes">'FLUXO DE CAIXA'!$C$8:$N$8</definedName>
    <definedName name="Flux_Rec">'FLUXO DE CAIXA'!$C$19:$N$19</definedName>
    <definedName name="Flux_RecTot">'FLUXO DE CAIXA'!$O$19</definedName>
    <definedName name="Flux_Desp">'FLUXO DE CAIXA'!$C$39:$N$39</definedName>
    <definedName name="Flux_DespTot">'FLUXO DE CAIXA'!$O$39</definedName>
    <definedName name="Flux_Apo">'FLUXO DE CAIXA'!$C$40:$N$40</definedName>
    <definedName name="Flux_Saldo">'FLUXO DE CAIXA'!$C$42:$N$42</definedName>
    <definedName name="Flux_Acum">'FLUXO DE CAIXA'!$C$43:$N$43</definedName>
    <definedName name="Card_Nome">'CARTÕES DE CRÉDITO'!$B$9:$B$16</definedName>
    <definedName name="Card_Limite">'CARTÕES DE CRÉDITO'!$C$9:$C$16</definedName>
    <definedName name="Card_Usado">'CARTÕES DE CRÉDITO'!$D$9:$D$16</definedName>
    <definedName name="Card_Disp">'CARTÕES DE CRÉDITO'!$E$9:$E$16</definedName>
    <definedName name="Card_Pct">'CARTÕES DE CRÉDITO'!$F$9:$F$16</definedName>
    <definedName name="Card_FatAnt">'CARTÕES DE CRÉDITO'!$G$9:$G$16</definedName>
    <definedName name="Card_FatAtual">'CARTÕES DE CRÉDITO'!$H$9:$H$16</definedName>
    <definedName name="Card_FatProx">'CARTÕES DE CRÉDITO'!$I$9:$I$16</definedName>
    <definedName name="Card_VencAnt">'CARTÕES DE CRÉDITO'!$J$9:$J$16</definedName>
    <definedName name="Card_VencAtual">'CARTÕES DE CRÉDITO'!$K$9:$K$16</definedName>
    <definedName name="Card_Melhor">'CARTÕES DE CRÉDITO'!$L$9:$L$16</definedName>
    <definedName name="Card_GastoMes">'CARTÕES DE CRÉDITO'!$M$9:$M$16</definedName>
    <definedName name="Card_Alerta">'CARTÕES DE CRÉDITO'!$N$9:$N$16</definedName>
    <definedName name="Card_FatAntTot">'CARTÕES DE CRÉDITO'!$G$17</definedName>
    <definedName name="Card_FatAtualTot">'CARTÕES DE CRÉDITO'!$H$17</definedName>
    <definedName name="Card_UsadoTot">'CARTÕES DE CRÉDITO'!$D$17</definedName>
    <definedName name="Card_Matriz">'CARTÕES DE CRÉDITO'!$C$22:$N$29</definedName>
    <definedName name="Sim_RankSnow">'SIM_DÍVIDAS'!$G$8:$G$15</definedName>
    <definedName name="Sim_RankAva">'SIM_DÍVIDAS'!$I$8:$I$15</definedName>
    <definedName name="Sim_SomaParc">'SIM_DÍVIDAS'!$E$17</definedName>
    <definedName name="Sim_SomaSaldo">'SIM_DÍVIDAS'!$C$18</definedName>
    <definedName name="SimMin_MesesPos">'SIM_DÍVIDAS'!$E$27:$L$27</definedName>
    <definedName name="SimMin_Meses">IF(MAX('SIM_DÍVIDAS'!$E$27:$L$27)&gt;120,"não quita",MAX('SIM_DÍVIDAS'!$E$27:$L$27))</definedName>
    <definedName name="SimMin_Pago">SUM('SIM_DÍVIDAS'!$AD$31:$AD$150)</definedName>
    <definedName name="SimMin_Juros">MAX(0,SUM('SIM_DÍVIDAS'!$AD$31:$AD$150)+'SIM_DÍVIDAS'!$AC$150-Sim_SomaSaldo)</definedName>
    <definedName name="SimSnow_MesesPos">'SIM_DÍVIDAS'!$E$161:$L$161</definedName>
    <definedName name="SimSnow_Meses">IF(MAX('SIM_DÍVIDAS'!$E$161:$L$161)&gt;120,"não quita",MAX('SIM_DÍVIDAS'!$E$161:$L$161))</definedName>
    <definedName name="SimSnow_Pago">SUM('SIM_DÍVIDAS'!$AD$165:$AD$284)</definedName>
    <definedName name="SimSnow_Juros">MAX(0,SUM('SIM_DÍVIDAS'!$AD$165:$AD$284)+'SIM_DÍVIDAS'!$AC$284-Sim_SomaSaldo)</definedName>
    <definedName name="SimAva_MesesPos">'SIM_DÍVIDAS'!$E$295:$L$295</definedName>
    <definedName name="SimAva_Meses">IF(MAX('SIM_DÍVIDAS'!$E$295:$L$295)&gt;120,"não quita",MAX('SIM_DÍVIDAS'!$E$295:$L$295))</definedName>
    <definedName name="SimAva_Pago">SUM('SIM_DÍVIDAS'!$AD$299:$AD$418)</definedName>
    <definedName name="SimAva_Juros">MAX(0,SUM('SIM_DÍVIDAS'!$AD$299:$AD$418)+'SIM_DÍVIDAS'!$AC$418-Sim_SomaSaldo)</definedName>
    <definedName name="Div_Nome">'DÍVIDAS E FINANCIAMENTOS'!$B$9:$B$16</definedName>
    <definedName name="Div_Tipo">'DÍVIDAS E FINANCIAMENTOS'!$C$9:$C$16</definedName>
    <definedName name="Div_Orig">'DÍVIDAS E FINANCIAMENTOS'!$D$9:$D$16</definedName>
    <definedName name="Div_Saldo">'DÍVIDAS E FINANCIAMENTOS'!$E$9:$E$16</definedName>
    <definedName name="Div_Taxa">'DÍVIDAS E FINANCIAMENTOS'!$F$9:$F$16</definedName>
    <definedName name="Div_Parc">'DÍVIDAS E FINANCIAMENTOS'!$G$9:$G$16</definedName>
    <definedName name="Div_NTot">'DÍVIDAS E FINANCIAMENTOS'!$H$9:$H$16</definedName>
    <definedName name="Div_Pagas">'DÍVIDAS E FINANCIAMENTOS'!$I$9:$I$16</definedName>
    <definedName name="Div_Sist">'DÍVIDAS E FINANCIAMENTOS'!$J$9:$J$16</definedName>
    <definedName name="Div_Status">'DÍVIDAS E FINANCIAMENTOS'!$K$9:$K$16</definedName>
    <definedName name="Div_Rest">'DÍVIDAS E FINANCIAMENTOS'!$L$9:$L$16</definedName>
    <definedName name="Div_Quit">'DÍVIDAS E FINANCIAMENTOS'!$M$9:$M$16</definedName>
    <definedName name="Div_Juros">'DÍVIDAS E FINANCIAMENTOS'!$N$9:$N$16</definedName>
    <definedName name="Div_PctPago">'DÍVIDAS E FINANCIAMENTOS'!$O$9:$O$16</definedName>
    <definedName name="Div_Sit">'DÍVIDAS E FINANCIAMENTOS'!$P$9:$P$16</definedName>
    <definedName name="Lista_Dividas">'DÍVIDAS E FINANCIAMENTOS'!$B$9:INDEX('DÍVIDAS E FINANCIAMENTOS'!$B$9:$B$16,MAX(1,COUNTA('DÍVIDAS E FINANCIAMENTOS'!$B$9:$B$16)))</definedName>
    <definedName name="Exemplo_Dividas">'DÍVIDAS E FINANCIAMENTOS'!$B$9:$K$16</definedName>
    <definedName name="Div_Total">'DÍVIDAS E FINANCIAMENTOS'!$E$17</definedName>
    <definedName name="Div_ParcTot">'DÍVIDAS E FINANCIAMENTOS'!$G$17</definedName>
    <definedName name="Div_Renda">'DÍVIDAS E FINANCIAMENTOS'!$D$20</definedName>
    <definedName name="Div_PctDiv">'DÍVIDAS E FINANCIAMENTOS'!$D$21</definedName>
    <definedName name="Div_PctParc">'DÍVIDAS E FINANCIAMENTOS'!$D$22</definedName>
    <definedName name="Div_Lim">'DÍVIDAS E FINANCIAMENTOS'!$D$23</definedName>
    <definedName name="Sim_Extra">'DÍVIDAS E FINANCIAMENTOS'!$D$27</definedName>
    <definedName name="Exemplo_SimExtra">'DÍVIDAS E FINANCIAMENTOS'!$D$27</definedName>
    <definedName name="Am_Sel">'DÍVIDAS E FINANCIAMENTOS'!$C$65</definedName>
    <definedName name="Exemplo_AmSel">'DÍVIDAS E FINANCIAMENTOS'!$C$65</definedName>
    <definedName name="Am_Idx">'DÍVIDAS E FINANCIAMENTOS'!$I$66</definedName>
    <definedName name="Am_Saldo">'DÍVIDAS E FINANCIAMENTOS'!$C$66</definedName>
    <definedName name="Am_Taxa">'DÍVIDAS E FINANCIAMENTOS'!$E$66</definedName>
    <definedName name="Am_N">'DÍVIDAS E FINANCIAMENTOS'!$G$66</definedName>
    <definedName name="Inv_TotAtual">'INVESTIMENTOS'!$G$40</definedName>
    <definedName name="Inv_TotAport">'INVESTIMENTOS'!$F$40</definedName>
    <definedName name="Inv_Rent">'INVESTIMENTOS'!$K$40</definedName>
    <definedName name="Inv_Nome">'INVESTIMENTOS'!$B$10:$B$39</definedName>
    <definedName name="Inv_Tipo">'INVESTIMENTOS'!$C$10:$C$39</definedName>
    <definedName name="Inv_Inst">'INVESTIMENTOS'!$D$10:$D$39</definedName>
    <definedName name="Inv_Data">'INVESTIMENTOS'!$E$10:$E$39</definedName>
    <definedName name="Inv_Aport">'INVESTIMENTOS'!$F$10:$F$39</definedName>
    <definedName name="Inv_Atual">'INVESTIMENTOS'!$G$10:$G$39</definedName>
    <definedName name="Inv_Liq">'INVESTIMENTOS'!$H$10:$H$39</definedName>
    <definedName name="Inv_Venc">'INVESTIMENTOS'!$I$10:$I$39</definedName>
    <definedName name="Exemplo_Invest">'INVESTIMENTOS'!$B$10:$I$39</definedName>
    <definedName name="Inv_Tol">'INVESTIMENTOS'!$G$43</definedName>
    <definedName name="Inv_TipoNome">'INVESTIMENTOS'!$B$45:$B$53</definedName>
    <definedName name="Inv_TipoVal">'INVESTIMENTOS'!$C$45:$C$53</definedName>
    <definedName name="Exemplo_InvAlvo">'INVESTIMENTOS'!$E$45:$E$53</definedName>
    <definedName name="Pat_Ativos">'PATRIMÔNIO LÍQUIDO'!$C$14</definedName>
    <definedName name="Pat_Passivos">'PATRIMÔNIO LÍQUIDO'!$C$20</definedName>
    <definedName name="Pat_Liquido">'PATRIMÔNIO LÍQUIDO'!$C$22</definedName>
    <definedName name="Exemplo_PatAtivos">'PATRIMÔNIO LÍQUIDO'!$C$10:$C$13</definedName>
    <definedName name="Exemplo_PatPassivo">'PATRIMÔNIO LÍQUIDO'!$C$19</definedName>
    <definedName name="Pat_Ano0">'PATRIMÔNIO LÍQUIDO'!$C$26</definedName>
    <definedName name="Exemplo_PatAno0">'PATRIMÔNIO LÍQUIDO'!$C$26</definedName>
    <definedName name="Exemplo_PatHist">'PATRIMÔNIO LÍQUIDO'!$C$28:$D$39</definedName>
    <definedName name="Pat_Serie">'PATRIMÔNIO LÍQUIDO'!$H$28:$H$39</definedName>
    <definedName name="Pat_Meses">'PATRIMÔNIO LÍQUIDO'!$B$28:$B$39</definedName>
    <definedName name="IR_Trib">'IMPOSTO DE RENDA'!$D$14</definedName>
    <definedName name="IR_Trib2">'IMPOSTO DE RENDA'!$E$14</definedName>
    <definedName name="Exemplo_IR_Trib">'IMPOSTO DE RENDA'!$B$8:$E$13</definedName>
    <definedName name="IR_Isent">'IMPOSTO DE RENDA'!$D$24</definedName>
    <definedName name="Exemplo_IR_Isent">'IMPOSTO DE RENDA'!$B$18:$D$23</definedName>
    <definedName name="IR_Excl">'IMPOSTO DE RENDA'!$D$33</definedName>
    <definedName name="Exemplo_IR_Excl">'IMPOSTO DE RENDA'!$B$28:$D$32</definedName>
    <definedName name="IR_Deducoes">'IMPOSTO DE RENDA'!$F$41</definedName>
    <definedName name="Exemplo_IR_Ded">'IMPOSTO DE RENDA'!$D$37:$D$40</definedName>
    <definedName name="Exemplo_IR_Ded2">'IMPOSTO DE RENDA'!$C$39</definedName>
    <definedName name="Exemplo_IR_Ded3">'IMPOSTO DE RENDA'!$C$40</definedName>
    <definedName name="IR_Bens">'IMPOSTO DE RENDA'!$D$57</definedName>
    <definedName name="IR_Bens2">'IMPOSTO DE RENDA'!$E$57</definedName>
    <definedName name="Exemplo_IR_Bens">'IMPOSTO DE RENDA'!$B$47:$E$56</definedName>
    <definedName name="IR_Div">'IMPOSTO DE RENDA'!$D$66</definedName>
    <definedName name="IR_Div2">'IMPOSTO DE RENDA'!$E$66</definedName>
    <definedName name="Exemplo_IR_Div">'IMPOSTO DE RENDA'!$B$61:$E$65</definedName>
    <definedName name="Exemplo_IR_Check">'IMPOSTO DE RENDA'!$C$70:$C$81</definedName>
    <definedName name="Cat_Med3">'CÁLCULOS'!$S$7:$S$24</definedName>
    <definedName name="Cat_Nat">'CÁLCULOS'!$R$7:$R$24</definedName>
    <definedName name="Cat_Chave">'CÁLCULOS'!$T$7:$T$24</definedName>
    <definedName name="Rk_Nome">'CÁLCULOS'!$X$7:$X$15</definedName>
    <definedName name="Rk_Val">'CÁLCULOS'!$Y$7:$Y$15</definedName>
    <definedName name="OR_Nome">'CÁLCULOS'!$AC$7:$AC$16</definedName>
    <definedName name="OR_Orc">'CÁLCULOS'!$AD$7:$AD$16</definedName>
    <definedName name="OR_Real">'CÁLCULOS'!$AE$7:$AE$16</definedName>
    <definedName name="K_Med3Desp">'CÁLCULOS'!$C$29</definedName>
    <definedName name="K_Med3Rec">'CÁLCULOS'!$C$30</definedName>
    <definedName name="K_VarMed">'CÁLCULOS'!$C$31</definedName>
    <definedName name="K_FixaMed">'CÁLCULOS'!$C$32</definedName>
    <definedName name="K_RendaBase">'CÁLCULOS'!$C$33</definedName>
    <definedName name="K_SaldoLivre">'CÁLCULOS'!$C$34</definedName>
    <definedName name="Cen_Desp">'PROJEÇÕES E CENÁRIOS'!$C$8:$C$10</definedName>
    <definedName name="Cen_Rec">'PROJEÇÕES E CENÁRIOS'!$D$8:$D$10</definedName>
    <definedName name="Proj_Idx">'PROJEÇÕES E CENÁRIOS'!$E$14:$AB$14</definedName>
    <definedName name="Proj_Rec">'PROJEÇÕES E CENÁRIOS'!$E$17:$AB$17</definedName>
    <definedName name="Proj_Desp">'PROJEÇÕES E CENÁRIOS'!$E$21:$AB$21</definedName>
    <definedName name="Proj_Apo">'PROJEÇÕES E CENÁRIOS'!$E$22:$AB$22</definedName>
    <definedName name="Sc1_Acum">'PROJEÇÕES E CENÁRIOS'!$E$32:$P$32</definedName>
    <definedName name="Sc1_Saldo12">'PROJEÇÕES E CENÁRIOS'!$C$31</definedName>
    <definedName name="Sc1_Saldo24">'PROJEÇÕES E CENÁRIOS'!$D$31</definedName>
    <definedName name="Sc1_Rec12">'PROJEÇÕES E CENÁRIOS'!$C$29</definedName>
    <definedName name="Sc1_Desp12">'PROJEÇÕES E CENÁRIOS'!$C$30</definedName>
    <definedName name="Sc2_Acum">'PROJEÇÕES E CENÁRIOS'!$E$39:$P$39</definedName>
    <definedName name="Sc2_Saldo12">'PROJEÇÕES E CENÁRIOS'!$C$38</definedName>
    <definedName name="Sc2_Saldo24">'PROJEÇÕES E CENÁRIOS'!$D$38</definedName>
    <definedName name="Sc2_Rec12">'PROJEÇÕES E CENÁRIOS'!$C$36</definedName>
    <definedName name="Sc2_Desp12">'PROJEÇÕES E CENÁRIOS'!$C$37</definedName>
    <definedName name="Sc3_Acum">'PROJEÇÕES E CENÁRIOS'!$E$46:$P$46</definedName>
    <definedName name="Sc3_Saldo12">'PROJEÇÕES E CENÁRIOS'!$C$45</definedName>
    <definedName name="Sc3_Saldo24">'PROJEÇÕES E CENÁRIOS'!$D$45</definedName>
    <definedName name="Sc3_Rec12">'PROJEÇÕES E CENÁRIOS'!$C$43</definedName>
    <definedName name="Sc3_Desp12">'PROJEÇÕES E CENÁRIOS'!$C$44</definedName>
    <definedName name="Proj_Labels">'PROJEÇÕES E CENÁRIOS'!$E$13:$P$13</definedName>
    <definedName name="Es_Corte">'PROJEÇÕES E CENÁRIOS'!$C$51</definedName>
    <definedName name="Es_Cat">'PROJEÇÕES E CENÁRIOS'!$C$52</definedName>
    <definedName name="Es_Aporte">'PROJEÇÕES E CENÁRIOS'!$C$53</definedName>
    <definedName name="Es_Renda">'PROJEÇÕES E CENÁRIOS'!$C$54</definedName>
    <definedName name="Exemplo_Simulador">'PROJEÇÕES E CENÁRIOS'!$C$51:$C$54</definedName>
    <definedName name="Es_Extra">'PROJEÇÕES E CENÁRIOS'!$C$64</definedName>
    <definedName name="CalF_Data">'CALENDÁRIO DE CONTAS'!$M$9:$M$32</definedName>
    <definedName name="CalF_Valor">'CALENDÁRIO DE CONTAS'!$N$9:$N$32</definedName>
    <definedName name="CalR_Data">'CALENDÁRIO DE CONTAS'!$P$9:$P$48</definedName>
    <definedName name="CalR_Valor">'CALENDÁRIO DE CONTAS'!$Q$9:$Q$48</definedName>
    <definedName name="Cal_7">'CALENDÁRIO DE CONTAS'!$C$9</definedName>
    <definedName name="Cal_15">'CALENDÁRIO DE CONTAS'!$C$10</definedName>
    <definedName name="Cal_30">'CALENDÁRIO DE CONTAS'!$C$11</definedName>
    <definedName name="Cal_Atraso">'CALENDÁRIO DE CONTAS'!$D$9</definedName>
    <definedName name="Assin_Anual">'HISTÓRICO E ANÁLISES'!$E$106</definedName>
    <definedName name="Assin_Mensal">'HISTÓRICO E ANÁLISES'!$E$107</definedName>
    <definedName name="K_Rec">'CÁLCULOS'!$C$37</definedName>
    <definedName name="K_RecAnt">'CÁLCULOS'!$C$38</definedName>
    <definedName name="K_RecAA">'CÁLCULOS'!$C$39</definedName>
    <definedName name="K_Desp">'CÁLCULOS'!$C$40</definedName>
    <definedName name="K_DespAnt">'CÁLCULOS'!$C$41</definedName>
    <definedName name="K_DespAA">'CÁLCULOS'!$C$42</definedName>
    <definedName name="K_Apo">'CÁLCULOS'!$C$43</definedName>
    <definedName name="K_ApoAnt">'CÁLCULOS'!$C$44</definedName>
    <definedName name="K_ApoAA">'CÁLCULOS'!$C$45</definedName>
    <definedName name="K_Saldo">'CÁLCULOS'!$C$46</definedName>
    <definedName name="K_SaldoAnt">'CÁLCULOS'!$C$47</definedName>
    <definedName name="K_SaldoAA">'CÁLCULOS'!$C$48</definedName>
    <definedName name="K_Poup">'CÁLCULOS'!$C$49</definedName>
    <definedName name="K_PoupAnt">'CÁLCULOS'!$C$50</definedName>
    <definedName name="K_PoupAA">'CÁLCULOS'!$C$51</definedName>
    <definedName name="K_PoupMeta">'CÁLCULOS'!$C$52</definedName>
    <definedName name="K_SaldoContas">'CÁLCULOS'!$C$53</definedName>
    <definedName name="K_Reserva">'CÁLCULOS'!$C$54</definedName>
    <definedName name="K_CustoMes">'CÁLCULOS'!$C$55</definedName>
    <definedName name="K_ReservaMeses">'CÁLCULOS'!$C$56</definedName>
    <definedName name="K_MesesAlvo">'CÁLCULOS'!$C$57</definedName>
    <definedName name="K_ReservaPct">'CÁLCULOS'!$C$58</definedName>
    <definedName name="K_GastoDia">'CÁLCULOS'!$C$59</definedName>
    <definedName name="K_DiasCaixa">'CÁLCULOS'!$C$60</definedName>
    <definedName name="K_AporteMeta">'CÁLCULOS'!$C$61</definedName>
    <definedName name="K_AportePct">'CÁLCULOS'!$C$62</definedName>
    <definedName name="H_Poup">'CÁLCULOS'!$C$65</definedName>
    <definedName name="H_Div">'CÁLCULOS'!$C$66</definedName>
    <definedName name="H_Res">'CÁLCULOS'!$C$67</definedName>
    <definedName name="H_Orc">'CÁLCULOS'!$C$68</definedName>
    <definedName name="H_Apo">'CÁLCULOS'!$C$69</definedName>
    <definedName name="H_Nota">'CÁLCULOS'!$C$70</definedName>
    <definedName name="H_Sem">'CÁLCULOS'!$C$71</definedName>
    <definedName name="Alert_Msg">'CÁLCULOS'!$AH$7:$AH$79</definedName>
    <definedName name="Alert_Cnt">'CÁLCULOS'!$AI$7:$AI$79</definedName>
    <definedName name="Alert_Total">MAX('CÁLCULOS'!$AI$7:$AI$79)</definedName>
    <definedName name="Dash_Mes">'DASHBOARD'!$C$6</definedName>
    <definedName name="Dash_Ano">'DASHBOARD'!$E$6</definedName>
    <definedName name="Exemplo_DashSel">'DASHBOARD'!$C$6:$E$6</definedName>
    <definedName name="Exemplo_Backup">'BACKUP'!$D$6</definedName>
    <definedName name="_xlnm.Print_Titles" localSheetId="2">'LANÇAMENTOS'!$6:$6</definedName>
    <definedName name="_xlnm.Print_Area" localSheetId="2">'LANÇAMENTOS'!$A$1:$T$1506</definedName>
    <definedName name="_xlnm.Print_Titles" localSheetId="3">'RECORRENTES'!$6:$6</definedName>
    <definedName name="_xlnm.Print_Area" localSheetId="3">'RECORRENTES'!$A$1:$O$46</definedName>
    <definedName name="_xlnm.Print_Area" localSheetId="4">'DASHBOARD'!$A$1:$L$125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&quot;R$&quot; #,##0.00;-&quot;R$&quot; #,##0.00"/>
    <numFmt numFmtId="165" formatCode="0.0%"/>
    <numFmt numFmtId="166" formatCode="dd/mm/yyyy"/>
    <numFmt numFmtId="167" formatCode="mm/yyyy"/>
    <numFmt numFmtId="168" formatCode="&quot;R$&quot; #,##0.00;-&quot;R$&quot; #,##0.00;&quot;-&quot;"/>
    <numFmt numFmtId="169" formatCode="0.0"/>
    <numFmt numFmtId="170" formatCode="0.0;-0.0;0.0"/>
    <numFmt numFmtId="171" formatCode="0.000000"/>
    <numFmt numFmtId="172" formatCode="0.000000000"/>
    <numFmt numFmtId="173" formatCode="+0;-0;0"/>
    <numFmt numFmtId="174" formatCode="&quot;R$&quot; #,##0;-&quot;R$&quot; #,##0;&quot;-&quot;"/>
  </numFmts>
  <fonts count="34">
    <font>
      <name val="Calibri"/>
      <family val="2"/>
      <color theme="1"/>
      <sz val="11"/>
      <scheme val="minor"/>
    </font>
    <font>
      <name val="Calibri"/>
      <b val="1"/>
      <color rgb="001B3A6B"/>
      <sz val="20"/>
    </font>
    <font>
      <name val="Calibri"/>
      <i val="1"/>
      <color rgb="00667085"/>
      <sz val="11"/>
    </font>
    <font>
      <name val="Calibri"/>
      <b val="1"/>
      <color rgb="002F6FD0"/>
      <sz val="10"/>
      <u val="single"/>
    </font>
    <font>
      <name val="Calibri"/>
      <color rgb="002F6FD0"/>
      <sz val="10"/>
      <u val="single"/>
    </font>
    <font>
      <name val="Calibri"/>
      <b val="1"/>
      <color rgb="00FFFFFF"/>
      <sz val="11"/>
    </font>
    <font>
      <name val="Calibri"/>
      <color rgb="001F2933"/>
      <sz val="11"/>
    </font>
    <font>
      <name val="Calibri"/>
      <b val="1"/>
      <i val="1"/>
      <color rgb="002F6FD0"/>
      <sz val="11"/>
    </font>
    <font>
      <name val="Calibri"/>
      <b val="1"/>
      <color rgb="001B3A6B"/>
      <sz val="13"/>
    </font>
    <font>
      <name val="Calibri"/>
      <b val="1"/>
      <color rgb="001F2933"/>
      <sz val="11"/>
    </font>
    <font>
      <name val="Calibri"/>
      <b val="1"/>
      <color rgb="001F2933"/>
      <sz val="14"/>
    </font>
    <font>
      <name val="Calibri"/>
      <b val="1"/>
      <color rgb="002E9E5B"/>
      <sz val="11"/>
    </font>
    <font>
      <name val="Calibri"/>
      <b val="1"/>
      <color rgb="00D64545"/>
      <sz val="11"/>
    </font>
    <font>
      <name val="Calibri"/>
      <color rgb="001F2933"/>
      <sz val="10"/>
    </font>
    <font>
      <name val="Calibri"/>
      <b val="1"/>
      <color rgb="002F6FD0"/>
      <sz val="11"/>
    </font>
    <font>
      <name val="Calibri"/>
      <b val="1"/>
      <color rgb="00FFFFFF"/>
      <sz val="9"/>
    </font>
    <font>
      <name val="Calibri"/>
      <b val="1"/>
      <color rgb="007B5EA7"/>
      <sz val="11"/>
    </font>
    <font>
      <name val="Calibri"/>
      <b val="1"/>
      <color rgb="001F2933"/>
      <sz val="13"/>
    </font>
    <font>
      <name val="Calibri"/>
      <color rgb="00667085"/>
      <sz val="9"/>
    </font>
    <font>
      <name val="Calibri"/>
      <b val="1"/>
      <color rgb="001F2933"/>
      <sz val="10"/>
    </font>
    <font>
      <name val="Calibri"/>
      <color rgb="001F2933"/>
      <sz val="8"/>
    </font>
    <font>
      <name val="Calibri"/>
      <color rgb="00667085"/>
      <sz val="8"/>
    </font>
    <font>
      <name val="Calibri"/>
      <b val="1"/>
      <color rgb="001B3A6B"/>
      <sz val="11"/>
    </font>
    <font>
      <name val="Calibri"/>
      <b val="1"/>
      <color rgb="00667085"/>
      <sz val="10"/>
    </font>
    <font>
      <name val="Calibri"/>
      <b val="1"/>
      <color rgb="002E9E5B"/>
      <sz val="18"/>
    </font>
    <font>
      <name val="Calibri"/>
      <b val="1"/>
      <color rgb="00D64545"/>
      <sz val="18"/>
    </font>
    <font>
      <name val="Calibri"/>
      <b val="1"/>
      <color rgb="002F6FD0"/>
      <sz val="18"/>
    </font>
    <font>
      <name val="Calibri"/>
      <b val="1"/>
      <color rgb="007B5EA7"/>
      <sz val="18"/>
    </font>
    <font>
      <name val="Calibri"/>
      <b val="1"/>
      <color rgb="001F2933"/>
      <sz val="36"/>
    </font>
    <font>
      <name val="Calibri"/>
      <b val="1"/>
      <color rgb="00667085"/>
      <sz val="11"/>
    </font>
    <font>
      <name val="Calibri"/>
      <color rgb="00F2F4F7"/>
      <sz val="8"/>
    </font>
    <font>
      <name val="Calibri"/>
      <b val="1"/>
      <color rgb="002F6FD0"/>
      <sz val="14"/>
    </font>
    <font>
      <name val="Calibri"/>
      <color rgb="002F6FD0"/>
      <sz val="10"/>
    </font>
    <font>
      <name val="Calibri"/>
      <b val="1"/>
      <color rgb="002F6FD0"/>
      <sz val="11"/>
      <u val="single"/>
    </font>
  </fonts>
  <fills count="15">
    <fill>
      <patternFill/>
    </fill>
    <fill>
      <patternFill patternType="gray125"/>
    </fill>
    <fill>
      <patternFill patternType="solid">
        <fgColor rgb="00DDF3E4"/>
        <bgColor rgb="00DDF3E4"/>
      </patternFill>
    </fill>
    <fill>
      <patternFill patternType="solid">
        <fgColor rgb="00DCE8FA"/>
        <bgColor rgb="00DCE8FA"/>
      </patternFill>
    </fill>
    <fill>
      <patternFill patternType="solid">
        <fgColor rgb="001B3A6B"/>
        <bgColor rgb="001B3A6B"/>
      </patternFill>
    </fill>
    <fill>
      <patternFill patternType="solid">
        <fgColor rgb="00F2F4F7"/>
        <bgColor rgb="00F2F4F7"/>
      </patternFill>
    </fill>
    <fill>
      <patternFill patternType="solid">
        <fgColor rgb="002F6FD0"/>
        <bgColor rgb="002F6FD0"/>
      </patternFill>
    </fill>
    <fill>
      <patternFill patternType="solid">
        <fgColor rgb="00F2A93B"/>
        <bgColor rgb="00F2A93B"/>
      </patternFill>
    </fill>
    <fill>
      <patternFill patternType="solid">
        <fgColor rgb="002E9E5B"/>
        <bgColor rgb="002E9E5B"/>
      </patternFill>
    </fill>
    <fill>
      <patternFill patternType="solid">
        <fgColor rgb="007B5EA7"/>
        <bgColor rgb="007B5EA7"/>
      </patternFill>
    </fill>
    <fill>
      <patternFill patternType="solid">
        <fgColor rgb="00D64545"/>
        <bgColor rgb="00D64545"/>
      </patternFill>
    </fill>
    <fill>
      <patternFill patternType="solid">
        <fgColor rgb="006C7A89"/>
        <bgColor rgb="006C7A89"/>
      </patternFill>
    </fill>
    <fill>
      <patternFill patternType="solid">
        <fgColor rgb="001ABC9C"/>
        <bgColor rgb="001ABC9C"/>
      </patternFill>
    </fill>
    <fill>
      <patternFill patternType="solid">
        <fgColor rgb="00A0A7B0"/>
        <bgColor rgb="00A0A7B0"/>
      </patternFill>
    </fill>
    <fill>
      <patternFill patternType="solid">
        <fgColor rgb="00E8F0FE"/>
        <bgColor rgb="00E8F0FE"/>
      </patternFill>
    </fill>
  </fills>
  <borders count="18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thin">
        <color rgb="00D0D5DD"/>
      </left>
      <top style="medium">
        <color rgb="002E9E5B"/>
      </top>
    </border>
    <border>
      <right style="thin">
        <color rgb="00D0D5DD"/>
      </right>
      <top style="medium">
        <color rgb="002E9E5B"/>
      </top>
    </border>
    <border>
      <left style="thin">
        <color rgb="00D0D5DD"/>
      </left>
    </border>
    <border>
      <right style="thin">
        <color rgb="00D0D5DD"/>
      </right>
    </border>
    <border>
      <left style="thin">
        <color rgb="00D0D5DD"/>
      </left>
      <bottom style="thin">
        <color rgb="00D0D5DD"/>
      </bottom>
    </border>
    <border>
      <right style="thin">
        <color rgb="00D0D5DD"/>
      </right>
      <bottom style="thin">
        <color rgb="00D0D5DD"/>
      </bottom>
    </border>
    <border>
      <left style="thin">
        <color rgb="00D0D5DD"/>
      </left>
      <top style="medium">
        <color rgb="00D64545"/>
      </top>
    </border>
    <border>
      <right style="thin">
        <color rgb="00D0D5DD"/>
      </right>
      <top style="medium">
        <color rgb="00D64545"/>
      </top>
    </border>
    <border>
      <left style="thin">
        <color rgb="00D0D5DD"/>
      </left>
      <top style="medium">
        <color rgb="002F6FD0"/>
      </top>
    </border>
    <border>
      <right style="thin">
        <color rgb="00D0D5DD"/>
      </right>
      <top style="medium">
        <color rgb="002F6FD0"/>
      </top>
    </border>
    <border>
      <left style="thin">
        <color rgb="00D0D5DD"/>
      </left>
      <top style="medium">
        <color rgb="007B5EA7"/>
      </top>
    </border>
    <border>
      <right style="thin">
        <color rgb="00D0D5DD"/>
      </right>
      <top style="medium">
        <color rgb="007B5EA7"/>
      </top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31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center"/>
    </xf>
    <xf numFmtId="0" fontId="6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6" fillId="14" borderId="1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33" fillId="5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vertical="center"/>
    </xf>
    <xf numFmtId="0" fontId="6" fillId="14" borderId="1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vertical="center"/>
    </xf>
    <xf numFmtId="1" fontId="6" fillId="14" borderId="1" applyAlignment="1" applyProtection="1" pivotButton="0" quotePrefix="0" xfId="0">
      <alignment horizontal="right" vertical="center"/>
      <protection locked="0" hidden="0"/>
    </xf>
    <xf numFmtId="164" fontId="6" fillId="14" borderId="1" applyAlignment="1" applyProtection="1" pivotButton="0" quotePrefix="0" xfId="0">
      <alignment horizontal="right" vertical="center"/>
      <protection locked="0" hidden="0"/>
    </xf>
    <xf numFmtId="165" fontId="6" fillId="14" borderId="1" applyAlignment="1" applyProtection="1" pivotButton="0" quotePrefix="0" xfId="0">
      <alignment horizontal="right" vertical="center"/>
      <protection locked="0" hidden="0"/>
    </xf>
    <xf numFmtId="10" fontId="6" fillId="14" borderId="1" applyAlignment="1" applyProtection="1" pivotButton="0" quotePrefix="0" xfId="0">
      <alignment horizontal="right" vertical="center"/>
      <protection locked="0" hidden="0"/>
    </xf>
    <xf numFmtId="166" fontId="6" fillId="14" borderId="1" applyAlignment="1" applyProtection="1" pivotButton="0" quotePrefix="0" xfId="0">
      <alignment horizontal="right" vertical="center"/>
      <protection locked="0" hidden="0"/>
    </xf>
    <xf numFmtId="0" fontId="6" fillId="14" borderId="1" applyAlignment="1" applyProtection="1" pivotButton="0" quotePrefix="0" xfId="0">
      <alignment vertical="center"/>
      <protection locked="0" hidden="0"/>
    </xf>
    <xf numFmtId="164" fontId="6" fillId="14" borderId="1" applyAlignment="1" applyProtection="1" pivotButton="0" quotePrefix="0" xfId="0">
      <alignment vertical="center"/>
      <protection locked="0" hidden="0"/>
    </xf>
    <xf numFmtId="164" fontId="6" fillId="5" borderId="1" applyAlignment="1" pivotButton="0" quotePrefix="0" xfId="0">
      <alignment vertical="center"/>
    </xf>
    <xf numFmtId="1" fontId="6" fillId="14" borderId="1" applyAlignment="1" applyProtection="1" pivotButton="0" quotePrefix="0" xfId="0">
      <alignment vertical="center"/>
      <protection locked="0" hidden="0"/>
    </xf>
    <xf numFmtId="166" fontId="6" fillId="14" borderId="1" applyAlignment="1" applyProtection="1" pivotButton="0" quotePrefix="0" xfId="0">
      <alignment vertical="center"/>
      <protection locked="0" hidden="0"/>
    </xf>
    <xf numFmtId="0" fontId="6" fillId="14" borderId="1" applyAlignment="1" applyProtection="1" pivotButton="0" quotePrefix="0" xfId="0">
      <alignment horizontal="left" vertical="center"/>
      <protection locked="0" hidden="0"/>
    </xf>
    <xf numFmtId="1" fontId="6" fillId="5" borderId="1" applyAlignment="1" pivotButton="0" quotePrefix="0" xfId="0">
      <alignment vertical="center"/>
    </xf>
    <xf numFmtId="167" fontId="6" fillId="5" borderId="1" applyAlignment="1" pivotButton="0" quotePrefix="0" xfId="0">
      <alignment vertical="center"/>
    </xf>
    <xf numFmtId="0" fontId="6" fillId="5" borderId="1" applyAlignment="1" pivotButton="0" quotePrefix="0" xfId="0">
      <alignment horizontal="left" vertical="center"/>
    </xf>
    <xf numFmtId="168" fontId="6" fillId="5" borderId="1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9" fillId="14" borderId="1" applyAlignment="1" applyProtection="1" pivotButton="0" quotePrefix="0" xfId="0">
      <alignment horizontal="center" vertical="center"/>
      <protection locked="0" hidden="0"/>
    </xf>
    <xf numFmtId="1" fontId="9" fillId="14" borderId="1" applyAlignment="1" applyProtection="1" pivotButton="0" quotePrefix="0" xfId="0">
      <alignment horizontal="center" vertical="center"/>
      <protection locked="0" hidden="0"/>
    </xf>
    <xf numFmtId="0" fontId="22" fillId="0" borderId="0" applyAlignment="1" pivotButton="0" quotePrefix="0" xfId="0">
      <alignment vertical="center"/>
    </xf>
    <xf numFmtId="0" fontId="23" fillId="5" borderId="6" applyAlignment="1" pivotButton="0" quotePrefix="0" xfId="0">
      <alignment horizontal="center" vertical="center"/>
    </xf>
    <xf numFmtId="0" fontId="6" fillId="5" borderId="7" applyAlignment="1" pivotButton="0" quotePrefix="0" xfId="0">
      <alignment vertical="center"/>
    </xf>
    <xf numFmtId="0" fontId="23" fillId="5" borderId="12" applyAlignment="1" pivotButton="0" quotePrefix="0" xfId="0">
      <alignment horizontal="center" vertical="center"/>
    </xf>
    <xf numFmtId="0" fontId="6" fillId="5" borderId="13" applyAlignment="1" pivotButton="0" quotePrefix="0" xfId="0">
      <alignment vertical="center"/>
    </xf>
    <xf numFmtId="0" fontId="23" fillId="5" borderId="14" applyAlignment="1" pivotButton="0" quotePrefix="0" xfId="0">
      <alignment horizontal="center" vertical="center"/>
    </xf>
    <xf numFmtId="0" fontId="6" fillId="5" borderId="15" applyAlignment="1" pivotButton="0" quotePrefix="0" xfId="0">
      <alignment vertical="center"/>
    </xf>
    <xf numFmtId="164" fontId="24" fillId="5" borderId="8" applyAlignment="1" pivotButton="0" quotePrefix="0" xfId="0">
      <alignment horizontal="center" vertical="center"/>
    </xf>
    <xf numFmtId="0" fontId="6" fillId="5" borderId="9" applyAlignment="1" pivotButton="0" quotePrefix="0" xfId="0">
      <alignment vertical="center"/>
    </xf>
    <xf numFmtId="164" fontId="25" fillId="5" borderId="8" applyAlignment="1" pivotButton="0" quotePrefix="0" xfId="0">
      <alignment horizontal="center" vertical="center"/>
    </xf>
    <xf numFmtId="165" fontId="26" fillId="5" borderId="8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vertical="center"/>
    </xf>
    <xf numFmtId="0" fontId="23" fillId="5" borderId="16" applyAlignment="1" pivotButton="0" quotePrefix="0" xfId="0">
      <alignment horizontal="center" vertical="center"/>
    </xf>
    <xf numFmtId="0" fontId="6" fillId="5" borderId="17" applyAlignment="1" pivotButton="0" quotePrefix="0" xfId="0">
      <alignment vertical="center"/>
    </xf>
    <xf numFmtId="164" fontId="26" fillId="5" borderId="8" applyAlignment="1" pivotButton="0" quotePrefix="0" xfId="0">
      <alignment horizontal="center" vertical="center"/>
    </xf>
    <xf numFmtId="165" fontId="27" fillId="5" borderId="8" applyAlignment="1" pivotButton="0" quotePrefix="0" xfId="0">
      <alignment horizontal="center" vertical="center"/>
    </xf>
    <xf numFmtId="1" fontId="26" fillId="5" borderId="8" applyAlignment="1" pivotButton="0" quotePrefix="0" xfId="0">
      <alignment horizontal="center" vertical="center"/>
    </xf>
    <xf numFmtId="1" fontId="28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9" fillId="5" borderId="1" applyAlignment="1" pivotButton="0" quotePrefix="0" xfId="0">
      <alignment horizontal="center" vertical="center"/>
    </xf>
    <xf numFmtId="169" fontId="9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vertical="center"/>
    </xf>
    <xf numFmtId="0" fontId="13" fillId="5" borderId="1" applyAlignment="1" pivotButton="0" quotePrefix="0" xfId="0">
      <alignment vertical="center"/>
    </xf>
    <xf numFmtId="165" fontId="6" fillId="5" borderId="1" applyAlignment="1" pivotButton="0" quotePrefix="0" xfId="0">
      <alignment horizontal="center" vertical="center"/>
    </xf>
    <xf numFmtId="1" fontId="30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8" fontId="6" fillId="14" borderId="1" applyAlignment="1" applyProtection="1" pivotButton="0" quotePrefix="0" xfId="0">
      <alignment vertical="center"/>
      <protection locked="0" hidden="0"/>
    </xf>
    <xf numFmtId="168" fontId="9" fillId="5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9" fillId="5" borderId="1" applyAlignment="1" pivotButton="0" quotePrefix="0" xfId="0">
      <alignment vertical="center"/>
    </xf>
    <xf numFmtId="0" fontId="13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vertical="center"/>
    </xf>
    <xf numFmtId="170" fontId="6" fillId="5" borderId="1" applyAlignment="1" pivotButton="0" quotePrefix="0" xfId="0">
      <alignment vertical="center"/>
    </xf>
    <xf numFmtId="1" fontId="9" fillId="5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2" fontId="6" fillId="5" borderId="1" applyAlignment="1" pivotButton="0" quotePrefix="0" xfId="0">
      <alignment vertical="center"/>
    </xf>
    <xf numFmtId="165" fontId="6" fillId="14" borderId="1" applyAlignment="1" applyProtection="1" pivotButton="0" quotePrefix="0" xfId="0">
      <alignment vertical="center"/>
      <protection locked="0" hidden="0"/>
    </xf>
    <xf numFmtId="1" fontId="18" fillId="5" borderId="1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67" fontId="6" fillId="5" borderId="1" applyAlignment="1" pivotButton="0" quotePrefix="0" xfId="0">
      <alignment horizontal="center" vertical="center"/>
    </xf>
    <xf numFmtId="173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0" fontId="6" fillId="14" borderId="1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horizontal="right" vertical="center"/>
    </xf>
    <xf numFmtId="10" fontId="6" fillId="5" borderId="1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70" fontId="9" fillId="5" borderId="1" applyAlignment="1" pivotButton="0" quotePrefix="0" xfId="0">
      <alignment vertical="center"/>
    </xf>
    <xf numFmtId="169" fontId="6" fillId="14" borderId="1" applyAlignment="1" applyProtection="1" pivotButton="0" quotePrefix="0" xfId="0">
      <alignment vertical="center"/>
      <protection locked="0" hidden="0"/>
    </xf>
    <xf numFmtId="1" fontId="6" fillId="5" borderId="1" applyAlignment="1" pivotButton="0" quotePrefix="0" xfId="0">
      <alignment horizontal="right" vertical="center"/>
    </xf>
    <xf numFmtId="168" fontId="9" fillId="5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vertical="center"/>
    </xf>
    <xf numFmtId="169" fontId="6" fillId="5" borderId="1" applyAlignment="1" pivotButton="0" quotePrefix="0" xfId="0">
      <alignment vertical="center"/>
    </xf>
    <xf numFmtId="1" fontId="10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vertical="center"/>
    </xf>
    <xf numFmtId="164" fontId="17" fillId="5" borderId="1" applyAlignment="1" pivotButton="0" quotePrefix="0" xfId="0">
      <alignment vertical="center"/>
    </xf>
    <xf numFmtId="1" fontId="19" fillId="5" borderId="1" applyAlignment="1" pivotButton="0" quotePrefix="0" xfId="0">
      <alignment horizontal="left" vertical="center"/>
    </xf>
    <xf numFmtId="174" fontId="13" fillId="5" borderId="1" applyAlignment="1" pivotButton="0" quotePrefix="0" xfId="0">
      <alignment horizontal="right" vertical="center"/>
    </xf>
    <xf numFmtId="174" fontId="20" fillId="5" borderId="1" applyAlignment="1" pivotButton="0" quotePrefix="0" xfId="0">
      <alignment vertical="center"/>
    </xf>
    <xf numFmtId="1" fontId="21" fillId="5" borderId="1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 wrapText="1"/>
    </xf>
    <xf numFmtId="174" fontId="6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172" fontId="6" fillId="5" borderId="1" applyAlignment="1" pivotButton="0" quotePrefix="0" xfId="0">
      <alignment vertical="center"/>
    </xf>
    <xf numFmtId="166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9" fontId="6" fillId="5" borderId="1" applyAlignment="1" pivotButton="0" quotePrefix="0" xfId="0">
      <alignment horizontal="right" vertical="center"/>
    </xf>
    <xf numFmtId="171" fontId="6" fillId="5" borderId="1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3">
    <dxf>
      <font>
        <b val="1"/>
        <color rgb="009A5B00"/>
      </font>
      <fill>
        <patternFill patternType="solid">
          <fgColor rgb="00FDEFD2"/>
          <bgColor rgb="00FDEFD2"/>
        </patternFill>
      </fill>
    </dxf>
    <dxf>
      <font>
        <b val="1"/>
        <color rgb="002E9E5B"/>
      </font>
      <fill>
        <patternFill patternType="solid">
          <fgColor rgb="00DDF3E4"/>
          <bgColor rgb="00DDF3E4"/>
        </patternFill>
      </fill>
    </dxf>
    <dxf>
      <font>
        <b val="1"/>
        <color rgb="00F2A93B"/>
      </font>
      <fill>
        <patternFill patternType="solid">
          <fgColor rgb="00FDEFD2"/>
          <bgColor rgb="00FDEFD2"/>
        </patternFill>
      </fill>
    </dxf>
    <dxf>
      <font>
        <b val="1"/>
        <color rgb="002F6FD0"/>
      </font>
      <fill>
        <patternFill patternType="solid">
          <fgColor rgb="00DCE8FA"/>
          <bgColor rgb="00DCE8FA"/>
        </patternFill>
      </fill>
    </dxf>
    <dxf>
      <font>
        <b val="1"/>
        <color rgb="002E9E5B"/>
      </font>
    </dxf>
    <dxf>
      <font>
        <b val="1"/>
        <color rgb="00D64545"/>
      </font>
    </dxf>
    <dxf>
      <font>
        <b val="1"/>
        <color rgb="002F6FD0"/>
      </font>
    </dxf>
    <dxf>
      <font>
        <b val="1"/>
        <color rgb="00D64545"/>
      </font>
      <fill>
        <patternFill patternType="solid">
          <fgColor rgb="00FADBD8"/>
          <bgColor rgb="00FADBD8"/>
        </patternFill>
      </fill>
    </dxf>
    <dxf>
      <font>
        <color rgb="002E9E5B"/>
      </font>
    </dxf>
    <dxf>
      <font>
        <color rgb="00D64545"/>
      </font>
    </dxf>
    <dxf>
      <font>
        <color rgb="00667085"/>
      </font>
      <fill>
        <patternFill patternType="solid">
          <fgColor rgb="00F2F4F7"/>
          <bgColor rgb="00F2F4F7"/>
        </patternFill>
      </fill>
    </dxf>
    <dxf>
      <font>
        <b val="1"/>
        <color rgb="00F2A93B"/>
      </font>
    </dxf>
    <dxf>
      <font>
        <color rgb="00F2F4F7"/>
      </font>
      <fill>
        <patternFill patternType="solid">
          <fgColor rgb="00F2F4F7"/>
          <bgColor rgb="00F2F4F7"/>
        </patternFill>
      </fill>
    </dxf>
    <dxf>
      <font>
        <b val="1"/>
        <color rgb="00FFFFFF"/>
      </font>
      <fill>
        <patternFill patternType="solid">
          <fgColor rgb="002E9E5B"/>
          <bgColor rgb="002E9E5B"/>
        </patternFill>
      </fill>
    </dxf>
    <dxf>
      <font>
        <b val="1"/>
        <color rgb="00FFFFFF"/>
      </font>
      <fill>
        <patternFill patternType="solid">
          <fgColor rgb="002F6FD0"/>
          <bgColor rgb="002F6FD0"/>
        </patternFill>
      </fill>
    </dxf>
    <dxf>
      <font>
        <b val="1"/>
        <color rgb="001F2933"/>
      </font>
      <fill>
        <patternFill patternType="solid">
          <fgColor rgb="00F2A93B"/>
          <bgColor rgb="00F2A93B"/>
        </patternFill>
      </fill>
    </dxf>
    <dxf>
      <font>
        <b val="1"/>
        <color rgb="00FFFFFF"/>
      </font>
      <fill>
        <patternFill patternType="solid">
          <fgColor rgb="00D64545"/>
          <bgColor rgb="00D64545"/>
        </patternFill>
      </fill>
    </dxf>
    <dxf>
      <font>
        <color rgb="002F6FD0"/>
      </font>
    </dxf>
    <dxf>
      <font>
        <color rgb="00F2A93B"/>
      </font>
    </dxf>
    <dxf>
      <font>
        <b val="1"/>
        <color rgb="009A5B00"/>
      </font>
    </dxf>
    <dxf>
      <font>
        <color rgb="00667085"/>
      </font>
    </dxf>
    <dxf>
      <font>
        <b val="1"/>
        <color rgb="00FFFFFF"/>
      </font>
      <fill>
        <patternFill patternType="solid">
          <fgColor rgb="00F2A93B"/>
          <bgColor rgb="00F2A93B"/>
        </patternFill>
      </fill>
    </dxf>
    <dxf>
      <font>
        <b val="1"/>
        <color rgb="00FFFFFF"/>
      </font>
      <fill>
        <patternFill patternType="solid">
          <fgColor rgb="007B5EA7"/>
          <bgColor rgb="007B5EA7"/>
        </patternFill>
      </fill>
    </dxf>
    <dxf>
      <font>
        <b val="1"/>
        <color rgb="00FFFFFF"/>
      </font>
      <fill>
        <patternFill patternType="solid">
          <fgColor rgb="006C7A89"/>
          <bgColor rgb="006C7A89"/>
        </patternFill>
      </fill>
    </dxf>
    <dxf>
      <font>
        <b val="1"/>
        <color rgb="00FFFFFF"/>
      </font>
      <fill>
        <patternFill patternType="solid">
          <fgColor rgb="001ABC9C"/>
          <bgColor rgb="001ABC9C"/>
        </patternFill>
      </fill>
    </dxf>
    <dxf>
      <font>
        <b val="1"/>
        <color rgb="00FFFFFF"/>
      </font>
      <fill>
        <patternFill patternType="solid">
          <fgColor rgb="00A0A7B0"/>
          <bgColor rgb="00A0A7B0"/>
        </patternFill>
      </fill>
    </dxf>
    <dxf>
      <fill>
        <patternFill patternType="solid">
          <fgColor rgb="00DDF3E4"/>
          <bgColor rgb="00DDF3E4"/>
        </patternFill>
      </fill>
    </dxf>
    <dxf>
      <fill>
        <patternFill patternType="solid">
          <fgColor rgb="00FDEFD2"/>
          <bgColor rgb="00FDEFD2"/>
        </patternFill>
      </fill>
    </dxf>
    <dxf>
      <fill>
        <patternFill patternType="solid">
          <fgColor rgb="00FADBD8"/>
          <bgColor rgb="00FADBD8"/>
        </patternFill>
      </fill>
    </dxf>
    <dxf>
      <font>
        <color rgb="00D64545"/>
      </font>
      <fill>
        <patternFill patternType="solid">
          <fgColor rgb="00FADBD8"/>
          <bgColor rgb="00FADBD8"/>
        </patternFill>
      </fill>
    </dxf>
    <dxf>
      <font>
        <color rgb="009A5B00"/>
      </font>
      <fill>
        <patternFill patternType="solid">
          <fgColor rgb="00FDEFD2"/>
          <bgColor rgb="00FDEFD2"/>
        </patternFill>
      </fill>
    </dxf>
    <dxf>
      <font>
        <color rgb="002F6FD0"/>
      </font>
      <fill>
        <patternFill patternType="solid">
          <fgColor rgb="00DCE8FA"/>
          <bgColor rgb="00DCE8FA"/>
        </patternFill>
      </fill>
    </dxf>
    <dxf>
      <font>
        <color rgb="002E9E5B"/>
      </font>
      <fill>
        <patternFill patternType="solid">
          <fgColor rgb="00DDF3E4"/>
          <bgColor rgb="00DDF3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Receitas x despesas por mês (ano selecionado)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Receitas</v>
          </tx>
          <spPr>
            <a:solidFill>
              <a:srgbClr val="2E9E5B"/>
            </a:solidFill>
            <a:ln>
              <a:solidFill>
                <a:srgbClr val="2E9E5B"/>
              </a:solidFill>
              <a:prstDash val="solid"/>
            </a:ln>
          </spPr>
          <cat>
            <numRef>
              <f>'FLUXO DE CAIXA'!$C$8:$N$8</f>
            </numRef>
          </cat>
          <val>
            <numRef>
              <f>'FLUXO DE CAIXA'!$C$19:$N$19</f>
            </numRef>
          </val>
        </ser>
        <ser>
          <idx val="1"/>
          <order val="1"/>
          <tx>
            <v>Despesas</v>
          </tx>
          <spPr>
            <a:solidFill>
              <a:srgbClr val="D64545"/>
            </a:solidFill>
            <a:ln>
              <a:solidFill>
                <a:srgbClr val="D64545"/>
              </a:solidFill>
              <a:prstDash val="solid"/>
            </a:ln>
          </spPr>
          <cat>
            <numRef>
              <f>'FLUXO DE CAIXA'!$C$8:$N$8</f>
            </numRef>
          </cat>
          <val>
            <numRef>
              <f>'FLUXO DE CAIXA'!$C$39:$N$39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Despesas por categoria no mês</a:t>
            </a:r>
          </a:p>
        </rich>
      </tx>
      <overlay val="0"/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F6FD0"/>
              </a:solidFill>
              <a:ln>
                <a:prstDash val="solid"/>
              </a:ln>
            </spPr>
          </dPt>
          <dPt>
            <idx val="1"/>
            <spPr>
              <a:solidFill>
                <a:srgbClr val="2E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F2A93B"/>
              </a:solidFill>
              <a:ln>
                <a:prstDash val="solid"/>
              </a:ln>
            </spPr>
          </dPt>
          <dPt>
            <idx val="3"/>
            <spPr>
              <a:solidFill>
                <a:srgbClr val="7B5EA7"/>
              </a:solidFill>
              <a:ln>
                <a:prstDash val="solid"/>
              </a:ln>
            </spPr>
          </dPt>
          <dPt>
            <idx val="4"/>
            <spPr>
              <a:solidFill>
                <a:srgbClr val="D64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1ABC9C"/>
              </a:solidFill>
              <a:ln>
                <a:prstDash val="solid"/>
              </a:ln>
            </spPr>
          </dPt>
          <dPt>
            <idx val="6"/>
            <spPr>
              <a:solidFill>
                <a:srgbClr val="8E9AAF"/>
              </a:solidFill>
              <a:ln>
                <a:prstDash val="solid"/>
              </a:ln>
            </spPr>
          </dPt>
          <dPt>
            <idx val="7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8"/>
            <spPr>
              <a:solidFill>
                <a:srgbClr val="A0A7B0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'CÁLCULOS'!$X$7:$X$15</f>
            </numRef>
          </cat>
          <val>
            <numRef>
              <f>'CÁLCULOS'!$Y$7:$Y$15</f>
            </numRef>
          </val>
        </ser>
        <firstSliceAng val="0"/>
        <holeSize val="55"/>
      </doughnutChart>
    </plotArea>
    <legend>
      <legendPos val="r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Saldo acumulado e patrimônio no ano</a:t>
            </a:r>
          </a:p>
        </rich>
      </tx>
      <overlay val="0"/>
    </title>
    <plotArea>
      <lineChart>
        <grouping val="standard"/>
        <ser>
          <idx val="0"/>
          <order val="0"/>
          <tx>
            <v>Saldo acumulado (eixo esq.)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DE CAIXA'!$C$8:$N$8</f>
            </numRef>
          </cat>
          <val>
            <numRef>
              <f>'FLUXO DE CAIXA'!$C$43:$N$43</f>
            </numRef>
          </val>
          <smooth val="0"/>
        </ser>
        <axId val="10"/>
        <axId val="100"/>
      </lineChart>
      <lineChart>
        <grouping val="standard"/>
        <ser>
          <idx val="1"/>
          <order val="1"/>
          <tx>
            <v>Patrimônio líquido (eixo dir.)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'PATRIMÔNIO LÍQUIDO'!$H$28:$H$39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  <valAx>
        <axId val="200"/>
        <scaling>
          <orientation val="minMax"/>
        </scaling>
        <delete val="0"/>
        <axPos val="l"/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Orçado x realizado por categoria (mês)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Orçado</v>
          </tx>
          <spPr>
            <a:solidFill>
              <a:srgbClr val="2F6FD0"/>
            </a:solidFill>
            <a:ln>
              <a:solidFill>
                <a:srgbClr val="2F6FD0"/>
              </a:solidFill>
              <a:prstDash val="solid"/>
            </a:ln>
          </spPr>
          <cat>
            <numRef>
              <f>'CÁLCULOS'!$AC$7:$AC$16</f>
            </numRef>
          </cat>
          <val>
            <numRef>
              <f>'CÁLCULOS'!$AD$7:$AD$16</f>
            </numRef>
          </val>
        </ser>
        <ser>
          <idx val="1"/>
          <order val="1"/>
          <tx>
            <v>Realizado</v>
          </tx>
          <spPr>
            <a:solidFill>
              <a:srgbClr val="D64545"/>
            </a:solidFill>
            <a:ln>
              <a:solidFill>
                <a:srgbClr val="D64545"/>
              </a:solidFill>
              <a:prstDash val="solid"/>
            </a:ln>
          </spPr>
          <cat>
            <numRef>
              <f>'CÁLCULOS'!$AC$7:$AC$16</f>
            </numRef>
          </cat>
          <val>
            <numRef>
              <f>'CÁLCULOS'!$AE$7:$AE$16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Composição dos investimentos por tipo</a:t>
            </a:r>
          </a:p>
        </rich>
      </tx>
      <overlay val="0"/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F6FD0"/>
              </a:solidFill>
              <a:ln>
                <a:prstDash val="solid"/>
              </a:ln>
            </spPr>
          </dPt>
          <dPt>
            <idx val="1"/>
            <spPr>
              <a:solidFill>
                <a:srgbClr val="2E9E5B"/>
              </a:solidFill>
              <a:ln>
                <a:prstDash val="solid"/>
              </a:ln>
            </spPr>
          </dPt>
          <dPt>
            <idx val="2"/>
            <spPr>
              <a:solidFill>
                <a:srgbClr val="F2A93B"/>
              </a:solidFill>
              <a:ln>
                <a:prstDash val="solid"/>
              </a:ln>
            </spPr>
          </dPt>
          <dPt>
            <idx val="3"/>
            <spPr>
              <a:solidFill>
                <a:srgbClr val="7B5EA7"/>
              </a:solidFill>
              <a:ln>
                <a:prstDash val="solid"/>
              </a:ln>
            </spPr>
          </dPt>
          <dPt>
            <idx val="4"/>
            <spPr>
              <a:solidFill>
                <a:srgbClr val="D64545"/>
              </a:solidFill>
              <a:ln>
                <a:prstDash val="solid"/>
              </a:ln>
            </spPr>
          </dPt>
          <dPt>
            <idx val="5"/>
            <spPr>
              <a:solidFill>
                <a:srgbClr val="1ABC9C"/>
              </a:solidFill>
              <a:ln>
                <a:prstDash val="solid"/>
              </a:ln>
            </spPr>
          </dPt>
          <dPt>
            <idx val="6"/>
            <spPr>
              <a:solidFill>
                <a:srgbClr val="8E9AAF"/>
              </a:solidFill>
              <a:ln>
                <a:prstDash val="solid"/>
              </a:ln>
            </spPr>
          </dPt>
          <dPt>
            <idx val="7"/>
            <spPr>
              <a:solidFill>
                <a:srgbClr val="E67E22"/>
              </a:solidFill>
              <a:ln>
                <a:prstDash val="solid"/>
              </a:ln>
            </spPr>
          </dPt>
          <dPt>
            <idx val="8"/>
            <spPr>
              <a:solidFill>
                <a:srgbClr val="A0A7B0"/>
              </a:solidFill>
              <a:ln>
                <a:prstDash val="solid"/>
              </a:ln>
            </spPr>
          </dPt>
          <dLbls>
            <txPr>
              <a:bodyPr/>
              <a:p>
                <a:pPr>
                  <a:defRPr sz="800" b="1">
                    <a:solidFill>
                      <a:srgbClr val="1F2933"/>
                    </a:solidFill>
                  </a:defRPr>
                </a:pPr>
                <a:r>
                  <a:t/>
                </a:r>
                <a:endParaRPr sz="800" b="1">
                  <a:solidFill>
                    <a:srgbClr val="1F2933"/>
                  </a:solidFill>
                </a:endParaRPr>
              </a:p>
            </txPr>
            <showLegendKey val="0"/>
            <showVal val="0"/>
            <showCatName val="0"/>
            <showSerName val="0"/>
            <showPercent val="1"/>
          </dLbls>
          <cat>
            <numRef>
              <f>'INVESTIMENTOS'!$B$45:$B$53</f>
            </numRef>
          </cat>
          <val>
            <numRef>
              <f>'INVESTIMENTOS'!$C$45:$C$53</f>
            </numRef>
          </val>
        </ser>
        <firstSliceAng val="0"/>
        <holeSize val="55"/>
      </doughnutChart>
    </plotArea>
    <legend>
      <legendPos val="r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Progresso das metas (% concluído)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v>% concluído</v>
          </tx>
          <spPr>
            <a:solidFill>
              <a:srgbClr val="7B5EA7"/>
            </a:solidFill>
            <a:ln>
              <a:solidFill>
                <a:srgbClr val="7B5EA7"/>
              </a:solidFill>
              <a:prstDash val="solid"/>
            </a:ln>
          </spPr>
          <cat>
            <numRef>
              <f>'METAS E OBJETIVOS'!$B$9:$B$23</f>
            </numRef>
          </cat>
          <val>
            <numRef>
              <f>'METAS E OBJETIVOS'!$M$9:$M$23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  <tickLblSkip val="1"/>
      </catAx>
      <valAx>
        <axId val="100"/>
        <scaling>
          <orientation val="minMax"/>
          <max val="1"/>
          <min val="0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  <crosses val="max"/>
      </valAx>
    </plotArea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Regra 50/30/20: ideal x real (% da receita)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Ideal</v>
          </tx>
          <spPr>
            <a:solidFill>
              <a:srgbClr val="2F6FD0"/>
            </a:solidFill>
            <a:ln>
              <a:solidFill>
                <a:srgbClr val="2F6FD0"/>
              </a:solidFill>
              <a:prstDash val="solid"/>
            </a:ln>
          </spPr>
          <cat>
            <numRef>
              <f>'ORÇAMENTO'!$B$82:$B$84</f>
            </numRef>
          </cat>
          <val>
            <numRef>
              <f>'ORÇAMENTO'!$C$82:$C$84</f>
            </numRef>
          </val>
        </ser>
        <ser>
          <idx val="1"/>
          <order val="1"/>
          <tx>
            <v>Real</v>
          </tx>
          <spPr>
            <a:solidFill>
              <a:srgbClr val="F2A93B"/>
            </a:solidFill>
            <a:ln>
              <a:solidFill>
                <a:srgbClr val="F2A93B"/>
              </a:solidFill>
              <a:prstDash val="solid"/>
            </a:ln>
          </spPr>
          <cat>
            <numRef>
              <f>'ORÇAMENTO'!$B$82:$B$84</f>
            </numRef>
          </cat>
          <val>
            <numRef>
              <f>'ORÇAMENTO'!$F$82:$F$84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0%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933"/>
                </a:solidFill>
              </a:defRPr>
            </a:pPr>
            <a:r>
              <a:rPr sz="1100" b="1">
                <a:solidFill>
                  <a:srgbClr val="1F2933"/>
                </a:solidFill>
              </a:rPr>
              <a:t>Projeção do saldo acumulado: próximos 12 meses</a:t>
            </a:r>
          </a:p>
        </rich>
      </tx>
      <overlay val="0"/>
    </title>
    <plotArea>
      <lineChart>
        <grouping val="standard"/>
        <ser>
          <idx val="0"/>
          <order val="0"/>
          <tx>
            <v>Realista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CENÁRIOS'!$E$32:$P$32</f>
            </numRef>
          </val>
          <smooth val="0"/>
        </ser>
        <ser>
          <idx val="1"/>
          <order val="1"/>
          <tx>
            <v>Otimista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CENÁRIOS'!$E$39:$P$39</f>
            </numRef>
          </val>
          <smooth val="0"/>
        </ser>
        <ser>
          <idx val="2"/>
          <order val="2"/>
          <tx>
            <v>Pessimista</v>
          </tx>
          <spPr>
            <a:ln w="28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'PROJEÇÕES E CENÁRIOS'!$E$13:$P$13</f>
            </numRef>
          </cat>
          <val>
            <numRef>
              <f>'PROJEÇÕES E CENÁRIOS'!$E$46:$P$46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rot="-2700000"/>
          <a:p>
            <a:pPr>
              <a:defRPr sz="700"/>
            </a:pPr>
            <a:r>
              <a:t/>
            </a:r>
            <a:endParaRPr sz="7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4E7EC"/>
              </a:solidFill>
              <a:prstDash val="solid"/>
            </a:ln>
          </spPr>
        </majorGridlines>
        <numFmt formatCode="#,##0" sourceLinked="0"/>
        <majorTickMark val="none"/>
        <minorTickMark val="none"/>
        <txPr>
          <a:bodyPr/>
          <a:p>
            <a:pPr>
              <a:defRPr sz="800" b="0">
                <a:solidFill>
                  <a:srgbClr val="1F2933"/>
                </a:solidFill>
              </a:defRPr>
            </a:pPr>
            <a:r>
              <a:t/>
            </a:r>
            <a:endParaRPr sz="800" b="0">
              <a:solidFill>
                <a:srgbClr val="1F2933"/>
              </a:solidFill>
            </a:endParaRPr>
          </a:p>
        </txPr>
        <crossAx val="10"/>
      </valAx>
    </plotArea>
    <legend>
      <legendPos val="b"/>
      <txPr>
        <a:bodyPr/>
        <a:p>
          <a:pPr>
            <a:defRPr sz="800" b="0">
              <a:solidFill>
                <a:srgbClr val="1F2933"/>
              </a:solidFill>
            </a:defRPr>
          </a:pPr>
          <a:r>
            <a:t/>
          </a:r>
          <a:endParaRPr sz="800" b="0">
            <a:solidFill>
              <a:srgbClr val="1F2933"/>
            </a:solidFill>
          </a:endParaRPr>
        </a:p>
      </txPr>
    </legend>
    <plotVisOnly val="0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Saldo devedor total ao longo do tempo (R$)</a:t>
            </a:r>
          </a:p>
        </rich>
      </tx>
    </title>
    <plotArea>
      <lineChart>
        <grouping val="standard"/>
        <ser>
          <idx val="0"/>
          <order val="0"/>
          <tx>
            <v>Pagamento mínimo</v>
          </tx>
          <spPr>
            <a:ln w="28000">
              <a:solidFill>
                <a:srgbClr val="D6454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'SIM_DÍVIDAS'!$AH$8:$AH$80</f>
            </numRef>
          </val>
          <smooth val="0"/>
        </ser>
        <ser>
          <idx val="1"/>
          <order val="1"/>
          <tx>
            <v>Bola de Neve</v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'SIM_DÍVIDAS'!$AI$8:$AI$80</f>
            </numRef>
          </val>
          <smooth val="0"/>
        </ser>
        <ser>
          <idx val="2"/>
          <order val="2"/>
          <tx>
            <v>Avalanche</v>
          </tx>
          <spPr>
            <a:ln w="28000">
              <a:solidFill>
                <a:srgbClr val="2E9E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'SIM_DÍVIDAS'!$AG$8:$AG$80</f>
            </numRef>
          </cat>
          <val>
            <numRef>
              <f>'SIM_DÍVIDAS'!$AJ$8:$AJ$80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Meses a partir de hoje</a:t>
                </a:r>
              </a:p>
            </rich>
          </tx>
        </title>
        <majorTickMark val="none"/>
        <minorTickMark val="none"/>
        <crossAx val="100"/>
        <lblOffset val="100"/>
        <tickLbl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Evolução do patrimônio líquido no ano</a:t>
            </a:r>
          </a:p>
        </rich>
      </tx>
    </title>
    <plotArea>
      <lineChart>
        <grouping val="standard"/>
        <ser>
          <idx val="0"/>
          <order val="0"/>
          <tx>
            <strRef>
              <f>'PATRIMÔNIO LÍQUIDO'!H27</f>
            </strRef>
          </tx>
          <spPr>
            <a:ln w="28000">
              <a:solidFill>
                <a:srgbClr val="2F6FD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'PATRIMÔNIO LÍQUIDO'!$B$28:$B$39</f>
            </numRef>
          </cat>
          <val>
            <numRef>
              <f>'PATRIMÔNIO LÍQUIDO'!$H$28:$H$39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53</row>
      <rowOff>0</rowOff>
    </from>
    <ext cx="5112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53</row>
      <rowOff>0</rowOff>
    </from>
    <ext cx="5112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69</row>
      <rowOff>0</rowOff>
    </from>
    <ext cx="5112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69</row>
      <rowOff>0</rowOff>
    </from>
    <ext cx="5112000" cy="3167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87</row>
      <rowOff>0</rowOff>
    </from>
    <ext cx="5112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87</row>
      <rowOff>0</rowOff>
    </from>
    <ext cx="5112000" cy="3167999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105</row>
      <rowOff>0</rowOff>
    </from>
    <ext cx="5112000" cy="2736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105</row>
      <rowOff>0</rowOff>
    </from>
    <ext cx="5112000" cy="2736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44</row>
      <rowOff>0</rowOff>
    </from>
    <ext cx="72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41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Lancamentos" displayName="tblLancamentos" ref="A6:AD1506" headerRowCount="1">
  <autoFilter ref="A6:AD1506"/>
  <tableColumns count="30">
    <tableColumn id="1" name="Data"/>
    <tableColumn id="2" name="Descrição"/>
    <tableColumn id="3" name="Tipo"/>
    <tableColumn id="4" name="Categoria"/>
    <tableColumn id="5" name="Subcategoria"/>
    <tableColumn id="6" name="Conta ou Cartão"/>
    <tableColumn id="7" name="Forma de pagamento"/>
    <tableColumn id="8" name="Parcela atual"/>
    <tableColumn id="9" name="Total de parcelas"/>
    <tableColumn id="10" name="Status"/>
    <tableColumn id="11" name="Tag"/>
    <tableColumn id="12" name="Meta vinculada"/>
    <tableColumn id="13" name="Observação"/>
    <tableColumn id="14" name="Valor"/>
    <tableColumn id="15" name="Mês"/>
    <tableColumn id="16" name="Ano"/>
    <tableColumn id="17" name="Competência"/>
    <tableColumn id="18" name="Valor da parcela"/>
    <tableColumn id="19" name="Fatura de referência"/>
    <tableColumn id="20" name="Alerta"/>
    <tableColumn id="21" name="Idx início"/>
    <tableColumn id="22" name="Idx fim"/>
    <tableColumn id="23" name="Fatura início"/>
    <tableColumn id="24" name="Fatura fim"/>
    <tableColumn id="25" name="Parcelas a vencer (cartão)"/>
    <tableColumn id="26" name="Dia"/>
    <tableColumn id="27" name="Dia da semana"/>
    <tableColumn id="28" name="Gasto no mês sel."/>
    <tableColumn id="29" name="Chave calendário"/>
    <tableColumn id="30" name="Ordem calendário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Recorrentes" displayName="tblRecorrentes" ref="B6:Q46" headerRowCount="1">
  <autoFilter ref="B6:Q46"/>
  <tableColumns count="16">
    <tableColumn id="2" name="Descrição"/>
    <tableColumn id="3" name="Tipo"/>
    <tableColumn id="4" name="Categoria"/>
    <tableColumn id="5" name="Conta ou Cartão"/>
    <tableColumn id="6" name="Valor (R$)"/>
    <tableColumn id="7" name="Frequência"/>
    <tableColumn id="8" name="Dia do mês"/>
    <tableColumn id="9" name="Início"/>
    <tableColumn id="10" name="Fim (opcional)"/>
    <tableColumn id="11" name="Ativo?"/>
    <tableColumn id="12" name="Idx início"/>
    <tableColumn id="13" name="Idx fim"/>
    <tableColumn id="14" name="Mês de ref."/>
    <tableColumn id="15" name="Valor anual"/>
    <tableColumn id="16" name="É assinatura?"/>
    <tableColumn id="17" name="Ordem assinatur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J87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46" customWidth="1" min="3" max="3"/>
    <col width="4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</cols>
  <sheetData>
    <row r="1" ht="30" customHeight="1">
      <c r="B1" s="1" t="inlineStr">
        <is>
          <t>COMEÇAR AQUI</t>
        </is>
      </c>
    </row>
    <row r="2" ht="32" customHeight="1">
      <c r="B2" s="2" t="inlineStr">
        <is>
          <t>Bem-vindo(a)! Em 2 minutos você entende onde digitar e onde olhar. Digite em LANÇAMENTOS; o resto é automático.</t>
        </is>
      </c>
    </row>
    <row r="3" ht="18" customHeight="1">
      <c r="B3" s="3" t="inlineStr">
        <is>
          <t>◀ Voltar ao Dashboard</t>
        </is>
      </c>
      <c r="C3" s="4" t="inlineStr">
        <is>
          <t>Configurações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str">
        <f>IF(COUNTIF(L_Obs,"EXEMPLO*")&gt;0,"⚠ Esta planilha contém DADOS DE EXEMPLO fictícios (marcados 'EXEMPLO'). Veja no fim desta aba como limpar tudo.","✔ Sem dados de exemplo: planilha pronta para os seus dados.")</f>
        <v>⚠ Esta planilha contém DADOS DE EXEMPLO fictícios (marcados 'EXEMPLO'). Veja no fim desta aba como limpar tudo.</v>
      </c>
    </row>
    <row r="7">
      <c r="B7" s="6" t="inlineStr">
        <is>
          <t>Passo a passo</t>
        </is>
      </c>
    </row>
    <row r="8">
      <c r="B8" s="7" t="inlineStr">
        <is>
          <t>#</t>
        </is>
      </c>
      <c r="C8" s="7" t="inlineStr">
        <is>
          <t>O que fazer</t>
        </is>
      </c>
      <c r="D8" s="7" t="inlineStr">
        <is>
          <t>Detalhe</t>
        </is>
      </c>
      <c r="E8" s="7" t="inlineStr">
        <is>
          <t>Ir para</t>
        </is>
      </c>
      <c r="F8" s="7" t="inlineStr">
        <is>
          <t>Feito?</t>
        </is>
      </c>
    </row>
    <row r="9" ht="36" customHeight="1">
      <c r="B9" s="8" t="inlineStr">
        <is>
          <t>1</t>
        </is>
      </c>
      <c r="C9" s="9" t="inlineStr">
        <is>
          <t>Configurar</t>
        </is>
      </c>
      <c r="D9" s="10" t="inlineStr">
        <is>
          <t>Em CONFIGURAÇÕES: nome, renda mensal líquida, meta de poupança e metas de comportamento.</t>
        </is>
      </c>
      <c r="E9" s="11" t="inlineStr">
        <is>
          <t>➜ CONFIGURAÇÕES</t>
        </is>
      </c>
      <c r="F9" s="12" t="str">
        <f>IF(AND(Cfg_Nome&lt;&gt;"",N(Cfg_Renda)&gt;0),"✔","○")</f>
        <v>✔</v>
      </c>
    </row>
    <row r="10" ht="36" customHeight="1">
      <c r="B10" s="8" t="inlineStr">
        <is>
          <t>2</t>
        </is>
      </c>
      <c r="C10" s="9" t="inlineStr">
        <is>
          <t>Cadastrar contas e cartões</t>
        </is>
      </c>
      <c r="D10" s="10" t="inlineStr">
        <is>
          <t>Também em CONFIGURAÇÕES: contas (com saldo inicial), cartões (limite, fechamento, vencimento), categorias.</t>
        </is>
      </c>
      <c r="E10" s="11" t="inlineStr">
        <is>
          <t>➜ CONFIGURAÇÕES</t>
        </is>
      </c>
      <c r="F10" s="12" t="str">
        <f>IF(COUNTA(Contas_Nome)&gt;0,"✔","○")</f>
        <v>✔</v>
      </c>
    </row>
    <row r="11" ht="36" customHeight="1">
      <c r="B11" s="8" t="inlineStr">
        <is>
          <t>3</t>
        </is>
      </c>
      <c r="C11" s="9" t="inlineStr">
        <is>
          <t>Lançar no dia a dia</t>
        </is>
      </c>
      <c r="D11" s="10" t="inlineStr">
        <is>
          <t>Só em LANÇAMENTOS: uma linha por receita, despesa, transferência ou aporte. Parcelado = 1 linha.</t>
        </is>
      </c>
      <c r="E11" s="11" t="inlineStr">
        <is>
          <t>➜ LANÇAMENTOS</t>
        </is>
      </c>
      <c r="F11" s="12" t="str">
        <f>IF(COUNT(L_Data)&gt;0,"✔","○")</f>
        <v>✔</v>
      </c>
    </row>
    <row r="12" ht="36" customHeight="1">
      <c r="B12" s="8" t="inlineStr">
        <is>
          <t>4</t>
        </is>
      </c>
      <c r="C12" s="9" t="inlineStr">
        <is>
          <t>Conferir o Dashboard</t>
        </is>
      </c>
      <c r="D12" s="10" t="inlineStr">
        <is>
          <t>Escolha o mês no topo do DASHBOARD e veja indicadores, nota de saúde, alertas e gráficos.</t>
        </is>
      </c>
      <c r="E12" s="11" t="inlineStr">
        <is>
          <t>➜ DASHBOARD</t>
        </is>
      </c>
      <c r="F12" s="12" t="str">
        <f>IF(K_Rec+K_Desp&gt;0,"✔","○")</f>
        <v>✔</v>
      </c>
    </row>
    <row r="13" ht="36" customHeight="1">
      <c r="B13" s="8" t="inlineStr">
        <is>
          <t>5</t>
        </is>
      </c>
      <c r="C13" s="9" t="inlineStr">
        <is>
          <t>Revisar todo mês</t>
        </is>
      </c>
      <c r="D13" s="10" t="inlineStr">
        <is>
          <t>Atualize ORÇAMENTO, METAS, retrato do PATRIMÔNIO e confira o CALENDÁRIO DE CONTAS.</t>
        </is>
      </c>
      <c r="E13" s="11" t="inlineStr">
        <is>
          <t>➜ ORÇAMENTO</t>
        </is>
      </c>
      <c r="F13" s="12" t="str">
        <f>IF(AND(SUM(Orc_TotDesp)&gt;0,COUNTA(Meta_Nome)&gt;0),"✔","○")</f>
        <v>✔</v>
      </c>
    </row>
    <row r="16">
      <c r="B16" s="6" t="inlineStr">
        <is>
          <t>Checklist de configuração inicial (✔ automático)</t>
        </is>
      </c>
    </row>
    <row r="17">
      <c r="B17" s="7" t="inlineStr"/>
      <c r="C17" s="7" t="inlineStr">
        <is>
          <t>Item</t>
        </is>
      </c>
      <c r="D17" s="7" t="inlineStr">
        <is>
          <t>Como saber que está pronto</t>
        </is>
      </c>
      <c r="E17" s="7" t="inlineStr">
        <is>
          <t>Ir para</t>
        </is>
      </c>
      <c r="F17" s="7" t="inlineStr">
        <is>
          <t>Status</t>
        </is>
      </c>
    </row>
    <row r="18">
      <c r="B18" s="13" t="n">
        <v>1</v>
      </c>
      <c r="C18" s="14" t="inlineStr">
        <is>
          <t>Informar seu nome</t>
        </is>
      </c>
      <c r="D18" s="14" t="inlineStr">
        <is>
          <t>CONFIGURAÇÕES: célula "Nome"</t>
        </is>
      </c>
      <c r="E18" s="11" t="inlineStr">
        <is>
          <t>➜ CONFIGURAÇÕES</t>
        </is>
      </c>
      <c r="F18" s="15" t="str">
        <f>IF(Cfg_Nome&lt;&gt;"","✔","○")</f>
        <v>✔</v>
      </c>
    </row>
    <row r="19">
      <c r="B19" s="13" t="n">
        <v>2</v>
      </c>
      <c r="C19" s="14" t="inlineStr">
        <is>
          <t>Informar a renda mensal líquida</t>
        </is>
      </c>
      <c r="D19" s="14" t="inlineStr">
        <is>
          <t>CONFIGURAÇÕES: "Renda mensal líquida média"</t>
        </is>
      </c>
      <c r="E19" s="11" t="inlineStr">
        <is>
          <t>➜ CONFIGURAÇÕES</t>
        </is>
      </c>
      <c r="F19" s="15" t="str">
        <f>IF(N(Cfg_Renda)&gt;0,"✔","○")</f>
        <v>✔</v>
      </c>
    </row>
    <row r="20">
      <c r="B20" s="13" t="n">
        <v>3</v>
      </c>
      <c r="C20" s="14" t="inlineStr">
        <is>
          <t>Definir meses da reserva e % de poupança</t>
        </is>
      </c>
      <c r="D20" s="14" t="inlineStr">
        <is>
          <t>CONFIGURAÇÕES: padrões 6 meses e 20%</t>
        </is>
      </c>
      <c r="E20" s="11" t="inlineStr">
        <is>
          <t>➜ CONFIGURAÇÕES</t>
        </is>
      </c>
      <c r="F20" s="15" t="str">
        <f>IF(AND(N(Cfg_MesesReserva)&gt;0,N(Cfg_MetaPoup)&gt;0),"✔","○")</f>
        <v>✔</v>
      </c>
    </row>
    <row r="21">
      <c r="B21" s="13" t="n">
        <v>4</v>
      </c>
      <c r="C21" s="14" t="inlineStr">
        <is>
          <t>Cadastrar ao menos 1 conta bancária</t>
        </is>
      </c>
      <c r="D21" s="14" t="inlineStr">
        <is>
          <t>CONFIGURAÇÕES, seção 3</t>
        </is>
      </c>
      <c r="E21" s="11" t="inlineStr">
        <is>
          <t>➜ CONFIGURAÇÕES</t>
        </is>
      </c>
      <c r="F21" s="15" t="str">
        <f>IF(COUNTA(Contas_Nome)&gt;0,"✔","○")</f>
        <v>✔</v>
      </c>
    </row>
    <row r="22">
      <c r="B22" s="13" t="n">
        <v>5</v>
      </c>
      <c r="C22" s="14" t="inlineStr">
        <is>
          <t>Cadastrar cartões (se usar)</t>
        </is>
      </c>
      <c r="D22" s="14" t="inlineStr">
        <is>
          <t>CONFIGURAÇÕES, seção 4</t>
        </is>
      </c>
      <c r="E22" s="11" t="inlineStr">
        <is>
          <t>➜ CONFIGURAÇÕES</t>
        </is>
      </c>
      <c r="F22" s="15" t="str">
        <f>IF(COUNTA(Cartoes_Nome)&gt;0,"✔","○")</f>
        <v>✔</v>
      </c>
    </row>
    <row r="23">
      <c r="B23" s="13" t="n">
        <v>6</v>
      </c>
      <c r="C23" s="14" t="inlineStr">
        <is>
          <t>Revisar categorias de despesa e receita</t>
        </is>
      </c>
      <c r="D23" s="14" t="inlineStr">
        <is>
          <t>CONFIGURAÇÕES, seções 5 e 6</t>
        </is>
      </c>
      <c r="E23" s="11" t="inlineStr">
        <is>
          <t>➜ CONFIGURAÇÕES</t>
        </is>
      </c>
      <c r="F23" s="15" t="str">
        <f>IF(COUNTA(CatD_Nome)&gt;0,"✔","○")</f>
        <v>✔</v>
      </c>
    </row>
    <row r="24">
      <c r="B24" s="13" t="n">
        <v>7</v>
      </c>
      <c r="C24" s="14" t="inlineStr">
        <is>
          <t>Definir o orçamento mensal</t>
        </is>
      </c>
      <c r="D24" s="14" t="inlineStr">
        <is>
          <t>ORÇAMENTO, seção 1</t>
        </is>
      </c>
      <c r="E24" s="11" t="inlineStr">
        <is>
          <t>➜ ORÇAMENTO</t>
        </is>
      </c>
      <c r="F24" s="15" t="str">
        <f>IF(SUM(Orc_TotDesp)&gt;0,"✔","○")</f>
        <v>✔</v>
      </c>
    </row>
    <row r="25">
      <c r="B25" s="13" t="n">
        <v>8</v>
      </c>
      <c r="C25" s="14" t="inlineStr">
        <is>
          <t>Cadastrar recorrentes (salário, aluguel, assinaturas)</t>
        </is>
      </c>
      <c r="D25" s="14" t="inlineStr">
        <is>
          <t>RECORRENTES</t>
        </is>
      </c>
      <c r="E25" s="11" t="inlineStr">
        <is>
          <t>➜ RECORRENTES</t>
        </is>
      </c>
      <c r="F25" s="15" t="str">
        <f>IF(COUNTA(Rec_Desc)&gt;0,"✔","○")</f>
        <v>✔</v>
      </c>
    </row>
    <row r="26">
      <c r="B26" s="13" t="n">
        <v>9</v>
      </c>
      <c r="C26" s="14" t="inlineStr">
        <is>
          <t>Cadastrar ao menos 1 meta</t>
        </is>
      </c>
      <c r="D26" s="14" t="inlineStr">
        <is>
          <t>METAS E OBJETIVOS</t>
        </is>
      </c>
      <c r="E26" s="11" t="inlineStr">
        <is>
          <t>➜ METAS E OBJETIVOS</t>
        </is>
      </c>
      <c r="F26" s="15" t="str">
        <f>IF(COUNTA(Meta_Nome)&gt;0,"✔","○")</f>
        <v>✔</v>
      </c>
    </row>
    <row r="27">
      <c r="B27" s="13" t="n">
        <v>10</v>
      </c>
      <c r="C27" s="14" t="inlineStr">
        <is>
          <t>Cadastrar dívidas (se houver)</t>
        </is>
      </c>
      <c r="D27" s="14" t="inlineStr">
        <is>
          <t>DÍVIDAS E FINANCIAMENTOS</t>
        </is>
      </c>
      <c r="E27" s="11" t="inlineStr">
        <is>
          <t>➜ DÍVIDAS E FINANCIAMENTOS</t>
        </is>
      </c>
      <c r="F27" s="15" t="str">
        <f>IF(COUNTA(Div_Nome)&gt;0,"✔","○")</f>
        <v>✔</v>
      </c>
    </row>
    <row r="28">
      <c r="B28" s="13" t="n">
        <v>11</v>
      </c>
      <c r="C28" s="14" t="inlineStr">
        <is>
          <t>Cadastrar investimentos (se houver)</t>
        </is>
      </c>
      <c r="D28" s="14" t="inlineStr">
        <is>
          <t>INVESTIMENTOS</t>
        </is>
      </c>
      <c r="E28" s="11" t="inlineStr">
        <is>
          <t>➜ INVESTIMENTOS</t>
        </is>
      </c>
      <c r="F28" s="15" t="str">
        <f>IF(COUNTA(Inv_Nome)&gt;0,"✔","○")</f>
        <v>✔</v>
      </c>
    </row>
    <row r="29">
      <c r="B29" s="13" t="n">
        <v>12</v>
      </c>
      <c r="C29" s="14" t="inlineStr">
        <is>
          <t>Fazer o primeiro lançamento</t>
        </is>
      </c>
      <c r="D29" s="14" t="inlineStr">
        <is>
          <t>LANÇAMENTOS</t>
        </is>
      </c>
      <c r="E29" s="11" t="inlineStr">
        <is>
          <t>➜ LANÇAMENTOS</t>
        </is>
      </c>
      <c r="F29" s="15" t="str">
        <f>IF(COUNT(L_Data)&gt;0,"✔","○")</f>
        <v>✔</v>
      </c>
    </row>
    <row r="30">
      <c r="C30" s="9" t="inlineStr">
        <is>
          <t>Progresso da configuração</t>
        </is>
      </c>
      <c r="D30" s="9" t="str">
        <f>COUNTIF(F18:F29,"✔")&amp;" de 12 itens ("&amp;ROUND(COUNTIF(F18:F29,"✔")/12*100,0)&amp;"%)"</f>
        <v>12 de 12 itens (100%)</v>
      </c>
    </row>
    <row r="33">
      <c r="B33" s="6" t="inlineStr">
        <is>
          <t>Legenda de cores</t>
        </is>
      </c>
    </row>
    <row r="34">
      <c r="B34" s="16" t="n"/>
      <c r="C34" s="17" t="inlineStr">
        <is>
          <t>Azul claro = célula de ENTRADA (você digita)</t>
        </is>
      </c>
    </row>
    <row r="35">
      <c r="B35" s="14" t="n"/>
      <c r="C35" s="17" t="inlineStr">
        <is>
          <t>Cinza claro = célula CALCULADA e protegida (não digite)</t>
        </is>
      </c>
    </row>
    <row r="36">
      <c r="B36" s="18" t="n"/>
      <c r="C36" s="17" t="inlineStr">
        <is>
          <t>Verde = receitas, saldo positivo, dentro do orçamento, meta atingida</t>
        </is>
      </c>
    </row>
    <row r="37">
      <c r="B37" s="19" t="n"/>
      <c r="C37" s="17" t="inlineStr">
        <is>
          <t>Vermelho = despesas, saldo negativo, estouro, dívidas</t>
        </is>
      </c>
    </row>
    <row r="38">
      <c r="B38" s="20" t="n"/>
      <c r="C38" s="17" t="inlineStr">
        <is>
          <t>Amarelo/laranja = atenção, perto do limite, pendente</t>
        </is>
      </c>
    </row>
    <row r="39">
      <c r="B39" s="21" t="n"/>
      <c r="C39" s="17" t="inlineStr">
        <is>
          <t>Azul = investimentos, patrimônio, neutro, títulos</t>
        </is>
      </c>
    </row>
    <row r="40">
      <c r="B40" s="22" t="n"/>
      <c r="C40" s="17" t="inlineStr">
        <is>
          <t>Roxo = metas e planejamento</t>
        </is>
      </c>
    </row>
    <row r="43">
      <c r="B43" s="6" t="inlineStr">
        <is>
          <t>Mapa das abas (clique para ir)</t>
        </is>
      </c>
    </row>
    <row r="44">
      <c r="C44" s="23" t="inlineStr">
        <is>
          <t>DASHBOARD</t>
        </is>
      </c>
      <c r="D44" s="14" t="inlineStr">
        <is>
          <t>Visão geral: indicadores, nota de saúde, alertas, comparativos e gráficos</t>
        </is>
      </c>
    </row>
    <row r="45">
      <c r="C45" s="23" t="inlineStr">
        <is>
          <t>LANÇAMENTOS</t>
        </is>
      </c>
      <c r="D45" s="14" t="inlineStr">
        <is>
          <t>ÚNICA aba de digitação diária</t>
        </is>
      </c>
    </row>
    <row r="46">
      <c r="C46" s="23" t="inlineStr">
        <is>
          <t>RECORRENTES</t>
        </is>
      </c>
      <c r="D46" s="14" t="inlineStr">
        <is>
          <t>Itens que se repetem (alimenta as projeções)</t>
        </is>
      </c>
    </row>
    <row r="47">
      <c r="C47" s="23" t="inlineStr">
        <is>
          <t>ORÇAMENTO</t>
        </is>
      </c>
      <c r="D47" s="14" t="inlineStr">
        <is>
          <t>Planejado x realizado por categoria e regra 50/30/20</t>
        </is>
      </c>
    </row>
    <row r="48">
      <c r="C48" s="23" t="inlineStr">
        <is>
          <t>FLUXO DE CAIXA</t>
        </is>
      </c>
      <c r="D48" s="14" t="inlineStr">
        <is>
          <t>Matriz de 12 meses, médias e sazonalidade</t>
        </is>
      </c>
    </row>
    <row r="49">
      <c r="C49" s="23" t="inlineStr">
        <is>
          <t>PROJEÇÕES E CENÁRIOS</t>
        </is>
      </c>
      <c r="D49" s="14" t="inlineStr">
        <is>
          <t>12/24 meses, 3 cenários e simulador "E se?"</t>
        </is>
      </c>
    </row>
    <row r="50">
      <c r="C50" s="23" t="inlineStr">
        <is>
          <t>CARTÕES DE CRÉDITO</t>
        </is>
      </c>
      <c r="D50" s="14" t="inlineStr">
        <is>
          <t>Limite, faturas e parcelas futuras</t>
        </is>
      </c>
    </row>
    <row r="51">
      <c r="C51" s="23" t="inlineStr">
        <is>
          <t>DÍVIDAS E FINANCIAMENTOS</t>
        </is>
      </c>
      <c r="D51" s="14" t="inlineStr">
        <is>
          <t>Amortização Price/SAC e simulador Bola de Neve x Avalanche</t>
        </is>
      </c>
    </row>
    <row r="52">
      <c r="C52" s="23" t="inlineStr">
        <is>
          <t>INVESTIMENTOS</t>
        </is>
      </c>
      <c r="D52" s="14" t="inlineStr">
        <is>
          <t>Carteira, rentabilidade e rebalanceamento</t>
        </is>
      </c>
    </row>
    <row r="53">
      <c r="C53" s="23" t="inlineStr">
        <is>
          <t>METAS E OBJETIVOS</t>
        </is>
      </c>
      <c r="D53" s="14" t="inlineStr">
        <is>
          <t>Metas, planejador reverso e prioridades</t>
        </is>
      </c>
    </row>
    <row r="54">
      <c r="C54" s="23" t="inlineStr">
        <is>
          <t>PATRIMÔNIO LÍQUIDO</t>
        </is>
      </c>
      <c r="D54" s="14" t="inlineStr">
        <is>
          <t>Ativos − passivos e histórico mensal</t>
        </is>
      </c>
    </row>
    <row r="55">
      <c r="C55" s="23" t="inlineStr">
        <is>
          <t>CALENDÁRIO DE CONTAS</t>
        </is>
      </c>
      <c r="D55" s="14" t="inlineStr">
        <is>
          <t>Vencimentos e total a pagar em 7/15/30 dias</t>
        </is>
      </c>
    </row>
    <row r="56">
      <c r="C56" s="23" t="inlineStr">
        <is>
          <t>IMPOSTO DE RENDA</t>
        </is>
      </c>
      <c r="D56" s="14" t="inlineStr">
        <is>
          <t>Organização para a declaração</t>
        </is>
      </c>
    </row>
    <row r="57">
      <c r="C57" s="23" t="inlineStr">
        <is>
          <t>HISTÓRICO E ANÁLISES</t>
        </is>
      </c>
      <c r="D57" s="14" t="inlineStr">
        <is>
          <t>Rankings, evolução, tags e assinaturas</t>
        </is>
      </c>
    </row>
    <row r="58">
      <c r="C58" s="23" t="inlineStr">
        <is>
          <t>BACKUP</t>
        </is>
      </c>
      <c r="D58" s="14" t="inlineStr">
        <is>
          <t>Como guardar e versionar o arquivo; premissas e limitações</t>
        </is>
      </c>
    </row>
    <row r="59">
      <c r="C59" s="23" t="inlineStr">
        <is>
          <t>CONFIGURAÇÕES</t>
        </is>
      </c>
      <c r="D59" s="14" t="inlineStr">
        <is>
          <t>Parâmetros e cadastros</t>
        </is>
      </c>
    </row>
    <row r="62">
      <c r="B62" s="6" t="inlineStr">
        <is>
          <t>Como limpar os dados de EXEMPLO</t>
        </is>
      </c>
    </row>
    <row r="63">
      <c r="B63" s="5" t="inlineStr">
        <is>
          <t>Opção 1 (um passo): use o arquivo "Planilha_Financeira_Avancada_LIMPA.xlsx", entregue junto com este — mesma planilha, sem exemplos.</t>
        </is>
      </c>
    </row>
    <row r="64">
      <c r="B64" s="17" t="inlineStr">
        <is>
          <t>Opção 2 (neste arquivo): em cada aba abaixo, digite o NOME no campo "Caixa de Nomes" (à esquerda da barra de fórmulas), tecle Enter e depois Delete.</t>
        </is>
      </c>
    </row>
    <row r="65">
      <c r="C65" s="7" t="inlineStr">
        <is>
          <t>Aba</t>
        </is>
      </c>
      <c r="D65" s="7" t="inlineStr">
        <is>
          <t>Nome para digitar na Caixa de Nomes</t>
        </is>
      </c>
      <c r="E65" s="7" t="inlineStr">
        <is>
          <t>O que apaga</t>
        </is>
      </c>
    </row>
    <row r="66" ht="30" customHeight="1">
      <c r="C66" s="14" t="inlineStr">
        <is>
          <t>LANÇAMENTOS</t>
        </is>
      </c>
      <c r="D66" s="10" t="inlineStr">
        <is>
          <t>Exemplo_Lancamentos</t>
        </is>
      </c>
      <c r="E66" s="10" t="inlineStr">
        <is>
          <t>Todas as linhas azuis de lançamentos</t>
        </is>
      </c>
    </row>
    <row r="67" ht="30" customHeight="1">
      <c r="C67" s="14" t="inlineStr">
        <is>
          <t>RECORRENTES</t>
        </is>
      </c>
      <c r="D67" s="10" t="inlineStr">
        <is>
          <t>Exemplo_Recorrentes</t>
        </is>
      </c>
      <c r="E67" s="10" t="inlineStr">
        <is>
          <t>Recorrentes</t>
        </is>
      </c>
    </row>
    <row r="68" ht="30" customHeight="1">
      <c r="C68" s="14" t="inlineStr">
        <is>
          <t>ORÇAMENTO</t>
        </is>
      </c>
      <c r="D68" s="10" t="inlineStr">
        <is>
          <t>Exemplo_OrcDespesas  e  Exemplo_OrcReceitas</t>
        </is>
      </c>
      <c r="E68" s="10" t="inlineStr">
        <is>
          <t>Valores planejados</t>
        </is>
      </c>
    </row>
    <row r="69" ht="30" customHeight="1">
      <c r="C69" s="14" t="inlineStr">
        <is>
          <t>METAS E OBJETIVOS</t>
        </is>
      </c>
      <c r="D69" s="10" t="inlineStr">
        <is>
          <t>Exemplo_Metas  e  Exemplo_Planejador</t>
        </is>
      </c>
      <c r="E69" s="10" t="inlineStr">
        <is>
          <t>Metas e planejador</t>
        </is>
      </c>
    </row>
    <row r="70" ht="30" customHeight="1">
      <c r="C70" s="14" t="inlineStr">
        <is>
          <t>DÍVIDAS E FINANCIAMENTOS</t>
        </is>
      </c>
      <c r="D70" s="10" t="inlineStr">
        <is>
          <t>Exemplo_Dividas  e  Exemplo_SimExtra</t>
        </is>
      </c>
      <c r="E70" s="10" t="inlineStr">
        <is>
          <t>Dívidas e extra do simulador</t>
        </is>
      </c>
    </row>
    <row r="71" ht="30" customHeight="1">
      <c r="C71" s="14" t="inlineStr">
        <is>
          <t>INVESTIMENTOS</t>
        </is>
      </c>
      <c r="D71" s="10" t="inlineStr">
        <is>
          <t>Exemplo_Invest  e  Exemplo_InvAlvo</t>
        </is>
      </c>
      <c r="E71" s="10" t="inlineStr">
        <is>
          <t>Ativos e alvos</t>
        </is>
      </c>
    </row>
    <row r="72" ht="30" customHeight="1">
      <c r="C72" s="14" t="inlineStr">
        <is>
          <t>PATRIMÔNIO LÍQUIDO</t>
        </is>
      </c>
      <c r="D72" s="10" t="inlineStr">
        <is>
          <t>Exemplo_PatAtivos, Exemplo_PatPassivo, Exemplo_PatAno0, Exemplo_PatHist</t>
        </is>
      </c>
      <c r="E72" s="10" t="inlineStr">
        <is>
          <t>Bens e histórico</t>
        </is>
      </c>
    </row>
    <row r="73" ht="30" customHeight="1">
      <c r="C73" s="14" t="inlineStr">
        <is>
          <t>IMPOSTO DE RENDA</t>
        </is>
      </c>
      <c r="D73" s="10" t="inlineStr">
        <is>
          <t>Exemplo_IR_Trib, Exemplo_IR_Isent, Exemplo_IR_Excl, Exemplo_IR_Bens, Exemplo_IR_Div</t>
        </is>
      </c>
      <c r="E73" s="10" t="inlineStr">
        <is>
          <t>Dados de IR</t>
        </is>
      </c>
    </row>
    <row r="74" ht="30" customHeight="1">
      <c r="C74" s="14" t="inlineStr">
        <is>
          <t>PROJEÇÕES E CENÁRIOS</t>
        </is>
      </c>
      <c r="D74" s="10" t="inlineStr">
        <is>
          <t>Exemplo_Simulador</t>
        </is>
      </c>
      <c r="E74" s="10" t="inlineStr">
        <is>
          <t>Campos do simulador</t>
        </is>
      </c>
    </row>
    <row r="75" ht="30" customHeight="1">
      <c r="C75" s="14" t="inlineStr">
        <is>
          <t>CONFIGURAÇÕES</t>
        </is>
      </c>
      <c r="D75" s="10" t="inlineStr">
        <is>
          <t>Apague manualmente nome, renda, contas, cartões e limites das categorias</t>
        </is>
      </c>
      <c r="E75" s="10" t="inlineStr">
        <is>
          <t>Cadastros pessoais</t>
        </is>
      </c>
    </row>
    <row r="76" ht="30" customHeight="1">
      <c r="C76" s="14" t="inlineStr">
        <is>
          <t>DASHBOARD</t>
        </is>
      </c>
      <c r="D76" s="10" t="inlineStr">
        <is>
          <t>Exemplo_DashSel</t>
        </is>
      </c>
      <c r="E76" s="10" t="inlineStr">
        <is>
          <t>Mês/ano escolhidos (volta ao mês atual)</t>
        </is>
      </c>
    </row>
    <row r="79">
      <c r="B79" s="6" t="inlineStr">
        <is>
          <t>Regras de ouro (leia uma vez)</t>
        </is>
      </c>
    </row>
    <row r="80" ht="32" customHeight="1">
      <c r="B80" s="13" t="n">
        <v>1</v>
      </c>
      <c r="C80" s="10" t="inlineStr">
        <is>
          <t>Valor em LANÇAMENTOS = valor TOTAL da compra. Parcelado: informe "Parcela atual" e "Total de parcelas" (ex.: 1 e 10) — as demais parcelas surgem sozinhas nos meses futuros.</t>
        </is>
      </c>
      <c r="D80" s="24" t="n"/>
      <c r="E80" s="24" t="n"/>
      <c r="F80" s="24" t="n"/>
      <c r="G80" s="24" t="n"/>
      <c r="H80" s="24" t="n"/>
      <c r="I80" s="25" t="n"/>
    </row>
    <row r="81" ht="32" customHeight="1">
      <c r="B81" s="13" t="n">
        <v>2</v>
      </c>
      <c r="C81" s="10" t="inlineStr">
        <is>
          <t>Compra no cartão: escolha o cartão na coluna "Conta ou Cartão". A fatura de referência é calculada pelo dia de fechamento.</t>
        </is>
      </c>
      <c r="D81" s="24" t="n"/>
      <c r="E81" s="24" t="n"/>
      <c r="F81" s="24" t="n"/>
      <c r="G81" s="24" t="n"/>
      <c r="H81" s="24" t="n"/>
      <c r="I81" s="25" t="n"/>
    </row>
    <row r="82" ht="32" customHeight="1">
      <c r="B82" s="13" t="n">
        <v>3</v>
      </c>
      <c r="C82" s="10" t="inlineStr">
        <is>
          <t>Pagou a fatura? Lance como Transferência (valor NEGATIVO) na conta de onde saiu o dinheiro — assim o saldo da conta fica correto sem contar a despesa duas vezes.</t>
        </is>
      </c>
      <c r="D82" s="24" t="n"/>
      <c r="E82" s="24" t="n"/>
      <c r="F82" s="24" t="n"/>
      <c r="G82" s="24" t="n"/>
      <c r="H82" s="24" t="n"/>
      <c r="I82" s="25" t="n"/>
    </row>
    <row r="83" ht="32" customHeight="1">
      <c r="B83" s="13" t="n">
        <v>4</v>
      </c>
      <c r="C83" s="10" t="inlineStr">
        <is>
          <t>Transferência entre contas: lance duas linhas — uma negativa na conta de origem e uma positiva na de destino.</t>
        </is>
      </c>
      <c r="D83" s="24" t="n"/>
      <c r="E83" s="24" t="n"/>
      <c r="F83" s="24" t="n"/>
      <c r="G83" s="24" t="n"/>
      <c r="H83" s="24" t="n"/>
      <c r="I83" s="25" t="n"/>
    </row>
    <row r="84" ht="32" customHeight="1">
      <c r="B84" s="13" t="n">
        <v>5</v>
      </c>
      <c r="C84" s="10" t="inlineStr">
        <is>
          <t>Aporte em investimento/meta: Tipo = Investimento; se for para uma meta, escolha em "Meta vinculada". O valor guardado da meta soma sozinho.</t>
        </is>
      </c>
      <c r="D84" s="24" t="n"/>
      <c r="E84" s="24" t="n"/>
      <c r="F84" s="24" t="n"/>
      <c r="G84" s="24" t="n"/>
      <c r="H84" s="24" t="n"/>
      <c r="I84" s="25" t="n"/>
    </row>
    <row r="85" ht="32" customHeight="1">
      <c r="B85" s="13" t="n">
        <v>6</v>
      </c>
      <c r="C85" s="10" t="inlineStr">
        <is>
          <t>Não cadastre o mesmo item em RECORRENTES e em lançamentos futuros (as projeções somariam duas vezes).</t>
        </is>
      </c>
      <c r="D85" s="24" t="n"/>
      <c r="E85" s="24" t="n"/>
      <c r="F85" s="24" t="n"/>
      <c r="G85" s="24" t="n"/>
      <c r="H85" s="24" t="n"/>
      <c r="I85" s="25" t="n"/>
    </row>
    <row r="86" ht="32" customHeight="1">
      <c r="B86" s="13" t="n">
        <v>7</v>
      </c>
      <c r="C86" s="10" t="inlineStr">
        <is>
          <t>Listas (contas, categorias, tags...) devem ser preenchidas de cima para baixo, sem linhas em branco no meio.</t>
        </is>
      </c>
      <c r="D86" s="24" t="n"/>
      <c r="E86" s="24" t="n"/>
      <c r="F86" s="24" t="n"/>
      <c r="G86" s="24" t="n"/>
      <c r="H86" s="24" t="n"/>
      <c r="I86" s="25" t="n"/>
    </row>
    <row r="87" ht="32" customHeight="1">
      <c r="B87" s="13" t="n">
        <v>8</v>
      </c>
      <c r="C87" s="10" t="inlineStr">
        <is>
          <t>As abas calculadas estão protegidas SEM senha (Revisão &gt; Desproteger Planilha) — só as células azuis aceitam digitação.</t>
        </is>
      </c>
      <c r="D87" s="24" t="n"/>
      <c r="E87" s="24" t="n"/>
      <c r="F87" s="24" t="n"/>
      <c r="G87" s="24" t="n"/>
      <c r="H87" s="24" t="n"/>
      <c r="I87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2">
    <mergeCell ref="C84:I84"/>
    <mergeCell ref="B64:I64"/>
    <mergeCell ref="C80:I80"/>
    <mergeCell ref="C87:I87"/>
    <mergeCell ref="C82:I82"/>
    <mergeCell ref="C83:I83"/>
    <mergeCell ref="B5:I5"/>
    <mergeCell ref="C86:I86"/>
    <mergeCell ref="C85:I85"/>
    <mergeCell ref="B63:I63"/>
    <mergeCell ref="C81:I81"/>
    <mergeCell ref="B2:J2"/>
  </mergeCells>
  <conditionalFormatting sqref="B5">
    <cfRule type="expression" priority="1" dxfId="0" stopIfTrue="0">
      <formula>LEFT(B5,1)="⚠"</formula>
    </cfRule>
    <cfRule type="expression" priority="2" dxfId="1" stopIfTrue="0">
      <formula>LEFT(B5,1)="✔"</formula>
    </cfRule>
  </conditionalFormatting>
  <conditionalFormatting sqref="F9:F13">
    <cfRule type="expression" priority="3" dxfId="1" stopIfTrue="0">
      <formula>F9="✔"</formula>
    </cfRule>
    <cfRule type="expression" priority="4" dxfId="2" stopIfTrue="0">
      <formula>F9="○"</formula>
    </cfRule>
  </conditionalFormatting>
  <conditionalFormatting sqref="F18:F29">
    <cfRule type="expression" priority="5" dxfId="1" stopIfTrue="0">
      <formula>F18="✔"</formula>
    </cfRule>
    <cfRule type="expression" priority="6" dxfId="2" stopIfTrue="0">
      <formula>F18="○"</formula>
    </cfRule>
  </conditionalFormatting>
  <hyperlinks>
    <hyperlink ref="B3" location="'DASHBOARD'!A1" display="◀ Voltar ao Dashboard"/>
    <hyperlink ref="C3" location="'CONFIGURAÇÕES'!A1" display="Configurações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  <hyperlink ref="E9" location="'CONFIGURAÇÕES'!A1" display="CONFIGURAÇÕES"/>
    <hyperlink ref="E10" location="'CONFIGURAÇÕES'!A1" display="CONFIGURAÇÕES"/>
    <hyperlink ref="E11" location="'LANÇAMENTOS'!A1" display="LANÇAMENTOS"/>
    <hyperlink ref="E12" location="'DASHBOARD'!A1" display="DASHBOARD"/>
    <hyperlink ref="E13" location="'ORÇAMENTO'!A1" display="ORÇAMENTO"/>
    <hyperlink ref="E18" location="'CONFIGURAÇÕES'!A1" display="CONFIGURAÇÕES"/>
    <hyperlink ref="E19" location="'CONFIGURAÇÕES'!A1" display="CONFIGURAÇÕES"/>
    <hyperlink ref="E20" location="'CONFIGURAÇÕES'!A1" display="CONFIGURAÇÕES"/>
    <hyperlink ref="E21" location="'CONFIGURAÇÕES'!A1" display="CONFIGURAÇÕES"/>
    <hyperlink ref="E22" location="'CONFIGURAÇÕES'!A1" display="CONFIGURAÇÕES"/>
    <hyperlink ref="E23" location="'CONFIGURAÇÕES'!A1" display="CONFIGURAÇÕES"/>
    <hyperlink ref="E24" location="'ORÇAMENTO'!A1" display="ORÇAMENTO"/>
    <hyperlink ref="E25" location="'RECORRENTES'!A1" display="RECORRENTES"/>
    <hyperlink ref="E26" location="'METAS E OBJETIVOS'!A1" display="METAS E OBJETIVOS"/>
    <hyperlink ref="E27" location="'DÍVIDAS E FINANCIAMENTOS'!A1" display="DÍVIDAS E FINANCIAMENTOS"/>
    <hyperlink ref="E28" location="'INVESTIMENTOS'!A1" display="INVESTIMENTOS"/>
    <hyperlink ref="E29" location="'LANÇAMENTOS'!A1" display="LANÇAMENTOS"/>
    <hyperlink ref="C44" location="'DASHBOARD'!A1" display="DASHBOARD"/>
    <hyperlink ref="C45" location="'LANÇAMENTOS'!A1" display="LANÇAMENTOS"/>
    <hyperlink ref="C46" location="'RECORRENTES'!A1" display="RECORRENTES"/>
    <hyperlink ref="C47" location="'ORÇAMENTO'!A1" display="ORÇAMENTO"/>
    <hyperlink ref="C48" location="'FLUXO DE CAIXA'!A1" display="FLUXO DE CAIXA"/>
    <hyperlink ref="C49" location="'PROJEÇÕES E CENÁRIOS'!A1" display="PROJEÇÕES E CENÁRIOS"/>
    <hyperlink ref="C50" location="'CARTÕES DE CRÉDITO'!A1" display="CARTÕES DE CRÉDITO"/>
    <hyperlink ref="C51" location="'DÍVIDAS E FINANCIAMENTOS'!A1" display="DÍVIDAS E FINANCIAMENTOS"/>
    <hyperlink ref="C52" location="'INVESTIMENTOS'!A1" display="INVESTIMENTOS"/>
    <hyperlink ref="C53" location="'METAS E OBJETIVOS'!A1" display="METAS E OBJETIVOS"/>
    <hyperlink ref="C54" location="'PATRIMÔNIO LÍQUIDO'!A1" display="PATRIMÔNIO LÍQUIDO"/>
    <hyperlink ref="C55" location="'CALENDÁRIO DE CONTAS'!A1" display="CALENDÁRIO DE CONTAS"/>
    <hyperlink ref="C56" location="'IMPOSTO DE RENDA'!A1" display="IMPOSTO DE RENDA"/>
    <hyperlink ref="C57" location="'HISTÓRICO E ANÁLISES'!A1" display="HISTÓRICO E ANÁLISES"/>
    <hyperlink ref="C58" location="'BACKUP'!A1" display="BACKUP"/>
    <hyperlink ref="C59" location="'CONFIGURAÇÕES'!A1" display="CONFIGURAÇÕES"/>
  </hyperlinks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154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20" customWidth="1" min="4" max="4"/>
    <col width="20" customWidth="1" min="5" max="5"/>
    <col width="24" customWidth="1" min="6" max="6"/>
    <col width="40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CONFIGURAÇÕES</t>
        </is>
      </c>
    </row>
    <row r="2" ht="32" customHeight="1">
      <c r="B2" s="2" t="inlineStr">
        <is>
          <t>Preencha uma vez: dados gerais, metas e os cadastros (contas, cartões, categorias...). Células azuis = você digita. Preencha as listas de cima para baixo, sem deixar linhas em branco no meio.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células azuis</t>
        </is>
      </c>
    </row>
    <row r="6">
      <c r="B6" s="6" t="inlineStr">
        <is>
          <t>1. Dados gerais</t>
        </is>
      </c>
    </row>
    <row r="7">
      <c r="B7" s="17" t="inlineStr">
        <is>
          <t>Nome</t>
        </is>
      </c>
      <c r="C7" s="27" t="inlineStr">
        <is>
          <t>Fulano de Tal (EXEMPLO)</t>
        </is>
      </c>
      <c r="D7" s="28" t="inlineStr">
        <is>
          <t>Seu nome (aparece no Dashboard).</t>
        </is>
      </c>
    </row>
    <row r="8">
      <c r="B8" s="17" t="inlineStr">
        <is>
          <t>Ano de referência</t>
        </is>
      </c>
      <c r="C8" s="29" t="n">
        <v>2026</v>
      </c>
      <c r="D8" s="28" t="inlineStr">
        <is>
          <t>Deixe vazio para usar o ano de hoje.</t>
        </is>
      </c>
    </row>
    <row r="9">
      <c r="B9" s="17" t="inlineStr">
        <is>
          <t>Mês atual</t>
        </is>
      </c>
      <c r="C9" s="27" t="inlineStr">
        <is>
          <t>Outubro</t>
        </is>
      </c>
      <c r="D9" s="28" t="inlineStr">
        <is>
          <t>Deixe vazio para usar o mês de hoje.</t>
        </is>
      </c>
    </row>
    <row r="10">
      <c r="B10" s="17" t="inlineStr">
        <is>
          <t>Renda mensal líquida média (R$)</t>
        </is>
      </c>
      <c r="C10" s="30" t="n">
        <v>12800</v>
      </c>
      <c r="D10" s="28" t="inlineStr">
        <is>
          <t>Quanto cai na conta por mês, em média.</t>
        </is>
      </c>
    </row>
    <row r="11">
      <c r="B11" s="17" t="inlineStr">
        <is>
          <t>Meses da reserva de emergência</t>
        </is>
      </c>
      <c r="C11" s="29" t="n">
        <v>6</v>
      </c>
      <c r="D11" s="28" t="inlineStr">
        <is>
          <t>Padrão: 6 meses de despesas.</t>
        </is>
      </c>
    </row>
    <row r="12">
      <c r="B12" s="17" t="inlineStr">
        <is>
          <t>% da meta de poupança (sobre a renda)</t>
        </is>
      </c>
      <c r="C12" s="31" t="n">
        <v>0.2</v>
      </c>
      <c r="D12" s="28" t="inlineStr">
        <is>
          <t>Padrão: 20%.</t>
        </is>
      </c>
    </row>
    <row r="13">
      <c r="B13" s="17" t="inlineStr">
        <is>
          <t>Inflação anual estimada</t>
        </is>
      </c>
      <c r="C13" s="32" t="n">
        <v>0.045</v>
      </c>
      <c r="D13" s="28" t="inlineStr">
        <is>
          <t>Usada nas projeções e na comparação com investimentos.</t>
        </is>
      </c>
    </row>
    <row r="14">
      <c r="B14" s="17" t="inlineStr">
        <is>
          <t>Taxa Selic/CDI anual de referência</t>
        </is>
      </c>
      <c r="C14" s="32" t="n">
        <v>0.1375</v>
      </c>
      <c r="D14" s="28" t="inlineStr">
        <is>
          <t>Atualize quando mudar (apenas referência).</t>
        </is>
      </c>
    </row>
    <row r="15">
      <c r="B15" s="17" t="inlineStr">
        <is>
          <t>Data de hoje</t>
        </is>
      </c>
      <c r="C15" s="33">
        <f>TODAY()</f>
        <v>46298.0</v>
      </c>
      <c r="D15" s="28" t="inlineStr">
        <is>
          <t>Usa a data do computador (=HOJE()). Pode digitar uma data fixa para testar.</t>
        </is>
      </c>
    </row>
    <row r="16">
      <c r="B16" s="17" t="inlineStr">
        <is>
          <t>Orçamento base zero?</t>
        </is>
      </c>
      <c r="C16" s="27" t="n"/>
      <c r="D16" s="28" t="inlineStr">
        <is>
          <t>Sim = toda a receita planejada deve ser alocada (veja ORÇAMENTO).</t>
        </is>
      </c>
    </row>
    <row r="17">
      <c r="B17" s="17" t="inlineStr">
        <is>
          <t>Alerta de endividamento acima de</t>
        </is>
      </c>
      <c r="C17" s="31" t="n">
        <v>0.3</v>
      </c>
      <c r="D17" s="28" t="inlineStr">
        <is>
          <t>Parcelas de dívidas / renda.</t>
        </is>
      </c>
    </row>
    <row r="18">
      <c r="B18" s="17" t="inlineStr">
        <is>
          <t>Alerta de uso do limite do cartão acima de</t>
        </is>
      </c>
      <c r="C18" s="31" t="n">
        <v>0.7</v>
      </c>
      <c r="D18" s="28" t="inlineStr">
        <is>
          <t>Padrão: 70%.</t>
        </is>
      </c>
    </row>
    <row r="20">
      <c r="B20" s="6" t="inlineStr">
        <is>
          <t>2. Metas mensais de comportamento</t>
        </is>
      </c>
    </row>
    <row r="21">
      <c r="B21" s="17" t="inlineStr">
        <is>
          <t>Meta de gasto máximo total (R$/mês)</t>
        </is>
      </c>
      <c r="C21" s="30" t="n">
        <v>10500</v>
      </c>
      <c r="D21" s="28" t="inlineStr">
        <is>
          <t>Metas por categoria: coluna "Gasto máximo" na seção 5 abaixo.</t>
        </is>
      </c>
    </row>
    <row r="22">
      <c r="B22" s="17" t="inlineStr">
        <is>
          <t>Meta de aporte mensal (R$)</t>
        </is>
      </c>
      <c r="C22" s="30" t="n">
        <v>2100</v>
      </c>
      <c r="D22" s="28" t="inlineStr">
        <is>
          <t>Quanto pretende investir/guardar por mês.</t>
        </is>
      </c>
    </row>
    <row r="23">
      <c r="B23" s="17" t="inlineStr">
        <is>
          <t>Meta de patrimônio líquido ao fim do ano (R$)</t>
        </is>
      </c>
      <c r="C23" s="30" t="n">
        <v>700000</v>
      </c>
      <c r="D23" s="28" t="inlineStr"/>
    </row>
    <row r="25">
      <c r="B25" s="6" t="inlineStr">
        <is>
          <t>3. Contas bancárias</t>
        </is>
      </c>
      <c r="D25" s="28" t="inlineStr">
        <is>
          <t>Saldo atual = saldo inicial + lançamentos PAGOS da conta.</t>
        </is>
      </c>
    </row>
    <row r="26" ht="32" customHeight="1">
      <c r="B26" s="7" t="inlineStr">
        <is>
          <t>Conta</t>
        </is>
      </c>
      <c r="C26" s="7" t="inlineStr">
        <is>
          <t>Tipo</t>
        </is>
      </c>
      <c r="D26" s="7" t="inlineStr">
        <is>
          <t>Saldo inicial (R$)</t>
        </is>
      </c>
      <c r="E26" s="7" t="inlineStr">
        <is>
          <t>Saldo atual (calculado)</t>
        </is>
      </c>
    </row>
    <row r="27">
      <c r="B27" s="34" t="inlineStr">
        <is>
          <t>Conta Corrente Banco Azul</t>
        </is>
      </c>
      <c r="C27" s="34" t="inlineStr">
        <is>
          <t>Conta corrente</t>
        </is>
      </c>
      <c r="D27" s="35" t="n">
        <v>4200</v>
      </c>
      <c r="E27" s="36">
        <f>IF(B27="","",D27+SUMIFS(L_VParc,L_Conta,B27,L_Tipo,"Receita",L_Status,"Pago")-SUMIFS(L_VParc,L_Conta,B27,L_Tipo,"Despesa",L_Status,"Pago")-SUMIFS(L_VParc,L_Conta,B27,L_Tipo,"Investimento",L_Status,"Pago")+SUMIFS(L_VParc,L_Conta,B27,L_Tipo,"Transferência",L_Status,"Pago"))</f>
        <v>33874.05</v>
      </c>
    </row>
    <row r="28">
      <c r="B28" s="34" t="inlineStr">
        <is>
          <t>Poupança Banco Azul</t>
        </is>
      </c>
      <c r="C28" s="34" t="inlineStr">
        <is>
          <t>Poupança</t>
        </is>
      </c>
      <c r="D28" s="35" t="n">
        <v>6000</v>
      </c>
      <c r="E28" s="36">
        <f>IF(B28="","",D28+SUMIFS(L_VParc,L_Conta,B28,L_Tipo,"Receita",L_Status,"Pago")-SUMIFS(L_VParc,L_Conta,B28,L_Tipo,"Despesa",L_Status,"Pago")-SUMIFS(L_VParc,L_Conta,B28,L_Tipo,"Investimento",L_Status,"Pago")+SUMIFS(L_VParc,L_Conta,B28,L_Tipo,"Transferência",L_Status,"Pago"))</f>
        <v>6975.24</v>
      </c>
    </row>
    <row r="29">
      <c r="B29" s="34" t="inlineStr">
        <is>
          <t>Carteira (dinheiro)</t>
        </is>
      </c>
      <c r="C29" s="34" t="inlineStr">
        <is>
          <t>Carteira</t>
        </is>
      </c>
      <c r="D29" s="35" t="n">
        <v>250</v>
      </c>
      <c r="E29" s="36">
        <f>IF(B29="","",D29+SUMIFS(L_VParc,L_Conta,B29,L_Tipo,"Receita",L_Status,"Pago")-SUMIFS(L_VParc,L_Conta,B29,L_Tipo,"Despesa",L_Status,"Pago")-SUMIFS(L_VParc,L_Conta,B29,L_Tipo,"Investimento",L_Status,"Pago")+SUMIFS(L_VParc,L_Conta,B29,L_Tipo,"Transferência",L_Status,"Pago"))</f>
        <v>250</v>
      </c>
    </row>
    <row r="30">
      <c r="B30" s="34" t="n"/>
      <c r="C30" s="34" t="n"/>
      <c r="D30" s="35" t="n"/>
      <c r="E30" s="36" t="str">
        <f>IF(B30="","",D30+SUMIFS(L_VParc,L_Conta,B30,L_Tipo,"Receita",L_Status,"Pago")-SUMIFS(L_VParc,L_Conta,B30,L_Tipo,"Despesa",L_Status,"Pago")-SUMIFS(L_VParc,L_Conta,B30,L_Tipo,"Investimento",L_Status,"Pago")+SUMIFS(L_VParc,L_Conta,B30,L_Tipo,"Transferência",L_Status,"Pago"))</f>
        <v/>
      </c>
    </row>
    <row r="31">
      <c r="B31" s="34" t="n"/>
      <c r="C31" s="34" t="n"/>
      <c r="D31" s="35" t="n"/>
      <c r="E31" s="36" t="str">
        <f>IF(B31="","",D31+SUMIFS(L_VParc,L_Conta,B31,L_Tipo,"Receita",L_Status,"Pago")-SUMIFS(L_VParc,L_Conta,B31,L_Tipo,"Despesa",L_Status,"Pago")-SUMIFS(L_VParc,L_Conta,B31,L_Tipo,"Investimento",L_Status,"Pago")+SUMIFS(L_VParc,L_Conta,B31,L_Tipo,"Transferência",L_Status,"Pago"))</f>
        <v/>
      </c>
    </row>
    <row r="32">
      <c r="B32" s="34" t="n"/>
      <c r="C32" s="34" t="n"/>
      <c r="D32" s="35" t="n"/>
      <c r="E32" s="36" t="str">
        <f>IF(B32="","",D32+SUMIFS(L_VParc,L_Conta,B32,L_Tipo,"Receita",L_Status,"Pago")-SUMIFS(L_VParc,L_Conta,B32,L_Tipo,"Despesa",L_Status,"Pago")-SUMIFS(L_VParc,L_Conta,B32,L_Tipo,"Investimento",L_Status,"Pago")+SUMIFS(L_VParc,L_Conta,B32,L_Tipo,"Transferência",L_Status,"Pago"))</f>
        <v/>
      </c>
    </row>
    <row r="33">
      <c r="B33" s="34" t="n"/>
      <c r="C33" s="34" t="n"/>
      <c r="D33" s="35" t="n"/>
      <c r="E33" s="36" t="str">
        <f>IF(B33="","",D33+SUMIFS(L_VParc,L_Conta,B33,L_Tipo,"Receita",L_Status,"Pago")-SUMIFS(L_VParc,L_Conta,B33,L_Tipo,"Despesa",L_Status,"Pago")-SUMIFS(L_VParc,L_Conta,B33,L_Tipo,"Investimento",L_Status,"Pago")+SUMIFS(L_VParc,L_Conta,B33,L_Tipo,"Transferência",L_Status,"Pago"))</f>
        <v/>
      </c>
    </row>
    <row r="34">
      <c r="B34" s="34" t="n"/>
      <c r="C34" s="34" t="n"/>
      <c r="D34" s="35" t="n"/>
      <c r="E34" s="36" t="str">
        <f>IF(B34="","",D34+SUMIFS(L_VParc,L_Conta,B34,L_Tipo,"Receita",L_Status,"Pago")-SUMIFS(L_VParc,L_Conta,B34,L_Tipo,"Despesa",L_Status,"Pago")-SUMIFS(L_VParc,L_Conta,B34,L_Tipo,"Investimento",L_Status,"Pago")+SUMIFS(L_VParc,L_Conta,B34,L_Tipo,"Transferência",L_Status,"Pago"))</f>
        <v/>
      </c>
    </row>
    <row r="35">
      <c r="B35" s="34" t="n"/>
      <c r="C35" s="34" t="n"/>
      <c r="D35" s="35" t="n"/>
      <c r="E35" s="36" t="str">
        <f>IF(B35="","",D35+SUMIFS(L_VParc,L_Conta,B35,L_Tipo,"Receita",L_Status,"Pago")-SUMIFS(L_VParc,L_Conta,B35,L_Tipo,"Despesa",L_Status,"Pago")-SUMIFS(L_VParc,L_Conta,B35,L_Tipo,"Investimento",L_Status,"Pago")+SUMIFS(L_VParc,L_Conta,B35,L_Tipo,"Transferência",L_Status,"Pago"))</f>
        <v/>
      </c>
    </row>
    <row r="36">
      <c r="B36" s="34" t="n"/>
      <c r="C36" s="34" t="n"/>
      <c r="D36" s="35" t="n"/>
      <c r="E36" s="36" t="str">
        <f>IF(B36="","",D36+SUMIFS(L_VParc,L_Conta,B36,L_Tipo,"Receita",L_Status,"Pago")-SUMIFS(L_VParc,L_Conta,B36,L_Tipo,"Despesa",L_Status,"Pago")-SUMIFS(L_VParc,L_Conta,B36,L_Tipo,"Investimento",L_Status,"Pago")+SUMIFS(L_VParc,L_Conta,B36,L_Tipo,"Transferência",L_Status,"Pago"))</f>
        <v/>
      </c>
    </row>
    <row r="38">
      <c r="B38" s="6" t="inlineStr">
        <is>
          <t>4. Cartões de crédito</t>
        </is>
      </c>
      <c r="D38" s="28" t="inlineStr">
        <is>
          <t>Compras a partir do dia de fechamento entram na fatura seguinte.</t>
        </is>
      </c>
    </row>
    <row r="39" ht="32" customHeight="1">
      <c r="B39" s="7" t="inlineStr">
        <is>
          <t>Cartão</t>
        </is>
      </c>
      <c r="C39" s="7" t="inlineStr">
        <is>
          <t>Limite (R$)</t>
        </is>
      </c>
      <c r="D39" s="7" t="inlineStr">
        <is>
          <t>Dia de fechamento</t>
        </is>
      </c>
      <c r="E39" s="7" t="inlineStr">
        <is>
          <t>Dia de vencimento</t>
        </is>
      </c>
    </row>
    <row r="40">
      <c r="B40" s="34" t="inlineStr">
        <is>
          <t>Cartão Roxinho</t>
        </is>
      </c>
      <c r="C40" s="35" t="n">
        <v>9000</v>
      </c>
      <c r="D40" s="37" t="n">
        <v>25</v>
      </c>
      <c r="E40" s="37" t="n">
        <v>5</v>
      </c>
    </row>
    <row r="41">
      <c r="B41" s="34" t="inlineStr">
        <is>
          <t>Cartão Azul Gold</t>
        </is>
      </c>
      <c r="C41" s="35" t="n">
        <v>6000</v>
      </c>
      <c r="D41" s="37" t="n">
        <v>10</v>
      </c>
      <c r="E41" s="37" t="n">
        <v>17</v>
      </c>
    </row>
    <row r="42">
      <c r="B42" s="34" t="n"/>
      <c r="C42" s="35" t="n"/>
      <c r="D42" s="37" t="n"/>
      <c r="E42" s="37" t="n"/>
    </row>
    <row r="43">
      <c r="B43" s="34" t="n"/>
      <c r="C43" s="35" t="n"/>
      <c r="D43" s="37" t="n"/>
      <c r="E43" s="37" t="n"/>
    </row>
    <row r="44">
      <c r="B44" s="34" t="n"/>
      <c r="C44" s="35" t="n"/>
      <c r="D44" s="37" t="n"/>
      <c r="E44" s="37" t="n"/>
    </row>
    <row r="45">
      <c r="B45" s="34" t="n"/>
      <c r="C45" s="35" t="n"/>
      <c r="D45" s="37" t="n"/>
      <c r="E45" s="37" t="n"/>
    </row>
    <row r="46">
      <c r="B46" s="34" t="n"/>
      <c r="C46" s="35" t="n"/>
      <c r="D46" s="37" t="n"/>
      <c r="E46" s="37" t="n"/>
    </row>
    <row r="47">
      <c r="B47" s="34" t="n"/>
      <c r="C47" s="35" t="n"/>
      <c r="D47" s="37" t="n"/>
      <c r="E47" s="37" t="n"/>
    </row>
    <row r="49">
      <c r="B49" s="6" t="inlineStr">
        <is>
          <t>5. Categorias de despesa</t>
        </is>
      </c>
      <c r="D49" s="28" t="inlineStr">
        <is>
          <t>Para criar uma categoria nova: escreva na 1ª linha vazia.</t>
        </is>
      </c>
    </row>
    <row r="50" ht="32" customHeight="1">
      <c r="B50" s="7" t="inlineStr">
        <is>
          <t>Categoria</t>
        </is>
      </c>
      <c r="C50" s="7" t="inlineStr">
        <is>
          <t>Fixa / Variável</t>
        </is>
      </c>
      <c r="D50" s="7" t="inlineStr">
        <is>
          <t>Essencial / Não essencial</t>
        </is>
      </c>
      <c r="E50" s="7" t="inlineStr">
        <is>
          <t>Regra 50/30/20</t>
        </is>
      </c>
      <c r="F50" s="7" t="inlineStr">
        <is>
          <t>Gasto máximo mensal (R$)</t>
        </is>
      </c>
    </row>
    <row r="51">
      <c r="B51" s="34" t="inlineStr">
        <is>
          <t>Moradia</t>
        </is>
      </c>
      <c r="C51" s="34" t="inlineStr">
        <is>
          <t>Fixa</t>
        </is>
      </c>
      <c r="D51" s="34" t="inlineStr">
        <is>
          <t>Essencial</t>
        </is>
      </c>
      <c r="E51" s="34" t="inlineStr">
        <is>
          <t>Necessidades</t>
        </is>
      </c>
      <c r="F51" s="35" t="n">
        <v>3600</v>
      </c>
    </row>
    <row r="52">
      <c r="B52" s="34" t="inlineStr">
        <is>
          <t>Alimentação</t>
        </is>
      </c>
      <c r="C52" s="34" t="inlineStr">
        <is>
          <t>Variável</t>
        </is>
      </c>
      <c r="D52" s="34" t="inlineStr">
        <is>
          <t>Essencial</t>
        </is>
      </c>
      <c r="E52" s="34" t="inlineStr">
        <is>
          <t>Necessidades</t>
        </is>
      </c>
      <c r="F52" s="35" t="n">
        <v>1800</v>
      </c>
    </row>
    <row r="53">
      <c r="B53" s="34" t="inlineStr">
        <is>
          <t>Transporte</t>
        </is>
      </c>
      <c r="C53" s="34" t="inlineStr">
        <is>
          <t>Variável</t>
        </is>
      </c>
      <c r="D53" s="34" t="inlineStr">
        <is>
          <t>Essencial</t>
        </is>
      </c>
      <c r="E53" s="34" t="inlineStr">
        <is>
          <t>Necessidades</t>
        </is>
      </c>
      <c r="F53" s="35" t="n">
        <v>900</v>
      </c>
    </row>
    <row r="54">
      <c r="B54" s="34" t="inlineStr">
        <is>
          <t>Saúde</t>
        </is>
      </c>
      <c r="C54" s="34" t="inlineStr">
        <is>
          <t>Variável</t>
        </is>
      </c>
      <c r="D54" s="34" t="inlineStr">
        <is>
          <t>Essencial</t>
        </is>
      </c>
      <c r="E54" s="34" t="inlineStr">
        <is>
          <t>Necessidades</t>
        </is>
      </c>
      <c r="F54" s="35" t="n">
        <v>1100</v>
      </c>
    </row>
    <row r="55">
      <c r="B55" s="34" t="inlineStr">
        <is>
          <t>Educação</t>
        </is>
      </c>
      <c r="C55" s="34" t="inlineStr">
        <is>
          <t>Fixa</t>
        </is>
      </c>
      <c r="D55" s="34" t="inlineStr">
        <is>
          <t>Essencial</t>
        </is>
      </c>
      <c r="E55" s="34" t="inlineStr">
        <is>
          <t>Necessidades</t>
        </is>
      </c>
      <c r="F55" s="35" t="n">
        <v>450</v>
      </c>
    </row>
    <row r="56">
      <c r="B56" s="34" t="inlineStr">
        <is>
          <t>Lazer</t>
        </is>
      </c>
      <c r="C56" s="34" t="inlineStr">
        <is>
          <t>Variável</t>
        </is>
      </c>
      <c r="D56" s="34" t="inlineStr">
        <is>
          <t>Não essencial</t>
        </is>
      </c>
      <c r="E56" s="34" t="inlineStr">
        <is>
          <t>Desejos</t>
        </is>
      </c>
      <c r="F56" s="35" t="n">
        <v>700</v>
      </c>
    </row>
    <row r="57">
      <c r="B57" s="34" t="inlineStr">
        <is>
          <t>Assinaturas</t>
        </is>
      </c>
      <c r="C57" s="34" t="inlineStr">
        <is>
          <t>Fixa</t>
        </is>
      </c>
      <c r="D57" s="34" t="inlineStr">
        <is>
          <t>Não essencial</t>
        </is>
      </c>
      <c r="E57" s="34" t="inlineStr">
        <is>
          <t>Desejos</t>
        </is>
      </c>
      <c r="F57" s="35" t="n">
        <v>300</v>
      </c>
    </row>
    <row r="58">
      <c r="B58" s="34" t="inlineStr">
        <is>
          <t>Vestuário</t>
        </is>
      </c>
      <c r="C58" s="34" t="inlineStr">
        <is>
          <t>Variável</t>
        </is>
      </c>
      <c r="D58" s="34" t="inlineStr">
        <is>
          <t>Não essencial</t>
        </is>
      </c>
      <c r="E58" s="34" t="inlineStr">
        <is>
          <t>Desejos</t>
        </is>
      </c>
      <c r="F58" s="35" t="n">
        <v>400</v>
      </c>
    </row>
    <row r="59">
      <c r="B59" s="34" t="inlineStr">
        <is>
          <t>Dívidas e Financiamentos</t>
        </is>
      </c>
      <c r="C59" s="34" t="inlineStr">
        <is>
          <t>Fixa</t>
        </is>
      </c>
      <c r="D59" s="34" t="inlineStr">
        <is>
          <t>Essencial</t>
        </is>
      </c>
      <c r="E59" s="34" t="inlineStr">
        <is>
          <t>Necessidades</t>
        </is>
      </c>
      <c r="F59" s="35" t="n">
        <v>2200</v>
      </c>
    </row>
    <row r="60">
      <c r="B60" s="34" t="inlineStr">
        <is>
          <t>Impostos e Taxas</t>
        </is>
      </c>
      <c r="C60" s="34" t="inlineStr">
        <is>
          <t>Fixa</t>
        </is>
      </c>
      <c r="D60" s="34" t="inlineStr">
        <is>
          <t>Essencial</t>
        </is>
      </c>
      <c r="E60" s="34" t="inlineStr">
        <is>
          <t>Necessidades</t>
        </is>
      </c>
      <c r="F60" s="35" t="n">
        <v>250</v>
      </c>
    </row>
    <row r="61">
      <c r="B61" s="34" t="inlineStr">
        <is>
          <t>Família/Pets</t>
        </is>
      </c>
      <c r="C61" s="34" t="inlineStr">
        <is>
          <t>Variável</t>
        </is>
      </c>
      <c r="D61" s="34" t="inlineStr">
        <is>
          <t>Essencial</t>
        </is>
      </c>
      <c r="E61" s="34" t="inlineStr">
        <is>
          <t>Necessidades</t>
        </is>
      </c>
      <c r="F61" s="35" t="n">
        <v>450</v>
      </c>
    </row>
    <row r="62">
      <c r="B62" s="34" t="inlineStr">
        <is>
          <t>Doações</t>
        </is>
      </c>
      <c r="C62" s="34" t="inlineStr">
        <is>
          <t>Variável</t>
        </is>
      </c>
      <c r="D62" s="34" t="inlineStr">
        <is>
          <t>Não essencial</t>
        </is>
      </c>
      <c r="E62" s="34" t="inlineStr">
        <is>
          <t>Desejos</t>
        </is>
      </c>
      <c r="F62" s="35" t="n">
        <v>150</v>
      </c>
    </row>
    <row r="63">
      <c r="B63" s="34" t="inlineStr">
        <is>
          <t>Outros</t>
        </is>
      </c>
      <c r="C63" s="34" t="inlineStr">
        <is>
          <t>Variável</t>
        </is>
      </c>
      <c r="D63" s="34" t="inlineStr">
        <is>
          <t>Não essencial</t>
        </is>
      </c>
      <c r="E63" s="34" t="inlineStr">
        <is>
          <t>Desejos</t>
        </is>
      </c>
      <c r="F63" s="35" t="n">
        <v>300</v>
      </c>
    </row>
    <row r="64">
      <c r="B64" s="34" t="n"/>
      <c r="C64" s="34" t="n"/>
      <c r="D64" s="34" t="n"/>
      <c r="E64" s="34" t="n"/>
      <c r="F64" s="35" t="n"/>
    </row>
    <row r="65">
      <c r="B65" s="34" t="n"/>
      <c r="C65" s="34" t="n"/>
      <c r="D65" s="34" t="n"/>
      <c r="E65" s="34" t="n"/>
      <c r="F65" s="35" t="n"/>
    </row>
    <row r="66">
      <c r="B66" s="34" t="n"/>
      <c r="C66" s="34" t="n"/>
      <c r="D66" s="34" t="n"/>
      <c r="E66" s="34" t="n"/>
      <c r="F66" s="35" t="n"/>
    </row>
    <row r="67">
      <c r="B67" s="34" t="n"/>
      <c r="C67" s="34" t="n"/>
      <c r="D67" s="34" t="n"/>
      <c r="E67" s="34" t="n"/>
      <c r="F67" s="35" t="n"/>
    </row>
    <row r="68">
      <c r="B68" s="34" t="n"/>
      <c r="C68" s="34" t="n"/>
      <c r="D68" s="34" t="n"/>
      <c r="E68" s="34" t="n"/>
      <c r="F68" s="35" t="n"/>
    </row>
    <row r="70">
      <c r="B70" s="6" t="inlineStr">
        <is>
          <t>6. Categorias de receita</t>
        </is>
      </c>
    </row>
    <row r="71" ht="32" customHeight="1">
      <c r="B71" s="7" t="inlineStr">
        <is>
          <t>Categoria</t>
        </is>
      </c>
    </row>
    <row r="72">
      <c r="B72" s="34" t="inlineStr">
        <is>
          <t>Salário</t>
        </is>
      </c>
    </row>
    <row r="73">
      <c r="B73" s="34" t="inlineStr">
        <is>
          <t>13º/Férias/PLR</t>
        </is>
      </c>
    </row>
    <row r="74">
      <c r="B74" s="34" t="inlineStr">
        <is>
          <t>Freelance/Extra</t>
        </is>
      </c>
    </row>
    <row r="75">
      <c r="B75" s="34" t="inlineStr">
        <is>
          <t>Aluguel recebido</t>
        </is>
      </c>
    </row>
    <row r="76">
      <c r="B76" s="34" t="inlineStr">
        <is>
          <t>Rendimentos</t>
        </is>
      </c>
    </row>
    <row r="77">
      <c r="B77" s="34" t="inlineStr">
        <is>
          <t>Reembolsos</t>
        </is>
      </c>
    </row>
    <row r="78">
      <c r="B78" s="34" t="inlineStr">
        <is>
          <t>Outros</t>
        </is>
      </c>
    </row>
    <row r="79">
      <c r="B79" s="34" t="n"/>
    </row>
    <row r="80">
      <c r="B80" s="34" t="n"/>
    </row>
    <row r="82">
      <c r="B82" s="6" t="inlineStr">
        <is>
          <t>7. Subcategorias</t>
        </is>
      </c>
    </row>
    <row r="83" ht="32" customHeight="1">
      <c r="B83" s="7" t="inlineStr">
        <is>
          <t>Subcategoria</t>
        </is>
      </c>
      <c r="C83" s="7" t="inlineStr">
        <is>
          <t>Categoria (pai)</t>
        </is>
      </c>
    </row>
    <row r="84">
      <c r="B84" s="34" t="inlineStr">
        <is>
          <t>Aluguel</t>
        </is>
      </c>
      <c r="C84" s="34" t="inlineStr">
        <is>
          <t>Moradia</t>
        </is>
      </c>
    </row>
    <row r="85">
      <c r="B85" s="34" t="inlineStr">
        <is>
          <t>Condomínio</t>
        </is>
      </c>
      <c r="C85" s="34" t="inlineStr">
        <is>
          <t>Moradia</t>
        </is>
      </c>
    </row>
    <row r="86">
      <c r="B86" s="34" t="inlineStr">
        <is>
          <t>Energia</t>
        </is>
      </c>
      <c r="C86" s="34" t="inlineStr">
        <is>
          <t>Moradia</t>
        </is>
      </c>
    </row>
    <row r="87">
      <c r="B87" s="34" t="inlineStr">
        <is>
          <t>Água</t>
        </is>
      </c>
      <c r="C87" s="34" t="inlineStr">
        <is>
          <t>Moradia</t>
        </is>
      </c>
    </row>
    <row r="88">
      <c r="B88" s="34" t="inlineStr">
        <is>
          <t>Internet</t>
        </is>
      </c>
      <c r="C88" s="34" t="inlineStr">
        <is>
          <t>Moradia</t>
        </is>
      </c>
    </row>
    <row r="89">
      <c r="B89" s="34" t="inlineStr">
        <is>
          <t>Mercado</t>
        </is>
      </c>
      <c r="C89" s="34" t="inlineStr">
        <is>
          <t>Alimentação</t>
        </is>
      </c>
    </row>
    <row r="90">
      <c r="B90" s="34" t="inlineStr">
        <is>
          <t>Restaurantes</t>
        </is>
      </c>
      <c r="C90" s="34" t="inlineStr">
        <is>
          <t>Alimentação</t>
        </is>
      </c>
    </row>
    <row r="91">
      <c r="B91" s="34" t="inlineStr">
        <is>
          <t>Delivery</t>
        </is>
      </c>
      <c r="C91" s="34" t="inlineStr">
        <is>
          <t>Alimentação</t>
        </is>
      </c>
    </row>
    <row r="92">
      <c r="B92" s="34" t="inlineStr">
        <is>
          <t>Combustível</t>
        </is>
      </c>
      <c r="C92" s="34" t="inlineStr">
        <is>
          <t>Transporte</t>
        </is>
      </c>
    </row>
    <row r="93">
      <c r="B93" s="34" t="inlineStr">
        <is>
          <t>App de transporte</t>
        </is>
      </c>
      <c r="C93" s="34" t="inlineStr">
        <is>
          <t>Transporte</t>
        </is>
      </c>
    </row>
    <row r="94">
      <c r="B94" s="34" t="inlineStr">
        <is>
          <t>Manutenção</t>
        </is>
      </c>
      <c r="C94" s="34" t="inlineStr">
        <is>
          <t>Transporte</t>
        </is>
      </c>
    </row>
    <row r="95">
      <c r="B95" s="34" t="inlineStr">
        <is>
          <t>Plano de saúde</t>
        </is>
      </c>
      <c r="C95" s="34" t="inlineStr">
        <is>
          <t>Saúde</t>
        </is>
      </c>
    </row>
    <row r="96">
      <c r="B96" s="34" t="inlineStr">
        <is>
          <t>Farmácia</t>
        </is>
      </c>
      <c r="C96" s="34" t="inlineStr">
        <is>
          <t>Saúde</t>
        </is>
      </c>
    </row>
    <row r="97">
      <c r="B97" s="34" t="inlineStr">
        <is>
          <t>Consultas</t>
        </is>
      </c>
      <c r="C97" s="34" t="inlineStr">
        <is>
          <t>Saúde</t>
        </is>
      </c>
    </row>
    <row r="98">
      <c r="B98" s="34" t="inlineStr">
        <is>
          <t>Cursos</t>
        </is>
      </c>
      <c r="C98" s="34" t="inlineStr">
        <is>
          <t>Educação</t>
        </is>
      </c>
    </row>
    <row r="99">
      <c r="B99" s="34" t="inlineStr">
        <is>
          <t>Cinema</t>
        </is>
      </c>
      <c r="C99" s="34" t="inlineStr">
        <is>
          <t>Lazer</t>
        </is>
      </c>
    </row>
    <row r="100">
      <c r="B100" s="34" t="inlineStr">
        <is>
          <t>Viagens</t>
        </is>
      </c>
      <c r="C100" s="34" t="inlineStr">
        <is>
          <t>Lazer</t>
        </is>
      </c>
    </row>
    <row r="101">
      <c r="B101" s="34" t="inlineStr">
        <is>
          <t>Bares</t>
        </is>
      </c>
      <c r="C101" s="34" t="inlineStr">
        <is>
          <t>Lazer</t>
        </is>
      </c>
    </row>
    <row r="102">
      <c r="B102" s="34" t="inlineStr">
        <is>
          <t>Streaming</t>
        </is>
      </c>
      <c r="C102" s="34" t="inlineStr">
        <is>
          <t>Assinaturas</t>
        </is>
      </c>
    </row>
    <row r="103">
      <c r="B103" s="34" t="inlineStr">
        <is>
          <t>Música</t>
        </is>
      </c>
      <c r="C103" s="34" t="inlineStr">
        <is>
          <t>Assinaturas</t>
        </is>
      </c>
    </row>
    <row r="104">
      <c r="B104" s="34" t="inlineStr">
        <is>
          <t>Nuvem</t>
        </is>
      </c>
      <c r="C104" s="34" t="inlineStr">
        <is>
          <t>Assinaturas</t>
        </is>
      </c>
    </row>
    <row r="105">
      <c r="B105" s="34" t="inlineStr">
        <is>
          <t>Academia</t>
        </is>
      </c>
      <c r="C105" s="34" t="inlineStr">
        <is>
          <t>Assinaturas</t>
        </is>
      </c>
    </row>
    <row r="106">
      <c r="B106" s="34" t="inlineStr">
        <is>
          <t>Roupas</t>
        </is>
      </c>
      <c r="C106" s="34" t="inlineStr">
        <is>
          <t>Vestuário</t>
        </is>
      </c>
    </row>
    <row r="107">
      <c r="B107" s="34" t="inlineStr">
        <is>
          <t>Financiamento</t>
        </is>
      </c>
      <c r="C107" s="34" t="inlineStr">
        <is>
          <t>Dívidas e Financiamentos</t>
        </is>
      </c>
    </row>
    <row r="108">
      <c r="B108" s="34" t="inlineStr">
        <is>
          <t>Empréstimo</t>
        </is>
      </c>
      <c r="C108" s="34" t="inlineStr">
        <is>
          <t>Dívidas e Financiamentos</t>
        </is>
      </c>
    </row>
    <row r="109">
      <c r="B109" s="34" t="inlineStr">
        <is>
          <t>IPTU</t>
        </is>
      </c>
      <c r="C109" s="34" t="inlineStr">
        <is>
          <t>Impostos e Taxas</t>
        </is>
      </c>
    </row>
    <row r="110">
      <c r="B110" s="34" t="inlineStr">
        <is>
          <t>IPVA</t>
        </is>
      </c>
      <c r="C110" s="34" t="inlineStr">
        <is>
          <t>Impostos e Taxas</t>
        </is>
      </c>
    </row>
    <row r="111">
      <c r="B111" s="34" t="inlineStr">
        <is>
          <t>Ração</t>
        </is>
      </c>
      <c r="C111" s="34" t="inlineStr">
        <is>
          <t>Família/Pets</t>
        </is>
      </c>
    </row>
    <row r="112">
      <c r="B112" s="34" t="inlineStr">
        <is>
          <t>Veterinário</t>
        </is>
      </c>
      <c r="C112" s="34" t="inlineStr">
        <is>
          <t>Família/Pets</t>
        </is>
      </c>
    </row>
    <row r="113">
      <c r="B113" s="34" t="inlineStr">
        <is>
          <t>ONG</t>
        </is>
      </c>
      <c r="C113" s="34" t="inlineStr">
        <is>
          <t>Doações</t>
        </is>
      </c>
    </row>
    <row r="114">
      <c r="B114" s="34" t="n"/>
      <c r="C114" s="34" t="n"/>
    </row>
    <row r="115">
      <c r="B115" s="34" t="n"/>
      <c r="C115" s="34" t="n"/>
    </row>
    <row r="116">
      <c r="B116" s="34" t="n"/>
      <c r="C116" s="34" t="n"/>
    </row>
    <row r="117">
      <c r="B117" s="34" t="n"/>
      <c r="C117" s="34" t="n"/>
    </row>
    <row r="118">
      <c r="B118" s="34" t="n"/>
      <c r="C118" s="34" t="n"/>
    </row>
    <row r="119">
      <c r="B119" s="34" t="n"/>
      <c r="C119" s="34" t="n"/>
    </row>
    <row r="120">
      <c r="B120" s="34" t="n"/>
      <c r="C120" s="34" t="n"/>
    </row>
    <row r="121">
      <c r="B121" s="34" t="n"/>
      <c r="C121" s="34" t="n"/>
    </row>
    <row r="122">
      <c r="B122" s="34" t="n"/>
      <c r="C122" s="34" t="n"/>
    </row>
    <row r="123">
      <c r="B123" s="34" t="n"/>
      <c r="C123" s="34" t="n"/>
    </row>
    <row r="125">
      <c r="B125" s="6" t="inlineStr">
        <is>
          <t>8. Formas de pagamento</t>
        </is>
      </c>
    </row>
    <row r="126" ht="32" customHeight="1">
      <c r="B126" s="7" t="inlineStr">
        <is>
          <t>Forma de pagamento</t>
        </is>
      </c>
    </row>
    <row r="127">
      <c r="B127" s="34" t="inlineStr">
        <is>
          <t>Pix</t>
        </is>
      </c>
    </row>
    <row r="128">
      <c r="B128" s="34" t="inlineStr">
        <is>
          <t>Débito</t>
        </is>
      </c>
    </row>
    <row r="129">
      <c r="B129" s="34" t="inlineStr">
        <is>
          <t>Crédito</t>
        </is>
      </c>
    </row>
    <row r="130">
      <c r="B130" s="34" t="inlineStr">
        <is>
          <t>Dinheiro</t>
        </is>
      </c>
    </row>
    <row r="131">
      <c r="B131" s="34" t="inlineStr">
        <is>
          <t>Boleto</t>
        </is>
      </c>
    </row>
    <row r="132">
      <c r="B132" s="34" t="inlineStr">
        <is>
          <t>Débito automático</t>
        </is>
      </c>
    </row>
    <row r="133">
      <c r="B133" s="34" t="inlineStr">
        <is>
          <t>Transferência</t>
        </is>
      </c>
    </row>
    <row r="134">
      <c r="B134" s="34" t="n"/>
    </row>
    <row r="135">
      <c r="B135" s="34" t="n"/>
    </row>
    <row r="136">
      <c r="B136" s="34" t="n"/>
    </row>
    <row r="138">
      <c r="B138" s="6" t="inlineStr">
        <is>
          <t>9. Tags (ex.: #viagem, #presente)</t>
        </is>
      </c>
    </row>
    <row r="139" ht="32" customHeight="1">
      <c r="B139" s="7" t="inlineStr">
        <is>
          <t>Tag</t>
        </is>
      </c>
    </row>
    <row r="140">
      <c r="B140" s="34" t="inlineStr">
        <is>
          <t>#viagem</t>
        </is>
      </c>
    </row>
    <row r="141">
      <c r="B141" s="34" t="inlineStr">
        <is>
          <t>#presente</t>
        </is>
      </c>
    </row>
    <row r="142">
      <c r="B142" s="34" t="inlineStr">
        <is>
          <t>#reforma</t>
        </is>
      </c>
    </row>
    <row r="143">
      <c r="B143" s="34" t="inlineStr">
        <is>
          <t>#natal</t>
        </is>
      </c>
    </row>
    <row r="144">
      <c r="B144" s="34" t="inlineStr">
        <is>
          <t>#trabalho</t>
        </is>
      </c>
    </row>
    <row r="145">
      <c r="B145" s="34" t="n"/>
    </row>
    <row r="146">
      <c r="B146" s="34" t="n"/>
    </row>
    <row r="147">
      <c r="B147" s="34" t="n"/>
    </row>
    <row r="148">
      <c r="B148" s="34" t="n"/>
    </row>
    <row r="149">
      <c r="B149" s="34" t="n"/>
    </row>
    <row r="150">
      <c r="B150" s="34" t="n"/>
    </row>
    <row r="151">
      <c r="B151" s="34" t="n"/>
    </row>
    <row r="152">
      <c r="B152" s="34" t="n"/>
    </row>
    <row r="153">
      <c r="B153" s="34" t="n"/>
    </row>
    <row r="154">
      <c r="B154" s="3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I2"/>
  </mergeCells>
  <dataValidations count="8">
    <dataValidation sqref="C9" showDropDown="0" showInputMessage="0" showErrorMessage="1" allowBlank="1" errorTitle="Valor inválido" error="Escolha um valor da lista." type="list">
      <formula1>=Lista_Meses</formula1>
    </dataValidation>
    <dataValidation sqref="C16" showDropDown="0" showInputMessage="0" showErrorMessage="1" allowBlank="1" errorTitle="Valor inválido" error="Escolha um valor da lista." type="list">
      <formula1>=Lista_SimNao</formula1>
    </dataValidation>
    <dataValidation sqref="C27:C36" showDropDown="0" showInputMessage="0" showErrorMessage="1" allowBlank="1" errorTitle="Valor inválido" error="Escolha um valor da lista." type="list">
      <formula1>=Lista_TipoConta</formula1>
    </dataValidation>
    <dataValidation sqref="D40:E47" showDropDown="0" showInputMessage="0" showErrorMessage="1" allowBlank="1" errorTitle="Valor inválido" error="Informe um dia de 1 a 31." type="whole" operator="between">
      <formula1>1</formula1>
      <formula2>31</formula2>
    </dataValidation>
    <dataValidation sqref="C51:C68" showDropDown="0" showInputMessage="0" showErrorMessage="1" allowBlank="1" errorTitle="Valor inválido" error="Escolha um valor da lista." type="list">
      <formula1>=Lista_Natureza</formula1>
    </dataValidation>
    <dataValidation sqref="D51:D68" showDropDown="0" showInputMessage="0" showErrorMessage="1" allowBlank="1" errorTitle="Valor inválido" error="Escolha um valor da lista." type="list">
      <formula1>=Lista_Essencial</formula1>
    </dataValidation>
    <dataValidation sqref="E51:E68" showDropDown="0" showInputMessage="0" showErrorMessage="1" allowBlank="1" errorTitle="Valor inválido" error="Escolha um valor da lista." type="list">
      <formula1>=Lista_Regra</formula1>
    </dataValidation>
    <dataValidation sqref="C84:C123" showDropDown="0" showInputMessage="0" showErrorMessage="1" allowBlank="1" errorTitle="Valor inválido" error="Escolha um valor da lista." type="list">
      <formula1>=Lista_Categorias</formula1>
    </dataValidation>
  </dataValidations>
  <hyperlinks>
    <hyperlink ref="B3" location="'DASHBOARD'!A1" display="◀ Voltar ao Dashboard"/>
    <hyperlink ref="C3" location="'COMEÇAR AQUI'!A1" display="Começar aqui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A1:AD150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22" customWidth="1" min="4" max="4"/>
    <col width="18" customWidth="1" min="5" max="5"/>
    <col width="24" customWidth="1" min="6" max="6"/>
    <col width="18" customWidth="1" min="7" max="7"/>
    <col width="9" customWidth="1" min="8" max="8"/>
    <col width="9" customWidth="1" min="9" max="9"/>
    <col width="11" customWidth="1" min="10" max="10"/>
    <col width="12" customWidth="1" min="11" max="11"/>
    <col width="22" customWidth="1" min="12" max="12"/>
    <col width="22" customWidth="1" min="13" max="13"/>
    <col width="14" customWidth="1" min="14" max="14"/>
    <col width="6" customWidth="1" min="15" max="15"/>
    <col width="7" customWidth="1" min="16" max="16"/>
    <col width="11" customWidth="1" min="17" max="17"/>
    <col width="14" customWidth="1" min="18" max="18"/>
    <col width="11" customWidth="1" min="19" max="19"/>
    <col width="30" customWidth="1" min="20" max="20"/>
    <col hidden="1" width="9" customWidth="1" min="21" max="21"/>
    <col hidden="1" width="9" customWidth="1" min="22" max="22"/>
    <col hidden="1" width="9" customWidth="1" min="23" max="23"/>
    <col hidden="1" width="9" customWidth="1" min="24" max="24"/>
    <col hidden="1" width="12" customWidth="1" min="25" max="25"/>
    <col hidden="1" width="5" customWidth="1" min="26" max="26"/>
    <col hidden="1" width="7" customWidth="1" min="27" max="27"/>
    <col hidden="1" width="12" customWidth="1" min="28" max="28"/>
    <col hidden="1" width="10" customWidth="1" min="29" max="29"/>
    <col hidden="1" width="8" customWidth="1" min="30" max="30"/>
  </cols>
  <sheetData>
    <row r="1" ht="30" customHeight="1">
      <c r="B1" s="1" t="inlineStr">
        <is>
          <t>LANÇAMENTOS</t>
        </is>
      </c>
    </row>
    <row r="2" ht="32" customHeight="1">
      <c r="B2" s="2" t="inlineStr">
        <is>
          <t>A ÚNICA aba de digitação diária: uma linha por receita, despesa, transferência ou aporte. Compra parcelada = UMA linha (valor TOTAL, parcela atual e total de parcelas). Pagamento de fatura do cartão: lance como Transferência (valor negativo) na conta.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(A a N)</t>
        </is>
      </c>
      <c r="O5" s="28" t="inlineStr">
        <is>
          <t>calculado automaticamente ⬇</t>
        </is>
      </c>
    </row>
    <row r="6" ht="34" customHeight="1">
      <c r="A6" s="7" t="inlineStr">
        <is>
          <t>Data</t>
        </is>
      </c>
      <c r="B6" s="7" t="inlineStr">
        <is>
          <t>Descrição</t>
        </is>
      </c>
      <c r="C6" s="7" t="inlineStr">
        <is>
          <t>Tipo</t>
        </is>
      </c>
      <c r="D6" s="7" t="inlineStr">
        <is>
          <t>Categoria</t>
        </is>
      </c>
      <c r="E6" s="7" t="inlineStr">
        <is>
          <t>Subcategoria</t>
        </is>
      </c>
      <c r="F6" s="7" t="inlineStr">
        <is>
          <t>Conta ou Cartão</t>
        </is>
      </c>
      <c r="G6" s="7" t="inlineStr">
        <is>
          <t>Forma de pagamento</t>
        </is>
      </c>
      <c r="H6" s="7" t="inlineStr">
        <is>
          <t>Parcela atual</t>
        </is>
      </c>
      <c r="I6" s="7" t="inlineStr">
        <is>
          <t>Total de parcelas</t>
        </is>
      </c>
      <c r="J6" s="7" t="inlineStr">
        <is>
          <t>Status</t>
        </is>
      </c>
      <c r="K6" s="7" t="inlineStr">
        <is>
          <t>Tag</t>
        </is>
      </c>
      <c r="L6" s="7" t="inlineStr">
        <is>
          <t>Meta vinculada</t>
        </is>
      </c>
      <c r="M6" s="7" t="inlineStr">
        <is>
          <t>Observação</t>
        </is>
      </c>
      <c r="N6" s="7" t="inlineStr">
        <is>
          <t>Valor</t>
        </is>
      </c>
      <c r="O6" s="7" t="inlineStr">
        <is>
          <t>Mês</t>
        </is>
      </c>
      <c r="P6" s="7" t="inlineStr">
        <is>
          <t>Ano</t>
        </is>
      </c>
      <c r="Q6" s="7" t="inlineStr">
        <is>
          <t>Competência</t>
        </is>
      </c>
      <c r="R6" s="7" t="inlineStr">
        <is>
          <t>Valor da parcela</t>
        </is>
      </c>
      <c r="S6" s="7" t="inlineStr">
        <is>
          <t>Fatura de referência</t>
        </is>
      </c>
      <c r="T6" s="7" t="inlineStr">
        <is>
          <t>Alerta</t>
        </is>
      </c>
      <c r="U6" s="7" t="inlineStr">
        <is>
          <t>Idx início</t>
        </is>
      </c>
      <c r="V6" s="7" t="inlineStr">
        <is>
          <t>Idx fim</t>
        </is>
      </c>
      <c r="W6" s="7" t="inlineStr">
        <is>
          <t>Fatura início</t>
        </is>
      </c>
      <c r="X6" s="7" t="inlineStr">
        <is>
          <t>Fatura fim</t>
        </is>
      </c>
      <c r="Y6" s="7" t="inlineStr">
        <is>
          <t>Parcelas a vencer (cartão)</t>
        </is>
      </c>
      <c r="Z6" s="7" t="inlineStr">
        <is>
          <t>Dia</t>
        </is>
      </c>
      <c r="AA6" s="7" t="inlineStr">
        <is>
          <t>Dia da semana</t>
        </is>
      </c>
      <c r="AB6" s="7" t="inlineStr">
        <is>
          <t>Gasto no mês sel.</t>
        </is>
      </c>
      <c r="AC6" s="7" t="inlineStr">
        <is>
          <t>Chave calendário</t>
        </is>
      </c>
      <c r="AD6" s="7" t="inlineStr">
        <is>
          <t>Ordem calendário</t>
        </is>
      </c>
    </row>
    <row r="7">
      <c r="A7" s="38" t="n">
        <v>45901</v>
      </c>
      <c r="B7" s="39" t="inlineStr">
        <is>
          <t>Padaria e café</t>
        </is>
      </c>
      <c r="C7" s="34" t="inlineStr">
        <is>
          <t>Despesa</t>
        </is>
      </c>
      <c r="D7" s="34" t="inlineStr">
        <is>
          <t>Alimentação</t>
        </is>
      </c>
      <c r="E7" s="34" t="inlineStr">
        <is>
          <t>Restaurantes</t>
        </is>
      </c>
      <c r="F7" s="34" t="inlineStr">
        <is>
          <t>Cartão Roxinho</t>
        </is>
      </c>
      <c r="G7" s="34" t="inlineStr">
        <is>
          <t>Crédito</t>
        </is>
      </c>
      <c r="H7" s="37" t="n"/>
      <c r="I7" s="37" t="n"/>
      <c r="J7" s="34" t="inlineStr">
        <is>
          <t>Pago</t>
        </is>
      </c>
      <c r="K7" s="34" t="n"/>
      <c r="L7" s="34" t="n"/>
      <c r="M7" s="39" t="inlineStr">
        <is>
          <t>EXEMPLO</t>
        </is>
      </c>
      <c r="N7" s="35" t="n">
        <v>60.11</v>
      </c>
      <c r="O7" s="40">
        <f>IF($A7="","",MONTH($A7))</f>
        <v>9</v>
      </c>
      <c r="P7" s="40">
        <f>IF($A7="","",YEAR($A7))</f>
        <v>2025</v>
      </c>
      <c r="Q7" s="41">
        <f>IF($A7="","",DATE(P7,O7,1))</f>
        <v>45901.0</v>
      </c>
      <c r="R7" s="36">
        <f>IF(OR($A7="",$N7=""),"",IF(AND($C7&lt;&gt;"Transferência",N($I7)&gt;1),$N7/$I7,$N7))</f>
        <v>60.11</v>
      </c>
      <c r="S7" s="41">
        <f>IF(OR($A7="",$F7="",$C7&lt;&gt;"Despesa"),"",IF(COUNTIF(Cartoes_Nome,$F7)=0,"",DATE(P7,O7+IF(DAY($A7)&gt;=INDEX(Cartoes_Fech,MATCH($F7,Cartoes_Nome,0)),1,0),1)))</f>
        <v>45901.0</v>
      </c>
      <c r="T7" s="42" t="str">
        <f>IF($A7="","",IF(COUNTIFS(L_Data,$A7,L_Desc,$B7,L_Valor,$N7,L_Tipo,$C7)&gt;1,"⚠ Possível duplicidade",IF(OR(AND($C7="Despesa",COUNTIF(CatD_Nome,$D7)=0),AND($C7="Receita",COUNTIF(CatR_Nome,$D7)=0)),"⚠ Categoria não combina com o tipo",IF(OR($N7="",$C7=""),"⚠ Falta valor ou tipo",""))))</f>
        <v/>
      </c>
      <c r="U7" s="40">
        <f>IF($A7="",0,P7*12+O7)</f>
        <v>24309</v>
      </c>
      <c r="V7" s="40">
        <f>IF($A7="",0,U7+MAX(0,N($I7)-MAX(N($H7),1)))</f>
        <v>24309</v>
      </c>
      <c r="W7" s="40">
        <f>IF(S7="",0,YEAR(S7)*12+MONTH(S7))</f>
        <v>24309</v>
      </c>
      <c r="X7" s="40">
        <f>IF(W7=0,0,W7+V7-U7)</f>
        <v>24309</v>
      </c>
      <c r="Y7" s="36">
        <f>IF(W7=0,0,N(R7)*MAX(0,X7-MAX(W7,YEAR(Cfg_Hoje)*12+MONTH(Cfg_Hoje)+IF(DAY(Cfg_Hoje)&gt;=INDEX(Cartoes_Fech,MATCH($F7,Cartoes_Nome,0)),1,0))+1))</f>
        <v>0</v>
      </c>
      <c r="Z7" s="40">
        <f>IF($A7="",0,DAY($A7))</f>
        <v>1</v>
      </c>
      <c r="AA7" s="40">
        <f>IF($A7="",0,WEEKDAY($A7))</f>
        <v>2</v>
      </c>
      <c r="AB7" s="36">
        <f>IF(AND($C7="Despesa",U7&gt;0,U7&lt;=Sel_Idx,V7&gt;=Sel_Idx),N(R7)+ROW()/1000000000,0)</f>
        <v>0</v>
      </c>
      <c r="AC7" s="40">
        <f>IF(AND($C7="Despesa",U7&gt;0,U7&lt;=Sel_Idx,V7&gt;=Sel_Idx),Z7*10000+ROW(),0)</f>
        <v>0</v>
      </c>
      <c r="AD7" s="40">
        <f>IF(AC7=0,0,COUNTIFS(L_CalChave,"&gt;0",L_CalChave,"&lt;"&amp;AC7)+1)</f>
        <v>0</v>
      </c>
    </row>
    <row r="8">
      <c r="A8" s="38" t="n">
        <v>45903</v>
      </c>
      <c r="B8" s="39" t="inlineStr">
        <is>
          <t>Academia</t>
        </is>
      </c>
      <c r="C8" s="34" t="inlineStr">
        <is>
          <t>Despesa</t>
        </is>
      </c>
      <c r="D8" s="34" t="inlineStr">
        <is>
          <t>Assinaturas</t>
        </is>
      </c>
      <c r="E8" s="34" t="inlineStr">
        <is>
          <t>Academia</t>
        </is>
      </c>
      <c r="F8" s="34" t="inlineStr">
        <is>
          <t>Conta Corrente Banco Azul</t>
        </is>
      </c>
      <c r="G8" s="34" t="inlineStr">
        <is>
          <t>Débito automático</t>
        </is>
      </c>
      <c r="H8" s="37" t="n"/>
      <c r="I8" s="37" t="n"/>
      <c r="J8" s="34" t="inlineStr">
        <is>
          <t>Pago</t>
        </is>
      </c>
      <c r="K8" s="34" t="n"/>
      <c r="L8" s="34" t="n"/>
      <c r="M8" s="39" t="inlineStr">
        <is>
          <t>EXEMPLO</t>
        </is>
      </c>
      <c r="N8" s="35" t="n">
        <v>129</v>
      </c>
      <c r="O8" s="40">
        <f>IF($A8="","",MONTH($A8))</f>
        <v>9</v>
      </c>
      <c r="P8" s="40">
        <f>IF($A8="","",YEAR($A8))</f>
        <v>2025</v>
      </c>
      <c r="Q8" s="41">
        <f>IF($A8="","",DATE(P8,O8,1))</f>
        <v>45901.0</v>
      </c>
      <c r="R8" s="36">
        <f>IF(OR($A8="",$N8=""),"",IF(AND($C8&lt;&gt;"Transferência",N($I8)&gt;1),$N8/$I8,$N8))</f>
        <v>129</v>
      </c>
      <c r="S8" s="41" t="str">
        <f>IF(OR($A8="",$F8="",$C8&lt;&gt;"Despesa"),"",IF(COUNTIF(Cartoes_Nome,$F8)=0,"",DATE(P8,O8+IF(DAY($A8)&gt;=INDEX(Cartoes_Fech,MATCH($F8,Cartoes_Nome,0)),1,0),1)))</f>
        <v/>
      </c>
      <c r="T8" s="42" t="str">
        <f>IF($A8="","",IF(COUNTIFS(L_Data,$A8,L_Desc,$B8,L_Valor,$N8,L_Tipo,$C8)&gt;1,"⚠ Possível duplicidade",IF(OR(AND($C8="Despesa",COUNTIF(CatD_Nome,$D8)=0),AND($C8="Receita",COUNTIF(CatR_Nome,$D8)=0)),"⚠ Categoria não combina com o tipo",IF(OR($N8="",$C8=""),"⚠ Falta valor ou tipo",""))))</f>
        <v/>
      </c>
      <c r="U8" s="40">
        <f>IF($A8="",0,P8*12+O8)</f>
        <v>24309</v>
      </c>
      <c r="V8" s="40">
        <f>IF($A8="",0,U8+MAX(0,N($I8)-MAX(N($H8),1)))</f>
        <v>24309</v>
      </c>
      <c r="W8" s="40">
        <f>IF(S8="",0,YEAR(S8)*12+MONTH(S8))</f>
        <v>0</v>
      </c>
      <c r="X8" s="40">
        <f>IF(W8=0,0,W8+V8-U8)</f>
        <v>0</v>
      </c>
      <c r="Y8" s="36">
        <f>IF(W8=0,0,N(R8)*MAX(0,X8-MAX(W8,YEAR(Cfg_Hoje)*12+MONTH(Cfg_Hoje)+IF(DAY(Cfg_Hoje)&gt;=INDEX(Cartoes_Fech,MATCH($F8,Cartoes_Nome,0)),1,0))+1))</f>
        <v>0</v>
      </c>
      <c r="Z8" s="40">
        <f>IF($A8="",0,DAY($A8))</f>
        <v>3</v>
      </c>
      <c r="AA8" s="40">
        <f>IF($A8="",0,WEEKDAY($A8))</f>
        <v>4</v>
      </c>
      <c r="AB8" s="36">
        <f>IF(AND($C8="Despesa",U8&gt;0,U8&lt;=Sel_Idx,V8&gt;=Sel_Idx),N(R8)+ROW()/1000000000,0)</f>
        <v>0</v>
      </c>
      <c r="AC8" s="40">
        <f>IF(AND($C8="Despesa",U8&gt;0,U8&lt;=Sel_Idx,V8&gt;=Sel_Idx),Z8*10000+ROW(),0)</f>
        <v>0</v>
      </c>
      <c r="AD8" s="40">
        <f>IF(AC8=0,0,COUNTIFS(L_CalChave,"&gt;0",L_CalChave,"&lt;"&amp;AC8)+1)</f>
        <v>0</v>
      </c>
    </row>
    <row r="9">
      <c r="A9" s="38" t="n">
        <v>45904</v>
      </c>
      <c r="B9" s="39" t="inlineStr">
        <is>
          <t>Delivery de comida</t>
        </is>
      </c>
      <c r="C9" s="34" t="inlineStr">
        <is>
          <t>Despesa</t>
        </is>
      </c>
      <c r="D9" s="34" t="inlineStr">
        <is>
          <t>Alimentação</t>
        </is>
      </c>
      <c r="E9" s="34" t="inlineStr">
        <is>
          <t>Restaurantes</t>
        </is>
      </c>
      <c r="F9" s="34" t="inlineStr">
        <is>
          <t>Cartão Azul Gold</t>
        </is>
      </c>
      <c r="G9" s="34" t="inlineStr">
        <is>
          <t>Crédito</t>
        </is>
      </c>
      <c r="H9" s="37" t="n"/>
      <c r="I9" s="37" t="n"/>
      <c r="J9" s="34" t="inlineStr">
        <is>
          <t>Pago</t>
        </is>
      </c>
      <c r="K9" s="34" t="n"/>
      <c r="L9" s="34" t="n"/>
      <c r="M9" s="39" t="inlineStr">
        <is>
          <t>EXEMPLO</t>
        </is>
      </c>
      <c r="N9" s="35" t="n">
        <v>87.56</v>
      </c>
      <c r="O9" s="40">
        <f>IF($A9="","",MONTH($A9))</f>
        <v>9</v>
      </c>
      <c r="P9" s="40">
        <f>IF($A9="","",YEAR($A9))</f>
        <v>2025</v>
      </c>
      <c r="Q9" s="41">
        <f>IF($A9="","",DATE(P9,O9,1))</f>
        <v>45901.0</v>
      </c>
      <c r="R9" s="36">
        <f>IF(OR($A9="",$N9=""),"",IF(AND($C9&lt;&gt;"Transferência",N($I9)&gt;1),$N9/$I9,$N9))</f>
        <v>87.56</v>
      </c>
      <c r="S9" s="41">
        <f>IF(OR($A9="",$F9="",$C9&lt;&gt;"Despesa"),"",IF(COUNTIF(Cartoes_Nome,$F9)=0,"",DATE(P9,O9+IF(DAY($A9)&gt;=INDEX(Cartoes_Fech,MATCH($F9,Cartoes_Nome,0)),1,0),1)))</f>
        <v>45901.0</v>
      </c>
      <c r="T9" s="42" t="str">
        <f>IF($A9="","",IF(COUNTIFS(L_Data,$A9,L_Desc,$B9,L_Valor,$N9,L_Tipo,$C9)&gt;1,"⚠ Possível duplicidade",IF(OR(AND($C9="Despesa",COUNTIF(CatD_Nome,$D9)=0),AND($C9="Receita",COUNTIF(CatR_Nome,$D9)=0)),"⚠ Categoria não combina com o tipo",IF(OR($N9="",$C9=""),"⚠ Falta valor ou tipo",""))))</f>
        <v/>
      </c>
      <c r="U9" s="40">
        <f>IF($A9="",0,P9*12+O9)</f>
        <v>24309</v>
      </c>
      <c r="V9" s="40">
        <f>IF($A9="",0,U9+MAX(0,N($I9)-MAX(N($H9),1)))</f>
        <v>24309</v>
      </c>
      <c r="W9" s="40">
        <f>IF(S9="",0,YEAR(S9)*12+MONTH(S9))</f>
        <v>24309</v>
      </c>
      <c r="X9" s="40">
        <f>IF(W9=0,0,W9+V9-U9)</f>
        <v>24309</v>
      </c>
      <c r="Y9" s="36">
        <f>IF(W9=0,0,N(R9)*MAX(0,X9-MAX(W9,YEAR(Cfg_Hoje)*12+MONTH(Cfg_Hoje)+IF(DAY(Cfg_Hoje)&gt;=INDEX(Cartoes_Fech,MATCH($F9,Cartoes_Nome,0)),1,0))+1))</f>
        <v>0</v>
      </c>
      <c r="Z9" s="40">
        <f>IF($A9="",0,DAY($A9))</f>
        <v>4</v>
      </c>
      <c r="AA9" s="40">
        <f>IF($A9="",0,WEEKDAY($A9))</f>
        <v>5</v>
      </c>
      <c r="AB9" s="36">
        <f>IF(AND($C9="Despesa",U9&gt;0,U9&lt;=Sel_Idx,V9&gt;=Sel_Idx),N(R9)+ROW()/1000000000,0)</f>
        <v>0</v>
      </c>
      <c r="AC9" s="40">
        <f>IF(AND($C9="Despesa",U9&gt;0,U9&lt;=Sel_Idx,V9&gt;=Sel_Idx),Z9*10000+ROW(),0)</f>
        <v>0</v>
      </c>
      <c r="AD9" s="40">
        <f>IF(AC9=0,0,COUNTIFS(L_CalChave,"&gt;0",L_CalChave,"&lt;"&amp;AC9)+1)</f>
        <v>0</v>
      </c>
    </row>
    <row r="10">
      <c r="A10" s="38" t="n">
        <v>45904</v>
      </c>
      <c r="B10" s="39" t="inlineStr">
        <is>
          <t>Supermercado</t>
        </is>
      </c>
      <c r="C10" s="34" t="inlineStr">
        <is>
          <t>Despesa</t>
        </is>
      </c>
      <c r="D10" s="34" t="inlineStr">
        <is>
          <t>Alimentação</t>
        </is>
      </c>
      <c r="E10" s="34" t="inlineStr">
        <is>
          <t>Mercado</t>
        </is>
      </c>
      <c r="F10" s="34" t="inlineStr">
        <is>
          <t>Cartão Azul Gold</t>
        </is>
      </c>
      <c r="G10" s="34" t="inlineStr">
        <is>
          <t>Crédito</t>
        </is>
      </c>
      <c r="H10" s="37" t="n"/>
      <c r="I10" s="37" t="n"/>
      <c r="J10" s="34" t="inlineStr">
        <is>
          <t>Pago</t>
        </is>
      </c>
      <c r="K10" s="34" t="n"/>
      <c r="L10" s="34" t="n"/>
      <c r="M10" s="39" t="inlineStr">
        <is>
          <t>EXEMPLO</t>
        </is>
      </c>
      <c r="N10" s="35" t="n">
        <v>400.01</v>
      </c>
      <c r="O10" s="40">
        <f>IF($A10="","",MONTH($A10))</f>
        <v>9</v>
      </c>
      <c r="P10" s="40">
        <f>IF($A10="","",YEAR($A10))</f>
        <v>2025</v>
      </c>
      <c r="Q10" s="41">
        <f>IF($A10="","",DATE(P10,O10,1))</f>
        <v>45901.0</v>
      </c>
      <c r="R10" s="36">
        <f>IF(OR($A10="",$N10=""),"",IF(AND($C10&lt;&gt;"Transferência",N($I10)&gt;1),$N10/$I10,$N10))</f>
        <v>400.01</v>
      </c>
      <c r="S10" s="41">
        <f>IF(OR($A10="",$F10="",$C10&lt;&gt;"Despesa"),"",IF(COUNTIF(Cartoes_Nome,$F10)=0,"",DATE(P10,O10+IF(DAY($A10)&gt;=INDEX(Cartoes_Fech,MATCH($F10,Cartoes_Nome,0)),1,0),1)))</f>
        <v>45901.0</v>
      </c>
      <c r="T10" s="42" t="str">
        <f>IF($A10="","",IF(COUNTIFS(L_Data,$A10,L_Desc,$B10,L_Valor,$N10,L_Tipo,$C10)&gt;1,"⚠ Possível duplicidade",IF(OR(AND($C10="Despesa",COUNTIF(CatD_Nome,$D10)=0),AND($C10="Receita",COUNTIF(CatR_Nome,$D10)=0)),"⚠ Categoria não combina com o tipo",IF(OR($N10="",$C10=""),"⚠ Falta valor ou tipo",""))))</f>
        <v/>
      </c>
      <c r="U10" s="40">
        <f>IF($A10="",0,P10*12+O10)</f>
        <v>24309</v>
      </c>
      <c r="V10" s="40">
        <f>IF($A10="",0,U10+MAX(0,N($I10)-MAX(N($H10),1)))</f>
        <v>24309</v>
      </c>
      <c r="W10" s="40">
        <f>IF(S10="",0,YEAR(S10)*12+MONTH(S10))</f>
        <v>24309</v>
      </c>
      <c r="X10" s="40">
        <f>IF(W10=0,0,W10+V10-U10)</f>
        <v>24309</v>
      </c>
      <c r="Y10" s="36">
        <f>IF(W10=0,0,N(R10)*MAX(0,X10-MAX(W10,YEAR(Cfg_Hoje)*12+MONTH(Cfg_Hoje)+IF(DAY(Cfg_Hoje)&gt;=INDEX(Cartoes_Fech,MATCH($F10,Cartoes_Nome,0)),1,0))+1))</f>
        <v>0</v>
      </c>
      <c r="Z10" s="40">
        <f>IF($A10="",0,DAY($A10))</f>
        <v>4</v>
      </c>
      <c r="AA10" s="40">
        <f>IF($A10="",0,WEEKDAY($A10))</f>
        <v>5</v>
      </c>
      <c r="AB10" s="36">
        <f>IF(AND($C10="Despesa",U10&gt;0,U10&lt;=Sel_Idx,V10&gt;=Sel_Idx),N(R10)+ROW()/1000000000,0)</f>
        <v>0</v>
      </c>
      <c r="AC10" s="40">
        <f>IF(AND($C10="Despesa",U10&gt;0,U10&lt;=Sel_Idx,V10&gt;=Sel_Idx),Z10*10000+ROW(),0)</f>
        <v>0</v>
      </c>
      <c r="AD10" s="40">
        <f>IF(AC10=0,0,COUNTIFS(L_CalChave,"&gt;0",L_CalChave,"&lt;"&amp;AC10)+1)</f>
        <v>0</v>
      </c>
    </row>
    <row r="11">
      <c r="A11" s="38" t="n">
        <v>45905</v>
      </c>
      <c r="B11" s="39" t="inlineStr">
        <is>
          <t>Plano de saúde</t>
        </is>
      </c>
      <c r="C11" s="34" t="inlineStr">
        <is>
          <t>Despesa</t>
        </is>
      </c>
      <c r="D11" s="34" t="inlineStr">
        <is>
          <t>Saúde</t>
        </is>
      </c>
      <c r="E11" s="34" t="inlineStr">
        <is>
          <t>Plano de saúde</t>
        </is>
      </c>
      <c r="F11" s="34" t="inlineStr">
        <is>
          <t>Conta Corrente Banco Azul</t>
        </is>
      </c>
      <c r="G11" s="34" t="inlineStr">
        <is>
          <t>Débito automático</t>
        </is>
      </c>
      <c r="H11" s="37" t="n"/>
      <c r="I11" s="37" t="n"/>
      <c r="J11" s="34" t="inlineStr">
        <is>
          <t>Pago</t>
        </is>
      </c>
      <c r="K11" s="34" t="n"/>
      <c r="L11" s="34" t="n"/>
      <c r="M11" s="39" t="inlineStr">
        <is>
          <t>EXEMPLO</t>
        </is>
      </c>
      <c r="N11" s="35" t="n">
        <v>780</v>
      </c>
      <c r="O11" s="40">
        <f>IF($A11="","",MONTH($A11))</f>
        <v>9</v>
      </c>
      <c r="P11" s="40">
        <f>IF($A11="","",YEAR($A11))</f>
        <v>2025</v>
      </c>
      <c r="Q11" s="41">
        <f>IF($A11="","",DATE(P11,O11,1))</f>
        <v>45901.0</v>
      </c>
      <c r="R11" s="36">
        <f>IF(OR($A11="",$N11=""),"",IF(AND($C11&lt;&gt;"Transferência",N($I11)&gt;1),$N11/$I11,$N11))</f>
        <v>780</v>
      </c>
      <c r="S11" s="41" t="str">
        <f>IF(OR($A11="",$F11="",$C11&lt;&gt;"Despesa"),"",IF(COUNTIF(Cartoes_Nome,$F11)=0,"",DATE(P11,O11+IF(DAY($A11)&gt;=INDEX(Cartoes_Fech,MATCH($F11,Cartoes_Nome,0)),1,0),1)))</f>
        <v/>
      </c>
      <c r="T11" s="42" t="str">
        <f>IF($A11="","",IF(COUNTIFS(L_Data,$A11,L_Desc,$B11,L_Valor,$N11,L_Tipo,$C11)&gt;1,"⚠ Possível duplicidade",IF(OR(AND($C11="Despesa",COUNTIF(CatD_Nome,$D11)=0),AND($C11="Receita",COUNTIF(CatR_Nome,$D11)=0)),"⚠ Categoria não combina com o tipo",IF(OR($N11="",$C11=""),"⚠ Falta valor ou tipo",""))))</f>
        <v/>
      </c>
      <c r="U11" s="40">
        <f>IF($A11="",0,P11*12+O11)</f>
        <v>24309</v>
      </c>
      <c r="V11" s="40">
        <f>IF($A11="",0,U11+MAX(0,N($I11)-MAX(N($H11),1)))</f>
        <v>24309</v>
      </c>
      <c r="W11" s="40">
        <f>IF(S11="",0,YEAR(S11)*12+MONTH(S11))</f>
        <v>0</v>
      </c>
      <c r="X11" s="40">
        <f>IF(W11=0,0,W11+V11-U11)</f>
        <v>0</v>
      </c>
      <c r="Y11" s="36">
        <f>IF(W11=0,0,N(R11)*MAX(0,X11-MAX(W11,YEAR(Cfg_Hoje)*12+MONTH(Cfg_Hoje)+IF(DAY(Cfg_Hoje)&gt;=INDEX(Cartoes_Fech,MATCH($F11,Cartoes_Nome,0)),1,0))+1))</f>
        <v>0</v>
      </c>
      <c r="Z11" s="40">
        <f>IF($A11="",0,DAY($A11))</f>
        <v>5</v>
      </c>
      <c r="AA11" s="40">
        <f>IF($A11="",0,WEEKDAY($A11))</f>
        <v>6</v>
      </c>
      <c r="AB11" s="36">
        <f>IF(AND($C11="Despesa",U11&gt;0,U11&lt;=Sel_Idx,V11&gt;=Sel_Idx),N(R11)+ROW()/1000000000,0)</f>
        <v>0</v>
      </c>
      <c r="AC11" s="40">
        <f>IF(AND($C11="Despesa",U11&gt;0,U11&lt;=Sel_Idx,V11&gt;=Sel_Idx),Z11*10000+ROW(),0)</f>
        <v>0</v>
      </c>
      <c r="AD11" s="40">
        <f>IF(AC11=0,0,COUNTIFS(L_CalChave,"&gt;0",L_CalChave,"&lt;"&amp;AC11)+1)</f>
        <v>0</v>
      </c>
    </row>
    <row r="12">
      <c r="A12" s="38" t="n">
        <v>45905</v>
      </c>
      <c r="B12" s="39" t="inlineStr">
        <is>
          <t>Salário</t>
        </is>
      </c>
      <c r="C12" s="34" t="inlineStr">
        <is>
          <t>Receita</t>
        </is>
      </c>
      <c r="D12" s="34" t="inlineStr">
        <is>
          <t>Salário</t>
        </is>
      </c>
      <c r="E12" s="34" t="n"/>
      <c r="F12" s="34" t="inlineStr">
        <is>
          <t>Conta Corrente Banco Azul</t>
        </is>
      </c>
      <c r="G12" s="34" t="inlineStr">
        <is>
          <t>Transferência</t>
        </is>
      </c>
      <c r="H12" s="37" t="n"/>
      <c r="I12" s="37" t="n"/>
      <c r="J12" s="34" t="inlineStr">
        <is>
          <t>Pago</t>
        </is>
      </c>
      <c r="K12" s="34" t="n"/>
      <c r="L12" s="34" t="n"/>
      <c r="M12" s="39" t="inlineStr">
        <is>
          <t>EXEMPLO</t>
        </is>
      </c>
      <c r="N12" s="35" t="n">
        <v>10800</v>
      </c>
      <c r="O12" s="40">
        <f>IF($A12="","",MONTH($A12))</f>
        <v>9</v>
      </c>
      <c r="P12" s="40">
        <f>IF($A12="","",YEAR($A12))</f>
        <v>2025</v>
      </c>
      <c r="Q12" s="41">
        <f>IF($A12="","",DATE(P12,O12,1))</f>
        <v>45901.0</v>
      </c>
      <c r="R12" s="36">
        <f>IF(OR($A12="",$N12=""),"",IF(AND($C12&lt;&gt;"Transferência",N($I12)&gt;1),$N12/$I12,$N12))</f>
        <v>10800</v>
      </c>
      <c r="S12" s="41" t="str">
        <f>IF(OR($A12="",$F12="",$C12&lt;&gt;"Despesa"),"",IF(COUNTIF(Cartoes_Nome,$F12)=0,"",DATE(P12,O12+IF(DAY($A12)&gt;=INDEX(Cartoes_Fech,MATCH($F12,Cartoes_Nome,0)),1,0),1)))</f>
        <v/>
      </c>
      <c r="T12" s="42" t="str">
        <f>IF($A12="","",IF(COUNTIFS(L_Data,$A12,L_Desc,$B12,L_Valor,$N12,L_Tipo,$C12)&gt;1,"⚠ Possível duplicidade",IF(OR(AND($C12="Despesa",COUNTIF(CatD_Nome,$D12)=0),AND($C12="Receita",COUNTIF(CatR_Nome,$D12)=0)),"⚠ Categoria não combina com o tipo",IF(OR($N12="",$C12=""),"⚠ Falta valor ou tipo",""))))</f>
        <v/>
      </c>
      <c r="U12" s="40">
        <f>IF($A12="",0,P12*12+O12)</f>
        <v>24309</v>
      </c>
      <c r="V12" s="40">
        <f>IF($A12="",0,U12+MAX(0,N($I12)-MAX(N($H12),1)))</f>
        <v>24309</v>
      </c>
      <c r="W12" s="40">
        <f>IF(S12="",0,YEAR(S12)*12+MONTH(S12))</f>
        <v>0</v>
      </c>
      <c r="X12" s="40">
        <f>IF(W12=0,0,W12+V12-U12)</f>
        <v>0</v>
      </c>
      <c r="Y12" s="36">
        <f>IF(W12=0,0,N(R12)*MAX(0,X12-MAX(W12,YEAR(Cfg_Hoje)*12+MONTH(Cfg_Hoje)+IF(DAY(Cfg_Hoje)&gt;=INDEX(Cartoes_Fech,MATCH($F12,Cartoes_Nome,0)),1,0))+1))</f>
        <v>0</v>
      </c>
      <c r="Z12" s="40">
        <f>IF($A12="",0,DAY($A12))</f>
        <v>5</v>
      </c>
      <c r="AA12" s="40">
        <f>IF($A12="",0,WEEKDAY($A12))</f>
        <v>6</v>
      </c>
      <c r="AB12" s="36">
        <f>IF(AND($C12="Despesa",U12&gt;0,U12&lt;=Sel_Idx,V12&gt;=Sel_Idx),N(R12)+ROW()/1000000000,0)</f>
        <v>0</v>
      </c>
      <c r="AC12" s="40">
        <f>IF(AND($C12="Despesa",U12&gt;0,U12&lt;=Sel_Idx,V12&gt;=Sel_Idx),Z12*10000+ROW(),0)</f>
        <v>0</v>
      </c>
      <c r="AD12" s="40">
        <f>IF(AC12=0,0,COUNTIFS(L_CalChave,"&gt;0",L_CalChave,"&lt;"&amp;AC12)+1)</f>
        <v>0</v>
      </c>
    </row>
    <row r="13">
      <c r="A13" s="38" t="n">
        <v>45906</v>
      </c>
      <c r="B13" s="39" t="inlineStr">
        <is>
          <t>Aporte - aposentadoria (PGBL)</t>
        </is>
      </c>
      <c r="C13" s="34" t="inlineStr">
        <is>
          <t>Investimento</t>
        </is>
      </c>
      <c r="D13" s="34" t="inlineStr">
        <is>
          <t>Investimento</t>
        </is>
      </c>
      <c r="E13" s="34" t="n"/>
      <c r="F13" s="34" t="inlineStr">
        <is>
          <t>Conta Corrente Banco Azul</t>
        </is>
      </c>
      <c r="G13" s="34" t="inlineStr">
        <is>
          <t>Transferência</t>
        </is>
      </c>
      <c r="H13" s="37" t="n"/>
      <c r="I13" s="37" t="n"/>
      <c r="J13" s="34" t="inlineStr">
        <is>
          <t>Pago</t>
        </is>
      </c>
      <c r="K13" s="34" t="n"/>
      <c r="L13" s="34" t="inlineStr">
        <is>
          <t>Aposentadoria</t>
        </is>
      </c>
      <c r="M13" s="39" t="inlineStr">
        <is>
          <t>EXEMPLO</t>
        </is>
      </c>
      <c r="N13" s="35" t="n">
        <v>300</v>
      </c>
      <c r="O13" s="40">
        <f>IF($A13="","",MONTH($A13))</f>
        <v>9</v>
      </c>
      <c r="P13" s="40">
        <f>IF($A13="","",YEAR($A13))</f>
        <v>2025</v>
      </c>
      <c r="Q13" s="41">
        <f>IF($A13="","",DATE(P13,O13,1))</f>
        <v>45901.0</v>
      </c>
      <c r="R13" s="36">
        <f>IF(OR($A13="",$N13=""),"",IF(AND($C13&lt;&gt;"Transferência",N($I13)&gt;1),$N13/$I13,$N13))</f>
        <v>300</v>
      </c>
      <c r="S13" s="41" t="str">
        <f>IF(OR($A13="",$F13="",$C13&lt;&gt;"Despesa"),"",IF(COUNTIF(Cartoes_Nome,$F13)=0,"",DATE(P13,O13+IF(DAY($A13)&gt;=INDEX(Cartoes_Fech,MATCH($F13,Cartoes_Nome,0)),1,0),1)))</f>
        <v/>
      </c>
      <c r="T13" s="42" t="str">
        <f>IF($A13="","",IF(COUNTIFS(L_Data,$A13,L_Desc,$B13,L_Valor,$N13,L_Tipo,$C13)&gt;1,"⚠ Possível duplicidade",IF(OR(AND($C13="Despesa",COUNTIF(CatD_Nome,$D13)=0),AND($C13="Receita",COUNTIF(CatR_Nome,$D13)=0)),"⚠ Categoria não combina com o tipo",IF(OR($N13="",$C13=""),"⚠ Falta valor ou tipo",""))))</f>
        <v/>
      </c>
      <c r="U13" s="40">
        <f>IF($A13="",0,P13*12+O13)</f>
        <v>24309</v>
      </c>
      <c r="V13" s="40">
        <f>IF($A13="",0,U13+MAX(0,N($I13)-MAX(N($H13),1)))</f>
        <v>24309</v>
      </c>
      <c r="W13" s="40">
        <f>IF(S13="",0,YEAR(S13)*12+MONTH(S13))</f>
        <v>0</v>
      </c>
      <c r="X13" s="40">
        <f>IF(W13=0,0,W13+V13-U13)</f>
        <v>0</v>
      </c>
      <c r="Y13" s="36">
        <f>IF(W13=0,0,N(R13)*MAX(0,X13-MAX(W13,YEAR(Cfg_Hoje)*12+MONTH(Cfg_Hoje)+IF(DAY(Cfg_Hoje)&gt;=INDEX(Cartoes_Fech,MATCH($F13,Cartoes_Nome,0)),1,0))+1))</f>
        <v>0</v>
      </c>
      <c r="Z13" s="40">
        <f>IF($A13="",0,DAY($A13))</f>
        <v>6</v>
      </c>
      <c r="AA13" s="40">
        <f>IF($A13="",0,WEEKDAY($A13))</f>
        <v>7</v>
      </c>
      <c r="AB13" s="36">
        <f>IF(AND($C13="Despesa",U13&gt;0,U13&lt;=Sel_Idx,V13&gt;=Sel_Idx),N(R13)+ROW()/1000000000,0)</f>
        <v>0</v>
      </c>
      <c r="AC13" s="40">
        <f>IF(AND($C13="Despesa",U13&gt;0,U13&lt;=Sel_Idx,V13&gt;=Sel_Idx),Z13*10000+ROW(),0)</f>
        <v>0</v>
      </c>
      <c r="AD13" s="40">
        <f>IF(AC13=0,0,COUNTIFS(L_CalChave,"&gt;0",L_CalChave,"&lt;"&amp;AC13)+1)</f>
        <v>0</v>
      </c>
    </row>
    <row r="14">
      <c r="A14" s="38" t="n">
        <v>45906</v>
      </c>
      <c r="B14" s="39" t="inlineStr">
        <is>
          <t>Aporte - reserva de emergência</t>
        </is>
      </c>
      <c r="C14" s="34" t="inlineStr">
        <is>
          <t>Investimento</t>
        </is>
      </c>
      <c r="D14" s="34" t="inlineStr">
        <is>
          <t>Investimento</t>
        </is>
      </c>
      <c r="E14" s="34" t="n"/>
      <c r="F14" s="34" t="inlineStr">
        <is>
          <t>Conta Corrente Banco Azul</t>
        </is>
      </c>
      <c r="G14" s="34" t="inlineStr">
        <is>
          <t>Transferência</t>
        </is>
      </c>
      <c r="H14" s="37" t="n"/>
      <c r="I14" s="37" t="n"/>
      <c r="J14" s="34" t="inlineStr">
        <is>
          <t>Pago</t>
        </is>
      </c>
      <c r="K14" s="34" t="n"/>
      <c r="L14" s="34" t="inlineStr">
        <is>
          <t>Reserva de emergência</t>
        </is>
      </c>
      <c r="M14" s="39" t="inlineStr">
        <is>
          <t>EXEMPLO</t>
        </is>
      </c>
      <c r="N14" s="35" t="n">
        <v>700</v>
      </c>
      <c r="O14" s="40">
        <f>IF($A14="","",MONTH($A14))</f>
        <v>9</v>
      </c>
      <c r="P14" s="40">
        <f>IF($A14="","",YEAR($A14))</f>
        <v>2025</v>
      </c>
      <c r="Q14" s="41">
        <f>IF($A14="","",DATE(P14,O14,1))</f>
        <v>45901.0</v>
      </c>
      <c r="R14" s="36">
        <f>IF(OR($A14="",$N14=""),"",IF(AND($C14&lt;&gt;"Transferência",N($I14)&gt;1),$N14/$I14,$N14))</f>
        <v>700</v>
      </c>
      <c r="S14" s="41" t="str">
        <f>IF(OR($A14="",$F14="",$C14&lt;&gt;"Despesa"),"",IF(COUNTIF(Cartoes_Nome,$F14)=0,"",DATE(P14,O14+IF(DAY($A14)&gt;=INDEX(Cartoes_Fech,MATCH($F14,Cartoes_Nome,0)),1,0),1)))</f>
        <v/>
      </c>
      <c r="T14" s="42" t="str">
        <f>IF($A14="","",IF(COUNTIFS(L_Data,$A14,L_Desc,$B14,L_Valor,$N14,L_Tipo,$C14)&gt;1,"⚠ Possível duplicidade",IF(OR(AND($C14="Despesa",COUNTIF(CatD_Nome,$D14)=0),AND($C14="Receita",COUNTIF(CatR_Nome,$D14)=0)),"⚠ Categoria não combina com o tipo",IF(OR($N14="",$C14=""),"⚠ Falta valor ou tipo",""))))</f>
        <v/>
      </c>
      <c r="U14" s="40">
        <f>IF($A14="",0,P14*12+O14)</f>
        <v>24309</v>
      </c>
      <c r="V14" s="40">
        <f>IF($A14="",0,U14+MAX(0,N($I14)-MAX(N($H14),1)))</f>
        <v>24309</v>
      </c>
      <c r="W14" s="40">
        <f>IF(S14="",0,YEAR(S14)*12+MONTH(S14))</f>
        <v>0</v>
      </c>
      <c r="X14" s="40">
        <f>IF(W14=0,0,W14+V14-U14)</f>
        <v>0</v>
      </c>
      <c r="Y14" s="36">
        <f>IF(W14=0,0,N(R14)*MAX(0,X14-MAX(W14,YEAR(Cfg_Hoje)*12+MONTH(Cfg_Hoje)+IF(DAY(Cfg_Hoje)&gt;=INDEX(Cartoes_Fech,MATCH($F14,Cartoes_Nome,0)),1,0))+1))</f>
        <v>0</v>
      </c>
      <c r="Z14" s="40">
        <f>IF($A14="",0,DAY($A14))</f>
        <v>6</v>
      </c>
      <c r="AA14" s="40">
        <f>IF($A14="",0,WEEKDAY($A14))</f>
        <v>7</v>
      </c>
      <c r="AB14" s="36">
        <f>IF(AND($C14="Despesa",U14&gt;0,U14&lt;=Sel_Idx,V14&gt;=Sel_Idx),N(R14)+ROW()/1000000000,0)</f>
        <v>0</v>
      </c>
      <c r="AC14" s="40">
        <f>IF(AND($C14="Despesa",U14&gt;0,U14&lt;=Sel_Idx,V14&gt;=Sel_Idx),Z14*10000+ROW(),0)</f>
        <v>0</v>
      </c>
      <c r="AD14" s="40">
        <f>IF(AC14=0,0,COUNTIFS(L_CalChave,"&gt;0",L_CalChave,"&lt;"&amp;AC14)+1)</f>
        <v>0</v>
      </c>
    </row>
    <row r="15">
      <c r="A15" s="38" t="n">
        <v>45906</v>
      </c>
      <c r="B15" s="39" t="inlineStr">
        <is>
          <t>Aporte - troca de carro</t>
        </is>
      </c>
      <c r="C15" s="34" t="inlineStr">
        <is>
          <t>Investimento</t>
        </is>
      </c>
      <c r="D15" s="34" t="inlineStr">
        <is>
          <t>Investimento</t>
        </is>
      </c>
      <c r="E15" s="34" t="n"/>
      <c r="F15" s="34" t="inlineStr">
        <is>
          <t>Conta Corrente Banco Azul</t>
        </is>
      </c>
      <c r="G15" s="34" t="inlineStr">
        <is>
          <t>Transferência</t>
        </is>
      </c>
      <c r="H15" s="37" t="n"/>
      <c r="I15" s="37" t="n"/>
      <c r="J15" s="34" t="inlineStr">
        <is>
          <t>Pago</t>
        </is>
      </c>
      <c r="K15" s="34" t="n"/>
      <c r="L15" s="34" t="inlineStr">
        <is>
          <t>Troca de carro</t>
        </is>
      </c>
      <c r="M15" s="39" t="inlineStr">
        <is>
          <t>EXEMPLO</t>
        </is>
      </c>
      <c r="N15" s="35" t="n">
        <v>200</v>
      </c>
      <c r="O15" s="40">
        <f>IF($A15="","",MONTH($A15))</f>
        <v>9</v>
      </c>
      <c r="P15" s="40">
        <f>IF($A15="","",YEAR($A15))</f>
        <v>2025</v>
      </c>
      <c r="Q15" s="41">
        <f>IF($A15="","",DATE(P15,O15,1))</f>
        <v>45901.0</v>
      </c>
      <c r="R15" s="36">
        <f>IF(OR($A15="",$N15=""),"",IF(AND($C15&lt;&gt;"Transferência",N($I15)&gt;1),$N15/$I15,$N15))</f>
        <v>200</v>
      </c>
      <c r="S15" s="41" t="str">
        <f>IF(OR($A15="",$F15="",$C15&lt;&gt;"Despesa"),"",IF(COUNTIF(Cartoes_Nome,$F15)=0,"",DATE(P15,O15+IF(DAY($A15)&gt;=INDEX(Cartoes_Fech,MATCH($F15,Cartoes_Nome,0)),1,0),1)))</f>
        <v/>
      </c>
      <c r="T15" s="42" t="str">
        <f>IF($A15="","",IF(COUNTIFS(L_Data,$A15,L_Desc,$B15,L_Valor,$N15,L_Tipo,$C15)&gt;1,"⚠ Possível duplicidade",IF(OR(AND($C15="Despesa",COUNTIF(CatD_Nome,$D15)=0),AND($C15="Receita",COUNTIF(CatR_Nome,$D15)=0)),"⚠ Categoria não combina com o tipo",IF(OR($N15="",$C15=""),"⚠ Falta valor ou tipo",""))))</f>
        <v/>
      </c>
      <c r="U15" s="40">
        <f>IF($A15="",0,P15*12+O15)</f>
        <v>24309</v>
      </c>
      <c r="V15" s="40">
        <f>IF($A15="",0,U15+MAX(0,N($I15)-MAX(N($H15),1)))</f>
        <v>24309</v>
      </c>
      <c r="W15" s="40">
        <f>IF(S15="",0,YEAR(S15)*12+MONTH(S15))</f>
        <v>0</v>
      </c>
      <c r="X15" s="40">
        <f>IF(W15=0,0,W15+V15-U15)</f>
        <v>0</v>
      </c>
      <c r="Y15" s="36">
        <f>IF(W15=0,0,N(R15)*MAX(0,X15-MAX(W15,YEAR(Cfg_Hoje)*12+MONTH(Cfg_Hoje)+IF(DAY(Cfg_Hoje)&gt;=INDEX(Cartoes_Fech,MATCH($F15,Cartoes_Nome,0)),1,0))+1))</f>
        <v>0</v>
      </c>
      <c r="Z15" s="40">
        <f>IF($A15="",0,DAY($A15))</f>
        <v>6</v>
      </c>
      <c r="AA15" s="40">
        <f>IF($A15="",0,WEEKDAY($A15))</f>
        <v>7</v>
      </c>
      <c r="AB15" s="36">
        <f>IF(AND($C15="Despesa",U15&gt;0,U15&lt;=Sel_Idx,V15&gt;=Sel_Idx),N(R15)+ROW()/1000000000,0)</f>
        <v>0</v>
      </c>
      <c r="AC15" s="40">
        <f>IF(AND($C15="Despesa",U15&gt;0,U15&lt;=Sel_Idx,V15&gt;=Sel_Idx),Z15*10000+ROW(),0)</f>
        <v>0</v>
      </c>
      <c r="AD15" s="40">
        <f>IF(AC15=0,0,COUNTIFS(L_CalChave,"&gt;0",L_CalChave,"&lt;"&amp;AC15)+1)</f>
        <v>0</v>
      </c>
    </row>
    <row r="16">
      <c r="A16" s="38" t="n">
        <v>45906</v>
      </c>
      <c r="B16" s="39" t="inlineStr">
        <is>
          <t>Aporte - viagem</t>
        </is>
      </c>
      <c r="C16" s="34" t="inlineStr">
        <is>
          <t>Investimento</t>
        </is>
      </c>
      <c r="D16" s="34" t="inlineStr">
        <is>
          <t>Investimento</t>
        </is>
      </c>
      <c r="E16" s="34" t="n"/>
      <c r="F16" s="34" t="inlineStr">
        <is>
          <t>Conta Corrente Banco Azul</t>
        </is>
      </c>
      <c r="G16" s="34" t="inlineStr">
        <is>
          <t>Transferência</t>
        </is>
      </c>
      <c r="H16" s="37" t="n"/>
      <c r="I16" s="37" t="n"/>
      <c r="J16" s="34" t="inlineStr">
        <is>
          <t>Pago</t>
        </is>
      </c>
      <c r="K16" s="34" t="n"/>
      <c r="L16" s="34" t="inlineStr">
        <is>
          <t>Viagem Europa</t>
        </is>
      </c>
      <c r="M16" s="39" t="inlineStr">
        <is>
          <t>EXEMPLO</t>
        </is>
      </c>
      <c r="N16" s="35" t="n">
        <v>300</v>
      </c>
      <c r="O16" s="40">
        <f>IF($A16="","",MONTH($A16))</f>
        <v>9</v>
      </c>
      <c r="P16" s="40">
        <f>IF($A16="","",YEAR($A16))</f>
        <v>2025</v>
      </c>
      <c r="Q16" s="41">
        <f>IF($A16="","",DATE(P16,O16,1))</f>
        <v>45901.0</v>
      </c>
      <c r="R16" s="36">
        <f>IF(OR($A16="",$N16=""),"",IF(AND($C16&lt;&gt;"Transferência",N($I16)&gt;1),$N16/$I16,$N16))</f>
        <v>300</v>
      </c>
      <c r="S16" s="41" t="str">
        <f>IF(OR($A16="",$F16="",$C16&lt;&gt;"Despesa"),"",IF(COUNTIF(Cartoes_Nome,$F16)=0,"",DATE(P16,O16+IF(DAY($A16)&gt;=INDEX(Cartoes_Fech,MATCH($F16,Cartoes_Nome,0)),1,0),1)))</f>
        <v/>
      </c>
      <c r="T16" s="42" t="str">
        <f>IF($A16="","",IF(COUNTIFS(L_Data,$A16,L_Desc,$B16,L_Valor,$N16,L_Tipo,$C16)&gt;1,"⚠ Possível duplicidade",IF(OR(AND($C16="Despesa",COUNTIF(CatD_Nome,$D16)=0),AND($C16="Receita",COUNTIF(CatR_Nome,$D16)=0)),"⚠ Categoria não combina com o tipo",IF(OR($N16="",$C16=""),"⚠ Falta valor ou tipo",""))))</f>
        <v/>
      </c>
      <c r="U16" s="40">
        <f>IF($A16="",0,P16*12+O16)</f>
        <v>24309</v>
      </c>
      <c r="V16" s="40">
        <f>IF($A16="",0,U16+MAX(0,N($I16)-MAX(N($H16),1)))</f>
        <v>24309</v>
      </c>
      <c r="W16" s="40">
        <f>IF(S16="",0,YEAR(S16)*12+MONTH(S16))</f>
        <v>0</v>
      </c>
      <c r="X16" s="40">
        <f>IF(W16=0,0,W16+V16-U16)</f>
        <v>0</v>
      </c>
      <c r="Y16" s="36">
        <f>IF(W16=0,0,N(R16)*MAX(0,X16-MAX(W16,YEAR(Cfg_Hoje)*12+MONTH(Cfg_Hoje)+IF(DAY(Cfg_Hoje)&gt;=INDEX(Cartoes_Fech,MATCH($F16,Cartoes_Nome,0)),1,0))+1))</f>
        <v>0</v>
      </c>
      <c r="Z16" s="40">
        <f>IF($A16="",0,DAY($A16))</f>
        <v>6</v>
      </c>
      <c r="AA16" s="40">
        <f>IF($A16="",0,WEEKDAY($A16))</f>
        <v>7</v>
      </c>
      <c r="AB16" s="36">
        <f>IF(AND($C16="Despesa",U16&gt;0,U16&lt;=Sel_Idx,V16&gt;=Sel_Idx),N(R16)+ROW()/1000000000,0)</f>
        <v>0</v>
      </c>
      <c r="AC16" s="40">
        <f>IF(AND($C16="Despesa",U16&gt;0,U16&lt;=Sel_Idx,V16&gt;=Sel_Idx),Z16*10000+ROW(),0)</f>
        <v>0</v>
      </c>
      <c r="AD16" s="40">
        <f>IF(AC16=0,0,COUNTIFS(L_CalChave,"&gt;0",L_CalChave,"&lt;"&amp;AC16)+1)</f>
        <v>0</v>
      </c>
    </row>
    <row r="17">
      <c r="A17" s="38" t="n">
        <v>45907</v>
      </c>
      <c r="B17" s="39" t="inlineStr">
        <is>
          <t>Combustível</t>
        </is>
      </c>
      <c r="C17" s="34" t="inlineStr">
        <is>
          <t>Despesa</t>
        </is>
      </c>
      <c r="D17" s="34" t="inlineStr">
        <is>
          <t>Transporte</t>
        </is>
      </c>
      <c r="E17" s="34" t="inlineStr">
        <is>
          <t>Combustível</t>
        </is>
      </c>
      <c r="F17" s="34" t="inlineStr">
        <is>
          <t>Cartão Azul Gold</t>
        </is>
      </c>
      <c r="G17" s="34" t="inlineStr">
        <is>
          <t>Crédito</t>
        </is>
      </c>
      <c r="H17" s="37" t="n"/>
      <c r="I17" s="37" t="n"/>
      <c r="J17" s="34" t="inlineStr">
        <is>
          <t>Pago</t>
        </is>
      </c>
      <c r="K17" s="34" t="n"/>
      <c r="L17" s="34" t="n"/>
      <c r="M17" s="39" t="inlineStr">
        <is>
          <t>EXEMPLO</t>
        </is>
      </c>
      <c r="N17" s="35" t="n">
        <v>166.35</v>
      </c>
      <c r="O17" s="40">
        <f>IF($A17="","",MONTH($A17))</f>
        <v>9</v>
      </c>
      <c r="P17" s="40">
        <f>IF($A17="","",YEAR($A17))</f>
        <v>2025</v>
      </c>
      <c r="Q17" s="41">
        <f>IF($A17="","",DATE(P17,O17,1))</f>
        <v>45901.0</v>
      </c>
      <c r="R17" s="36">
        <f>IF(OR($A17="",$N17=""),"",IF(AND($C17&lt;&gt;"Transferência",N($I17)&gt;1),$N17/$I17,$N17))</f>
        <v>166.35</v>
      </c>
      <c r="S17" s="41">
        <f>IF(OR($A17="",$F17="",$C17&lt;&gt;"Despesa"),"",IF(COUNTIF(Cartoes_Nome,$F17)=0,"",DATE(P17,O17+IF(DAY($A17)&gt;=INDEX(Cartoes_Fech,MATCH($F17,Cartoes_Nome,0)),1,0),1)))</f>
        <v>45901.0</v>
      </c>
      <c r="T17" s="42" t="str">
        <f>IF($A17="","",IF(COUNTIFS(L_Data,$A17,L_Desc,$B17,L_Valor,$N17,L_Tipo,$C17)&gt;1,"⚠ Possível duplicidade",IF(OR(AND($C17="Despesa",COUNTIF(CatD_Nome,$D17)=0),AND($C17="Receita",COUNTIF(CatR_Nome,$D17)=0)),"⚠ Categoria não combina com o tipo",IF(OR($N17="",$C17=""),"⚠ Falta valor ou tipo",""))))</f>
        <v/>
      </c>
      <c r="U17" s="40">
        <f>IF($A17="",0,P17*12+O17)</f>
        <v>24309</v>
      </c>
      <c r="V17" s="40">
        <f>IF($A17="",0,U17+MAX(0,N($I17)-MAX(N($H17),1)))</f>
        <v>24309</v>
      </c>
      <c r="W17" s="40">
        <f>IF(S17="",0,YEAR(S17)*12+MONTH(S17))</f>
        <v>24309</v>
      </c>
      <c r="X17" s="40">
        <f>IF(W17=0,0,W17+V17-U17)</f>
        <v>24309</v>
      </c>
      <c r="Y17" s="36">
        <f>IF(W17=0,0,N(R17)*MAX(0,X17-MAX(W17,YEAR(Cfg_Hoje)*12+MONTH(Cfg_Hoje)+IF(DAY(Cfg_Hoje)&gt;=INDEX(Cartoes_Fech,MATCH($F17,Cartoes_Nome,0)),1,0))+1))</f>
        <v>0</v>
      </c>
      <c r="Z17" s="40">
        <f>IF($A17="",0,DAY($A17))</f>
        <v>7</v>
      </c>
      <c r="AA17" s="40">
        <f>IF($A17="",0,WEEKDAY($A17))</f>
        <v>1</v>
      </c>
      <c r="AB17" s="36">
        <f>IF(AND($C17="Despesa",U17&gt;0,U17&lt;=Sel_Idx,V17&gt;=Sel_Idx),N(R17)+ROW()/1000000000,0)</f>
        <v>0</v>
      </c>
      <c r="AC17" s="40">
        <f>IF(AND($C17="Despesa",U17&gt;0,U17&lt;=Sel_Idx,V17&gt;=Sel_Idx),Z17*10000+ROW(),0)</f>
        <v>0</v>
      </c>
      <c r="AD17" s="40">
        <f>IF(AC17=0,0,COUNTIFS(L_CalChave,"&gt;0",L_CalChave,"&lt;"&amp;AC17)+1)</f>
        <v>0</v>
      </c>
    </row>
    <row r="18">
      <c r="A18" s="38" t="n">
        <v>45907</v>
      </c>
      <c r="B18" s="39" t="inlineStr">
        <is>
          <t>Doação mensal</t>
        </is>
      </c>
      <c r="C18" s="34" t="inlineStr">
        <is>
          <t>Despesa</t>
        </is>
      </c>
      <c r="D18" s="34" t="inlineStr">
        <is>
          <t>Doações</t>
        </is>
      </c>
      <c r="E18" s="34" t="inlineStr">
        <is>
          <t>ONG</t>
        </is>
      </c>
      <c r="F18" s="34" t="inlineStr">
        <is>
          <t>Conta Corrente Banco Azul</t>
        </is>
      </c>
      <c r="G18" s="34" t="inlineStr">
        <is>
          <t>Pix</t>
        </is>
      </c>
      <c r="H18" s="37" t="n"/>
      <c r="I18" s="37" t="n"/>
      <c r="J18" s="34" t="inlineStr">
        <is>
          <t>Pago</t>
        </is>
      </c>
      <c r="K18" s="34" t="n"/>
      <c r="L18" s="34" t="n"/>
      <c r="M18" s="39" t="inlineStr">
        <is>
          <t>EXEMPLO</t>
        </is>
      </c>
      <c r="N18" s="35" t="n">
        <v>100</v>
      </c>
      <c r="O18" s="40">
        <f>IF($A18="","",MONTH($A18))</f>
        <v>9</v>
      </c>
      <c r="P18" s="40">
        <f>IF($A18="","",YEAR($A18))</f>
        <v>2025</v>
      </c>
      <c r="Q18" s="41">
        <f>IF($A18="","",DATE(P18,O18,1))</f>
        <v>45901.0</v>
      </c>
      <c r="R18" s="36">
        <f>IF(OR($A18="",$N18=""),"",IF(AND($C18&lt;&gt;"Transferência",N($I18)&gt;1),$N18/$I18,$N18))</f>
        <v>100</v>
      </c>
      <c r="S18" s="41" t="str">
        <f>IF(OR($A18="",$F18="",$C18&lt;&gt;"Despesa"),"",IF(COUNTIF(Cartoes_Nome,$F18)=0,"",DATE(P18,O18+IF(DAY($A18)&gt;=INDEX(Cartoes_Fech,MATCH($F18,Cartoes_Nome,0)),1,0),1)))</f>
        <v/>
      </c>
      <c r="T18" s="42" t="str">
        <f>IF($A18="","",IF(COUNTIFS(L_Data,$A18,L_Desc,$B18,L_Valor,$N18,L_Tipo,$C18)&gt;1,"⚠ Possível duplicidade",IF(OR(AND($C18="Despesa",COUNTIF(CatD_Nome,$D18)=0),AND($C18="Receita",COUNTIF(CatR_Nome,$D18)=0)),"⚠ Categoria não combina com o tipo",IF(OR($N18="",$C18=""),"⚠ Falta valor ou tipo",""))))</f>
        <v/>
      </c>
      <c r="U18" s="40">
        <f>IF($A18="",0,P18*12+O18)</f>
        <v>24309</v>
      </c>
      <c r="V18" s="40">
        <f>IF($A18="",0,U18+MAX(0,N($I18)-MAX(N($H18),1)))</f>
        <v>24309</v>
      </c>
      <c r="W18" s="40">
        <f>IF(S18="",0,YEAR(S18)*12+MONTH(S18))</f>
        <v>0</v>
      </c>
      <c r="X18" s="40">
        <f>IF(W18=0,0,W18+V18-U18)</f>
        <v>0</v>
      </c>
      <c r="Y18" s="36">
        <f>IF(W18=0,0,N(R18)*MAX(0,X18-MAX(W18,YEAR(Cfg_Hoje)*12+MONTH(Cfg_Hoje)+IF(DAY(Cfg_Hoje)&gt;=INDEX(Cartoes_Fech,MATCH($F18,Cartoes_Nome,0)),1,0))+1))</f>
        <v>0</v>
      </c>
      <c r="Z18" s="40">
        <f>IF($A18="",0,DAY($A18))</f>
        <v>7</v>
      </c>
      <c r="AA18" s="40">
        <f>IF($A18="",0,WEEKDAY($A18))</f>
        <v>1</v>
      </c>
      <c r="AB18" s="36">
        <f>IF(AND($C18="Despesa",U18&gt;0,U18&lt;=Sel_Idx,V18&gt;=Sel_Idx),N(R18)+ROW()/1000000000,0)</f>
        <v>0</v>
      </c>
      <c r="AC18" s="40">
        <f>IF(AND($C18="Despesa",U18&gt;0,U18&lt;=Sel_Idx,V18&gt;=Sel_Idx),Z18*10000+ROW(),0)</f>
        <v>0</v>
      </c>
      <c r="AD18" s="40">
        <f>IF(AC18=0,0,COUNTIFS(L_CalChave,"&gt;0",L_CalChave,"&lt;"&amp;AC18)+1)</f>
        <v>0</v>
      </c>
    </row>
    <row r="19">
      <c r="A19" s="38" t="n">
        <v>45908</v>
      </c>
      <c r="B19" s="39" t="inlineStr">
        <is>
          <t>Curso de inglês</t>
        </is>
      </c>
      <c r="C19" s="34" t="inlineStr">
        <is>
          <t>Despesa</t>
        </is>
      </c>
      <c r="D19" s="34" t="inlineStr">
        <is>
          <t>Educação</t>
        </is>
      </c>
      <c r="E19" s="34" t="inlineStr">
        <is>
          <t>Cursos</t>
        </is>
      </c>
      <c r="F19" s="34" t="inlineStr">
        <is>
          <t>Conta Corrente Banco Azul</t>
        </is>
      </c>
      <c r="G19" s="34" t="inlineStr">
        <is>
          <t>Boleto</t>
        </is>
      </c>
      <c r="H19" s="37" t="n"/>
      <c r="I19" s="37" t="n"/>
      <c r="J19" s="34" t="inlineStr">
        <is>
          <t>Pago</t>
        </is>
      </c>
      <c r="K19" s="34" t="n"/>
      <c r="L19" s="34" t="n"/>
      <c r="M19" s="39" t="inlineStr">
        <is>
          <t>EXEMPLO</t>
        </is>
      </c>
      <c r="N19" s="35" t="n">
        <v>390</v>
      </c>
      <c r="O19" s="40">
        <f>IF($A19="","",MONTH($A19))</f>
        <v>9</v>
      </c>
      <c r="P19" s="40">
        <f>IF($A19="","",YEAR($A19))</f>
        <v>2025</v>
      </c>
      <c r="Q19" s="41">
        <f>IF($A19="","",DATE(P19,O19,1))</f>
        <v>45901.0</v>
      </c>
      <c r="R19" s="36">
        <f>IF(OR($A19="",$N19=""),"",IF(AND($C19&lt;&gt;"Transferência",N($I19)&gt;1),$N19/$I19,$N19))</f>
        <v>390</v>
      </c>
      <c r="S19" s="41" t="str">
        <f>IF(OR($A19="",$F19="",$C19&lt;&gt;"Despesa"),"",IF(COUNTIF(Cartoes_Nome,$F19)=0,"",DATE(P19,O19+IF(DAY($A19)&gt;=INDEX(Cartoes_Fech,MATCH($F19,Cartoes_Nome,0)),1,0),1)))</f>
        <v/>
      </c>
      <c r="T19" s="42" t="str">
        <f>IF($A19="","",IF(COUNTIFS(L_Data,$A19,L_Desc,$B19,L_Valor,$N19,L_Tipo,$C19)&gt;1,"⚠ Possível duplicidade",IF(OR(AND($C19="Despesa",COUNTIF(CatD_Nome,$D19)=0),AND($C19="Receita",COUNTIF(CatR_Nome,$D19)=0)),"⚠ Categoria não combina com o tipo",IF(OR($N19="",$C19=""),"⚠ Falta valor ou tipo",""))))</f>
        <v/>
      </c>
      <c r="U19" s="40">
        <f>IF($A19="",0,P19*12+O19)</f>
        <v>24309</v>
      </c>
      <c r="V19" s="40">
        <f>IF($A19="",0,U19+MAX(0,N($I19)-MAX(N($H19),1)))</f>
        <v>24309</v>
      </c>
      <c r="W19" s="40">
        <f>IF(S19="",0,YEAR(S19)*12+MONTH(S19))</f>
        <v>0</v>
      </c>
      <c r="X19" s="40">
        <f>IF(W19=0,0,W19+V19-U19)</f>
        <v>0</v>
      </c>
      <c r="Y19" s="36">
        <f>IF(W19=0,0,N(R19)*MAX(0,X19-MAX(W19,YEAR(Cfg_Hoje)*12+MONTH(Cfg_Hoje)+IF(DAY(Cfg_Hoje)&gt;=INDEX(Cartoes_Fech,MATCH($F19,Cartoes_Nome,0)),1,0))+1))</f>
        <v>0</v>
      </c>
      <c r="Z19" s="40">
        <f>IF($A19="",0,DAY($A19))</f>
        <v>8</v>
      </c>
      <c r="AA19" s="40">
        <f>IF($A19="",0,WEEKDAY($A19))</f>
        <v>2</v>
      </c>
      <c r="AB19" s="36">
        <f>IF(AND($C19="Despesa",U19&gt;0,U19&lt;=Sel_Idx,V19&gt;=Sel_Idx),N(R19)+ROW()/1000000000,0)</f>
        <v>0</v>
      </c>
      <c r="AC19" s="40">
        <f>IF(AND($C19="Despesa",U19&gt;0,U19&lt;=Sel_Idx,V19&gt;=Sel_Idx),Z19*10000+ROW(),0)</f>
        <v>0</v>
      </c>
      <c r="AD19" s="40">
        <f>IF(AC19=0,0,COUNTIFS(L_CalChave,"&gt;0",L_CalChave,"&lt;"&amp;AC19)+1)</f>
        <v>0</v>
      </c>
    </row>
    <row r="20">
      <c r="A20" s="38" t="n">
        <v>45909</v>
      </c>
      <c r="B20" s="39" t="inlineStr">
        <is>
          <t>Ração e petiscos</t>
        </is>
      </c>
      <c r="C20" s="34" t="inlineStr">
        <is>
          <t>Despesa</t>
        </is>
      </c>
      <c r="D20" s="34" t="inlineStr">
        <is>
          <t>Família/Pets</t>
        </is>
      </c>
      <c r="E20" s="34" t="inlineStr">
        <is>
          <t>Ração</t>
        </is>
      </c>
      <c r="F20" s="34" t="inlineStr">
        <is>
          <t>Cartão Azul Gold</t>
        </is>
      </c>
      <c r="G20" s="34" t="inlineStr">
        <is>
          <t>Crédito</t>
        </is>
      </c>
      <c r="H20" s="37" t="n"/>
      <c r="I20" s="37" t="n"/>
      <c r="J20" s="34" t="inlineStr">
        <is>
          <t>Pago</t>
        </is>
      </c>
      <c r="K20" s="34" t="n"/>
      <c r="L20" s="34" t="n"/>
      <c r="M20" s="39" t="inlineStr">
        <is>
          <t>EXEMPLO</t>
        </is>
      </c>
      <c r="N20" s="35" t="n">
        <v>243.46</v>
      </c>
      <c r="O20" s="40">
        <f>IF($A20="","",MONTH($A20))</f>
        <v>9</v>
      </c>
      <c r="P20" s="40">
        <f>IF($A20="","",YEAR($A20))</f>
        <v>2025</v>
      </c>
      <c r="Q20" s="41">
        <f>IF($A20="","",DATE(P20,O20,1))</f>
        <v>45901.0</v>
      </c>
      <c r="R20" s="36">
        <f>IF(OR($A20="",$N20=""),"",IF(AND($C20&lt;&gt;"Transferência",N($I20)&gt;1),$N20/$I20,$N20))</f>
        <v>243.46</v>
      </c>
      <c r="S20" s="41">
        <f>IF(OR($A20="",$F20="",$C20&lt;&gt;"Despesa"),"",IF(COUNTIF(Cartoes_Nome,$F20)=0,"",DATE(P20,O20+IF(DAY($A20)&gt;=INDEX(Cartoes_Fech,MATCH($F20,Cartoes_Nome,0)),1,0),1)))</f>
        <v>45901.0</v>
      </c>
      <c r="T20" s="42" t="str">
        <f>IF($A20="","",IF(COUNTIFS(L_Data,$A20,L_Desc,$B20,L_Valor,$N20,L_Tipo,$C20)&gt;1,"⚠ Possível duplicidade",IF(OR(AND($C20="Despesa",COUNTIF(CatD_Nome,$D20)=0),AND($C20="Receita",COUNTIF(CatR_Nome,$D20)=0)),"⚠ Categoria não combina com o tipo",IF(OR($N20="",$C20=""),"⚠ Falta valor ou tipo",""))))</f>
        <v/>
      </c>
      <c r="U20" s="40">
        <f>IF($A20="",0,P20*12+O20)</f>
        <v>24309</v>
      </c>
      <c r="V20" s="40">
        <f>IF($A20="",0,U20+MAX(0,N($I20)-MAX(N($H20),1)))</f>
        <v>24309</v>
      </c>
      <c r="W20" s="40">
        <f>IF(S20="",0,YEAR(S20)*12+MONTH(S20))</f>
        <v>24309</v>
      </c>
      <c r="X20" s="40">
        <f>IF(W20=0,0,W20+V20-U20)</f>
        <v>24309</v>
      </c>
      <c r="Y20" s="36">
        <f>IF(W20=0,0,N(R20)*MAX(0,X20-MAX(W20,YEAR(Cfg_Hoje)*12+MONTH(Cfg_Hoje)+IF(DAY(Cfg_Hoje)&gt;=INDEX(Cartoes_Fech,MATCH($F20,Cartoes_Nome,0)),1,0))+1))</f>
        <v>0</v>
      </c>
      <c r="Z20" s="40">
        <f>IF($A20="",0,DAY($A20))</f>
        <v>9</v>
      </c>
      <c r="AA20" s="40">
        <f>IF($A20="",0,WEEKDAY($A20))</f>
        <v>3</v>
      </c>
      <c r="AB20" s="36">
        <f>IF(AND($C20="Despesa",U20&gt;0,U20&lt;=Sel_Idx,V20&gt;=Sel_Idx),N(R20)+ROW()/1000000000,0)</f>
        <v>0</v>
      </c>
      <c r="AC20" s="40">
        <f>IF(AND($C20="Despesa",U20&gt;0,U20&lt;=Sel_Idx,V20&gt;=Sel_Idx),Z20*10000+ROW(),0)</f>
        <v>0</v>
      </c>
      <c r="AD20" s="40">
        <f>IF(AC20=0,0,COUNTIFS(L_CalChave,"&gt;0",L_CalChave,"&lt;"&amp;AC20)+1)</f>
        <v>0</v>
      </c>
    </row>
    <row r="21">
      <c r="A21" s="38" t="n">
        <v>45910</v>
      </c>
      <c r="B21" s="39" t="inlineStr">
        <is>
          <t>Aluguel recebido - apto 12</t>
        </is>
      </c>
      <c r="C21" s="34" t="inlineStr">
        <is>
          <t>Receita</t>
        </is>
      </c>
      <c r="D21" s="34" t="inlineStr">
        <is>
          <t>Aluguel recebido</t>
        </is>
      </c>
      <c r="E21" s="34" t="n"/>
      <c r="F21" s="34" t="inlineStr">
        <is>
          <t>Conta Corrente Banco Azul</t>
        </is>
      </c>
      <c r="G21" s="34" t="inlineStr">
        <is>
          <t>Pix</t>
        </is>
      </c>
      <c r="H21" s="37" t="n"/>
      <c r="I21" s="37" t="n"/>
      <c r="J21" s="34" t="inlineStr">
        <is>
          <t>Pago</t>
        </is>
      </c>
      <c r="K21" s="34" t="n"/>
      <c r="L21" s="34" t="n"/>
      <c r="M21" s="39" t="inlineStr">
        <is>
          <t>EXEMPLO</t>
        </is>
      </c>
      <c r="N21" s="35" t="n">
        <v>1900</v>
      </c>
      <c r="O21" s="40">
        <f>IF($A21="","",MONTH($A21))</f>
        <v>9</v>
      </c>
      <c r="P21" s="40">
        <f>IF($A21="","",YEAR($A21))</f>
        <v>2025</v>
      </c>
      <c r="Q21" s="41">
        <f>IF($A21="","",DATE(P21,O21,1))</f>
        <v>45901.0</v>
      </c>
      <c r="R21" s="36">
        <f>IF(OR($A21="",$N21=""),"",IF(AND($C21&lt;&gt;"Transferência",N($I21)&gt;1),$N21/$I21,$N21))</f>
        <v>1900</v>
      </c>
      <c r="S21" s="41" t="str">
        <f>IF(OR($A21="",$F21="",$C21&lt;&gt;"Despesa"),"",IF(COUNTIF(Cartoes_Nome,$F21)=0,"",DATE(P21,O21+IF(DAY($A21)&gt;=INDEX(Cartoes_Fech,MATCH($F21,Cartoes_Nome,0)),1,0),1)))</f>
        <v/>
      </c>
      <c r="T21" s="42" t="str">
        <f>IF($A21="","",IF(COUNTIFS(L_Data,$A21,L_Desc,$B21,L_Valor,$N21,L_Tipo,$C21)&gt;1,"⚠ Possível duplicidade",IF(OR(AND($C21="Despesa",COUNTIF(CatD_Nome,$D21)=0),AND($C21="Receita",COUNTIF(CatR_Nome,$D21)=0)),"⚠ Categoria não combina com o tipo",IF(OR($N21="",$C21=""),"⚠ Falta valor ou tipo",""))))</f>
        <v/>
      </c>
      <c r="U21" s="40">
        <f>IF($A21="",0,P21*12+O21)</f>
        <v>24309</v>
      </c>
      <c r="V21" s="40">
        <f>IF($A21="",0,U21+MAX(0,N($I21)-MAX(N($H21),1)))</f>
        <v>24309</v>
      </c>
      <c r="W21" s="40">
        <f>IF(S21="",0,YEAR(S21)*12+MONTH(S21))</f>
        <v>0</v>
      </c>
      <c r="X21" s="40">
        <f>IF(W21=0,0,W21+V21-U21)</f>
        <v>0</v>
      </c>
      <c r="Y21" s="36">
        <f>IF(W21=0,0,N(R21)*MAX(0,X21-MAX(W21,YEAR(Cfg_Hoje)*12+MONTH(Cfg_Hoje)+IF(DAY(Cfg_Hoje)&gt;=INDEX(Cartoes_Fech,MATCH($F21,Cartoes_Nome,0)),1,0))+1))</f>
        <v>0</v>
      </c>
      <c r="Z21" s="40">
        <f>IF($A21="",0,DAY($A21))</f>
        <v>10</v>
      </c>
      <c r="AA21" s="40">
        <f>IF($A21="",0,WEEKDAY($A21))</f>
        <v>4</v>
      </c>
      <c r="AB21" s="36">
        <f>IF(AND($C21="Despesa",U21&gt;0,U21&lt;=Sel_Idx,V21&gt;=Sel_Idx),N(R21)+ROW()/1000000000,0)</f>
        <v>0</v>
      </c>
      <c r="AC21" s="40">
        <f>IF(AND($C21="Despesa",U21&gt;0,U21&lt;=Sel_Idx,V21&gt;=Sel_Idx),Z21*10000+ROW(),0)</f>
        <v>0</v>
      </c>
      <c r="AD21" s="40">
        <f>IF(AC21=0,0,COUNTIFS(L_CalChave,"&gt;0",L_CalChave,"&lt;"&amp;AC21)+1)</f>
        <v>0</v>
      </c>
    </row>
    <row r="22">
      <c r="A22" s="38" t="n">
        <v>45910</v>
      </c>
      <c r="B22" s="39" t="inlineStr">
        <is>
          <t>Aluguel residencial</t>
        </is>
      </c>
      <c r="C22" s="34" t="inlineStr">
        <is>
          <t>Despesa</t>
        </is>
      </c>
      <c r="D22" s="34" t="inlineStr">
        <is>
          <t>Moradia</t>
        </is>
      </c>
      <c r="E22" s="34" t="inlineStr">
        <is>
          <t>Aluguel</t>
        </is>
      </c>
      <c r="F22" s="34" t="inlineStr">
        <is>
          <t>Conta Corrente Banco Azul</t>
        </is>
      </c>
      <c r="G22" s="34" t="inlineStr">
        <is>
          <t>Boleto</t>
        </is>
      </c>
      <c r="H22" s="37" t="n"/>
      <c r="I22" s="37" t="n"/>
      <c r="J22" s="34" t="inlineStr">
        <is>
          <t>Pago</t>
        </is>
      </c>
      <c r="K22" s="34" t="n"/>
      <c r="L22" s="34" t="n"/>
      <c r="M22" s="39" t="inlineStr">
        <is>
          <t>EXEMPLO</t>
        </is>
      </c>
      <c r="N22" s="35" t="n">
        <v>2400</v>
      </c>
      <c r="O22" s="40">
        <f>IF($A22="","",MONTH($A22))</f>
        <v>9</v>
      </c>
      <c r="P22" s="40">
        <f>IF($A22="","",YEAR($A22))</f>
        <v>2025</v>
      </c>
      <c r="Q22" s="41">
        <f>IF($A22="","",DATE(P22,O22,1))</f>
        <v>45901.0</v>
      </c>
      <c r="R22" s="36">
        <f>IF(OR($A22="",$N22=""),"",IF(AND($C22&lt;&gt;"Transferência",N($I22)&gt;1),$N22/$I22,$N22))</f>
        <v>2400</v>
      </c>
      <c r="S22" s="41" t="str">
        <f>IF(OR($A22="",$F22="",$C22&lt;&gt;"Despesa"),"",IF(COUNTIF(Cartoes_Nome,$F22)=0,"",DATE(P22,O22+IF(DAY($A22)&gt;=INDEX(Cartoes_Fech,MATCH($F22,Cartoes_Nome,0)),1,0),1)))</f>
        <v/>
      </c>
      <c r="T22" s="42" t="str">
        <f>IF($A22="","",IF(COUNTIFS(L_Data,$A22,L_Desc,$B22,L_Valor,$N22,L_Tipo,$C22)&gt;1,"⚠ Possível duplicidade",IF(OR(AND($C22="Despesa",COUNTIF(CatD_Nome,$D22)=0),AND($C22="Receita",COUNTIF(CatR_Nome,$D22)=0)),"⚠ Categoria não combina com o tipo",IF(OR($N22="",$C22=""),"⚠ Falta valor ou tipo",""))))</f>
        <v/>
      </c>
      <c r="U22" s="40">
        <f>IF($A22="",0,P22*12+O22)</f>
        <v>24309</v>
      </c>
      <c r="V22" s="40">
        <f>IF($A22="",0,U22+MAX(0,N($I22)-MAX(N($H22),1)))</f>
        <v>24309</v>
      </c>
      <c r="W22" s="40">
        <f>IF(S22="",0,YEAR(S22)*12+MONTH(S22))</f>
        <v>0</v>
      </c>
      <c r="X22" s="40">
        <f>IF(W22=0,0,W22+V22-U22)</f>
        <v>0</v>
      </c>
      <c r="Y22" s="36">
        <f>IF(W22=0,0,N(R22)*MAX(0,X22-MAX(W22,YEAR(Cfg_Hoje)*12+MONTH(Cfg_Hoje)+IF(DAY(Cfg_Hoje)&gt;=INDEX(Cartoes_Fech,MATCH($F22,Cartoes_Nome,0)),1,0))+1))</f>
        <v>0</v>
      </c>
      <c r="Z22" s="40">
        <f>IF($A22="",0,DAY($A22))</f>
        <v>10</v>
      </c>
      <c r="AA22" s="40">
        <f>IF($A22="",0,WEEKDAY($A22))</f>
        <v>4</v>
      </c>
      <c r="AB22" s="36">
        <f>IF(AND($C22="Despesa",U22&gt;0,U22&lt;=Sel_Idx,V22&gt;=Sel_Idx),N(R22)+ROW()/1000000000,0)</f>
        <v>0</v>
      </c>
      <c r="AC22" s="40">
        <f>IF(AND($C22="Despesa",U22&gt;0,U22&lt;=Sel_Idx,V22&gt;=Sel_Idx),Z22*10000+ROW(),0)</f>
        <v>0</v>
      </c>
      <c r="AD22" s="40">
        <f>IF(AC22=0,0,COUNTIFS(L_CalChave,"&gt;0",L_CalChave,"&lt;"&amp;AC22)+1)</f>
        <v>0</v>
      </c>
    </row>
    <row r="23">
      <c r="A23" s="38" t="n">
        <v>45910</v>
      </c>
      <c r="B23" s="39" t="inlineStr">
        <is>
          <t>Condomínio</t>
        </is>
      </c>
      <c r="C23" s="34" t="inlineStr">
        <is>
          <t>Despesa</t>
        </is>
      </c>
      <c r="D23" s="34" t="inlineStr">
        <is>
          <t>Moradia</t>
        </is>
      </c>
      <c r="E23" s="34" t="inlineStr">
        <is>
          <t>Condomínio</t>
        </is>
      </c>
      <c r="F23" s="34" t="inlineStr">
        <is>
          <t>Conta Corrente Banco Azul</t>
        </is>
      </c>
      <c r="G23" s="34" t="inlineStr">
        <is>
          <t>Boleto</t>
        </is>
      </c>
      <c r="H23" s="37" t="n"/>
      <c r="I23" s="37" t="n"/>
      <c r="J23" s="34" t="inlineStr">
        <is>
          <t>Pago</t>
        </is>
      </c>
      <c r="K23" s="34" t="n"/>
      <c r="L23" s="34" t="n"/>
      <c r="M23" s="39" t="inlineStr">
        <is>
          <t>EXEMPLO</t>
        </is>
      </c>
      <c r="N23" s="35" t="n">
        <v>650</v>
      </c>
      <c r="O23" s="40">
        <f>IF($A23="","",MONTH($A23))</f>
        <v>9</v>
      </c>
      <c r="P23" s="40">
        <f>IF($A23="","",YEAR($A23))</f>
        <v>2025</v>
      </c>
      <c r="Q23" s="41">
        <f>IF($A23="","",DATE(P23,O23,1))</f>
        <v>45901.0</v>
      </c>
      <c r="R23" s="36">
        <f>IF(OR($A23="",$N23=""),"",IF(AND($C23&lt;&gt;"Transferência",N($I23)&gt;1),$N23/$I23,$N23))</f>
        <v>650</v>
      </c>
      <c r="S23" s="41" t="str">
        <f>IF(OR($A23="",$F23="",$C23&lt;&gt;"Despesa"),"",IF(COUNTIF(Cartoes_Nome,$F23)=0,"",DATE(P23,O23+IF(DAY($A23)&gt;=INDEX(Cartoes_Fech,MATCH($F23,Cartoes_Nome,0)),1,0),1)))</f>
        <v/>
      </c>
      <c r="T23" s="42" t="str">
        <f>IF($A23="","",IF(COUNTIFS(L_Data,$A23,L_Desc,$B23,L_Valor,$N23,L_Tipo,$C23)&gt;1,"⚠ Possível duplicidade",IF(OR(AND($C23="Despesa",COUNTIF(CatD_Nome,$D23)=0),AND($C23="Receita",COUNTIF(CatR_Nome,$D23)=0)),"⚠ Categoria não combina com o tipo",IF(OR($N23="",$C23=""),"⚠ Falta valor ou tipo",""))))</f>
        <v/>
      </c>
      <c r="U23" s="40">
        <f>IF($A23="",0,P23*12+O23)</f>
        <v>24309</v>
      </c>
      <c r="V23" s="40">
        <f>IF($A23="",0,U23+MAX(0,N($I23)-MAX(N($H23),1)))</f>
        <v>24309</v>
      </c>
      <c r="W23" s="40">
        <f>IF(S23="",0,YEAR(S23)*12+MONTH(S23))</f>
        <v>0</v>
      </c>
      <c r="X23" s="40">
        <f>IF(W23=0,0,W23+V23-U23)</f>
        <v>0</v>
      </c>
      <c r="Y23" s="36">
        <f>IF(W23=0,0,N(R23)*MAX(0,X23-MAX(W23,YEAR(Cfg_Hoje)*12+MONTH(Cfg_Hoje)+IF(DAY(Cfg_Hoje)&gt;=INDEX(Cartoes_Fech,MATCH($F23,Cartoes_Nome,0)),1,0))+1))</f>
        <v>0</v>
      </c>
      <c r="Z23" s="40">
        <f>IF($A23="",0,DAY($A23))</f>
        <v>10</v>
      </c>
      <c r="AA23" s="40">
        <f>IF($A23="",0,WEEKDAY($A23))</f>
        <v>4</v>
      </c>
      <c r="AB23" s="36">
        <f>IF(AND($C23="Despesa",U23&gt;0,U23&lt;=Sel_Idx,V23&gt;=Sel_Idx),N(R23)+ROW()/1000000000,0)</f>
        <v>0</v>
      </c>
      <c r="AC23" s="40">
        <f>IF(AND($C23="Despesa",U23&gt;0,U23&lt;=Sel_Idx,V23&gt;=Sel_Idx),Z23*10000+ROW(),0)</f>
        <v>0</v>
      </c>
      <c r="AD23" s="40">
        <f>IF(AC23=0,0,COUNTIFS(L_CalChave,"&gt;0",L_CalChave,"&lt;"&amp;AC23)+1)</f>
        <v>0</v>
      </c>
    </row>
    <row r="24">
      <c r="A24" s="38" t="n">
        <v>45911</v>
      </c>
      <c r="B24" s="39" t="inlineStr">
        <is>
          <t>Farmácia</t>
        </is>
      </c>
      <c r="C24" s="34" t="inlineStr">
        <is>
          <t>Despesa</t>
        </is>
      </c>
      <c r="D24" s="34" t="inlineStr">
        <is>
          <t>Saúde</t>
        </is>
      </c>
      <c r="E24" s="34" t="inlineStr">
        <is>
          <t>Farmácia</t>
        </is>
      </c>
      <c r="F24" s="34" t="inlineStr">
        <is>
          <t>Cartão Azul Gold</t>
        </is>
      </c>
      <c r="G24" s="34" t="inlineStr">
        <is>
          <t>Crédito</t>
        </is>
      </c>
      <c r="H24" s="37" t="n"/>
      <c r="I24" s="37" t="n"/>
      <c r="J24" s="34" t="inlineStr">
        <is>
          <t>Pago</t>
        </is>
      </c>
      <c r="K24" s="34" t="n"/>
      <c r="L24" s="34" t="n"/>
      <c r="M24" s="39" t="inlineStr">
        <is>
          <t>EXEMPLO</t>
        </is>
      </c>
      <c r="N24" s="35" t="n">
        <v>58.32</v>
      </c>
      <c r="O24" s="40">
        <f>IF($A24="","",MONTH($A24))</f>
        <v>9</v>
      </c>
      <c r="P24" s="40">
        <f>IF($A24="","",YEAR($A24))</f>
        <v>2025</v>
      </c>
      <c r="Q24" s="41">
        <f>IF($A24="","",DATE(P24,O24,1))</f>
        <v>45901.0</v>
      </c>
      <c r="R24" s="36">
        <f>IF(OR($A24="",$N24=""),"",IF(AND($C24&lt;&gt;"Transferência",N($I24)&gt;1),$N24/$I24,$N24))</f>
        <v>58.32</v>
      </c>
      <c r="S24" s="41">
        <f>IF(OR($A24="",$F24="",$C24&lt;&gt;"Despesa"),"",IF(COUNTIF(Cartoes_Nome,$F24)=0,"",DATE(P24,O24+IF(DAY($A24)&gt;=INDEX(Cartoes_Fech,MATCH($F24,Cartoes_Nome,0)),1,0),1)))</f>
        <v>45931.0</v>
      </c>
      <c r="T24" s="42" t="str">
        <f>IF($A24="","",IF(COUNTIFS(L_Data,$A24,L_Desc,$B24,L_Valor,$N24,L_Tipo,$C24)&gt;1,"⚠ Possível duplicidade",IF(OR(AND($C24="Despesa",COUNTIF(CatD_Nome,$D24)=0),AND($C24="Receita",COUNTIF(CatR_Nome,$D24)=0)),"⚠ Categoria não combina com o tipo",IF(OR($N24="",$C24=""),"⚠ Falta valor ou tipo",""))))</f>
        <v/>
      </c>
      <c r="U24" s="40">
        <f>IF($A24="",0,P24*12+O24)</f>
        <v>24309</v>
      </c>
      <c r="V24" s="40">
        <f>IF($A24="",0,U24+MAX(0,N($I24)-MAX(N($H24),1)))</f>
        <v>24309</v>
      </c>
      <c r="W24" s="40">
        <f>IF(S24="",0,YEAR(S24)*12+MONTH(S24))</f>
        <v>24310</v>
      </c>
      <c r="X24" s="40">
        <f>IF(W24=0,0,W24+V24-U24)</f>
        <v>24310</v>
      </c>
      <c r="Y24" s="36">
        <f>IF(W24=0,0,N(R24)*MAX(0,X24-MAX(W24,YEAR(Cfg_Hoje)*12+MONTH(Cfg_Hoje)+IF(DAY(Cfg_Hoje)&gt;=INDEX(Cartoes_Fech,MATCH($F24,Cartoes_Nome,0)),1,0))+1))</f>
        <v>0</v>
      </c>
      <c r="Z24" s="40">
        <f>IF($A24="",0,DAY($A24))</f>
        <v>11</v>
      </c>
      <c r="AA24" s="40">
        <f>IF($A24="",0,WEEKDAY($A24))</f>
        <v>5</v>
      </c>
      <c r="AB24" s="36">
        <f>IF(AND($C24="Despesa",U24&gt;0,U24&lt;=Sel_Idx,V24&gt;=Sel_Idx),N(R24)+ROW()/1000000000,0)</f>
        <v>0</v>
      </c>
      <c r="AC24" s="40">
        <f>IF(AND($C24="Despesa",U24&gt;0,U24&lt;=Sel_Idx,V24&gt;=Sel_Idx),Z24*10000+ROW(),0)</f>
        <v>0</v>
      </c>
      <c r="AD24" s="40">
        <f>IF(AC24=0,0,COUNTIFS(L_CalChave,"&gt;0",L_CalChave,"&lt;"&amp;AC24)+1)</f>
        <v>0</v>
      </c>
    </row>
    <row r="25">
      <c r="A25" s="38" t="n">
        <v>45912</v>
      </c>
      <c r="B25" s="39" t="inlineStr">
        <is>
          <t>Combustível</t>
        </is>
      </c>
      <c r="C25" s="34" t="inlineStr">
        <is>
          <t>Despesa</t>
        </is>
      </c>
      <c r="D25" s="34" t="inlineStr">
        <is>
          <t>Transporte</t>
        </is>
      </c>
      <c r="E25" s="34" t="inlineStr">
        <is>
          <t>Combustível</t>
        </is>
      </c>
      <c r="F25" s="34" t="inlineStr">
        <is>
          <t>Cartão Azul Gold</t>
        </is>
      </c>
      <c r="G25" s="34" t="inlineStr">
        <is>
          <t>Crédito</t>
        </is>
      </c>
      <c r="H25" s="37" t="n"/>
      <c r="I25" s="37" t="n"/>
      <c r="J25" s="34" t="inlineStr">
        <is>
          <t>Pago</t>
        </is>
      </c>
      <c r="K25" s="34" t="n"/>
      <c r="L25" s="34" t="n"/>
      <c r="M25" s="39" t="inlineStr">
        <is>
          <t>EXEMPLO</t>
        </is>
      </c>
      <c r="N25" s="35" t="n">
        <v>214.98</v>
      </c>
      <c r="O25" s="40">
        <f>IF($A25="","",MONTH($A25))</f>
        <v>9</v>
      </c>
      <c r="P25" s="40">
        <f>IF($A25="","",YEAR($A25))</f>
        <v>2025</v>
      </c>
      <c r="Q25" s="41">
        <f>IF($A25="","",DATE(P25,O25,1))</f>
        <v>45901.0</v>
      </c>
      <c r="R25" s="36">
        <f>IF(OR($A25="",$N25=""),"",IF(AND($C25&lt;&gt;"Transferência",N($I25)&gt;1),$N25/$I25,$N25))</f>
        <v>214.98</v>
      </c>
      <c r="S25" s="41">
        <f>IF(OR($A25="",$F25="",$C25&lt;&gt;"Despesa"),"",IF(COUNTIF(Cartoes_Nome,$F25)=0,"",DATE(P25,O25+IF(DAY($A25)&gt;=INDEX(Cartoes_Fech,MATCH($F25,Cartoes_Nome,0)),1,0),1)))</f>
        <v>45931.0</v>
      </c>
      <c r="T25" s="42" t="str">
        <f>IF($A25="","",IF(COUNTIFS(L_Data,$A25,L_Desc,$B25,L_Valor,$N25,L_Tipo,$C25)&gt;1,"⚠ Possível duplicidade",IF(OR(AND($C25="Despesa",COUNTIF(CatD_Nome,$D25)=0),AND($C25="Receita",COUNTIF(CatR_Nome,$D25)=0)),"⚠ Categoria não combina com o tipo",IF(OR($N25="",$C25=""),"⚠ Falta valor ou tipo",""))))</f>
        <v/>
      </c>
      <c r="U25" s="40">
        <f>IF($A25="",0,P25*12+O25)</f>
        <v>24309</v>
      </c>
      <c r="V25" s="40">
        <f>IF($A25="",0,U25+MAX(0,N($I25)-MAX(N($H25),1)))</f>
        <v>24309</v>
      </c>
      <c r="W25" s="40">
        <f>IF(S25="",0,YEAR(S25)*12+MONTH(S25))</f>
        <v>24310</v>
      </c>
      <c r="X25" s="40">
        <f>IF(W25=0,0,W25+V25-U25)</f>
        <v>24310</v>
      </c>
      <c r="Y25" s="36">
        <f>IF(W25=0,0,N(R25)*MAX(0,X25-MAX(W25,YEAR(Cfg_Hoje)*12+MONTH(Cfg_Hoje)+IF(DAY(Cfg_Hoje)&gt;=INDEX(Cartoes_Fech,MATCH($F25,Cartoes_Nome,0)),1,0))+1))</f>
        <v>0</v>
      </c>
      <c r="Z25" s="40">
        <f>IF($A25="",0,DAY($A25))</f>
        <v>12</v>
      </c>
      <c r="AA25" s="40">
        <f>IF($A25="",0,WEEKDAY($A25))</f>
        <v>6</v>
      </c>
      <c r="AB25" s="36">
        <f>IF(AND($C25="Despesa",U25&gt;0,U25&lt;=Sel_Idx,V25&gt;=Sel_Idx),N(R25)+ROW()/1000000000,0)</f>
        <v>0</v>
      </c>
      <c r="AC25" s="40">
        <f>IF(AND($C25="Despesa",U25&gt;0,U25&lt;=Sel_Idx,V25&gt;=Sel_Idx),Z25*10000+ROW(),0)</f>
        <v>0</v>
      </c>
      <c r="AD25" s="40">
        <f>IF(AC25=0,0,COUNTIFS(L_CalChave,"&gt;0",L_CalChave,"&lt;"&amp;AC25)+1)</f>
        <v>0</v>
      </c>
    </row>
    <row r="26">
      <c r="A26" s="38" t="n">
        <v>45912</v>
      </c>
      <c r="B26" s="39" t="inlineStr">
        <is>
          <t>Show</t>
        </is>
      </c>
      <c r="C26" s="34" t="inlineStr">
        <is>
          <t>Despesa</t>
        </is>
      </c>
      <c r="D26" s="34" t="inlineStr">
        <is>
          <t>Lazer</t>
        </is>
      </c>
      <c r="E26" s="34" t="inlineStr">
        <is>
          <t>Bares</t>
        </is>
      </c>
      <c r="F26" s="34" t="inlineStr">
        <is>
          <t>Cartão Azul Gold</t>
        </is>
      </c>
      <c r="G26" s="34" t="inlineStr">
        <is>
          <t>Crédito</t>
        </is>
      </c>
      <c r="H26" s="37" t="n"/>
      <c r="I26" s="37" t="n"/>
      <c r="J26" s="34" t="inlineStr">
        <is>
          <t>Pago</t>
        </is>
      </c>
      <c r="K26" s="34" t="n"/>
      <c r="L26" s="34" t="n"/>
      <c r="M26" s="39" t="inlineStr">
        <is>
          <t>EXEMPLO</t>
        </is>
      </c>
      <c r="N26" s="35" t="n">
        <v>71.79000000000001</v>
      </c>
      <c r="O26" s="40">
        <f>IF($A26="","",MONTH($A26))</f>
        <v>9</v>
      </c>
      <c r="P26" s="40">
        <f>IF($A26="","",YEAR($A26))</f>
        <v>2025</v>
      </c>
      <c r="Q26" s="41">
        <f>IF($A26="","",DATE(P26,O26,1))</f>
        <v>45901.0</v>
      </c>
      <c r="R26" s="36">
        <f>IF(OR($A26="",$N26=""),"",IF(AND($C26&lt;&gt;"Transferência",N($I26)&gt;1),$N26/$I26,$N26))</f>
        <v>71.79</v>
      </c>
      <c r="S26" s="41">
        <f>IF(OR($A26="",$F26="",$C26&lt;&gt;"Despesa"),"",IF(COUNTIF(Cartoes_Nome,$F26)=0,"",DATE(P26,O26+IF(DAY($A26)&gt;=INDEX(Cartoes_Fech,MATCH($F26,Cartoes_Nome,0)),1,0),1)))</f>
        <v>45931.0</v>
      </c>
      <c r="T26" s="42" t="str">
        <f>IF($A26="","",IF(COUNTIFS(L_Data,$A26,L_Desc,$B26,L_Valor,$N26,L_Tipo,$C26)&gt;1,"⚠ Possível duplicidade",IF(OR(AND($C26="Despesa",COUNTIF(CatD_Nome,$D26)=0),AND($C26="Receita",COUNTIF(CatR_Nome,$D26)=0)),"⚠ Categoria não combina com o tipo",IF(OR($N26="",$C26=""),"⚠ Falta valor ou tipo",""))))</f>
        <v/>
      </c>
      <c r="U26" s="40">
        <f>IF($A26="",0,P26*12+O26)</f>
        <v>24309</v>
      </c>
      <c r="V26" s="40">
        <f>IF($A26="",0,U26+MAX(0,N($I26)-MAX(N($H26),1)))</f>
        <v>24309</v>
      </c>
      <c r="W26" s="40">
        <f>IF(S26="",0,YEAR(S26)*12+MONTH(S26))</f>
        <v>24310</v>
      </c>
      <c r="X26" s="40">
        <f>IF(W26=0,0,W26+V26-U26)</f>
        <v>24310</v>
      </c>
      <c r="Y26" s="36">
        <f>IF(W26=0,0,N(R26)*MAX(0,X26-MAX(W26,YEAR(Cfg_Hoje)*12+MONTH(Cfg_Hoje)+IF(DAY(Cfg_Hoje)&gt;=INDEX(Cartoes_Fech,MATCH($F26,Cartoes_Nome,0)),1,0))+1))</f>
        <v>0</v>
      </c>
      <c r="Z26" s="40">
        <f>IF($A26="",0,DAY($A26))</f>
        <v>12</v>
      </c>
      <c r="AA26" s="40">
        <f>IF($A26="",0,WEEKDAY($A26))</f>
        <v>6</v>
      </c>
      <c r="AB26" s="36">
        <f>IF(AND($C26="Despesa",U26&gt;0,U26&lt;=Sel_Idx,V26&gt;=Sel_Idx),N(R26)+ROW()/1000000000,0)</f>
        <v>0</v>
      </c>
      <c r="AC26" s="40">
        <f>IF(AND($C26="Despesa",U26&gt;0,U26&lt;=Sel_Idx,V26&gt;=Sel_Idx),Z26*10000+ROW(),0)</f>
        <v>0</v>
      </c>
      <c r="AD26" s="40">
        <f>IF(AC26=0,0,COUNTIFS(L_CalChave,"&gt;0",L_CalChave,"&lt;"&amp;AC26)+1)</f>
        <v>0</v>
      </c>
    </row>
    <row r="27">
      <c r="A27" s="38" t="n">
        <v>45912</v>
      </c>
      <c r="B27" s="39" t="inlineStr">
        <is>
          <t>Streaming de música</t>
        </is>
      </c>
      <c r="C27" s="34" t="inlineStr">
        <is>
          <t>Despesa</t>
        </is>
      </c>
      <c r="D27" s="34" t="inlineStr">
        <is>
          <t>Assinaturas</t>
        </is>
      </c>
      <c r="E27" s="34" t="inlineStr">
        <is>
          <t>Música</t>
        </is>
      </c>
      <c r="F27" s="34" t="inlineStr">
        <is>
          <t>Cartão Roxinho</t>
        </is>
      </c>
      <c r="G27" s="34" t="inlineStr">
        <is>
          <t>Crédito</t>
        </is>
      </c>
      <c r="H27" s="37" t="n"/>
      <c r="I27" s="37" t="n"/>
      <c r="J27" s="34" t="inlineStr">
        <is>
          <t>Pago</t>
        </is>
      </c>
      <c r="K27" s="34" t="n"/>
      <c r="L27" s="34" t="n"/>
      <c r="M27" s="39" t="inlineStr">
        <is>
          <t>EXEMPLO</t>
        </is>
      </c>
      <c r="N27" s="35" t="n">
        <v>21.9</v>
      </c>
      <c r="O27" s="40">
        <f>IF($A27="","",MONTH($A27))</f>
        <v>9</v>
      </c>
      <c r="P27" s="40">
        <f>IF($A27="","",YEAR($A27))</f>
        <v>2025</v>
      </c>
      <c r="Q27" s="41">
        <f>IF($A27="","",DATE(P27,O27,1))</f>
        <v>45901.0</v>
      </c>
      <c r="R27" s="36">
        <f>IF(OR($A27="",$N27=""),"",IF(AND($C27&lt;&gt;"Transferência",N($I27)&gt;1),$N27/$I27,$N27))</f>
        <v>21.9</v>
      </c>
      <c r="S27" s="41">
        <f>IF(OR($A27="",$F27="",$C27&lt;&gt;"Despesa"),"",IF(COUNTIF(Cartoes_Nome,$F27)=0,"",DATE(P27,O27+IF(DAY($A27)&gt;=INDEX(Cartoes_Fech,MATCH($F27,Cartoes_Nome,0)),1,0),1)))</f>
        <v>45901.0</v>
      </c>
      <c r="T27" s="42" t="str">
        <f>IF($A27="","",IF(COUNTIFS(L_Data,$A27,L_Desc,$B27,L_Valor,$N27,L_Tipo,$C27)&gt;1,"⚠ Possível duplicidade",IF(OR(AND($C27="Despesa",COUNTIF(CatD_Nome,$D27)=0),AND($C27="Receita",COUNTIF(CatR_Nome,$D27)=0)),"⚠ Categoria não combina com o tipo",IF(OR($N27="",$C27=""),"⚠ Falta valor ou tipo",""))))</f>
        <v/>
      </c>
      <c r="U27" s="40">
        <f>IF($A27="",0,P27*12+O27)</f>
        <v>24309</v>
      </c>
      <c r="V27" s="40">
        <f>IF($A27="",0,U27+MAX(0,N($I27)-MAX(N($H27),1)))</f>
        <v>24309</v>
      </c>
      <c r="W27" s="40">
        <f>IF(S27="",0,YEAR(S27)*12+MONTH(S27))</f>
        <v>24309</v>
      </c>
      <c r="X27" s="40">
        <f>IF(W27=0,0,W27+V27-U27)</f>
        <v>24309</v>
      </c>
      <c r="Y27" s="36">
        <f>IF(W27=0,0,N(R27)*MAX(0,X27-MAX(W27,YEAR(Cfg_Hoje)*12+MONTH(Cfg_Hoje)+IF(DAY(Cfg_Hoje)&gt;=INDEX(Cartoes_Fech,MATCH($F27,Cartoes_Nome,0)),1,0))+1))</f>
        <v>0</v>
      </c>
      <c r="Z27" s="40">
        <f>IF($A27="",0,DAY($A27))</f>
        <v>12</v>
      </c>
      <c r="AA27" s="40">
        <f>IF($A27="",0,WEEKDAY($A27))</f>
        <v>6</v>
      </c>
      <c r="AB27" s="36">
        <f>IF(AND($C27="Despesa",U27&gt;0,U27&lt;=Sel_Idx,V27&gt;=Sel_Idx),N(R27)+ROW()/1000000000,0)</f>
        <v>0</v>
      </c>
      <c r="AC27" s="40">
        <f>IF(AND($C27="Despesa",U27&gt;0,U27&lt;=Sel_Idx,V27&gt;=Sel_Idx),Z27*10000+ROW(),0)</f>
        <v>0</v>
      </c>
      <c r="AD27" s="40">
        <f>IF(AC27=0,0,COUNTIFS(L_CalChave,"&gt;0",L_CalChave,"&lt;"&amp;AC27)+1)</f>
        <v>0</v>
      </c>
    </row>
    <row r="28">
      <c r="A28" s="38" t="n">
        <v>45912</v>
      </c>
      <c r="B28" s="39" t="inlineStr">
        <is>
          <t>Streaming de vídeo</t>
        </is>
      </c>
      <c r="C28" s="34" t="inlineStr">
        <is>
          <t>Despesa</t>
        </is>
      </c>
      <c r="D28" s="34" t="inlineStr">
        <is>
          <t>Assinaturas</t>
        </is>
      </c>
      <c r="E28" s="34" t="inlineStr">
        <is>
          <t>Streaming</t>
        </is>
      </c>
      <c r="F28" s="34" t="inlineStr">
        <is>
          <t>Cartão Roxinho</t>
        </is>
      </c>
      <c r="G28" s="34" t="inlineStr">
        <is>
          <t>Crédito</t>
        </is>
      </c>
      <c r="H28" s="37" t="n"/>
      <c r="I28" s="37" t="n"/>
      <c r="J28" s="34" t="inlineStr">
        <is>
          <t>Pago</t>
        </is>
      </c>
      <c r="K28" s="34" t="n"/>
      <c r="L28" s="34" t="n"/>
      <c r="M28" s="39" t="inlineStr">
        <is>
          <t>EXEMPLO</t>
        </is>
      </c>
      <c r="N28" s="35" t="n">
        <v>55.9</v>
      </c>
      <c r="O28" s="40">
        <f>IF($A28="","",MONTH($A28))</f>
        <v>9</v>
      </c>
      <c r="P28" s="40">
        <f>IF($A28="","",YEAR($A28))</f>
        <v>2025</v>
      </c>
      <c r="Q28" s="41">
        <f>IF($A28="","",DATE(P28,O28,1))</f>
        <v>45901.0</v>
      </c>
      <c r="R28" s="36">
        <f>IF(OR($A28="",$N28=""),"",IF(AND($C28&lt;&gt;"Transferência",N($I28)&gt;1),$N28/$I28,$N28))</f>
        <v>55.9</v>
      </c>
      <c r="S28" s="41">
        <f>IF(OR($A28="",$F28="",$C28&lt;&gt;"Despesa"),"",IF(COUNTIF(Cartoes_Nome,$F28)=0,"",DATE(P28,O28+IF(DAY($A28)&gt;=INDEX(Cartoes_Fech,MATCH($F28,Cartoes_Nome,0)),1,0),1)))</f>
        <v>45901.0</v>
      </c>
      <c r="T28" s="42" t="str">
        <f>IF($A28="","",IF(COUNTIFS(L_Data,$A28,L_Desc,$B28,L_Valor,$N28,L_Tipo,$C28)&gt;1,"⚠ Possível duplicidade",IF(OR(AND($C28="Despesa",COUNTIF(CatD_Nome,$D28)=0),AND($C28="Receita",COUNTIF(CatR_Nome,$D28)=0)),"⚠ Categoria não combina com o tipo",IF(OR($N28="",$C28=""),"⚠ Falta valor ou tipo",""))))</f>
        <v/>
      </c>
      <c r="U28" s="40">
        <f>IF($A28="",0,P28*12+O28)</f>
        <v>24309</v>
      </c>
      <c r="V28" s="40">
        <f>IF($A28="",0,U28+MAX(0,N($I28)-MAX(N($H28),1)))</f>
        <v>24309</v>
      </c>
      <c r="W28" s="40">
        <f>IF(S28="",0,YEAR(S28)*12+MONTH(S28))</f>
        <v>24309</v>
      </c>
      <c r="X28" s="40">
        <f>IF(W28=0,0,W28+V28-U28)</f>
        <v>24309</v>
      </c>
      <c r="Y28" s="36">
        <f>IF(W28=0,0,N(R28)*MAX(0,X28-MAX(W28,YEAR(Cfg_Hoje)*12+MONTH(Cfg_Hoje)+IF(DAY(Cfg_Hoje)&gt;=INDEX(Cartoes_Fech,MATCH($F28,Cartoes_Nome,0)),1,0))+1))</f>
        <v>0</v>
      </c>
      <c r="Z28" s="40">
        <f>IF($A28="",0,DAY($A28))</f>
        <v>12</v>
      </c>
      <c r="AA28" s="40">
        <f>IF($A28="",0,WEEKDAY($A28))</f>
        <v>6</v>
      </c>
      <c r="AB28" s="36">
        <f>IF(AND($C28="Despesa",U28&gt;0,U28&lt;=Sel_Idx,V28&gt;=Sel_Idx),N(R28)+ROW()/1000000000,0)</f>
        <v>0</v>
      </c>
      <c r="AC28" s="40">
        <f>IF(AND($C28="Despesa",U28&gt;0,U28&lt;=Sel_Idx,V28&gt;=Sel_Idx),Z28*10000+ROW(),0)</f>
        <v>0</v>
      </c>
      <c r="AD28" s="40">
        <f>IF(AC28=0,0,COUNTIFS(L_CalChave,"&gt;0",L_CalChave,"&lt;"&amp;AC28)+1)</f>
        <v>0</v>
      </c>
    </row>
    <row r="29">
      <c r="A29" s="38" t="n">
        <v>45913</v>
      </c>
      <c r="B29" s="39" t="inlineStr">
        <is>
          <t>Supermercado</t>
        </is>
      </c>
      <c r="C29" s="34" t="inlineStr">
        <is>
          <t>Despesa</t>
        </is>
      </c>
      <c r="D29" s="34" t="inlineStr">
        <is>
          <t>Alimentação</t>
        </is>
      </c>
      <c r="E29" s="34" t="inlineStr">
        <is>
          <t>Mercado</t>
        </is>
      </c>
      <c r="F29" s="34" t="inlineStr">
        <is>
          <t>Conta Corrente Banco Azul</t>
        </is>
      </c>
      <c r="G29" s="34" t="inlineStr">
        <is>
          <t>Débito</t>
        </is>
      </c>
      <c r="H29" s="37" t="n"/>
      <c r="I29" s="37" t="n"/>
      <c r="J29" s="34" t="inlineStr">
        <is>
          <t>Pago</t>
        </is>
      </c>
      <c r="K29" s="34" t="n"/>
      <c r="L29" s="34" t="n"/>
      <c r="M29" s="39" t="inlineStr">
        <is>
          <t>EXEMPLO</t>
        </is>
      </c>
      <c r="N29" s="35" t="n">
        <v>309.92</v>
      </c>
      <c r="O29" s="40">
        <f>IF($A29="","",MONTH($A29))</f>
        <v>9</v>
      </c>
      <c r="P29" s="40">
        <f>IF($A29="","",YEAR($A29))</f>
        <v>2025</v>
      </c>
      <c r="Q29" s="41">
        <f>IF($A29="","",DATE(P29,O29,1))</f>
        <v>45901.0</v>
      </c>
      <c r="R29" s="36">
        <f>IF(OR($A29="",$N29=""),"",IF(AND($C29&lt;&gt;"Transferência",N($I29)&gt;1),$N29/$I29,$N29))</f>
        <v>309.92</v>
      </c>
      <c r="S29" s="41" t="str">
        <f>IF(OR($A29="",$F29="",$C29&lt;&gt;"Despesa"),"",IF(COUNTIF(Cartoes_Nome,$F29)=0,"",DATE(P29,O29+IF(DAY($A29)&gt;=INDEX(Cartoes_Fech,MATCH($F29,Cartoes_Nome,0)),1,0),1)))</f>
        <v/>
      </c>
      <c r="T29" s="42" t="str">
        <f>IF($A29="","",IF(COUNTIFS(L_Data,$A29,L_Desc,$B29,L_Valor,$N29,L_Tipo,$C29)&gt;1,"⚠ Possível duplicidade",IF(OR(AND($C29="Despesa",COUNTIF(CatD_Nome,$D29)=0),AND($C29="Receita",COUNTIF(CatR_Nome,$D29)=0)),"⚠ Categoria não combina com o tipo",IF(OR($N29="",$C29=""),"⚠ Falta valor ou tipo",""))))</f>
        <v/>
      </c>
      <c r="U29" s="40">
        <f>IF($A29="",0,P29*12+O29)</f>
        <v>24309</v>
      </c>
      <c r="V29" s="40">
        <f>IF($A29="",0,U29+MAX(0,N($I29)-MAX(N($H29),1)))</f>
        <v>24309</v>
      </c>
      <c r="W29" s="40">
        <f>IF(S29="",0,YEAR(S29)*12+MONTH(S29))</f>
        <v>0</v>
      </c>
      <c r="X29" s="40">
        <f>IF(W29=0,0,W29+V29-U29)</f>
        <v>0</v>
      </c>
      <c r="Y29" s="36">
        <f>IF(W29=0,0,N(R29)*MAX(0,X29-MAX(W29,YEAR(Cfg_Hoje)*12+MONTH(Cfg_Hoje)+IF(DAY(Cfg_Hoje)&gt;=INDEX(Cartoes_Fech,MATCH($F29,Cartoes_Nome,0)),1,0))+1))</f>
        <v>0</v>
      </c>
      <c r="Z29" s="40">
        <f>IF($A29="",0,DAY($A29))</f>
        <v>13</v>
      </c>
      <c r="AA29" s="40">
        <f>IF($A29="",0,WEEKDAY($A29))</f>
        <v>7</v>
      </c>
      <c r="AB29" s="36">
        <f>IF(AND($C29="Despesa",U29&gt;0,U29&lt;=Sel_Idx,V29&gt;=Sel_Idx),N(R29)+ROW()/1000000000,0)</f>
        <v>0</v>
      </c>
      <c r="AC29" s="40">
        <f>IF(AND($C29="Despesa",U29&gt;0,U29&lt;=Sel_Idx,V29&gt;=Sel_Idx),Z29*10000+ROW(),0)</f>
        <v>0</v>
      </c>
      <c r="AD29" s="40">
        <f>IF(AC29=0,0,COUNTIFS(L_CalChave,"&gt;0",L_CalChave,"&lt;"&amp;AC29)+1)</f>
        <v>0</v>
      </c>
    </row>
    <row r="30">
      <c r="A30" s="38" t="n">
        <v>45914</v>
      </c>
      <c r="B30" s="39" t="inlineStr">
        <is>
          <t>Armazenamento em nuvem</t>
        </is>
      </c>
      <c r="C30" s="34" t="inlineStr">
        <is>
          <t>Despesa</t>
        </is>
      </c>
      <c r="D30" s="34" t="inlineStr">
        <is>
          <t>Assinaturas</t>
        </is>
      </c>
      <c r="E30" s="34" t="inlineStr">
        <is>
          <t>Nuvem</t>
        </is>
      </c>
      <c r="F30" s="34" t="inlineStr">
        <is>
          <t>Cartão Azul Gold</t>
        </is>
      </c>
      <c r="G30" s="34" t="inlineStr">
        <is>
          <t>Crédito</t>
        </is>
      </c>
      <c r="H30" s="37" t="n"/>
      <c r="I30" s="37" t="n"/>
      <c r="J30" s="34" t="inlineStr">
        <is>
          <t>Pago</t>
        </is>
      </c>
      <c r="K30" s="34" t="n"/>
      <c r="L30" s="34" t="n"/>
      <c r="M30" s="39" t="inlineStr">
        <is>
          <t>EXEMPLO</t>
        </is>
      </c>
      <c r="N30" s="35" t="n">
        <v>14.9</v>
      </c>
      <c r="O30" s="40">
        <f>IF($A30="","",MONTH($A30))</f>
        <v>9</v>
      </c>
      <c r="P30" s="40">
        <f>IF($A30="","",YEAR($A30))</f>
        <v>2025</v>
      </c>
      <c r="Q30" s="41">
        <f>IF($A30="","",DATE(P30,O30,1))</f>
        <v>45901.0</v>
      </c>
      <c r="R30" s="36">
        <f>IF(OR($A30="",$N30=""),"",IF(AND($C30&lt;&gt;"Transferência",N($I30)&gt;1),$N30/$I30,$N30))</f>
        <v>14.9</v>
      </c>
      <c r="S30" s="41">
        <f>IF(OR($A30="",$F30="",$C30&lt;&gt;"Despesa"),"",IF(COUNTIF(Cartoes_Nome,$F30)=0,"",DATE(P30,O30+IF(DAY($A30)&gt;=INDEX(Cartoes_Fech,MATCH($F30,Cartoes_Nome,0)),1,0),1)))</f>
        <v>45931.0</v>
      </c>
      <c r="T30" s="42" t="str">
        <f>IF($A30="","",IF(COUNTIFS(L_Data,$A30,L_Desc,$B30,L_Valor,$N30,L_Tipo,$C30)&gt;1,"⚠ Possível duplicidade",IF(OR(AND($C30="Despesa",COUNTIF(CatD_Nome,$D30)=0),AND($C30="Receita",COUNTIF(CatR_Nome,$D30)=0)),"⚠ Categoria não combina com o tipo",IF(OR($N30="",$C30=""),"⚠ Falta valor ou tipo",""))))</f>
        <v/>
      </c>
      <c r="U30" s="40">
        <f>IF($A30="",0,P30*12+O30)</f>
        <v>24309</v>
      </c>
      <c r="V30" s="40">
        <f>IF($A30="",0,U30+MAX(0,N($I30)-MAX(N($H30),1)))</f>
        <v>24309</v>
      </c>
      <c r="W30" s="40">
        <f>IF(S30="",0,YEAR(S30)*12+MONTH(S30))</f>
        <v>24310</v>
      </c>
      <c r="X30" s="40">
        <f>IF(W30=0,0,W30+V30-U30)</f>
        <v>24310</v>
      </c>
      <c r="Y30" s="36">
        <f>IF(W30=0,0,N(R30)*MAX(0,X30-MAX(W30,YEAR(Cfg_Hoje)*12+MONTH(Cfg_Hoje)+IF(DAY(Cfg_Hoje)&gt;=INDEX(Cartoes_Fech,MATCH($F30,Cartoes_Nome,0)),1,0))+1))</f>
        <v>0</v>
      </c>
      <c r="Z30" s="40">
        <f>IF($A30="",0,DAY($A30))</f>
        <v>14</v>
      </c>
      <c r="AA30" s="40">
        <f>IF($A30="",0,WEEKDAY($A30))</f>
        <v>1</v>
      </c>
      <c r="AB30" s="36">
        <f>IF(AND($C30="Despesa",U30&gt;0,U30&lt;=Sel_Idx,V30&gt;=Sel_Idx),N(R30)+ROW()/1000000000,0)</f>
        <v>0</v>
      </c>
      <c r="AC30" s="40">
        <f>IF(AND($C30="Despesa",U30&gt;0,U30&lt;=Sel_Idx,V30&gt;=Sel_Idx),Z30*10000+ROW(),0)</f>
        <v>0</v>
      </c>
      <c r="AD30" s="40">
        <f>IF(AC30=0,0,COUNTIFS(L_CalChave,"&gt;0",L_CalChave,"&lt;"&amp;AC30)+1)</f>
        <v>0</v>
      </c>
    </row>
    <row r="31">
      <c r="A31" s="38" t="n">
        <v>45915</v>
      </c>
      <c r="B31" s="39" t="inlineStr">
        <is>
          <t>Conta de energia</t>
        </is>
      </c>
      <c r="C31" s="34" t="inlineStr">
        <is>
          <t>Despesa</t>
        </is>
      </c>
      <c r="D31" s="34" t="inlineStr">
        <is>
          <t>Moradia</t>
        </is>
      </c>
      <c r="E31" s="34" t="inlineStr">
        <is>
          <t>Energia</t>
        </is>
      </c>
      <c r="F31" s="34" t="inlineStr">
        <is>
          <t>Conta Corrente Banco Azul</t>
        </is>
      </c>
      <c r="G31" s="34" t="inlineStr">
        <is>
          <t>Débito automático</t>
        </is>
      </c>
      <c r="H31" s="37" t="n"/>
      <c r="I31" s="37" t="n"/>
      <c r="J31" s="34" t="inlineStr">
        <is>
          <t>Pago</t>
        </is>
      </c>
      <c r="K31" s="34" t="n"/>
      <c r="L31" s="34" t="n"/>
      <c r="M31" s="39" t="inlineStr">
        <is>
          <t>EXEMPLO</t>
        </is>
      </c>
      <c r="N31" s="35" t="n">
        <v>185.23</v>
      </c>
      <c r="O31" s="40">
        <f>IF($A31="","",MONTH($A31))</f>
        <v>9</v>
      </c>
      <c r="P31" s="40">
        <f>IF($A31="","",YEAR($A31))</f>
        <v>2025</v>
      </c>
      <c r="Q31" s="41">
        <f>IF($A31="","",DATE(P31,O31,1))</f>
        <v>45901.0</v>
      </c>
      <c r="R31" s="36">
        <f>IF(OR($A31="",$N31=""),"",IF(AND($C31&lt;&gt;"Transferência",N($I31)&gt;1),$N31/$I31,$N31))</f>
        <v>185.23</v>
      </c>
      <c r="S31" s="41" t="str">
        <f>IF(OR($A31="",$F31="",$C31&lt;&gt;"Despesa"),"",IF(COUNTIF(Cartoes_Nome,$F31)=0,"",DATE(P31,O31+IF(DAY($A31)&gt;=INDEX(Cartoes_Fech,MATCH($F31,Cartoes_Nome,0)),1,0),1)))</f>
        <v/>
      </c>
      <c r="T31" s="42" t="str">
        <f>IF($A31="","",IF(COUNTIFS(L_Data,$A31,L_Desc,$B31,L_Valor,$N31,L_Tipo,$C31)&gt;1,"⚠ Possível duplicidade",IF(OR(AND($C31="Despesa",COUNTIF(CatD_Nome,$D31)=0),AND($C31="Receita",COUNTIF(CatR_Nome,$D31)=0)),"⚠ Categoria não combina com o tipo",IF(OR($N31="",$C31=""),"⚠ Falta valor ou tipo",""))))</f>
        <v/>
      </c>
      <c r="U31" s="40">
        <f>IF($A31="",0,P31*12+O31)</f>
        <v>24309</v>
      </c>
      <c r="V31" s="40">
        <f>IF($A31="",0,U31+MAX(0,N($I31)-MAX(N($H31),1)))</f>
        <v>24309</v>
      </c>
      <c r="W31" s="40">
        <f>IF(S31="",0,YEAR(S31)*12+MONTH(S31))</f>
        <v>0</v>
      </c>
      <c r="X31" s="40">
        <f>IF(W31=0,0,W31+V31-U31)</f>
        <v>0</v>
      </c>
      <c r="Y31" s="36">
        <f>IF(W31=0,0,N(R31)*MAX(0,X31-MAX(W31,YEAR(Cfg_Hoje)*12+MONTH(Cfg_Hoje)+IF(DAY(Cfg_Hoje)&gt;=INDEX(Cartoes_Fech,MATCH($F31,Cartoes_Nome,0)),1,0))+1))</f>
        <v>0</v>
      </c>
      <c r="Z31" s="40">
        <f>IF($A31="",0,DAY($A31))</f>
        <v>15</v>
      </c>
      <c r="AA31" s="40">
        <f>IF($A31="",0,WEEKDAY($A31))</f>
        <v>2</v>
      </c>
      <c r="AB31" s="36">
        <f>IF(AND($C31="Despesa",U31&gt;0,U31&lt;=Sel_Idx,V31&gt;=Sel_Idx),N(R31)+ROW()/1000000000,0)</f>
        <v>0</v>
      </c>
      <c r="AC31" s="40">
        <f>IF(AND($C31="Despesa",U31&gt;0,U31&lt;=Sel_Idx,V31&gt;=Sel_Idx),Z31*10000+ROW(),0)</f>
        <v>0</v>
      </c>
      <c r="AD31" s="40">
        <f>IF(AC31=0,0,COUNTIFS(L_CalChave,"&gt;0",L_CalChave,"&lt;"&amp;AC31)+1)</f>
        <v>0</v>
      </c>
    </row>
    <row r="32">
      <c r="A32" s="38" t="n">
        <v>45915</v>
      </c>
      <c r="B32" s="39" t="inlineStr">
        <is>
          <t>Conta de água</t>
        </is>
      </c>
      <c r="C32" s="34" t="inlineStr">
        <is>
          <t>Despesa</t>
        </is>
      </c>
      <c r="D32" s="34" t="inlineStr">
        <is>
          <t>Moradia</t>
        </is>
      </c>
      <c r="E32" s="34" t="inlineStr">
        <is>
          <t>Água</t>
        </is>
      </c>
      <c r="F32" s="34" t="inlineStr">
        <is>
          <t>Conta Corrente Banco Azul</t>
        </is>
      </c>
      <c r="G32" s="34" t="inlineStr">
        <is>
          <t>Débito automático</t>
        </is>
      </c>
      <c r="H32" s="37" t="n"/>
      <c r="I32" s="37" t="n"/>
      <c r="J32" s="34" t="inlineStr">
        <is>
          <t>Pago</t>
        </is>
      </c>
      <c r="K32" s="34" t="n"/>
      <c r="L32" s="34" t="n"/>
      <c r="M32" s="39" t="inlineStr">
        <is>
          <t>EXEMPLO</t>
        </is>
      </c>
      <c r="N32" s="35" t="n">
        <v>90.47</v>
      </c>
      <c r="O32" s="40">
        <f>IF($A32="","",MONTH($A32))</f>
        <v>9</v>
      </c>
      <c r="P32" s="40">
        <f>IF($A32="","",YEAR($A32))</f>
        <v>2025</v>
      </c>
      <c r="Q32" s="41">
        <f>IF($A32="","",DATE(P32,O32,1))</f>
        <v>45901.0</v>
      </c>
      <c r="R32" s="36">
        <f>IF(OR($A32="",$N32=""),"",IF(AND($C32&lt;&gt;"Transferência",N($I32)&gt;1),$N32/$I32,$N32))</f>
        <v>90.47</v>
      </c>
      <c r="S32" s="41" t="str">
        <f>IF(OR($A32="",$F32="",$C32&lt;&gt;"Despesa"),"",IF(COUNTIF(Cartoes_Nome,$F32)=0,"",DATE(P32,O32+IF(DAY($A32)&gt;=INDEX(Cartoes_Fech,MATCH($F32,Cartoes_Nome,0)),1,0),1)))</f>
        <v/>
      </c>
      <c r="T32" s="42" t="str">
        <f>IF($A32="","",IF(COUNTIFS(L_Data,$A32,L_Desc,$B32,L_Valor,$N32,L_Tipo,$C32)&gt;1,"⚠ Possível duplicidade",IF(OR(AND($C32="Despesa",COUNTIF(CatD_Nome,$D32)=0),AND($C32="Receita",COUNTIF(CatR_Nome,$D32)=0)),"⚠ Categoria não combina com o tipo",IF(OR($N32="",$C32=""),"⚠ Falta valor ou tipo",""))))</f>
        <v/>
      </c>
      <c r="U32" s="40">
        <f>IF($A32="",0,P32*12+O32)</f>
        <v>24309</v>
      </c>
      <c r="V32" s="40">
        <f>IF($A32="",0,U32+MAX(0,N($I32)-MAX(N($H32),1)))</f>
        <v>24309</v>
      </c>
      <c r="W32" s="40">
        <f>IF(S32="",0,YEAR(S32)*12+MONTH(S32))</f>
        <v>0</v>
      </c>
      <c r="X32" s="40">
        <f>IF(W32=0,0,W32+V32-U32)</f>
        <v>0</v>
      </c>
      <c r="Y32" s="36">
        <f>IF(W32=0,0,N(R32)*MAX(0,X32-MAX(W32,YEAR(Cfg_Hoje)*12+MONTH(Cfg_Hoje)+IF(DAY(Cfg_Hoje)&gt;=INDEX(Cartoes_Fech,MATCH($F32,Cartoes_Nome,0)),1,0))+1))</f>
        <v>0</v>
      </c>
      <c r="Z32" s="40">
        <f>IF($A32="",0,DAY($A32))</f>
        <v>15</v>
      </c>
      <c r="AA32" s="40">
        <f>IF($A32="",0,WEEKDAY($A32))</f>
        <v>2</v>
      </c>
      <c r="AB32" s="36">
        <f>IF(AND($C32="Despesa",U32&gt;0,U32&lt;=Sel_Idx,V32&gt;=Sel_Idx),N(R32)+ROW()/1000000000,0)</f>
        <v>0</v>
      </c>
      <c r="AC32" s="40">
        <f>IF(AND($C32="Despesa",U32&gt;0,U32&lt;=Sel_Idx,V32&gt;=Sel_Idx),Z32*10000+ROW(),0)</f>
        <v>0</v>
      </c>
      <c r="AD32" s="40">
        <f>IF(AC32=0,0,COUNTIFS(L_CalChave,"&gt;0",L_CalChave,"&lt;"&amp;AC32)+1)</f>
        <v>0</v>
      </c>
    </row>
    <row r="33">
      <c r="A33" s="38" t="n">
        <v>45917</v>
      </c>
      <c r="B33" s="39" t="inlineStr">
        <is>
          <t>Corrida de aplicativo</t>
        </is>
      </c>
      <c r="C33" s="34" t="inlineStr">
        <is>
          <t>Despesa</t>
        </is>
      </c>
      <c r="D33" s="34" t="inlineStr">
        <is>
          <t>Transporte</t>
        </is>
      </c>
      <c r="E33" s="34" t="inlineStr">
        <is>
          <t>App de transporte</t>
        </is>
      </c>
      <c r="F33" s="34" t="inlineStr">
        <is>
          <t>Conta Corrente Banco Azul</t>
        </is>
      </c>
      <c r="G33" s="34" t="inlineStr">
        <is>
          <t>Pix</t>
        </is>
      </c>
      <c r="H33" s="37" t="n"/>
      <c r="I33" s="37" t="n"/>
      <c r="J33" s="34" t="inlineStr">
        <is>
          <t>Pago</t>
        </is>
      </c>
      <c r="K33" s="34" t="n"/>
      <c r="L33" s="34" t="n"/>
      <c r="M33" s="39" t="inlineStr">
        <is>
          <t>EXEMPLO</t>
        </is>
      </c>
      <c r="N33" s="35" t="n">
        <v>37.13</v>
      </c>
      <c r="O33" s="40">
        <f>IF($A33="","",MONTH($A33))</f>
        <v>9</v>
      </c>
      <c r="P33" s="40">
        <f>IF($A33="","",YEAR($A33))</f>
        <v>2025</v>
      </c>
      <c r="Q33" s="41">
        <f>IF($A33="","",DATE(P33,O33,1))</f>
        <v>45901.0</v>
      </c>
      <c r="R33" s="36">
        <f>IF(OR($A33="",$N33=""),"",IF(AND($C33&lt;&gt;"Transferência",N($I33)&gt;1),$N33/$I33,$N33))</f>
        <v>37.13</v>
      </c>
      <c r="S33" s="41" t="str">
        <f>IF(OR($A33="",$F33="",$C33&lt;&gt;"Despesa"),"",IF(COUNTIF(Cartoes_Nome,$F33)=0,"",DATE(P33,O33+IF(DAY($A33)&gt;=INDEX(Cartoes_Fech,MATCH($F33,Cartoes_Nome,0)),1,0),1)))</f>
        <v/>
      </c>
      <c r="T33" s="42" t="str">
        <f>IF($A33="","",IF(COUNTIFS(L_Data,$A33,L_Desc,$B33,L_Valor,$N33,L_Tipo,$C33)&gt;1,"⚠ Possível duplicidade",IF(OR(AND($C33="Despesa",COUNTIF(CatD_Nome,$D33)=0),AND($C33="Receita",COUNTIF(CatR_Nome,$D33)=0)),"⚠ Categoria não combina com o tipo",IF(OR($N33="",$C33=""),"⚠ Falta valor ou tipo",""))))</f>
        <v/>
      </c>
      <c r="U33" s="40">
        <f>IF($A33="",0,P33*12+O33)</f>
        <v>24309</v>
      </c>
      <c r="V33" s="40">
        <f>IF($A33="",0,U33+MAX(0,N($I33)-MAX(N($H33),1)))</f>
        <v>24309</v>
      </c>
      <c r="W33" s="40">
        <f>IF(S33="",0,YEAR(S33)*12+MONTH(S33))</f>
        <v>0</v>
      </c>
      <c r="X33" s="40">
        <f>IF(W33=0,0,W33+V33-U33)</f>
        <v>0</v>
      </c>
      <c r="Y33" s="36">
        <f>IF(W33=0,0,N(R33)*MAX(0,X33-MAX(W33,YEAR(Cfg_Hoje)*12+MONTH(Cfg_Hoje)+IF(DAY(Cfg_Hoje)&gt;=INDEX(Cartoes_Fech,MATCH($F33,Cartoes_Nome,0)),1,0))+1))</f>
        <v>0</v>
      </c>
      <c r="Z33" s="40">
        <f>IF($A33="",0,DAY($A33))</f>
        <v>17</v>
      </c>
      <c r="AA33" s="40">
        <f>IF($A33="",0,WEEKDAY($A33))</f>
        <v>4</v>
      </c>
      <c r="AB33" s="36">
        <f>IF(AND($C33="Despesa",U33&gt;0,U33&lt;=Sel_Idx,V33&gt;=Sel_Idx),N(R33)+ROW()/1000000000,0)</f>
        <v>0</v>
      </c>
      <c r="AC33" s="40">
        <f>IF(AND($C33="Despesa",U33&gt;0,U33&lt;=Sel_Idx,V33&gt;=Sel_Idx),Z33*10000+ROW(),0)</f>
        <v>0</v>
      </c>
      <c r="AD33" s="40">
        <f>IF(AC33=0,0,COUNTIFS(L_CalChave,"&gt;0",L_CalChave,"&lt;"&amp;AC33)+1)</f>
        <v>0</v>
      </c>
    </row>
    <row r="34">
      <c r="A34" s="38" t="n">
        <v>45918</v>
      </c>
      <c r="B34" s="39" t="inlineStr">
        <is>
          <t>Corrida de aplicativo</t>
        </is>
      </c>
      <c r="C34" s="34" t="inlineStr">
        <is>
          <t>Despesa</t>
        </is>
      </c>
      <c r="D34" s="34" t="inlineStr">
        <is>
          <t>Transporte</t>
        </is>
      </c>
      <c r="E34" s="34" t="inlineStr">
        <is>
          <t>App de transporte</t>
        </is>
      </c>
      <c r="F34" s="34" t="inlineStr">
        <is>
          <t>Conta Corrente Banco Azul</t>
        </is>
      </c>
      <c r="G34" s="34" t="inlineStr">
        <is>
          <t>Pix</t>
        </is>
      </c>
      <c r="H34" s="37" t="n"/>
      <c r="I34" s="37" t="n"/>
      <c r="J34" s="34" t="inlineStr">
        <is>
          <t>Pago</t>
        </is>
      </c>
      <c r="K34" s="34" t="n"/>
      <c r="L34" s="34" t="n"/>
      <c r="M34" s="39" t="inlineStr">
        <is>
          <t>EXEMPLO</t>
        </is>
      </c>
      <c r="N34" s="35" t="n">
        <v>34.14</v>
      </c>
      <c r="O34" s="40">
        <f>IF($A34="","",MONTH($A34))</f>
        <v>9</v>
      </c>
      <c r="P34" s="40">
        <f>IF($A34="","",YEAR($A34))</f>
        <v>2025</v>
      </c>
      <c r="Q34" s="41">
        <f>IF($A34="","",DATE(P34,O34,1))</f>
        <v>45901.0</v>
      </c>
      <c r="R34" s="36">
        <f>IF(OR($A34="",$N34=""),"",IF(AND($C34&lt;&gt;"Transferência",N($I34)&gt;1),$N34/$I34,$N34))</f>
        <v>34.14</v>
      </c>
      <c r="S34" s="41" t="str">
        <f>IF(OR($A34="",$F34="",$C34&lt;&gt;"Despesa"),"",IF(COUNTIF(Cartoes_Nome,$F34)=0,"",DATE(P34,O34+IF(DAY($A34)&gt;=INDEX(Cartoes_Fech,MATCH($F34,Cartoes_Nome,0)),1,0),1)))</f>
        <v/>
      </c>
      <c r="T34" s="42" t="str">
        <f>IF($A34="","",IF(COUNTIFS(L_Data,$A34,L_Desc,$B34,L_Valor,$N34,L_Tipo,$C34)&gt;1,"⚠ Possível duplicidade",IF(OR(AND($C34="Despesa",COUNTIF(CatD_Nome,$D34)=0),AND($C34="Receita",COUNTIF(CatR_Nome,$D34)=0)),"⚠ Categoria não combina com o tipo",IF(OR($N34="",$C34=""),"⚠ Falta valor ou tipo",""))))</f>
        <v/>
      </c>
      <c r="U34" s="40">
        <f>IF($A34="",0,P34*12+O34)</f>
        <v>24309</v>
      </c>
      <c r="V34" s="40">
        <f>IF($A34="",0,U34+MAX(0,N($I34)-MAX(N($H34),1)))</f>
        <v>24309</v>
      </c>
      <c r="W34" s="40">
        <f>IF(S34="",0,YEAR(S34)*12+MONTH(S34))</f>
        <v>0</v>
      </c>
      <c r="X34" s="40">
        <f>IF(W34=0,0,W34+V34-U34)</f>
        <v>0</v>
      </c>
      <c r="Y34" s="36">
        <f>IF(W34=0,0,N(R34)*MAX(0,X34-MAX(W34,YEAR(Cfg_Hoje)*12+MONTH(Cfg_Hoje)+IF(DAY(Cfg_Hoje)&gt;=INDEX(Cartoes_Fech,MATCH($F34,Cartoes_Nome,0)),1,0))+1))</f>
        <v>0</v>
      </c>
      <c r="Z34" s="40">
        <f>IF($A34="",0,DAY($A34))</f>
        <v>18</v>
      </c>
      <c r="AA34" s="40">
        <f>IF($A34="",0,WEEKDAY($A34))</f>
        <v>5</v>
      </c>
      <c r="AB34" s="36">
        <f>IF(AND($C34="Despesa",U34&gt;0,U34&lt;=Sel_Idx,V34&gt;=Sel_Idx),N(R34)+ROW()/1000000000,0)</f>
        <v>0</v>
      </c>
      <c r="AC34" s="40">
        <f>IF(AND($C34="Despesa",U34&gt;0,U34&lt;=Sel_Idx,V34&gt;=Sel_Idx),Z34*10000+ROW(),0)</f>
        <v>0</v>
      </c>
      <c r="AD34" s="40">
        <f>IF(AC34=0,0,COUNTIFS(L_CalChave,"&gt;0",L_CalChave,"&lt;"&amp;AC34)+1)</f>
        <v>0</v>
      </c>
    </row>
    <row r="35">
      <c r="A35" s="38" t="n">
        <v>45919</v>
      </c>
      <c r="B35" s="39" t="inlineStr">
        <is>
          <t>Despesa diversa</t>
        </is>
      </c>
      <c r="C35" s="34" t="inlineStr">
        <is>
          <t>Despesa</t>
        </is>
      </c>
      <c r="D35" s="34" t="inlineStr">
        <is>
          <t>Outros</t>
        </is>
      </c>
      <c r="E35" s="34" t="n"/>
      <c r="F35" s="34" t="inlineStr">
        <is>
          <t>Conta Corrente Banco Azul</t>
        </is>
      </c>
      <c r="G35" s="34" t="inlineStr">
        <is>
          <t>Pix</t>
        </is>
      </c>
      <c r="H35" s="37" t="n"/>
      <c r="I35" s="37" t="n"/>
      <c r="J35" s="34" t="inlineStr">
        <is>
          <t>Pago</t>
        </is>
      </c>
      <c r="K35" s="34" t="n"/>
      <c r="L35" s="34" t="n"/>
      <c r="M35" s="39" t="inlineStr">
        <is>
          <t>EXEMPLO</t>
        </is>
      </c>
      <c r="N35" s="35" t="n">
        <v>129.75</v>
      </c>
      <c r="O35" s="40">
        <f>IF($A35="","",MONTH($A35))</f>
        <v>9</v>
      </c>
      <c r="P35" s="40">
        <f>IF($A35="","",YEAR($A35))</f>
        <v>2025</v>
      </c>
      <c r="Q35" s="41">
        <f>IF($A35="","",DATE(P35,O35,1))</f>
        <v>45901.0</v>
      </c>
      <c r="R35" s="36">
        <f>IF(OR($A35="",$N35=""),"",IF(AND($C35&lt;&gt;"Transferência",N($I35)&gt;1),$N35/$I35,$N35))</f>
        <v>129.75</v>
      </c>
      <c r="S35" s="41" t="str">
        <f>IF(OR($A35="",$F35="",$C35&lt;&gt;"Despesa"),"",IF(COUNTIF(Cartoes_Nome,$F35)=0,"",DATE(P35,O35+IF(DAY($A35)&gt;=INDEX(Cartoes_Fech,MATCH($F35,Cartoes_Nome,0)),1,0),1)))</f>
        <v/>
      </c>
      <c r="T35" s="42" t="str">
        <f>IF($A35="","",IF(COUNTIFS(L_Data,$A35,L_Desc,$B35,L_Valor,$N35,L_Tipo,$C35)&gt;1,"⚠ Possível duplicidade",IF(OR(AND($C35="Despesa",COUNTIF(CatD_Nome,$D35)=0),AND($C35="Receita",COUNTIF(CatR_Nome,$D35)=0)),"⚠ Categoria não combina com o tipo",IF(OR($N35="",$C35=""),"⚠ Falta valor ou tipo",""))))</f>
        <v/>
      </c>
      <c r="U35" s="40">
        <f>IF($A35="",0,P35*12+O35)</f>
        <v>24309</v>
      </c>
      <c r="V35" s="40">
        <f>IF($A35="",0,U35+MAX(0,N($I35)-MAX(N($H35),1)))</f>
        <v>24309</v>
      </c>
      <c r="W35" s="40">
        <f>IF(S35="",0,YEAR(S35)*12+MONTH(S35))</f>
        <v>0</v>
      </c>
      <c r="X35" s="40">
        <f>IF(W35=0,0,W35+V35-U35)</f>
        <v>0</v>
      </c>
      <c r="Y35" s="36">
        <f>IF(W35=0,0,N(R35)*MAX(0,X35-MAX(W35,YEAR(Cfg_Hoje)*12+MONTH(Cfg_Hoje)+IF(DAY(Cfg_Hoje)&gt;=INDEX(Cartoes_Fech,MATCH($F35,Cartoes_Nome,0)),1,0))+1))</f>
        <v>0</v>
      </c>
      <c r="Z35" s="40">
        <f>IF($A35="",0,DAY($A35))</f>
        <v>19</v>
      </c>
      <c r="AA35" s="40">
        <f>IF($A35="",0,WEEKDAY($A35))</f>
        <v>6</v>
      </c>
      <c r="AB35" s="36">
        <f>IF(AND($C35="Despesa",U35&gt;0,U35&lt;=Sel_Idx,V35&gt;=Sel_Idx),N(R35)+ROW()/1000000000,0)</f>
        <v>0</v>
      </c>
      <c r="AC35" s="40">
        <f>IF(AND($C35="Despesa",U35&gt;0,U35&lt;=Sel_Idx,V35&gt;=Sel_Idx),Z35*10000+ROW(),0)</f>
        <v>0</v>
      </c>
      <c r="AD35" s="40">
        <f>IF(AC35=0,0,COUNTIFS(L_CalChave,"&gt;0",L_CalChave,"&lt;"&amp;AC35)+1)</f>
        <v>0</v>
      </c>
    </row>
    <row r="36">
      <c r="A36" s="38" t="n">
        <v>45920</v>
      </c>
      <c r="B36" s="39" t="inlineStr">
        <is>
          <t>Internet fibra</t>
        </is>
      </c>
      <c r="C36" s="34" t="inlineStr">
        <is>
          <t>Despesa</t>
        </is>
      </c>
      <c r="D36" s="34" t="inlineStr">
        <is>
          <t>Moradia</t>
        </is>
      </c>
      <c r="E36" s="34" t="inlineStr">
        <is>
          <t>Internet</t>
        </is>
      </c>
      <c r="F36" s="34" t="inlineStr">
        <is>
          <t>Conta Corrente Banco Azul</t>
        </is>
      </c>
      <c r="G36" s="34" t="inlineStr">
        <is>
          <t>Débito automático</t>
        </is>
      </c>
      <c r="H36" s="37" t="n"/>
      <c r="I36" s="37" t="n"/>
      <c r="J36" s="34" t="inlineStr">
        <is>
          <t>Pago</t>
        </is>
      </c>
      <c r="K36" s="34" t="n"/>
      <c r="L36" s="34" t="n"/>
      <c r="M36" s="39" t="inlineStr">
        <is>
          <t>EXEMPLO</t>
        </is>
      </c>
      <c r="N36" s="35" t="n">
        <v>129.9</v>
      </c>
      <c r="O36" s="40">
        <f>IF($A36="","",MONTH($A36))</f>
        <v>9</v>
      </c>
      <c r="P36" s="40">
        <f>IF($A36="","",YEAR($A36))</f>
        <v>2025</v>
      </c>
      <c r="Q36" s="41">
        <f>IF($A36="","",DATE(P36,O36,1))</f>
        <v>45901.0</v>
      </c>
      <c r="R36" s="36">
        <f>IF(OR($A36="",$N36=""),"",IF(AND($C36&lt;&gt;"Transferência",N($I36)&gt;1),$N36/$I36,$N36))</f>
        <v>129.9</v>
      </c>
      <c r="S36" s="41" t="str">
        <f>IF(OR($A36="",$F36="",$C36&lt;&gt;"Despesa"),"",IF(COUNTIF(Cartoes_Nome,$F36)=0,"",DATE(P36,O36+IF(DAY($A36)&gt;=INDEX(Cartoes_Fech,MATCH($F36,Cartoes_Nome,0)),1,0),1)))</f>
        <v/>
      </c>
      <c r="T36" s="42" t="str">
        <f>IF($A36="","",IF(COUNTIFS(L_Data,$A36,L_Desc,$B36,L_Valor,$N36,L_Tipo,$C36)&gt;1,"⚠ Possível duplicidade",IF(OR(AND($C36="Despesa",COUNTIF(CatD_Nome,$D36)=0),AND($C36="Receita",COUNTIF(CatR_Nome,$D36)=0)),"⚠ Categoria não combina com o tipo",IF(OR($N36="",$C36=""),"⚠ Falta valor ou tipo",""))))</f>
        <v/>
      </c>
      <c r="U36" s="40">
        <f>IF($A36="",0,P36*12+O36)</f>
        <v>24309</v>
      </c>
      <c r="V36" s="40">
        <f>IF($A36="",0,U36+MAX(0,N($I36)-MAX(N($H36),1)))</f>
        <v>24309</v>
      </c>
      <c r="W36" s="40">
        <f>IF(S36="",0,YEAR(S36)*12+MONTH(S36))</f>
        <v>0</v>
      </c>
      <c r="X36" s="40">
        <f>IF(W36=0,0,W36+V36-U36)</f>
        <v>0</v>
      </c>
      <c r="Y36" s="36">
        <f>IF(W36=0,0,N(R36)*MAX(0,X36-MAX(W36,YEAR(Cfg_Hoje)*12+MONTH(Cfg_Hoje)+IF(DAY(Cfg_Hoje)&gt;=INDEX(Cartoes_Fech,MATCH($F36,Cartoes_Nome,0)),1,0))+1))</f>
        <v>0</v>
      </c>
      <c r="Z36" s="40">
        <f>IF($A36="",0,DAY($A36))</f>
        <v>20</v>
      </c>
      <c r="AA36" s="40">
        <f>IF($A36="",0,WEEKDAY($A36))</f>
        <v>7</v>
      </c>
      <c r="AB36" s="36">
        <f>IF(AND($C36="Despesa",U36&gt;0,U36&lt;=Sel_Idx,V36&gt;=Sel_Idx),N(R36)+ROW()/1000000000,0)</f>
        <v>0</v>
      </c>
      <c r="AC36" s="40">
        <f>IF(AND($C36="Despesa",U36&gt;0,U36&lt;=Sel_Idx,V36&gt;=Sel_Idx),Z36*10000+ROW(),0)</f>
        <v>0</v>
      </c>
      <c r="AD36" s="40">
        <f>IF(AC36=0,0,COUNTIFS(L_CalChave,"&gt;0",L_CalChave,"&lt;"&amp;AC36)+1)</f>
        <v>0</v>
      </c>
    </row>
    <row r="37">
      <c r="A37" s="38" t="n">
        <v>45920</v>
      </c>
      <c r="B37" s="39" t="inlineStr">
        <is>
          <t>Parcela financiamento do carro</t>
        </is>
      </c>
      <c r="C37" s="34" t="inlineStr">
        <is>
          <t>Despesa</t>
        </is>
      </c>
      <c r="D37" s="34" t="inlineStr">
        <is>
          <t>Dívidas e Financiamentos</t>
        </is>
      </c>
      <c r="E37" s="34" t="inlineStr">
        <is>
          <t>Financiamento</t>
        </is>
      </c>
      <c r="F37" s="34" t="inlineStr">
        <is>
          <t>Conta Corrente Banco Azul</t>
        </is>
      </c>
      <c r="G37" s="34" t="inlineStr">
        <is>
          <t>Débito automático</t>
        </is>
      </c>
      <c r="H37" s="37" t="n"/>
      <c r="I37" s="37" t="n"/>
      <c r="J37" s="34" t="inlineStr">
        <is>
          <t>Pago</t>
        </is>
      </c>
      <c r="K37" s="34" t="n"/>
      <c r="L37" s="34" t="n"/>
      <c r="M37" s="39" t="inlineStr">
        <is>
          <t>EXEMPLO</t>
        </is>
      </c>
      <c r="N37" s="35" t="n">
        <v>1150</v>
      </c>
      <c r="O37" s="40">
        <f>IF($A37="","",MONTH($A37))</f>
        <v>9</v>
      </c>
      <c r="P37" s="40">
        <f>IF($A37="","",YEAR($A37))</f>
        <v>2025</v>
      </c>
      <c r="Q37" s="41">
        <f>IF($A37="","",DATE(P37,O37,1))</f>
        <v>45901.0</v>
      </c>
      <c r="R37" s="36">
        <f>IF(OR($A37="",$N37=""),"",IF(AND($C37&lt;&gt;"Transferência",N($I37)&gt;1),$N37/$I37,$N37))</f>
        <v>1150</v>
      </c>
      <c r="S37" s="41" t="str">
        <f>IF(OR($A37="",$F37="",$C37&lt;&gt;"Despesa"),"",IF(COUNTIF(Cartoes_Nome,$F37)=0,"",DATE(P37,O37+IF(DAY($A37)&gt;=INDEX(Cartoes_Fech,MATCH($F37,Cartoes_Nome,0)),1,0),1)))</f>
        <v/>
      </c>
      <c r="T37" s="42" t="str">
        <f>IF($A37="","",IF(COUNTIFS(L_Data,$A37,L_Desc,$B37,L_Valor,$N37,L_Tipo,$C37)&gt;1,"⚠ Possível duplicidade",IF(OR(AND($C37="Despesa",COUNTIF(CatD_Nome,$D37)=0),AND($C37="Receita",COUNTIF(CatR_Nome,$D37)=0)),"⚠ Categoria não combina com o tipo",IF(OR($N37="",$C37=""),"⚠ Falta valor ou tipo",""))))</f>
        <v/>
      </c>
      <c r="U37" s="40">
        <f>IF($A37="",0,P37*12+O37)</f>
        <v>24309</v>
      </c>
      <c r="V37" s="40">
        <f>IF($A37="",0,U37+MAX(0,N($I37)-MAX(N($H37),1)))</f>
        <v>24309</v>
      </c>
      <c r="W37" s="40">
        <f>IF(S37="",0,YEAR(S37)*12+MONTH(S37))</f>
        <v>0</v>
      </c>
      <c r="X37" s="40">
        <f>IF(W37=0,0,W37+V37-U37)</f>
        <v>0</v>
      </c>
      <c r="Y37" s="36">
        <f>IF(W37=0,0,N(R37)*MAX(0,X37-MAX(W37,YEAR(Cfg_Hoje)*12+MONTH(Cfg_Hoje)+IF(DAY(Cfg_Hoje)&gt;=INDEX(Cartoes_Fech,MATCH($F37,Cartoes_Nome,0)),1,0))+1))</f>
        <v>0</v>
      </c>
      <c r="Z37" s="40">
        <f>IF($A37="",0,DAY($A37))</f>
        <v>20</v>
      </c>
      <c r="AA37" s="40">
        <f>IF($A37="",0,WEEKDAY($A37))</f>
        <v>7</v>
      </c>
      <c r="AB37" s="36">
        <f>IF(AND($C37="Despesa",U37&gt;0,U37&lt;=Sel_Idx,V37&gt;=Sel_Idx),N(R37)+ROW()/1000000000,0)</f>
        <v>0</v>
      </c>
      <c r="AC37" s="40">
        <f>IF(AND($C37="Despesa",U37&gt;0,U37&lt;=Sel_Idx,V37&gt;=Sel_Idx),Z37*10000+ROW(),0)</f>
        <v>0</v>
      </c>
      <c r="AD37" s="40">
        <f>IF(AC37=0,0,COUNTIFS(L_CalChave,"&gt;0",L_CalChave,"&lt;"&amp;AC37)+1)</f>
        <v>0</v>
      </c>
    </row>
    <row r="38">
      <c r="A38" s="38" t="n">
        <v>45920</v>
      </c>
      <c r="B38" s="39" t="inlineStr">
        <is>
          <t>Supermercado</t>
        </is>
      </c>
      <c r="C38" s="34" t="inlineStr">
        <is>
          <t>Despesa</t>
        </is>
      </c>
      <c r="D38" s="34" t="inlineStr">
        <is>
          <t>Alimentação</t>
        </is>
      </c>
      <c r="E38" s="34" t="inlineStr">
        <is>
          <t>Mercado</t>
        </is>
      </c>
      <c r="F38" s="34" t="inlineStr">
        <is>
          <t>Conta Corrente Banco Azul</t>
        </is>
      </c>
      <c r="G38" s="34" t="inlineStr">
        <is>
          <t>Débito</t>
        </is>
      </c>
      <c r="H38" s="37" t="n"/>
      <c r="I38" s="37" t="n"/>
      <c r="J38" s="34" t="inlineStr">
        <is>
          <t>Pago</t>
        </is>
      </c>
      <c r="K38" s="34" t="n"/>
      <c r="L38" s="34" t="n"/>
      <c r="M38" s="39" t="inlineStr">
        <is>
          <t>EXEMPLO</t>
        </is>
      </c>
      <c r="N38" s="35" t="n">
        <v>390.06</v>
      </c>
      <c r="O38" s="40">
        <f>IF($A38="","",MONTH($A38))</f>
        <v>9</v>
      </c>
      <c r="P38" s="40">
        <f>IF($A38="","",YEAR($A38))</f>
        <v>2025</v>
      </c>
      <c r="Q38" s="41">
        <f>IF($A38="","",DATE(P38,O38,1))</f>
        <v>45901.0</v>
      </c>
      <c r="R38" s="36">
        <f>IF(OR($A38="",$N38=""),"",IF(AND($C38&lt;&gt;"Transferência",N($I38)&gt;1),$N38/$I38,$N38))</f>
        <v>390.06</v>
      </c>
      <c r="S38" s="41" t="str">
        <f>IF(OR($A38="",$F38="",$C38&lt;&gt;"Despesa"),"",IF(COUNTIF(Cartoes_Nome,$F38)=0,"",DATE(P38,O38+IF(DAY($A38)&gt;=INDEX(Cartoes_Fech,MATCH($F38,Cartoes_Nome,0)),1,0),1)))</f>
        <v/>
      </c>
      <c r="T38" s="42" t="str">
        <f>IF($A38="","",IF(COUNTIFS(L_Data,$A38,L_Desc,$B38,L_Valor,$N38,L_Tipo,$C38)&gt;1,"⚠ Possível duplicidade",IF(OR(AND($C38="Despesa",COUNTIF(CatD_Nome,$D38)=0),AND($C38="Receita",COUNTIF(CatR_Nome,$D38)=0)),"⚠ Categoria não combina com o tipo",IF(OR($N38="",$C38=""),"⚠ Falta valor ou tipo",""))))</f>
        <v/>
      </c>
      <c r="U38" s="40">
        <f>IF($A38="",0,P38*12+O38)</f>
        <v>24309</v>
      </c>
      <c r="V38" s="40">
        <f>IF($A38="",0,U38+MAX(0,N($I38)-MAX(N($H38),1)))</f>
        <v>24309</v>
      </c>
      <c r="W38" s="40">
        <f>IF(S38="",0,YEAR(S38)*12+MONTH(S38))</f>
        <v>0</v>
      </c>
      <c r="X38" s="40">
        <f>IF(W38=0,0,W38+V38-U38)</f>
        <v>0</v>
      </c>
      <c r="Y38" s="36">
        <f>IF(W38=0,0,N(R38)*MAX(0,X38-MAX(W38,YEAR(Cfg_Hoje)*12+MONTH(Cfg_Hoje)+IF(DAY(Cfg_Hoje)&gt;=INDEX(Cartoes_Fech,MATCH($F38,Cartoes_Nome,0)),1,0))+1))</f>
        <v>0</v>
      </c>
      <c r="Z38" s="40">
        <f>IF($A38="",0,DAY($A38))</f>
        <v>20</v>
      </c>
      <c r="AA38" s="40">
        <f>IF($A38="",0,WEEKDAY($A38))</f>
        <v>7</v>
      </c>
      <c r="AB38" s="36">
        <f>IF(AND($C38="Despesa",U38&gt;0,U38&lt;=Sel_Idx,V38&gt;=Sel_Idx),N(R38)+ROW()/1000000000,0)</f>
        <v>0</v>
      </c>
      <c r="AC38" s="40">
        <f>IF(AND($C38="Despesa",U38&gt;0,U38&lt;=Sel_Idx,V38&gt;=Sel_Idx),Z38*10000+ROW(),0)</f>
        <v>0</v>
      </c>
      <c r="AD38" s="40">
        <f>IF(AC38=0,0,COUNTIFS(L_CalChave,"&gt;0",L_CalChave,"&lt;"&amp;AC38)+1)</f>
        <v>0</v>
      </c>
    </row>
    <row r="39">
      <c r="A39" s="38" t="n">
        <v>45922</v>
      </c>
      <c r="B39" s="39" t="inlineStr">
        <is>
          <t>Consulta médica</t>
        </is>
      </c>
      <c r="C39" s="34" t="inlineStr">
        <is>
          <t>Despesa</t>
        </is>
      </c>
      <c r="D39" s="34" t="inlineStr">
        <is>
          <t>Saúde</t>
        </is>
      </c>
      <c r="E39" s="34" t="inlineStr">
        <is>
          <t>Consultas</t>
        </is>
      </c>
      <c r="F39" s="34" t="inlineStr">
        <is>
          <t>Conta Corrente Banco Azul</t>
        </is>
      </c>
      <c r="G39" s="34" t="inlineStr">
        <is>
          <t>Pix</t>
        </is>
      </c>
      <c r="H39" s="37" t="n"/>
      <c r="I39" s="37" t="n"/>
      <c r="J39" s="34" t="inlineStr">
        <is>
          <t>Pago</t>
        </is>
      </c>
      <c r="K39" s="34" t="n"/>
      <c r="L39" s="34" t="n"/>
      <c r="M39" s="39" t="inlineStr">
        <is>
          <t>EXEMPLO</t>
        </is>
      </c>
      <c r="N39" s="35" t="n">
        <v>280</v>
      </c>
      <c r="O39" s="40">
        <f>IF($A39="","",MONTH($A39))</f>
        <v>9</v>
      </c>
      <c r="P39" s="40">
        <f>IF($A39="","",YEAR($A39))</f>
        <v>2025</v>
      </c>
      <c r="Q39" s="41">
        <f>IF($A39="","",DATE(P39,O39,1))</f>
        <v>45901.0</v>
      </c>
      <c r="R39" s="36">
        <f>IF(OR($A39="",$N39=""),"",IF(AND($C39&lt;&gt;"Transferência",N($I39)&gt;1),$N39/$I39,$N39))</f>
        <v>280</v>
      </c>
      <c r="S39" s="41" t="str">
        <f>IF(OR($A39="",$F39="",$C39&lt;&gt;"Despesa"),"",IF(COUNTIF(Cartoes_Nome,$F39)=0,"",DATE(P39,O39+IF(DAY($A39)&gt;=INDEX(Cartoes_Fech,MATCH($F39,Cartoes_Nome,0)),1,0),1)))</f>
        <v/>
      </c>
      <c r="T39" s="42" t="str">
        <f>IF($A39="","",IF(COUNTIFS(L_Data,$A39,L_Desc,$B39,L_Valor,$N39,L_Tipo,$C39)&gt;1,"⚠ Possível duplicidade",IF(OR(AND($C39="Despesa",COUNTIF(CatD_Nome,$D39)=0),AND($C39="Receita",COUNTIF(CatR_Nome,$D39)=0)),"⚠ Categoria não combina com o tipo",IF(OR($N39="",$C39=""),"⚠ Falta valor ou tipo",""))))</f>
        <v/>
      </c>
      <c r="U39" s="40">
        <f>IF($A39="",0,P39*12+O39)</f>
        <v>24309</v>
      </c>
      <c r="V39" s="40">
        <f>IF($A39="",0,U39+MAX(0,N($I39)-MAX(N($H39),1)))</f>
        <v>24309</v>
      </c>
      <c r="W39" s="40">
        <f>IF(S39="",0,YEAR(S39)*12+MONTH(S39))</f>
        <v>0</v>
      </c>
      <c r="X39" s="40">
        <f>IF(W39=0,0,W39+V39-U39)</f>
        <v>0</v>
      </c>
      <c r="Y39" s="36">
        <f>IF(W39=0,0,N(R39)*MAX(0,X39-MAX(W39,YEAR(Cfg_Hoje)*12+MONTH(Cfg_Hoje)+IF(DAY(Cfg_Hoje)&gt;=INDEX(Cartoes_Fech,MATCH($F39,Cartoes_Nome,0)),1,0))+1))</f>
        <v>0</v>
      </c>
      <c r="Z39" s="40">
        <f>IF($A39="",0,DAY($A39))</f>
        <v>22</v>
      </c>
      <c r="AA39" s="40">
        <f>IF($A39="",0,WEEKDAY($A39))</f>
        <v>2</v>
      </c>
      <c r="AB39" s="36">
        <f>IF(AND($C39="Despesa",U39&gt;0,U39&lt;=Sel_Idx,V39&gt;=Sel_Idx),N(R39)+ROW()/1000000000,0)</f>
        <v>0</v>
      </c>
      <c r="AC39" s="40">
        <f>IF(AND($C39="Despesa",U39&gt;0,U39&lt;=Sel_Idx,V39&gt;=Sel_Idx),Z39*10000+ROW(),0)</f>
        <v>0</v>
      </c>
      <c r="AD39" s="40">
        <f>IF(AC39=0,0,COUNTIFS(L_CalChave,"&gt;0",L_CalChave,"&lt;"&amp;AC39)+1)</f>
        <v>0</v>
      </c>
    </row>
    <row r="40">
      <c r="A40" s="38" t="n">
        <v>45922</v>
      </c>
      <c r="B40" s="39" t="inlineStr">
        <is>
          <t>Parcela empréstimo pessoal</t>
        </is>
      </c>
      <c r="C40" s="34" t="inlineStr">
        <is>
          <t>Despesa</t>
        </is>
      </c>
      <c r="D40" s="34" t="inlineStr">
        <is>
          <t>Dívidas e Financiamentos</t>
        </is>
      </c>
      <c r="E40" s="34" t="inlineStr">
        <is>
          <t>Empréstimo</t>
        </is>
      </c>
      <c r="F40" s="34" t="inlineStr">
        <is>
          <t>Conta Corrente Banco Azul</t>
        </is>
      </c>
      <c r="G40" s="34" t="inlineStr">
        <is>
          <t>Débito automático</t>
        </is>
      </c>
      <c r="H40" s="37" t="n"/>
      <c r="I40" s="37" t="n"/>
      <c r="J40" s="34" t="inlineStr">
        <is>
          <t>Pago</t>
        </is>
      </c>
      <c r="K40" s="34" t="n"/>
      <c r="L40" s="34" t="n"/>
      <c r="M40" s="39" t="inlineStr">
        <is>
          <t>EXEMPLO</t>
        </is>
      </c>
      <c r="N40" s="35" t="n">
        <v>580</v>
      </c>
      <c r="O40" s="40">
        <f>IF($A40="","",MONTH($A40))</f>
        <v>9</v>
      </c>
      <c r="P40" s="40">
        <f>IF($A40="","",YEAR($A40))</f>
        <v>2025</v>
      </c>
      <c r="Q40" s="41">
        <f>IF($A40="","",DATE(P40,O40,1))</f>
        <v>45901.0</v>
      </c>
      <c r="R40" s="36">
        <f>IF(OR($A40="",$N40=""),"",IF(AND($C40&lt;&gt;"Transferência",N($I40)&gt;1),$N40/$I40,$N40))</f>
        <v>580</v>
      </c>
      <c r="S40" s="41" t="str">
        <f>IF(OR($A40="",$F40="",$C40&lt;&gt;"Despesa"),"",IF(COUNTIF(Cartoes_Nome,$F40)=0,"",DATE(P40,O40+IF(DAY($A40)&gt;=INDEX(Cartoes_Fech,MATCH($F40,Cartoes_Nome,0)),1,0),1)))</f>
        <v/>
      </c>
      <c r="T40" s="42" t="str">
        <f>IF($A40="","",IF(COUNTIFS(L_Data,$A40,L_Desc,$B40,L_Valor,$N40,L_Tipo,$C40)&gt;1,"⚠ Possível duplicidade",IF(OR(AND($C40="Despesa",COUNTIF(CatD_Nome,$D40)=0),AND($C40="Receita",COUNTIF(CatR_Nome,$D40)=0)),"⚠ Categoria não combina com o tipo",IF(OR($N40="",$C40=""),"⚠ Falta valor ou tipo",""))))</f>
        <v/>
      </c>
      <c r="U40" s="40">
        <f>IF($A40="",0,P40*12+O40)</f>
        <v>24309</v>
      </c>
      <c r="V40" s="40">
        <f>IF($A40="",0,U40+MAX(0,N($I40)-MAX(N($H40),1)))</f>
        <v>24309</v>
      </c>
      <c r="W40" s="40">
        <f>IF(S40="",0,YEAR(S40)*12+MONTH(S40))</f>
        <v>0</v>
      </c>
      <c r="X40" s="40">
        <f>IF(W40=0,0,W40+V40-U40)</f>
        <v>0</v>
      </c>
      <c r="Y40" s="36">
        <f>IF(W40=0,0,N(R40)*MAX(0,X40-MAX(W40,YEAR(Cfg_Hoje)*12+MONTH(Cfg_Hoje)+IF(DAY(Cfg_Hoje)&gt;=INDEX(Cartoes_Fech,MATCH($F40,Cartoes_Nome,0)),1,0))+1))</f>
        <v>0</v>
      </c>
      <c r="Z40" s="40">
        <f>IF($A40="",0,DAY($A40))</f>
        <v>22</v>
      </c>
      <c r="AA40" s="40">
        <f>IF($A40="",0,WEEKDAY($A40))</f>
        <v>2</v>
      </c>
      <c r="AB40" s="36">
        <f>IF(AND($C40="Despesa",U40&gt;0,U40&lt;=Sel_Idx,V40&gt;=Sel_Idx),N(R40)+ROW()/1000000000,0)</f>
        <v>0</v>
      </c>
      <c r="AC40" s="40">
        <f>IF(AND($C40="Despesa",U40&gt;0,U40&lt;=Sel_Idx,V40&gt;=Sel_Idx),Z40*10000+ROW(),0)</f>
        <v>0</v>
      </c>
      <c r="AD40" s="40">
        <f>IF(AC40=0,0,COUNTIFS(L_CalChave,"&gt;0",L_CalChave,"&lt;"&amp;AC40)+1)</f>
        <v>0</v>
      </c>
    </row>
    <row r="41">
      <c r="A41" s="38" t="n">
        <v>45923</v>
      </c>
      <c r="B41" s="39" t="inlineStr">
        <is>
          <t>Bar com amigos</t>
        </is>
      </c>
      <c r="C41" s="34" t="inlineStr">
        <is>
          <t>Despesa</t>
        </is>
      </c>
      <c r="D41" s="34" t="inlineStr">
        <is>
          <t>Lazer</t>
        </is>
      </c>
      <c r="E41" s="34" t="inlineStr">
        <is>
          <t>Bares</t>
        </is>
      </c>
      <c r="F41" s="34" t="inlineStr">
        <is>
          <t>Cartão Roxinho</t>
        </is>
      </c>
      <c r="G41" s="34" t="inlineStr">
        <is>
          <t>Crédito</t>
        </is>
      </c>
      <c r="H41" s="37" t="n"/>
      <c r="I41" s="37" t="n"/>
      <c r="J41" s="34" t="inlineStr">
        <is>
          <t>Pago</t>
        </is>
      </c>
      <c r="K41" s="34" t="n"/>
      <c r="L41" s="34" t="n"/>
      <c r="M41" s="39" t="inlineStr">
        <is>
          <t>EXEMPLO</t>
        </is>
      </c>
      <c r="N41" s="35" t="n">
        <v>170.21</v>
      </c>
      <c r="O41" s="40">
        <f>IF($A41="","",MONTH($A41))</f>
        <v>9</v>
      </c>
      <c r="P41" s="40">
        <f>IF($A41="","",YEAR($A41))</f>
        <v>2025</v>
      </c>
      <c r="Q41" s="41">
        <f>IF($A41="","",DATE(P41,O41,1))</f>
        <v>45901.0</v>
      </c>
      <c r="R41" s="36">
        <f>IF(OR($A41="",$N41=""),"",IF(AND($C41&lt;&gt;"Transferência",N($I41)&gt;1),$N41/$I41,$N41))</f>
        <v>170.21</v>
      </c>
      <c r="S41" s="41">
        <f>IF(OR($A41="",$F41="",$C41&lt;&gt;"Despesa"),"",IF(COUNTIF(Cartoes_Nome,$F41)=0,"",DATE(P41,O41+IF(DAY($A41)&gt;=INDEX(Cartoes_Fech,MATCH($F41,Cartoes_Nome,0)),1,0),1)))</f>
        <v>45901.0</v>
      </c>
      <c r="T41" s="42" t="str">
        <f>IF($A41="","",IF(COUNTIFS(L_Data,$A41,L_Desc,$B41,L_Valor,$N41,L_Tipo,$C41)&gt;1,"⚠ Possível duplicidade",IF(OR(AND($C41="Despesa",COUNTIF(CatD_Nome,$D41)=0),AND($C41="Receita",COUNTIF(CatR_Nome,$D41)=0)),"⚠ Categoria não combina com o tipo",IF(OR($N41="",$C41=""),"⚠ Falta valor ou tipo",""))))</f>
        <v/>
      </c>
      <c r="U41" s="40">
        <f>IF($A41="",0,P41*12+O41)</f>
        <v>24309</v>
      </c>
      <c r="V41" s="40">
        <f>IF($A41="",0,U41+MAX(0,N($I41)-MAX(N($H41),1)))</f>
        <v>24309</v>
      </c>
      <c r="W41" s="40">
        <f>IF(S41="",0,YEAR(S41)*12+MONTH(S41))</f>
        <v>24309</v>
      </c>
      <c r="X41" s="40">
        <f>IF(W41=0,0,W41+V41-U41)</f>
        <v>24309</v>
      </c>
      <c r="Y41" s="36">
        <f>IF(W41=0,0,N(R41)*MAX(0,X41-MAX(W41,YEAR(Cfg_Hoje)*12+MONTH(Cfg_Hoje)+IF(DAY(Cfg_Hoje)&gt;=INDEX(Cartoes_Fech,MATCH($F41,Cartoes_Nome,0)),1,0))+1))</f>
        <v>0</v>
      </c>
      <c r="Z41" s="40">
        <f>IF($A41="",0,DAY($A41))</f>
        <v>23</v>
      </c>
      <c r="AA41" s="40">
        <f>IF($A41="",0,WEEKDAY($A41))</f>
        <v>3</v>
      </c>
      <c r="AB41" s="36">
        <f>IF(AND($C41="Despesa",U41&gt;0,U41&lt;=Sel_Idx,V41&gt;=Sel_Idx),N(R41)+ROW()/1000000000,0)</f>
        <v>0</v>
      </c>
      <c r="AC41" s="40">
        <f>IF(AND($C41="Despesa",U41&gt;0,U41&lt;=Sel_Idx,V41&gt;=Sel_Idx),Z41*10000+ROW(),0)</f>
        <v>0</v>
      </c>
      <c r="AD41" s="40">
        <f>IF(AC41=0,0,COUNTIFS(L_CalChave,"&gt;0",L_CalChave,"&lt;"&amp;AC41)+1)</f>
        <v>0</v>
      </c>
    </row>
    <row r="42">
      <c r="A42" s="38" t="n">
        <v>45924</v>
      </c>
      <c r="B42" s="39" t="inlineStr">
        <is>
          <t>Corrida de aplicativo</t>
        </is>
      </c>
      <c r="C42" s="34" t="inlineStr">
        <is>
          <t>Despesa</t>
        </is>
      </c>
      <c r="D42" s="34" t="inlineStr">
        <is>
          <t>Transporte</t>
        </is>
      </c>
      <c r="E42" s="34" t="inlineStr">
        <is>
          <t>App de transporte</t>
        </is>
      </c>
      <c r="F42" s="34" t="inlineStr">
        <is>
          <t>Conta Corrente Banco Azul</t>
        </is>
      </c>
      <c r="G42" s="34" t="inlineStr">
        <is>
          <t>Pix</t>
        </is>
      </c>
      <c r="H42" s="37" t="n"/>
      <c r="I42" s="37" t="n"/>
      <c r="J42" s="34" t="inlineStr">
        <is>
          <t>Pago</t>
        </is>
      </c>
      <c r="K42" s="34" t="n"/>
      <c r="L42" s="34" t="n"/>
      <c r="M42" s="39" t="inlineStr">
        <is>
          <t>EXEMPLO</t>
        </is>
      </c>
      <c r="N42" s="35" t="n">
        <v>28.21</v>
      </c>
      <c r="O42" s="40">
        <f>IF($A42="","",MONTH($A42))</f>
        <v>9</v>
      </c>
      <c r="P42" s="40">
        <f>IF($A42="","",YEAR($A42))</f>
        <v>2025</v>
      </c>
      <c r="Q42" s="41">
        <f>IF($A42="","",DATE(P42,O42,1))</f>
        <v>45901.0</v>
      </c>
      <c r="R42" s="36">
        <f>IF(OR($A42="",$N42=""),"",IF(AND($C42&lt;&gt;"Transferência",N($I42)&gt;1),$N42/$I42,$N42))</f>
        <v>28.21</v>
      </c>
      <c r="S42" s="41" t="str">
        <f>IF(OR($A42="",$F42="",$C42&lt;&gt;"Despesa"),"",IF(COUNTIF(Cartoes_Nome,$F42)=0,"",DATE(P42,O42+IF(DAY($A42)&gt;=INDEX(Cartoes_Fech,MATCH($F42,Cartoes_Nome,0)),1,0),1)))</f>
        <v/>
      </c>
      <c r="T42" s="42" t="str">
        <f>IF($A42="","",IF(COUNTIFS(L_Data,$A42,L_Desc,$B42,L_Valor,$N42,L_Tipo,$C42)&gt;1,"⚠ Possível duplicidade",IF(OR(AND($C42="Despesa",COUNTIF(CatD_Nome,$D42)=0),AND($C42="Receita",COUNTIF(CatR_Nome,$D42)=0)),"⚠ Categoria não combina com o tipo",IF(OR($N42="",$C42=""),"⚠ Falta valor ou tipo",""))))</f>
        <v/>
      </c>
      <c r="U42" s="40">
        <f>IF($A42="",0,P42*12+O42)</f>
        <v>24309</v>
      </c>
      <c r="V42" s="40">
        <f>IF($A42="",0,U42+MAX(0,N($I42)-MAX(N($H42),1)))</f>
        <v>24309</v>
      </c>
      <c r="W42" s="40">
        <f>IF(S42="",0,YEAR(S42)*12+MONTH(S42))</f>
        <v>0</v>
      </c>
      <c r="X42" s="40">
        <f>IF(W42=0,0,W42+V42-U42)</f>
        <v>0</v>
      </c>
      <c r="Y42" s="36">
        <f>IF(W42=0,0,N(R42)*MAX(0,X42-MAX(W42,YEAR(Cfg_Hoje)*12+MONTH(Cfg_Hoje)+IF(DAY(Cfg_Hoje)&gt;=INDEX(Cartoes_Fech,MATCH($F42,Cartoes_Nome,0)),1,0))+1))</f>
        <v>0</v>
      </c>
      <c r="Z42" s="40">
        <f>IF($A42="",0,DAY($A42))</f>
        <v>24</v>
      </c>
      <c r="AA42" s="40">
        <f>IF($A42="",0,WEEKDAY($A42))</f>
        <v>4</v>
      </c>
      <c r="AB42" s="36">
        <f>IF(AND($C42="Despesa",U42&gt;0,U42&lt;=Sel_Idx,V42&gt;=Sel_Idx),N(R42)+ROW()/1000000000,0)</f>
        <v>0</v>
      </c>
      <c r="AC42" s="40">
        <f>IF(AND($C42="Despesa",U42&gt;0,U42&lt;=Sel_Idx,V42&gt;=Sel_Idx),Z42*10000+ROW(),0)</f>
        <v>0</v>
      </c>
      <c r="AD42" s="40">
        <f>IF(AC42=0,0,COUNTIFS(L_CalChave,"&gt;0",L_CalChave,"&lt;"&amp;AC42)+1)</f>
        <v>0</v>
      </c>
    </row>
    <row r="43">
      <c r="A43" s="38" t="n">
        <v>45925</v>
      </c>
      <c r="B43" s="39" t="inlineStr">
        <is>
          <t>Parcela renegociação da fatura</t>
        </is>
      </c>
      <c r="C43" s="34" t="inlineStr">
        <is>
          <t>Despesa</t>
        </is>
      </c>
      <c r="D43" s="34" t="inlineStr">
        <is>
          <t>Dívidas e Financiamentos</t>
        </is>
      </c>
      <c r="E43" s="34" t="n"/>
      <c r="F43" s="34" t="inlineStr">
        <is>
          <t>Conta Corrente Banco Azul</t>
        </is>
      </c>
      <c r="G43" s="34" t="inlineStr">
        <is>
          <t>Boleto</t>
        </is>
      </c>
      <c r="H43" s="37" t="n"/>
      <c r="I43" s="37" t="n"/>
      <c r="J43" s="34" t="inlineStr">
        <is>
          <t>Pago</t>
        </is>
      </c>
      <c r="K43" s="34" t="n"/>
      <c r="L43" s="34" t="n"/>
      <c r="M43" s="39" t="inlineStr">
        <is>
          <t>EXEMPLO</t>
        </is>
      </c>
      <c r="N43" s="35" t="n">
        <v>460</v>
      </c>
      <c r="O43" s="40">
        <f>IF($A43="","",MONTH($A43))</f>
        <v>9</v>
      </c>
      <c r="P43" s="40">
        <f>IF($A43="","",YEAR($A43))</f>
        <v>2025</v>
      </c>
      <c r="Q43" s="41">
        <f>IF($A43="","",DATE(P43,O43,1))</f>
        <v>45901.0</v>
      </c>
      <c r="R43" s="36">
        <f>IF(OR($A43="",$N43=""),"",IF(AND($C43&lt;&gt;"Transferência",N($I43)&gt;1),$N43/$I43,$N43))</f>
        <v>460</v>
      </c>
      <c r="S43" s="41" t="str">
        <f>IF(OR($A43="",$F43="",$C43&lt;&gt;"Despesa"),"",IF(COUNTIF(Cartoes_Nome,$F43)=0,"",DATE(P43,O43+IF(DAY($A43)&gt;=INDEX(Cartoes_Fech,MATCH($F43,Cartoes_Nome,0)),1,0),1)))</f>
        <v/>
      </c>
      <c r="T43" s="42" t="str">
        <f>IF($A43="","",IF(COUNTIFS(L_Data,$A43,L_Desc,$B43,L_Valor,$N43,L_Tipo,$C43)&gt;1,"⚠ Possível duplicidade",IF(OR(AND($C43="Despesa",COUNTIF(CatD_Nome,$D43)=0),AND($C43="Receita",COUNTIF(CatR_Nome,$D43)=0)),"⚠ Categoria não combina com o tipo",IF(OR($N43="",$C43=""),"⚠ Falta valor ou tipo",""))))</f>
        <v/>
      </c>
      <c r="U43" s="40">
        <f>IF($A43="",0,P43*12+O43)</f>
        <v>24309</v>
      </c>
      <c r="V43" s="40">
        <f>IF($A43="",0,U43+MAX(0,N($I43)-MAX(N($H43),1)))</f>
        <v>24309</v>
      </c>
      <c r="W43" s="40">
        <f>IF(S43="",0,YEAR(S43)*12+MONTH(S43))</f>
        <v>0</v>
      </c>
      <c r="X43" s="40">
        <f>IF(W43=0,0,W43+V43-U43)</f>
        <v>0</v>
      </c>
      <c r="Y43" s="36">
        <f>IF(W43=0,0,N(R43)*MAX(0,X43-MAX(W43,YEAR(Cfg_Hoje)*12+MONTH(Cfg_Hoje)+IF(DAY(Cfg_Hoje)&gt;=INDEX(Cartoes_Fech,MATCH($F43,Cartoes_Nome,0)),1,0))+1))</f>
        <v>0</v>
      </c>
      <c r="Z43" s="40">
        <f>IF($A43="",0,DAY($A43))</f>
        <v>25</v>
      </c>
      <c r="AA43" s="40">
        <f>IF($A43="",0,WEEKDAY($A43))</f>
        <v>5</v>
      </c>
      <c r="AB43" s="36">
        <f>IF(AND($C43="Despesa",U43&gt;0,U43&lt;=Sel_Idx,V43&gt;=Sel_Idx),N(R43)+ROW()/1000000000,0)</f>
        <v>0</v>
      </c>
      <c r="AC43" s="40">
        <f>IF(AND($C43="Despesa",U43&gt;0,U43&lt;=Sel_Idx,V43&gt;=Sel_Idx),Z43*10000+ROW(),0)</f>
        <v>0</v>
      </c>
      <c r="AD43" s="40">
        <f>IF(AC43=0,0,COUNTIFS(L_CalChave,"&gt;0",L_CalChave,"&lt;"&amp;AC43)+1)</f>
        <v>0</v>
      </c>
    </row>
    <row r="44">
      <c r="A44" s="38" t="n">
        <v>45928</v>
      </c>
      <c r="B44" s="39" t="inlineStr">
        <is>
          <t>Rendimento da poupança</t>
        </is>
      </c>
      <c r="C44" s="34" t="inlineStr">
        <is>
          <t>Receita</t>
        </is>
      </c>
      <c r="D44" s="34" t="inlineStr">
        <is>
          <t>Rendimentos</t>
        </is>
      </c>
      <c r="E44" s="34" t="n"/>
      <c r="F44" s="34" t="inlineStr">
        <is>
          <t>Poupança Banco Azul</t>
        </is>
      </c>
      <c r="G44" s="34" t="inlineStr">
        <is>
          <t>Transferência</t>
        </is>
      </c>
      <c r="H44" s="37" t="n"/>
      <c r="I44" s="37" t="n"/>
      <c r="J44" s="34" t="inlineStr">
        <is>
          <t>Pago</t>
        </is>
      </c>
      <c r="K44" s="34" t="n"/>
      <c r="L44" s="34" t="n"/>
      <c r="M44" s="39" t="inlineStr">
        <is>
          <t>EXEMPLO</t>
        </is>
      </c>
      <c r="N44" s="35" t="n">
        <v>64.17</v>
      </c>
      <c r="O44" s="40">
        <f>IF($A44="","",MONTH($A44))</f>
        <v>9</v>
      </c>
      <c r="P44" s="40">
        <f>IF($A44="","",YEAR($A44))</f>
        <v>2025</v>
      </c>
      <c r="Q44" s="41">
        <f>IF($A44="","",DATE(P44,O44,1))</f>
        <v>45901.0</v>
      </c>
      <c r="R44" s="36">
        <f>IF(OR($A44="",$N44=""),"",IF(AND($C44&lt;&gt;"Transferência",N($I44)&gt;1),$N44/$I44,$N44))</f>
        <v>64.17</v>
      </c>
      <c r="S44" s="41" t="str">
        <f>IF(OR($A44="",$F44="",$C44&lt;&gt;"Despesa"),"",IF(COUNTIF(Cartoes_Nome,$F44)=0,"",DATE(P44,O44+IF(DAY($A44)&gt;=INDEX(Cartoes_Fech,MATCH($F44,Cartoes_Nome,0)),1,0),1)))</f>
        <v/>
      </c>
      <c r="T44" s="42" t="str">
        <f>IF($A44="","",IF(COUNTIFS(L_Data,$A44,L_Desc,$B44,L_Valor,$N44,L_Tipo,$C44)&gt;1,"⚠ Possível duplicidade",IF(OR(AND($C44="Despesa",COUNTIF(CatD_Nome,$D44)=0),AND($C44="Receita",COUNTIF(CatR_Nome,$D44)=0)),"⚠ Categoria não combina com o tipo",IF(OR($N44="",$C44=""),"⚠ Falta valor ou tipo",""))))</f>
        <v/>
      </c>
      <c r="U44" s="40">
        <f>IF($A44="",0,P44*12+O44)</f>
        <v>24309</v>
      </c>
      <c r="V44" s="40">
        <f>IF($A44="",0,U44+MAX(0,N($I44)-MAX(N($H44),1)))</f>
        <v>24309</v>
      </c>
      <c r="W44" s="40">
        <f>IF(S44="",0,YEAR(S44)*12+MONTH(S44))</f>
        <v>0</v>
      </c>
      <c r="X44" s="40">
        <f>IF(W44=0,0,W44+V44-U44)</f>
        <v>0</v>
      </c>
      <c r="Y44" s="36">
        <f>IF(W44=0,0,N(R44)*MAX(0,X44-MAX(W44,YEAR(Cfg_Hoje)*12+MONTH(Cfg_Hoje)+IF(DAY(Cfg_Hoje)&gt;=INDEX(Cartoes_Fech,MATCH($F44,Cartoes_Nome,0)),1,0))+1))</f>
        <v>0</v>
      </c>
      <c r="Z44" s="40">
        <f>IF($A44="",0,DAY($A44))</f>
        <v>28</v>
      </c>
      <c r="AA44" s="40">
        <f>IF($A44="",0,WEEKDAY($A44))</f>
        <v>1</v>
      </c>
      <c r="AB44" s="36">
        <f>IF(AND($C44="Despesa",U44&gt;0,U44&lt;=Sel_Idx,V44&gt;=Sel_Idx),N(R44)+ROW()/1000000000,0)</f>
        <v>0</v>
      </c>
      <c r="AC44" s="40">
        <f>IF(AND($C44="Despesa",U44&gt;0,U44&lt;=Sel_Idx,V44&gt;=Sel_Idx),Z44*10000+ROW(),0)</f>
        <v>0</v>
      </c>
      <c r="AD44" s="40">
        <f>IF(AC44=0,0,COUNTIFS(L_CalChave,"&gt;0",L_CalChave,"&lt;"&amp;AC44)+1)</f>
        <v>0</v>
      </c>
    </row>
    <row r="45">
      <c r="A45" s="38" t="n">
        <v>45928</v>
      </c>
      <c r="B45" s="39" t="inlineStr">
        <is>
          <t>Supermercado</t>
        </is>
      </c>
      <c r="C45" s="34" t="inlineStr">
        <is>
          <t>Despesa</t>
        </is>
      </c>
      <c r="D45" s="34" t="inlineStr">
        <is>
          <t>Alimentação</t>
        </is>
      </c>
      <c r="E45" s="34" t="inlineStr">
        <is>
          <t>Mercado</t>
        </is>
      </c>
      <c r="F45" s="34" t="inlineStr">
        <is>
          <t>Cartão Azul Gold</t>
        </is>
      </c>
      <c r="G45" s="34" t="inlineStr">
        <is>
          <t>Crédito</t>
        </is>
      </c>
      <c r="H45" s="37" t="n"/>
      <c r="I45" s="37" t="n"/>
      <c r="J45" s="34" t="inlineStr">
        <is>
          <t>Pago</t>
        </is>
      </c>
      <c r="K45" s="34" t="n"/>
      <c r="L45" s="34" t="n"/>
      <c r="M45" s="39" t="inlineStr">
        <is>
          <t>EXEMPLO</t>
        </is>
      </c>
      <c r="N45" s="35" t="n">
        <v>313.81</v>
      </c>
      <c r="O45" s="40">
        <f>IF($A45="","",MONTH($A45))</f>
        <v>9</v>
      </c>
      <c r="P45" s="40">
        <f>IF($A45="","",YEAR($A45))</f>
        <v>2025</v>
      </c>
      <c r="Q45" s="41">
        <f>IF($A45="","",DATE(P45,O45,1))</f>
        <v>45901.0</v>
      </c>
      <c r="R45" s="36">
        <f>IF(OR($A45="",$N45=""),"",IF(AND($C45&lt;&gt;"Transferência",N($I45)&gt;1),$N45/$I45,$N45))</f>
        <v>313.81</v>
      </c>
      <c r="S45" s="41">
        <f>IF(OR($A45="",$F45="",$C45&lt;&gt;"Despesa"),"",IF(COUNTIF(Cartoes_Nome,$F45)=0,"",DATE(P45,O45+IF(DAY($A45)&gt;=INDEX(Cartoes_Fech,MATCH($F45,Cartoes_Nome,0)),1,0),1)))</f>
        <v>45931.0</v>
      </c>
      <c r="T45" s="42" t="str">
        <f>IF($A45="","",IF(COUNTIFS(L_Data,$A45,L_Desc,$B45,L_Valor,$N45,L_Tipo,$C45)&gt;1,"⚠ Possível duplicidade",IF(OR(AND($C45="Despesa",COUNTIF(CatD_Nome,$D45)=0),AND($C45="Receita",COUNTIF(CatR_Nome,$D45)=0)),"⚠ Categoria não combina com o tipo",IF(OR($N45="",$C45=""),"⚠ Falta valor ou tipo",""))))</f>
        <v/>
      </c>
      <c r="U45" s="40">
        <f>IF($A45="",0,P45*12+O45)</f>
        <v>24309</v>
      </c>
      <c r="V45" s="40">
        <f>IF($A45="",0,U45+MAX(0,N($I45)-MAX(N($H45),1)))</f>
        <v>24309</v>
      </c>
      <c r="W45" s="40">
        <f>IF(S45="",0,YEAR(S45)*12+MONTH(S45))</f>
        <v>24310</v>
      </c>
      <c r="X45" s="40">
        <f>IF(W45=0,0,W45+V45-U45)</f>
        <v>24310</v>
      </c>
      <c r="Y45" s="36">
        <f>IF(W45=0,0,N(R45)*MAX(0,X45-MAX(W45,YEAR(Cfg_Hoje)*12+MONTH(Cfg_Hoje)+IF(DAY(Cfg_Hoje)&gt;=INDEX(Cartoes_Fech,MATCH($F45,Cartoes_Nome,0)),1,0))+1))</f>
        <v>0</v>
      </c>
      <c r="Z45" s="40">
        <f>IF($A45="",0,DAY($A45))</f>
        <v>28</v>
      </c>
      <c r="AA45" s="40">
        <f>IF($A45="",0,WEEKDAY($A45))</f>
        <v>1</v>
      </c>
      <c r="AB45" s="36">
        <f>IF(AND($C45="Despesa",U45&gt;0,U45&lt;=Sel_Idx,V45&gt;=Sel_Idx),N(R45)+ROW()/1000000000,0)</f>
        <v>0</v>
      </c>
      <c r="AC45" s="40">
        <f>IF(AND($C45="Despesa",U45&gt;0,U45&lt;=Sel_Idx,V45&gt;=Sel_Idx),Z45*10000+ROW(),0)</f>
        <v>0</v>
      </c>
      <c r="AD45" s="40">
        <f>IF(AC45=0,0,COUNTIFS(L_CalChave,"&gt;0",L_CalChave,"&lt;"&amp;AC45)+1)</f>
        <v>0</v>
      </c>
    </row>
    <row r="46">
      <c r="A46" s="38" t="n">
        <v>45933</v>
      </c>
      <c r="B46" s="39" t="inlineStr">
        <is>
          <t>Academia</t>
        </is>
      </c>
      <c r="C46" s="34" t="inlineStr">
        <is>
          <t>Despesa</t>
        </is>
      </c>
      <c r="D46" s="34" t="inlineStr">
        <is>
          <t>Assinaturas</t>
        </is>
      </c>
      <c r="E46" s="34" t="inlineStr">
        <is>
          <t>Academia</t>
        </is>
      </c>
      <c r="F46" s="34" t="inlineStr">
        <is>
          <t>Conta Corrente Banco Azul</t>
        </is>
      </c>
      <c r="G46" s="34" t="inlineStr">
        <is>
          <t>Débito automático</t>
        </is>
      </c>
      <c r="H46" s="37" t="n"/>
      <c r="I46" s="37" t="n"/>
      <c r="J46" s="34" t="inlineStr">
        <is>
          <t>Pago</t>
        </is>
      </c>
      <c r="K46" s="34" t="n"/>
      <c r="L46" s="34" t="n"/>
      <c r="M46" s="39" t="inlineStr">
        <is>
          <t>EXEMPLO</t>
        </is>
      </c>
      <c r="N46" s="35" t="n">
        <v>129</v>
      </c>
      <c r="O46" s="40">
        <f>IF($A46="","",MONTH($A46))</f>
        <v>10</v>
      </c>
      <c r="P46" s="40">
        <f>IF($A46="","",YEAR($A46))</f>
        <v>2025</v>
      </c>
      <c r="Q46" s="41">
        <f>IF($A46="","",DATE(P46,O46,1))</f>
        <v>45931.0</v>
      </c>
      <c r="R46" s="36">
        <f>IF(OR($A46="",$N46=""),"",IF(AND($C46&lt;&gt;"Transferência",N($I46)&gt;1),$N46/$I46,$N46))</f>
        <v>129</v>
      </c>
      <c r="S46" s="41" t="str">
        <f>IF(OR($A46="",$F46="",$C46&lt;&gt;"Despesa"),"",IF(COUNTIF(Cartoes_Nome,$F46)=0,"",DATE(P46,O46+IF(DAY($A46)&gt;=INDEX(Cartoes_Fech,MATCH($F46,Cartoes_Nome,0)),1,0),1)))</f>
        <v/>
      </c>
      <c r="T46" s="42" t="str">
        <f>IF($A46="","",IF(COUNTIFS(L_Data,$A46,L_Desc,$B46,L_Valor,$N46,L_Tipo,$C46)&gt;1,"⚠ Possível duplicidade",IF(OR(AND($C46="Despesa",COUNTIF(CatD_Nome,$D46)=0),AND($C46="Receita",COUNTIF(CatR_Nome,$D46)=0)),"⚠ Categoria não combina com o tipo",IF(OR($N46="",$C46=""),"⚠ Falta valor ou tipo",""))))</f>
        <v/>
      </c>
      <c r="U46" s="40">
        <f>IF($A46="",0,P46*12+O46)</f>
        <v>24310</v>
      </c>
      <c r="V46" s="40">
        <f>IF($A46="",0,U46+MAX(0,N($I46)-MAX(N($H46),1)))</f>
        <v>24310</v>
      </c>
      <c r="W46" s="40">
        <f>IF(S46="",0,YEAR(S46)*12+MONTH(S46))</f>
        <v>0</v>
      </c>
      <c r="X46" s="40">
        <f>IF(W46=0,0,W46+V46-U46)</f>
        <v>0</v>
      </c>
      <c r="Y46" s="36">
        <f>IF(W46=0,0,N(R46)*MAX(0,X46-MAX(W46,YEAR(Cfg_Hoje)*12+MONTH(Cfg_Hoje)+IF(DAY(Cfg_Hoje)&gt;=INDEX(Cartoes_Fech,MATCH($F46,Cartoes_Nome,0)),1,0))+1))</f>
        <v>0</v>
      </c>
      <c r="Z46" s="40">
        <f>IF($A46="",0,DAY($A46))</f>
        <v>3</v>
      </c>
      <c r="AA46" s="40">
        <f>IF($A46="",0,WEEKDAY($A46))</f>
        <v>6</v>
      </c>
      <c r="AB46" s="36">
        <f>IF(AND($C46="Despesa",U46&gt;0,U46&lt;=Sel_Idx,V46&gt;=Sel_Idx),N(R46)+ROW()/1000000000,0)</f>
        <v>0</v>
      </c>
      <c r="AC46" s="40">
        <f>IF(AND($C46="Despesa",U46&gt;0,U46&lt;=Sel_Idx,V46&gt;=Sel_Idx),Z46*10000+ROW(),0)</f>
        <v>0</v>
      </c>
      <c r="AD46" s="40">
        <f>IF(AC46=0,0,COUNTIFS(L_CalChave,"&gt;0",L_CalChave,"&lt;"&amp;AC46)+1)</f>
        <v>0</v>
      </c>
    </row>
    <row r="47">
      <c r="A47" s="38" t="n">
        <v>45933</v>
      </c>
      <c r="B47" s="39" t="inlineStr">
        <is>
          <t>Despesa diversa</t>
        </is>
      </c>
      <c r="C47" s="34" t="inlineStr">
        <is>
          <t>Despesa</t>
        </is>
      </c>
      <c r="D47" s="34" t="inlineStr">
        <is>
          <t>Outros</t>
        </is>
      </c>
      <c r="E47" s="34" t="n"/>
      <c r="F47" s="34" t="inlineStr">
        <is>
          <t>Conta Corrente Banco Azul</t>
        </is>
      </c>
      <c r="G47" s="34" t="inlineStr">
        <is>
          <t>Pix</t>
        </is>
      </c>
      <c r="H47" s="37" t="n"/>
      <c r="I47" s="37" t="n"/>
      <c r="J47" s="34" t="inlineStr">
        <is>
          <t>Pago</t>
        </is>
      </c>
      <c r="K47" s="34" t="n"/>
      <c r="L47" s="34" t="n"/>
      <c r="M47" s="39" t="inlineStr">
        <is>
          <t>EXEMPLO</t>
        </is>
      </c>
      <c r="N47" s="35" t="n">
        <v>183.02</v>
      </c>
      <c r="O47" s="40">
        <f>IF($A47="","",MONTH($A47))</f>
        <v>10</v>
      </c>
      <c r="P47" s="40">
        <f>IF($A47="","",YEAR($A47))</f>
        <v>2025</v>
      </c>
      <c r="Q47" s="41">
        <f>IF($A47="","",DATE(P47,O47,1))</f>
        <v>45931.0</v>
      </c>
      <c r="R47" s="36">
        <f>IF(OR($A47="",$N47=""),"",IF(AND($C47&lt;&gt;"Transferência",N($I47)&gt;1),$N47/$I47,$N47))</f>
        <v>183.02</v>
      </c>
      <c r="S47" s="41" t="str">
        <f>IF(OR($A47="",$F47="",$C47&lt;&gt;"Despesa"),"",IF(COUNTIF(Cartoes_Nome,$F47)=0,"",DATE(P47,O47+IF(DAY($A47)&gt;=INDEX(Cartoes_Fech,MATCH($F47,Cartoes_Nome,0)),1,0),1)))</f>
        <v/>
      </c>
      <c r="T47" s="42" t="str">
        <f>IF($A47="","",IF(COUNTIFS(L_Data,$A47,L_Desc,$B47,L_Valor,$N47,L_Tipo,$C47)&gt;1,"⚠ Possível duplicidade",IF(OR(AND($C47="Despesa",COUNTIF(CatD_Nome,$D47)=0),AND($C47="Receita",COUNTIF(CatR_Nome,$D47)=0)),"⚠ Categoria não combina com o tipo",IF(OR($N47="",$C47=""),"⚠ Falta valor ou tipo",""))))</f>
        <v/>
      </c>
      <c r="U47" s="40">
        <f>IF($A47="",0,P47*12+O47)</f>
        <v>24310</v>
      </c>
      <c r="V47" s="40">
        <f>IF($A47="",0,U47+MAX(0,N($I47)-MAX(N($H47),1)))</f>
        <v>24310</v>
      </c>
      <c r="W47" s="40">
        <f>IF(S47="",0,YEAR(S47)*12+MONTH(S47))</f>
        <v>0</v>
      </c>
      <c r="X47" s="40">
        <f>IF(W47=0,0,W47+V47-U47)</f>
        <v>0</v>
      </c>
      <c r="Y47" s="36">
        <f>IF(W47=0,0,N(R47)*MAX(0,X47-MAX(W47,YEAR(Cfg_Hoje)*12+MONTH(Cfg_Hoje)+IF(DAY(Cfg_Hoje)&gt;=INDEX(Cartoes_Fech,MATCH($F47,Cartoes_Nome,0)),1,0))+1))</f>
        <v>0</v>
      </c>
      <c r="Z47" s="40">
        <f>IF($A47="",0,DAY($A47))</f>
        <v>3</v>
      </c>
      <c r="AA47" s="40">
        <f>IF($A47="",0,WEEKDAY($A47))</f>
        <v>6</v>
      </c>
      <c r="AB47" s="36">
        <f>IF(AND($C47="Despesa",U47&gt;0,U47&lt;=Sel_Idx,V47&gt;=Sel_Idx),N(R47)+ROW()/1000000000,0)</f>
        <v>0</v>
      </c>
      <c r="AC47" s="40">
        <f>IF(AND($C47="Despesa",U47&gt;0,U47&lt;=Sel_Idx,V47&gt;=Sel_Idx),Z47*10000+ROW(),0)</f>
        <v>0</v>
      </c>
      <c r="AD47" s="40">
        <f>IF(AC47=0,0,COUNTIFS(L_CalChave,"&gt;0",L_CalChave,"&lt;"&amp;AC47)+1)</f>
        <v>0</v>
      </c>
    </row>
    <row r="48">
      <c r="A48" s="38" t="n">
        <v>45935</v>
      </c>
      <c r="B48" s="39" t="inlineStr">
        <is>
          <t>Bar com amigos</t>
        </is>
      </c>
      <c r="C48" s="34" t="inlineStr">
        <is>
          <t>Despesa</t>
        </is>
      </c>
      <c r="D48" s="34" t="inlineStr">
        <is>
          <t>Lazer</t>
        </is>
      </c>
      <c r="E48" s="34" t="inlineStr">
        <is>
          <t>Bares</t>
        </is>
      </c>
      <c r="F48" s="34" t="inlineStr">
        <is>
          <t>Cartão Azul Gold</t>
        </is>
      </c>
      <c r="G48" s="34" t="inlineStr">
        <is>
          <t>Crédito</t>
        </is>
      </c>
      <c r="H48" s="37" t="n"/>
      <c r="I48" s="37" t="n"/>
      <c r="J48" s="34" t="inlineStr">
        <is>
          <t>Pago</t>
        </is>
      </c>
      <c r="K48" s="34" t="n"/>
      <c r="L48" s="34" t="n"/>
      <c r="M48" s="39" t="inlineStr">
        <is>
          <t>EXEMPLO</t>
        </is>
      </c>
      <c r="N48" s="35" t="n">
        <v>106.79</v>
      </c>
      <c r="O48" s="40">
        <f>IF($A48="","",MONTH($A48))</f>
        <v>10</v>
      </c>
      <c r="P48" s="40">
        <f>IF($A48="","",YEAR($A48))</f>
        <v>2025</v>
      </c>
      <c r="Q48" s="41">
        <f>IF($A48="","",DATE(P48,O48,1))</f>
        <v>45931.0</v>
      </c>
      <c r="R48" s="36">
        <f>IF(OR($A48="",$N48=""),"",IF(AND($C48&lt;&gt;"Transferência",N($I48)&gt;1),$N48/$I48,$N48))</f>
        <v>106.79</v>
      </c>
      <c r="S48" s="41">
        <f>IF(OR($A48="",$F48="",$C48&lt;&gt;"Despesa"),"",IF(COUNTIF(Cartoes_Nome,$F48)=0,"",DATE(P48,O48+IF(DAY($A48)&gt;=INDEX(Cartoes_Fech,MATCH($F48,Cartoes_Nome,0)),1,0),1)))</f>
        <v>45931.0</v>
      </c>
      <c r="T48" s="42" t="str">
        <f>IF($A48="","",IF(COUNTIFS(L_Data,$A48,L_Desc,$B48,L_Valor,$N48,L_Tipo,$C48)&gt;1,"⚠ Possível duplicidade",IF(OR(AND($C48="Despesa",COUNTIF(CatD_Nome,$D48)=0),AND($C48="Receita",COUNTIF(CatR_Nome,$D48)=0)),"⚠ Categoria não combina com o tipo",IF(OR($N48="",$C48=""),"⚠ Falta valor ou tipo",""))))</f>
        <v/>
      </c>
      <c r="U48" s="40">
        <f>IF($A48="",0,P48*12+O48)</f>
        <v>24310</v>
      </c>
      <c r="V48" s="40">
        <f>IF($A48="",0,U48+MAX(0,N($I48)-MAX(N($H48),1)))</f>
        <v>24310</v>
      </c>
      <c r="W48" s="40">
        <f>IF(S48="",0,YEAR(S48)*12+MONTH(S48))</f>
        <v>24310</v>
      </c>
      <c r="X48" s="40">
        <f>IF(W48=0,0,W48+V48-U48)</f>
        <v>24310</v>
      </c>
      <c r="Y48" s="36">
        <f>IF(W48=0,0,N(R48)*MAX(0,X48-MAX(W48,YEAR(Cfg_Hoje)*12+MONTH(Cfg_Hoje)+IF(DAY(Cfg_Hoje)&gt;=INDEX(Cartoes_Fech,MATCH($F48,Cartoes_Nome,0)),1,0))+1))</f>
        <v>0</v>
      </c>
      <c r="Z48" s="40">
        <f>IF($A48="",0,DAY($A48))</f>
        <v>5</v>
      </c>
      <c r="AA48" s="40">
        <f>IF($A48="",0,WEEKDAY($A48))</f>
        <v>1</v>
      </c>
      <c r="AB48" s="36">
        <f>IF(AND($C48="Despesa",U48&gt;0,U48&lt;=Sel_Idx,V48&gt;=Sel_Idx),N(R48)+ROW()/1000000000,0)</f>
        <v>0</v>
      </c>
      <c r="AC48" s="40">
        <f>IF(AND($C48="Despesa",U48&gt;0,U48&lt;=Sel_Idx,V48&gt;=Sel_Idx),Z48*10000+ROW(),0)</f>
        <v>0</v>
      </c>
      <c r="AD48" s="40">
        <f>IF(AC48=0,0,COUNTIFS(L_CalChave,"&gt;0",L_CalChave,"&lt;"&amp;AC48)+1)</f>
        <v>0</v>
      </c>
    </row>
    <row r="49">
      <c r="A49" s="38" t="n">
        <v>45935</v>
      </c>
      <c r="B49" s="39" t="inlineStr">
        <is>
          <t>Pagamento fatura Cartão Roxinho</t>
        </is>
      </c>
      <c r="C49" s="34" t="inlineStr">
        <is>
          <t>Transferência</t>
        </is>
      </c>
      <c r="D49" s="34" t="n"/>
      <c r="E49" s="34" t="n"/>
      <c r="F49" s="34" t="inlineStr">
        <is>
          <t>Conta Corrente Banco Azul</t>
        </is>
      </c>
      <c r="G49" s="34" t="inlineStr">
        <is>
          <t>Débito automático</t>
        </is>
      </c>
      <c r="H49" s="37" t="n"/>
      <c r="I49" s="37" t="n"/>
      <c r="J49" s="34" t="inlineStr">
        <is>
          <t>Pago</t>
        </is>
      </c>
      <c r="K49" s="34" t="n"/>
      <c r="L49" s="34" t="n"/>
      <c r="M49" s="39" t="inlineStr">
        <is>
          <t>EXEMPLO</t>
        </is>
      </c>
      <c r="N49" s="35" t="n">
        <v>-308.12</v>
      </c>
      <c r="O49" s="40">
        <f>IF($A49="","",MONTH($A49))</f>
        <v>10</v>
      </c>
      <c r="P49" s="40">
        <f>IF($A49="","",YEAR($A49))</f>
        <v>2025</v>
      </c>
      <c r="Q49" s="41">
        <f>IF($A49="","",DATE(P49,O49,1))</f>
        <v>45931.0</v>
      </c>
      <c r="R49" s="36">
        <f>IF(OR($A49="",$N49=""),"",IF(AND($C49&lt;&gt;"Transferência",N($I49)&gt;1),$N49/$I49,$N49))</f>
        <v>-308.12</v>
      </c>
      <c r="S49" s="41" t="str">
        <f>IF(OR($A49="",$F49="",$C49&lt;&gt;"Despesa"),"",IF(COUNTIF(Cartoes_Nome,$F49)=0,"",DATE(P49,O49+IF(DAY($A49)&gt;=INDEX(Cartoes_Fech,MATCH($F49,Cartoes_Nome,0)),1,0),1)))</f>
        <v/>
      </c>
      <c r="T49" s="42" t="str">
        <f>IF($A49="","",IF(COUNTIFS(L_Data,$A49,L_Desc,$B49,L_Valor,$N49,L_Tipo,$C49)&gt;1,"⚠ Possível duplicidade",IF(OR(AND($C49="Despesa",COUNTIF(CatD_Nome,$D49)=0),AND($C49="Receita",COUNTIF(CatR_Nome,$D49)=0)),"⚠ Categoria não combina com o tipo",IF(OR($N49="",$C49=""),"⚠ Falta valor ou tipo",""))))</f>
        <v/>
      </c>
      <c r="U49" s="40">
        <f>IF($A49="",0,P49*12+O49)</f>
        <v>24310</v>
      </c>
      <c r="V49" s="40">
        <f>IF($A49="",0,U49+MAX(0,N($I49)-MAX(N($H49),1)))</f>
        <v>24310</v>
      </c>
      <c r="W49" s="40">
        <f>IF(S49="",0,YEAR(S49)*12+MONTH(S49))</f>
        <v>0</v>
      </c>
      <c r="X49" s="40">
        <f>IF(W49=0,0,W49+V49-U49)</f>
        <v>0</v>
      </c>
      <c r="Y49" s="36">
        <f>IF(W49=0,0,N(R49)*MAX(0,X49-MAX(W49,YEAR(Cfg_Hoje)*12+MONTH(Cfg_Hoje)+IF(DAY(Cfg_Hoje)&gt;=INDEX(Cartoes_Fech,MATCH($F49,Cartoes_Nome,0)),1,0))+1))</f>
        <v>0</v>
      </c>
      <c r="Z49" s="40">
        <f>IF($A49="",0,DAY($A49))</f>
        <v>5</v>
      </c>
      <c r="AA49" s="40">
        <f>IF($A49="",0,WEEKDAY($A49))</f>
        <v>1</v>
      </c>
      <c r="AB49" s="36">
        <f>IF(AND($C49="Despesa",U49&gt;0,U49&lt;=Sel_Idx,V49&gt;=Sel_Idx),N(R49)+ROW()/1000000000,0)</f>
        <v>0</v>
      </c>
      <c r="AC49" s="40">
        <f>IF(AND($C49="Despesa",U49&gt;0,U49&lt;=Sel_Idx,V49&gt;=Sel_Idx),Z49*10000+ROW(),0)</f>
        <v>0</v>
      </c>
      <c r="AD49" s="40">
        <f>IF(AC49=0,0,COUNTIFS(L_CalChave,"&gt;0",L_CalChave,"&lt;"&amp;AC49)+1)</f>
        <v>0</v>
      </c>
    </row>
    <row r="50">
      <c r="A50" s="38" t="n">
        <v>45935</v>
      </c>
      <c r="B50" s="39" t="inlineStr">
        <is>
          <t>Plano de saúde</t>
        </is>
      </c>
      <c r="C50" s="34" t="inlineStr">
        <is>
          <t>Despesa</t>
        </is>
      </c>
      <c r="D50" s="34" t="inlineStr">
        <is>
          <t>Saúde</t>
        </is>
      </c>
      <c r="E50" s="34" t="inlineStr">
        <is>
          <t>Plano de saúde</t>
        </is>
      </c>
      <c r="F50" s="34" t="inlineStr">
        <is>
          <t>Conta Corrente Banco Azul</t>
        </is>
      </c>
      <c r="G50" s="34" t="inlineStr">
        <is>
          <t>Débito automático</t>
        </is>
      </c>
      <c r="H50" s="37" t="n"/>
      <c r="I50" s="37" t="n"/>
      <c r="J50" s="34" t="inlineStr">
        <is>
          <t>Pago</t>
        </is>
      </c>
      <c r="K50" s="34" t="n"/>
      <c r="L50" s="34" t="n"/>
      <c r="M50" s="39" t="inlineStr">
        <is>
          <t>EXEMPLO</t>
        </is>
      </c>
      <c r="N50" s="35" t="n">
        <v>780</v>
      </c>
      <c r="O50" s="40">
        <f>IF($A50="","",MONTH($A50))</f>
        <v>10</v>
      </c>
      <c r="P50" s="40">
        <f>IF($A50="","",YEAR($A50))</f>
        <v>2025</v>
      </c>
      <c r="Q50" s="41">
        <f>IF($A50="","",DATE(P50,O50,1))</f>
        <v>45931.0</v>
      </c>
      <c r="R50" s="36">
        <f>IF(OR($A50="",$N50=""),"",IF(AND($C50&lt;&gt;"Transferência",N($I50)&gt;1),$N50/$I50,$N50))</f>
        <v>780</v>
      </c>
      <c r="S50" s="41" t="str">
        <f>IF(OR($A50="",$F50="",$C50&lt;&gt;"Despesa"),"",IF(COUNTIF(Cartoes_Nome,$F50)=0,"",DATE(P50,O50+IF(DAY($A50)&gt;=INDEX(Cartoes_Fech,MATCH($F50,Cartoes_Nome,0)),1,0),1)))</f>
        <v/>
      </c>
      <c r="T50" s="42" t="str">
        <f>IF($A50="","",IF(COUNTIFS(L_Data,$A50,L_Desc,$B50,L_Valor,$N50,L_Tipo,$C50)&gt;1,"⚠ Possível duplicidade",IF(OR(AND($C50="Despesa",COUNTIF(CatD_Nome,$D50)=0),AND($C50="Receita",COUNTIF(CatR_Nome,$D50)=0)),"⚠ Categoria não combina com o tipo",IF(OR($N50="",$C50=""),"⚠ Falta valor ou tipo",""))))</f>
        <v/>
      </c>
      <c r="U50" s="40">
        <f>IF($A50="",0,P50*12+O50)</f>
        <v>24310</v>
      </c>
      <c r="V50" s="40">
        <f>IF($A50="",0,U50+MAX(0,N($I50)-MAX(N($H50),1)))</f>
        <v>24310</v>
      </c>
      <c r="W50" s="40">
        <f>IF(S50="",0,YEAR(S50)*12+MONTH(S50))</f>
        <v>0</v>
      </c>
      <c r="X50" s="40">
        <f>IF(W50=0,0,W50+V50-U50)</f>
        <v>0</v>
      </c>
      <c r="Y50" s="36">
        <f>IF(W50=0,0,N(R50)*MAX(0,X50-MAX(W50,YEAR(Cfg_Hoje)*12+MONTH(Cfg_Hoje)+IF(DAY(Cfg_Hoje)&gt;=INDEX(Cartoes_Fech,MATCH($F50,Cartoes_Nome,0)),1,0))+1))</f>
        <v>0</v>
      </c>
      <c r="Z50" s="40">
        <f>IF($A50="",0,DAY($A50))</f>
        <v>5</v>
      </c>
      <c r="AA50" s="40">
        <f>IF($A50="",0,WEEKDAY($A50))</f>
        <v>1</v>
      </c>
      <c r="AB50" s="36">
        <f>IF(AND($C50="Despesa",U50&gt;0,U50&lt;=Sel_Idx,V50&gt;=Sel_Idx),N(R50)+ROW()/1000000000,0)</f>
        <v>0</v>
      </c>
      <c r="AC50" s="40">
        <f>IF(AND($C50="Despesa",U50&gt;0,U50&lt;=Sel_Idx,V50&gt;=Sel_Idx),Z50*10000+ROW(),0)</f>
        <v>0</v>
      </c>
      <c r="AD50" s="40">
        <f>IF(AC50=0,0,COUNTIFS(L_CalChave,"&gt;0",L_CalChave,"&lt;"&amp;AC50)+1)</f>
        <v>0</v>
      </c>
    </row>
    <row r="51">
      <c r="A51" s="38" t="n">
        <v>45935</v>
      </c>
      <c r="B51" s="39" t="inlineStr">
        <is>
          <t>Restaurante</t>
        </is>
      </c>
      <c r="C51" s="34" t="inlineStr">
        <is>
          <t>Despesa</t>
        </is>
      </c>
      <c r="D51" s="34" t="inlineStr">
        <is>
          <t>Alimentação</t>
        </is>
      </c>
      <c r="E51" s="34" t="inlineStr">
        <is>
          <t>Restaurantes</t>
        </is>
      </c>
      <c r="F51" s="34" t="inlineStr">
        <is>
          <t>Cartão Azul Gold</t>
        </is>
      </c>
      <c r="G51" s="34" t="inlineStr">
        <is>
          <t>Crédito</t>
        </is>
      </c>
      <c r="H51" s="37" t="n"/>
      <c r="I51" s="37" t="n"/>
      <c r="J51" s="34" t="inlineStr">
        <is>
          <t>Pago</t>
        </is>
      </c>
      <c r="K51" s="34" t="n"/>
      <c r="L51" s="34" t="n"/>
      <c r="M51" s="39" t="inlineStr">
        <is>
          <t>EXEMPLO</t>
        </is>
      </c>
      <c r="N51" s="35" t="n">
        <v>72.90000000000001</v>
      </c>
      <c r="O51" s="40">
        <f>IF($A51="","",MONTH($A51))</f>
        <v>10</v>
      </c>
      <c r="P51" s="40">
        <f>IF($A51="","",YEAR($A51))</f>
        <v>2025</v>
      </c>
      <c r="Q51" s="41">
        <f>IF($A51="","",DATE(P51,O51,1))</f>
        <v>45931.0</v>
      </c>
      <c r="R51" s="36">
        <f>IF(OR($A51="",$N51=""),"",IF(AND($C51&lt;&gt;"Transferência",N($I51)&gt;1),$N51/$I51,$N51))</f>
        <v>72.9</v>
      </c>
      <c r="S51" s="41">
        <f>IF(OR($A51="",$F51="",$C51&lt;&gt;"Despesa"),"",IF(COUNTIF(Cartoes_Nome,$F51)=0,"",DATE(P51,O51+IF(DAY($A51)&gt;=INDEX(Cartoes_Fech,MATCH($F51,Cartoes_Nome,0)),1,0),1)))</f>
        <v>45931.0</v>
      </c>
      <c r="T51" s="42" t="str">
        <f>IF($A51="","",IF(COUNTIFS(L_Data,$A51,L_Desc,$B51,L_Valor,$N51,L_Tipo,$C51)&gt;1,"⚠ Possível duplicidade",IF(OR(AND($C51="Despesa",COUNTIF(CatD_Nome,$D51)=0),AND($C51="Receita",COUNTIF(CatR_Nome,$D51)=0)),"⚠ Categoria não combina com o tipo",IF(OR($N51="",$C51=""),"⚠ Falta valor ou tipo",""))))</f>
        <v/>
      </c>
      <c r="U51" s="40">
        <f>IF($A51="",0,P51*12+O51)</f>
        <v>24310</v>
      </c>
      <c r="V51" s="40">
        <f>IF($A51="",0,U51+MAX(0,N($I51)-MAX(N($H51),1)))</f>
        <v>24310</v>
      </c>
      <c r="W51" s="40">
        <f>IF(S51="",0,YEAR(S51)*12+MONTH(S51))</f>
        <v>24310</v>
      </c>
      <c r="X51" s="40">
        <f>IF(W51=0,0,W51+V51-U51)</f>
        <v>24310</v>
      </c>
      <c r="Y51" s="36">
        <f>IF(W51=0,0,N(R51)*MAX(0,X51-MAX(W51,YEAR(Cfg_Hoje)*12+MONTH(Cfg_Hoje)+IF(DAY(Cfg_Hoje)&gt;=INDEX(Cartoes_Fech,MATCH($F51,Cartoes_Nome,0)),1,0))+1))</f>
        <v>0</v>
      </c>
      <c r="Z51" s="40">
        <f>IF($A51="",0,DAY($A51))</f>
        <v>5</v>
      </c>
      <c r="AA51" s="40">
        <f>IF($A51="",0,WEEKDAY($A51))</f>
        <v>1</v>
      </c>
      <c r="AB51" s="36">
        <f>IF(AND($C51="Despesa",U51&gt;0,U51&lt;=Sel_Idx,V51&gt;=Sel_Idx),N(R51)+ROW()/1000000000,0)</f>
        <v>0</v>
      </c>
      <c r="AC51" s="40">
        <f>IF(AND($C51="Despesa",U51&gt;0,U51&lt;=Sel_Idx,V51&gt;=Sel_Idx),Z51*10000+ROW(),0)</f>
        <v>0</v>
      </c>
      <c r="AD51" s="40">
        <f>IF(AC51=0,0,COUNTIFS(L_CalChave,"&gt;0",L_CalChave,"&lt;"&amp;AC51)+1)</f>
        <v>0</v>
      </c>
    </row>
    <row r="52">
      <c r="A52" s="38" t="n">
        <v>45935</v>
      </c>
      <c r="B52" s="39" t="inlineStr">
        <is>
          <t>Salário</t>
        </is>
      </c>
      <c r="C52" s="34" t="inlineStr">
        <is>
          <t>Receita</t>
        </is>
      </c>
      <c r="D52" s="34" t="inlineStr">
        <is>
          <t>Salário</t>
        </is>
      </c>
      <c r="E52" s="34" t="n"/>
      <c r="F52" s="34" t="inlineStr">
        <is>
          <t>Conta Corrente Banco Azul</t>
        </is>
      </c>
      <c r="G52" s="34" t="inlineStr">
        <is>
          <t>Transferência</t>
        </is>
      </c>
      <c r="H52" s="37" t="n"/>
      <c r="I52" s="37" t="n"/>
      <c r="J52" s="34" t="inlineStr">
        <is>
          <t>Pago</t>
        </is>
      </c>
      <c r="K52" s="34" t="n"/>
      <c r="L52" s="34" t="n"/>
      <c r="M52" s="39" t="inlineStr">
        <is>
          <t>EXEMPLO</t>
        </is>
      </c>
      <c r="N52" s="35" t="n">
        <v>10800</v>
      </c>
      <c r="O52" s="40">
        <f>IF($A52="","",MONTH($A52))</f>
        <v>10</v>
      </c>
      <c r="P52" s="40">
        <f>IF($A52="","",YEAR($A52))</f>
        <v>2025</v>
      </c>
      <c r="Q52" s="41">
        <f>IF($A52="","",DATE(P52,O52,1))</f>
        <v>45931.0</v>
      </c>
      <c r="R52" s="36">
        <f>IF(OR($A52="",$N52=""),"",IF(AND($C52&lt;&gt;"Transferência",N($I52)&gt;1),$N52/$I52,$N52))</f>
        <v>10800</v>
      </c>
      <c r="S52" s="41" t="str">
        <f>IF(OR($A52="",$F52="",$C52&lt;&gt;"Despesa"),"",IF(COUNTIF(Cartoes_Nome,$F52)=0,"",DATE(P52,O52+IF(DAY($A52)&gt;=INDEX(Cartoes_Fech,MATCH($F52,Cartoes_Nome,0)),1,0),1)))</f>
        <v/>
      </c>
      <c r="T52" s="42" t="str">
        <f>IF($A52="","",IF(COUNTIFS(L_Data,$A52,L_Desc,$B52,L_Valor,$N52,L_Tipo,$C52)&gt;1,"⚠ Possível duplicidade",IF(OR(AND($C52="Despesa",COUNTIF(CatD_Nome,$D52)=0),AND($C52="Receita",COUNTIF(CatR_Nome,$D52)=0)),"⚠ Categoria não combina com o tipo",IF(OR($N52="",$C52=""),"⚠ Falta valor ou tipo",""))))</f>
        <v/>
      </c>
      <c r="U52" s="40">
        <f>IF($A52="",0,P52*12+O52)</f>
        <v>24310</v>
      </c>
      <c r="V52" s="40">
        <f>IF($A52="",0,U52+MAX(0,N($I52)-MAX(N($H52),1)))</f>
        <v>24310</v>
      </c>
      <c r="W52" s="40">
        <f>IF(S52="",0,YEAR(S52)*12+MONTH(S52))</f>
        <v>0</v>
      </c>
      <c r="X52" s="40">
        <f>IF(W52=0,0,W52+V52-U52)</f>
        <v>0</v>
      </c>
      <c r="Y52" s="36">
        <f>IF(W52=0,0,N(R52)*MAX(0,X52-MAX(W52,YEAR(Cfg_Hoje)*12+MONTH(Cfg_Hoje)+IF(DAY(Cfg_Hoje)&gt;=INDEX(Cartoes_Fech,MATCH($F52,Cartoes_Nome,0)),1,0))+1))</f>
        <v>0</v>
      </c>
      <c r="Z52" s="40">
        <f>IF($A52="",0,DAY($A52))</f>
        <v>5</v>
      </c>
      <c r="AA52" s="40">
        <f>IF($A52="",0,WEEKDAY($A52))</f>
        <v>1</v>
      </c>
      <c r="AB52" s="36">
        <f>IF(AND($C52="Despesa",U52&gt;0,U52&lt;=Sel_Idx,V52&gt;=Sel_Idx),N(R52)+ROW()/1000000000,0)</f>
        <v>0</v>
      </c>
      <c r="AC52" s="40">
        <f>IF(AND($C52="Despesa",U52&gt;0,U52&lt;=Sel_Idx,V52&gt;=Sel_Idx),Z52*10000+ROW(),0)</f>
        <v>0</v>
      </c>
      <c r="AD52" s="40">
        <f>IF(AC52=0,0,COUNTIFS(L_CalChave,"&gt;0",L_CalChave,"&lt;"&amp;AC52)+1)</f>
        <v>0</v>
      </c>
    </row>
    <row r="53">
      <c r="A53" s="38" t="n">
        <v>45935</v>
      </c>
      <c r="B53" s="39" t="inlineStr">
        <is>
          <t>Supermercado</t>
        </is>
      </c>
      <c r="C53" s="34" t="inlineStr">
        <is>
          <t>Despesa</t>
        </is>
      </c>
      <c r="D53" s="34" t="inlineStr">
        <is>
          <t>Alimentação</t>
        </is>
      </c>
      <c r="E53" s="34" t="inlineStr">
        <is>
          <t>Mercado</t>
        </is>
      </c>
      <c r="F53" s="34" t="inlineStr">
        <is>
          <t>Conta Corrente Banco Azul</t>
        </is>
      </c>
      <c r="G53" s="34" t="inlineStr">
        <is>
          <t>Débito</t>
        </is>
      </c>
      <c r="H53" s="37" t="n"/>
      <c r="I53" s="37" t="n"/>
      <c r="J53" s="34" t="inlineStr">
        <is>
          <t>Pago</t>
        </is>
      </c>
      <c r="K53" s="34" t="n"/>
      <c r="L53" s="34" t="n"/>
      <c r="M53" s="39" t="inlineStr">
        <is>
          <t>EXEMPLO</t>
        </is>
      </c>
      <c r="N53" s="35" t="n">
        <v>305.65</v>
      </c>
      <c r="O53" s="40">
        <f>IF($A53="","",MONTH($A53))</f>
        <v>10</v>
      </c>
      <c r="P53" s="40">
        <f>IF($A53="","",YEAR($A53))</f>
        <v>2025</v>
      </c>
      <c r="Q53" s="41">
        <f>IF($A53="","",DATE(P53,O53,1))</f>
        <v>45931.0</v>
      </c>
      <c r="R53" s="36">
        <f>IF(OR($A53="",$N53=""),"",IF(AND($C53&lt;&gt;"Transferência",N($I53)&gt;1),$N53/$I53,$N53))</f>
        <v>305.65</v>
      </c>
      <c r="S53" s="41" t="str">
        <f>IF(OR($A53="",$F53="",$C53&lt;&gt;"Despesa"),"",IF(COUNTIF(Cartoes_Nome,$F53)=0,"",DATE(P53,O53+IF(DAY($A53)&gt;=INDEX(Cartoes_Fech,MATCH($F53,Cartoes_Nome,0)),1,0),1)))</f>
        <v/>
      </c>
      <c r="T53" s="42" t="str">
        <f>IF($A53="","",IF(COUNTIFS(L_Data,$A53,L_Desc,$B53,L_Valor,$N53,L_Tipo,$C53)&gt;1,"⚠ Possível duplicidade",IF(OR(AND($C53="Despesa",COUNTIF(CatD_Nome,$D53)=0),AND($C53="Receita",COUNTIF(CatR_Nome,$D53)=0)),"⚠ Categoria não combina com o tipo",IF(OR($N53="",$C53=""),"⚠ Falta valor ou tipo",""))))</f>
        <v/>
      </c>
      <c r="U53" s="40">
        <f>IF($A53="",0,P53*12+O53)</f>
        <v>24310</v>
      </c>
      <c r="V53" s="40">
        <f>IF($A53="",0,U53+MAX(0,N($I53)-MAX(N($H53),1)))</f>
        <v>24310</v>
      </c>
      <c r="W53" s="40">
        <f>IF(S53="",0,YEAR(S53)*12+MONTH(S53))</f>
        <v>0</v>
      </c>
      <c r="X53" s="40">
        <f>IF(W53=0,0,W53+V53-U53)</f>
        <v>0</v>
      </c>
      <c r="Y53" s="36">
        <f>IF(W53=0,0,N(R53)*MAX(0,X53-MAX(W53,YEAR(Cfg_Hoje)*12+MONTH(Cfg_Hoje)+IF(DAY(Cfg_Hoje)&gt;=INDEX(Cartoes_Fech,MATCH($F53,Cartoes_Nome,0)),1,0))+1))</f>
        <v>0</v>
      </c>
      <c r="Z53" s="40">
        <f>IF($A53="",0,DAY($A53))</f>
        <v>5</v>
      </c>
      <c r="AA53" s="40">
        <f>IF($A53="",0,WEEKDAY($A53))</f>
        <v>1</v>
      </c>
      <c r="AB53" s="36">
        <f>IF(AND($C53="Despesa",U53&gt;0,U53&lt;=Sel_Idx,V53&gt;=Sel_Idx),N(R53)+ROW()/1000000000,0)</f>
        <v>0</v>
      </c>
      <c r="AC53" s="40">
        <f>IF(AND($C53="Despesa",U53&gt;0,U53&lt;=Sel_Idx,V53&gt;=Sel_Idx),Z53*10000+ROW(),0)</f>
        <v>0</v>
      </c>
      <c r="AD53" s="40">
        <f>IF(AC53=0,0,COUNTIFS(L_CalChave,"&gt;0",L_CalChave,"&lt;"&amp;AC53)+1)</f>
        <v>0</v>
      </c>
    </row>
    <row r="54">
      <c r="A54" s="38" t="n">
        <v>45936</v>
      </c>
      <c r="B54" s="39" t="inlineStr">
        <is>
          <t>Aporte - aposentadoria (PGBL)</t>
        </is>
      </c>
      <c r="C54" s="34" t="inlineStr">
        <is>
          <t>Investimento</t>
        </is>
      </c>
      <c r="D54" s="34" t="inlineStr">
        <is>
          <t>Investimento</t>
        </is>
      </c>
      <c r="E54" s="34" t="n"/>
      <c r="F54" s="34" t="inlineStr">
        <is>
          <t>Conta Corrente Banco Azul</t>
        </is>
      </c>
      <c r="G54" s="34" t="inlineStr">
        <is>
          <t>Transferência</t>
        </is>
      </c>
      <c r="H54" s="37" t="n"/>
      <c r="I54" s="37" t="n"/>
      <c r="J54" s="34" t="inlineStr">
        <is>
          <t>Pago</t>
        </is>
      </c>
      <c r="K54" s="34" t="n"/>
      <c r="L54" s="34" t="inlineStr">
        <is>
          <t>Aposentadoria</t>
        </is>
      </c>
      <c r="M54" s="39" t="inlineStr">
        <is>
          <t>EXEMPLO</t>
        </is>
      </c>
      <c r="N54" s="35" t="n">
        <v>300</v>
      </c>
      <c r="O54" s="40">
        <f>IF($A54="","",MONTH($A54))</f>
        <v>10</v>
      </c>
      <c r="P54" s="40">
        <f>IF($A54="","",YEAR($A54))</f>
        <v>2025</v>
      </c>
      <c r="Q54" s="41">
        <f>IF($A54="","",DATE(P54,O54,1))</f>
        <v>45931.0</v>
      </c>
      <c r="R54" s="36">
        <f>IF(OR($A54="",$N54=""),"",IF(AND($C54&lt;&gt;"Transferência",N($I54)&gt;1),$N54/$I54,$N54))</f>
        <v>300</v>
      </c>
      <c r="S54" s="41" t="str">
        <f>IF(OR($A54="",$F54="",$C54&lt;&gt;"Despesa"),"",IF(COUNTIF(Cartoes_Nome,$F54)=0,"",DATE(P54,O54+IF(DAY($A54)&gt;=INDEX(Cartoes_Fech,MATCH($F54,Cartoes_Nome,0)),1,0),1)))</f>
        <v/>
      </c>
      <c r="T54" s="42" t="str">
        <f>IF($A54="","",IF(COUNTIFS(L_Data,$A54,L_Desc,$B54,L_Valor,$N54,L_Tipo,$C54)&gt;1,"⚠ Possível duplicidade",IF(OR(AND($C54="Despesa",COUNTIF(CatD_Nome,$D54)=0),AND($C54="Receita",COUNTIF(CatR_Nome,$D54)=0)),"⚠ Categoria não combina com o tipo",IF(OR($N54="",$C54=""),"⚠ Falta valor ou tipo",""))))</f>
        <v/>
      </c>
      <c r="U54" s="40">
        <f>IF($A54="",0,P54*12+O54)</f>
        <v>24310</v>
      </c>
      <c r="V54" s="40">
        <f>IF($A54="",0,U54+MAX(0,N($I54)-MAX(N($H54),1)))</f>
        <v>24310</v>
      </c>
      <c r="W54" s="40">
        <f>IF(S54="",0,YEAR(S54)*12+MONTH(S54))</f>
        <v>0</v>
      </c>
      <c r="X54" s="40">
        <f>IF(W54=0,0,W54+V54-U54)</f>
        <v>0</v>
      </c>
      <c r="Y54" s="36">
        <f>IF(W54=0,0,N(R54)*MAX(0,X54-MAX(W54,YEAR(Cfg_Hoje)*12+MONTH(Cfg_Hoje)+IF(DAY(Cfg_Hoje)&gt;=INDEX(Cartoes_Fech,MATCH($F54,Cartoes_Nome,0)),1,0))+1))</f>
        <v>0</v>
      </c>
      <c r="Z54" s="40">
        <f>IF($A54="",0,DAY($A54))</f>
        <v>6</v>
      </c>
      <c r="AA54" s="40">
        <f>IF($A54="",0,WEEKDAY($A54))</f>
        <v>2</v>
      </c>
      <c r="AB54" s="36">
        <f>IF(AND($C54="Despesa",U54&gt;0,U54&lt;=Sel_Idx,V54&gt;=Sel_Idx),N(R54)+ROW()/1000000000,0)</f>
        <v>0</v>
      </c>
      <c r="AC54" s="40">
        <f>IF(AND($C54="Despesa",U54&gt;0,U54&lt;=Sel_Idx,V54&gt;=Sel_Idx),Z54*10000+ROW(),0)</f>
        <v>0</v>
      </c>
      <c r="AD54" s="40">
        <f>IF(AC54=0,0,COUNTIFS(L_CalChave,"&gt;0",L_CalChave,"&lt;"&amp;AC54)+1)</f>
        <v>0</v>
      </c>
    </row>
    <row r="55">
      <c r="A55" s="38" t="n">
        <v>45936</v>
      </c>
      <c r="B55" s="39" t="inlineStr">
        <is>
          <t>Aporte - reserva de emergência</t>
        </is>
      </c>
      <c r="C55" s="34" t="inlineStr">
        <is>
          <t>Investimento</t>
        </is>
      </c>
      <c r="D55" s="34" t="inlineStr">
        <is>
          <t>Investimento</t>
        </is>
      </c>
      <c r="E55" s="34" t="n"/>
      <c r="F55" s="34" t="inlineStr">
        <is>
          <t>Conta Corrente Banco Azul</t>
        </is>
      </c>
      <c r="G55" s="34" t="inlineStr">
        <is>
          <t>Transferência</t>
        </is>
      </c>
      <c r="H55" s="37" t="n"/>
      <c r="I55" s="37" t="n"/>
      <c r="J55" s="34" t="inlineStr">
        <is>
          <t>Pago</t>
        </is>
      </c>
      <c r="K55" s="34" t="n"/>
      <c r="L55" s="34" t="inlineStr">
        <is>
          <t>Reserva de emergência</t>
        </is>
      </c>
      <c r="M55" s="39" t="inlineStr">
        <is>
          <t>EXEMPLO</t>
        </is>
      </c>
      <c r="N55" s="35" t="n">
        <v>700</v>
      </c>
      <c r="O55" s="40">
        <f>IF($A55="","",MONTH($A55))</f>
        <v>10</v>
      </c>
      <c r="P55" s="40">
        <f>IF($A55="","",YEAR($A55))</f>
        <v>2025</v>
      </c>
      <c r="Q55" s="41">
        <f>IF($A55="","",DATE(P55,O55,1))</f>
        <v>45931.0</v>
      </c>
      <c r="R55" s="36">
        <f>IF(OR($A55="",$N55=""),"",IF(AND($C55&lt;&gt;"Transferência",N($I55)&gt;1),$N55/$I55,$N55))</f>
        <v>700</v>
      </c>
      <c r="S55" s="41" t="str">
        <f>IF(OR($A55="",$F55="",$C55&lt;&gt;"Despesa"),"",IF(COUNTIF(Cartoes_Nome,$F55)=0,"",DATE(P55,O55+IF(DAY($A55)&gt;=INDEX(Cartoes_Fech,MATCH($F55,Cartoes_Nome,0)),1,0),1)))</f>
        <v/>
      </c>
      <c r="T55" s="42" t="str">
        <f>IF($A55="","",IF(COUNTIFS(L_Data,$A55,L_Desc,$B55,L_Valor,$N55,L_Tipo,$C55)&gt;1,"⚠ Possível duplicidade",IF(OR(AND($C55="Despesa",COUNTIF(CatD_Nome,$D55)=0),AND($C55="Receita",COUNTIF(CatR_Nome,$D55)=0)),"⚠ Categoria não combina com o tipo",IF(OR($N55="",$C55=""),"⚠ Falta valor ou tipo",""))))</f>
        <v/>
      </c>
      <c r="U55" s="40">
        <f>IF($A55="",0,P55*12+O55)</f>
        <v>24310</v>
      </c>
      <c r="V55" s="40">
        <f>IF($A55="",0,U55+MAX(0,N($I55)-MAX(N($H55),1)))</f>
        <v>24310</v>
      </c>
      <c r="W55" s="40">
        <f>IF(S55="",0,YEAR(S55)*12+MONTH(S55))</f>
        <v>0</v>
      </c>
      <c r="X55" s="40">
        <f>IF(W55=0,0,W55+V55-U55)</f>
        <v>0</v>
      </c>
      <c r="Y55" s="36">
        <f>IF(W55=0,0,N(R55)*MAX(0,X55-MAX(W55,YEAR(Cfg_Hoje)*12+MONTH(Cfg_Hoje)+IF(DAY(Cfg_Hoje)&gt;=INDEX(Cartoes_Fech,MATCH($F55,Cartoes_Nome,0)),1,0))+1))</f>
        <v>0</v>
      </c>
      <c r="Z55" s="40">
        <f>IF($A55="",0,DAY($A55))</f>
        <v>6</v>
      </c>
      <c r="AA55" s="40">
        <f>IF($A55="",0,WEEKDAY($A55))</f>
        <v>2</v>
      </c>
      <c r="AB55" s="36">
        <f>IF(AND($C55="Despesa",U55&gt;0,U55&lt;=Sel_Idx,V55&gt;=Sel_Idx),N(R55)+ROW()/1000000000,0)</f>
        <v>0</v>
      </c>
      <c r="AC55" s="40">
        <f>IF(AND($C55="Despesa",U55&gt;0,U55&lt;=Sel_Idx,V55&gt;=Sel_Idx),Z55*10000+ROW(),0)</f>
        <v>0</v>
      </c>
      <c r="AD55" s="40">
        <f>IF(AC55=0,0,COUNTIFS(L_CalChave,"&gt;0",L_CalChave,"&lt;"&amp;AC55)+1)</f>
        <v>0</v>
      </c>
    </row>
    <row r="56">
      <c r="A56" s="38" t="n">
        <v>45936</v>
      </c>
      <c r="B56" s="39" t="inlineStr">
        <is>
          <t>Aporte - troca de carro</t>
        </is>
      </c>
      <c r="C56" s="34" t="inlineStr">
        <is>
          <t>Investimento</t>
        </is>
      </c>
      <c r="D56" s="34" t="inlineStr">
        <is>
          <t>Investimento</t>
        </is>
      </c>
      <c r="E56" s="34" t="n"/>
      <c r="F56" s="34" t="inlineStr">
        <is>
          <t>Conta Corrente Banco Azul</t>
        </is>
      </c>
      <c r="G56" s="34" t="inlineStr">
        <is>
          <t>Transferência</t>
        </is>
      </c>
      <c r="H56" s="37" t="n"/>
      <c r="I56" s="37" t="n"/>
      <c r="J56" s="34" t="inlineStr">
        <is>
          <t>Pago</t>
        </is>
      </c>
      <c r="K56" s="34" t="n"/>
      <c r="L56" s="34" t="inlineStr">
        <is>
          <t>Troca de carro</t>
        </is>
      </c>
      <c r="M56" s="39" t="inlineStr">
        <is>
          <t>EXEMPLO</t>
        </is>
      </c>
      <c r="N56" s="35" t="n">
        <v>200</v>
      </c>
      <c r="O56" s="40">
        <f>IF($A56="","",MONTH($A56))</f>
        <v>10</v>
      </c>
      <c r="P56" s="40">
        <f>IF($A56="","",YEAR($A56))</f>
        <v>2025</v>
      </c>
      <c r="Q56" s="41">
        <f>IF($A56="","",DATE(P56,O56,1))</f>
        <v>45931.0</v>
      </c>
      <c r="R56" s="36">
        <f>IF(OR($A56="",$N56=""),"",IF(AND($C56&lt;&gt;"Transferência",N($I56)&gt;1),$N56/$I56,$N56))</f>
        <v>200</v>
      </c>
      <c r="S56" s="41" t="str">
        <f>IF(OR($A56="",$F56="",$C56&lt;&gt;"Despesa"),"",IF(COUNTIF(Cartoes_Nome,$F56)=0,"",DATE(P56,O56+IF(DAY($A56)&gt;=INDEX(Cartoes_Fech,MATCH($F56,Cartoes_Nome,0)),1,0),1)))</f>
        <v/>
      </c>
      <c r="T56" s="42" t="str">
        <f>IF($A56="","",IF(COUNTIFS(L_Data,$A56,L_Desc,$B56,L_Valor,$N56,L_Tipo,$C56)&gt;1,"⚠ Possível duplicidade",IF(OR(AND($C56="Despesa",COUNTIF(CatD_Nome,$D56)=0),AND($C56="Receita",COUNTIF(CatR_Nome,$D56)=0)),"⚠ Categoria não combina com o tipo",IF(OR($N56="",$C56=""),"⚠ Falta valor ou tipo",""))))</f>
        <v/>
      </c>
      <c r="U56" s="40">
        <f>IF($A56="",0,P56*12+O56)</f>
        <v>24310</v>
      </c>
      <c r="V56" s="40">
        <f>IF($A56="",0,U56+MAX(0,N($I56)-MAX(N($H56),1)))</f>
        <v>24310</v>
      </c>
      <c r="W56" s="40">
        <f>IF(S56="",0,YEAR(S56)*12+MONTH(S56))</f>
        <v>0</v>
      </c>
      <c r="X56" s="40">
        <f>IF(W56=0,0,W56+V56-U56)</f>
        <v>0</v>
      </c>
      <c r="Y56" s="36">
        <f>IF(W56=0,0,N(R56)*MAX(0,X56-MAX(W56,YEAR(Cfg_Hoje)*12+MONTH(Cfg_Hoje)+IF(DAY(Cfg_Hoje)&gt;=INDEX(Cartoes_Fech,MATCH($F56,Cartoes_Nome,0)),1,0))+1))</f>
        <v>0</v>
      </c>
      <c r="Z56" s="40">
        <f>IF($A56="",0,DAY($A56))</f>
        <v>6</v>
      </c>
      <c r="AA56" s="40">
        <f>IF($A56="",0,WEEKDAY($A56))</f>
        <v>2</v>
      </c>
      <c r="AB56" s="36">
        <f>IF(AND($C56="Despesa",U56&gt;0,U56&lt;=Sel_Idx,V56&gt;=Sel_Idx),N(R56)+ROW()/1000000000,0)</f>
        <v>0</v>
      </c>
      <c r="AC56" s="40">
        <f>IF(AND($C56="Despesa",U56&gt;0,U56&lt;=Sel_Idx,V56&gt;=Sel_Idx),Z56*10000+ROW(),0)</f>
        <v>0</v>
      </c>
      <c r="AD56" s="40">
        <f>IF(AC56=0,0,COUNTIFS(L_CalChave,"&gt;0",L_CalChave,"&lt;"&amp;AC56)+1)</f>
        <v>0</v>
      </c>
    </row>
    <row r="57">
      <c r="A57" s="38" t="n">
        <v>45936</v>
      </c>
      <c r="B57" s="39" t="inlineStr">
        <is>
          <t>Aporte - viagem</t>
        </is>
      </c>
      <c r="C57" s="34" t="inlineStr">
        <is>
          <t>Investimento</t>
        </is>
      </c>
      <c r="D57" s="34" t="inlineStr">
        <is>
          <t>Investimento</t>
        </is>
      </c>
      <c r="E57" s="34" t="n"/>
      <c r="F57" s="34" t="inlineStr">
        <is>
          <t>Conta Corrente Banco Azul</t>
        </is>
      </c>
      <c r="G57" s="34" t="inlineStr">
        <is>
          <t>Transferência</t>
        </is>
      </c>
      <c r="H57" s="37" t="n"/>
      <c r="I57" s="37" t="n"/>
      <c r="J57" s="34" t="inlineStr">
        <is>
          <t>Pago</t>
        </is>
      </c>
      <c r="K57" s="34" t="n"/>
      <c r="L57" s="34" t="inlineStr">
        <is>
          <t>Viagem Europa</t>
        </is>
      </c>
      <c r="M57" s="39" t="inlineStr">
        <is>
          <t>EXEMPLO</t>
        </is>
      </c>
      <c r="N57" s="35" t="n">
        <v>300</v>
      </c>
      <c r="O57" s="40">
        <f>IF($A57="","",MONTH($A57))</f>
        <v>10</v>
      </c>
      <c r="P57" s="40">
        <f>IF($A57="","",YEAR($A57))</f>
        <v>2025</v>
      </c>
      <c r="Q57" s="41">
        <f>IF($A57="","",DATE(P57,O57,1))</f>
        <v>45931.0</v>
      </c>
      <c r="R57" s="36">
        <f>IF(OR($A57="",$N57=""),"",IF(AND($C57&lt;&gt;"Transferência",N($I57)&gt;1),$N57/$I57,$N57))</f>
        <v>300</v>
      </c>
      <c r="S57" s="41" t="str">
        <f>IF(OR($A57="",$F57="",$C57&lt;&gt;"Despesa"),"",IF(COUNTIF(Cartoes_Nome,$F57)=0,"",DATE(P57,O57+IF(DAY($A57)&gt;=INDEX(Cartoes_Fech,MATCH($F57,Cartoes_Nome,0)),1,0),1)))</f>
        <v/>
      </c>
      <c r="T57" s="42" t="str">
        <f>IF($A57="","",IF(COUNTIFS(L_Data,$A57,L_Desc,$B57,L_Valor,$N57,L_Tipo,$C57)&gt;1,"⚠ Possível duplicidade",IF(OR(AND($C57="Despesa",COUNTIF(CatD_Nome,$D57)=0),AND($C57="Receita",COUNTIF(CatR_Nome,$D57)=0)),"⚠ Categoria não combina com o tipo",IF(OR($N57="",$C57=""),"⚠ Falta valor ou tipo",""))))</f>
        <v/>
      </c>
      <c r="U57" s="40">
        <f>IF($A57="",0,P57*12+O57)</f>
        <v>24310</v>
      </c>
      <c r="V57" s="40">
        <f>IF($A57="",0,U57+MAX(0,N($I57)-MAX(N($H57),1)))</f>
        <v>24310</v>
      </c>
      <c r="W57" s="40">
        <f>IF(S57="",0,YEAR(S57)*12+MONTH(S57))</f>
        <v>0</v>
      </c>
      <c r="X57" s="40">
        <f>IF(W57=0,0,W57+V57-U57)</f>
        <v>0</v>
      </c>
      <c r="Y57" s="36">
        <f>IF(W57=0,0,N(R57)*MAX(0,X57-MAX(W57,YEAR(Cfg_Hoje)*12+MONTH(Cfg_Hoje)+IF(DAY(Cfg_Hoje)&gt;=INDEX(Cartoes_Fech,MATCH($F57,Cartoes_Nome,0)),1,0))+1))</f>
        <v>0</v>
      </c>
      <c r="Z57" s="40">
        <f>IF($A57="",0,DAY($A57))</f>
        <v>6</v>
      </c>
      <c r="AA57" s="40">
        <f>IF($A57="",0,WEEKDAY($A57))</f>
        <v>2</v>
      </c>
      <c r="AB57" s="36">
        <f>IF(AND($C57="Despesa",U57&gt;0,U57&lt;=Sel_Idx,V57&gt;=Sel_Idx),N(R57)+ROW()/1000000000,0)</f>
        <v>0</v>
      </c>
      <c r="AC57" s="40">
        <f>IF(AND($C57="Despesa",U57&gt;0,U57&lt;=Sel_Idx,V57&gt;=Sel_Idx),Z57*10000+ROW(),0)</f>
        <v>0</v>
      </c>
      <c r="AD57" s="40">
        <f>IF(AC57=0,0,COUNTIFS(L_CalChave,"&gt;0",L_CalChave,"&lt;"&amp;AC57)+1)</f>
        <v>0</v>
      </c>
    </row>
    <row r="58">
      <c r="A58" s="38" t="n">
        <v>45937</v>
      </c>
      <c r="B58" s="39" t="inlineStr">
        <is>
          <t>Doação mensal</t>
        </is>
      </c>
      <c r="C58" s="34" t="inlineStr">
        <is>
          <t>Despesa</t>
        </is>
      </c>
      <c r="D58" s="34" t="inlineStr">
        <is>
          <t>Doações</t>
        </is>
      </c>
      <c r="E58" s="34" t="inlineStr">
        <is>
          <t>ONG</t>
        </is>
      </c>
      <c r="F58" s="34" t="inlineStr">
        <is>
          <t>Conta Corrente Banco Azul</t>
        </is>
      </c>
      <c r="G58" s="34" t="inlineStr">
        <is>
          <t>Pix</t>
        </is>
      </c>
      <c r="H58" s="37" t="n"/>
      <c r="I58" s="37" t="n"/>
      <c r="J58" s="34" t="inlineStr">
        <is>
          <t>Pago</t>
        </is>
      </c>
      <c r="K58" s="34" t="n"/>
      <c r="L58" s="34" t="n"/>
      <c r="M58" s="39" t="inlineStr">
        <is>
          <t>EXEMPLO</t>
        </is>
      </c>
      <c r="N58" s="35" t="n">
        <v>100</v>
      </c>
      <c r="O58" s="40">
        <f>IF($A58="","",MONTH($A58))</f>
        <v>10</v>
      </c>
      <c r="P58" s="40">
        <f>IF($A58="","",YEAR($A58))</f>
        <v>2025</v>
      </c>
      <c r="Q58" s="41">
        <f>IF($A58="","",DATE(P58,O58,1))</f>
        <v>45931.0</v>
      </c>
      <c r="R58" s="36">
        <f>IF(OR($A58="",$N58=""),"",IF(AND($C58&lt;&gt;"Transferência",N($I58)&gt;1),$N58/$I58,$N58))</f>
        <v>100</v>
      </c>
      <c r="S58" s="41" t="str">
        <f>IF(OR($A58="",$F58="",$C58&lt;&gt;"Despesa"),"",IF(COUNTIF(Cartoes_Nome,$F58)=0,"",DATE(P58,O58+IF(DAY($A58)&gt;=INDEX(Cartoes_Fech,MATCH($F58,Cartoes_Nome,0)),1,0),1)))</f>
        <v/>
      </c>
      <c r="T58" s="42" t="str">
        <f>IF($A58="","",IF(COUNTIFS(L_Data,$A58,L_Desc,$B58,L_Valor,$N58,L_Tipo,$C58)&gt;1,"⚠ Possível duplicidade",IF(OR(AND($C58="Despesa",COUNTIF(CatD_Nome,$D58)=0),AND($C58="Receita",COUNTIF(CatR_Nome,$D58)=0)),"⚠ Categoria não combina com o tipo",IF(OR($N58="",$C58=""),"⚠ Falta valor ou tipo",""))))</f>
        <v/>
      </c>
      <c r="U58" s="40">
        <f>IF($A58="",0,P58*12+O58)</f>
        <v>24310</v>
      </c>
      <c r="V58" s="40">
        <f>IF($A58="",0,U58+MAX(0,N($I58)-MAX(N($H58),1)))</f>
        <v>24310</v>
      </c>
      <c r="W58" s="40">
        <f>IF(S58="",0,YEAR(S58)*12+MONTH(S58))</f>
        <v>0</v>
      </c>
      <c r="X58" s="40">
        <f>IF(W58=0,0,W58+V58-U58)</f>
        <v>0</v>
      </c>
      <c r="Y58" s="36">
        <f>IF(W58=0,0,N(R58)*MAX(0,X58-MAX(W58,YEAR(Cfg_Hoje)*12+MONTH(Cfg_Hoje)+IF(DAY(Cfg_Hoje)&gt;=INDEX(Cartoes_Fech,MATCH($F58,Cartoes_Nome,0)),1,0))+1))</f>
        <v>0</v>
      </c>
      <c r="Z58" s="40">
        <f>IF($A58="",0,DAY($A58))</f>
        <v>7</v>
      </c>
      <c r="AA58" s="40">
        <f>IF($A58="",0,WEEKDAY($A58))</f>
        <v>3</v>
      </c>
      <c r="AB58" s="36">
        <f>IF(AND($C58="Despesa",U58&gt;0,U58&lt;=Sel_Idx,V58&gt;=Sel_Idx),N(R58)+ROW()/1000000000,0)</f>
        <v>0</v>
      </c>
      <c r="AC58" s="40">
        <f>IF(AND($C58="Despesa",U58&gt;0,U58&lt;=Sel_Idx,V58&gt;=Sel_Idx),Z58*10000+ROW(),0)</f>
        <v>0</v>
      </c>
      <c r="AD58" s="40">
        <f>IF(AC58=0,0,COUNTIFS(L_CalChave,"&gt;0",L_CalChave,"&lt;"&amp;AC58)+1)</f>
        <v>0</v>
      </c>
    </row>
    <row r="59">
      <c r="A59" s="38" t="n">
        <v>45937</v>
      </c>
      <c r="B59" s="39" t="inlineStr">
        <is>
          <t>Show</t>
        </is>
      </c>
      <c r="C59" s="34" t="inlineStr">
        <is>
          <t>Despesa</t>
        </is>
      </c>
      <c r="D59" s="34" t="inlineStr">
        <is>
          <t>Lazer</t>
        </is>
      </c>
      <c r="E59" s="34" t="inlineStr">
        <is>
          <t>Bares</t>
        </is>
      </c>
      <c r="F59" s="34" t="inlineStr">
        <is>
          <t>Cartão Azul Gold</t>
        </is>
      </c>
      <c r="G59" s="34" t="inlineStr">
        <is>
          <t>Crédito</t>
        </is>
      </c>
      <c r="H59" s="37" t="n"/>
      <c r="I59" s="37" t="n"/>
      <c r="J59" s="34" t="inlineStr">
        <is>
          <t>Pago</t>
        </is>
      </c>
      <c r="K59" s="34" t="n"/>
      <c r="L59" s="34" t="n"/>
      <c r="M59" s="39" t="inlineStr">
        <is>
          <t>EXEMPLO</t>
        </is>
      </c>
      <c r="N59" s="35" t="n">
        <v>126.46</v>
      </c>
      <c r="O59" s="40">
        <f>IF($A59="","",MONTH($A59))</f>
        <v>10</v>
      </c>
      <c r="P59" s="40">
        <f>IF($A59="","",YEAR($A59))</f>
        <v>2025</v>
      </c>
      <c r="Q59" s="41">
        <f>IF($A59="","",DATE(P59,O59,1))</f>
        <v>45931.0</v>
      </c>
      <c r="R59" s="36">
        <f>IF(OR($A59="",$N59=""),"",IF(AND($C59&lt;&gt;"Transferência",N($I59)&gt;1),$N59/$I59,$N59))</f>
        <v>126.46</v>
      </c>
      <c r="S59" s="41">
        <f>IF(OR($A59="",$F59="",$C59&lt;&gt;"Despesa"),"",IF(COUNTIF(Cartoes_Nome,$F59)=0,"",DATE(P59,O59+IF(DAY($A59)&gt;=INDEX(Cartoes_Fech,MATCH($F59,Cartoes_Nome,0)),1,0),1)))</f>
        <v>45931.0</v>
      </c>
      <c r="T59" s="42" t="str">
        <f>IF($A59="","",IF(COUNTIFS(L_Data,$A59,L_Desc,$B59,L_Valor,$N59,L_Tipo,$C59)&gt;1,"⚠ Possível duplicidade",IF(OR(AND($C59="Despesa",COUNTIF(CatD_Nome,$D59)=0),AND($C59="Receita",COUNTIF(CatR_Nome,$D59)=0)),"⚠ Categoria não combina com o tipo",IF(OR($N59="",$C59=""),"⚠ Falta valor ou tipo",""))))</f>
        <v/>
      </c>
      <c r="U59" s="40">
        <f>IF($A59="",0,P59*12+O59)</f>
        <v>24310</v>
      </c>
      <c r="V59" s="40">
        <f>IF($A59="",0,U59+MAX(0,N($I59)-MAX(N($H59),1)))</f>
        <v>24310</v>
      </c>
      <c r="W59" s="40">
        <f>IF(S59="",0,YEAR(S59)*12+MONTH(S59))</f>
        <v>24310</v>
      </c>
      <c r="X59" s="40">
        <f>IF(W59=0,0,W59+V59-U59)</f>
        <v>24310</v>
      </c>
      <c r="Y59" s="36">
        <f>IF(W59=0,0,N(R59)*MAX(0,X59-MAX(W59,YEAR(Cfg_Hoje)*12+MONTH(Cfg_Hoje)+IF(DAY(Cfg_Hoje)&gt;=INDEX(Cartoes_Fech,MATCH($F59,Cartoes_Nome,0)),1,0))+1))</f>
        <v>0</v>
      </c>
      <c r="Z59" s="40">
        <f>IF($A59="",0,DAY($A59))</f>
        <v>7</v>
      </c>
      <c r="AA59" s="40">
        <f>IF($A59="",0,WEEKDAY($A59))</f>
        <v>3</v>
      </c>
      <c r="AB59" s="36">
        <f>IF(AND($C59="Despesa",U59&gt;0,U59&lt;=Sel_Idx,V59&gt;=Sel_Idx),N(R59)+ROW()/1000000000,0)</f>
        <v>0</v>
      </c>
      <c r="AC59" s="40">
        <f>IF(AND($C59="Despesa",U59&gt;0,U59&lt;=Sel_Idx,V59&gt;=Sel_Idx),Z59*10000+ROW(),0)</f>
        <v>0</v>
      </c>
      <c r="AD59" s="40">
        <f>IF(AC59=0,0,COUNTIFS(L_CalChave,"&gt;0",L_CalChave,"&lt;"&amp;AC59)+1)</f>
        <v>0</v>
      </c>
    </row>
    <row r="60">
      <c r="A60" s="38" t="n">
        <v>45938</v>
      </c>
      <c r="B60" s="39" t="inlineStr">
        <is>
          <t>Curso de inglês</t>
        </is>
      </c>
      <c r="C60" s="34" t="inlineStr">
        <is>
          <t>Despesa</t>
        </is>
      </c>
      <c r="D60" s="34" t="inlineStr">
        <is>
          <t>Educação</t>
        </is>
      </c>
      <c r="E60" s="34" t="inlineStr">
        <is>
          <t>Cursos</t>
        </is>
      </c>
      <c r="F60" s="34" t="inlineStr">
        <is>
          <t>Conta Corrente Banco Azul</t>
        </is>
      </c>
      <c r="G60" s="34" t="inlineStr">
        <is>
          <t>Boleto</t>
        </is>
      </c>
      <c r="H60" s="37" t="n"/>
      <c r="I60" s="37" t="n"/>
      <c r="J60" s="34" t="inlineStr">
        <is>
          <t>Pago</t>
        </is>
      </c>
      <c r="K60" s="34" t="n"/>
      <c r="L60" s="34" t="n"/>
      <c r="M60" s="39" t="inlineStr">
        <is>
          <t>EXEMPLO</t>
        </is>
      </c>
      <c r="N60" s="35" t="n">
        <v>390</v>
      </c>
      <c r="O60" s="40">
        <f>IF($A60="","",MONTH($A60))</f>
        <v>10</v>
      </c>
      <c r="P60" s="40">
        <f>IF($A60="","",YEAR($A60))</f>
        <v>2025</v>
      </c>
      <c r="Q60" s="41">
        <f>IF($A60="","",DATE(P60,O60,1))</f>
        <v>45931.0</v>
      </c>
      <c r="R60" s="36">
        <f>IF(OR($A60="",$N60=""),"",IF(AND($C60&lt;&gt;"Transferência",N($I60)&gt;1),$N60/$I60,$N60))</f>
        <v>390</v>
      </c>
      <c r="S60" s="41" t="str">
        <f>IF(OR($A60="",$F60="",$C60&lt;&gt;"Despesa"),"",IF(COUNTIF(Cartoes_Nome,$F60)=0,"",DATE(P60,O60+IF(DAY($A60)&gt;=INDEX(Cartoes_Fech,MATCH($F60,Cartoes_Nome,0)),1,0),1)))</f>
        <v/>
      </c>
      <c r="T60" s="42" t="str">
        <f>IF($A60="","",IF(COUNTIFS(L_Data,$A60,L_Desc,$B60,L_Valor,$N60,L_Tipo,$C60)&gt;1,"⚠ Possível duplicidade",IF(OR(AND($C60="Despesa",COUNTIF(CatD_Nome,$D60)=0),AND($C60="Receita",COUNTIF(CatR_Nome,$D60)=0)),"⚠ Categoria não combina com o tipo",IF(OR($N60="",$C60=""),"⚠ Falta valor ou tipo",""))))</f>
        <v/>
      </c>
      <c r="U60" s="40">
        <f>IF($A60="",0,P60*12+O60)</f>
        <v>24310</v>
      </c>
      <c r="V60" s="40">
        <f>IF($A60="",0,U60+MAX(0,N($I60)-MAX(N($H60),1)))</f>
        <v>24310</v>
      </c>
      <c r="W60" s="40">
        <f>IF(S60="",0,YEAR(S60)*12+MONTH(S60))</f>
        <v>0</v>
      </c>
      <c r="X60" s="40">
        <f>IF(W60=0,0,W60+V60-U60)</f>
        <v>0</v>
      </c>
      <c r="Y60" s="36">
        <f>IF(W60=0,0,N(R60)*MAX(0,X60-MAX(W60,YEAR(Cfg_Hoje)*12+MONTH(Cfg_Hoje)+IF(DAY(Cfg_Hoje)&gt;=INDEX(Cartoes_Fech,MATCH($F60,Cartoes_Nome,0)),1,0))+1))</f>
        <v>0</v>
      </c>
      <c r="Z60" s="40">
        <f>IF($A60="",0,DAY($A60))</f>
        <v>8</v>
      </c>
      <c r="AA60" s="40">
        <f>IF($A60="",0,WEEKDAY($A60))</f>
        <v>4</v>
      </c>
      <c r="AB60" s="36">
        <f>IF(AND($C60="Despesa",U60&gt;0,U60&lt;=Sel_Idx,V60&gt;=Sel_Idx),N(R60)+ROW()/1000000000,0)</f>
        <v>0</v>
      </c>
      <c r="AC60" s="40">
        <f>IF(AND($C60="Despesa",U60&gt;0,U60&lt;=Sel_Idx,V60&gt;=Sel_Idx),Z60*10000+ROW(),0)</f>
        <v>0</v>
      </c>
      <c r="AD60" s="40">
        <f>IF(AC60=0,0,COUNTIFS(L_CalChave,"&gt;0",L_CalChave,"&lt;"&amp;AC60)+1)</f>
        <v>0</v>
      </c>
    </row>
    <row r="61">
      <c r="A61" s="38" t="n">
        <v>45939</v>
      </c>
      <c r="B61" s="39" t="inlineStr">
        <is>
          <t>Ração e petiscos</t>
        </is>
      </c>
      <c r="C61" s="34" t="inlineStr">
        <is>
          <t>Despesa</t>
        </is>
      </c>
      <c r="D61" s="34" t="inlineStr">
        <is>
          <t>Família/Pets</t>
        </is>
      </c>
      <c r="E61" s="34" t="inlineStr">
        <is>
          <t>Ração</t>
        </is>
      </c>
      <c r="F61" s="34" t="inlineStr">
        <is>
          <t>Cartão Azul Gold</t>
        </is>
      </c>
      <c r="G61" s="34" t="inlineStr">
        <is>
          <t>Crédito</t>
        </is>
      </c>
      <c r="H61" s="37" t="n"/>
      <c r="I61" s="37" t="n"/>
      <c r="J61" s="34" t="inlineStr">
        <is>
          <t>Pago</t>
        </is>
      </c>
      <c r="K61" s="34" t="n"/>
      <c r="L61" s="34" t="n"/>
      <c r="M61" s="39" t="inlineStr">
        <is>
          <t>EXEMPLO</t>
        </is>
      </c>
      <c r="N61" s="35" t="n">
        <v>223.47</v>
      </c>
      <c r="O61" s="40">
        <f>IF($A61="","",MONTH($A61))</f>
        <v>10</v>
      </c>
      <c r="P61" s="40">
        <f>IF($A61="","",YEAR($A61))</f>
        <v>2025</v>
      </c>
      <c r="Q61" s="41">
        <f>IF($A61="","",DATE(P61,O61,1))</f>
        <v>45931.0</v>
      </c>
      <c r="R61" s="36">
        <f>IF(OR($A61="",$N61=""),"",IF(AND($C61&lt;&gt;"Transferência",N($I61)&gt;1),$N61/$I61,$N61))</f>
        <v>223.47</v>
      </c>
      <c r="S61" s="41">
        <f>IF(OR($A61="",$F61="",$C61&lt;&gt;"Despesa"),"",IF(COUNTIF(Cartoes_Nome,$F61)=0,"",DATE(P61,O61+IF(DAY($A61)&gt;=INDEX(Cartoes_Fech,MATCH($F61,Cartoes_Nome,0)),1,0),1)))</f>
        <v>45931.0</v>
      </c>
      <c r="T61" s="42" t="str">
        <f>IF($A61="","",IF(COUNTIFS(L_Data,$A61,L_Desc,$B61,L_Valor,$N61,L_Tipo,$C61)&gt;1,"⚠ Possível duplicidade",IF(OR(AND($C61="Despesa",COUNTIF(CatD_Nome,$D61)=0),AND($C61="Receita",COUNTIF(CatR_Nome,$D61)=0)),"⚠ Categoria não combina com o tipo",IF(OR($N61="",$C61=""),"⚠ Falta valor ou tipo",""))))</f>
        <v/>
      </c>
      <c r="U61" s="40">
        <f>IF($A61="",0,P61*12+O61)</f>
        <v>24310</v>
      </c>
      <c r="V61" s="40">
        <f>IF($A61="",0,U61+MAX(0,N($I61)-MAX(N($H61),1)))</f>
        <v>24310</v>
      </c>
      <c r="W61" s="40">
        <f>IF(S61="",0,YEAR(S61)*12+MONTH(S61))</f>
        <v>24310</v>
      </c>
      <c r="X61" s="40">
        <f>IF(W61=0,0,W61+V61-U61)</f>
        <v>24310</v>
      </c>
      <c r="Y61" s="36">
        <f>IF(W61=0,0,N(R61)*MAX(0,X61-MAX(W61,YEAR(Cfg_Hoje)*12+MONTH(Cfg_Hoje)+IF(DAY(Cfg_Hoje)&gt;=INDEX(Cartoes_Fech,MATCH($F61,Cartoes_Nome,0)),1,0))+1))</f>
        <v>0</v>
      </c>
      <c r="Z61" s="40">
        <f>IF($A61="",0,DAY($A61))</f>
        <v>9</v>
      </c>
      <c r="AA61" s="40">
        <f>IF($A61="",0,WEEKDAY($A61))</f>
        <v>5</v>
      </c>
      <c r="AB61" s="36">
        <f>IF(AND($C61="Despesa",U61&gt;0,U61&lt;=Sel_Idx,V61&gt;=Sel_Idx),N(R61)+ROW()/1000000000,0)</f>
        <v>0</v>
      </c>
      <c r="AC61" s="40">
        <f>IF(AND($C61="Despesa",U61&gt;0,U61&lt;=Sel_Idx,V61&gt;=Sel_Idx),Z61*10000+ROW(),0)</f>
        <v>0</v>
      </c>
      <c r="AD61" s="40">
        <f>IF(AC61=0,0,COUNTIFS(L_CalChave,"&gt;0",L_CalChave,"&lt;"&amp;AC61)+1)</f>
        <v>0</v>
      </c>
    </row>
    <row r="62">
      <c r="A62" s="38" t="n">
        <v>45940</v>
      </c>
      <c r="B62" s="39" t="inlineStr">
        <is>
          <t>Aluguel recebido - apto 12</t>
        </is>
      </c>
      <c r="C62" s="34" t="inlineStr">
        <is>
          <t>Receita</t>
        </is>
      </c>
      <c r="D62" s="34" t="inlineStr">
        <is>
          <t>Aluguel recebido</t>
        </is>
      </c>
      <c r="E62" s="34" t="n"/>
      <c r="F62" s="34" t="inlineStr">
        <is>
          <t>Conta Corrente Banco Azul</t>
        </is>
      </c>
      <c r="G62" s="34" t="inlineStr">
        <is>
          <t>Pix</t>
        </is>
      </c>
      <c r="H62" s="37" t="n"/>
      <c r="I62" s="37" t="n"/>
      <c r="J62" s="34" t="inlineStr">
        <is>
          <t>Pago</t>
        </is>
      </c>
      <c r="K62" s="34" t="n"/>
      <c r="L62" s="34" t="n"/>
      <c r="M62" s="39" t="inlineStr">
        <is>
          <t>EXEMPLO</t>
        </is>
      </c>
      <c r="N62" s="35" t="n">
        <v>1900</v>
      </c>
      <c r="O62" s="40">
        <f>IF($A62="","",MONTH($A62))</f>
        <v>10</v>
      </c>
      <c r="P62" s="40">
        <f>IF($A62="","",YEAR($A62))</f>
        <v>2025</v>
      </c>
      <c r="Q62" s="41">
        <f>IF($A62="","",DATE(P62,O62,1))</f>
        <v>45931.0</v>
      </c>
      <c r="R62" s="36">
        <f>IF(OR($A62="",$N62=""),"",IF(AND($C62&lt;&gt;"Transferência",N($I62)&gt;1),$N62/$I62,$N62))</f>
        <v>1900</v>
      </c>
      <c r="S62" s="41" t="str">
        <f>IF(OR($A62="",$F62="",$C62&lt;&gt;"Despesa"),"",IF(COUNTIF(Cartoes_Nome,$F62)=0,"",DATE(P62,O62+IF(DAY($A62)&gt;=INDEX(Cartoes_Fech,MATCH($F62,Cartoes_Nome,0)),1,0),1)))</f>
        <v/>
      </c>
      <c r="T62" s="42" t="str">
        <f>IF($A62="","",IF(COUNTIFS(L_Data,$A62,L_Desc,$B62,L_Valor,$N62,L_Tipo,$C62)&gt;1,"⚠ Possível duplicidade",IF(OR(AND($C62="Despesa",COUNTIF(CatD_Nome,$D62)=0),AND($C62="Receita",COUNTIF(CatR_Nome,$D62)=0)),"⚠ Categoria não combina com o tipo",IF(OR($N62="",$C62=""),"⚠ Falta valor ou tipo",""))))</f>
        <v/>
      </c>
      <c r="U62" s="40">
        <f>IF($A62="",0,P62*12+O62)</f>
        <v>24310</v>
      </c>
      <c r="V62" s="40">
        <f>IF($A62="",0,U62+MAX(0,N($I62)-MAX(N($H62),1)))</f>
        <v>24310</v>
      </c>
      <c r="W62" s="40">
        <f>IF(S62="",0,YEAR(S62)*12+MONTH(S62))</f>
        <v>0</v>
      </c>
      <c r="X62" s="40">
        <f>IF(W62=0,0,W62+V62-U62)</f>
        <v>0</v>
      </c>
      <c r="Y62" s="36">
        <f>IF(W62=0,0,N(R62)*MAX(0,X62-MAX(W62,YEAR(Cfg_Hoje)*12+MONTH(Cfg_Hoje)+IF(DAY(Cfg_Hoje)&gt;=INDEX(Cartoes_Fech,MATCH($F62,Cartoes_Nome,0)),1,0))+1))</f>
        <v>0</v>
      </c>
      <c r="Z62" s="40">
        <f>IF($A62="",0,DAY($A62))</f>
        <v>10</v>
      </c>
      <c r="AA62" s="40">
        <f>IF($A62="",0,WEEKDAY($A62))</f>
        <v>6</v>
      </c>
      <c r="AB62" s="36">
        <f>IF(AND($C62="Despesa",U62&gt;0,U62&lt;=Sel_Idx,V62&gt;=Sel_Idx),N(R62)+ROW()/1000000000,0)</f>
        <v>0</v>
      </c>
      <c r="AC62" s="40">
        <f>IF(AND($C62="Despesa",U62&gt;0,U62&lt;=Sel_Idx,V62&gt;=Sel_Idx),Z62*10000+ROW(),0)</f>
        <v>0</v>
      </c>
      <c r="AD62" s="40">
        <f>IF(AC62=0,0,COUNTIFS(L_CalChave,"&gt;0",L_CalChave,"&lt;"&amp;AC62)+1)</f>
        <v>0</v>
      </c>
    </row>
    <row r="63">
      <c r="A63" s="38" t="n">
        <v>45940</v>
      </c>
      <c r="B63" s="39" t="inlineStr">
        <is>
          <t>Aluguel residencial</t>
        </is>
      </c>
      <c r="C63" s="34" t="inlineStr">
        <is>
          <t>Despesa</t>
        </is>
      </c>
      <c r="D63" s="34" t="inlineStr">
        <is>
          <t>Moradia</t>
        </is>
      </c>
      <c r="E63" s="34" t="inlineStr">
        <is>
          <t>Aluguel</t>
        </is>
      </c>
      <c r="F63" s="34" t="inlineStr">
        <is>
          <t>Conta Corrente Banco Azul</t>
        </is>
      </c>
      <c r="G63" s="34" t="inlineStr">
        <is>
          <t>Boleto</t>
        </is>
      </c>
      <c r="H63" s="37" t="n"/>
      <c r="I63" s="37" t="n"/>
      <c r="J63" s="34" t="inlineStr">
        <is>
          <t>Pago</t>
        </is>
      </c>
      <c r="K63" s="34" t="n"/>
      <c r="L63" s="34" t="n"/>
      <c r="M63" s="39" t="inlineStr">
        <is>
          <t>EXEMPLO</t>
        </is>
      </c>
      <c r="N63" s="35" t="n">
        <v>2400</v>
      </c>
      <c r="O63" s="40">
        <f>IF($A63="","",MONTH($A63))</f>
        <v>10</v>
      </c>
      <c r="P63" s="40">
        <f>IF($A63="","",YEAR($A63))</f>
        <v>2025</v>
      </c>
      <c r="Q63" s="41">
        <f>IF($A63="","",DATE(P63,O63,1))</f>
        <v>45931.0</v>
      </c>
      <c r="R63" s="36">
        <f>IF(OR($A63="",$N63=""),"",IF(AND($C63&lt;&gt;"Transferência",N($I63)&gt;1),$N63/$I63,$N63))</f>
        <v>2400</v>
      </c>
      <c r="S63" s="41" t="str">
        <f>IF(OR($A63="",$F63="",$C63&lt;&gt;"Despesa"),"",IF(COUNTIF(Cartoes_Nome,$F63)=0,"",DATE(P63,O63+IF(DAY($A63)&gt;=INDEX(Cartoes_Fech,MATCH($F63,Cartoes_Nome,0)),1,0),1)))</f>
        <v/>
      </c>
      <c r="T63" s="42" t="str">
        <f>IF($A63="","",IF(COUNTIFS(L_Data,$A63,L_Desc,$B63,L_Valor,$N63,L_Tipo,$C63)&gt;1,"⚠ Possível duplicidade",IF(OR(AND($C63="Despesa",COUNTIF(CatD_Nome,$D63)=0),AND($C63="Receita",COUNTIF(CatR_Nome,$D63)=0)),"⚠ Categoria não combina com o tipo",IF(OR($N63="",$C63=""),"⚠ Falta valor ou tipo",""))))</f>
        <v/>
      </c>
      <c r="U63" s="40">
        <f>IF($A63="",0,P63*12+O63)</f>
        <v>24310</v>
      </c>
      <c r="V63" s="40">
        <f>IF($A63="",0,U63+MAX(0,N($I63)-MAX(N($H63),1)))</f>
        <v>24310</v>
      </c>
      <c r="W63" s="40">
        <f>IF(S63="",0,YEAR(S63)*12+MONTH(S63))</f>
        <v>0</v>
      </c>
      <c r="X63" s="40">
        <f>IF(W63=0,0,W63+V63-U63)</f>
        <v>0</v>
      </c>
      <c r="Y63" s="36">
        <f>IF(W63=0,0,N(R63)*MAX(0,X63-MAX(W63,YEAR(Cfg_Hoje)*12+MONTH(Cfg_Hoje)+IF(DAY(Cfg_Hoje)&gt;=INDEX(Cartoes_Fech,MATCH($F63,Cartoes_Nome,0)),1,0))+1))</f>
        <v>0</v>
      </c>
      <c r="Z63" s="40">
        <f>IF($A63="",0,DAY($A63))</f>
        <v>10</v>
      </c>
      <c r="AA63" s="40">
        <f>IF($A63="",0,WEEKDAY($A63))</f>
        <v>6</v>
      </c>
      <c r="AB63" s="36">
        <f>IF(AND($C63="Despesa",U63&gt;0,U63&lt;=Sel_Idx,V63&gt;=Sel_Idx),N(R63)+ROW()/1000000000,0)</f>
        <v>0</v>
      </c>
      <c r="AC63" s="40">
        <f>IF(AND($C63="Despesa",U63&gt;0,U63&lt;=Sel_Idx,V63&gt;=Sel_Idx),Z63*10000+ROW(),0)</f>
        <v>0</v>
      </c>
      <c r="AD63" s="40">
        <f>IF(AC63=0,0,COUNTIFS(L_CalChave,"&gt;0",L_CalChave,"&lt;"&amp;AC63)+1)</f>
        <v>0</v>
      </c>
    </row>
    <row r="64">
      <c r="A64" s="38" t="n">
        <v>45940</v>
      </c>
      <c r="B64" s="39" t="inlineStr">
        <is>
          <t>Condomínio</t>
        </is>
      </c>
      <c r="C64" s="34" t="inlineStr">
        <is>
          <t>Despesa</t>
        </is>
      </c>
      <c r="D64" s="34" t="inlineStr">
        <is>
          <t>Moradia</t>
        </is>
      </c>
      <c r="E64" s="34" t="inlineStr">
        <is>
          <t>Condomínio</t>
        </is>
      </c>
      <c r="F64" s="34" t="inlineStr">
        <is>
          <t>Conta Corrente Banco Azul</t>
        </is>
      </c>
      <c r="G64" s="34" t="inlineStr">
        <is>
          <t>Boleto</t>
        </is>
      </c>
      <c r="H64" s="37" t="n"/>
      <c r="I64" s="37" t="n"/>
      <c r="J64" s="34" t="inlineStr">
        <is>
          <t>Pago</t>
        </is>
      </c>
      <c r="K64" s="34" t="n"/>
      <c r="L64" s="34" t="n"/>
      <c r="M64" s="39" t="inlineStr">
        <is>
          <t>EXEMPLO</t>
        </is>
      </c>
      <c r="N64" s="35" t="n">
        <v>650</v>
      </c>
      <c r="O64" s="40">
        <f>IF($A64="","",MONTH($A64))</f>
        <v>10</v>
      </c>
      <c r="P64" s="40">
        <f>IF($A64="","",YEAR($A64))</f>
        <v>2025</v>
      </c>
      <c r="Q64" s="41">
        <f>IF($A64="","",DATE(P64,O64,1))</f>
        <v>45931.0</v>
      </c>
      <c r="R64" s="36">
        <f>IF(OR($A64="",$N64=""),"",IF(AND($C64&lt;&gt;"Transferência",N($I64)&gt;1),$N64/$I64,$N64))</f>
        <v>650</v>
      </c>
      <c r="S64" s="41" t="str">
        <f>IF(OR($A64="",$F64="",$C64&lt;&gt;"Despesa"),"",IF(COUNTIF(Cartoes_Nome,$F64)=0,"",DATE(P64,O64+IF(DAY($A64)&gt;=INDEX(Cartoes_Fech,MATCH($F64,Cartoes_Nome,0)),1,0),1)))</f>
        <v/>
      </c>
      <c r="T64" s="42" t="str">
        <f>IF($A64="","",IF(COUNTIFS(L_Data,$A64,L_Desc,$B64,L_Valor,$N64,L_Tipo,$C64)&gt;1,"⚠ Possível duplicidade",IF(OR(AND($C64="Despesa",COUNTIF(CatD_Nome,$D64)=0),AND($C64="Receita",COUNTIF(CatR_Nome,$D64)=0)),"⚠ Categoria não combina com o tipo",IF(OR($N64="",$C64=""),"⚠ Falta valor ou tipo",""))))</f>
        <v/>
      </c>
      <c r="U64" s="40">
        <f>IF($A64="",0,P64*12+O64)</f>
        <v>24310</v>
      </c>
      <c r="V64" s="40">
        <f>IF($A64="",0,U64+MAX(0,N($I64)-MAX(N($H64),1)))</f>
        <v>24310</v>
      </c>
      <c r="W64" s="40">
        <f>IF(S64="",0,YEAR(S64)*12+MONTH(S64))</f>
        <v>0</v>
      </c>
      <c r="X64" s="40">
        <f>IF(W64=0,0,W64+V64-U64)</f>
        <v>0</v>
      </c>
      <c r="Y64" s="36">
        <f>IF(W64=0,0,N(R64)*MAX(0,X64-MAX(W64,YEAR(Cfg_Hoje)*12+MONTH(Cfg_Hoje)+IF(DAY(Cfg_Hoje)&gt;=INDEX(Cartoes_Fech,MATCH($F64,Cartoes_Nome,0)),1,0))+1))</f>
        <v>0</v>
      </c>
      <c r="Z64" s="40">
        <f>IF($A64="",0,DAY($A64))</f>
        <v>10</v>
      </c>
      <c r="AA64" s="40">
        <f>IF($A64="",0,WEEKDAY($A64))</f>
        <v>6</v>
      </c>
      <c r="AB64" s="36">
        <f>IF(AND($C64="Despesa",U64&gt;0,U64&lt;=Sel_Idx,V64&gt;=Sel_Idx),N(R64)+ROW()/1000000000,0)</f>
        <v>0</v>
      </c>
      <c r="AC64" s="40">
        <f>IF(AND($C64="Despesa",U64&gt;0,U64&lt;=Sel_Idx,V64&gt;=Sel_Idx),Z64*10000+ROW(),0)</f>
        <v>0</v>
      </c>
      <c r="AD64" s="40">
        <f>IF(AC64=0,0,COUNTIFS(L_CalChave,"&gt;0",L_CalChave,"&lt;"&amp;AC64)+1)</f>
        <v>0</v>
      </c>
    </row>
    <row r="65">
      <c r="A65" s="38" t="n">
        <v>45941</v>
      </c>
      <c r="B65" s="39" t="inlineStr">
        <is>
          <t>Farmácia</t>
        </is>
      </c>
      <c r="C65" s="34" t="inlineStr">
        <is>
          <t>Despesa</t>
        </is>
      </c>
      <c r="D65" s="34" t="inlineStr">
        <is>
          <t>Saúde</t>
        </is>
      </c>
      <c r="E65" s="34" t="inlineStr">
        <is>
          <t>Farmácia</t>
        </is>
      </c>
      <c r="F65" s="34" t="inlineStr">
        <is>
          <t>Cartão Azul Gold</t>
        </is>
      </c>
      <c r="G65" s="34" t="inlineStr">
        <is>
          <t>Crédito</t>
        </is>
      </c>
      <c r="H65" s="37" t="n"/>
      <c r="I65" s="37" t="n"/>
      <c r="J65" s="34" t="inlineStr">
        <is>
          <t>Pago</t>
        </is>
      </c>
      <c r="K65" s="34" t="n"/>
      <c r="L65" s="34" t="n"/>
      <c r="M65" s="39" t="inlineStr">
        <is>
          <t>EXEMPLO</t>
        </is>
      </c>
      <c r="N65" s="35" t="n">
        <v>41.21</v>
      </c>
      <c r="O65" s="40">
        <f>IF($A65="","",MONTH($A65))</f>
        <v>10</v>
      </c>
      <c r="P65" s="40">
        <f>IF($A65="","",YEAR($A65))</f>
        <v>2025</v>
      </c>
      <c r="Q65" s="41">
        <f>IF($A65="","",DATE(P65,O65,1))</f>
        <v>45931.0</v>
      </c>
      <c r="R65" s="36">
        <f>IF(OR($A65="",$N65=""),"",IF(AND($C65&lt;&gt;"Transferência",N($I65)&gt;1),$N65/$I65,$N65))</f>
        <v>41.21</v>
      </c>
      <c r="S65" s="41">
        <f>IF(OR($A65="",$F65="",$C65&lt;&gt;"Despesa"),"",IF(COUNTIF(Cartoes_Nome,$F65)=0,"",DATE(P65,O65+IF(DAY($A65)&gt;=INDEX(Cartoes_Fech,MATCH($F65,Cartoes_Nome,0)),1,0),1)))</f>
        <v>45962.0</v>
      </c>
      <c r="T65" s="42" t="str">
        <f>IF($A65="","",IF(COUNTIFS(L_Data,$A65,L_Desc,$B65,L_Valor,$N65,L_Tipo,$C65)&gt;1,"⚠ Possível duplicidade",IF(OR(AND($C65="Despesa",COUNTIF(CatD_Nome,$D65)=0),AND($C65="Receita",COUNTIF(CatR_Nome,$D65)=0)),"⚠ Categoria não combina com o tipo",IF(OR($N65="",$C65=""),"⚠ Falta valor ou tipo",""))))</f>
        <v/>
      </c>
      <c r="U65" s="40">
        <f>IF($A65="",0,P65*12+O65)</f>
        <v>24310</v>
      </c>
      <c r="V65" s="40">
        <f>IF($A65="",0,U65+MAX(0,N($I65)-MAX(N($H65),1)))</f>
        <v>24310</v>
      </c>
      <c r="W65" s="40">
        <f>IF(S65="",0,YEAR(S65)*12+MONTH(S65))</f>
        <v>24311</v>
      </c>
      <c r="X65" s="40">
        <f>IF(W65=0,0,W65+V65-U65)</f>
        <v>24311</v>
      </c>
      <c r="Y65" s="36">
        <f>IF(W65=0,0,N(R65)*MAX(0,X65-MAX(W65,YEAR(Cfg_Hoje)*12+MONTH(Cfg_Hoje)+IF(DAY(Cfg_Hoje)&gt;=INDEX(Cartoes_Fech,MATCH($F65,Cartoes_Nome,0)),1,0))+1))</f>
        <v>0</v>
      </c>
      <c r="Z65" s="40">
        <f>IF($A65="",0,DAY($A65))</f>
        <v>11</v>
      </c>
      <c r="AA65" s="40">
        <f>IF($A65="",0,WEEKDAY($A65))</f>
        <v>7</v>
      </c>
      <c r="AB65" s="36">
        <f>IF(AND($C65="Despesa",U65&gt;0,U65&lt;=Sel_Idx,V65&gt;=Sel_Idx),N(R65)+ROW()/1000000000,0)</f>
        <v>0</v>
      </c>
      <c r="AC65" s="40">
        <f>IF(AND($C65="Despesa",U65&gt;0,U65&lt;=Sel_Idx,V65&gt;=Sel_Idx),Z65*10000+ROW(),0)</f>
        <v>0</v>
      </c>
      <c r="AD65" s="40">
        <f>IF(AC65=0,0,COUNTIFS(L_CalChave,"&gt;0",L_CalChave,"&lt;"&amp;AC65)+1)</f>
        <v>0</v>
      </c>
    </row>
    <row r="66">
      <c r="A66" s="38" t="n">
        <v>45942</v>
      </c>
      <c r="B66" s="39" t="inlineStr">
        <is>
          <t>Streaming de música</t>
        </is>
      </c>
      <c r="C66" s="34" t="inlineStr">
        <is>
          <t>Despesa</t>
        </is>
      </c>
      <c r="D66" s="34" t="inlineStr">
        <is>
          <t>Assinaturas</t>
        </is>
      </c>
      <c r="E66" s="34" t="inlineStr">
        <is>
          <t>Música</t>
        </is>
      </c>
      <c r="F66" s="34" t="inlineStr">
        <is>
          <t>Cartão Roxinho</t>
        </is>
      </c>
      <c r="G66" s="34" t="inlineStr">
        <is>
          <t>Crédito</t>
        </is>
      </c>
      <c r="H66" s="37" t="n"/>
      <c r="I66" s="37" t="n"/>
      <c r="J66" s="34" t="inlineStr">
        <is>
          <t>Pago</t>
        </is>
      </c>
      <c r="K66" s="34" t="n"/>
      <c r="L66" s="34" t="n"/>
      <c r="M66" s="39" t="inlineStr">
        <is>
          <t>EXEMPLO</t>
        </is>
      </c>
      <c r="N66" s="35" t="n">
        <v>21.9</v>
      </c>
      <c r="O66" s="40">
        <f>IF($A66="","",MONTH($A66))</f>
        <v>10</v>
      </c>
      <c r="P66" s="40">
        <f>IF($A66="","",YEAR($A66))</f>
        <v>2025</v>
      </c>
      <c r="Q66" s="41">
        <f>IF($A66="","",DATE(P66,O66,1))</f>
        <v>45931.0</v>
      </c>
      <c r="R66" s="36">
        <f>IF(OR($A66="",$N66=""),"",IF(AND($C66&lt;&gt;"Transferência",N($I66)&gt;1),$N66/$I66,$N66))</f>
        <v>21.9</v>
      </c>
      <c r="S66" s="41">
        <f>IF(OR($A66="",$F66="",$C66&lt;&gt;"Despesa"),"",IF(COUNTIF(Cartoes_Nome,$F66)=0,"",DATE(P66,O66+IF(DAY($A66)&gt;=INDEX(Cartoes_Fech,MATCH($F66,Cartoes_Nome,0)),1,0),1)))</f>
        <v>45931.0</v>
      </c>
      <c r="T66" s="42" t="str">
        <f>IF($A66="","",IF(COUNTIFS(L_Data,$A66,L_Desc,$B66,L_Valor,$N66,L_Tipo,$C66)&gt;1,"⚠ Possível duplicidade",IF(OR(AND($C66="Despesa",COUNTIF(CatD_Nome,$D66)=0),AND($C66="Receita",COUNTIF(CatR_Nome,$D66)=0)),"⚠ Categoria não combina com o tipo",IF(OR($N66="",$C66=""),"⚠ Falta valor ou tipo",""))))</f>
        <v/>
      </c>
      <c r="U66" s="40">
        <f>IF($A66="",0,P66*12+O66)</f>
        <v>24310</v>
      </c>
      <c r="V66" s="40">
        <f>IF($A66="",0,U66+MAX(0,N($I66)-MAX(N($H66),1)))</f>
        <v>24310</v>
      </c>
      <c r="W66" s="40">
        <f>IF(S66="",0,YEAR(S66)*12+MONTH(S66))</f>
        <v>24310</v>
      </c>
      <c r="X66" s="40">
        <f>IF(W66=0,0,W66+V66-U66)</f>
        <v>24310</v>
      </c>
      <c r="Y66" s="36">
        <f>IF(W66=0,0,N(R66)*MAX(0,X66-MAX(W66,YEAR(Cfg_Hoje)*12+MONTH(Cfg_Hoje)+IF(DAY(Cfg_Hoje)&gt;=INDEX(Cartoes_Fech,MATCH($F66,Cartoes_Nome,0)),1,0))+1))</f>
        <v>0</v>
      </c>
      <c r="Z66" s="40">
        <f>IF($A66="",0,DAY($A66))</f>
        <v>12</v>
      </c>
      <c r="AA66" s="40">
        <f>IF($A66="",0,WEEKDAY($A66))</f>
        <v>1</v>
      </c>
      <c r="AB66" s="36">
        <f>IF(AND($C66="Despesa",U66&gt;0,U66&lt;=Sel_Idx,V66&gt;=Sel_Idx),N(R66)+ROW()/1000000000,0)</f>
        <v>0</v>
      </c>
      <c r="AC66" s="40">
        <f>IF(AND($C66="Despesa",U66&gt;0,U66&lt;=Sel_Idx,V66&gt;=Sel_Idx),Z66*10000+ROW(),0)</f>
        <v>0</v>
      </c>
      <c r="AD66" s="40">
        <f>IF(AC66=0,0,COUNTIFS(L_CalChave,"&gt;0",L_CalChave,"&lt;"&amp;AC66)+1)</f>
        <v>0</v>
      </c>
    </row>
    <row r="67">
      <c r="A67" s="38" t="n">
        <v>45942</v>
      </c>
      <c r="B67" s="39" t="inlineStr">
        <is>
          <t>Streaming de vídeo</t>
        </is>
      </c>
      <c r="C67" s="34" t="inlineStr">
        <is>
          <t>Despesa</t>
        </is>
      </c>
      <c r="D67" s="34" t="inlineStr">
        <is>
          <t>Assinaturas</t>
        </is>
      </c>
      <c r="E67" s="34" t="inlineStr">
        <is>
          <t>Streaming</t>
        </is>
      </c>
      <c r="F67" s="34" t="inlineStr">
        <is>
          <t>Cartão Roxinho</t>
        </is>
      </c>
      <c r="G67" s="34" t="inlineStr">
        <is>
          <t>Crédito</t>
        </is>
      </c>
      <c r="H67" s="37" t="n"/>
      <c r="I67" s="37" t="n"/>
      <c r="J67" s="34" t="inlineStr">
        <is>
          <t>Pago</t>
        </is>
      </c>
      <c r="K67" s="34" t="n"/>
      <c r="L67" s="34" t="n"/>
      <c r="M67" s="39" t="inlineStr">
        <is>
          <t>EXEMPLO</t>
        </is>
      </c>
      <c r="N67" s="35" t="n">
        <v>55.9</v>
      </c>
      <c r="O67" s="40">
        <f>IF($A67="","",MONTH($A67))</f>
        <v>10</v>
      </c>
      <c r="P67" s="40">
        <f>IF($A67="","",YEAR($A67))</f>
        <v>2025</v>
      </c>
      <c r="Q67" s="41">
        <f>IF($A67="","",DATE(P67,O67,1))</f>
        <v>45931.0</v>
      </c>
      <c r="R67" s="36">
        <f>IF(OR($A67="",$N67=""),"",IF(AND($C67&lt;&gt;"Transferência",N($I67)&gt;1),$N67/$I67,$N67))</f>
        <v>55.9</v>
      </c>
      <c r="S67" s="41">
        <f>IF(OR($A67="",$F67="",$C67&lt;&gt;"Despesa"),"",IF(COUNTIF(Cartoes_Nome,$F67)=0,"",DATE(P67,O67+IF(DAY($A67)&gt;=INDEX(Cartoes_Fech,MATCH($F67,Cartoes_Nome,0)),1,0),1)))</f>
        <v>45931.0</v>
      </c>
      <c r="T67" s="42" t="str">
        <f>IF($A67="","",IF(COUNTIFS(L_Data,$A67,L_Desc,$B67,L_Valor,$N67,L_Tipo,$C67)&gt;1,"⚠ Possível duplicidade",IF(OR(AND($C67="Despesa",COUNTIF(CatD_Nome,$D67)=0),AND($C67="Receita",COUNTIF(CatR_Nome,$D67)=0)),"⚠ Categoria não combina com o tipo",IF(OR($N67="",$C67=""),"⚠ Falta valor ou tipo",""))))</f>
        <v/>
      </c>
      <c r="U67" s="40">
        <f>IF($A67="",0,P67*12+O67)</f>
        <v>24310</v>
      </c>
      <c r="V67" s="40">
        <f>IF($A67="",0,U67+MAX(0,N($I67)-MAX(N($H67),1)))</f>
        <v>24310</v>
      </c>
      <c r="W67" s="40">
        <f>IF(S67="",0,YEAR(S67)*12+MONTH(S67))</f>
        <v>24310</v>
      </c>
      <c r="X67" s="40">
        <f>IF(W67=0,0,W67+V67-U67)</f>
        <v>24310</v>
      </c>
      <c r="Y67" s="36">
        <f>IF(W67=0,0,N(R67)*MAX(0,X67-MAX(W67,YEAR(Cfg_Hoje)*12+MONTH(Cfg_Hoje)+IF(DAY(Cfg_Hoje)&gt;=INDEX(Cartoes_Fech,MATCH($F67,Cartoes_Nome,0)),1,0))+1))</f>
        <v>0</v>
      </c>
      <c r="Z67" s="40">
        <f>IF($A67="",0,DAY($A67))</f>
        <v>12</v>
      </c>
      <c r="AA67" s="40">
        <f>IF($A67="",0,WEEKDAY($A67))</f>
        <v>1</v>
      </c>
      <c r="AB67" s="36">
        <f>IF(AND($C67="Despesa",U67&gt;0,U67&lt;=Sel_Idx,V67&gt;=Sel_Idx),N(R67)+ROW()/1000000000,0)</f>
        <v>0</v>
      </c>
      <c r="AC67" s="40">
        <f>IF(AND($C67="Despesa",U67&gt;0,U67&lt;=Sel_Idx,V67&gt;=Sel_Idx),Z67*10000+ROW(),0)</f>
        <v>0</v>
      </c>
      <c r="AD67" s="40">
        <f>IF(AC67=0,0,COUNTIFS(L_CalChave,"&gt;0",L_CalChave,"&lt;"&amp;AC67)+1)</f>
        <v>0</v>
      </c>
    </row>
    <row r="68">
      <c r="A68" s="38" t="n">
        <v>45942</v>
      </c>
      <c r="B68" s="39" t="inlineStr">
        <is>
          <t>Supermercado</t>
        </is>
      </c>
      <c r="C68" s="34" t="inlineStr">
        <is>
          <t>Despesa</t>
        </is>
      </c>
      <c r="D68" s="34" t="inlineStr">
        <is>
          <t>Alimentação</t>
        </is>
      </c>
      <c r="E68" s="34" t="inlineStr">
        <is>
          <t>Mercado</t>
        </is>
      </c>
      <c r="F68" s="34" t="inlineStr">
        <is>
          <t>Conta Corrente Banco Azul</t>
        </is>
      </c>
      <c r="G68" s="34" t="inlineStr">
        <is>
          <t>Débito</t>
        </is>
      </c>
      <c r="H68" s="37" t="n"/>
      <c r="I68" s="37" t="n"/>
      <c r="J68" s="34" t="inlineStr">
        <is>
          <t>Pago</t>
        </is>
      </c>
      <c r="K68" s="34" t="n"/>
      <c r="L68" s="34" t="n"/>
      <c r="M68" s="39" t="inlineStr">
        <is>
          <t>EXEMPLO</t>
        </is>
      </c>
      <c r="N68" s="35" t="n">
        <v>390.45</v>
      </c>
      <c r="O68" s="40">
        <f>IF($A68="","",MONTH($A68))</f>
        <v>10</v>
      </c>
      <c r="P68" s="40">
        <f>IF($A68="","",YEAR($A68))</f>
        <v>2025</v>
      </c>
      <c r="Q68" s="41">
        <f>IF($A68="","",DATE(P68,O68,1))</f>
        <v>45931.0</v>
      </c>
      <c r="R68" s="36">
        <f>IF(OR($A68="",$N68=""),"",IF(AND($C68&lt;&gt;"Transferência",N($I68)&gt;1),$N68/$I68,$N68))</f>
        <v>390.45</v>
      </c>
      <c r="S68" s="41" t="str">
        <f>IF(OR($A68="",$F68="",$C68&lt;&gt;"Despesa"),"",IF(COUNTIF(Cartoes_Nome,$F68)=0,"",DATE(P68,O68+IF(DAY($A68)&gt;=INDEX(Cartoes_Fech,MATCH($F68,Cartoes_Nome,0)),1,0),1)))</f>
        <v/>
      </c>
      <c r="T68" s="42" t="str">
        <f>IF($A68="","",IF(COUNTIFS(L_Data,$A68,L_Desc,$B68,L_Valor,$N68,L_Tipo,$C68)&gt;1,"⚠ Possível duplicidade",IF(OR(AND($C68="Despesa",COUNTIF(CatD_Nome,$D68)=0),AND($C68="Receita",COUNTIF(CatR_Nome,$D68)=0)),"⚠ Categoria não combina com o tipo",IF(OR($N68="",$C68=""),"⚠ Falta valor ou tipo",""))))</f>
        <v/>
      </c>
      <c r="U68" s="40">
        <f>IF($A68="",0,P68*12+O68)</f>
        <v>24310</v>
      </c>
      <c r="V68" s="40">
        <f>IF($A68="",0,U68+MAX(0,N($I68)-MAX(N($H68),1)))</f>
        <v>24310</v>
      </c>
      <c r="W68" s="40">
        <f>IF(S68="",0,YEAR(S68)*12+MONTH(S68))</f>
        <v>0</v>
      </c>
      <c r="X68" s="40">
        <f>IF(W68=0,0,W68+V68-U68)</f>
        <v>0</v>
      </c>
      <c r="Y68" s="36">
        <f>IF(W68=0,0,N(R68)*MAX(0,X68-MAX(W68,YEAR(Cfg_Hoje)*12+MONTH(Cfg_Hoje)+IF(DAY(Cfg_Hoje)&gt;=INDEX(Cartoes_Fech,MATCH($F68,Cartoes_Nome,0)),1,0))+1))</f>
        <v>0</v>
      </c>
      <c r="Z68" s="40">
        <f>IF($A68="",0,DAY($A68))</f>
        <v>12</v>
      </c>
      <c r="AA68" s="40">
        <f>IF($A68="",0,WEEKDAY($A68))</f>
        <v>1</v>
      </c>
      <c r="AB68" s="36">
        <f>IF(AND($C68="Despesa",U68&gt;0,U68&lt;=Sel_Idx,V68&gt;=Sel_Idx),N(R68)+ROW()/1000000000,0)</f>
        <v>0</v>
      </c>
      <c r="AC68" s="40">
        <f>IF(AND($C68="Despesa",U68&gt;0,U68&lt;=Sel_Idx,V68&gt;=Sel_Idx),Z68*10000+ROW(),0)</f>
        <v>0</v>
      </c>
      <c r="AD68" s="40">
        <f>IF(AC68=0,0,COUNTIFS(L_CalChave,"&gt;0",L_CalChave,"&lt;"&amp;AC68)+1)</f>
        <v>0</v>
      </c>
    </row>
    <row r="69">
      <c r="A69" s="38" t="n">
        <v>45943</v>
      </c>
      <c r="B69" s="39" t="inlineStr">
        <is>
          <t>Corrida de aplicativo</t>
        </is>
      </c>
      <c r="C69" s="34" t="inlineStr">
        <is>
          <t>Despesa</t>
        </is>
      </c>
      <c r="D69" s="34" t="inlineStr">
        <is>
          <t>Transporte</t>
        </is>
      </c>
      <c r="E69" s="34" t="inlineStr">
        <is>
          <t>App de transporte</t>
        </is>
      </c>
      <c r="F69" s="34" t="inlineStr">
        <is>
          <t>Conta Corrente Banco Azul</t>
        </is>
      </c>
      <c r="G69" s="34" t="inlineStr">
        <is>
          <t>Pix</t>
        </is>
      </c>
      <c r="H69" s="37" t="n"/>
      <c r="I69" s="37" t="n"/>
      <c r="J69" s="34" t="inlineStr">
        <is>
          <t>Pago</t>
        </is>
      </c>
      <c r="K69" s="34" t="n"/>
      <c r="L69" s="34" t="n"/>
      <c r="M69" s="39" t="inlineStr">
        <is>
          <t>EXEMPLO</t>
        </is>
      </c>
      <c r="N69" s="35" t="n">
        <v>30.99</v>
      </c>
      <c r="O69" s="40">
        <f>IF($A69="","",MONTH($A69))</f>
        <v>10</v>
      </c>
      <c r="P69" s="40">
        <f>IF($A69="","",YEAR($A69))</f>
        <v>2025</v>
      </c>
      <c r="Q69" s="41">
        <f>IF($A69="","",DATE(P69,O69,1))</f>
        <v>45931.0</v>
      </c>
      <c r="R69" s="36">
        <f>IF(OR($A69="",$N69=""),"",IF(AND($C69&lt;&gt;"Transferência",N($I69)&gt;1),$N69/$I69,$N69))</f>
        <v>30.99</v>
      </c>
      <c r="S69" s="41" t="str">
        <f>IF(OR($A69="",$F69="",$C69&lt;&gt;"Despesa"),"",IF(COUNTIF(Cartoes_Nome,$F69)=0,"",DATE(P69,O69+IF(DAY($A69)&gt;=INDEX(Cartoes_Fech,MATCH($F69,Cartoes_Nome,0)),1,0),1)))</f>
        <v/>
      </c>
      <c r="T69" s="42" t="str">
        <f>IF($A69="","",IF(COUNTIFS(L_Data,$A69,L_Desc,$B69,L_Valor,$N69,L_Tipo,$C69)&gt;1,"⚠ Possível duplicidade",IF(OR(AND($C69="Despesa",COUNTIF(CatD_Nome,$D69)=0),AND($C69="Receita",COUNTIF(CatR_Nome,$D69)=0)),"⚠ Categoria não combina com o tipo",IF(OR($N69="",$C69=""),"⚠ Falta valor ou tipo",""))))</f>
        <v/>
      </c>
      <c r="U69" s="40">
        <f>IF($A69="",0,P69*12+O69)</f>
        <v>24310</v>
      </c>
      <c r="V69" s="40">
        <f>IF($A69="",0,U69+MAX(0,N($I69)-MAX(N($H69),1)))</f>
        <v>24310</v>
      </c>
      <c r="W69" s="40">
        <f>IF(S69="",0,YEAR(S69)*12+MONTH(S69))</f>
        <v>0</v>
      </c>
      <c r="X69" s="40">
        <f>IF(W69=0,0,W69+V69-U69)</f>
        <v>0</v>
      </c>
      <c r="Y69" s="36">
        <f>IF(W69=0,0,N(R69)*MAX(0,X69-MAX(W69,YEAR(Cfg_Hoje)*12+MONTH(Cfg_Hoje)+IF(DAY(Cfg_Hoje)&gt;=INDEX(Cartoes_Fech,MATCH($F69,Cartoes_Nome,0)),1,0))+1))</f>
        <v>0</v>
      </c>
      <c r="Z69" s="40">
        <f>IF($A69="",0,DAY($A69))</f>
        <v>13</v>
      </c>
      <c r="AA69" s="40">
        <f>IF($A69="",0,WEEKDAY($A69))</f>
        <v>2</v>
      </c>
      <c r="AB69" s="36">
        <f>IF(AND($C69="Despesa",U69&gt;0,U69&lt;=Sel_Idx,V69&gt;=Sel_Idx),N(R69)+ROW()/1000000000,0)</f>
        <v>0</v>
      </c>
      <c r="AC69" s="40">
        <f>IF(AND($C69="Despesa",U69&gt;0,U69&lt;=Sel_Idx,V69&gt;=Sel_Idx),Z69*10000+ROW(),0)</f>
        <v>0</v>
      </c>
      <c r="AD69" s="40">
        <f>IF(AC69=0,0,COUNTIFS(L_CalChave,"&gt;0",L_CalChave,"&lt;"&amp;AC69)+1)</f>
        <v>0</v>
      </c>
    </row>
    <row r="70">
      <c r="A70" s="38" t="n">
        <v>45944</v>
      </c>
      <c r="B70" s="39" t="inlineStr">
        <is>
          <t>Armazenamento em nuvem</t>
        </is>
      </c>
      <c r="C70" s="34" t="inlineStr">
        <is>
          <t>Despesa</t>
        </is>
      </c>
      <c r="D70" s="34" t="inlineStr">
        <is>
          <t>Assinaturas</t>
        </is>
      </c>
      <c r="E70" s="34" t="inlineStr">
        <is>
          <t>Nuvem</t>
        </is>
      </c>
      <c r="F70" s="34" t="inlineStr">
        <is>
          <t>Cartão Azul Gold</t>
        </is>
      </c>
      <c r="G70" s="34" t="inlineStr">
        <is>
          <t>Crédito</t>
        </is>
      </c>
      <c r="H70" s="37" t="n"/>
      <c r="I70" s="37" t="n"/>
      <c r="J70" s="34" t="inlineStr">
        <is>
          <t>Pago</t>
        </is>
      </c>
      <c r="K70" s="34" t="n"/>
      <c r="L70" s="34" t="n"/>
      <c r="M70" s="39" t="inlineStr">
        <is>
          <t>EXEMPLO</t>
        </is>
      </c>
      <c r="N70" s="35" t="n">
        <v>14.9</v>
      </c>
      <c r="O70" s="40">
        <f>IF($A70="","",MONTH($A70))</f>
        <v>10</v>
      </c>
      <c r="P70" s="40">
        <f>IF($A70="","",YEAR($A70))</f>
        <v>2025</v>
      </c>
      <c r="Q70" s="41">
        <f>IF($A70="","",DATE(P70,O70,1))</f>
        <v>45931.0</v>
      </c>
      <c r="R70" s="36">
        <f>IF(OR($A70="",$N70=""),"",IF(AND($C70&lt;&gt;"Transferência",N($I70)&gt;1),$N70/$I70,$N70))</f>
        <v>14.9</v>
      </c>
      <c r="S70" s="41">
        <f>IF(OR($A70="",$F70="",$C70&lt;&gt;"Despesa"),"",IF(COUNTIF(Cartoes_Nome,$F70)=0,"",DATE(P70,O70+IF(DAY($A70)&gt;=INDEX(Cartoes_Fech,MATCH($F70,Cartoes_Nome,0)),1,0),1)))</f>
        <v>45962.0</v>
      </c>
      <c r="T70" s="42" t="str">
        <f>IF($A70="","",IF(COUNTIFS(L_Data,$A70,L_Desc,$B70,L_Valor,$N70,L_Tipo,$C70)&gt;1,"⚠ Possível duplicidade",IF(OR(AND($C70="Despesa",COUNTIF(CatD_Nome,$D70)=0),AND($C70="Receita",COUNTIF(CatR_Nome,$D70)=0)),"⚠ Categoria não combina com o tipo",IF(OR($N70="",$C70=""),"⚠ Falta valor ou tipo",""))))</f>
        <v/>
      </c>
      <c r="U70" s="40">
        <f>IF($A70="",0,P70*12+O70)</f>
        <v>24310</v>
      </c>
      <c r="V70" s="40">
        <f>IF($A70="",0,U70+MAX(0,N($I70)-MAX(N($H70),1)))</f>
        <v>24310</v>
      </c>
      <c r="W70" s="40">
        <f>IF(S70="",0,YEAR(S70)*12+MONTH(S70))</f>
        <v>24311</v>
      </c>
      <c r="X70" s="40">
        <f>IF(W70=0,0,W70+V70-U70)</f>
        <v>24311</v>
      </c>
      <c r="Y70" s="36">
        <f>IF(W70=0,0,N(R70)*MAX(0,X70-MAX(W70,YEAR(Cfg_Hoje)*12+MONTH(Cfg_Hoje)+IF(DAY(Cfg_Hoje)&gt;=INDEX(Cartoes_Fech,MATCH($F70,Cartoes_Nome,0)),1,0))+1))</f>
        <v>0</v>
      </c>
      <c r="Z70" s="40">
        <f>IF($A70="",0,DAY($A70))</f>
        <v>14</v>
      </c>
      <c r="AA70" s="40">
        <f>IF($A70="",0,WEEKDAY($A70))</f>
        <v>3</v>
      </c>
      <c r="AB70" s="36">
        <f>IF(AND($C70="Despesa",U70&gt;0,U70&lt;=Sel_Idx,V70&gt;=Sel_Idx),N(R70)+ROW()/1000000000,0)</f>
        <v>0</v>
      </c>
      <c r="AC70" s="40">
        <f>IF(AND($C70="Despesa",U70&gt;0,U70&lt;=Sel_Idx,V70&gt;=Sel_Idx),Z70*10000+ROW(),0)</f>
        <v>0</v>
      </c>
      <c r="AD70" s="40">
        <f>IF(AC70=0,0,COUNTIFS(L_CalChave,"&gt;0",L_CalChave,"&lt;"&amp;AC70)+1)</f>
        <v>0</v>
      </c>
    </row>
    <row r="71">
      <c r="A71" s="38" t="n">
        <v>45945</v>
      </c>
      <c r="B71" s="39" t="inlineStr">
        <is>
          <t>Conta de energia</t>
        </is>
      </c>
      <c r="C71" s="34" t="inlineStr">
        <is>
          <t>Despesa</t>
        </is>
      </c>
      <c r="D71" s="34" t="inlineStr">
        <is>
          <t>Moradia</t>
        </is>
      </c>
      <c r="E71" s="34" t="inlineStr">
        <is>
          <t>Energia</t>
        </is>
      </c>
      <c r="F71" s="34" t="inlineStr">
        <is>
          <t>Conta Corrente Banco Azul</t>
        </is>
      </c>
      <c r="G71" s="34" t="inlineStr">
        <is>
          <t>Débito automático</t>
        </is>
      </c>
      <c r="H71" s="37" t="n"/>
      <c r="I71" s="37" t="n"/>
      <c r="J71" s="34" t="inlineStr">
        <is>
          <t>Pago</t>
        </is>
      </c>
      <c r="K71" s="34" t="n"/>
      <c r="L71" s="34" t="n"/>
      <c r="M71" s="39" t="inlineStr">
        <is>
          <t>EXEMPLO</t>
        </is>
      </c>
      <c r="N71" s="35" t="n">
        <v>185.57</v>
      </c>
      <c r="O71" s="40">
        <f>IF($A71="","",MONTH($A71))</f>
        <v>10</v>
      </c>
      <c r="P71" s="40">
        <f>IF($A71="","",YEAR($A71))</f>
        <v>2025</v>
      </c>
      <c r="Q71" s="41">
        <f>IF($A71="","",DATE(P71,O71,1))</f>
        <v>45931.0</v>
      </c>
      <c r="R71" s="36">
        <f>IF(OR($A71="",$N71=""),"",IF(AND($C71&lt;&gt;"Transferência",N($I71)&gt;1),$N71/$I71,$N71))</f>
        <v>185.57</v>
      </c>
      <c r="S71" s="41" t="str">
        <f>IF(OR($A71="",$F71="",$C71&lt;&gt;"Despesa"),"",IF(COUNTIF(Cartoes_Nome,$F71)=0,"",DATE(P71,O71+IF(DAY($A71)&gt;=INDEX(Cartoes_Fech,MATCH($F71,Cartoes_Nome,0)),1,0),1)))</f>
        <v/>
      </c>
      <c r="T71" s="42" t="str">
        <f>IF($A71="","",IF(COUNTIFS(L_Data,$A71,L_Desc,$B71,L_Valor,$N71,L_Tipo,$C71)&gt;1,"⚠ Possível duplicidade",IF(OR(AND($C71="Despesa",COUNTIF(CatD_Nome,$D71)=0),AND($C71="Receita",COUNTIF(CatR_Nome,$D71)=0)),"⚠ Categoria não combina com o tipo",IF(OR($N71="",$C71=""),"⚠ Falta valor ou tipo",""))))</f>
        <v/>
      </c>
      <c r="U71" s="40">
        <f>IF($A71="",0,P71*12+O71)</f>
        <v>24310</v>
      </c>
      <c r="V71" s="40">
        <f>IF($A71="",0,U71+MAX(0,N($I71)-MAX(N($H71),1)))</f>
        <v>24310</v>
      </c>
      <c r="W71" s="40">
        <f>IF(S71="",0,YEAR(S71)*12+MONTH(S71))</f>
        <v>0</v>
      </c>
      <c r="X71" s="40">
        <f>IF(W71=0,0,W71+V71-U71)</f>
        <v>0</v>
      </c>
      <c r="Y71" s="36">
        <f>IF(W71=0,0,N(R71)*MAX(0,X71-MAX(W71,YEAR(Cfg_Hoje)*12+MONTH(Cfg_Hoje)+IF(DAY(Cfg_Hoje)&gt;=INDEX(Cartoes_Fech,MATCH($F71,Cartoes_Nome,0)),1,0))+1))</f>
        <v>0</v>
      </c>
      <c r="Z71" s="40">
        <f>IF($A71="",0,DAY($A71))</f>
        <v>15</v>
      </c>
      <c r="AA71" s="40">
        <f>IF($A71="",0,WEEKDAY($A71))</f>
        <v>4</v>
      </c>
      <c r="AB71" s="36">
        <f>IF(AND($C71="Despesa",U71&gt;0,U71&lt;=Sel_Idx,V71&gt;=Sel_Idx),N(R71)+ROW()/1000000000,0)</f>
        <v>0</v>
      </c>
      <c r="AC71" s="40">
        <f>IF(AND($C71="Despesa",U71&gt;0,U71&lt;=Sel_Idx,V71&gt;=Sel_Idx),Z71*10000+ROW(),0)</f>
        <v>0</v>
      </c>
      <c r="AD71" s="40">
        <f>IF(AC71=0,0,COUNTIFS(L_CalChave,"&gt;0",L_CalChave,"&lt;"&amp;AC71)+1)</f>
        <v>0</v>
      </c>
    </row>
    <row r="72">
      <c r="A72" s="38" t="n">
        <v>45945</v>
      </c>
      <c r="B72" s="39" t="inlineStr">
        <is>
          <t>Conta de água</t>
        </is>
      </c>
      <c r="C72" s="34" t="inlineStr">
        <is>
          <t>Despesa</t>
        </is>
      </c>
      <c r="D72" s="34" t="inlineStr">
        <is>
          <t>Moradia</t>
        </is>
      </c>
      <c r="E72" s="34" t="inlineStr">
        <is>
          <t>Água</t>
        </is>
      </c>
      <c r="F72" s="34" t="inlineStr">
        <is>
          <t>Conta Corrente Banco Azul</t>
        </is>
      </c>
      <c r="G72" s="34" t="inlineStr">
        <is>
          <t>Débito automático</t>
        </is>
      </c>
      <c r="H72" s="37" t="n"/>
      <c r="I72" s="37" t="n"/>
      <c r="J72" s="34" t="inlineStr">
        <is>
          <t>Pago</t>
        </is>
      </c>
      <c r="K72" s="34" t="n"/>
      <c r="L72" s="34" t="n"/>
      <c r="M72" s="39" t="inlineStr">
        <is>
          <t>EXEMPLO</t>
        </is>
      </c>
      <c r="N72" s="35" t="n">
        <v>100.01</v>
      </c>
      <c r="O72" s="40">
        <f>IF($A72="","",MONTH($A72))</f>
        <v>10</v>
      </c>
      <c r="P72" s="40">
        <f>IF($A72="","",YEAR($A72))</f>
        <v>2025</v>
      </c>
      <c r="Q72" s="41">
        <f>IF($A72="","",DATE(P72,O72,1))</f>
        <v>45931.0</v>
      </c>
      <c r="R72" s="36">
        <f>IF(OR($A72="",$N72=""),"",IF(AND($C72&lt;&gt;"Transferência",N($I72)&gt;1),$N72/$I72,$N72))</f>
        <v>100.01</v>
      </c>
      <c r="S72" s="41" t="str">
        <f>IF(OR($A72="",$F72="",$C72&lt;&gt;"Despesa"),"",IF(COUNTIF(Cartoes_Nome,$F72)=0,"",DATE(P72,O72+IF(DAY($A72)&gt;=INDEX(Cartoes_Fech,MATCH($F72,Cartoes_Nome,0)),1,0),1)))</f>
        <v/>
      </c>
      <c r="T72" s="42" t="str">
        <f>IF($A72="","",IF(COUNTIFS(L_Data,$A72,L_Desc,$B72,L_Valor,$N72,L_Tipo,$C72)&gt;1,"⚠ Possível duplicidade",IF(OR(AND($C72="Despesa",COUNTIF(CatD_Nome,$D72)=0),AND($C72="Receita",COUNTIF(CatR_Nome,$D72)=0)),"⚠ Categoria não combina com o tipo",IF(OR($N72="",$C72=""),"⚠ Falta valor ou tipo",""))))</f>
        <v/>
      </c>
      <c r="U72" s="40">
        <f>IF($A72="",0,P72*12+O72)</f>
        <v>24310</v>
      </c>
      <c r="V72" s="40">
        <f>IF($A72="",0,U72+MAX(0,N($I72)-MAX(N($H72),1)))</f>
        <v>24310</v>
      </c>
      <c r="W72" s="40">
        <f>IF(S72="",0,YEAR(S72)*12+MONTH(S72))</f>
        <v>0</v>
      </c>
      <c r="X72" s="40">
        <f>IF(W72=0,0,W72+V72-U72)</f>
        <v>0</v>
      </c>
      <c r="Y72" s="36">
        <f>IF(W72=0,0,N(R72)*MAX(0,X72-MAX(W72,YEAR(Cfg_Hoje)*12+MONTH(Cfg_Hoje)+IF(DAY(Cfg_Hoje)&gt;=INDEX(Cartoes_Fech,MATCH($F72,Cartoes_Nome,0)),1,0))+1))</f>
        <v>0</v>
      </c>
      <c r="Z72" s="40">
        <f>IF($A72="",0,DAY($A72))</f>
        <v>15</v>
      </c>
      <c r="AA72" s="40">
        <f>IF($A72="",0,WEEKDAY($A72))</f>
        <v>4</v>
      </c>
      <c r="AB72" s="36">
        <f>IF(AND($C72="Despesa",U72&gt;0,U72&lt;=Sel_Idx,V72&gt;=Sel_Idx),N(R72)+ROW()/1000000000,0)</f>
        <v>0</v>
      </c>
      <c r="AC72" s="40">
        <f>IF(AND($C72="Despesa",U72&gt;0,U72&lt;=Sel_Idx,V72&gt;=Sel_Idx),Z72*10000+ROW(),0)</f>
        <v>0</v>
      </c>
      <c r="AD72" s="40">
        <f>IF(AC72=0,0,COUNTIFS(L_CalChave,"&gt;0",L_CalChave,"&lt;"&amp;AC72)+1)</f>
        <v>0</v>
      </c>
    </row>
    <row r="73">
      <c r="A73" s="38" t="n">
        <v>45946</v>
      </c>
      <c r="B73" s="39" t="inlineStr">
        <is>
          <t>Corrida de aplicativo</t>
        </is>
      </c>
      <c r="C73" s="34" t="inlineStr">
        <is>
          <t>Despesa</t>
        </is>
      </c>
      <c r="D73" s="34" t="inlineStr">
        <is>
          <t>Transporte</t>
        </is>
      </c>
      <c r="E73" s="34" t="inlineStr">
        <is>
          <t>App de transporte</t>
        </is>
      </c>
      <c r="F73" s="34" t="inlineStr">
        <is>
          <t>Conta Corrente Banco Azul</t>
        </is>
      </c>
      <c r="G73" s="34" t="inlineStr">
        <is>
          <t>Pix</t>
        </is>
      </c>
      <c r="H73" s="37" t="n"/>
      <c r="I73" s="37" t="n"/>
      <c r="J73" s="34" t="inlineStr">
        <is>
          <t>Pago</t>
        </is>
      </c>
      <c r="K73" s="34" t="n"/>
      <c r="L73" s="34" t="n"/>
      <c r="M73" s="39" t="inlineStr">
        <is>
          <t>EXEMPLO</t>
        </is>
      </c>
      <c r="N73" s="35" t="n">
        <v>42.15</v>
      </c>
      <c r="O73" s="40">
        <f>IF($A73="","",MONTH($A73))</f>
        <v>10</v>
      </c>
      <c r="P73" s="40">
        <f>IF($A73="","",YEAR($A73))</f>
        <v>2025</v>
      </c>
      <c r="Q73" s="41">
        <f>IF($A73="","",DATE(P73,O73,1))</f>
        <v>45931.0</v>
      </c>
      <c r="R73" s="36">
        <f>IF(OR($A73="",$N73=""),"",IF(AND($C73&lt;&gt;"Transferência",N($I73)&gt;1),$N73/$I73,$N73))</f>
        <v>42.15</v>
      </c>
      <c r="S73" s="41" t="str">
        <f>IF(OR($A73="",$F73="",$C73&lt;&gt;"Despesa"),"",IF(COUNTIF(Cartoes_Nome,$F73)=0,"",DATE(P73,O73+IF(DAY($A73)&gt;=INDEX(Cartoes_Fech,MATCH($F73,Cartoes_Nome,0)),1,0),1)))</f>
        <v/>
      </c>
      <c r="T73" s="42" t="str">
        <f>IF($A73="","",IF(COUNTIFS(L_Data,$A73,L_Desc,$B73,L_Valor,$N73,L_Tipo,$C73)&gt;1,"⚠ Possível duplicidade",IF(OR(AND($C73="Despesa",COUNTIF(CatD_Nome,$D73)=0),AND($C73="Receita",COUNTIF(CatR_Nome,$D73)=0)),"⚠ Categoria não combina com o tipo",IF(OR($N73="",$C73=""),"⚠ Falta valor ou tipo",""))))</f>
        <v/>
      </c>
      <c r="U73" s="40">
        <f>IF($A73="",0,P73*12+O73)</f>
        <v>24310</v>
      </c>
      <c r="V73" s="40">
        <f>IF($A73="",0,U73+MAX(0,N($I73)-MAX(N($H73),1)))</f>
        <v>24310</v>
      </c>
      <c r="W73" s="40">
        <f>IF(S73="",0,YEAR(S73)*12+MONTH(S73))</f>
        <v>0</v>
      </c>
      <c r="X73" s="40">
        <f>IF(W73=0,0,W73+V73-U73)</f>
        <v>0</v>
      </c>
      <c r="Y73" s="36">
        <f>IF(W73=0,0,N(R73)*MAX(0,X73-MAX(W73,YEAR(Cfg_Hoje)*12+MONTH(Cfg_Hoje)+IF(DAY(Cfg_Hoje)&gt;=INDEX(Cartoes_Fech,MATCH($F73,Cartoes_Nome,0)),1,0))+1))</f>
        <v>0</v>
      </c>
      <c r="Z73" s="40">
        <f>IF($A73="",0,DAY($A73))</f>
        <v>16</v>
      </c>
      <c r="AA73" s="40">
        <f>IF($A73="",0,WEEKDAY($A73))</f>
        <v>5</v>
      </c>
      <c r="AB73" s="36">
        <f>IF(AND($C73="Despesa",U73&gt;0,U73&lt;=Sel_Idx,V73&gt;=Sel_Idx),N(R73)+ROW()/1000000000,0)</f>
        <v>0</v>
      </c>
      <c r="AC73" s="40">
        <f>IF(AND($C73="Despesa",U73&gt;0,U73&lt;=Sel_Idx,V73&gt;=Sel_Idx),Z73*10000+ROW(),0)</f>
        <v>0</v>
      </c>
      <c r="AD73" s="40">
        <f>IF(AC73=0,0,COUNTIFS(L_CalChave,"&gt;0",L_CalChave,"&lt;"&amp;AC73)+1)</f>
        <v>0</v>
      </c>
    </row>
    <row r="74">
      <c r="A74" s="38" t="n">
        <v>45946</v>
      </c>
      <c r="B74" s="39" t="inlineStr">
        <is>
          <t>Restaurante</t>
        </is>
      </c>
      <c r="C74" s="34" t="inlineStr">
        <is>
          <t>Despesa</t>
        </is>
      </c>
      <c r="D74" s="34" t="inlineStr">
        <is>
          <t>Alimentação</t>
        </is>
      </c>
      <c r="E74" s="34" t="inlineStr">
        <is>
          <t>Restaurantes</t>
        </is>
      </c>
      <c r="F74" s="34" t="inlineStr">
        <is>
          <t>Cartão Azul Gold</t>
        </is>
      </c>
      <c r="G74" s="34" t="inlineStr">
        <is>
          <t>Crédito</t>
        </is>
      </c>
      <c r="H74" s="37" t="n"/>
      <c r="I74" s="37" t="n"/>
      <c r="J74" s="34" t="inlineStr">
        <is>
          <t>Pago</t>
        </is>
      </c>
      <c r="K74" s="34" t="n"/>
      <c r="L74" s="34" t="n"/>
      <c r="M74" s="39" t="inlineStr">
        <is>
          <t>EXEMPLO</t>
        </is>
      </c>
      <c r="N74" s="35" t="n">
        <v>87.2</v>
      </c>
      <c r="O74" s="40">
        <f>IF($A74="","",MONTH($A74))</f>
        <v>10</v>
      </c>
      <c r="P74" s="40">
        <f>IF($A74="","",YEAR($A74))</f>
        <v>2025</v>
      </c>
      <c r="Q74" s="41">
        <f>IF($A74="","",DATE(P74,O74,1))</f>
        <v>45931.0</v>
      </c>
      <c r="R74" s="36">
        <f>IF(OR($A74="",$N74=""),"",IF(AND($C74&lt;&gt;"Transferência",N($I74)&gt;1),$N74/$I74,$N74))</f>
        <v>87.2</v>
      </c>
      <c r="S74" s="41">
        <f>IF(OR($A74="",$F74="",$C74&lt;&gt;"Despesa"),"",IF(COUNTIF(Cartoes_Nome,$F74)=0,"",DATE(P74,O74+IF(DAY($A74)&gt;=INDEX(Cartoes_Fech,MATCH($F74,Cartoes_Nome,0)),1,0),1)))</f>
        <v>45962.0</v>
      </c>
      <c r="T74" s="42" t="str">
        <f>IF($A74="","",IF(COUNTIFS(L_Data,$A74,L_Desc,$B74,L_Valor,$N74,L_Tipo,$C74)&gt;1,"⚠ Possível duplicidade",IF(OR(AND($C74="Despesa",COUNTIF(CatD_Nome,$D74)=0),AND($C74="Receita",COUNTIF(CatR_Nome,$D74)=0)),"⚠ Categoria não combina com o tipo",IF(OR($N74="",$C74=""),"⚠ Falta valor ou tipo",""))))</f>
        <v/>
      </c>
      <c r="U74" s="40">
        <f>IF($A74="",0,P74*12+O74)</f>
        <v>24310</v>
      </c>
      <c r="V74" s="40">
        <f>IF($A74="",0,U74+MAX(0,N($I74)-MAX(N($H74),1)))</f>
        <v>24310</v>
      </c>
      <c r="W74" s="40">
        <f>IF(S74="",0,YEAR(S74)*12+MONTH(S74))</f>
        <v>24311</v>
      </c>
      <c r="X74" s="40">
        <f>IF(W74=0,0,W74+V74-U74)</f>
        <v>24311</v>
      </c>
      <c r="Y74" s="36">
        <f>IF(W74=0,0,N(R74)*MAX(0,X74-MAX(W74,YEAR(Cfg_Hoje)*12+MONTH(Cfg_Hoje)+IF(DAY(Cfg_Hoje)&gt;=INDEX(Cartoes_Fech,MATCH($F74,Cartoes_Nome,0)),1,0))+1))</f>
        <v>0</v>
      </c>
      <c r="Z74" s="40">
        <f>IF($A74="",0,DAY($A74))</f>
        <v>16</v>
      </c>
      <c r="AA74" s="40">
        <f>IF($A74="",0,WEEKDAY($A74))</f>
        <v>5</v>
      </c>
      <c r="AB74" s="36">
        <f>IF(AND($C74="Despesa",U74&gt;0,U74&lt;=Sel_Idx,V74&gt;=Sel_Idx),N(R74)+ROW()/1000000000,0)</f>
        <v>0</v>
      </c>
      <c r="AC74" s="40">
        <f>IF(AND($C74="Despesa",U74&gt;0,U74&lt;=Sel_Idx,V74&gt;=Sel_Idx),Z74*10000+ROW(),0)</f>
        <v>0</v>
      </c>
      <c r="AD74" s="40">
        <f>IF(AC74=0,0,COUNTIFS(L_CalChave,"&gt;0",L_CalChave,"&lt;"&amp;AC74)+1)</f>
        <v>0</v>
      </c>
    </row>
    <row r="75">
      <c r="A75" s="38" t="n">
        <v>45947</v>
      </c>
      <c r="B75" s="39" t="inlineStr">
        <is>
          <t>Pagamento fatura Cartão Azul Gold</t>
        </is>
      </c>
      <c r="C75" s="34" t="inlineStr">
        <is>
          <t>Transferência</t>
        </is>
      </c>
      <c r="D75" s="34" t="n"/>
      <c r="E75" s="34" t="n"/>
      <c r="F75" s="34" t="inlineStr">
        <is>
          <t>Conta Corrente Banco Azul</t>
        </is>
      </c>
      <c r="G75" s="34" t="inlineStr">
        <is>
          <t>Débito automático</t>
        </is>
      </c>
      <c r="H75" s="37" t="n"/>
      <c r="I75" s="37" t="n"/>
      <c r="J75" s="34" t="inlineStr">
        <is>
          <t>Pago</t>
        </is>
      </c>
      <c r="K75" s="34" t="n"/>
      <c r="L75" s="34" t="n"/>
      <c r="M75" s="39" t="inlineStr">
        <is>
          <t>EXEMPLO</t>
        </is>
      </c>
      <c r="N75" s="35" t="n">
        <v>-1203.42</v>
      </c>
      <c r="O75" s="40">
        <f>IF($A75="","",MONTH($A75))</f>
        <v>10</v>
      </c>
      <c r="P75" s="40">
        <f>IF($A75="","",YEAR($A75))</f>
        <v>2025</v>
      </c>
      <c r="Q75" s="41">
        <f>IF($A75="","",DATE(P75,O75,1))</f>
        <v>45931.0</v>
      </c>
      <c r="R75" s="36">
        <f>IF(OR($A75="",$N75=""),"",IF(AND($C75&lt;&gt;"Transferência",N($I75)&gt;1),$N75/$I75,$N75))</f>
        <v>-1203.42</v>
      </c>
      <c r="S75" s="41" t="str">
        <f>IF(OR($A75="",$F75="",$C75&lt;&gt;"Despesa"),"",IF(COUNTIF(Cartoes_Nome,$F75)=0,"",DATE(P75,O75+IF(DAY($A75)&gt;=INDEX(Cartoes_Fech,MATCH($F75,Cartoes_Nome,0)),1,0),1)))</f>
        <v/>
      </c>
      <c r="T75" s="42" t="str">
        <f>IF($A75="","",IF(COUNTIFS(L_Data,$A75,L_Desc,$B75,L_Valor,$N75,L_Tipo,$C75)&gt;1,"⚠ Possível duplicidade",IF(OR(AND($C75="Despesa",COUNTIF(CatD_Nome,$D75)=0),AND($C75="Receita",COUNTIF(CatR_Nome,$D75)=0)),"⚠ Categoria não combina com o tipo",IF(OR($N75="",$C75=""),"⚠ Falta valor ou tipo",""))))</f>
        <v/>
      </c>
      <c r="U75" s="40">
        <f>IF($A75="",0,P75*12+O75)</f>
        <v>24310</v>
      </c>
      <c r="V75" s="40">
        <f>IF($A75="",0,U75+MAX(0,N($I75)-MAX(N($H75),1)))</f>
        <v>24310</v>
      </c>
      <c r="W75" s="40">
        <f>IF(S75="",0,YEAR(S75)*12+MONTH(S75))</f>
        <v>0</v>
      </c>
      <c r="X75" s="40">
        <f>IF(W75=0,0,W75+V75-U75)</f>
        <v>0</v>
      </c>
      <c r="Y75" s="36">
        <f>IF(W75=0,0,N(R75)*MAX(0,X75-MAX(W75,YEAR(Cfg_Hoje)*12+MONTH(Cfg_Hoje)+IF(DAY(Cfg_Hoje)&gt;=INDEX(Cartoes_Fech,MATCH($F75,Cartoes_Nome,0)),1,0))+1))</f>
        <v>0</v>
      </c>
      <c r="Z75" s="40">
        <f>IF($A75="",0,DAY($A75))</f>
        <v>17</v>
      </c>
      <c r="AA75" s="40">
        <f>IF($A75="",0,WEEKDAY($A75))</f>
        <v>6</v>
      </c>
      <c r="AB75" s="36">
        <f>IF(AND($C75="Despesa",U75&gt;0,U75&lt;=Sel_Idx,V75&gt;=Sel_Idx),N(R75)+ROW()/1000000000,0)</f>
        <v>0</v>
      </c>
      <c r="AC75" s="40">
        <f>IF(AND($C75="Despesa",U75&gt;0,U75&lt;=Sel_Idx,V75&gt;=Sel_Idx),Z75*10000+ROW(),0)</f>
        <v>0</v>
      </c>
      <c r="AD75" s="40">
        <f>IF(AC75=0,0,COUNTIFS(L_CalChave,"&gt;0",L_CalChave,"&lt;"&amp;AC75)+1)</f>
        <v>0</v>
      </c>
    </row>
    <row r="76">
      <c r="A76" s="38" t="n">
        <v>45949</v>
      </c>
      <c r="B76" s="39" t="inlineStr">
        <is>
          <t>Supermercado</t>
        </is>
      </c>
      <c r="C76" s="34" t="inlineStr">
        <is>
          <t>Despesa</t>
        </is>
      </c>
      <c r="D76" s="34" t="inlineStr">
        <is>
          <t>Alimentação</t>
        </is>
      </c>
      <c r="E76" s="34" t="inlineStr">
        <is>
          <t>Mercado</t>
        </is>
      </c>
      <c r="F76" s="34" t="inlineStr">
        <is>
          <t>Conta Corrente Banco Azul</t>
        </is>
      </c>
      <c r="G76" s="34" t="inlineStr">
        <is>
          <t>Débito</t>
        </is>
      </c>
      <c r="H76" s="37" t="n"/>
      <c r="I76" s="37" t="n"/>
      <c r="J76" s="34" t="inlineStr">
        <is>
          <t>Pago</t>
        </is>
      </c>
      <c r="K76" s="34" t="n"/>
      <c r="L76" s="34" t="n"/>
      <c r="M76" s="39" t="inlineStr">
        <is>
          <t>EXEMPLO</t>
        </is>
      </c>
      <c r="N76" s="35" t="n">
        <v>327.46</v>
      </c>
      <c r="O76" s="40">
        <f>IF($A76="","",MONTH($A76))</f>
        <v>10</v>
      </c>
      <c r="P76" s="40">
        <f>IF($A76="","",YEAR($A76))</f>
        <v>2025</v>
      </c>
      <c r="Q76" s="41">
        <f>IF($A76="","",DATE(P76,O76,1))</f>
        <v>45931.0</v>
      </c>
      <c r="R76" s="36">
        <f>IF(OR($A76="",$N76=""),"",IF(AND($C76&lt;&gt;"Transferência",N($I76)&gt;1),$N76/$I76,$N76))</f>
        <v>327.46</v>
      </c>
      <c r="S76" s="41" t="str">
        <f>IF(OR($A76="",$F76="",$C76&lt;&gt;"Despesa"),"",IF(COUNTIF(Cartoes_Nome,$F76)=0,"",DATE(P76,O76+IF(DAY($A76)&gt;=INDEX(Cartoes_Fech,MATCH($F76,Cartoes_Nome,0)),1,0),1)))</f>
        <v/>
      </c>
      <c r="T76" s="42" t="str">
        <f>IF($A76="","",IF(COUNTIFS(L_Data,$A76,L_Desc,$B76,L_Valor,$N76,L_Tipo,$C76)&gt;1,"⚠ Possível duplicidade",IF(OR(AND($C76="Despesa",COUNTIF(CatD_Nome,$D76)=0),AND($C76="Receita",COUNTIF(CatR_Nome,$D76)=0)),"⚠ Categoria não combina com o tipo",IF(OR($N76="",$C76=""),"⚠ Falta valor ou tipo",""))))</f>
        <v/>
      </c>
      <c r="U76" s="40">
        <f>IF($A76="",0,P76*12+O76)</f>
        <v>24310</v>
      </c>
      <c r="V76" s="40">
        <f>IF($A76="",0,U76+MAX(0,N($I76)-MAX(N($H76),1)))</f>
        <v>24310</v>
      </c>
      <c r="W76" s="40">
        <f>IF(S76="",0,YEAR(S76)*12+MONTH(S76))</f>
        <v>0</v>
      </c>
      <c r="X76" s="40">
        <f>IF(W76=0,0,W76+V76-U76)</f>
        <v>0</v>
      </c>
      <c r="Y76" s="36">
        <f>IF(W76=0,0,N(R76)*MAX(0,X76-MAX(W76,YEAR(Cfg_Hoje)*12+MONTH(Cfg_Hoje)+IF(DAY(Cfg_Hoje)&gt;=INDEX(Cartoes_Fech,MATCH($F76,Cartoes_Nome,0)),1,0))+1))</f>
        <v>0</v>
      </c>
      <c r="Z76" s="40">
        <f>IF($A76="",0,DAY($A76))</f>
        <v>19</v>
      </c>
      <c r="AA76" s="40">
        <f>IF($A76="",0,WEEKDAY($A76))</f>
        <v>1</v>
      </c>
      <c r="AB76" s="36">
        <f>IF(AND($C76="Despesa",U76&gt;0,U76&lt;=Sel_Idx,V76&gt;=Sel_Idx),N(R76)+ROW()/1000000000,0)</f>
        <v>0</v>
      </c>
      <c r="AC76" s="40">
        <f>IF(AND($C76="Despesa",U76&gt;0,U76&lt;=Sel_Idx,V76&gt;=Sel_Idx),Z76*10000+ROW(),0)</f>
        <v>0</v>
      </c>
      <c r="AD76" s="40">
        <f>IF(AC76=0,0,COUNTIFS(L_CalChave,"&gt;0",L_CalChave,"&lt;"&amp;AC76)+1)</f>
        <v>0</v>
      </c>
    </row>
    <row r="77">
      <c r="A77" s="38" t="n">
        <v>45950</v>
      </c>
      <c r="B77" s="39" t="inlineStr">
        <is>
          <t>Internet fibra</t>
        </is>
      </c>
      <c r="C77" s="34" t="inlineStr">
        <is>
          <t>Despesa</t>
        </is>
      </c>
      <c r="D77" s="34" t="inlineStr">
        <is>
          <t>Moradia</t>
        </is>
      </c>
      <c r="E77" s="34" t="inlineStr">
        <is>
          <t>Internet</t>
        </is>
      </c>
      <c r="F77" s="34" t="inlineStr">
        <is>
          <t>Conta Corrente Banco Azul</t>
        </is>
      </c>
      <c r="G77" s="34" t="inlineStr">
        <is>
          <t>Débito automático</t>
        </is>
      </c>
      <c r="H77" s="37" t="n"/>
      <c r="I77" s="37" t="n"/>
      <c r="J77" s="34" t="inlineStr">
        <is>
          <t>Pago</t>
        </is>
      </c>
      <c r="K77" s="34" t="n"/>
      <c r="L77" s="34" t="n"/>
      <c r="M77" s="39" t="inlineStr">
        <is>
          <t>EXEMPLO</t>
        </is>
      </c>
      <c r="N77" s="35" t="n">
        <v>129.9</v>
      </c>
      <c r="O77" s="40">
        <f>IF($A77="","",MONTH($A77))</f>
        <v>10</v>
      </c>
      <c r="P77" s="40">
        <f>IF($A77="","",YEAR($A77))</f>
        <v>2025</v>
      </c>
      <c r="Q77" s="41">
        <f>IF($A77="","",DATE(P77,O77,1))</f>
        <v>45931.0</v>
      </c>
      <c r="R77" s="36">
        <f>IF(OR($A77="",$N77=""),"",IF(AND($C77&lt;&gt;"Transferência",N($I77)&gt;1),$N77/$I77,$N77))</f>
        <v>129.9</v>
      </c>
      <c r="S77" s="41" t="str">
        <f>IF(OR($A77="",$F77="",$C77&lt;&gt;"Despesa"),"",IF(COUNTIF(Cartoes_Nome,$F77)=0,"",DATE(P77,O77+IF(DAY($A77)&gt;=INDEX(Cartoes_Fech,MATCH($F77,Cartoes_Nome,0)),1,0),1)))</f>
        <v/>
      </c>
      <c r="T77" s="42" t="str">
        <f>IF($A77="","",IF(COUNTIFS(L_Data,$A77,L_Desc,$B77,L_Valor,$N77,L_Tipo,$C77)&gt;1,"⚠ Possível duplicidade",IF(OR(AND($C77="Despesa",COUNTIF(CatD_Nome,$D77)=0),AND($C77="Receita",COUNTIF(CatR_Nome,$D77)=0)),"⚠ Categoria não combina com o tipo",IF(OR($N77="",$C77=""),"⚠ Falta valor ou tipo",""))))</f>
        <v/>
      </c>
      <c r="U77" s="40">
        <f>IF($A77="",0,P77*12+O77)</f>
        <v>24310</v>
      </c>
      <c r="V77" s="40">
        <f>IF($A77="",0,U77+MAX(0,N($I77)-MAX(N($H77),1)))</f>
        <v>24310</v>
      </c>
      <c r="W77" s="40">
        <f>IF(S77="",0,YEAR(S77)*12+MONTH(S77))</f>
        <v>0</v>
      </c>
      <c r="X77" s="40">
        <f>IF(W77=0,0,W77+V77-U77)</f>
        <v>0</v>
      </c>
      <c r="Y77" s="36">
        <f>IF(W77=0,0,N(R77)*MAX(0,X77-MAX(W77,YEAR(Cfg_Hoje)*12+MONTH(Cfg_Hoje)+IF(DAY(Cfg_Hoje)&gt;=INDEX(Cartoes_Fech,MATCH($F77,Cartoes_Nome,0)),1,0))+1))</f>
        <v>0</v>
      </c>
      <c r="Z77" s="40">
        <f>IF($A77="",0,DAY($A77))</f>
        <v>20</v>
      </c>
      <c r="AA77" s="40">
        <f>IF($A77="",0,WEEKDAY($A77))</f>
        <v>2</v>
      </c>
      <c r="AB77" s="36">
        <f>IF(AND($C77="Despesa",U77&gt;0,U77&lt;=Sel_Idx,V77&gt;=Sel_Idx),N(R77)+ROW()/1000000000,0)</f>
        <v>0</v>
      </c>
      <c r="AC77" s="40">
        <f>IF(AND($C77="Despesa",U77&gt;0,U77&lt;=Sel_Idx,V77&gt;=Sel_Idx),Z77*10000+ROW(),0)</f>
        <v>0</v>
      </c>
      <c r="AD77" s="40">
        <f>IF(AC77=0,0,COUNTIFS(L_CalChave,"&gt;0",L_CalChave,"&lt;"&amp;AC77)+1)</f>
        <v>0</v>
      </c>
    </row>
    <row r="78">
      <c r="A78" s="38" t="n">
        <v>45950</v>
      </c>
      <c r="B78" s="39" t="inlineStr">
        <is>
          <t>Parcela financiamento do carro</t>
        </is>
      </c>
      <c r="C78" s="34" t="inlineStr">
        <is>
          <t>Despesa</t>
        </is>
      </c>
      <c r="D78" s="34" t="inlineStr">
        <is>
          <t>Dívidas e Financiamentos</t>
        </is>
      </c>
      <c r="E78" s="34" t="inlineStr">
        <is>
          <t>Financiamento</t>
        </is>
      </c>
      <c r="F78" s="34" t="inlineStr">
        <is>
          <t>Conta Corrente Banco Azul</t>
        </is>
      </c>
      <c r="G78" s="34" t="inlineStr">
        <is>
          <t>Débito automático</t>
        </is>
      </c>
      <c r="H78" s="37" t="n"/>
      <c r="I78" s="37" t="n"/>
      <c r="J78" s="34" t="inlineStr">
        <is>
          <t>Pago</t>
        </is>
      </c>
      <c r="K78" s="34" t="n"/>
      <c r="L78" s="34" t="n"/>
      <c r="M78" s="39" t="inlineStr">
        <is>
          <t>EXEMPLO</t>
        </is>
      </c>
      <c r="N78" s="35" t="n">
        <v>1150</v>
      </c>
      <c r="O78" s="40">
        <f>IF($A78="","",MONTH($A78))</f>
        <v>10</v>
      </c>
      <c r="P78" s="40">
        <f>IF($A78="","",YEAR($A78))</f>
        <v>2025</v>
      </c>
      <c r="Q78" s="41">
        <f>IF($A78="","",DATE(P78,O78,1))</f>
        <v>45931.0</v>
      </c>
      <c r="R78" s="36">
        <f>IF(OR($A78="",$N78=""),"",IF(AND($C78&lt;&gt;"Transferência",N($I78)&gt;1),$N78/$I78,$N78))</f>
        <v>1150</v>
      </c>
      <c r="S78" s="41" t="str">
        <f>IF(OR($A78="",$F78="",$C78&lt;&gt;"Despesa"),"",IF(COUNTIF(Cartoes_Nome,$F78)=0,"",DATE(P78,O78+IF(DAY($A78)&gt;=INDEX(Cartoes_Fech,MATCH($F78,Cartoes_Nome,0)),1,0),1)))</f>
        <v/>
      </c>
      <c r="T78" s="42" t="str">
        <f>IF($A78="","",IF(COUNTIFS(L_Data,$A78,L_Desc,$B78,L_Valor,$N78,L_Tipo,$C78)&gt;1,"⚠ Possível duplicidade",IF(OR(AND($C78="Despesa",COUNTIF(CatD_Nome,$D78)=0),AND($C78="Receita",COUNTIF(CatR_Nome,$D78)=0)),"⚠ Categoria não combina com o tipo",IF(OR($N78="",$C78=""),"⚠ Falta valor ou tipo",""))))</f>
        <v/>
      </c>
      <c r="U78" s="40">
        <f>IF($A78="",0,P78*12+O78)</f>
        <v>24310</v>
      </c>
      <c r="V78" s="40">
        <f>IF($A78="",0,U78+MAX(0,N($I78)-MAX(N($H78),1)))</f>
        <v>24310</v>
      </c>
      <c r="W78" s="40">
        <f>IF(S78="",0,YEAR(S78)*12+MONTH(S78))</f>
        <v>0</v>
      </c>
      <c r="X78" s="40">
        <f>IF(W78=0,0,W78+V78-U78)</f>
        <v>0</v>
      </c>
      <c r="Y78" s="36">
        <f>IF(W78=0,0,N(R78)*MAX(0,X78-MAX(W78,YEAR(Cfg_Hoje)*12+MONTH(Cfg_Hoje)+IF(DAY(Cfg_Hoje)&gt;=INDEX(Cartoes_Fech,MATCH($F78,Cartoes_Nome,0)),1,0))+1))</f>
        <v>0</v>
      </c>
      <c r="Z78" s="40">
        <f>IF($A78="",0,DAY($A78))</f>
        <v>20</v>
      </c>
      <c r="AA78" s="40">
        <f>IF($A78="",0,WEEKDAY($A78))</f>
        <v>2</v>
      </c>
      <c r="AB78" s="36">
        <f>IF(AND($C78="Despesa",U78&gt;0,U78&lt;=Sel_Idx,V78&gt;=Sel_Idx),N(R78)+ROW()/1000000000,0)</f>
        <v>0</v>
      </c>
      <c r="AC78" s="40">
        <f>IF(AND($C78="Despesa",U78&gt;0,U78&lt;=Sel_Idx,V78&gt;=Sel_Idx),Z78*10000+ROW(),0)</f>
        <v>0</v>
      </c>
      <c r="AD78" s="40">
        <f>IF(AC78=0,0,COUNTIFS(L_CalChave,"&gt;0",L_CalChave,"&lt;"&amp;AC78)+1)</f>
        <v>0</v>
      </c>
    </row>
    <row r="79">
      <c r="A79" s="38" t="n">
        <v>45951</v>
      </c>
      <c r="B79" s="39" t="inlineStr">
        <is>
          <t>Corrida de aplicativo</t>
        </is>
      </c>
      <c r="C79" s="34" t="inlineStr">
        <is>
          <t>Despesa</t>
        </is>
      </c>
      <c r="D79" s="34" t="inlineStr">
        <is>
          <t>Transporte</t>
        </is>
      </c>
      <c r="E79" s="34" t="inlineStr">
        <is>
          <t>App de transporte</t>
        </is>
      </c>
      <c r="F79" s="34" t="inlineStr">
        <is>
          <t>Conta Corrente Banco Azul</t>
        </is>
      </c>
      <c r="G79" s="34" t="inlineStr">
        <is>
          <t>Pix</t>
        </is>
      </c>
      <c r="H79" s="37" t="n"/>
      <c r="I79" s="37" t="n"/>
      <c r="J79" s="34" t="inlineStr">
        <is>
          <t>Pago</t>
        </is>
      </c>
      <c r="K79" s="34" t="n"/>
      <c r="L79" s="34" t="n"/>
      <c r="M79" s="39" t="inlineStr">
        <is>
          <t>EXEMPLO</t>
        </is>
      </c>
      <c r="N79" s="35" t="n">
        <v>33.06</v>
      </c>
      <c r="O79" s="40">
        <f>IF($A79="","",MONTH($A79))</f>
        <v>10</v>
      </c>
      <c r="P79" s="40">
        <f>IF($A79="","",YEAR($A79))</f>
        <v>2025</v>
      </c>
      <c r="Q79" s="41">
        <f>IF($A79="","",DATE(P79,O79,1))</f>
        <v>45931.0</v>
      </c>
      <c r="R79" s="36">
        <f>IF(OR($A79="",$N79=""),"",IF(AND($C79&lt;&gt;"Transferência",N($I79)&gt;1),$N79/$I79,$N79))</f>
        <v>33.06</v>
      </c>
      <c r="S79" s="41" t="str">
        <f>IF(OR($A79="",$F79="",$C79&lt;&gt;"Despesa"),"",IF(COUNTIF(Cartoes_Nome,$F79)=0,"",DATE(P79,O79+IF(DAY($A79)&gt;=INDEX(Cartoes_Fech,MATCH($F79,Cartoes_Nome,0)),1,0),1)))</f>
        <v/>
      </c>
      <c r="T79" s="42" t="str">
        <f>IF($A79="","",IF(COUNTIFS(L_Data,$A79,L_Desc,$B79,L_Valor,$N79,L_Tipo,$C79)&gt;1,"⚠ Possível duplicidade",IF(OR(AND($C79="Despesa",COUNTIF(CatD_Nome,$D79)=0),AND($C79="Receita",COUNTIF(CatR_Nome,$D79)=0)),"⚠ Categoria não combina com o tipo",IF(OR($N79="",$C79=""),"⚠ Falta valor ou tipo",""))))</f>
        <v/>
      </c>
      <c r="U79" s="40">
        <f>IF($A79="",0,P79*12+O79)</f>
        <v>24310</v>
      </c>
      <c r="V79" s="40">
        <f>IF($A79="",0,U79+MAX(0,N($I79)-MAX(N($H79),1)))</f>
        <v>24310</v>
      </c>
      <c r="W79" s="40">
        <f>IF(S79="",0,YEAR(S79)*12+MONTH(S79))</f>
        <v>0</v>
      </c>
      <c r="X79" s="40">
        <f>IF(W79=0,0,W79+V79-U79)</f>
        <v>0</v>
      </c>
      <c r="Y79" s="36">
        <f>IF(W79=0,0,N(R79)*MAX(0,X79-MAX(W79,YEAR(Cfg_Hoje)*12+MONTH(Cfg_Hoje)+IF(DAY(Cfg_Hoje)&gt;=INDEX(Cartoes_Fech,MATCH($F79,Cartoes_Nome,0)),1,0))+1))</f>
        <v>0</v>
      </c>
      <c r="Z79" s="40">
        <f>IF($A79="",0,DAY($A79))</f>
        <v>21</v>
      </c>
      <c r="AA79" s="40">
        <f>IF($A79="",0,WEEKDAY($A79))</f>
        <v>3</v>
      </c>
      <c r="AB79" s="36">
        <f>IF(AND($C79="Despesa",U79&gt;0,U79&lt;=Sel_Idx,V79&gt;=Sel_Idx),N(R79)+ROW()/1000000000,0)</f>
        <v>0</v>
      </c>
      <c r="AC79" s="40">
        <f>IF(AND($C79="Despesa",U79&gt;0,U79&lt;=Sel_Idx,V79&gt;=Sel_Idx),Z79*10000+ROW(),0)</f>
        <v>0</v>
      </c>
      <c r="AD79" s="40">
        <f>IF(AC79=0,0,COUNTIFS(L_CalChave,"&gt;0",L_CalChave,"&lt;"&amp;AC79)+1)</f>
        <v>0</v>
      </c>
    </row>
    <row r="80">
      <c r="A80" s="38" t="n">
        <v>45952</v>
      </c>
      <c r="B80" s="39" t="inlineStr">
        <is>
          <t>Combustível</t>
        </is>
      </c>
      <c r="C80" s="34" t="inlineStr">
        <is>
          <t>Despesa</t>
        </is>
      </c>
      <c r="D80" s="34" t="inlineStr">
        <is>
          <t>Transporte</t>
        </is>
      </c>
      <c r="E80" s="34" t="inlineStr">
        <is>
          <t>Combustível</t>
        </is>
      </c>
      <c r="F80" s="34" t="inlineStr">
        <is>
          <t>Cartão Azul Gold</t>
        </is>
      </c>
      <c r="G80" s="34" t="inlineStr">
        <is>
          <t>Crédito</t>
        </is>
      </c>
      <c r="H80" s="37" t="n"/>
      <c r="I80" s="37" t="n"/>
      <c r="J80" s="34" t="inlineStr">
        <is>
          <t>Pago</t>
        </is>
      </c>
      <c r="K80" s="34" t="n"/>
      <c r="L80" s="34" t="n"/>
      <c r="M80" s="39" t="inlineStr">
        <is>
          <t>EXEMPLO</t>
        </is>
      </c>
      <c r="N80" s="35" t="n">
        <v>185.63</v>
      </c>
      <c r="O80" s="40">
        <f>IF($A80="","",MONTH($A80))</f>
        <v>10</v>
      </c>
      <c r="P80" s="40">
        <f>IF($A80="","",YEAR($A80))</f>
        <v>2025</v>
      </c>
      <c r="Q80" s="41">
        <f>IF($A80="","",DATE(P80,O80,1))</f>
        <v>45931.0</v>
      </c>
      <c r="R80" s="36">
        <f>IF(OR($A80="",$N80=""),"",IF(AND($C80&lt;&gt;"Transferência",N($I80)&gt;1),$N80/$I80,$N80))</f>
        <v>185.63</v>
      </c>
      <c r="S80" s="41">
        <f>IF(OR($A80="",$F80="",$C80&lt;&gt;"Despesa"),"",IF(COUNTIF(Cartoes_Nome,$F80)=0,"",DATE(P80,O80+IF(DAY($A80)&gt;=INDEX(Cartoes_Fech,MATCH($F80,Cartoes_Nome,0)),1,0),1)))</f>
        <v>45962.0</v>
      </c>
      <c r="T80" s="42" t="str">
        <f>IF($A80="","",IF(COUNTIFS(L_Data,$A80,L_Desc,$B80,L_Valor,$N80,L_Tipo,$C80)&gt;1,"⚠ Possível duplicidade",IF(OR(AND($C80="Despesa",COUNTIF(CatD_Nome,$D80)=0),AND($C80="Receita",COUNTIF(CatR_Nome,$D80)=0)),"⚠ Categoria não combina com o tipo",IF(OR($N80="",$C80=""),"⚠ Falta valor ou tipo",""))))</f>
        <v/>
      </c>
      <c r="U80" s="40">
        <f>IF($A80="",0,P80*12+O80)</f>
        <v>24310</v>
      </c>
      <c r="V80" s="40">
        <f>IF($A80="",0,U80+MAX(0,N($I80)-MAX(N($H80),1)))</f>
        <v>24310</v>
      </c>
      <c r="W80" s="40">
        <f>IF(S80="",0,YEAR(S80)*12+MONTH(S80))</f>
        <v>24311</v>
      </c>
      <c r="X80" s="40">
        <f>IF(W80=0,0,W80+V80-U80)</f>
        <v>24311</v>
      </c>
      <c r="Y80" s="36">
        <f>IF(W80=0,0,N(R80)*MAX(0,X80-MAX(W80,YEAR(Cfg_Hoje)*12+MONTH(Cfg_Hoje)+IF(DAY(Cfg_Hoje)&gt;=INDEX(Cartoes_Fech,MATCH($F80,Cartoes_Nome,0)),1,0))+1))</f>
        <v>0</v>
      </c>
      <c r="Z80" s="40">
        <f>IF($A80="",0,DAY($A80))</f>
        <v>22</v>
      </c>
      <c r="AA80" s="40">
        <f>IF($A80="",0,WEEKDAY($A80))</f>
        <v>4</v>
      </c>
      <c r="AB80" s="36">
        <f>IF(AND($C80="Despesa",U80&gt;0,U80&lt;=Sel_Idx,V80&gt;=Sel_Idx),N(R80)+ROW()/1000000000,0)</f>
        <v>0</v>
      </c>
      <c r="AC80" s="40">
        <f>IF(AND($C80="Despesa",U80&gt;0,U80&lt;=Sel_Idx,V80&gt;=Sel_Idx),Z80*10000+ROW(),0)</f>
        <v>0</v>
      </c>
      <c r="AD80" s="40">
        <f>IF(AC80=0,0,COUNTIFS(L_CalChave,"&gt;0",L_CalChave,"&lt;"&amp;AC80)+1)</f>
        <v>0</v>
      </c>
    </row>
    <row r="81">
      <c r="A81" s="38" t="n">
        <v>45952</v>
      </c>
      <c r="B81" s="39" t="inlineStr">
        <is>
          <t>Parcela empréstimo pessoal</t>
        </is>
      </c>
      <c r="C81" s="34" t="inlineStr">
        <is>
          <t>Despesa</t>
        </is>
      </c>
      <c r="D81" s="34" t="inlineStr">
        <is>
          <t>Dívidas e Financiamentos</t>
        </is>
      </c>
      <c r="E81" s="34" t="inlineStr">
        <is>
          <t>Empréstimo</t>
        </is>
      </c>
      <c r="F81" s="34" t="inlineStr">
        <is>
          <t>Conta Corrente Banco Azul</t>
        </is>
      </c>
      <c r="G81" s="34" t="inlineStr">
        <is>
          <t>Débito automático</t>
        </is>
      </c>
      <c r="H81" s="37" t="n"/>
      <c r="I81" s="37" t="n"/>
      <c r="J81" s="34" t="inlineStr">
        <is>
          <t>Pago</t>
        </is>
      </c>
      <c r="K81" s="34" t="n"/>
      <c r="L81" s="34" t="n"/>
      <c r="M81" s="39" t="inlineStr">
        <is>
          <t>EXEMPLO</t>
        </is>
      </c>
      <c r="N81" s="35" t="n">
        <v>580</v>
      </c>
      <c r="O81" s="40">
        <f>IF($A81="","",MONTH($A81))</f>
        <v>10</v>
      </c>
      <c r="P81" s="40">
        <f>IF($A81="","",YEAR($A81))</f>
        <v>2025</v>
      </c>
      <c r="Q81" s="41">
        <f>IF($A81="","",DATE(P81,O81,1))</f>
        <v>45931.0</v>
      </c>
      <c r="R81" s="36">
        <f>IF(OR($A81="",$N81=""),"",IF(AND($C81&lt;&gt;"Transferência",N($I81)&gt;1),$N81/$I81,$N81))</f>
        <v>580</v>
      </c>
      <c r="S81" s="41" t="str">
        <f>IF(OR($A81="",$F81="",$C81&lt;&gt;"Despesa"),"",IF(COUNTIF(Cartoes_Nome,$F81)=0,"",DATE(P81,O81+IF(DAY($A81)&gt;=INDEX(Cartoes_Fech,MATCH($F81,Cartoes_Nome,0)),1,0),1)))</f>
        <v/>
      </c>
      <c r="T81" s="42" t="str">
        <f>IF($A81="","",IF(COUNTIFS(L_Data,$A81,L_Desc,$B81,L_Valor,$N81,L_Tipo,$C81)&gt;1,"⚠ Possível duplicidade",IF(OR(AND($C81="Despesa",COUNTIF(CatD_Nome,$D81)=0),AND($C81="Receita",COUNTIF(CatR_Nome,$D81)=0)),"⚠ Categoria não combina com o tipo",IF(OR($N81="",$C81=""),"⚠ Falta valor ou tipo",""))))</f>
        <v/>
      </c>
      <c r="U81" s="40">
        <f>IF($A81="",0,P81*12+O81)</f>
        <v>24310</v>
      </c>
      <c r="V81" s="40">
        <f>IF($A81="",0,U81+MAX(0,N($I81)-MAX(N($H81),1)))</f>
        <v>24310</v>
      </c>
      <c r="W81" s="40">
        <f>IF(S81="",0,YEAR(S81)*12+MONTH(S81))</f>
        <v>0</v>
      </c>
      <c r="X81" s="40">
        <f>IF(W81=0,0,W81+V81-U81)</f>
        <v>0</v>
      </c>
      <c r="Y81" s="36">
        <f>IF(W81=0,0,N(R81)*MAX(0,X81-MAX(W81,YEAR(Cfg_Hoje)*12+MONTH(Cfg_Hoje)+IF(DAY(Cfg_Hoje)&gt;=INDEX(Cartoes_Fech,MATCH($F81,Cartoes_Nome,0)),1,0))+1))</f>
        <v>0</v>
      </c>
      <c r="Z81" s="40">
        <f>IF($A81="",0,DAY($A81))</f>
        <v>22</v>
      </c>
      <c r="AA81" s="40">
        <f>IF($A81="",0,WEEKDAY($A81))</f>
        <v>4</v>
      </c>
      <c r="AB81" s="36">
        <f>IF(AND($C81="Despesa",U81&gt;0,U81&lt;=Sel_Idx,V81&gt;=Sel_Idx),N(R81)+ROW()/1000000000,0)</f>
        <v>0</v>
      </c>
      <c r="AC81" s="40">
        <f>IF(AND($C81="Despesa",U81&gt;0,U81&lt;=Sel_Idx,V81&gt;=Sel_Idx),Z81*10000+ROW(),0)</f>
        <v>0</v>
      </c>
      <c r="AD81" s="40">
        <f>IF(AC81=0,0,COUNTIFS(L_CalChave,"&gt;0",L_CalChave,"&lt;"&amp;AC81)+1)</f>
        <v>0</v>
      </c>
    </row>
    <row r="82">
      <c r="A82" s="38" t="n">
        <v>45953</v>
      </c>
      <c r="B82" s="39" t="inlineStr">
        <is>
          <t>Combustível</t>
        </is>
      </c>
      <c r="C82" s="34" t="inlineStr">
        <is>
          <t>Despesa</t>
        </is>
      </c>
      <c r="D82" s="34" t="inlineStr">
        <is>
          <t>Transporte</t>
        </is>
      </c>
      <c r="E82" s="34" t="inlineStr">
        <is>
          <t>Combustível</t>
        </is>
      </c>
      <c r="F82" s="34" t="inlineStr">
        <is>
          <t>Cartão Azul Gold</t>
        </is>
      </c>
      <c r="G82" s="34" t="inlineStr">
        <is>
          <t>Crédito</t>
        </is>
      </c>
      <c r="H82" s="37" t="n"/>
      <c r="I82" s="37" t="n"/>
      <c r="J82" s="34" t="inlineStr">
        <is>
          <t>Pago</t>
        </is>
      </c>
      <c r="K82" s="34" t="n"/>
      <c r="L82" s="34" t="n"/>
      <c r="M82" s="39" t="inlineStr">
        <is>
          <t>EXEMPLO</t>
        </is>
      </c>
      <c r="N82" s="35" t="n">
        <v>186.39</v>
      </c>
      <c r="O82" s="40">
        <f>IF($A82="","",MONTH($A82))</f>
        <v>10</v>
      </c>
      <c r="P82" s="40">
        <f>IF($A82="","",YEAR($A82))</f>
        <v>2025</v>
      </c>
      <c r="Q82" s="41">
        <f>IF($A82="","",DATE(P82,O82,1))</f>
        <v>45931.0</v>
      </c>
      <c r="R82" s="36">
        <f>IF(OR($A82="",$N82=""),"",IF(AND($C82&lt;&gt;"Transferência",N($I82)&gt;1),$N82/$I82,$N82))</f>
        <v>186.39</v>
      </c>
      <c r="S82" s="41">
        <f>IF(OR($A82="",$F82="",$C82&lt;&gt;"Despesa"),"",IF(COUNTIF(Cartoes_Nome,$F82)=0,"",DATE(P82,O82+IF(DAY($A82)&gt;=INDEX(Cartoes_Fech,MATCH($F82,Cartoes_Nome,0)),1,0),1)))</f>
        <v>45962.0</v>
      </c>
      <c r="T82" s="42" t="str">
        <f>IF($A82="","",IF(COUNTIFS(L_Data,$A82,L_Desc,$B82,L_Valor,$N82,L_Tipo,$C82)&gt;1,"⚠ Possível duplicidade",IF(OR(AND($C82="Despesa",COUNTIF(CatD_Nome,$D82)=0),AND($C82="Receita",COUNTIF(CatR_Nome,$D82)=0)),"⚠ Categoria não combina com o tipo",IF(OR($N82="",$C82=""),"⚠ Falta valor ou tipo",""))))</f>
        <v/>
      </c>
      <c r="U82" s="40">
        <f>IF($A82="",0,P82*12+O82)</f>
        <v>24310</v>
      </c>
      <c r="V82" s="40">
        <f>IF($A82="",0,U82+MAX(0,N($I82)-MAX(N($H82),1)))</f>
        <v>24310</v>
      </c>
      <c r="W82" s="40">
        <f>IF(S82="",0,YEAR(S82)*12+MONTH(S82))</f>
        <v>24311</v>
      </c>
      <c r="X82" s="40">
        <f>IF(W82=0,0,W82+V82-U82)</f>
        <v>24311</v>
      </c>
      <c r="Y82" s="36">
        <f>IF(W82=0,0,N(R82)*MAX(0,X82-MAX(W82,YEAR(Cfg_Hoje)*12+MONTH(Cfg_Hoje)+IF(DAY(Cfg_Hoje)&gt;=INDEX(Cartoes_Fech,MATCH($F82,Cartoes_Nome,0)),1,0))+1))</f>
        <v>0</v>
      </c>
      <c r="Z82" s="40">
        <f>IF($A82="",0,DAY($A82))</f>
        <v>23</v>
      </c>
      <c r="AA82" s="40">
        <f>IF($A82="",0,WEEKDAY($A82))</f>
        <v>5</v>
      </c>
      <c r="AB82" s="36">
        <f>IF(AND($C82="Despesa",U82&gt;0,U82&lt;=Sel_Idx,V82&gt;=Sel_Idx),N(R82)+ROW()/1000000000,0)</f>
        <v>0</v>
      </c>
      <c r="AC82" s="40">
        <f>IF(AND($C82="Despesa",U82&gt;0,U82&lt;=Sel_Idx,V82&gt;=Sel_Idx),Z82*10000+ROW(),0)</f>
        <v>0</v>
      </c>
      <c r="AD82" s="40">
        <f>IF(AC82=0,0,COUNTIFS(L_CalChave,"&gt;0",L_CalChave,"&lt;"&amp;AC82)+1)</f>
        <v>0</v>
      </c>
    </row>
    <row r="83">
      <c r="A83" s="38" t="n">
        <v>45955</v>
      </c>
      <c r="B83" s="39" t="inlineStr">
        <is>
          <t>Parcela renegociação da fatura</t>
        </is>
      </c>
      <c r="C83" s="34" t="inlineStr">
        <is>
          <t>Despesa</t>
        </is>
      </c>
      <c r="D83" s="34" t="inlineStr">
        <is>
          <t>Dívidas e Financiamentos</t>
        </is>
      </c>
      <c r="E83" s="34" t="n"/>
      <c r="F83" s="34" t="inlineStr">
        <is>
          <t>Conta Corrente Banco Azul</t>
        </is>
      </c>
      <c r="G83" s="34" t="inlineStr">
        <is>
          <t>Boleto</t>
        </is>
      </c>
      <c r="H83" s="37" t="n"/>
      <c r="I83" s="37" t="n"/>
      <c r="J83" s="34" t="inlineStr">
        <is>
          <t>Pago</t>
        </is>
      </c>
      <c r="K83" s="34" t="n"/>
      <c r="L83" s="34" t="n"/>
      <c r="M83" s="39" t="inlineStr">
        <is>
          <t>EXEMPLO</t>
        </is>
      </c>
      <c r="N83" s="35" t="n">
        <v>460</v>
      </c>
      <c r="O83" s="40">
        <f>IF($A83="","",MONTH($A83))</f>
        <v>10</v>
      </c>
      <c r="P83" s="40">
        <f>IF($A83="","",YEAR($A83))</f>
        <v>2025</v>
      </c>
      <c r="Q83" s="41">
        <f>IF($A83="","",DATE(P83,O83,1))</f>
        <v>45931.0</v>
      </c>
      <c r="R83" s="36">
        <f>IF(OR($A83="",$N83=""),"",IF(AND($C83&lt;&gt;"Transferência",N($I83)&gt;1),$N83/$I83,$N83))</f>
        <v>460</v>
      </c>
      <c r="S83" s="41" t="str">
        <f>IF(OR($A83="",$F83="",$C83&lt;&gt;"Despesa"),"",IF(COUNTIF(Cartoes_Nome,$F83)=0,"",DATE(P83,O83+IF(DAY($A83)&gt;=INDEX(Cartoes_Fech,MATCH($F83,Cartoes_Nome,0)),1,0),1)))</f>
        <v/>
      </c>
      <c r="T83" s="42" t="str">
        <f>IF($A83="","",IF(COUNTIFS(L_Data,$A83,L_Desc,$B83,L_Valor,$N83,L_Tipo,$C83)&gt;1,"⚠ Possível duplicidade",IF(OR(AND($C83="Despesa",COUNTIF(CatD_Nome,$D83)=0),AND($C83="Receita",COUNTIF(CatR_Nome,$D83)=0)),"⚠ Categoria não combina com o tipo",IF(OR($N83="",$C83=""),"⚠ Falta valor ou tipo",""))))</f>
        <v/>
      </c>
      <c r="U83" s="40">
        <f>IF($A83="",0,P83*12+O83)</f>
        <v>24310</v>
      </c>
      <c r="V83" s="40">
        <f>IF($A83="",0,U83+MAX(0,N($I83)-MAX(N($H83),1)))</f>
        <v>24310</v>
      </c>
      <c r="W83" s="40">
        <f>IF(S83="",0,YEAR(S83)*12+MONTH(S83))</f>
        <v>0</v>
      </c>
      <c r="X83" s="40">
        <f>IF(W83=0,0,W83+V83-U83)</f>
        <v>0</v>
      </c>
      <c r="Y83" s="36">
        <f>IF(W83=0,0,N(R83)*MAX(0,X83-MAX(W83,YEAR(Cfg_Hoje)*12+MONTH(Cfg_Hoje)+IF(DAY(Cfg_Hoje)&gt;=INDEX(Cartoes_Fech,MATCH($F83,Cartoes_Nome,0)),1,0))+1))</f>
        <v>0</v>
      </c>
      <c r="Z83" s="40">
        <f>IF($A83="",0,DAY($A83))</f>
        <v>25</v>
      </c>
      <c r="AA83" s="40">
        <f>IF($A83="",0,WEEKDAY($A83))</f>
        <v>7</v>
      </c>
      <c r="AB83" s="36">
        <f>IF(AND($C83="Despesa",U83&gt;0,U83&lt;=Sel_Idx,V83&gt;=Sel_Idx),N(R83)+ROW()/1000000000,0)</f>
        <v>0</v>
      </c>
      <c r="AC83" s="40">
        <f>IF(AND($C83="Despesa",U83&gt;0,U83&lt;=Sel_Idx,V83&gt;=Sel_Idx),Z83*10000+ROW(),0)</f>
        <v>0</v>
      </c>
      <c r="AD83" s="40">
        <f>IF(AC83=0,0,COUNTIFS(L_CalChave,"&gt;0",L_CalChave,"&lt;"&amp;AC83)+1)</f>
        <v>0</v>
      </c>
    </row>
    <row r="84">
      <c r="A84" s="38" t="n">
        <v>45957</v>
      </c>
      <c r="B84" s="39" t="inlineStr">
        <is>
          <t>Roupas</t>
        </is>
      </c>
      <c r="C84" s="34" t="inlineStr">
        <is>
          <t>Despesa</t>
        </is>
      </c>
      <c r="D84" s="34" t="inlineStr">
        <is>
          <t>Vestuário</t>
        </is>
      </c>
      <c r="E84" s="34" t="inlineStr">
        <is>
          <t>Roupas</t>
        </is>
      </c>
      <c r="F84" s="34" t="inlineStr">
        <is>
          <t>Cartão Azul Gold</t>
        </is>
      </c>
      <c r="G84" s="34" t="inlineStr">
        <is>
          <t>Crédito</t>
        </is>
      </c>
      <c r="H84" s="37" t="n"/>
      <c r="I84" s="37" t="n"/>
      <c r="J84" s="34" t="inlineStr">
        <is>
          <t>Pago</t>
        </is>
      </c>
      <c r="K84" s="34" t="n"/>
      <c r="L84" s="34" t="n"/>
      <c r="M84" s="39" t="inlineStr">
        <is>
          <t>EXEMPLO</t>
        </is>
      </c>
      <c r="N84" s="35" t="n">
        <v>392.39</v>
      </c>
      <c r="O84" s="40">
        <f>IF($A84="","",MONTH($A84))</f>
        <v>10</v>
      </c>
      <c r="P84" s="40">
        <f>IF($A84="","",YEAR($A84))</f>
        <v>2025</v>
      </c>
      <c r="Q84" s="41">
        <f>IF($A84="","",DATE(P84,O84,1))</f>
        <v>45931.0</v>
      </c>
      <c r="R84" s="36">
        <f>IF(OR($A84="",$N84=""),"",IF(AND($C84&lt;&gt;"Transferência",N($I84)&gt;1),$N84/$I84,$N84))</f>
        <v>392.39</v>
      </c>
      <c r="S84" s="41">
        <f>IF(OR($A84="",$F84="",$C84&lt;&gt;"Despesa"),"",IF(COUNTIF(Cartoes_Nome,$F84)=0,"",DATE(P84,O84+IF(DAY($A84)&gt;=INDEX(Cartoes_Fech,MATCH($F84,Cartoes_Nome,0)),1,0),1)))</f>
        <v>45962.0</v>
      </c>
      <c r="T84" s="42" t="str">
        <f>IF($A84="","",IF(COUNTIFS(L_Data,$A84,L_Desc,$B84,L_Valor,$N84,L_Tipo,$C84)&gt;1,"⚠ Possível duplicidade",IF(OR(AND($C84="Despesa",COUNTIF(CatD_Nome,$D84)=0),AND($C84="Receita",COUNTIF(CatR_Nome,$D84)=0)),"⚠ Categoria não combina com o tipo",IF(OR($N84="",$C84=""),"⚠ Falta valor ou tipo",""))))</f>
        <v/>
      </c>
      <c r="U84" s="40">
        <f>IF($A84="",0,P84*12+O84)</f>
        <v>24310</v>
      </c>
      <c r="V84" s="40">
        <f>IF($A84="",0,U84+MAX(0,N($I84)-MAX(N($H84),1)))</f>
        <v>24310</v>
      </c>
      <c r="W84" s="40">
        <f>IF(S84="",0,YEAR(S84)*12+MONTH(S84))</f>
        <v>24311</v>
      </c>
      <c r="X84" s="40">
        <f>IF(W84=0,0,W84+V84-U84)</f>
        <v>24311</v>
      </c>
      <c r="Y84" s="36">
        <f>IF(W84=0,0,N(R84)*MAX(0,X84-MAX(W84,YEAR(Cfg_Hoje)*12+MONTH(Cfg_Hoje)+IF(DAY(Cfg_Hoje)&gt;=INDEX(Cartoes_Fech,MATCH($F84,Cartoes_Nome,0)),1,0))+1))</f>
        <v>0</v>
      </c>
      <c r="Z84" s="40">
        <f>IF($A84="",0,DAY($A84))</f>
        <v>27</v>
      </c>
      <c r="AA84" s="40">
        <f>IF($A84="",0,WEEKDAY($A84))</f>
        <v>2</v>
      </c>
      <c r="AB84" s="36">
        <f>IF(AND($C84="Despesa",U84&gt;0,U84&lt;=Sel_Idx,V84&gt;=Sel_Idx),N(R84)+ROW()/1000000000,0)</f>
        <v>0</v>
      </c>
      <c r="AC84" s="40">
        <f>IF(AND($C84="Despesa",U84&gt;0,U84&lt;=Sel_Idx,V84&gt;=Sel_Idx),Z84*10000+ROW(),0)</f>
        <v>0</v>
      </c>
      <c r="AD84" s="40">
        <f>IF(AC84=0,0,COUNTIFS(L_CalChave,"&gt;0",L_CalChave,"&lt;"&amp;AC84)+1)</f>
        <v>0</v>
      </c>
    </row>
    <row r="85">
      <c r="A85" s="38" t="n">
        <v>45958</v>
      </c>
      <c r="B85" s="39" t="inlineStr">
        <is>
          <t>Rendimento da poupança</t>
        </is>
      </c>
      <c r="C85" s="34" t="inlineStr">
        <is>
          <t>Receita</t>
        </is>
      </c>
      <c r="D85" s="34" t="inlineStr">
        <is>
          <t>Rendimentos</t>
        </is>
      </c>
      <c r="E85" s="34" t="n"/>
      <c r="F85" s="34" t="inlineStr">
        <is>
          <t>Poupança Banco Azul</t>
        </is>
      </c>
      <c r="G85" s="34" t="inlineStr">
        <is>
          <t>Transferência</t>
        </is>
      </c>
      <c r="H85" s="37" t="n"/>
      <c r="I85" s="37" t="n"/>
      <c r="J85" s="34" t="inlineStr">
        <is>
          <t>Pago</t>
        </is>
      </c>
      <c r="K85" s="34" t="n"/>
      <c r="L85" s="34" t="n"/>
      <c r="M85" s="39" t="inlineStr">
        <is>
          <t>EXEMPLO</t>
        </is>
      </c>
      <c r="N85" s="35" t="n">
        <v>64.08</v>
      </c>
      <c r="O85" s="40">
        <f>IF($A85="","",MONTH($A85))</f>
        <v>10</v>
      </c>
      <c r="P85" s="40">
        <f>IF($A85="","",YEAR($A85))</f>
        <v>2025</v>
      </c>
      <c r="Q85" s="41">
        <f>IF($A85="","",DATE(P85,O85,1))</f>
        <v>45931.0</v>
      </c>
      <c r="R85" s="36">
        <f>IF(OR($A85="",$N85=""),"",IF(AND($C85&lt;&gt;"Transferência",N($I85)&gt;1),$N85/$I85,$N85))</f>
        <v>64.08</v>
      </c>
      <c r="S85" s="41" t="str">
        <f>IF(OR($A85="",$F85="",$C85&lt;&gt;"Despesa"),"",IF(COUNTIF(Cartoes_Nome,$F85)=0,"",DATE(P85,O85+IF(DAY($A85)&gt;=INDEX(Cartoes_Fech,MATCH($F85,Cartoes_Nome,0)),1,0),1)))</f>
        <v/>
      </c>
      <c r="T85" s="42" t="str">
        <f>IF($A85="","",IF(COUNTIFS(L_Data,$A85,L_Desc,$B85,L_Valor,$N85,L_Tipo,$C85)&gt;1,"⚠ Possível duplicidade",IF(OR(AND($C85="Despesa",COUNTIF(CatD_Nome,$D85)=0),AND($C85="Receita",COUNTIF(CatR_Nome,$D85)=0)),"⚠ Categoria não combina com o tipo",IF(OR($N85="",$C85=""),"⚠ Falta valor ou tipo",""))))</f>
        <v/>
      </c>
      <c r="U85" s="40">
        <f>IF($A85="",0,P85*12+O85)</f>
        <v>24310</v>
      </c>
      <c r="V85" s="40">
        <f>IF($A85="",0,U85+MAX(0,N($I85)-MAX(N($H85),1)))</f>
        <v>24310</v>
      </c>
      <c r="W85" s="40">
        <f>IF(S85="",0,YEAR(S85)*12+MONTH(S85))</f>
        <v>0</v>
      </c>
      <c r="X85" s="40">
        <f>IF(W85=0,0,W85+V85-U85)</f>
        <v>0</v>
      </c>
      <c r="Y85" s="36">
        <f>IF(W85=0,0,N(R85)*MAX(0,X85-MAX(W85,YEAR(Cfg_Hoje)*12+MONTH(Cfg_Hoje)+IF(DAY(Cfg_Hoje)&gt;=INDEX(Cartoes_Fech,MATCH($F85,Cartoes_Nome,0)),1,0))+1))</f>
        <v>0</v>
      </c>
      <c r="Z85" s="40">
        <f>IF($A85="",0,DAY($A85))</f>
        <v>28</v>
      </c>
      <c r="AA85" s="40">
        <f>IF($A85="",0,WEEKDAY($A85))</f>
        <v>3</v>
      </c>
      <c r="AB85" s="36">
        <f>IF(AND($C85="Despesa",U85&gt;0,U85&lt;=Sel_Idx,V85&gt;=Sel_Idx),N(R85)+ROW()/1000000000,0)</f>
        <v>0</v>
      </c>
      <c r="AC85" s="40">
        <f>IF(AND($C85="Despesa",U85&gt;0,U85&lt;=Sel_Idx,V85&gt;=Sel_Idx),Z85*10000+ROW(),0)</f>
        <v>0</v>
      </c>
      <c r="AD85" s="40">
        <f>IF(AC85=0,0,COUNTIFS(L_CalChave,"&gt;0",L_CalChave,"&lt;"&amp;AC85)+1)</f>
        <v>0</v>
      </c>
    </row>
    <row r="86">
      <c r="A86" s="38" t="n">
        <v>45958</v>
      </c>
      <c r="B86" s="39" t="inlineStr">
        <is>
          <t>Supermercado</t>
        </is>
      </c>
      <c r="C86" s="34" t="inlineStr">
        <is>
          <t>Despesa</t>
        </is>
      </c>
      <c r="D86" s="34" t="inlineStr">
        <is>
          <t>Alimentação</t>
        </is>
      </c>
      <c r="E86" s="34" t="inlineStr">
        <is>
          <t>Mercado</t>
        </is>
      </c>
      <c r="F86" s="34" t="inlineStr">
        <is>
          <t>Cartão Azul Gold</t>
        </is>
      </c>
      <c r="G86" s="34" t="inlineStr">
        <is>
          <t>Crédito</t>
        </is>
      </c>
      <c r="H86" s="37" t="n"/>
      <c r="I86" s="37" t="n"/>
      <c r="J86" s="34" t="inlineStr">
        <is>
          <t>Pago</t>
        </is>
      </c>
      <c r="K86" s="34" t="n"/>
      <c r="L86" s="34" t="n"/>
      <c r="M86" s="39" t="inlineStr">
        <is>
          <t>EXEMPLO</t>
        </is>
      </c>
      <c r="N86" s="35" t="n">
        <v>272.66</v>
      </c>
      <c r="O86" s="40">
        <f>IF($A86="","",MONTH($A86))</f>
        <v>10</v>
      </c>
      <c r="P86" s="40">
        <f>IF($A86="","",YEAR($A86))</f>
        <v>2025</v>
      </c>
      <c r="Q86" s="41">
        <f>IF($A86="","",DATE(P86,O86,1))</f>
        <v>45931.0</v>
      </c>
      <c r="R86" s="36">
        <f>IF(OR($A86="",$N86=""),"",IF(AND($C86&lt;&gt;"Transferência",N($I86)&gt;1),$N86/$I86,$N86))</f>
        <v>272.66</v>
      </c>
      <c r="S86" s="41">
        <f>IF(OR($A86="",$F86="",$C86&lt;&gt;"Despesa"),"",IF(COUNTIF(Cartoes_Nome,$F86)=0,"",DATE(P86,O86+IF(DAY($A86)&gt;=INDEX(Cartoes_Fech,MATCH($F86,Cartoes_Nome,0)),1,0),1)))</f>
        <v>45962.0</v>
      </c>
      <c r="T86" s="42" t="str">
        <f>IF($A86="","",IF(COUNTIFS(L_Data,$A86,L_Desc,$B86,L_Valor,$N86,L_Tipo,$C86)&gt;1,"⚠ Possível duplicidade",IF(OR(AND($C86="Despesa",COUNTIF(CatD_Nome,$D86)=0),AND($C86="Receita",COUNTIF(CatR_Nome,$D86)=0)),"⚠ Categoria não combina com o tipo",IF(OR($N86="",$C86=""),"⚠ Falta valor ou tipo",""))))</f>
        <v/>
      </c>
      <c r="U86" s="40">
        <f>IF($A86="",0,P86*12+O86)</f>
        <v>24310</v>
      </c>
      <c r="V86" s="40">
        <f>IF($A86="",0,U86+MAX(0,N($I86)-MAX(N($H86),1)))</f>
        <v>24310</v>
      </c>
      <c r="W86" s="40">
        <f>IF(S86="",0,YEAR(S86)*12+MONTH(S86))</f>
        <v>24311</v>
      </c>
      <c r="X86" s="40">
        <f>IF(W86=0,0,W86+V86-U86)</f>
        <v>24311</v>
      </c>
      <c r="Y86" s="36">
        <f>IF(W86=0,0,N(R86)*MAX(0,X86-MAX(W86,YEAR(Cfg_Hoje)*12+MONTH(Cfg_Hoje)+IF(DAY(Cfg_Hoje)&gt;=INDEX(Cartoes_Fech,MATCH($F86,Cartoes_Nome,0)),1,0))+1))</f>
        <v>0</v>
      </c>
      <c r="Z86" s="40">
        <f>IF($A86="",0,DAY($A86))</f>
        <v>28</v>
      </c>
      <c r="AA86" s="40">
        <f>IF($A86="",0,WEEKDAY($A86))</f>
        <v>3</v>
      </c>
      <c r="AB86" s="36">
        <f>IF(AND($C86="Despesa",U86&gt;0,U86&lt;=Sel_Idx,V86&gt;=Sel_Idx),N(R86)+ROW()/1000000000,0)</f>
        <v>0</v>
      </c>
      <c r="AC86" s="40">
        <f>IF(AND($C86="Despesa",U86&gt;0,U86&lt;=Sel_Idx,V86&gt;=Sel_Idx),Z86*10000+ROW(),0)</f>
        <v>0</v>
      </c>
      <c r="AD86" s="40">
        <f>IF(AC86=0,0,COUNTIFS(L_CalChave,"&gt;0",L_CalChave,"&lt;"&amp;AC86)+1)</f>
        <v>0</v>
      </c>
    </row>
    <row r="87">
      <c r="A87" s="38" t="n">
        <v>45963</v>
      </c>
      <c r="B87" s="39" t="inlineStr">
        <is>
          <t>Corrida de aplicativo</t>
        </is>
      </c>
      <c r="C87" s="34" t="inlineStr">
        <is>
          <t>Despesa</t>
        </is>
      </c>
      <c r="D87" s="34" t="inlineStr">
        <is>
          <t>Transporte</t>
        </is>
      </c>
      <c r="E87" s="34" t="inlineStr">
        <is>
          <t>App de transporte</t>
        </is>
      </c>
      <c r="F87" s="34" t="inlineStr">
        <is>
          <t>Conta Corrente Banco Azul</t>
        </is>
      </c>
      <c r="G87" s="34" t="inlineStr">
        <is>
          <t>Pix</t>
        </is>
      </c>
      <c r="H87" s="37" t="n"/>
      <c r="I87" s="37" t="n"/>
      <c r="J87" s="34" t="inlineStr">
        <is>
          <t>Pago</t>
        </is>
      </c>
      <c r="K87" s="34" t="n"/>
      <c r="L87" s="34" t="n"/>
      <c r="M87" s="39" t="inlineStr">
        <is>
          <t>EXEMPLO</t>
        </is>
      </c>
      <c r="N87" s="35" t="n">
        <v>40.56</v>
      </c>
      <c r="O87" s="40">
        <f>IF($A87="","",MONTH($A87))</f>
        <v>11</v>
      </c>
      <c r="P87" s="40">
        <f>IF($A87="","",YEAR($A87))</f>
        <v>2025</v>
      </c>
      <c r="Q87" s="41">
        <f>IF($A87="","",DATE(P87,O87,1))</f>
        <v>45962.0</v>
      </c>
      <c r="R87" s="36">
        <f>IF(OR($A87="",$N87=""),"",IF(AND($C87&lt;&gt;"Transferência",N($I87)&gt;1),$N87/$I87,$N87))</f>
        <v>40.56</v>
      </c>
      <c r="S87" s="41" t="str">
        <f>IF(OR($A87="",$F87="",$C87&lt;&gt;"Despesa"),"",IF(COUNTIF(Cartoes_Nome,$F87)=0,"",DATE(P87,O87+IF(DAY($A87)&gt;=INDEX(Cartoes_Fech,MATCH($F87,Cartoes_Nome,0)),1,0),1)))</f>
        <v/>
      </c>
      <c r="T87" s="42" t="str">
        <f>IF($A87="","",IF(COUNTIFS(L_Data,$A87,L_Desc,$B87,L_Valor,$N87,L_Tipo,$C87)&gt;1,"⚠ Possível duplicidade",IF(OR(AND($C87="Despesa",COUNTIF(CatD_Nome,$D87)=0),AND($C87="Receita",COUNTIF(CatR_Nome,$D87)=0)),"⚠ Categoria não combina com o tipo",IF(OR($N87="",$C87=""),"⚠ Falta valor ou tipo",""))))</f>
        <v/>
      </c>
      <c r="U87" s="40">
        <f>IF($A87="",0,P87*12+O87)</f>
        <v>24311</v>
      </c>
      <c r="V87" s="40">
        <f>IF($A87="",0,U87+MAX(0,N($I87)-MAX(N($H87),1)))</f>
        <v>24311</v>
      </c>
      <c r="W87" s="40">
        <f>IF(S87="",0,YEAR(S87)*12+MONTH(S87))</f>
        <v>0</v>
      </c>
      <c r="X87" s="40">
        <f>IF(W87=0,0,W87+V87-U87)</f>
        <v>0</v>
      </c>
      <c r="Y87" s="36">
        <f>IF(W87=0,0,N(R87)*MAX(0,X87-MAX(W87,YEAR(Cfg_Hoje)*12+MONTH(Cfg_Hoje)+IF(DAY(Cfg_Hoje)&gt;=INDEX(Cartoes_Fech,MATCH($F87,Cartoes_Nome,0)),1,0))+1))</f>
        <v>0</v>
      </c>
      <c r="Z87" s="40">
        <f>IF($A87="",0,DAY($A87))</f>
        <v>2</v>
      </c>
      <c r="AA87" s="40">
        <f>IF($A87="",0,WEEKDAY($A87))</f>
        <v>1</v>
      </c>
      <c r="AB87" s="36">
        <f>IF(AND($C87="Despesa",U87&gt;0,U87&lt;=Sel_Idx,V87&gt;=Sel_Idx),N(R87)+ROW()/1000000000,0)</f>
        <v>0</v>
      </c>
      <c r="AC87" s="40">
        <f>IF(AND($C87="Despesa",U87&gt;0,U87&lt;=Sel_Idx,V87&gt;=Sel_Idx),Z87*10000+ROW(),0)</f>
        <v>0</v>
      </c>
      <c r="AD87" s="40">
        <f>IF(AC87=0,0,COUNTIFS(L_CalChave,"&gt;0",L_CalChave,"&lt;"&amp;AC87)+1)</f>
        <v>0</v>
      </c>
    </row>
    <row r="88">
      <c r="A88" s="38" t="n">
        <v>45963</v>
      </c>
      <c r="B88" s="39" t="inlineStr">
        <is>
          <t>Farmácia</t>
        </is>
      </c>
      <c r="C88" s="34" t="inlineStr">
        <is>
          <t>Despesa</t>
        </is>
      </c>
      <c r="D88" s="34" t="inlineStr">
        <is>
          <t>Saúde</t>
        </is>
      </c>
      <c r="E88" s="34" t="inlineStr">
        <is>
          <t>Farmácia</t>
        </is>
      </c>
      <c r="F88" s="34" t="inlineStr">
        <is>
          <t>Cartão Azul Gold</t>
        </is>
      </c>
      <c r="G88" s="34" t="inlineStr">
        <is>
          <t>Crédito</t>
        </is>
      </c>
      <c r="H88" s="37" t="n"/>
      <c r="I88" s="37" t="n"/>
      <c r="J88" s="34" t="inlineStr">
        <is>
          <t>Pago</t>
        </is>
      </c>
      <c r="K88" s="34" t="n"/>
      <c r="L88" s="34" t="n"/>
      <c r="M88" s="39" t="inlineStr">
        <is>
          <t>EXEMPLO</t>
        </is>
      </c>
      <c r="N88" s="35" t="n">
        <v>126.4</v>
      </c>
      <c r="O88" s="40">
        <f>IF($A88="","",MONTH($A88))</f>
        <v>11</v>
      </c>
      <c r="P88" s="40">
        <f>IF($A88="","",YEAR($A88))</f>
        <v>2025</v>
      </c>
      <c r="Q88" s="41">
        <f>IF($A88="","",DATE(P88,O88,1))</f>
        <v>45962.0</v>
      </c>
      <c r="R88" s="36">
        <f>IF(OR($A88="",$N88=""),"",IF(AND($C88&lt;&gt;"Transferência",N($I88)&gt;1),$N88/$I88,$N88))</f>
        <v>126.4</v>
      </c>
      <c r="S88" s="41">
        <f>IF(OR($A88="",$F88="",$C88&lt;&gt;"Despesa"),"",IF(COUNTIF(Cartoes_Nome,$F88)=0,"",DATE(P88,O88+IF(DAY($A88)&gt;=INDEX(Cartoes_Fech,MATCH($F88,Cartoes_Nome,0)),1,0),1)))</f>
        <v>45962.0</v>
      </c>
      <c r="T88" s="42" t="str">
        <f>IF($A88="","",IF(COUNTIFS(L_Data,$A88,L_Desc,$B88,L_Valor,$N88,L_Tipo,$C88)&gt;1,"⚠ Possível duplicidade",IF(OR(AND($C88="Despesa",COUNTIF(CatD_Nome,$D88)=0),AND($C88="Receita",COUNTIF(CatR_Nome,$D88)=0)),"⚠ Categoria não combina com o tipo",IF(OR($N88="",$C88=""),"⚠ Falta valor ou tipo",""))))</f>
        <v/>
      </c>
      <c r="U88" s="40">
        <f>IF($A88="",0,P88*12+O88)</f>
        <v>24311</v>
      </c>
      <c r="V88" s="40">
        <f>IF($A88="",0,U88+MAX(0,N($I88)-MAX(N($H88),1)))</f>
        <v>24311</v>
      </c>
      <c r="W88" s="40">
        <f>IF(S88="",0,YEAR(S88)*12+MONTH(S88))</f>
        <v>24311</v>
      </c>
      <c r="X88" s="40">
        <f>IF(W88=0,0,W88+V88-U88)</f>
        <v>24311</v>
      </c>
      <c r="Y88" s="36">
        <f>IF(W88=0,0,N(R88)*MAX(0,X88-MAX(W88,YEAR(Cfg_Hoje)*12+MONTH(Cfg_Hoje)+IF(DAY(Cfg_Hoje)&gt;=INDEX(Cartoes_Fech,MATCH($F88,Cartoes_Nome,0)),1,0))+1))</f>
        <v>0</v>
      </c>
      <c r="Z88" s="40">
        <f>IF($A88="",0,DAY($A88))</f>
        <v>2</v>
      </c>
      <c r="AA88" s="40">
        <f>IF($A88="",0,WEEKDAY($A88))</f>
        <v>1</v>
      </c>
      <c r="AB88" s="36">
        <f>IF(AND($C88="Despesa",U88&gt;0,U88&lt;=Sel_Idx,V88&gt;=Sel_Idx),N(R88)+ROW()/1000000000,0)</f>
        <v>0</v>
      </c>
      <c r="AC88" s="40">
        <f>IF(AND($C88="Despesa",U88&gt;0,U88&lt;=Sel_Idx,V88&gt;=Sel_Idx),Z88*10000+ROW(),0)</f>
        <v>0</v>
      </c>
      <c r="AD88" s="40">
        <f>IF(AC88=0,0,COUNTIFS(L_CalChave,"&gt;0",L_CalChave,"&lt;"&amp;AC88)+1)</f>
        <v>0</v>
      </c>
    </row>
    <row r="89">
      <c r="A89" s="38" t="n">
        <v>45964</v>
      </c>
      <c r="B89" s="39" t="inlineStr">
        <is>
          <t>Academia</t>
        </is>
      </c>
      <c r="C89" s="34" t="inlineStr">
        <is>
          <t>Despesa</t>
        </is>
      </c>
      <c r="D89" s="34" t="inlineStr">
        <is>
          <t>Assinaturas</t>
        </is>
      </c>
      <c r="E89" s="34" t="inlineStr">
        <is>
          <t>Academia</t>
        </is>
      </c>
      <c r="F89" s="34" t="inlineStr">
        <is>
          <t>Conta Corrente Banco Azul</t>
        </is>
      </c>
      <c r="G89" s="34" t="inlineStr">
        <is>
          <t>Débito automático</t>
        </is>
      </c>
      <c r="H89" s="37" t="n"/>
      <c r="I89" s="37" t="n"/>
      <c r="J89" s="34" t="inlineStr">
        <is>
          <t>Pago</t>
        </is>
      </c>
      <c r="K89" s="34" t="n"/>
      <c r="L89" s="34" t="n"/>
      <c r="M89" s="39" t="inlineStr">
        <is>
          <t>EXEMPLO</t>
        </is>
      </c>
      <c r="N89" s="35" t="n">
        <v>129</v>
      </c>
      <c r="O89" s="40">
        <f>IF($A89="","",MONTH($A89))</f>
        <v>11</v>
      </c>
      <c r="P89" s="40">
        <f>IF($A89="","",YEAR($A89))</f>
        <v>2025</v>
      </c>
      <c r="Q89" s="41">
        <f>IF($A89="","",DATE(P89,O89,1))</f>
        <v>45962.0</v>
      </c>
      <c r="R89" s="36">
        <f>IF(OR($A89="",$N89=""),"",IF(AND($C89&lt;&gt;"Transferência",N($I89)&gt;1),$N89/$I89,$N89))</f>
        <v>129</v>
      </c>
      <c r="S89" s="41" t="str">
        <f>IF(OR($A89="",$F89="",$C89&lt;&gt;"Despesa"),"",IF(COUNTIF(Cartoes_Nome,$F89)=0,"",DATE(P89,O89+IF(DAY($A89)&gt;=INDEX(Cartoes_Fech,MATCH($F89,Cartoes_Nome,0)),1,0),1)))</f>
        <v/>
      </c>
      <c r="T89" s="42" t="str">
        <f>IF($A89="","",IF(COUNTIFS(L_Data,$A89,L_Desc,$B89,L_Valor,$N89,L_Tipo,$C89)&gt;1,"⚠ Possível duplicidade",IF(OR(AND($C89="Despesa",COUNTIF(CatD_Nome,$D89)=0),AND($C89="Receita",COUNTIF(CatR_Nome,$D89)=0)),"⚠ Categoria não combina com o tipo",IF(OR($N89="",$C89=""),"⚠ Falta valor ou tipo",""))))</f>
        <v/>
      </c>
      <c r="U89" s="40">
        <f>IF($A89="",0,P89*12+O89)</f>
        <v>24311</v>
      </c>
      <c r="V89" s="40">
        <f>IF($A89="",0,U89+MAX(0,N($I89)-MAX(N($H89),1)))</f>
        <v>24311</v>
      </c>
      <c r="W89" s="40">
        <f>IF(S89="",0,YEAR(S89)*12+MONTH(S89))</f>
        <v>0</v>
      </c>
      <c r="X89" s="40">
        <f>IF(W89=0,0,W89+V89-U89)</f>
        <v>0</v>
      </c>
      <c r="Y89" s="36">
        <f>IF(W89=0,0,N(R89)*MAX(0,X89-MAX(W89,YEAR(Cfg_Hoje)*12+MONTH(Cfg_Hoje)+IF(DAY(Cfg_Hoje)&gt;=INDEX(Cartoes_Fech,MATCH($F89,Cartoes_Nome,0)),1,0))+1))</f>
        <v>0</v>
      </c>
      <c r="Z89" s="40">
        <f>IF($A89="",0,DAY($A89))</f>
        <v>3</v>
      </c>
      <c r="AA89" s="40">
        <f>IF($A89="",0,WEEKDAY($A89))</f>
        <v>2</v>
      </c>
      <c r="AB89" s="36">
        <f>IF(AND($C89="Despesa",U89&gt;0,U89&lt;=Sel_Idx,V89&gt;=Sel_Idx),N(R89)+ROW()/1000000000,0)</f>
        <v>0</v>
      </c>
      <c r="AC89" s="40">
        <f>IF(AND($C89="Despesa",U89&gt;0,U89&lt;=Sel_Idx,V89&gt;=Sel_Idx),Z89*10000+ROW(),0)</f>
        <v>0</v>
      </c>
      <c r="AD89" s="40">
        <f>IF(AC89=0,0,COUNTIFS(L_CalChave,"&gt;0",L_CalChave,"&lt;"&amp;AC89)+1)</f>
        <v>0</v>
      </c>
    </row>
    <row r="90">
      <c r="A90" s="38" t="n">
        <v>45966</v>
      </c>
      <c r="B90" s="39" t="inlineStr">
        <is>
          <t>Bar com amigos</t>
        </is>
      </c>
      <c r="C90" s="34" t="inlineStr">
        <is>
          <t>Despesa</t>
        </is>
      </c>
      <c r="D90" s="34" t="inlineStr">
        <is>
          <t>Lazer</t>
        </is>
      </c>
      <c r="E90" s="34" t="inlineStr">
        <is>
          <t>Bares</t>
        </is>
      </c>
      <c r="F90" s="34" t="inlineStr">
        <is>
          <t>Cartão Roxinho</t>
        </is>
      </c>
      <c r="G90" s="34" t="inlineStr">
        <is>
          <t>Crédito</t>
        </is>
      </c>
      <c r="H90" s="37" t="n"/>
      <c r="I90" s="37" t="n"/>
      <c r="J90" s="34" t="inlineStr">
        <is>
          <t>Pago</t>
        </is>
      </c>
      <c r="K90" s="34" t="n"/>
      <c r="L90" s="34" t="n"/>
      <c r="M90" s="39" t="inlineStr">
        <is>
          <t>EXEMPLO</t>
        </is>
      </c>
      <c r="N90" s="35" t="n">
        <v>114.31</v>
      </c>
      <c r="O90" s="40">
        <f>IF($A90="","",MONTH($A90))</f>
        <v>11</v>
      </c>
      <c r="P90" s="40">
        <f>IF($A90="","",YEAR($A90))</f>
        <v>2025</v>
      </c>
      <c r="Q90" s="41">
        <f>IF($A90="","",DATE(P90,O90,1))</f>
        <v>45962.0</v>
      </c>
      <c r="R90" s="36">
        <f>IF(OR($A90="",$N90=""),"",IF(AND($C90&lt;&gt;"Transferência",N($I90)&gt;1),$N90/$I90,$N90))</f>
        <v>114.31</v>
      </c>
      <c r="S90" s="41">
        <f>IF(OR($A90="",$F90="",$C90&lt;&gt;"Despesa"),"",IF(COUNTIF(Cartoes_Nome,$F90)=0,"",DATE(P90,O90+IF(DAY($A90)&gt;=INDEX(Cartoes_Fech,MATCH($F90,Cartoes_Nome,0)),1,0),1)))</f>
        <v>45962.0</v>
      </c>
      <c r="T90" s="42" t="str">
        <f>IF($A90="","",IF(COUNTIFS(L_Data,$A90,L_Desc,$B90,L_Valor,$N90,L_Tipo,$C90)&gt;1,"⚠ Possível duplicidade",IF(OR(AND($C90="Despesa",COUNTIF(CatD_Nome,$D90)=0),AND($C90="Receita",COUNTIF(CatR_Nome,$D90)=0)),"⚠ Categoria não combina com o tipo",IF(OR($N90="",$C90=""),"⚠ Falta valor ou tipo",""))))</f>
        <v/>
      </c>
      <c r="U90" s="40">
        <f>IF($A90="",0,P90*12+O90)</f>
        <v>24311</v>
      </c>
      <c r="V90" s="40">
        <f>IF($A90="",0,U90+MAX(0,N($I90)-MAX(N($H90),1)))</f>
        <v>24311</v>
      </c>
      <c r="W90" s="40">
        <f>IF(S90="",0,YEAR(S90)*12+MONTH(S90))</f>
        <v>24311</v>
      </c>
      <c r="X90" s="40">
        <f>IF(W90=0,0,W90+V90-U90)</f>
        <v>24311</v>
      </c>
      <c r="Y90" s="36">
        <f>IF(W90=0,0,N(R90)*MAX(0,X90-MAX(W90,YEAR(Cfg_Hoje)*12+MONTH(Cfg_Hoje)+IF(DAY(Cfg_Hoje)&gt;=INDEX(Cartoes_Fech,MATCH($F90,Cartoes_Nome,0)),1,0))+1))</f>
        <v>0</v>
      </c>
      <c r="Z90" s="40">
        <f>IF($A90="",0,DAY($A90))</f>
        <v>5</v>
      </c>
      <c r="AA90" s="40">
        <f>IF($A90="",0,WEEKDAY($A90))</f>
        <v>4</v>
      </c>
      <c r="AB90" s="36">
        <f>IF(AND($C90="Despesa",U90&gt;0,U90&lt;=Sel_Idx,V90&gt;=Sel_Idx),N(R90)+ROW()/1000000000,0)</f>
        <v>0</v>
      </c>
      <c r="AC90" s="40">
        <f>IF(AND($C90="Despesa",U90&gt;0,U90&lt;=Sel_Idx,V90&gt;=Sel_Idx),Z90*10000+ROW(),0)</f>
        <v>0</v>
      </c>
      <c r="AD90" s="40">
        <f>IF(AC90=0,0,COUNTIFS(L_CalChave,"&gt;0",L_CalChave,"&lt;"&amp;AC90)+1)</f>
        <v>0</v>
      </c>
    </row>
    <row r="91">
      <c r="A91" s="38" t="n">
        <v>45966</v>
      </c>
      <c r="B91" s="39" t="inlineStr">
        <is>
          <t>Pagamento fatura Cartão Roxinho</t>
        </is>
      </c>
      <c r="C91" s="34" t="inlineStr">
        <is>
          <t>Transferência</t>
        </is>
      </c>
      <c r="D91" s="34" t="n"/>
      <c r="E91" s="34" t="n"/>
      <c r="F91" s="34" t="inlineStr">
        <is>
          <t>Conta Corrente Banco Azul</t>
        </is>
      </c>
      <c r="G91" s="34" t="inlineStr">
        <is>
          <t>Débito automático</t>
        </is>
      </c>
      <c r="H91" s="37" t="n"/>
      <c r="I91" s="37" t="n"/>
      <c r="J91" s="34" t="inlineStr">
        <is>
          <t>Pago</t>
        </is>
      </c>
      <c r="K91" s="34" t="n"/>
      <c r="L91" s="34" t="n"/>
      <c r="M91" s="39" t="inlineStr">
        <is>
          <t>EXEMPLO</t>
        </is>
      </c>
      <c r="N91" s="35" t="n">
        <v>-77.8</v>
      </c>
      <c r="O91" s="40">
        <f>IF($A91="","",MONTH($A91))</f>
        <v>11</v>
      </c>
      <c r="P91" s="40">
        <f>IF($A91="","",YEAR($A91))</f>
        <v>2025</v>
      </c>
      <c r="Q91" s="41">
        <f>IF($A91="","",DATE(P91,O91,1))</f>
        <v>45962.0</v>
      </c>
      <c r="R91" s="36">
        <f>IF(OR($A91="",$N91=""),"",IF(AND($C91&lt;&gt;"Transferência",N($I91)&gt;1),$N91/$I91,$N91))</f>
        <v>-77.8</v>
      </c>
      <c r="S91" s="41" t="str">
        <f>IF(OR($A91="",$F91="",$C91&lt;&gt;"Despesa"),"",IF(COUNTIF(Cartoes_Nome,$F91)=0,"",DATE(P91,O91+IF(DAY($A91)&gt;=INDEX(Cartoes_Fech,MATCH($F91,Cartoes_Nome,0)),1,0),1)))</f>
        <v/>
      </c>
      <c r="T91" s="42" t="str">
        <f>IF($A91="","",IF(COUNTIFS(L_Data,$A91,L_Desc,$B91,L_Valor,$N91,L_Tipo,$C91)&gt;1,"⚠ Possível duplicidade",IF(OR(AND($C91="Despesa",COUNTIF(CatD_Nome,$D91)=0),AND($C91="Receita",COUNTIF(CatR_Nome,$D91)=0)),"⚠ Categoria não combina com o tipo",IF(OR($N91="",$C91=""),"⚠ Falta valor ou tipo",""))))</f>
        <v/>
      </c>
      <c r="U91" s="40">
        <f>IF($A91="",0,P91*12+O91)</f>
        <v>24311</v>
      </c>
      <c r="V91" s="40">
        <f>IF($A91="",0,U91+MAX(0,N($I91)-MAX(N($H91),1)))</f>
        <v>24311</v>
      </c>
      <c r="W91" s="40">
        <f>IF(S91="",0,YEAR(S91)*12+MONTH(S91))</f>
        <v>0</v>
      </c>
      <c r="X91" s="40">
        <f>IF(W91=0,0,W91+V91-U91)</f>
        <v>0</v>
      </c>
      <c r="Y91" s="36">
        <f>IF(W91=0,0,N(R91)*MAX(0,X91-MAX(W91,YEAR(Cfg_Hoje)*12+MONTH(Cfg_Hoje)+IF(DAY(Cfg_Hoje)&gt;=INDEX(Cartoes_Fech,MATCH($F91,Cartoes_Nome,0)),1,0))+1))</f>
        <v>0</v>
      </c>
      <c r="Z91" s="40">
        <f>IF($A91="",0,DAY($A91))</f>
        <v>5</v>
      </c>
      <c r="AA91" s="40">
        <f>IF($A91="",0,WEEKDAY($A91))</f>
        <v>4</v>
      </c>
      <c r="AB91" s="36">
        <f>IF(AND($C91="Despesa",U91&gt;0,U91&lt;=Sel_Idx,V91&gt;=Sel_Idx),N(R91)+ROW()/1000000000,0)</f>
        <v>0</v>
      </c>
      <c r="AC91" s="40">
        <f>IF(AND($C91="Despesa",U91&gt;0,U91&lt;=Sel_Idx,V91&gt;=Sel_Idx),Z91*10000+ROW(),0)</f>
        <v>0</v>
      </c>
      <c r="AD91" s="40">
        <f>IF(AC91=0,0,COUNTIFS(L_CalChave,"&gt;0",L_CalChave,"&lt;"&amp;AC91)+1)</f>
        <v>0</v>
      </c>
    </row>
    <row r="92">
      <c r="A92" s="38" t="n">
        <v>45966</v>
      </c>
      <c r="B92" s="39" t="inlineStr">
        <is>
          <t>Plano de saúde</t>
        </is>
      </c>
      <c r="C92" s="34" t="inlineStr">
        <is>
          <t>Despesa</t>
        </is>
      </c>
      <c r="D92" s="34" t="inlineStr">
        <is>
          <t>Saúde</t>
        </is>
      </c>
      <c r="E92" s="34" t="inlineStr">
        <is>
          <t>Plano de saúde</t>
        </is>
      </c>
      <c r="F92" s="34" t="inlineStr">
        <is>
          <t>Conta Corrente Banco Azul</t>
        </is>
      </c>
      <c r="G92" s="34" t="inlineStr">
        <is>
          <t>Débito automático</t>
        </is>
      </c>
      <c r="H92" s="37" t="n"/>
      <c r="I92" s="37" t="n"/>
      <c r="J92" s="34" t="inlineStr">
        <is>
          <t>Pago</t>
        </is>
      </c>
      <c r="K92" s="34" t="n"/>
      <c r="L92" s="34" t="n"/>
      <c r="M92" s="39" t="inlineStr">
        <is>
          <t>EXEMPLO</t>
        </is>
      </c>
      <c r="N92" s="35" t="n">
        <v>780</v>
      </c>
      <c r="O92" s="40">
        <f>IF($A92="","",MONTH($A92))</f>
        <v>11</v>
      </c>
      <c r="P92" s="40">
        <f>IF($A92="","",YEAR($A92))</f>
        <v>2025</v>
      </c>
      <c r="Q92" s="41">
        <f>IF($A92="","",DATE(P92,O92,1))</f>
        <v>45962.0</v>
      </c>
      <c r="R92" s="36">
        <f>IF(OR($A92="",$N92=""),"",IF(AND($C92&lt;&gt;"Transferência",N($I92)&gt;1),$N92/$I92,$N92))</f>
        <v>780</v>
      </c>
      <c r="S92" s="41" t="str">
        <f>IF(OR($A92="",$F92="",$C92&lt;&gt;"Despesa"),"",IF(COUNTIF(Cartoes_Nome,$F92)=0,"",DATE(P92,O92+IF(DAY($A92)&gt;=INDEX(Cartoes_Fech,MATCH($F92,Cartoes_Nome,0)),1,0),1)))</f>
        <v/>
      </c>
      <c r="T92" s="42" t="str">
        <f>IF($A92="","",IF(COUNTIFS(L_Data,$A92,L_Desc,$B92,L_Valor,$N92,L_Tipo,$C92)&gt;1,"⚠ Possível duplicidade",IF(OR(AND($C92="Despesa",COUNTIF(CatD_Nome,$D92)=0),AND($C92="Receita",COUNTIF(CatR_Nome,$D92)=0)),"⚠ Categoria não combina com o tipo",IF(OR($N92="",$C92=""),"⚠ Falta valor ou tipo",""))))</f>
        <v/>
      </c>
      <c r="U92" s="40">
        <f>IF($A92="",0,P92*12+O92)</f>
        <v>24311</v>
      </c>
      <c r="V92" s="40">
        <f>IF($A92="",0,U92+MAX(0,N($I92)-MAX(N($H92),1)))</f>
        <v>24311</v>
      </c>
      <c r="W92" s="40">
        <f>IF(S92="",0,YEAR(S92)*12+MONTH(S92))</f>
        <v>0</v>
      </c>
      <c r="X92" s="40">
        <f>IF(W92=0,0,W92+V92-U92)</f>
        <v>0</v>
      </c>
      <c r="Y92" s="36">
        <f>IF(W92=0,0,N(R92)*MAX(0,X92-MAX(W92,YEAR(Cfg_Hoje)*12+MONTH(Cfg_Hoje)+IF(DAY(Cfg_Hoje)&gt;=INDEX(Cartoes_Fech,MATCH($F92,Cartoes_Nome,0)),1,0))+1))</f>
        <v>0</v>
      </c>
      <c r="Z92" s="40">
        <f>IF($A92="",0,DAY($A92))</f>
        <v>5</v>
      </c>
      <c r="AA92" s="40">
        <f>IF($A92="",0,WEEKDAY($A92))</f>
        <v>4</v>
      </c>
      <c r="AB92" s="36">
        <f>IF(AND($C92="Despesa",U92&gt;0,U92&lt;=Sel_Idx,V92&gt;=Sel_Idx),N(R92)+ROW()/1000000000,0)</f>
        <v>0</v>
      </c>
      <c r="AC92" s="40">
        <f>IF(AND($C92="Despesa",U92&gt;0,U92&lt;=Sel_Idx,V92&gt;=Sel_Idx),Z92*10000+ROW(),0)</f>
        <v>0</v>
      </c>
      <c r="AD92" s="40">
        <f>IF(AC92=0,0,COUNTIFS(L_CalChave,"&gt;0",L_CalChave,"&lt;"&amp;AC92)+1)</f>
        <v>0</v>
      </c>
    </row>
    <row r="93">
      <c r="A93" s="38" t="n">
        <v>45966</v>
      </c>
      <c r="B93" s="39" t="inlineStr">
        <is>
          <t>Salário</t>
        </is>
      </c>
      <c r="C93" s="34" t="inlineStr">
        <is>
          <t>Receita</t>
        </is>
      </c>
      <c r="D93" s="34" t="inlineStr">
        <is>
          <t>Salário</t>
        </is>
      </c>
      <c r="E93" s="34" t="n"/>
      <c r="F93" s="34" t="inlineStr">
        <is>
          <t>Conta Corrente Banco Azul</t>
        </is>
      </c>
      <c r="G93" s="34" t="inlineStr">
        <is>
          <t>Transferência</t>
        </is>
      </c>
      <c r="H93" s="37" t="n"/>
      <c r="I93" s="37" t="n"/>
      <c r="J93" s="34" t="inlineStr">
        <is>
          <t>Pago</t>
        </is>
      </c>
      <c r="K93" s="34" t="n"/>
      <c r="L93" s="34" t="n"/>
      <c r="M93" s="39" t="inlineStr">
        <is>
          <t>EXEMPLO</t>
        </is>
      </c>
      <c r="N93" s="35" t="n">
        <v>10800</v>
      </c>
      <c r="O93" s="40">
        <f>IF($A93="","",MONTH($A93))</f>
        <v>11</v>
      </c>
      <c r="P93" s="40">
        <f>IF($A93="","",YEAR($A93))</f>
        <v>2025</v>
      </c>
      <c r="Q93" s="41">
        <f>IF($A93="","",DATE(P93,O93,1))</f>
        <v>45962.0</v>
      </c>
      <c r="R93" s="36">
        <f>IF(OR($A93="",$N93=""),"",IF(AND($C93&lt;&gt;"Transferência",N($I93)&gt;1),$N93/$I93,$N93))</f>
        <v>10800</v>
      </c>
      <c r="S93" s="41" t="str">
        <f>IF(OR($A93="",$F93="",$C93&lt;&gt;"Despesa"),"",IF(COUNTIF(Cartoes_Nome,$F93)=0,"",DATE(P93,O93+IF(DAY($A93)&gt;=INDEX(Cartoes_Fech,MATCH($F93,Cartoes_Nome,0)),1,0),1)))</f>
        <v/>
      </c>
      <c r="T93" s="42" t="str">
        <f>IF($A93="","",IF(COUNTIFS(L_Data,$A93,L_Desc,$B93,L_Valor,$N93,L_Tipo,$C93)&gt;1,"⚠ Possível duplicidade",IF(OR(AND($C93="Despesa",COUNTIF(CatD_Nome,$D93)=0),AND($C93="Receita",COUNTIF(CatR_Nome,$D93)=0)),"⚠ Categoria não combina com o tipo",IF(OR($N93="",$C93=""),"⚠ Falta valor ou tipo",""))))</f>
        <v/>
      </c>
      <c r="U93" s="40">
        <f>IF($A93="",0,P93*12+O93)</f>
        <v>24311</v>
      </c>
      <c r="V93" s="40">
        <f>IF($A93="",0,U93+MAX(0,N($I93)-MAX(N($H93),1)))</f>
        <v>24311</v>
      </c>
      <c r="W93" s="40">
        <f>IF(S93="",0,YEAR(S93)*12+MONTH(S93))</f>
        <v>0</v>
      </c>
      <c r="X93" s="40">
        <f>IF(W93=0,0,W93+V93-U93)</f>
        <v>0</v>
      </c>
      <c r="Y93" s="36">
        <f>IF(W93=0,0,N(R93)*MAX(0,X93-MAX(W93,YEAR(Cfg_Hoje)*12+MONTH(Cfg_Hoje)+IF(DAY(Cfg_Hoje)&gt;=INDEX(Cartoes_Fech,MATCH($F93,Cartoes_Nome,0)),1,0))+1))</f>
        <v>0</v>
      </c>
      <c r="Z93" s="40">
        <f>IF($A93="",0,DAY($A93))</f>
        <v>5</v>
      </c>
      <c r="AA93" s="40">
        <f>IF($A93="",0,WEEKDAY($A93))</f>
        <v>4</v>
      </c>
      <c r="AB93" s="36">
        <f>IF(AND($C93="Despesa",U93&gt;0,U93&lt;=Sel_Idx,V93&gt;=Sel_Idx),N(R93)+ROW()/1000000000,0)</f>
        <v>0</v>
      </c>
      <c r="AC93" s="40">
        <f>IF(AND($C93="Despesa",U93&gt;0,U93&lt;=Sel_Idx,V93&gt;=Sel_Idx),Z93*10000+ROW(),0)</f>
        <v>0</v>
      </c>
      <c r="AD93" s="40">
        <f>IF(AC93=0,0,COUNTIFS(L_CalChave,"&gt;0",L_CalChave,"&lt;"&amp;AC93)+1)</f>
        <v>0</v>
      </c>
    </row>
    <row r="94">
      <c r="A94" s="38" t="n">
        <v>45967</v>
      </c>
      <c r="B94" s="39" t="inlineStr">
        <is>
          <t>Aporte - aposentadoria (PGBL)</t>
        </is>
      </c>
      <c r="C94" s="34" t="inlineStr">
        <is>
          <t>Investimento</t>
        </is>
      </c>
      <c r="D94" s="34" t="inlineStr">
        <is>
          <t>Investimento</t>
        </is>
      </c>
      <c r="E94" s="34" t="n"/>
      <c r="F94" s="34" t="inlineStr">
        <is>
          <t>Conta Corrente Banco Azul</t>
        </is>
      </c>
      <c r="G94" s="34" t="inlineStr">
        <is>
          <t>Transferência</t>
        </is>
      </c>
      <c r="H94" s="37" t="n"/>
      <c r="I94" s="37" t="n"/>
      <c r="J94" s="34" t="inlineStr">
        <is>
          <t>Pago</t>
        </is>
      </c>
      <c r="K94" s="34" t="n"/>
      <c r="L94" s="34" t="inlineStr">
        <is>
          <t>Aposentadoria</t>
        </is>
      </c>
      <c r="M94" s="39" t="inlineStr">
        <is>
          <t>EXEMPLO</t>
        </is>
      </c>
      <c r="N94" s="35" t="n">
        <v>300</v>
      </c>
      <c r="O94" s="40">
        <f>IF($A94="","",MONTH($A94))</f>
        <v>11</v>
      </c>
      <c r="P94" s="40">
        <f>IF($A94="","",YEAR($A94))</f>
        <v>2025</v>
      </c>
      <c r="Q94" s="41">
        <f>IF($A94="","",DATE(P94,O94,1))</f>
        <v>45962.0</v>
      </c>
      <c r="R94" s="36">
        <f>IF(OR($A94="",$N94=""),"",IF(AND($C94&lt;&gt;"Transferência",N($I94)&gt;1),$N94/$I94,$N94))</f>
        <v>300</v>
      </c>
      <c r="S94" s="41" t="str">
        <f>IF(OR($A94="",$F94="",$C94&lt;&gt;"Despesa"),"",IF(COUNTIF(Cartoes_Nome,$F94)=0,"",DATE(P94,O94+IF(DAY($A94)&gt;=INDEX(Cartoes_Fech,MATCH($F94,Cartoes_Nome,0)),1,0),1)))</f>
        <v/>
      </c>
      <c r="T94" s="42" t="str">
        <f>IF($A94="","",IF(COUNTIFS(L_Data,$A94,L_Desc,$B94,L_Valor,$N94,L_Tipo,$C94)&gt;1,"⚠ Possível duplicidade",IF(OR(AND($C94="Despesa",COUNTIF(CatD_Nome,$D94)=0),AND($C94="Receita",COUNTIF(CatR_Nome,$D94)=0)),"⚠ Categoria não combina com o tipo",IF(OR($N94="",$C94=""),"⚠ Falta valor ou tipo",""))))</f>
        <v/>
      </c>
      <c r="U94" s="40">
        <f>IF($A94="",0,P94*12+O94)</f>
        <v>24311</v>
      </c>
      <c r="V94" s="40">
        <f>IF($A94="",0,U94+MAX(0,N($I94)-MAX(N($H94),1)))</f>
        <v>24311</v>
      </c>
      <c r="W94" s="40">
        <f>IF(S94="",0,YEAR(S94)*12+MONTH(S94))</f>
        <v>0</v>
      </c>
      <c r="X94" s="40">
        <f>IF(W94=0,0,W94+V94-U94)</f>
        <v>0</v>
      </c>
      <c r="Y94" s="36">
        <f>IF(W94=0,0,N(R94)*MAX(0,X94-MAX(W94,YEAR(Cfg_Hoje)*12+MONTH(Cfg_Hoje)+IF(DAY(Cfg_Hoje)&gt;=INDEX(Cartoes_Fech,MATCH($F94,Cartoes_Nome,0)),1,0))+1))</f>
        <v>0</v>
      </c>
      <c r="Z94" s="40">
        <f>IF($A94="",0,DAY($A94))</f>
        <v>6</v>
      </c>
      <c r="AA94" s="40">
        <f>IF($A94="",0,WEEKDAY($A94))</f>
        <v>5</v>
      </c>
      <c r="AB94" s="36">
        <f>IF(AND($C94="Despesa",U94&gt;0,U94&lt;=Sel_Idx,V94&gt;=Sel_Idx),N(R94)+ROW()/1000000000,0)</f>
        <v>0</v>
      </c>
      <c r="AC94" s="40">
        <f>IF(AND($C94="Despesa",U94&gt;0,U94&lt;=Sel_Idx,V94&gt;=Sel_Idx),Z94*10000+ROW(),0)</f>
        <v>0</v>
      </c>
      <c r="AD94" s="40">
        <f>IF(AC94=0,0,COUNTIFS(L_CalChave,"&gt;0",L_CalChave,"&lt;"&amp;AC94)+1)</f>
        <v>0</v>
      </c>
    </row>
    <row r="95">
      <c r="A95" s="38" t="n">
        <v>45967</v>
      </c>
      <c r="B95" s="39" t="inlineStr">
        <is>
          <t>Aporte - reserva de emergência</t>
        </is>
      </c>
      <c r="C95" s="34" t="inlineStr">
        <is>
          <t>Investimento</t>
        </is>
      </c>
      <c r="D95" s="34" t="inlineStr">
        <is>
          <t>Investimento</t>
        </is>
      </c>
      <c r="E95" s="34" t="n"/>
      <c r="F95" s="34" t="inlineStr">
        <is>
          <t>Conta Corrente Banco Azul</t>
        </is>
      </c>
      <c r="G95" s="34" t="inlineStr">
        <is>
          <t>Transferência</t>
        </is>
      </c>
      <c r="H95" s="37" t="n"/>
      <c r="I95" s="37" t="n"/>
      <c r="J95" s="34" t="inlineStr">
        <is>
          <t>Pago</t>
        </is>
      </c>
      <c r="K95" s="34" t="n"/>
      <c r="L95" s="34" t="inlineStr">
        <is>
          <t>Reserva de emergência</t>
        </is>
      </c>
      <c r="M95" s="39" t="inlineStr">
        <is>
          <t>EXEMPLO</t>
        </is>
      </c>
      <c r="N95" s="35" t="n">
        <v>700</v>
      </c>
      <c r="O95" s="40">
        <f>IF($A95="","",MONTH($A95))</f>
        <v>11</v>
      </c>
      <c r="P95" s="40">
        <f>IF($A95="","",YEAR($A95))</f>
        <v>2025</v>
      </c>
      <c r="Q95" s="41">
        <f>IF($A95="","",DATE(P95,O95,1))</f>
        <v>45962.0</v>
      </c>
      <c r="R95" s="36">
        <f>IF(OR($A95="",$N95=""),"",IF(AND($C95&lt;&gt;"Transferência",N($I95)&gt;1),$N95/$I95,$N95))</f>
        <v>700</v>
      </c>
      <c r="S95" s="41" t="str">
        <f>IF(OR($A95="",$F95="",$C95&lt;&gt;"Despesa"),"",IF(COUNTIF(Cartoes_Nome,$F95)=0,"",DATE(P95,O95+IF(DAY($A95)&gt;=INDEX(Cartoes_Fech,MATCH($F95,Cartoes_Nome,0)),1,0),1)))</f>
        <v/>
      </c>
      <c r="T95" s="42" t="str">
        <f>IF($A95="","",IF(COUNTIFS(L_Data,$A95,L_Desc,$B95,L_Valor,$N95,L_Tipo,$C95)&gt;1,"⚠ Possível duplicidade",IF(OR(AND($C95="Despesa",COUNTIF(CatD_Nome,$D95)=0),AND($C95="Receita",COUNTIF(CatR_Nome,$D95)=0)),"⚠ Categoria não combina com o tipo",IF(OR($N95="",$C95=""),"⚠ Falta valor ou tipo",""))))</f>
        <v/>
      </c>
      <c r="U95" s="40">
        <f>IF($A95="",0,P95*12+O95)</f>
        <v>24311</v>
      </c>
      <c r="V95" s="40">
        <f>IF($A95="",0,U95+MAX(0,N($I95)-MAX(N($H95),1)))</f>
        <v>24311</v>
      </c>
      <c r="W95" s="40">
        <f>IF(S95="",0,YEAR(S95)*12+MONTH(S95))</f>
        <v>0</v>
      </c>
      <c r="X95" s="40">
        <f>IF(W95=0,0,W95+V95-U95)</f>
        <v>0</v>
      </c>
      <c r="Y95" s="36">
        <f>IF(W95=0,0,N(R95)*MAX(0,X95-MAX(W95,YEAR(Cfg_Hoje)*12+MONTH(Cfg_Hoje)+IF(DAY(Cfg_Hoje)&gt;=INDEX(Cartoes_Fech,MATCH($F95,Cartoes_Nome,0)),1,0))+1))</f>
        <v>0</v>
      </c>
      <c r="Z95" s="40">
        <f>IF($A95="",0,DAY($A95))</f>
        <v>6</v>
      </c>
      <c r="AA95" s="40">
        <f>IF($A95="",0,WEEKDAY($A95))</f>
        <v>5</v>
      </c>
      <c r="AB95" s="36">
        <f>IF(AND($C95="Despesa",U95&gt;0,U95&lt;=Sel_Idx,V95&gt;=Sel_Idx),N(R95)+ROW()/1000000000,0)</f>
        <v>0</v>
      </c>
      <c r="AC95" s="40">
        <f>IF(AND($C95="Despesa",U95&gt;0,U95&lt;=Sel_Idx,V95&gt;=Sel_Idx),Z95*10000+ROW(),0)</f>
        <v>0</v>
      </c>
      <c r="AD95" s="40">
        <f>IF(AC95=0,0,COUNTIFS(L_CalChave,"&gt;0",L_CalChave,"&lt;"&amp;AC95)+1)</f>
        <v>0</v>
      </c>
    </row>
    <row r="96">
      <c r="A96" s="38" t="n">
        <v>45967</v>
      </c>
      <c r="B96" s="39" t="inlineStr">
        <is>
          <t>Aporte - troca de carro</t>
        </is>
      </c>
      <c r="C96" s="34" t="inlineStr">
        <is>
          <t>Investimento</t>
        </is>
      </c>
      <c r="D96" s="34" t="inlineStr">
        <is>
          <t>Investimento</t>
        </is>
      </c>
      <c r="E96" s="34" t="n"/>
      <c r="F96" s="34" t="inlineStr">
        <is>
          <t>Conta Corrente Banco Azul</t>
        </is>
      </c>
      <c r="G96" s="34" t="inlineStr">
        <is>
          <t>Transferência</t>
        </is>
      </c>
      <c r="H96" s="37" t="n"/>
      <c r="I96" s="37" t="n"/>
      <c r="J96" s="34" t="inlineStr">
        <is>
          <t>Pago</t>
        </is>
      </c>
      <c r="K96" s="34" t="n"/>
      <c r="L96" s="34" t="inlineStr">
        <is>
          <t>Troca de carro</t>
        </is>
      </c>
      <c r="M96" s="39" t="inlineStr">
        <is>
          <t>EXEMPLO</t>
        </is>
      </c>
      <c r="N96" s="35" t="n">
        <v>200</v>
      </c>
      <c r="O96" s="40">
        <f>IF($A96="","",MONTH($A96))</f>
        <v>11</v>
      </c>
      <c r="P96" s="40">
        <f>IF($A96="","",YEAR($A96))</f>
        <v>2025</v>
      </c>
      <c r="Q96" s="41">
        <f>IF($A96="","",DATE(P96,O96,1))</f>
        <v>45962.0</v>
      </c>
      <c r="R96" s="36">
        <f>IF(OR($A96="",$N96=""),"",IF(AND($C96&lt;&gt;"Transferência",N($I96)&gt;1),$N96/$I96,$N96))</f>
        <v>200</v>
      </c>
      <c r="S96" s="41" t="str">
        <f>IF(OR($A96="",$F96="",$C96&lt;&gt;"Despesa"),"",IF(COUNTIF(Cartoes_Nome,$F96)=0,"",DATE(P96,O96+IF(DAY($A96)&gt;=INDEX(Cartoes_Fech,MATCH($F96,Cartoes_Nome,0)),1,0),1)))</f>
        <v/>
      </c>
      <c r="T96" s="42" t="str">
        <f>IF($A96="","",IF(COUNTIFS(L_Data,$A96,L_Desc,$B96,L_Valor,$N96,L_Tipo,$C96)&gt;1,"⚠ Possível duplicidade",IF(OR(AND($C96="Despesa",COUNTIF(CatD_Nome,$D96)=0),AND($C96="Receita",COUNTIF(CatR_Nome,$D96)=0)),"⚠ Categoria não combina com o tipo",IF(OR($N96="",$C96=""),"⚠ Falta valor ou tipo",""))))</f>
        <v/>
      </c>
      <c r="U96" s="40">
        <f>IF($A96="",0,P96*12+O96)</f>
        <v>24311</v>
      </c>
      <c r="V96" s="40">
        <f>IF($A96="",0,U96+MAX(0,N($I96)-MAX(N($H96),1)))</f>
        <v>24311</v>
      </c>
      <c r="W96" s="40">
        <f>IF(S96="",0,YEAR(S96)*12+MONTH(S96))</f>
        <v>0</v>
      </c>
      <c r="X96" s="40">
        <f>IF(W96=0,0,W96+V96-U96)</f>
        <v>0</v>
      </c>
      <c r="Y96" s="36">
        <f>IF(W96=0,0,N(R96)*MAX(0,X96-MAX(W96,YEAR(Cfg_Hoje)*12+MONTH(Cfg_Hoje)+IF(DAY(Cfg_Hoje)&gt;=INDEX(Cartoes_Fech,MATCH($F96,Cartoes_Nome,0)),1,0))+1))</f>
        <v>0</v>
      </c>
      <c r="Z96" s="40">
        <f>IF($A96="",0,DAY($A96))</f>
        <v>6</v>
      </c>
      <c r="AA96" s="40">
        <f>IF($A96="",0,WEEKDAY($A96))</f>
        <v>5</v>
      </c>
      <c r="AB96" s="36">
        <f>IF(AND($C96="Despesa",U96&gt;0,U96&lt;=Sel_Idx,V96&gt;=Sel_Idx),N(R96)+ROW()/1000000000,0)</f>
        <v>0</v>
      </c>
      <c r="AC96" s="40">
        <f>IF(AND($C96="Despesa",U96&gt;0,U96&lt;=Sel_Idx,V96&gt;=Sel_Idx),Z96*10000+ROW(),0)</f>
        <v>0</v>
      </c>
      <c r="AD96" s="40">
        <f>IF(AC96=0,0,COUNTIFS(L_CalChave,"&gt;0",L_CalChave,"&lt;"&amp;AC96)+1)</f>
        <v>0</v>
      </c>
    </row>
    <row r="97">
      <c r="A97" s="38" t="n">
        <v>45967</v>
      </c>
      <c r="B97" s="39" t="inlineStr">
        <is>
          <t>Aporte - viagem</t>
        </is>
      </c>
      <c r="C97" s="34" t="inlineStr">
        <is>
          <t>Investimento</t>
        </is>
      </c>
      <c r="D97" s="34" t="inlineStr">
        <is>
          <t>Investimento</t>
        </is>
      </c>
      <c r="E97" s="34" t="n"/>
      <c r="F97" s="34" t="inlineStr">
        <is>
          <t>Conta Corrente Banco Azul</t>
        </is>
      </c>
      <c r="G97" s="34" t="inlineStr">
        <is>
          <t>Transferência</t>
        </is>
      </c>
      <c r="H97" s="37" t="n"/>
      <c r="I97" s="37" t="n"/>
      <c r="J97" s="34" t="inlineStr">
        <is>
          <t>Pago</t>
        </is>
      </c>
      <c r="K97" s="34" t="n"/>
      <c r="L97" s="34" t="inlineStr">
        <is>
          <t>Viagem Europa</t>
        </is>
      </c>
      <c r="M97" s="39" t="inlineStr">
        <is>
          <t>EXEMPLO</t>
        </is>
      </c>
      <c r="N97" s="35" t="n">
        <v>300</v>
      </c>
      <c r="O97" s="40">
        <f>IF($A97="","",MONTH($A97))</f>
        <v>11</v>
      </c>
      <c r="P97" s="40">
        <f>IF($A97="","",YEAR($A97))</f>
        <v>2025</v>
      </c>
      <c r="Q97" s="41">
        <f>IF($A97="","",DATE(P97,O97,1))</f>
        <v>45962.0</v>
      </c>
      <c r="R97" s="36">
        <f>IF(OR($A97="",$N97=""),"",IF(AND($C97&lt;&gt;"Transferência",N($I97)&gt;1),$N97/$I97,$N97))</f>
        <v>300</v>
      </c>
      <c r="S97" s="41" t="str">
        <f>IF(OR($A97="",$F97="",$C97&lt;&gt;"Despesa"),"",IF(COUNTIF(Cartoes_Nome,$F97)=0,"",DATE(P97,O97+IF(DAY($A97)&gt;=INDEX(Cartoes_Fech,MATCH($F97,Cartoes_Nome,0)),1,0),1)))</f>
        <v/>
      </c>
      <c r="T97" s="42" t="str">
        <f>IF($A97="","",IF(COUNTIFS(L_Data,$A97,L_Desc,$B97,L_Valor,$N97,L_Tipo,$C97)&gt;1,"⚠ Possível duplicidade",IF(OR(AND($C97="Despesa",COUNTIF(CatD_Nome,$D97)=0),AND($C97="Receita",COUNTIF(CatR_Nome,$D97)=0)),"⚠ Categoria não combina com o tipo",IF(OR($N97="",$C97=""),"⚠ Falta valor ou tipo",""))))</f>
        <v/>
      </c>
      <c r="U97" s="40">
        <f>IF($A97="",0,P97*12+O97)</f>
        <v>24311</v>
      </c>
      <c r="V97" s="40">
        <f>IF($A97="",0,U97+MAX(0,N($I97)-MAX(N($H97),1)))</f>
        <v>24311</v>
      </c>
      <c r="W97" s="40">
        <f>IF(S97="",0,YEAR(S97)*12+MONTH(S97))</f>
        <v>0</v>
      </c>
      <c r="X97" s="40">
        <f>IF(W97=0,0,W97+V97-U97)</f>
        <v>0</v>
      </c>
      <c r="Y97" s="36">
        <f>IF(W97=0,0,N(R97)*MAX(0,X97-MAX(W97,YEAR(Cfg_Hoje)*12+MONTH(Cfg_Hoje)+IF(DAY(Cfg_Hoje)&gt;=INDEX(Cartoes_Fech,MATCH($F97,Cartoes_Nome,0)),1,0))+1))</f>
        <v>0</v>
      </c>
      <c r="Z97" s="40">
        <f>IF($A97="",0,DAY($A97))</f>
        <v>6</v>
      </c>
      <c r="AA97" s="40">
        <f>IF($A97="",0,WEEKDAY($A97))</f>
        <v>5</v>
      </c>
      <c r="AB97" s="36">
        <f>IF(AND($C97="Despesa",U97&gt;0,U97&lt;=Sel_Idx,V97&gt;=Sel_Idx),N(R97)+ROW()/1000000000,0)</f>
        <v>0</v>
      </c>
      <c r="AC97" s="40">
        <f>IF(AND($C97="Despesa",U97&gt;0,U97&lt;=Sel_Idx,V97&gt;=Sel_Idx),Z97*10000+ROW(),0)</f>
        <v>0</v>
      </c>
      <c r="AD97" s="40">
        <f>IF(AC97=0,0,COUNTIFS(L_CalChave,"&gt;0",L_CalChave,"&lt;"&amp;AC97)+1)</f>
        <v>0</v>
      </c>
    </row>
    <row r="98">
      <c r="A98" s="38" t="n">
        <v>45967</v>
      </c>
      <c r="B98" s="39" t="inlineStr">
        <is>
          <t>Despesa diversa</t>
        </is>
      </c>
      <c r="C98" s="34" t="inlineStr">
        <is>
          <t>Despesa</t>
        </is>
      </c>
      <c r="D98" s="34" t="inlineStr">
        <is>
          <t>Outros</t>
        </is>
      </c>
      <c r="E98" s="34" t="n"/>
      <c r="F98" s="34" t="inlineStr">
        <is>
          <t>Conta Corrente Banco Azul</t>
        </is>
      </c>
      <c r="G98" s="34" t="inlineStr">
        <is>
          <t>Pix</t>
        </is>
      </c>
      <c r="H98" s="37" t="n"/>
      <c r="I98" s="37" t="n"/>
      <c r="J98" s="34" t="inlineStr">
        <is>
          <t>Pago</t>
        </is>
      </c>
      <c r="K98" s="34" t="n"/>
      <c r="L98" s="34" t="n"/>
      <c r="M98" s="39" t="inlineStr">
        <is>
          <t>EXEMPLO</t>
        </is>
      </c>
      <c r="N98" s="35" t="n">
        <v>175.35</v>
      </c>
      <c r="O98" s="40">
        <f>IF($A98="","",MONTH($A98))</f>
        <v>11</v>
      </c>
      <c r="P98" s="40">
        <f>IF($A98="","",YEAR($A98))</f>
        <v>2025</v>
      </c>
      <c r="Q98" s="41">
        <f>IF($A98="","",DATE(P98,O98,1))</f>
        <v>45962.0</v>
      </c>
      <c r="R98" s="36">
        <f>IF(OR($A98="",$N98=""),"",IF(AND($C98&lt;&gt;"Transferência",N($I98)&gt;1),$N98/$I98,$N98))</f>
        <v>175.35</v>
      </c>
      <c r="S98" s="41" t="str">
        <f>IF(OR($A98="",$F98="",$C98&lt;&gt;"Despesa"),"",IF(COUNTIF(Cartoes_Nome,$F98)=0,"",DATE(P98,O98+IF(DAY($A98)&gt;=INDEX(Cartoes_Fech,MATCH($F98,Cartoes_Nome,0)),1,0),1)))</f>
        <v/>
      </c>
      <c r="T98" s="42" t="str">
        <f>IF($A98="","",IF(COUNTIFS(L_Data,$A98,L_Desc,$B98,L_Valor,$N98,L_Tipo,$C98)&gt;1,"⚠ Possível duplicidade",IF(OR(AND($C98="Despesa",COUNTIF(CatD_Nome,$D98)=0),AND($C98="Receita",COUNTIF(CatR_Nome,$D98)=0)),"⚠ Categoria não combina com o tipo",IF(OR($N98="",$C98=""),"⚠ Falta valor ou tipo",""))))</f>
        <v/>
      </c>
      <c r="U98" s="40">
        <f>IF($A98="",0,P98*12+O98)</f>
        <v>24311</v>
      </c>
      <c r="V98" s="40">
        <f>IF($A98="",0,U98+MAX(0,N($I98)-MAX(N($H98),1)))</f>
        <v>24311</v>
      </c>
      <c r="W98" s="40">
        <f>IF(S98="",0,YEAR(S98)*12+MONTH(S98))</f>
        <v>0</v>
      </c>
      <c r="X98" s="40">
        <f>IF(W98=0,0,W98+V98-U98)</f>
        <v>0</v>
      </c>
      <c r="Y98" s="36">
        <f>IF(W98=0,0,N(R98)*MAX(0,X98-MAX(W98,YEAR(Cfg_Hoje)*12+MONTH(Cfg_Hoje)+IF(DAY(Cfg_Hoje)&gt;=INDEX(Cartoes_Fech,MATCH($F98,Cartoes_Nome,0)),1,0))+1))</f>
        <v>0</v>
      </c>
      <c r="Z98" s="40">
        <f>IF($A98="",0,DAY($A98))</f>
        <v>6</v>
      </c>
      <c r="AA98" s="40">
        <f>IF($A98="",0,WEEKDAY($A98))</f>
        <v>5</v>
      </c>
      <c r="AB98" s="36">
        <f>IF(AND($C98="Despesa",U98&gt;0,U98&lt;=Sel_Idx,V98&gt;=Sel_Idx),N(R98)+ROW()/1000000000,0)</f>
        <v>0</v>
      </c>
      <c r="AC98" s="40">
        <f>IF(AND($C98="Despesa",U98&gt;0,U98&lt;=Sel_Idx,V98&gt;=Sel_Idx),Z98*10000+ROW(),0)</f>
        <v>0</v>
      </c>
      <c r="AD98" s="40">
        <f>IF(AC98=0,0,COUNTIFS(L_CalChave,"&gt;0",L_CalChave,"&lt;"&amp;AC98)+1)</f>
        <v>0</v>
      </c>
    </row>
    <row r="99">
      <c r="A99" s="38" t="n">
        <v>45967</v>
      </c>
      <c r="B99" s="39" t="inlineStr">
        <is>
          <t>Supermercado</t>
        </is>
      </c>
      <c r="C99" s="34" t="inlineStr">
        <is>
          <t>Despesa</t>
        </is>
      </c>
      <c r="D99" s="34" t="inlineStr">
        <is>
          <t>Alimentação</t>
        </is>
      </c>
      <c r="E99" s="34" t="inlineStr">
        <is>
          <t>Mercado</t>
        </is>
      </c>
      <c r="F99" s="34" t="inlineStr">
        <is>
          <t>Conta Corrente Banco Azul</t>
        </is>
      </c>
      <c r="G99" s="34" t="inlineStr">
        <is>
          <t>Débito</t>
        </is>
      </c>
      <c r="H99" s="37" t="n"/>
      <c r="I99" s="37" t="n"/>
      <c r="J99" s="34" t="inlineStr">
        <is>
          <t>Pago</t>
        </is>
      </c>
      <c r="K99" s="34" t="n"/>
      <c r="L99" s="34" t="n"/>
      <c r="M99" s="39" t="inlineStr">
        <is>
          <t>EXEMPLO</t>
        </is>
      </c>
      <c r="N99" s="35" t="n">
        <v>379.17</v>
      </c>
      <c r="O99" s="40">
        <f>IF($A99="","",MONTH($A99))</f>
        <v>11</v>
      </c>
      <c r="P99" s="40">
        <f>IF($A99="","",YEAR($A99))</f>
        <v>2025</v>
      </c>
      <c r="Q99" s="41">
        <f>IF($A99="","",DATE(P99,O99,1))</f>
        <v>45962.0</v>
      </c>
      <c r="R99" s="36">
        <f>IF(OR($A99="",$N99=""),"",IF(AND($C99&lt;&gt;"Transferência",N($I99)&gt;1),$N99/$I99,$N99))</f>
        <v>379.17</v>
      </c>
      <c r="S99" s="41" t="str">
        <f>IF(OR($A99="",$F99="",$C99&lt;&gt;"Despesa"),"",IF(COUNTIF(Cartoes_Nome,$F99)=0,"",DATE(P99,O99+IF(DAY($A99)&gt;=INDEX(Cartoes_Fech,MATCH($F99,Cartoes_Nome,0)),1,0),1)))</f>
        <v/>
      </c>
      <c r="T99" s="42" t="str">
        <f>IF($A99="","",IF(COUNTIFS(L_Data,$A99,L_Desc,$B99,L_Valor,$N99,L_Tipo,$C99)&gt;1,"⚠ Possível duplicidade",IF(OR(AND($C99="Despesa",COUNTIF(CatD_Nome,$D99)=0),AND($C99="Receita",COUNTIF(CatR_Nome,$D99)=0)),"⚠ Categoria não combina com o tipo",IF(OR($N99="",$C99=""),"⚠ Falta valor ou tipo",""))))</f>
        <v/>
      </c>
      <c r="U99" s="40">
        <f>IF($A99="",0,P99*12+O99)</f>
        <v>24311</v>
      </c>
      <c r="V99" s="40">
        <f>IF($A99="",0,U99+MAX(0,N($I99)-MAX(N($H99),1)))</f>
        <v>24311</v>
      </c>
      <c r="W99" s="40">
        <f>IF(S99="",0,YEAR(S99)*12+MONTH(S99))</f>
        <v>0</v>
      </c>
      <c r="X99" s="40">
        <f>IF(W99=0,0,W99+V99-U99)</f>
        <v>0</v>
      </c>
      <c r="Y99" s="36">
        <f>IF(W99=0,0,N(R99)*MAX(0,X99-MAX(W99,YEAR(Cfg_Hoje)*12+MONTH(Cfg_Hoje)+IF(DAY(Cfg_Hoje)&gt;=INDEX(Cartoes_Fech,MATCH($F99,Cartoes_Nome,0)),1,0))+1))</f>
        <v>0</v>
      </c>
      <c r="Z99" s="40">
        <f>IF($A99="",0,DAY($A99))</f>
        <v>6</v>
      </c>
      <c r="AA99" s="40">
        <f>IF($A99="",0,WEEKDAY($A99))</f>
        <v>5</v>
      </c>
      <c r="AB99" s="36">
        <f>IF(AND($C99="Despesa",U99&gt;0,U99&lt;=Sel_Idx,V99&gt;=Sel_Idx),N(R99)+ROW()/1000000000,0)</f>
        <v>0</v>
      </c>
      <c r="AC99" s="40">
        <f>IF(AND($C99="Despesa",U99&gt;0,U99&lt;=Sel_Idx,V99&gt;=Sel_Idx),Z99*10000+ROW(),0)</f>
        <v>0</v>
      </c>
      <c r="AD99" s="40">
        <f>IF(AC99=0,0,COUNTIFS(L_CalChave,"&gt;0",L_CalChave,"&lt;"&amp;AC99)+1)</f>
        <v>0</v>
      </c>
    </row>
    <row r="100">
      <c r="A100" s="38" t="n">
        <v>45968</v>
      </c>
      <c r="B100" s="39" t="inlineStr">
        <is>
          <t>Combustível</t>
        </is>
      </c>
      <c r="C100" s="34" t="inlineStr">
        <is>
          <t>Despesa</t>
        </is>
      </c>
      <c r="D100" s="34" t="inlineStr">
        <is>
          <t>Transporte</t>
        </is>
      </c>
      <c r="E100" s="34" t="inlineStr">
        <is>
          <t>Combustível</t>
        </is>
      </c>
      <c r="F100" s="34" t="inlineStr">
        <is>
          <t>Cartão Roxinho</t>
        </is>
      </c>
      <c r="G100" s="34" t="inlineStr">
        <is>
          <t>Crédito</t>
        </is>
      </c>
      <c r="H100" s="37" t="n"/>
      <c r="I100" s="37" t="n"/>
      <c r="J100" s="34" t="inlineStr">
        <is>
          <t>Pago</t>
        </is>
      </c>
      <c r="K100" s="34" t="n"/>
      <c r="L100" s="34" t="n"/>
      <c r="M100" s="39" t="inlineStr">
        <is>
          <t>EXEMPLO</t>
        </is>
      </c>
      <c r="N100" s="35" t="n">
        <v>157.85</v>
      </c>
      <c r="O100" s="40">
        <f>IF($A100="","",MONTH($A100))</f>
        <v>11</v>
      </c>
      <c r="P100" s="40">
        <f>IF($A100="","",YEAR($A100))</f>
        <v>2025</v>
      </c>
      <c r="Q100" s="41">
        <f>IF($A100="","",DATE(P100,O100,1))</f>
        <v>45962.0</v>
      </c>
      <c r="R100" s="36">
        <f>IF(OR($A100="",$N100=""),"",IF(AND($C100&lt;&gt;"Transferência",N($I100)&gt;1),$N100/$I100,$N100))</f>
        <v>157.85</v>
      </c>
      <c r="S100" s="41">
        <f>IF(OR($A100="",$F100="",$C100&lt;&gt;"Despesa"),"",IF(COUNTIF(Cartoes_Nome,$F100)=0,"",DATE(P100,O100+IF(DAY($A100)&gt;=INDEX(Cartoes_Fech,MATCH($F100,Cartoes_Nome,0)),1,0),1)))</f>
        <v>45962.0</v>
      </c>
      <c r="T100" s="42" t="str">
        <f>IF($A100="","",IF(COUNTIFS(L_Data,$A100,L_Desc,$B100,L_Valor,$N100,L_Tipo,$C100)&gt;1,"⚠ Possível duplicidade",IF(OR(AND($C100="Despesa",COUNTIF(CatD_Nome,$D100)=0),AND($C100="Receita",COUNTIF(CatR_Nome,$D100)=0)),"⚠ Categoria não combina com o tipo",IF(OR($N100="",$C100=""),"⚠ Falta valor ou tipo",""))))</f>
        <v/>
      </c>
      <c r="U100" s="40">
        <f>IF($A100="",0,P100*12+O100)</f>
        <v>24311</v>
      </c>
      <c r="V100" s="40">
        <f>IF($A100="",0,U100+MAX(0,N($I100)-MAX(N($H100),1)))</f>
        <v>24311</v>
      </c>
      <c r="W100" s="40">
        <f>IF(S100="",0,YEAR(S100)*12+MONTH(S100))</f>
        <v>24311</v>
      </c>
      <c r="X100" s="40">
        <f>IF(W100=0,0,W100+V100-U100)</f>
        <v>24311</v>
      </c>
      <c r="Y100" s="36">
        <f>IF(W100=0,0,N(R100)*MAX(0,X100-MAX(W100,YEAR(Cfg_Hoje)*12+MONTH(Cfg_Hoje)+IF(DAY(Cfg_Hoje)&gt;=INDEX(Cartoes_Fech,MATCH($F100,Cartoes_Nome,0)),1,0))+1))</f>
        <v>0</v>
      </c>
      <c r="Z100" s="40">
        <f>IF($A100="",0,DAY($A100))</f>
        <v>7</v>
      </c>
      <c r="AA100" s="40">
        <f>IF($A100="",0,WEEKDAY($A100))</f>
        <v>6</v>
      </c>
      <c r="AB100" s="36">
        <f>IF(AND($C100="Despesa",U100&gt;0,U100&lt;=Sel_Idx,V100&gt;=Sel_Idx),N(R100)+ROW()/1000000000,0)</f>
        <v>0</v>
      </c>
      <c r="AC100" s="40">
        <f>IF(AND($C100="Despesa",U100&gt;0,U100&lt;=Sel_Idx,V100&gt;=Sel_Idx),Z100*10000+ROW(),0)</f>
        <v>0</v>
      </c>
      <c r="AD100" s="40">
        <f>IF(AC100=0,0,COUNTIFS(L_CalChave,"&gt;0",L_CalChave,"&lt;"&amp;AC100)+1)</f>
        <v>0</v>
      </c>
    </row>
    <row r="101">
      <c r="A101" s="38" t="n">
        <v>45968</v>
      </c>
      <c r="B101" s="39" t="inlineStr">
        <is>
          <t>Doação mensal</t>
        </is>
      </c>
      <c r="C101" s="34" t="inlineStr">
        <is>
          <t>Despesa</t>
        </is>
      </c>
      <c r="D101" s="34" t="inlineStr">
        <is>
          <t>Doações</t>
        </is>
      </c>
      <c r="E101" s="34" t="inlineStr">
        <is>
          <t>ONG</t>
        </is>
      </c>
      <c r="F101" s="34" t="inlineStr">
        <is>
          <t>Conta Corrente Banco Azul</t>
        </is>
      </c>
      <c r="G101" s="34" t="inlineStr">
        <is>
          <t>Pix</t>
        </is>
      </c>
      <c r="H101" s="37" t="n"/>
      <c r="I101" s="37" t="n"/>
      <c r="J101" s="34" t="inlineStr">
        <is>
          <t>Pago</t>
        </is>
      </c>
      <c r="K101" s="34" t="n"/>
      <c r="L101" s="34" t="n"/>
      <c r="M101" s="39" t="inlineStr">
        <is>
          <t>EXEMPLO</t>
        </is>
      </c>
      <c r="N101" s="35" t="n">
        <v>100</v>
      </c>
      <c r="O101" s="40">
        <f>IF($A101="","",MONTH($A101))</f>
        <v>11</v>
      </c>
      <c r="P101" s="40">
        <f>IF($A101="","",YEAR($A101))</f>
        <v>2025</v>
      </c>
      <c r="Q101" s="41">
        <f>IF($A101="","",DATE(P101,O101,1))</f>
        <v>45962.0</v>
      </c>
      <c r="R101" s="36">
        <f>IF(OR($A101="",$N101=""),"",IF(AND($C101&lt;&gt;"Transferência",N($I101)&gt;1),$N101/$I101,$N101))</f>
        <v>100</v>
      </c>
      <c r="S101" s="41" t="str">
        <f>IF(OR($A101="",$F101="",$C101&lt;&gt;"Despesa"),"",IF(COUNTIF(Cartoes_Nome,$F101)=0,"",DATE(P101,O101+IF(DAY($A101)&gt;=INDEX(Cartoes_Fech,MATCH($F101,Cartoes_Nome,0)),1,0),1)))</f>
        <v/>
      </c>
      <c r="T101" s="42" t="str">
        <f>IF($A101="","",IF(COUNTIFS(L_Data,$A101,L_Desc,$B101,L_Valor,$N101,L_Tipo,$C101)&gt;1,"⚠ Possível duplicidade",IF(OR(AND($C101="Despesa",COUNTIF(CatD_Nome,$D101)=0),AND($C101="Receita",COUNTIF(CatR_Nome,$D101)=0)),"⚠ Categoria não combina com o tipo",IF(OR($N101="",$C101=""),"⚠ Falta valor ou tipo",""))))</f>
        <v/>
      </c>
      <c r="U101" s="40">
        <f>IF($A101="",0,P101*12+O101)</f>
        <v>24311</v>
      </c>
      <c r="V101" s="40">
        <f>IF($A101="",0,U101+MAX(0,N($I101)-MAX(N($H101),1)))</f>
        <v>24311</v>
      </c>
      <c r="W101" s="40">
        <f>IF(S101="",0,YEAR(S101)*12+MONTH(S101))</f>
        <v>0</v>
      </c>
      <c r="X101" s="40">
        <f>IF(W101=0,0,W101+V101-U101)</f>
        <v>0</v>
      </c>
      <c r="Y101" s="36">
        <f>IF(W101=0,0,N(R101)*MAX(0,X101-MAX(W101,YEAR(Cfg_Hoje)*12+MONTH(Cfg_Hoje)+IF(DAY(Cfg_Hoje)&gt;=INDEX(Cartoes_Fech,MATCH($F101,Cartoes_Nome,0)),1,0))+1))</f>
        <v>0</v>
      </c>
      <c r="Z101" s="40">
        <f>IF($A101="",0,DAY($A101))</f>
        <v>7</v>
      </c>
      <c r="AA101" s="40">
        <f>IF($A101="",0,WEEKDAY($A101))</f>
        <v>6</v>
      </c>
      <c r="AB101" s="36">
        <f>IF(AND($C101="Despesa",U101&gt;0,U101&lt;=Sel_Idx,V101&gt;=Sel_Idx),N(R101)+ROW()/1000000000,0)</f>
        <v>0</v>
      </c>
      <c r="AC101" s="40">
        <f>IF(AND($C101="Despesa",U101&gt;0,U101&lt;=Sel_Idx,V101&gt;=Sel_Idx),Z101*10000+ROW(),0)</f>
        <v>0</v>
      </c>
      <c r="AD101" s="40">
        <f>IF(AC101=0,0,COUNTIFS(L_CalChave,"&gt;0",L_CalChave,"&lt;"&amp;AC101)+1)</f>
        <v>0</v>
      </c>
    </row>
    <row r="102">
      <c r="A102" s="38" t="n">
        <v>45969</v>
      </c>
      <c r="B102" s="39" t="inlineStr">
        <is>
          <t>Curso de inglês</t>
        </is>
      </c>
      <c r="C102" s="34" t="inlineStr">
        <is>
          <t>Despesa</t>
        </is>
      </c>
      <c r="D102" s="34" t="inlineStr">
        <is>
          <t>Educação</t>
        </is>
      </c>
      <c r="E102" s="34" t="inlineStr">
        <is>
          <t>Cursos</t>
        </is>
      </c>
      <c r="F102" s="34" t="inlineStr">
        <is>
          <t>Conta Corrente Banco Azul</t>
        </is>
      </c>
      <c r="G102" s="34" t="inlineStr">
        <is>
          <t>Boleto</t>
        </is>
      </c>
      <c r="H102" s="37" t="n"/>
      <c r="I102" s="37" t="n"/>
      <c r="J102" s="34" t="inlineStr">
        <is>
          <t>Pago</t>
        </is>
      </c>
      <c r="K102" s="34" t="n"/>
      <c r="L102" s="34" t="n"/>
      <c r="M102" s="39" t="inlineStr">
        <is>
          <t>EXEMPLO</t>
        </is>
      </c>
      <c r="N102" s="35" t="n">
        <v>390</v>
      </c>
      <c r="O102" s="40">
        <f>IF($A102="","",MONTH($A102))</f>
        <v>11</v>
      </c>
      <c r="P102" s="40">
        <f>IF($A102="","",YEAR($A102))</f>
        <v>2025</v>
      </c>
      <c r="Q102" s="41">
        <f>IF($A102="","",DATE(P102,O102,1))</f>
        <v>45962.0</v>
      </c>
      <c r="R102" s="36">
        <f>IF(OR($A102="",$N102=""),"",IF(AND($C102&lt;&gt;"Transferência",N($I102)&gt;1),$N102/$I102,$N102))</f>
        <v>390</v>
      </c>
      <c r="S102" s="41" t="str">
        <f>IF(OR($A102="",$F102="",$C102&lt;&gt;"Despesa"),"",IF(COUNTIF(Cartoes_Nome,$F102)=0,"",DATE(P102,O102+IF(DAY($A102)&gt;=INDEX(Cartoes_Fech,MATCH($F102,Cartoes_Nome,0)),1,0),1)))</f>
        <v/>
      </c>
      <c r="T102" s="42" t="str">
        <f>IF($A102="","",IF(COUNTIFS(L_Data,$A102,L_Desc,$B102,L_Valor,$N102,L_Tipo,$C102)&gt;1,"⚠ Possível duplicidade",IF(OR(AND($C102="Despesa",COUNTIF(CatD_Nome,$D102)=0),AND($C102="Receita",COUNTIF(CatR_Nome,$D102)=0)),"⚠ Categoria não combina com o tipo",IF(OR($N102="",$C102=""),"⚠ Falta valor ou tipo",""))))</f>
        <v/>
      </c>
      <c r="U102" s="40">
        <f>IF($A102="",0,P102*12+O102)</f>
        <v>24311</v>
      </c>
      <c r="V102" s="40">
        <f>IF($A102="",0,U102+MAX(0,N($I102)-MAX(N($H102),1)))</f>
        <v>24311</v>
      </c>
      <c r="W102" s="40">
        <f>IF(S102="",0,YEAR(S102)*12+MONTH(S102))</f>
        <v>0</v>
      </c>
      <c r="X102" s="40">
        <f>IF(W102=0,0,W102+V102-U102)</f>
        <v>0</v>
      </c>
      <c r="Y102" s="36">
        <f>IF(W102=0,0,N(R102)*MAX(0,X102-MAX(W102,YEAR(Cfg_Hoje)*12+MONTH(Cfg_Hoje)+IF(DAY(Cfg_Hoje)&gt;=INDEX(Cartoes_Fech,MATCH($F102,Cartoes_Nome,0)),1,0))+1))</f>
        <v>0</v>
      </c>
      <c r="Z102" s="40">
        <f>IF($A102="",0,DAY($A102))</f>
        <v>8</v>
      </c>
      <c r="AA102" s="40">
        <f>IF($A102="",0,WEEKDAY($A102))</f>
        <v>7</v>
      </c>
      <c r="AB102" s="36">
        <f>IF(AND($C102="Despesa",U102&gt;0,U102&lt;=Sel_Idx,V102&gt;=Sel_Idx),N(R102)+ROW()/1000000000,0)</f>
        <v>0</v>
      </c>
      <c r="AC102" s="40">
        <f>IF(AND($C102="Despesa",U102&gt;0,U102&lt;=Sel_Idx,V102&gt;=Sel_Idx),Z102*10000+ROW(),0)</f>
        <v>0</v>
      </c>
      <c r="AD102" s="40">
        <f>IF(AC102=0,0,COUNTIFS(L_CalChave,"&gt;0",L_CalChave,"&lt;"&amp;AC102)+1)</f>
        <v>0</v>
      </c>
    </row>
    <row r="103">
      <c r="A103" s="38" t="n">
        <v>45970</v>
      </c>
      <c r="B103" s="39" t="inlineStr">
        <is>
          <t>Corrida de aplicativo</t>
        </is>
      </c>
      <c r="C103" s="34" t="inlineStr">
        <is>
          <t>Despesa</t>
        </is>
      </c>
      <c r="D103" s="34" t="inlineStr">
        <is>
          <t>Transporte</t>
        </is>
      </c>
      <c r="E103" s="34" t="inlineStr">
        <is>
          <t>App de transporte</t>
        </is>
      </c>
      <c r="F103" s="34" t="inlineStr">
        <is>
          <t>Conta Corrente Banco Azul</t>
        </is>
      </c>
      <c r="G103" s="34" t="inlineStr">
        <is>
          <t>Pix</t>
        </is>
      </c>
      <c r="H103" s="37" t="n"/>
      <c r="I103" s="37" t="n"/>
      <c r="J103" s="34" t="inlineStr">
        <is>
          <t>Pago</t>
        </is>
      </c>
      <c r="K103" s="34" t="n"/>
      <c r="L103" s="34" t="n"/>
      <c r="M103" s="39" t="inlineStr">
        <is>
          <t>EXEMPLO</t>
        </is>
      </c>
      <c r="N103" s="35" t="n">
        <v>38.05</v>
      </c>
      <c r="O103" s="40">
        <f>IF($A103="","",MONTH($A103))</f>
        <v>11</v>
      </c>
      <c r="P103" s="40">
        <f>IF($A103="","",YEAR($A103))</f>
        <v>2025</v>
      </c>
      <c r="Q103" s="41">
        <f>IF($A103="","",DATE(P103,O103,1))</f>
        <v>45962.0</v>
      </c>
      <c r="R103" s="36">
        <f>IF(OR($A103="",$N103=""),"",IF(AND($C103&lt;&gt;"Transferência",N($I103)&gt;1),$N103/$I103,$N103))</f>
        <v>38.05</v>
      </c>
      <c r="S103" s="41" t="str">
        <f>IF(OR($A103="",$F103="",$C103&lt;&gt;"Despesa"),"",IF(COUNTIF(Cartoes_Nome,$F103)=0,"",DATE(P103,O103+IF(DAY($A103)&gt;=INDEX(Cartoes_Fech,MATCH($F103,Cartoes_Nome,0)),1,0),1)))</f>
        <v/>
      </c>
      <c r="T103" s="42" t="str">
        <f>IF($A103="","",IF(COUNTIFS(L_Data,$A103,L_Desc,$B103,L_Valor,$N103,L_Tipo,$C103)&gt;1,"⚠ Possível duplicidade",IF(OR(AND($C103="Despesa",COUNTIF(CatD_Nome,$D103)=0),AND($C103="Receita",COUNTIF(CatR_Nome,$D103)=0)),"⚠ Categoria não combina com o tipo",IF(OR($N103="",$C103=""),"⚠ Falta valor ou tipo",""))))</f>
        <v/>
      </c>
      <c r="U103" s="40">
        <f>IF($A103="",0,P103*12+O103)</f>
        <v>24311</v>
      </c>
      <c r="V103" s="40">
        <f>IF($A103="",0,U103+MAX(0,N($I103)-MAX(N($H103),1)))</f>
        <v>24311</v>
      </c>
      <c r="W103" s="40">
        <f>IF(S103="",0,YEAR(S103)*12+MONTH(S103))</f>
        <v>0</v>
      </c>
      <c r="X103" s="40">
        <f>IF(W103=0,0,W103+V103-U103)</f>
        <v>0</v>
      </c>
      <c r="Y103" s="36">
        <f>IF(W103=0,0,N(R103)*MAX(0,X103-MAX(W103,YEAR(Cfg_Hoje)*12+MONTH(Cfg_Hoje)+IF(DAY(Cfg_Hoje)&gt;=INDEX(Cartoes_Fech,MATCH($F103,Cartoes_Nome,0)),1,0))+1))</f>
        <v>0</v>
      </c>
      <c r="Z103" s="40">
        <f>IF($A103="",0,DAY($A103))</f>
        <v>9</v>
      </c>
      <c r="AA103" s="40">
        <f>IF($A103="",0,WEEKDAY($A103))</f>
        <v>1</v>
      </c>
      <c r="AB103" s="36">
        <f>IF(AND($C103="Despesa",U103&gt;0,U103&lt;=Sel_Idx,V103&gt;=Sel_Idx),N(R103)+ROW()/1000000000,0)</f>
        <v>0</v>
      </c>
      <c r="AC103" s="40">
        <f>IF(AND($C103="Despesa",U103&gt;0,U103&lt;=Sel_Idx,V103&gt;=Sel_Idx),Z103*10000+ROW(),0)</f>
        <v>0</v>
      </c>
      <c r="AD103" s="40">
        <f>IF(AC103=0,0,COUNTIFS(L_CalChave,"&gt;0",L_CalChave,"&lt;"&amp;AC103)+1)</f>
        <v>0</v>
      </c>
    </row>
    <row r="104">
      <c r="A104" s="38" t="n">
        <v>45970</v>
      </c>
      <c r="B104" s="39" t="inlineStr">
        <is>
          <t>Ração e petiscos</t>
        </is>
      </c>
      <c r="C104" s="34" t="inlineStr">
        <is>
          <t>Despesa</t>
        </is>
      </c>
      <c r="D104" s="34" t="inlineStr">
        <is>
          <t>Família/Pets</t>
        </is>
      </c>
      <c r="E104" s="34" t="inlineStr">
        <is>
          <t>Ração</t>
        </is>
      </c>
      <c r="F104" s="34" t="inlineStr">
        <is>
          <t>Cartão Azul Gold</t>
        </is>
      </c>
      <c r="G104" s="34" t="inlineStr">
        <is>
          <t>Crédito</t>
        </is>
      </c>
      <c r="H104" s="37" t="n"/>
      <c r="I104" s="37" t="n"/>
      <c r="J104" s="34" t="inlineStr">
        <is>
          <t>Pago</t>
        </is>
      </c>
      <c r="K104" s="34" t="n"/>
      <c r="L104" s="34" t="n"/>
      <c r="M104" s="39" t="inlineStr">
        <is>
          <t>EXEMPLO</t>
        </is>
      </c>
      <c r="N104" s="35" t="n">
        <v>199.61</v>
      </c>
      <c r="O104" s="40">
        <f>IF($A104="","",MONTH($A104))</f>
        <v>11</v>
      </c>
      <c r="P104" s="40">
        <f>IF($A104="","",YEAR($A104))</f>
        <v>2025</v>
      </c>
      <c r="Q104" s="41">
        <f>IF($A104="","",DATE(P104,O104,1))</f>
        <v>45962.0</v>
      </c>
      <c r="R104" s="36">
        <f>IF(OR($A104="",$N104=""),"",IF(AND($C104&lt;&gt;"Transferência",N($I104)&gt;1),$N104/$I104,$N104))</f>
        <v>199.61</v>
      </c>
      <c r="S104" s="41">
        <f>IF(OR($A104="",$F104="",$C104&lt;&gt;"Despesa"),"",IF(COUNTIF(Cartoes_Nome,$F104)=0,"",DATE(P104,O104+IF(DAY($A104)&gt;=INDEX(Cartoes_Fech,MATCH($F104,Cartoes_Nome,0)),1,0),1)))</f>
        <v>45962.0</v>
      </c>
      <c r="T104" s="42" t="str">
        <f>IF($A104="","",IF(COUNTIFS(L_Data,$A104,L_Desc,$B104,L_Valor,$N104,L_Tipo,$C104)&gt;1,"⚠ Possível duplicidade",IF(OR(AND($C104="Despesa",COUNTIF(CatD_Nome,$D104)=0),AND($C104="Receita",COUNTIF(CatR_Nome,$D104)=0)),"⚠ Categoria não combina com o tipo",IF(OR($N104="",$C104=""),"⚠ Falta valor ou tipo",""))))</f>
        <v/>
      </c>
      <c r="U104" s="40">
        <f>IF($A104="",0,P104*12+O104)</f>
        <v>24311</v>
      </c>
      <c r="V104" s="40">
        <f>IF($A104="",0,U104+MAX(0,N($I104)-MAX(N($H104),1)))</f>
        <v>24311</v>
      </c>
      <c r="W104" s="40">
        <f>IF(S104="",0,YEAR(S104)*12+MONTH(S104))</f>
        <v>24311</v>
      </c>
      <c r="X104" s="40">
        <f>IF(W104=0,0,W104+V104-U104)</f>
        <v>24311</v>
      </c>
      <c r="Y104" s="36">
        <f>IF(W104=0,0,N(R104)*MAX(0,X104-MAX(W104,YEAR(Cfg_Hoje)*12+MONTH(Cfg_Hoje)+IF(DAY(Cfg_Hoje)&gt;=INDEX(Cartoes_Fech,MATCH($F104,Cartoes_Nome,0)),1,0))+1))</f>
        <v>0</v>
      </c>
      <c r="Z104" s="40">
        <f>IF($A104="",0,DAY($A104))</f>
        <v>9</v>
      </c>
      <c r="AA104" s="40">
        <f>IF($A104="",0,WEEKDAY($A104))</f>
        <v>1</v>
      </c>
      <c r="AB104" s="36">
        <f>IF(AND($C104="Despesa",U104&gt;0,U104&lt;=Sel_Idx,V104&gt;=Sel_Idx),N(R104)+ROW()/1000000000,0)</f>
        <v>0</v>
      </c>
      <c r="AC104" s="40">
        <f>IF(AND($C104="Despesa",U104&gt;0,U104&lt;=Sel_Idx,V104&gt;=Sel_Idx),Z104*10000+ROW(),0)</f>
        <v>0</v>
      </c>
      <c r="AD104" s="40">
        <f>IF(AC104=0,0,COUNTIFS(L_CalChave,"&gt;0",L_CalChave,"&lt;"&amp;AC104)+1)</f>
        <v>0</v>
      </c>
    </row>
    <row r="105">
      <c r="A105" s="38" t="n">
        <v>45971</v>
      </c>
      <c r="B105" s="39" t="inlineStr">
        <is>
          <t>Aluguel recebido - apto 12</t>
        </is>
      </c>
      <c r="C105" s="34" t="inlineStr">
        <is>
          <t>Receita</t>
        </is>
      </c>
      <c r="D105" s="34" t="inlineStr">
        <is>
          <t>Aluguel recebido</t>
        </is>
      </c>
      <c r="E105" s="34" t="n"/>
      <c r="F105" s="34" t="inlineStr">
        <is>
          <t>Conta Corrente Banco Azul</t>
        </is>
      </c>
      <c r="G105" s="34" t="inlineStr">
        <is>
          <t>Pix</t>
        </is>
      </c>
      <c r="H105" s="37" t="n"/>
      <c r="I105" s="37" t="n"/>
      <c r="J105" s="34" t="inlineStr">
        <is>
          <t>Pago</t>
        </is>
      </c>
      <c r="K105" s="34" t="n"/>
      <c r="L105" s="34" t="n"/>
      <c r="M105" s="39" t="inlineStr">
        <is>
          <t>EXEMPLO</t>
        </is>
      </c>
      <c r="N105" s="35" t="n">
        <v>1900</v>
      </c>
      <c r="O105" s="40">
        <f>IF($A105="","",MONTH($A105))</f>
        <v>11</v>
      </c>
      <c r="P105" s="40">
        <f>IF($A105="","",YEAR($A105))</f>
        <v>2025</v>
      </c>
      <c r="Q105" s="41">
        <f>IF($A105="","",DATE(P105,O105,1))</f>
        <v>45962.0</v>
      </c>
      <c r="R105" s="36">
        <f>IF(OR($A105="",$N105=""),"",IF(AND($C105&lt;&gt;"Transferência",N($I105)&gt;1),$N105/$I105,$N105))</f>
        <v>1900</v>
      </c>
      <c r="S105" s="41" t="str">
        <f>IF(OR($A105="",$F105="",$C105&lt;&gt;"Despesa"),"",IF(COUNTIF(Cartoes_Nome,$F105)=0,"",DATE(P105,O105+IF(DAY($A105)&gt;=INDEX(Cartoes_Fech,MATCH($F105,Cartoes_Nome,0)),1,0),1)))</f>
        <v/>
      </c>
      <c r="T105" s="42" t="str">
        <f>IF($A105="","",IF(COUNTIFS(L_Data,$A105,L_Desc,$B105,L_Valor,$N105,L_Tipo,$C105)&gt;1,"⚠ Possível duplicidade",IF(OR(AND($C105="Despesa",COUNTIF(CatD_Nome,$D105)=0),AND($C105="Receita",COUNTIF(CatR_Nome,$D105)=0)),"⚠ Categoria não combina com o tipo",IF(OR($N105="",$C105=""),"⚠ Falta valor ou tipo",""))))</f>
        <v/>
      </c>
      <c r="U105" s="40">
        <f>IF($A105="",0,P105*12+O105)</f>
        <v>24311</v>
      </c>
      <c r="V105" s="40">
        <f>IF($A105="",0,U105+MAX(0,N($I105)-MAX(N($H105),1)))</f>
        <v>24311</v>
      </c>
      <c r="W105" s="40">
        <f>IF(S105="",0,YEAR(S105)*12+MONTH(S105))</f>
        <v>0</v>
      </c>
      <c r="X105" s="40">
        <f>IF(W105=0,0,W105+V105-U105)</f>
        <v>0</v>
      </c>
      <c r="Y105" s="36">
        <f>IF(W105=0,0,N(R105)*MAX(0,X105-MAX(W105,YEAR(Cfg_Hoje)*12+MONTH(Cfg_Hoje)+IF(DAY(Cfg_Hoje)&gt;=INDEX(Cartoes_Fech,MATCH($F105,Cartoes_Nome,0)),1,0))+1))</f>
        <v>0</v>
      </c>
      <c r="Z105" s="40">
        <f>IF($A105="",0,DAY($A105))</f>
        <v>10</v>
      </c>
      <c r="AA105" s="40">
        <f>IF($A105="",0,WEEKDAY($A105))</f>
        <v>2</v>
      </c>
      <c r="AB105" s="36">
        <f>IF(AND($C105="Despesa",U105&gt;0,U105&lt;=Sel_Idx,V105&gt;=Sel_Idx),N(R105)+ROW()/1000000000,0)</f>
        <v>0</v>
      </c>
      <c r="AC105" s="40">
        <f>IF(AND($C105="Despesa",U105&gt;0,U105&lt;=Sel_Idx,V105&gt;=Sel_Idx),Z105*10000+ROW(),0)</f>
        <v>0</v>
      </c>
      <c r="AD105" s="40">
        <f>IF(AC105=0,0,COUNTIFS(L_CalChave,"&gt;0",L_CalChave,"&lt;"&amp;AC105)+1)</f>
        <v>0</v>
      </c>
    </row>
    <row r="106">
      <c r="A106" s="38" t="n">
        <v>45971</v>
      </c>
      <c r="B106" s="39" t="inlineStr">
        <is>
          <t>Aluguel residencial</t>
        </is>
      </c>
      <c r="C106" s="34" t="inlineStr">
        <is>
          <t>Despesa</t>
        </is>
      </c>
      <c r="D106" s="34" t="inlineStr">
        <is>
          <t>Moradia</t>
        </is>
      </c>
      <c r="E106" s="34" t="inlineStr">
        <is>
          <t>Aluguel</t>
        </is>
      </c>
      <c r="F106" s="34" t="inlineStr">
        <is>
          <t>Conta Corrente Banco Azul</t>
        </is>
      </c>
      <c r="G106" s="34" t="inlineStr">
        <is>
          <t>Boleto</t>
        </is>
      </c>
      <c r="H106" s="37" t="n"/>
      <c r="I106" s="37" t="n"/>
      <c r="J106" s="34" t="inlineStr">
        <is>
          <t>Pago</t>
        </is>
      </c>
      <c r="K106" s="34" t="n"/>
      <c r="L106" s="34" t="n"/>
      <c r="M106" s="39" t="inlineStr">
        <is>
          <t>EXEMPLO</t>
        </is>
      </c>
      <c r="N106" s="35" t="n">
        <v>2400</v>
      </c>
      <c r="O106" s="40">
        <f>IF($A106="","",MONTH($A106))</f>
        <v>11</v>
      </c>
      <c r="P106" s="40">
        <f>IF($A106="","",YEAR($A106))</f>
        <v>2025</v>
      </c>
      <c r="Q106" s="41">
        <f>IF($A106="","",DATE(P106,O106,1))</f>
        <v>45962.0</v>
      </c>
      <c r="R106" s="36">
        <f>IF(OR($A106="",$N106=""),"",IF(AND($C106&lt;&gt;"Transferência",N($I106)&gt;1),$N106/$I106,$N106))</f>
        <v>2400</v>
      </c>
      <c r="S106" s="41" t="str">
        <f>IF(OR($A106="",$F106="",$C106&lt;&gt;"Despesa"),"",IF(COUNTIF(Cartoes_Nome,$F106)=0,"",DATE(P106,O106+IF(DAY($A106)&gt;=INDEX(Cartoes_Fech,MATCH($F106,Cartoes_Nome,0)),1,0),1)))</f>
        <v/>
      </c>
      <c r="T106" s="42" t="str">
        <f>IF($A106="","",IF(COUNTIFS(L_Data,$A106,L_Desc,$B106,L_Valor,$N106,L_Tipo,$C106)&gt;1,"⚠ Possível duplicidade",IF(OR(AND($C106="Despesa",COUNTIF(CatD_Nome,$D106)=0),AND($C106="Receita",COUNTIF(CatR_Nome,$D106)=0)),"⚠ Categoria não combina com o tipo",IF(OR($N106="",$C106=""),"⚠ Falta valor ou tipo",""))))</f>
        <v/>
      </c>
      <c r="U106" s="40">
        <f>IF($A106="",0,P106*12+O106)</f>
        <v>24311</v>
      </c>
      <c r="V106" s="40">
        <f>IF($A106="",0,U106+MAX(0,N($I106)-MAX(N($H106),1)))</f>
        <v>24311</v>
      </c>
      <c r="W106" s="40">
        <f>IF(S106="",0,YEAR(S106)*12+MONTH(S106))</f>
        <v>0</v>
      </c>
      <c r="X106" s="40">
        <f>IF(W106=0,0,W106+V106-U106)</f>
        <v>0</v>
      </c>
      <c r="Y106" s="36">
        <f>IF(W106=0,0,N(R106)*MAX(0,X106-MAX(W106,YEAR(Cfg_Hoje)*12+MONTH(Cfg_Hoje)+IF(DAY(Cfg_Hoje)&gt;=INDEX(Cartoes_Fech,MATCH($F106,Cartoes_Nome,0)),1,0))+1))</f>
        <v>0</v>
      </c>
      <c r="Z106" s="40">
        <f>IF($A106="",0,DAY($A106))</f>
        <v>10</v>
      </c>
      <c r="AA106" s="40">
        <f>IF($A106="",0,WEEKDAY($A106))</f>
        <v>2</v>
      </c>
      <c r="AB106" s="36">
        <f>IF(AND($C106="Despesa",U106&gt;0,U106&lt;=Sel_Idx,V106&gt;=Sel_Idx),N(R106)+ROW()/1000000000,0)</f>
        <v>0</v>
      </c>
      <c r="AC106" s="40">
        <f>IF(AND($C106="Despesa",U106&gt;0,U106&lt;=Sel_Idx,V106&gt;=Sel_Idx),Z106*10000+ROW(),0)</f>
        <v>0</v>
      </c>
      <c r="AD106" s="40">
        <f>IF(AC106=0,0,COUNTIFS(L_CalChave,"&gt;0",L_CalChave,"&lt;"&amp;AC106)+1)</f>
        <v>0</v>
      </c>
    </row>
    <row r="107">
      <c r="A107" s="38" t="n">
        <v>45971</v>
      </c>
      <c r="B107" s="39" t="inlineStr">
        <is>
          <t>Condomínio</t>
        </is>
      </c>
      <c r="C107" s="34" t="inlineStr">
        <is>
          <t>Despesa</t>
        </is>
      </c>
      <c r="D107" s="34" t="inlineStr">
        <is>
          <t>Moradia</t>
        </is>
      </c>
      <c r="E107" s="34" t="inlineStr">
        <is>
          <t>Condomínio</t>
        </is>
      </c>
      <c r="F107" s="34" t="inlineStr">
        <is>
          <t>Conta Corrente Banco Azul</t>
        </is>
      </c>
      <c r="G107" s="34" t="inlineStr">
        <is>
          <t>Boleto</t>
        </is>
      </c>
      <c r="H107" s="37" t="n"/>
      <c r="I107" s="37" t="n"/>
      <c r="J107" s="34" t="inlineStr">
        <is>
          <t>Pago</t>
        </is>
      </c>
      <c r="K107" s="34" t="n"/>
      <c r="L107" s="34" t="n"/>
      <c r="M107" s="39" t="inlineStr">
        <is>
          <t>EXEMPLO</t>
        </is>
      </c>
      <c r="N107" s="35" t="n">
        <v>650</v>
      </c>
      <c r="O107" s="40">
        <f>IF($A107="","",MONTH($A107))</f>
        <v>11</v>
      </c>
      <c r="P107" s="40">
        <f>IF($A107="","",YEAR($A107))</f>
        <v>2025</v>
      </c>
      <c r="Q107" s="41">
        <f>IF($A107="","",DATE(P107,O107,1))</f>
        <v>45962.0</v>
      </c>
      <c r="R107" s="36">
        <f>IF(OR($A107="",$N107=""),"",IF(AND($C107&lt;&gt;"Transferência",N($I107)&gt;1),$N107/$I107,$N107))</f>
        <v>650</v>
      </c>
      <c r="S107" s="41" t="str">
        <f>IF(OR($A107="",$F107="",$C107&lt;&gt;"Despesa"),"",IF(COUNTIF(Cartoes_Nome,$F107)=0,"",DATE(P107,O107+IF(DAY($A107)&gt;=INDEX(Cartoes_Fech,MATCH($F107,Cartoes_Nome,0)),1,0),1)))</f>
        <v/>
      </c>
      <c r="T107" s="42" t="str">
        <f>IF($A107="","",IF(COUNTIFS(L_Data,$A107,L_Desc,$B107,L_Valor,$N107,L_Tipo,$C107)&gt;1,"⚠ Possível duplicidade",IF(OR(AND($C107="Despesa",COUNTIF(CatD_Nome,$D107)=0),AND($C107="Receita",COUNTIF(CatR_Nome,$D107)=0)),"⚠ Categoria não combina com o tipo",IF(OR($N107="",$C107=""),"⚠ Falta valor ou tipo",""))))</f>
        <v/>
      </c>
      <c r="U107" s="40">
        <f>IF($A107="",0,P107*12+O107)</f>
        <v>24311</v>
      </c>
      <c r="V107" s="40">
        <f>IF($A107="",0,U107+MAX(0,N($I107)-MAX(N($H107),1)))</f>
        <v>24311</v>
      </c>
      <c r="W107" s="40">
        <f>IF(S107="",0,YEAR(S107)*12+MONTH(S107))</f>
        <v>0</v>
      </c>
      <c r="X107" s="40">
        <f>IF(W107=0,0,W107+V107-U107)</f>
        <v>0</v>
      </c>
      <c r="Y107" s="36">
        <f>IF(W107=0,0,N(R107)*MAX(0,X107-MAX(W107,YEAR(Cfg_Hoje)*12+MONTH(Cfg_Hoje)+IF(DAY(Cfg_Hoje)&gt;=INDEX(Cartoes_Fech,MATCH($F107,Cartoes_Nome,0)),1,0))+1))</f>
        <v>0</v>
      </c>
      <c r="Z107" s="40">
        <f>IF($A107="",0,DAY($A107))</f>
        <v>10</v>
      </c>
      <c r="AA107" s="40">
        <f>IF($A107="",0,WEEKDAY($A107))</f>
        <v>2</v>
      </c>
      <c r="AB107" s="36">
        <f>IF(AND($C107="Despesa",U107&gt;0,U107&lt;=Sel_Idx,V107&gt;=Sel_Idx),N(R107)+ROW()/1000000000,0)</f>
        <v>0</v>
      </c>
      <c r="AC107" s="40">
        <f>IF(AND($C107="Despesa",U107&gt;0,U107&lt;=Sel_Idx,V107&gt;=Sel_Idx),Z107*10000+ROW(),0)</f>
        <v>0</v>
      </c>
      <c r="AD107" s="40">
        <f>IF(AC107=0,0,COUNTIFS(L_CalChave,"&gt;0",L_CalChave,"&lt;"&amp;AC107)+1)</f>
        <v>0</v>
      </c>
    </row>
    <row r="108">
      <c r="A108" s="38" t="n">
        <v>45973</v>
      </c>
      <c r="B108" s="39" t="inlineStr">
        <is>
          <t>Streaming de música</t>
        </is>
      </c>
      <c r="C108" s="34" t="inlineStr">
        <is>
          <t>Despesa</t>
        </is>
      </c>
      <c r="D108" s="34" t="inlineStr">
        <is>
          <t>Assinaturas</t>
        </is>
      </c>
      <c r="E108" s="34" t="inlineStr">
        <is>
          <t>Música</t>
        </is>
      </c>
      <c r="F108" s="34" t="inlineStr">
        <is>
          <t>Cartão Roxinho</t>
        </is>
      </c>
      <c r="G108" s="34" t="inlineStr">
        <is>
          <t>Crédito</t>
        </is>
      </c>
      <c r="H108" s="37" t="n"/>
      <c r="I108" s="37" t="n"/>
      <c r="J108" s="34" t="inlineStr">
        <is>
          <t>Pago</t>
        </is>
      </c>
      <c r="K108" s="34" t="n"/>
      <c r="L108" s="34" t="n"/>
      <c r="M108" s="39" t="inlineStr">
        <is>
          <t>EXEMPLO</t>
        </is>
      </c>
      <c r="N108" s="35" t="n">
        <v>21.9</v>
      </c>
      <c r="O108" s="40">
        <f>IF($A108="","",MONTH($A108))</f>
        <v>11</v>
      </c>
      <c r="P108" s="40">
        <f>IF($A108="","",YEAR($A108))</f>
        <v>2025</v>
      </c>
      <c r="Q108" s="41">
        <f>IF($A108="","",DATE(P108,O108,1))</f>
        <v>45962.0</v>
      </c>
      <c r="R108" s="36">
        <f>IF(OR($A108="",$N108=""),"",IF(AND($C108&lt;&gt;"Transferência",N($I108)&gt;1),$N108/$I108,$N108))</f>
        <v>21.9</v>
      </c>
      <c r="S108" s="41">
        <f>IF(OR($A108="",$F108="",$C108&lt;&gt;"Despesa"),"",IF(COUNTIF(Cartoes_Nome,$F108)=0,"",DATE(P108,O108+IF(DAY($A108)&gt;=INDEX(Cartoes_Fech,MATCH($F108,Cartoes_Nome,0)),1,0),1)))</f>
        <v>45962.0</v>
      </c>
      <c r="T108" s="42" t="str">
        <f>IF($A108="","",IF(COUNTIFS(L_Data,$A108,L_Desc,$B108,L_Valor,$N108,L_Tipo,$C108)&gt;1,"⚠ Possível duplicidade",IF(OR(AND($C108="Despesa",COUNTIF(CatD_Nome,$D108)=0),AND($C108="Receita",COUNTIF(CatR_Nome,$D108)=0)),"⚠ Categoria não combina com o tipo",IF(OR($N108="",$C108=""),"⚠ Falta valor ou tipo",""))))</f>
        <v/>
      </c>
      <c r="U108" s="40">
        <f>IF($A108="",0,P108*12+O108)</f>
        <v>24311</v>
      </c>
      <c r="V108" s="40">
        <f>IF($A108="",0,U108+MAX(0,N($I108)-MAX(N($H108),1)))</f>
        <v>24311</v>
      </c>
      <c r="W108" s="40">
        <f>IF(S108="",0,YEAR(S108)*12+MONTH(S108))</f>
        <v>24311</v>
      </c>
      <c r="X108" s="40">
        <f>IF(W108=0,0,W108+V108-U108)</f>
        <v>24311</v>
      </c>
      <c r="Y108" s="36">
        <f>IF(W108=0,0,N(R108)*MAX(0,X108-MAX(W108,YEAR(Cfg_Hoje)*12+MONTH(Cfg_Hoje)+IF(DAY(Cfg_Hoje)&gt;=INDEX(Cartoes_Fech,MATCH($F108,Cartoes_Nome,0)),1,0))+1))</f>
        <v>0</v>
      </c>
      <c r="Z108" s="40">
        <f>IF($A108="",0,DAY($A108))</f>
        <v>12</v>
      </c>
      <c r="AA108" s="40">
        <f>IF($A108="",0,WEEKDAY($A108))</f>
        <v>4</v>
      </c>
      <c r="AB108" s="36">
        <f>IF(AND($C108="Despesa",U108&gt;0,U108&lt;=Sel_Idx,V108&gt;=Sel_Idx),N(R108)+ROW()/1000000000,0)</f>
        <v>0</v>
      </c>
      <c r="AC108" s="40">
        <f>IF(AND($C108="Despesa",U108&gt;0,U108&lt;=Sel_Idx,V108&gt;=Sel_Idx),Z108*10000+ROW(),0)</f>
        <v>0</v>
      </c>
      <c r="AD108" s="40">
        <f>IF(AC108=0,0,COUNTIFS(L_CalChave,"&gt;0",L_CalChave,"&lt;"&amp;AC108)+1)</f>
        <v>0</v>
      </c>
    </row>
    <row r="109">
      <c r="A109" s="38" t="n">
        <v>45973</v>
      </c>
      <c r="B109" s="39" t="inlineStr">
        <is>
          <t>Streaming de vídeo</t>
        </is>
      </c>
      <c r="C109" s="34" t="inlineStr">
        <is>
          <t>Despesa</t>
        </is>
      </c>
      <c r="D109" s="34" t="inlineStr">
        <is>
          <t>Assinaturas</t>
        </is>
      </c>
      <c r="E109" s="34" t="inlineStr">
        <is>
          <t>Streaming</t>
        </is>
      </c>
      <c r="F109" s="34" t="inlineStr">
        <is>
          <t>Cartão Roxinho</t>
        </is>
      </c>
      <c r="G109" s="34" t="inlineStr">
        <is>
          <t>Crédito</t>
        </is>
      </c>
      <c r="H109" s="37" t="n"/>
      <c r="I109" s="37" t="n"/>
      <c r="J109" s="34" t="inlineStr">
        <is>
          <t>Pago</t>
        </is>
      </c>
      <c r="K109" s="34" t="n"/>
      <c r="L109" s="34" t="n"/>
      <c r="M109" s="39" t="inlineStr">
        <is>
          <t>EXEMPLO</t>
        </is>
      </c>
      <c r="N109" s="35" t="n">
        <v>55.9</v>
      </c>
      <c r="O109" s="40">
        <f>IF($A109="","",MONTH($A109))</f>
        <v>11</v>
      </c>
      <c r="P109" s="40">
        <f>IF($A109="","",YEAR($A109))</f>
        <v>2025</v>
      </c>
      <c r="Q109" s="41">
        <f>IF($A109="","",DATE(P109,O109,1))</f>
        <v>45962.0</v>
      </c>
      <c r="R109" s="36">
        <f>IF(OR($A109="",$N109=""),"",IF(AND($C109&lt;&gt;"Transferência",N($I109)&gt;1),$N109/$I109,$N109))</f>
        <v>55.9</v>
      </c>
      <c r="S109" s="41">
        <f>IF(OR($A109="",$F109="",$C109&lt;&gt;"Despesa"),"",IF(COUNTIF(Cartoes_Nome,$F109)=0,"",DATE(P109,O109+IF(DAY($A109)&gt;=INDEX(Cartoes_Fech,MATCH($F109,Cartoes_Nome,0)),1,0),1)))</f>
        <v>45962.0</v>
      </c>
      <c r="T109" s="42" t="str">
        <f>IF($A109="","",IF(COUNTIFS(L_Data,$A109,L_Desc,$B109,L_Valor,$N109,L_Tipo,$C109)&gt;1,"⚠ Possível duplicidade",IF(OR(AND($C109="Despesa",COUNTIF(CatD_Nome,$D109)=0),AND($C109="Receita",COUNTIF(CatR_Nome,$D109)=0)),"⚠ Categoria não combina com o tipo",IF(OR($N109="",$C109=""),"⚠ Falta valor ou tipo",""))))</f>
        <v/>
      </c>
      <c r="U109" s="40">
        <f>IF($A109="",0,P109*12+O109)</f>
        <v>24311</v>
      </c>
      <c r="V109" s="40">
        <f>IF($A109="",0,U109+MAX(0,N($I109)-MAX(N($H109),1)))</f>
        <v>24311</v>
      </c>
      <c r="W109" s="40">
        <f>IF(S109="",0,YEAR(S109)*12+MONTH(S109))</f>
        <v>24311</v>
      </c>
      <c r="X109" s="40">
        <f>IF(W109=0,0,W109+V109-U109)</f>
        <v>24311</v>
      </c>
      <c r="Y109" s="36">
        <f>IF(W109=0,0,N(R109)*MAX(0,X109-MAX(W109,YEAR(Cfg_Hoje)*12+MONTH(Cfg_Hoje)+IF(DAY(Cfg_Hoje)&gt;=INDEX(Cartoes_Fech,MATCH($F109,Cartoes_Nome,0)),1,0))+1))</f>
        <v>0</v>
      </c>
      <c r="Z109" s="40">
        <f>IF($A109="",0,DAY($A109))</f>
        <v>12</v>
      </c>
      <c r="AA109" s="40">
        <f>IF($A109="",0,WEEKDAY($A109))</f>
        <v>4</v>
      </c>
      <c r="AB109" s="36">
        <f>IF(AND($C109="Despesa",U109&gt;0,U109&lt;=Sel_Idx,V109&gt;=Sel_Idx),N(R109)+ROW()/1000000000,0)</f>
        <v>0</v>
      </c>
      <c r="AC109" s="40">
        <f>IF(AND($C109="Despesa",U109&gt;0,U109&lt;=Sel_Idx,V109&gt;=Sel_Idx),Z109*10000+ROW(),0)</f>
        <v>0</v>
      </c>
      <c r="AD109" s="40">
        <f>IF(AC109=0,0,COUNTIFS(L_CalChave,"&gt;0",L_CalChave,"&lt;"&amp;AC109)+1)</f>
        <v>0</v>
      </c>
    </row>
    <row r="110">
      <c r="A110" s="38" t="n">
        <v>45973</v>
      </c>
      <c r="B110" s="39" t="inlineStr">
        <is>
          <t>Supermercado</t>
        </is>
      </c>
      <c r="C110" s="34" t="inlineStr">
        <is>
          <t>Despesa</t>
        </is>
      </c>
      <c r="D110" s="34" t="inlineStr">
        <is>
          <t>Alimentação</t>
        </is>
      </c>
      <c r="E110" s="34" t="inlineStr">
        <is>
          <t>Mercado</t>
        </is>
      </c>
      <c r="F110" s="34" t="inlineStr">
        <is>
          <t>Conta Corrente Banco Azul</t>
        </is>
      </c>
      <c r="G110" s="34" t="inlineStr">
        <is>
          <t>Débito</t>
        </is>
      </c>
      <c r="H110" s="37" t="n"/>
      <c r="I110" s="37" t="n"/>
      <c r="J110" s="34" t="inlineStr">
        <is>
          <t>Pago</t>
        </is>
      </c>
      <c r="K110" s="34" t="n"/>
      <c r="L110" s="34" t="n"/>
      <c r="M110" s="39" t="inlineStr">
        <is>
          <t>EXEMPLO</t>
        </is>
      </c>
      <c r="N110" s="35" t="n">
        <v>316.05</v>
      </c>
      <c r="O110" s="40">
        <f>IF($A110="","",MONTH($A110))</f>
        <v>11</v>
      </c>
      <c r="P110" s="40">
        <f>IF($A110="","",YEAR($A110))</f>
        <v>2025</v>
      </c>
      <c r="Q110" s="41">
        <f>IF($A110="","",DATE(P110,O110,1))</f>
        <v>45962.0</v>
      </c>
      <c r="R110" s="36">
        <f>IF(OR($A110="",$N110=""),"",IF(AND($C110&lt;&gt;"Transferência",N($I110)&gt;1),$N110/$I110,$N110))</f>
        <v>316.05</v>
      </c>
      <c r="S110" s="41" t="str">
        <f>IF(OR($A110="",$F110="",$C110&lt;&gt;"Despesa"),"",IF(COUNTIF(Cartoes_Nome,$F110)=0,"",DATE(P110,O110+IF(DAY($A110)&gt;=INDEX(Cartoes_Fech,MATCH($F110,Cartoes_Nome,0)),1,0),1)))</f>
        <v/>
      </c>
      <c r="T110" s="42" t="str">
        <f>IF($A110="","",IF(COUNTIFS(L_Data,$A110,L_Desc,$B110,L_Valor,$N110,L_Tipo,$C110)&gt;1,"⚠ Possível duplicidade",IF(OR(AND($C110="Despesa",COUNTIF(CatD_Nome,$D110)=0),AND($C110="Receita",COUNTIF(CatR_Nome,$D110)=0)),"⚠ Categoria não combina com o tipo",IF(OR($N110="",$C110=""),"⚠ Falta valor ou tipo",""))))</f>
        <v/>
      </c>
      <c r="U110" s="40">
        <f>IF($A110="",0,P110*12+O110)</f>
        <v>24311</v>
      </c>
      <c r="V110" s="40">
        <f>IF($A110="",0,U110+MAX(0,N($I110)-MAX(N($H110),1)))</f>
        <v>24311</v>
      </c>
      <c r="W110" s="40">
        <f>IF(S110="",0,YEAR(S110)*12+MONTH(S110))</f>
        <v>0</v>
      </c>
      <c r="X110" s="40">
        <f>IF(W110=0,0,W110+V110-U110)</f>
        <v>0</v>
      </c>
      <c r="Y110" s="36">
        <f>IF(W110=0,0,N(R110)*MAX(0,X110-MAX(W110,YEAR(Cfg_Hoje)*12+MONTH(Cfg_Hoje)+IF(DAY(Cfg_Hoje)&gt;=INDEX(Cartoes_Fech,MATCH($F110,Cartoes_Nome,0)),1,0))+1))</f>
        <v>0</v>
      </c>
      <c r="Z110" s="40">
        <f>IF($A110="",0,DAY($A110))</f>
        <v>12</v>
      </c>
      <c r="AA110" s="40">
        <f>IF($A110="",0,WEEKDAY($A110))</f>
        <v>4</v>
      </c>
      <c r="AB110" s="36">
        <f>IF(AND($C110="Despesa",U110&gt;0,U110&lt;=Sel_Idx,V110&gt;=Sel_Idx),N(R110)+ROW()/1000000000,0)</f>
        <v>0</v>
      </c>
      <c r="AC110" s="40">
        <f>IF(AND($C110="Despesa",U110&gt;0,U110&lt;=Sel_Idx,V110&gt;=Sel_Idx),Z110*10000+ROW(),0)</f>
        <v>0</v>
      </c>
      <c r="AD110" s="40">
        <f>IF(AC110=0,0,COUNTIFS(L_CalChave,"&gt;0",L_CalChave,"&lt;"&amp;AC110)+1)</f>
        <v>0</v>
      </c>
    </row>
    <row r="111">
      <c r="A111" s="38" t="n">
        <v>45975</v>
      </c>
      <c r="B111" s="39" t="inlineStr">
        <is>
          <t>Armazenamento em nuvem</t>
        </is>
      </c>
      <c r="C111" s="34" t="inlineStr">
        <is>
          <t>Despesa</t>
        </is>
      </c>
      <c r="D111" s="34" t="inlineStr">
        <is>
          <t>Assinaturas</t>
        </is>
      </c>
      <c r="E111" s="34" t="inlineStr">
        <is>
          <t>Nuvem</t>
        </is>
      </c>
      <c r="F111" s="34" t="inlineStr">
        <is>
          <t>Cartão Azul Gold</t>
        </is>
      </c>
      <c r="G111" s="34" t="inlineStr">
        <is>
          <t>Crédito</t>
        </is>
      </c>
      <c r="H111" s="37" t="n"/>
      <c r="I111" s="37" t="n"/>
      <c r="J111" s="34" t="inlineStr">
        <is>
          <t>Pago</t>
        </is>
      </c>
      <c r="K111" s="34" t="n"/>
      <c r="L111" s="34" t="n"/>
      <c r="M111" s="39" t="inlineStr">
        <is>
          <t>EXEMPLO</t>
        </is>
      </c>
      <c r="N111" s="35" t="n">
        <v>14.9</v>
      </c>
      <c r="O111" s="40">
        <f>IF($A111="","",MONTH($A111))</f>
        <v>11</v>
      </c>
      <c r="P111" s="40">
        <f>IF($A111="","",YEAR($A111))</f>
        <v>2025</v>
      </c>
      <c r="Q111" s="41">
        <f>IF($A111="","",DATE(P111,O111,1))</f>
        <v>45962.0</v>
      </c>
      <c r="R111" s="36">
        <f>IF(OR($A111="",$N111=""),"",IF(AND($C111&lt;&gt;"Transferência",N($I111)&gt;1),$N111/$I111,$N111))</f>
        <v>14.9</v>
      </c>
      <c r="S111" s="41">
        <f>IF(OR($A111="",$F111="",$C111&lt;&gt;"Despesa"),"",IF(COUNTIF(Cartoes_Nome,$F111)=0,"",DATE(P111,O111+IF(DAY($A111)&gt;=INDEX(Cartoes_Fech,MATCH($F111,Cartoes_Nome,0)),1,0),1)))</f>
        <v>45992.0</v>
      </c>
      <c r="T111" s="42" t="str">
        <f>IF($A111="","",IF(COUNTIFS(L_Data,$A111,L_Desc,$B111,L_Valor,$N111,L_Tipo,$C111)&gt;1,"⚠ Possível duplicidade",IF(OR(AND($C111="Despesa",COUNTIF(CatD_Nome,$D111)=0),AND($C111="Receita",COUNTIF(CatR_Nome,$D111)=0)),"⚠ Categoria não combina com o tipo",IF(OR($N111="",$C111=""),"⚠ Falta valor ou tipo",""))))</f>
        <v/>
      </c>
      <c r="U111" s="40">
        <f>IF($A111="",0,P111*12+O111)</f>
        <v>24311</v>
      </c>
      <c r="V111" s="40">
        <f>IF($A111="",0,U111+MAX(0,N($I111)-MAX(N($H111),1)))</f>
        <v>24311</v>
      </c>
      <c r="W111" s="40">
        <f>IF(S111="",0,YEAR(S111)*12+MONTH(S111))</f>
        <v>24312</v>
      </c>
      <c r="X111" s="40">
        <f>IF(W111=0,0,W111+V111-U111)</f>
        <v>24312</v>
      </c>
      <c r="Y111" s="36">
        <f>IF(W111=0,0,N(R111)*MAX(0,X111-MAX(W111,YEAR(Cfg_Hoje)*12+MONTH(Cfg_Hoje)+IF(DAY(Cfg_Hoje)&gt;=INDEX(Cartoes_Fech,MATCH($F111,Cartoes_Nome,0)),1,0))+1))</f>
        <v>0</v>
      </c>
      <c r="Z111" s="40">
        <f>IF($A111="",0,DAY($A111))</f>
        <v>14</v>
      </c>
      <c r="AA111" s="40">
        <f>IF($A111="",0,WEEKDAY($A111))</f>
        <v>6</v>
      </c>
      <c r="AB111" s="36">
        <f>IF(AND($C111="Despesa",U111&gt;0,U111&lt;=Sel_Idx,V111&gt;=Sel_Idx),N(R111)+ROW()/1000000000,0)</f>
        <v>0</v>
      </c>
      <c r="AC111" s="40">
        <f>IF(AND($C111="Despesa",U111&gt;0,U111&lt;=Sel_Idx,V111&gt;=Sel_Idx),Z111*10000+ROW(),0)</f>
        <v>0</v>
      </c>
      <c r="AD111" s="40">
        <f>IF(AC111=0,0,COUNTIFS(L_CalChave,"&gt;0",L_CalChave,"&lt;"&amp;AC111)+1)</f>
        <v>0</v>
      </c>
    </row>
    <row r="112">
      <c r="A112" s="38" t="n">
        <v>45975</v>
      </c>
      <c r="B112" s="39" t="inlineStr">
        <is>
          <t>Restaurante</t>
        </is>
      </c>
      <c r="C112" s="34" t="inlineStr">
        <is>
          <t>Despesa</t>
        </is>
      </c>
      <c r="D112" s="34" t="inlineStr">
        <is>
          <t>Alimentação</t>
        </is>
      </c>
      <c r="E112" s="34" t="inlineStr">
        <is>
          <t>Delivery</t>
        </is>
      </c>
      <c r="F112" s="34" t="inlineStr">
        <is>
          <t>Cartão Roxinho</t>
        </is>
      </c>
      <c r="G112" s="34" t="inlineStr">
        <is>
          <t>Crédito</t>
        </is>
      </c>
      <c r="H112" s="37" t="n"/>
      <c r="I112" s="37" t="n"/>
      <c r="J112" s="34" t="inlineStr">
        <is>
          <t>Pago</t>
        </is>
      </c>
      <c r="K112" s="34" t="n"/>
      <c r="L112" s="34" t="n"/>
      <c r="M112" s="39" t="inlineStr">
        <is>
          <t>EXEMPLO</t>
        </is>
      </c>
      <c r="N112" s="35" t="n">
        <v>46.45</v>
      </c>
      <c r="O112" s="40">
        <f>IF($A112="","",MONTH($A112))</f>
        <v>11</v>
      </c>
      <c r="P112" s="40">
        <f>IF($A112="","",YEAR($A112))</f>
        <v>2025</v>
      </c>
      <c r="Q112" s="41">
        <f>IF($A112="","",DATE(P112,O112,1))</f>
        <v>45962.0</v>
      </c>
      <c r="R112" s="36">
        <f>IF(OR($A112="",$N112=""),"",IF(AND($C112&lt;&gt;"Transferência",N($I112)&gt;1),$N112/$I112,$N112))</f>
        <v>46.45</v>
      </c>
      <c r="S112" s="41">
        <f>IF(OR($A112="",$F112="",$C112&lt;&gt;"Despesa"),"",IF(COUNTIF(Cartoes_Nome,$F112)=0,"",DATE(P112,O112+IF(DAY($A112)&gt;=INDEX(Cartoes_Fech,MATCH($F112,Cartoes_Nome,0)),1,0),1)))</f>
        <v>45962.0</v>
      </c>
      <c r="T112" s="42" t="str">
        <f>IF($A112="","",IF(COUNTIFS(L_Data,$A112,L_Desc,$B112,L_Valor,$N112,L_Tipo,$C112)&gt;1,"⚠ Possível duplicidade",IF(OR(AND($C112="Despesa",COUNTIF(CatD_Nome,$D112)=0),AND($C112="Receita",COUNTIF(CatR_Nome,$D112)=0)),"⚠ Categoria não combina com o tipo",IF(OR($N112="",$C112=""),"⚠ Falta valor ou tipo",""))))</f>
        <v/>
      </c>
      <c r="U112" s="40">
        <f>IF($A112="",0,P112*12+O112)</f>
        <v>24311</v>
      </c>
      <c r="V112" s="40">
        <f>IF($A112="",0,U112+MAX(0,N($I112)-MAX(N($H112),1)))</f>
        <v>24311</v>
      </c>
      <c r="W112" s="40">
        <f>IF(S112="",0,YEAR(S112)*12+MONTH(S112))</f>
        <v>24311</v>
      </c>
      <c r="X112" s="40">
        <f>IF(W112=0,0,W112+V112-U112)</f>
        <v>24311</v>
      </c>
      <c r="Y112" s="36">
        <f>IF(W112=0,0,N(R112)*MAX(0,X112-MAX(W112,YEAR(Cfg_Hoje)*12+MONTH(Cfg_Hoje)+IF(DAY(Cfg_Hoje)&gt;=INDEX(Cartoes_Fech,MATCH($F112,Cartoes_Nome,0)),1,0))+1))</f>
        <v>0</v>
      </c>
      <c r="Z112" s="40">
        <f>IF($A112="",0,DAY($A112))</f>
        <v>14</v>
      </c>
      <c r="AA112" s="40">
        <f>IF($A112="",0,WEEKDAY($A112))</f>
        <v>6</v>
      </c>
      <c r="AB112" s="36">
        <f>IF(AND($C112="Despesa",U112&gt;0,U112&lt;=Sel_Idx,V112&gt;=Sel_Idx),N(R112)+ROW()/1000000000,0)</f>
        <v>0</v>
      </c>
      <c r="AC112" s="40">
        <f>IF(AND($C112="Despesa",U112&gt;0,U112&lt;=Sel_Idx,V112&gt;=Sel_Idx),Z112*10000+ROW(),0)</f>
        <v>0</v>
      </c>
      <c r="AD112" s="40">
        <f>IF(AC112=0,0,COUNTIFS(L_CalChave,"&gt;0",L_CalChave,"&lt;"&amp;AC112)+1)</f>
        <v>0</v>
      </c>
    </row>
    <row r="113">
      <c r="A113" s="38" t="n">
        <v>45976</v>
      </c>
      <c r="B113" s="39" t="inlineStr">
        <is>
          <t>Combustível</t>
        </is>
      </c>
      <c r="C113" s="34" t="inlineStr">
        <is>
          <t>Despesa</t>
        </is>
      </c>
      <c r="D113" s="34" t="inlineStr">
        <is>
          <t>Transporte</t>
        </is>
      </c>
      <c r="E113" s="34" t="inlineStr">
        <is>
          <t>Combustível</t>
        </is>
      </c>
      <c r="F113" s="34" t="inlineStr">
        <is>
          <t>Cartão Roxinho</t>
        </is>
      </c>
      <c r="G113" s="34" t="inlineStr">
        <is>
          <t>Crédito</t>
        </is>
      </c>
      <c r="H113" s="37" t="n"/>
      <c r="I113" s="37" t="n"/>
      <c r="J113" s="34" t="inlineStr">
        <is>
          <t>Pago</t>
        </is>
      </c>
      <c r="K113" s="34" t="n"/>
      <c r="L113" s="34" t="n"/>
      <c r="M113" s="39" t="inlineStr">
        <is>
          <t>EXEMPLO</t>
        </is>
      </c>
      <c r="N113" s="35" t="n">
        <v>189.66</v>
      </c>
      <c r="O113" s="40">
        <f>IF($A113="","",MONTH($A113))</f>
        <v>11</v>
      </c>
      <c r="P113" s="40">
        <f>IF($A113="","",YEAR($A113))</f>
        <v>2025</v>
      </c>
      <c r="Q113" s="41">
        <f>IF($A113="","",DATE(P113,O113,1))</f>
        <v>45962.0</v>
      </c>
      <c r="R113" s="36">
        <f>IF(OR($A113="",$N113=""),"",IF(AND($C113&lt;&gt;"Transferência",N($I113)&gt;1),$N113/$I113,$N113))</f>
        <v>189.66</v>
      </c>
      <c r="S113" s="41">
        <f>IF(OR($A113="",$F113="",$C113&lt;&gt;"Despesa"),"",IF(COUNTIF(Cartoes_Nome,$F113)=0,"",DATE(P113,O113+IF(DAY($A113)&gt;=INDEX(Cartoes_Fech,MATCH($F113,Cartoes_Nome,0)),1,0),1)))</f>
        <v>45962.0</v>
      </c>
      <c r="T113" s="42" t="str">
        <f>IF($A113="","",IF(COUNTIFS(L_Data,$A113,L_Desc,$B113,L_Valor,$N113,L_Tipo,$C113)&gt;1,"⚠ Possível duplicidade",IF(OR(AND($C113="Despesa",COUNTIF(CatD_Nome,$D113)=0),AND($C113="Receita",COUNTIF(CatR_Nome,$D113)=0)),"⚠ Categoria não combina com o tipo",IF(OR($N113="",$C113=""),"⚠ Falta valor ou tipo",""))))</f>
        <v/>
      </c>
      <c r="U113" s="40">
        <f>IF($A113="",0,P113*12+O113)</f>
        <v>24311</v>
      </c>
      <c r="V113" s="40">
        <f>IF($A113="",0,U113+MAX(0,N($I113)-MAX(N($H113),1)))</f>
        <v>24311</v>
      </c>
      <c r="W113" s="40">
        <f>IF(S113="",0,YEAR(S113)*12+MONTH(S113))</f>
        <v>24311</v>
      </c>
      <c r="X113" s="40">
        <f>IF(W113=0,0,W113+V113-U113)</f>
        <v>24311</v>
      </c>
      <c r="Y113" s="36">
        <f>IF(W113=0,0,N(R113)*MAX(0,X113-MAX(W113,YEAR(Cfg_Hoje)*12+MONTH(Cfg_Hoje)+IF(DAY(Cfg_Hoje)&gt;=INDEX(Cartoes_Fech,MATCH($F113,Cartoes_Nome,0)),1,0))+1))</f>
        <v>0</v>
      </c>
      <c r="Z113" s="40">
        <f>IF($A113="",0,DAY($A113))</f>
        <v>15</v>
      </c>
      <c r="AA113" s="40">
        <f>IF($A113="",0,WEEKDAY($A113))</f>
        <v>7</v>
      </c>
      <c r="AB113" s="36">
        <f>IF(AND($C113="Despesa",U113&gt;0,U113&lt;=Sel_Idx,V113&gt;=Sel_Idx),N(R113)+ROW()/1000000000,0)</f>
        <v>0</v>
      </c>
      <c r="AC113" s="40">
        <f>IF(AND($C113="Despesa",U113&gt;0,U113&lt;=Sel_Idx,V113&gt;=Sel_Idx),Z113*10000+ROW(),0)</f>
        <v>0</v>
      </c>
      <c r="AD113" s="40">
        <f>IF(AC113=0,0,COUNTIFS(L_CalChave,"&gt;0",L_CalChave,"&lt;"&amp;AC113)+1)</f>
        <v>0</v>
      </c>
    </row>
    <row r="114">
      <c r="A114" s="38" t="n">
        <v>45976</v>
      </c>
      <c r="B114" s="39" t="inlineStr">
        <is>
          <t>Conta de energia</t>
        </is>
      </c>
      <c r="C114" s="34" t="inlineStr">
        <is>
          <t>Despesa</t>
        </is>
      </c>
      <c r="D114" s="34" t="inlineStr">
        <is>
          <t>Moradia</t>
        </is>
      </c>
      <c r="E114" s="34" t="inlineStr">
        <is>
          <t>Energia</t>
        </is>
      </c>
      <c r="F114" s="34" t="inlineStr">
        <is>
          <t>Conta Corrente Banco Azul</t>
        </is>
      </c>
      <c r="G114" s="34" t="inlineStr">
        <is>
          <t>Débito automático</t>
        </is>
      </c>
      <c r="H114" s="37" t="n"/>
      <c r="I114" s="37" t="n"/>
      <c r="J114" s="34" t="inlineStr">
        <is>
          <t>Pago</t>
        </is>
      </c>
      <c r="K114" s="34" t="n"/>
      <c r="L114" s="34" t="n"/>
      <c r="M114" s="39" t="inlineStr">
        <is>
          <t>EXEMPLO</t>
        </is>
      </c>
      <c r="N114" s="35" t="n">
        <v>222.51</v>
      </c>
      <c r="O114" s="40">
        <f>IF($A114="","",MONTH($A114))</f>
        <v>11</v>
      </c>
      <c r="P114" s="40">
        <f>IF($A114="","",YEAR($A114))</f>
        <v>2025</v>
      </c>
      <c r="Q114" s="41">
        <f>IF($A114="","",DATE(P114,O114,1))</f>
        <v>45962.0</v>
      </c>
      <c r="R114" s="36">
        <f>IF(OR($A114="",$N114=""),"",IF(AND($C114&lt;&gt;"Transferência",N($I114)&gt;1),$N114/$I114,$N114))</f>
        <v>222.51</v>
      </c>
      <c r="S114" s="41" t="str">
        <f>IF(OR($A114="",$F114="",$C114&lt;&gt;"Despesa"),"",IF(COUNTIF(Cartoes_Nome,$F114)=0,"",DATE(P114,O114+IF(DAY($A114)&gt;=INDEX(Cartoes_Fech,MATCH($F114,Cartoes_Nome,0)),1,0),1)))</f>
        <v/>
      </c>
      <c r="T114" s="42" t="str">
        <f>IF($A114="","",IF(COUNTIFS(L_Data,$A114,L_Desc,$B114,L_Valor,$N114,L_Tipo,$C114)&gt;1,"⚠ Possível duplicidade",IF(OR(AND($C114="Despesa",COUNTIF(CatD_Nome,$D114)=0),AND($C114="Receita",COUNTIF(CatR_Nome,$D114)=0)),"⚠ Categoria não combina com o tipo",IF(OR($N114="",$C114=""),"⚠ Falta valor ou tipo",""))))</f>
        <v/>
      </c>
      <c r="U114" s="40">
        <f>IF($A114="",0,P114*12+O114)</f>
        <v>24311</v>
      </c>
      <c r="V114" s="40">
        <f>IF($A114="",0,U114+MAX(0,N($I114)-MAX(N($H114),1)))</f>
        <v>24311</v>
      </c>
      <c r="W114" s="40">
        <f>IF(S114="",0,YEAR(S114)*12+MONTH(S114))</f>
        <v>0</v>
      </c>
      <c r="X114" s="40">
        <f>IF(W114=0,0,W114+V114-U114)</f>
        <v>0</v>
      </c>
      <c r="Y114" s="36">
        <f>IF(W114=0,0,N(R114)*MAX(0,X114-MAX(W114,YEAR(Cfg_Hoje)*12+MONTH(Cfg_Hoje)+IF(DAY(Cfg_Hoje)&gt;=INDEX(Cartoes_Fech,MATCH($F114,Cartoes_Nome,0)),1,0))+1))</f>
        <v>0</v>
      </c>
      <c r="Z114" s="40">
        <f>IF($A114="",0,DAY($A114))</f>
        <v>15</v>
      </c>
      <c r="AA114" s="40">
        <f>IF($A114="",0,WEEKDAY($A114))</f>
        <v>7</v>
      </c>
      <c r="AB114" s="36">
        <f>IF(AND($C114="Despesa",U114&gt;0,U114&lt;=Sel_Idx,V114&gt;=Sel_Idx),N(R114)+ROW()/1000000000,0)</f>
        <v>0</v>
      </c>
      <c r="AC114" s="40">
        <f>IF(AND($C114="Despesa",U114&gt;0,U114&lt;=Sel_Idx,V114&gt;=Sel_Idx),Z114*10000+ROW(),0)</f>
        <v>0</v>
      </c>
      <c r="AD114" s="40">
        <f>IF(AC114=0,0,COUNTIFS(L_CalChave,"&gt;0",L_CalChave,"&lt;"&amp;AC114)+1)</f>
        <v>0</v>
      </c>
    </row>
    <row r="115">
      <c r="A115" s="38" t="n">
        <v>45976</v>
      </c>
      <c r="B115" s="39" t="inlineStr">
        <is>
          <t>Conta de água</t>
        </is>
      </c>
      <c r="C115" s="34" t="inlineStr">
        <is>
          <t>Despesa</t>
        </is>
      </c>
      <c r="D115" s="34" t="inlineStr">
        <is>
          <t>Moradia</t>
        </is>
      </c>
      <c r="E115" s="34" t="inlineStr">
        <is>
          <t>Água</t>
        </is>
      </c>
      <c r="F115" s="34" t="inlineStr">
        <is>
          <t>Conta Corrente Banco Azul</t>
        </is>
      </c>
      <c r="G115" s="34" t="inlineStr">
        <is>
          <t>Débito automático</t>
        </is>
      </c>
      <c r="H115" s="37" t="n"/>
      <c r="I115" s="37" t="n"/>
      <c r="J115" s="34" t="inlineStr">
        <is>
          <t>Pago</t>
        </is>
      </c>
      <c r="K115" s="34" t="n"/>
      <c r="L115" s="34" t="n"/>
      <c r="M115" s="39" t="inlineStr">
        <is>
          <t>EXEMPLO</t>
        </is>
      </c>
      <c r="N115" s="35" t="n">
        <v>73.93000000000001</v>
      </c>
      <c r="O115" s="40">
        <f>IF($A115="","",MONTH($A115))</f>
        <v>11</v>
      </c>
      <c r="P115" s="40">
        <f>IF($A115="","",YEAR($A115))</f>
        <v>2025</v>
      </c>
      <c r="Q115" s="41">
        <f>IF($A115="","",DATE(P115,O115,1))</f>
        <v>45962.0</v>
      </c>
      <c r="R115" s="36">
        <f>IF(OR($A115="",$N115=""),"",IF(AND($C115&lt;&gt;"Transferência",N($I115)&gt;1),$N115/$I115,$N115))</f>
        <v>73.93</v>
      </c>
      <c r="S115" s="41" t="str">
        <f>IF(OR($A115="",$F115="",$C115&lt;&gt;"Despesa"),"",IF(COUNTIF(Cartoes_Nome,$F115)=0,"",DATE(P115,O115+IF(DAY($A115)&gt;=INDEX(Cartoes_Fech,MATCH($F115,Cartoes_Nome,0)),1,0),1)))</f>
        <v/>
      </c>
      <c r="T115" s="42" t="str">
        <f>IF($A115="","",IF(COUNTIFS(L_Data,$A115,L_Desc,$B115,L_Valor,$N115,L_Tipo,$C115)&gt;1,"⚠ Possível duplicidade",IF(OR(AND($C115="Despesa",COUNTIF(CatD_Nome,$D115)=0),AND($C115="Receita",COUNTIF(CatR_Nome,$D115)=0)),"⚠ Categoria não combina com o tipo",IF(OR($N115="",$C115=""),"⚠ Falta valor ou tipo",""))))</f>
        <v/>
      </c>
      <c r="U115" s="40">
        <f>IF($A115="",0,P115*12+O115)</f>
        <v>24311</v>
      </c>
      <c r="V115" s="40">
        <f>IF($A115="",0,U115+MAX(0,N($I115)-MAX(N($H115),1)))</f>
        <v>24311</v>
      </c>
      <c r="W115" s="40">
        <f>IF(S115="",0,YEAR(S115)*12+MONTH(S115))</f>
        <v>0</v>
      </c>
      <c r="X115" s="40">
        <f>IF(W115=0,0,W115+V115-U115)</f>
        <v>0</v>
      </c>
      <c r="Y115" s="36">
        <f>IF(W115=0,0,N(R115)*MAX(0,X115-MAX(W115,YEAR(Cfg_Hoje)*12+MONTH(Cfg_Hoje)+IF(DAY(Cfg_Hoje)&gt;=INDEX(Cartoes_Fech,MATCH($F115,Cartoes_Nome,0)),1,0))+1))</f>
        <v>0</v>
      </c>
      <c r="Z115" s="40">
        <f>IF($A115="",0,DAY($A115))</f>
        <v>15</v>
      </c>
      <c r="AA115" s="40">
        <f>IF($A115="",0,WEEKDAY($A115))</f>
        <v>7</v>
      </c>
      <c r="AB115" s="36">
        <f>IF(AND($C115="Despesa",U115&gt;0,U115&lt;=Sel_Idx,V115&gt;=Sel_Idx),N(R115)+ROW()/1000000000,0)</f>
        <v>0</v>
      </c>
      <c r="AC115" s="40">
        <f>IF(AND($C115="Despesa",U115&gt;0,U115&lt;=Sel_Idx,V115&gt;=Sel_Idx),Z115*10000+ROW(),0)</f>
        <v>0</v>
      </c>
      <c r="AD115" s="40">
        <f>IF(AC115=0,0,COUNTIFS(L_CalChave,"&gt;0",L_CalChave,"&lt;"&amp;AC115)+1)</f>
        <v>0</v>
      </c>
    </row>
    <row r="116">
      <c r="A116" s="38" t="n">
        <v>45977</v>
      </c>
      <c r="B116" s="39" t="inlineStr">
        <is>
          <t>Delivery de comida</t>
        </is>
      </c>
      <c r="C116" s="34" t="inlineStr">
        <is>
          <t>Despesa</t>
        </is>
      </c>
      <c r="D116" s="34" t="inlineStr">
        <is>
          <t>Alimentação</t>
        </is>
      </c>
      <c r="E116" s="34" t="inlineStr">
        <is>
          <t>Restaurantes</t>
        </is>
      </c>
      <c r="F116" s="34" t="inlineStr">
        <is>
          <t>Cartão Roxinho</t>
        </is>
      </c>
      <c r="G116" s="34" t="inlineStr">
        <is>
          <t>Crédito</t>
        </is>
      </c>
      <c r="H116" s="37" t="n"/>
      <c r="I116" s="37" t="n"/>
      <c r="J116" s="34" t="inlineStr">
        <is>
          <t>Pago</t>
        </is>
      </c>
      <c r="K116" s="34" t="n"/>
      <c r="L116" s="34" t="n"/>
      <c r="M116" s="39" t="inlineStr">
        <is>
          <t>EXEMPLO</t>
        </is>
      </c>
      <c r="N116" s="35" t="n">
        <v>92.33</v>
      </c>
      <c r="O116" s="40">
        <f>IF($A116="","",MONTH($A116))</f>
        <v>11</v>
      </c>
      <c r="P116" s="40">
        <f>IF($A116="","",YEAR($A116))</f>
        <v>2025</v>
      </c>
      <c r="Q116" s="41">
        <f>IF($A116="","",DATE(P116,O116,1))</f>
        <v>45962.0</v>
      </c>
      <c r="R116" s="36">
        <f>IF(OR($A116="",$N116=""),"",IF(AND($C116&lt;&gt;"Transferência",N($I116)&gt;1),$N116/$I116,$N116))</f>
        <v>92.33</v>
      </c>
      <c r="S116" s="41">
        <f>IF(OR($A116="",$F116="",$C116&lt;&gt;"Despesa"),"",IF(COUNTIF(Cartoes_Nome,$F116)=0,"",DATE(P116,O116+IF(DAY($A116)&gt;=INDEX(Cartoes_Fech,MATCH($F116,Cartoes_Nome,0)),1,0),1)))</f>
        <v>45962.0</v>
      </c>
      <c r="T116" s="42" t="str">
        <f>IF($A116="","",IF(COUNTIFS(L_Data,$A116,L_Desc,$B116,L_Valor,$N116,L_Tipo,$C116)&gt;1,"⚠ Possível duplicidade",IF(OR(AND($C116="Despesa",COUNTIF(CatD_Nome,$D116)=0),AND($C116="Receita",COUNTIF(CatR_Nome,$D116)=0)),"⚠ Categoria não combina com o tipo",IF(OR($N116="",$C116=""),"⚠ Falta valor ou tipo",""))))</f>
        <v/>
      </c>
      <c r="U116" s="40">
        <f>IF($A116="",0,P116*12+O116)</f>
        <v>24311</v>
      </c>
      <c r="V116" s="40">
        <f>IF($A116="",0,U116+MAX(0,N($I116)-MAX(N($H116),1)))</f>
        <v>24311</v>
      </c>
      <c r="W116" s="40">
        <f>IF(S116="",0,YEAR(S116)*12+MONTH(S116))</f>
        <v>24311</v>
      </c>
      <c r="X116" s="40">
        <f>IF(W116=0,0,W116+V116-U116)</f>
        <v>24311</v>
      </c>
      <c r="Y116" s="36">
        <f>IF(W116=0,0,N(R116)*MAX(0,X116-MAX(W116,YEAR(Cfg_Hoje)*12+MONTH(Cfg_Hoje)+IF(DAY(Cfg_Hoje)&gt;=INDEX(Cartoes_Fech,MATCH($F116,Cartoes_Nome,0)),1,0))+1))</f>
        <v>0</v>
      </c>
      <c r="Z116" s="40">
        <f>IF($A116="",0,DAY($A116))</f>
        <v>16</v>
      </c>
      <c r="AA116" s="40">
        <f>IF($A116="",0,WEEKDAY($A116))</f>
        <v>1</v>
      </c>
      <c r="AB116" s="36">
        <f>IF(AND($C116="Despesa",U116&gt;0,U116&lt;=Sel_Idx,V116&gt;=Sel_Idx),N(R116)+ROW()/1000000000,0)</f>
        <v>0</v>
      </c>
      <c r="AC116" s="40">
        <f>IF(AND($C116="Despesa",U116&gt;0,U116&lt;=Sel_Idx,V116&gt;=Sel_Idx),Z116*10000+ROW(),0)</f>
        <v>0</v>
      </c>
      <c r="AD116" s="40">
        <f>IF(AC116=0,0,COUNTIFS(L_CalChave,"&gt;0",L_CalChave,"&lt;"&amp;AC116)+1)</f>
        <v>0</v>
      </c>
    </row>
    <row r="117">
      <c r="A117" s="38" t="n">
        <v>45978</v>
      </c>
      <c r="B117" s="39" t="inlineStr">
        <is>
          <t>Pagamento fatura Cartão Azul Gold</t>
        </is>
      </c>
      <c r="C117" s="34" t="inlineStr">
        <is>
          <t>Transferência</t>
        </is>
      </c>
      <c r="D117" s="34" t="n"/>
      <c r="E117" s="34" t="n"/>
      <c r="F117" s="34" t="inlineStr">
        <is>
          <t>Conta Corrente Banco Azul</t>
        </is>
      </c>
      <c r="G117" s="34" t="inlineStr">
        <is>
          <t>Débito automático</t>
        </is>
      </c>
      <c r="H117" s="37" t="n"/>
      <c r="I117" s="37" t="n"/>
      <c r="J117" s="34" t="inlineStr">
        <is>
          <t>Pago</t>
        </is>
      </c>
      <c r="K117" s="34" t="n"/>
      <c r="L117" s="34" t="n"/>
      <c r="M117" s="39" t="inlineStr">
        <is>
          <t>EXEMPLO</t>
        </is>
      </c>
      <c r="N117" s="35" t="n">
        <v>-1506.39</v>
      </c>
      <c r="O117" s="40">
        <f>IF($A117="","",MONTH($A117))</f>
        <v>11</v>
      </c>
      <c r="P117" s="40">
        <f>IF($A117="","",YEAR($A117))</f>
        <v>2025</v>
      </c>
      <c r="Q117" s="41">
        <f>IF($A117="","",DATE(P117,O117,1))</f>
        <v>45962.0</v>
      </c>
      <c r="R117" s="36">
        <f>IF(OR($A117="",$N117=""),"",IF(AND($C117&lt;&gt;"Transferência",N($I117)&gt;1),$N117/$I117,$N117))</f>
        <v>-1506.39</v>
      </c>
      <c r="S117" s="41" t="str">
        <f>IF(OR($A117="",$F117="",$C117&lt;&gt;"Despesa"),"",IF(COUNTIF(Cartoes_Nome,$F117)=0,"",DATE(P117,O117+IF(DAY($A117)&gt;=INDEX(Cartoes_Fech,MATCH($F117,Cartoes_Nome,0)),1,0),1)))</f>
        <v/>
      </c>
      <c r="T117" s="42" t="str">
        <f>IF($A117="","",IF(COUNTIFS(L_Data,$A117,L_Desc,$B117,L_Valor,$N117,L_Tipo,$C117)&gt;1,"⚠ Possível duplicidade",IF(OR(AND($C117="Despesa",COUNTIF(CatD_Nome,$D117)=0),AND($C117="Receita",COUNTIF(CatR_Nome,$D117)=0)),"⚠ Categoria não combina com o tipo",IF(OR($N117="",$C117=""),"⚠ Falta valor ou tipo",""))))</f>
        <v/>
      </c>
      <c r="U117" s="40">
        <f>IF($A117="",0,P117*12+O117)</f>
        <v>24311</v>
      </c>
      <c r="V117" s="40">
        <f>IF($A117="",0,U117+MAX(0,N($I117)-MAX(N($H117),1)))</f>
        <v>24311</v>
      </c>
      <c r="W117" s="40">
        <f>IF(S117="",0,YEAR(S117)*12+MONTH(S117))</f>
        <v>0</v>
      </c>
      <c r="X117" s="40">
        <f>IF(W117=0,0,W117+V117-U117)</f>
        <v>0</v>
      </c>
      <c r="Y117" s="36">
        <f>IF(W117=0,0,N(R117)*MAX(0,X117-MAX(W117,YEAR(Cfg_Hoje)*12+MONTH(Cfg_Hoje)+IF(DAY(Cfg_Hoje)&gt;=INDEX(Cartoes_Fech,MATCH($F117,Cartoes_Nome,0)),1,0))+1))</f>
        <v>0</v>
      </c>
      <c r="Z117" s="40">
        <f>IF($A117="",0,DAY($A117))</f>
        <v>17</v>
      </c>
      <c r="AA117" s="40">
        <f>IF($A117="",0,WEEKDAY($A117))</f>
        <v>2</v>
      </c>
      <c r="AB117" s="36">
        <f>IF(AND($C117="Despesa",U117&gt;0,U117&lt;=Sel_Idx,V117&gt;=Sel_Idx),N(R117)+ROW()/1000000000,0)</f>
        <v>0</v>
      </c>
      <c r="AC117" s="40">
        <f>IF(AND($C117="Despesa",U117&gt;0,U117&lt;=Sel_Idx,V117&gt;=Sel_Idx),Z117*10000+ROW(),0)</f>
        <v>0</v>
      </c>
      <c r="AD117" s="40">
        <f>IF(AC117=0,0,COUNTIFS(L_CalChave,"&gt;0",L_CalChave,"&lt;"&amp;AC117)+1)</f>
        <v>0</v>
      </c>
    </row>
    <row r="118">
      <c r="A118" s="38" t="n">
        <v>45980</v>
      </c>
      <c r="B118" s="39" t="inlineStr">
        <is>
          <t>Show</t>
        </is>
      </c>
      <c r="C118" s="34" t="inlineStr">
        <is>
          <t>Despesa</t>
        </is>
      </c>
      <c r="D118" s="34" t="inlineStr">
        <is>
          <t>Lazer</t>
        </is>
      </c>
      <c r="E118" s="34" t="inlineStr">
        <is>
          <t>Cinema</t>
        </is>
      </c>
      <c r="F118" s="34" t="inlineStr">
        <is>
          <t>Cartão Roxinho</t>
        </is>
      </c>
      <c r="G118" s="34" t="inlineStr">
        <is>
          <t>Crédito</t>
        </is>
      </c>
      <c r="H118" s="37" t="n"/>
      <c r="I118" s="37" t="n"/>
      <c r="J118" s="34" t="inlineStr">
        <is>
          <t>Pago</t>
        </is>
      </c>
      <c r="K118" s="34" t="n"/>
      <c r="L118" s="34" t="n"/>
      <c r="M118" s="39" t="inlineStr">
        <is>
          <t>EXEMPLO</t>
        </is>
      </c>
      <c r="N118" s="35" t="n">
        <v>121.49</v>
      </c>
      <c r="O118" s="40">
        <f>IF($A118="","",MONTH($A118))</f>
        <v>11</v>
      </c>
      <c r="P118" s="40">
        <f>IF($A118="","",YEAR($A118))</f>
        <v>2025</v>
      </c>
      <c r="Q118" s="41">
        <f>IF($A118="","",DATE(P118,O118,1))</f>
        <v>45962.0</v>
      </c>
      <c r="R118" s="36">
        <f>IF(OR($A118="",$N118=""),"",IF(AND($C118&lt;&gt;"Transferência",N($I118)&gt;1),$N118/$I118,$N118))</f>
        <v>121.49</v>
      </c>
      <c r="S118" s="41">
        <f>IF(OR($A118="",$F118="",$C118&lt;&gt;"Despesa"),"",IF(COUNTIF(Cartoes_Nome,$F118)=0,"",DATE(P118,O118+IF(DAY($A118)&gt;=INDEX(Cartoes_Fech,MATCH($F118,Cartoes_Nome,0)),1,0),1)))</f>
        <v>45962.0</v>
      </c>
      <c r="T118" s="42" t="str">
        <f>IF($A118="","",IF(COUNTIFS(L_Data,$A118,L_Desc,$B118,L_Valor,$N118,L_Tipo,$C118)&gt;1,"⚠ Possível duplicidade",IF(OR(AND($C118="Despesa",COUNTIF(CatD_Nome,$D118)=0),AND($C118="Receita",COUNTIF(CatR_Nome,$D118)=0)),"⚠ Categoria não combina com o tipo",IF(OR($N118="",$C118=""),"⚠ Falta valor ou tipo",""))))</f>
        <v/>
      </c>
      <c r="U118" s="40">
        <f>IF($A118="",0,P118*12+O118)</f>
        <v>24311</v>
      </c>
      <c r="V118" s="40">
        <f>IF($A118="",0,U118+MAX(0,N($I118)-MAX(N($H118),1)))</f>
        <v>24311</v>
      </c>
      <c r="W118" s="40">
        <f>IF(S118="",0,YEAR(S118)*12+MONTH(S118))</f>
        <v>24311</v>
      </c>
      <c r="X118" s="40">
        <f>IF(W118=0,0,W118+V118-U118)</f>
        <v>24311</v>
      </c>
      <c r="Y118" s="36">
        <f>IF(W118=0,0,N(R118)*MAX(0,X118-MAX(W118,YEAR(Cfg_Hoje)*12+MONTH(Cfg_Hoje)+IF(DAY(Cfg_Hoje)&gt;=INDEX(Cartoes_Fech,MATCH($F118,Cartoes_Nome,0)),1,0))+1))</f>
        <v>0</v>
      </c>
      <c r="Z118" s="40">
        <f>IF($A118="",0,DAY($A118))</f>
        <v>19</v>
      </c>
      <c r="AA118" s="40">
        <f>IF($A118="",0,WEEKDAY($A118))</f>
        <v>4</v>
      </c>
      <c r="AB118" s="36">
        <f>IF(AND($C118="Despesa",U118&gt;0,U118&lt;=Sel_Idx,V118&gt;=Sel_Idx),N(R118)+ROW()/1000000000,0)</f>
        <v>0</v>
      </c>
      <c r="AC118" s="40">
        <f>IF(AND($C118="Despesa",U118&gt;0,U118&lt;=Sel_Idx,V118&gt;=Sel_Idx),Z118*10000+ROW(),0)</f>
        <v>0</v>
      </c>
      <c r="AD118" s="40">
        <f>IF(AC118=0,0,COUNTIFS(L_CalChave,"&gt;0",L_CalChave,"&lt;"&amp;AC118)+1)</f>
        <v>0</v>
      </c>
    </row>
    <row r="119">
      <c r="A119" s="38" t="n">
        <v>45980</v>
      </c>
      <c r="B119" s="39" t="inlineStr">
        <is>
          <t>Supermercado</t>
        </is>
      </c>
      <c r="C119" s="34" t="inlineStr">
        <is>
          <t>Despesa</t>
        </is>
      </c>
      <c r="D119" s="34" t="inlineStr">
        <is>
          <t>Alimentação</t>
        </is>
      </c>
      <c r="E119" s="34" t="inlineStr">
        <is>
          <t>Mercado</t>
        </is>
      </c>
      <c r="F119" s="34" t="inlineStr">
        <is>
          <t>Cartão Azul Gold</t>
        </is>
      </c>
      <c r="G119" s="34" t="inlineStr">
        <is>
          <t>Crédito</t>
        </is>
      </c>
      <c r="H119" s="37" t="n"/>
      <c r="I119" s="37" t="n"/>
      <c r="J119" s="34" t="inlineStr">
        <is>
          <t>Pago</t>
        </is>
      </c>
      <c r="K119" s="34" t="n"/>
      <c r="L119" s="34" t="n"/>
      <c r="M119" s="39" t="inlineStr">
        <is>
          <t>EXEMPLO</t>
        </is>
      </c>
      <c r="N119" s="35" t="n">
        <v>390.06</v>
      </c>
      <c r="O119" s="40">
        <f>IF($A119="","",MONTH($A119))</f>
        <v>11</v>
      </c>
      <c r="P119" s="40">
        <f>IF($A119="","",YEAR($A119))</f>
        <v>2025</v>
      </c>
      <c r="Q119" s="41">
        <f>IF($A119="","",DATE(P119,O119,1))</f>
        <v>45962.0</v>
      </c>
      <c r="R119" s="36">
        <f>IF(OR($A119="",$N119=""),"",IF(AND($C119&lt;&gt;"Transferência",N($I119)&gt;1),$N119/$I119,$N119))</f>
        <v>390.06</v>
      </c>
      <c r="S119" s="41">
        <f>IF(OR($A119="",$F119="",$C119&lt;&gt;"Despesa"),"",IF(COUNTIF(Cartoes_Nome,$F119)=0,"",DATE(P119,O119+IF(DAY($A119)&gt;=INDEX(Cartoes_Fech,MATCH($F119,Cartoes_Nome,0)),1,0),1)))</f>
        <v>45992.0</v>
      </c>
      <c r="T119" s="42" t="str">
        <f>IF($A119="","",IF(COUNTIFS(L_Data,$A119,L_Desc,$B119,L_Valor,$N119,L_Tipo,$C119)&gt;1,"⚠ Possível duplicidade",IF(OR(AND($C119="Despesa",COUNTIF(CatD_Nome,$D119)=0),AND($C119="Receita",COUNTIF(CatR_Nome,$D119)=0)),"⚠ Categoria não combina com o tipo",IF(OR($N119="",$C119=""),"⚠ Falta valor ou tipo",""))))</f>
        <v/>
      </c>
      <c r="U119" s="40">
        <f>IF($A119="",0,P119*12+O119)</f>
        <v>24311</v>
      </c>
      <c r="V119" s="40">
        <f>IF($A119="",0,U119+MAX(0,N($I119)-MAX(N($H119),1)))</f>
        <v>24311</v>
      </c>
      <c r="W119" s="40">
        <f>IF(S119="",0,YEAR(S119)*12+MONTH(S119))</f>
        <v>24312</v>
      </c>
      <c r="X119" s="40">
        <f>IF(W119=0,0,W119+V119-U119)</f>
        <v>24312</v>
      </c>
      <c r="Y119" s="36">
        <f>IF(W119=0,0,N(R119)*MAX(0,X119-MAX(W119,YEAR(Cfg_Hoje)*12+MONTH(Cfg_Hoje)+IF(DAY(Cfg_Hoje)&gt;=INDEX(Cartoes_Fech,MATCH($F119,Cartoes_Nome,0)),1,0))+1))</f>
        <v>0</v>
      </c>
      <c r="Z119" s="40">
        <f>IF($A119="",0,DAY($A119))</f>
        <v>19</v>
      </c>
      <c r="AA119" s="40">
        <f>IF($A119="",0,WEEKDAY($A119))</f>
        <v>4</v>
      </c>
      <c r="AB119" s="36">
        <f>IF(AND($C119="Despesa",U119&gt;0,U119&lt;=Sel_Idx,V119&gt;=Sel_Idx),N(R119)+ROW()/1000000000,0)</f>
        <v>0</v>
      </c>
      <c r="AC119" s="40">
        <f>IF(AND($C119="Despesa",U119&gt;0,U119&lt;=Sel_Idx,V119&gt;=Sel_Idx),Z119*10000+ROW(),0)</f>
        <v>0</v>
      </c>
      <c r="AD119" s="40">
        <f>IF(AC119=0,0,COUNTIFS(L_CalChave,"&gt;0",L_CalChave,"&lt;"&amp;AC119)+1)</f>
        <v>0</v>
      </c>
    </row>
    <row r="120">
      <c r="A120" s="38" t="n">
        <v>45981</v>
      </c>
      <c r="B120" s="39" t="inlineStr">
        <is>
          <t>Internet fibra</t>
        </is>
      </c>
      <c r="C120" s="34" t="inlineStr">
        <is>
          <t>Despesa</t>
        </is>
      </c>
      <c r="D120" s="34" t="inlineStr">
        <is>
          <t>Moradia</t>
        </is>
      </c>
      <c r="E120" s="34" t="inlineStr">
        <is>
          <t>Internet</t>
        </is>
      </c>
      <c r="F120" s="34" t="inlineStr">
        <is>
          <t>Conta Corrente Banco Azul</t>
        </is>
      </c>
      <c r="G120" s="34" t="inlineStr">
        <is>
          <t>Débito automático</t>
        </is>
      </c>
      <c r="H120" s="37" t="n"/>
      <c r="I120" s="37" t="n"/>
      <c r="J120" s="34" t="inlineStr">
        <is>
          <t>Pago</t>
        </is>
      </c>
      <c r="K120" s="34" t="n"/>
      <c r="L120" s="34" t="n"/>
      <c r="M120" s="39" t="inlineStr">
        <is>
          <t>EXEMPLO</t>
        </is>
      </c>
      <c r="N120" s="35" t="n">
        <v>129.9</v>
      </c>
      <c r="O120" s="40">
        <f>IF($A120="","",MONTH($A120))</f>
        <v>11</v>
      </c>
      <c r="P120" s="40">
        <f>IF($A120="","",YEAR($A120))</f>
        <v>2025</v>
      </c>
      <c r="Q120" s="41">
        <f>IF($A120="","",DATE(P120,O120,1))</f>
        <v>45962.0</v>
      </c>
      <c r="R120" s="36">
        <f>IF(OR($A120="",$N120=""),"",IF(AND($C120&lt;&gt;"Transferência",N($I120)&gt;1),$N120/$I120,$N120))</f>
        <v>129.9</v>
      </c>
      <c r="S120" s="41" t="str">
        <f>IF(OR($A120="",$F120="",$C120&lt;&gt;"Despesa"),"",IF(COUNTIF(Cartoes_Nome,$F120)=0,"",DATE(P120,O120+IF(DAY($A120)&gt;=INDEX(Cartoes_Fech,MATCH($F120,Cartoes_Nome,0)),1,0),1)))</f>
        <v/>
      </c>
      <c r="T120" s="42" t="str">
        <f>IF($A120="","",IF(COUNTIFS(L_Data,$A120,L_Desc,$B120,L_Valor,$N120,L_Tipo,$C120)&gt;1,"⚠ Possível duplicidade",IF(OR(AND($C120="Despesa",COUNTIF(CatD_Nome,$D120)=0),AND($C120="Receita",COUNTIF(CatR_Nome,$D120)=0)),"⚠ Categoria não combina com o tipo",IF(OR($N120="",$C120=""),"⚠ Falta valor ou tipo",""))))</f>
        <v/>
      </c>
      <c r="U120" s="40">
        <f>IF($A120="",0,P120*12+O120)</f>
        <v>24311</v>
      </c>
      <c r="V120" s="40">
        <f>IF($A120="",0,U120+MAX(0,N($I120)-MAX(N($H120),1)))</f>
        <v>24311</v>
      </c>
      <c r="W120" s="40">
        <f>IF(S120="",0,YEAR(S120)*12+MONTH(S120))</f>
        <v>0</v>
      </c>
      <c r="X120" s="40">
        <f>IF(W120=0,0,W120+V120-U120)</f>
        <v>0</v>
      </c>
      <c r="Y120" s="36">
        <f>IF(W120=0,0,N(R120)*MAX(0,X120-MAX(W120,YEAR(Cfg_Hoje)*12+MONTH(Cfg_Hoje)+IF(DAY(Cfg_Hoje)&gt;=INDEX(Cartoes_Fech,MATCH($F120,Cartoes_Nome,0)),1,0))+1))</f>
        <v>0</v>
      </c>
      <c r="Z120" s="40">
        <f>IF($A120="",0,DAY($A120))</f>
        <v>20</v>
      </c>
      <c r="AA120" s="40">
        <f>IF($A120="",0,WEEKDAY($A120))</f>
        <v>5</v>
      </c>
      <c r="AB120" s="36">
        <f>IF(AND($C120="Despesa",U120&gt;0,U120&lt;=Sel_Idx,V120&gt;=Sel_Idx),N(R120)+ROW()/1000000000,0)</f>
        <v>0</v>
      </c>
      <c r="AC120" s="40">
        <f>IF(AND($C120="Despesa",U120&gt;0,U120&lt;=Sel_Idx,V120&gt;=Sel_Idx),Z120*10000+ROW(),0)</f>
        <v>0</v>
      </c>
      <c r="AD120" s="40">
        <f>IF(AC120=0,0,COUNTIFS(L_CalChave,"&gt;0",L_CalChave,"&lt;"&amp;AC120)+1)</f>
        <v>0</v>
      </c>
    </row>
    <row r="121">
      <c r="A121" s="38" t="n">
        <v>45981</v>
      </c>
      <c r="B121" s="39" t="inlineStr">
        <is>
          <t>Parcela financiamento do carro</t>
        </is>
      </c>
      <c r="C121" s="34" t="inlineStr">
        <is>
          <t>Despesa</t>
        </is>
      </c>
      <c r="D121" s="34" t="inlineStr">
        <is>
          <t>Dívidas e Financiamentos</t>
        </is>
      </c>
      <c r="E121" s="34" t="inlineStr">
        <is>
          <t>Financiamento</t>
        </is>
      </c>
      <c r="F121" s="34" t="inlineStr">
        <is>
          <t>Conta Corrente Banco Azul</t>
        </is>
      </c>
      <c r="G121" s="34" t="inlineStr">
        <is>
          <t>Débito automático</t>
        </is>
      </c>
      <c r="H121" s="37" t="n"/>
      <c r="I121" s="37" t="n"/>
      <c r="J121" s="34" t="inlineStr">
        <is>
          <t>Pago</t>
        </is>
      </c>
      <c r="K121" s="34" t="n"/>
      <c r="L121" s="34" t="n"/>
      <c r="M121" s="39" t="inlineStr">
        <is>
          <t>EXEMPLO</t>
        </is>
      </c>
      <c r="N121" s="35" t="n">
        <v>1150</v>
      </c>
      <c r="O121" s="40">
        <f>IF($A121="","",MONTH($A121))</f>
        <v>11</v>
      </c>
      <c r="P121" s="40">
        <f>IF($A121="","",YEAR($A121))</f>
        <v>2025</v>
      </c>
      <c r="Q121" s="41">
        <f>IF($A121="","",DATE(P121,O121,1))</f>
        <v>45962.0</v>
      </c>
      <c r="R121" s="36">
        <f>IF(OR($A121="",$N121=""),"",IF(AND($C121&lt;&gt;"Transferência",N($I121)&gt;1),$N121/$I121,$N121))</f>
        <v>1150</v>
      </c>
      <c r="S121" s="41" t="str">
        <f>IF(OR($A121="",$F121="",$C121&lt;&gt;"Despesa"),"",IF(COUNTIF(Cartoes_Nome,$F121)=0,"",DATE(P121,O121+IF(DAY($A121)&gt;=INDEX(Cartoes_Fech,MATCH($F121,Cartoes_Nome,0)),1,0),1)))</f>
        <v/>
      </c>
      <c r="T121" s="42" t="str">
        <f>IF($A121="","",IF(COUNTIFS(L_Data,$A121,L_Desc,$B121,L_Valor,$N121,L_Tipo,$C121)&gt;1,"⚠ Possível duplicidade",IF(OR(AND($C121="Despesa",COUNTIF(CatD_Nome,$D121)=0),AND($C121="Receita",COUNTIF(CatR_Nome,$D121)=0)),"⚠ Categoria não combina com o tipo",IF(OR($N121="",$C121=""),"⚠ Falta valor ou tipo",""))))</f>
        <v/>
      </c>
      <c r="U121" s="40">
        <f>IF($A121="",0,P121*12+O121)</f>
        <v>24311</v>
      </c>
      <c r="V121" s="40">
        <f>IF($A121="",0,U121+MAX(0,N($I121)-MAX(N($H121),1)))</f>
        <v>24311</v>
      </c>
      <c r="W121" s="40">
        <f>IF(S121="",0,YEAR(S121)*12+MONTH(S121))</f>
        <v>0</v>
      </c>
      <c r="X121" s="40">
        <f>IF(W121=0,0,W121+V121-U121)</f>
        <v>0</v>
      </c>
      <c r="Y121" s="36">
        <f>IF(W121=0,0,N(R121)*MAX(0,X121-MAX(W121,YEAR(Cfg_Hoje)*12+MONTH(Cfg_Hoje)+IF(DAY(Cfg_Hoje)&gt;=INDEX(Cartoes_Fech,MATCH($F121,Cartoes_Nome,0)),1,0))+1))</f>
        <v>0</v>
      </c>
      <c r="Z121" s="40">
        <f>IF($A121="",0,DAY($A121))</f>
        <v>20</v>
      </c>
      <c r="AA121" s="40">
        <f>IF($A121="",0,WEEKDAY($A121))</f>
        <v>5</v>
      </c>
      <c r="AB121" s="36">
        <f>IF(AND($C121="Despesa",U121&gt;0,U121&lt;=Sel_Idx,V121&gt;=Sel_Idx),N(R121)+ROW()/1000000000,0)</f>
        <v>0</v>
      </c>
      <c r="AC121" s="40">
        <f>IF(AND($C121="Despesa",U121&gt;0,U121&lt;=Sel_Idx,V121&gt;=Sel_Idx),Z121*10000+ROW(),0)</f>
        <v>0</v>
      </c>
      <c r="AD121" s="40">
        <f>IF(AC121=0,0,COUNTIFS(L_CalChave,"&gt;0",L_CalChave,"&lt;"&amp;AC121)+1)</f>
        <v>0</v>
      </c>
    </row>
    <row r="122">
      <c r="A122" s="38" t="n">
        <v>45982</v>
      </c>
      <c r="B122" s="39" t="inlineStr">
        <is>
          <t>Corrida de aplicativo</t>
        </is>
      </c>
      <c r="C122" s="34" t="inlineStr">
        <is>
          <t>Despesa</t>
        </is>
      </c>
      <c r="D122" s="34" t="inlineStr">
        <is>
          <t>Transporte</t>
        </is>
      </c>
      <c r="E122" s="34" t="inlineStr">
        <is>
          <t>App de transporte</t>
        </is>
      </c>
      <c r="F122" s="34" t="inlineStr">
        <is>
          <t>Conta Corrente Banco Azul</t>
        </is>
      </c>
      <c r="G122" s="34" t="inlineStr">
        <is>
          <t>Pix</t>
        </is>
      </c>
      <c r="H122" s="37" t="n"/>
      <c r="I122" s="37" t="n"/>
      <c r="J122" s="34" t="inlineStr">
        <is>
          <t>Pago</t>
        </is>
      </c>
      <c r="K122" s="34" t="n"/>
      <c r="L122" s="34" t="n"/>
      <c r="M122" s="39" t="inlineStr">
        <is>
          <t>EXEMPLO</t>
        </is>
      </c>
      <c r="N122" s="35" t="n">
        <v>28.72</v>
      </c>
      <c r="O122" s="40">
        <f>IF($A122="","",MONTH($A122))</f>
        <v>11</v>
      </c>
      <c r="P122" s="40">
        <f>IF($A122="","",YEAR($A122))</f>
        <v>2025</v>
      </c>
      <c r="Q122" s="41">
        <f>IF($A122="","",DATE(P122,O122,1))</f>
        <v>45962.0</v>
      </c>
      <c r="R122" s="36">
        <f>IF(OR($A122="",$N122=""),"",IF(AND($C122&lt;&gt;"Transferência",N($I122)&gt;1),$N122/$I122,$N122))</f>
        <v>28.72</v>
      </c>
      <c r="S122" s="41" t="str">
        <f>IF(OR($A122="",$F122="",$C122&lt;&gt;"Despesa"),"",IF(COUNTIF(Cartoes_Nome,$F122)=0,"",DATE(P122,O122+IF(DAY($A122)&gt;=INDEX(Cartoes_Fech,MATCH($F122,Cartoes_Nome,0)),1,0),1)))</f>
        <v/>
      </c>
      <c r="T122" s="42" t="str">
        <f>IF($A122="","",IF(COUNTIFS(L_Data,$A122,L_Desc,$B122,L_Valor,$N122,L_Tipo,$C122)&gt;1,"⚠ Possível duplicidade",IF(OR(AND($C122="Despesa",COUNTIF(CatD_Nome,$D122)=0),AND($C122="Receita",COUNTIF(CatR_Nome,$D122)=0)),"⚠ Categoria não combina com o tipo",IF(OR($N122="",$C122=""),"⚠ Falta valor ou tipo",""))))</f>
        <v/>
      </c>
      <c r="U122" s="40">
        <f>IF($A122="",0,P122*12+O122)</f>
        <v>24311</v>
      </c>
      <c r="V122" s="40">
        <f>IF($A122="",0,U122+MAX(0,N($I122)-MAX(N($H122),1)))</f>
        <v>24311</v>
      </c>
      <c r="W122" s="40">
        <f>IF(S122="",0,YEAR(S122)*12+MONTH(S122))</f>
        <v>0</v>
      </c>
      <c r="X122" s="40">
        <f>IF(W122=0,0,W122+V122-U122)</f>
        <v>0</v>
      </c>
      <c r="Y122" s="36">
        <f>IF(W122=0,0,N(R122)*MAX(0,X122-MAX(W122,YEAR(Cfg_Hoje)*12+MONTH(Cfg_Hoje)+IF(DAY(Cfg_Hoje)&gt;=INDEX(Cartoes_Fech,MATCH($F122,Cartoes_Nome,0)),1,0))+1))</f>
        <v>0</v>
      </c>
      <c r="Z122" s="40">
        <f>IF($A122="",0,DAY($A122))</f>
        <v>21</v>
      </c>
      <c r="AA122" s="40">
        <f>IF($A122="",0,WEEKDAY($A122))</f>
        <v>6</v>
      </c>
      <c r="AB122" s="36">
        <f>IF(AND($C122="Despesa",U122&gt;0,U122&lt;=Sel_Idx,V122&gt;=Sel_Idx),N(R122)+ROW()/1000000000,0)</f>
        <v>0</v>
      </c>
      <c r="AC122" s="40">
        <f>IF(AND($C122="Despesa",U122&gt;0,U122&lt;=Sel_Idx,V122&gt;=Sel_Idx),Z122*10000+ROW(),0)</f>
        <v>0</v>
      </c>
      <c r="AD122" s="40">
        <f>IF(AC122=0,0,COUNTIFS(L_CalChave,"&gt;0",L_CalChave,"&lt;"&amp;AC122)+1)</f>
        <v>0</v>
      </c>
    </row>
    <row r="123">
      <c r="A123" s="38" t="n">
        <v>45983</v>
      </c>
      <c r="B123" s="39" t="inlineStr">
        <is>
          <t>Parcela empréstimo pessoal</t>
        </is>
      </c>
      <c r="C123" s="34" t="inlineStr">
        <is>
          <t>Despesa</t>
        </is>
      </c>
      <c r="D123" s="34" t="inlineStr">
        <is>
          <t>Dívidas e Financiamentos</t>
        </is>
      </c>
      <c r="E123" s="34" t="inlineStr">
        <is>
          <t>Empréstimo</t>
        </is>
      </c>
      <c r="F123" s="34" t="inlineStr">
        <is>
          <t>Conta Corrente Banco Azul</t>
        </is>
      </c>
      <c r="G123" s="34" t="inlineStr">
        <is>
          <t>Débito automático</t>
        </is>
      </c>
      <c r="H123" s="37" t="n"/>
      <c r="I123" s="37" t="n"/>
      <c r="J123" s="34" t="inlineStr">
        <is>
          <t>Pago</t>
        </is>
      </c>
      <c r="K123" s="34" t="n"/>
      <c r="L123" s="34" t="n"/>
      <c r="M123" s="39" t="inlineStr">
        <is>
          <t>EXEMPLO</t>
        </is>
      </c>
      <c r="N123" s="35" t="n">
        <v>580</v>
      </c>
      <c r="O123" s="40">
        <f>IF($A123="","",MONTH($A123))</f>
        <v>11</v>
      </c>
      <c r="P123" s="40">
        <f>IF($A123="","",YEAR($A123))</f>
        <v>2025</v>
      </c>
      <c r="Q123" s="41">
        <f>IF($A123="","",DATE(P123,O123,1))</f>
        <v>45962.0</v>
      </c>
      <c r="R123" s="36">
        <f>IF(OR($A123="",$N123=""),"",IF(AND($C123&lt;&gt;"Transferência",N($I123)&gt;1),$N123/$I123,$N123))</f>
        <v>580</v>
      </c>
      <c r="S123" s="41" t="str">
        <f>IF(OR($A123="",$F123="",$C123&lt;&gt;"Despesa"),"",IF(COUNTIF(Cartoes_Nome,$F123)=0,"",DATE(P123,O123+IF(DAY($A123)&gt;=INDEX(Cartoes_Fech,MATCH($F123,Cartoes_Nome,0)),1,0),1)))</f>
        <v/>
      </c>
      <c r="T123" s="42" t="str">
        <f>IF($A123="","",IF(COUNTIFS(L_Data,$A123,L_Desc,$B123,L_Valor,$N123,L_Tipo,$C123)&gt;1,"⚠ Possível duplicidade",IF(OR(AND($C123="Despesa",COUNTIF(CatD_Nome,$D123)=0),AND($C123="Receita",COUNTIF(CatR_Nome,$D123)=0)),"⚠ Categoria não combina com o tipo",IF(OR($N123="",$C123=""),"⚠ Falta valor ou tipo",""))))</f>
        <v/>
      </c>
      <c r="U123" s="40">
        <f>IF($A123="",0,P123*12+O123)</f>
        <v>24311</v>
      </c>
      <c r="V123" s="40">
        <f>IF($A123="",0,U123+MAX(0,N($I123)-MAX(N($H123),1)))</f>
        <v>24311</v>
      </c>
      <c r="W123" s="40">
        <f>IF(S123="",0,YEAR(S123)*12+MONTH(S123))</f>
        <v>0</v>
      </c>
      <c r="X123" s="40">
        <f>IF(W123=0,0,W123+V123-U123)</f>
        <v>0</v>
      </c>
      <c r="Y123" s="36">
        <f>IF(W123=0,0,N(R123)*MAX(0,X123-MAX(W123,YEAR(Cfg_Hoje)*12+MONTH(Cfg_Hoje)+IF(DAY(Cfg_Hoje)&gt;=INDEX(Cartoes_Fech,MATCH($F123,Cartoes_Nome,0)),1,0))+1))</f>
        <v>0</v>
      </c>
      <c r="Z123" s="40">
        <f>IF($A123="",0,DAY($A123))</f>
        <v>22</v>
      </c>
      <c r="AA123" s="40">
        <f>IF($A123="",0,WEEKDAY($A123))</f>
        <v>7</v>
      </c>
      <c r="AB123" s="36">
        <f>IF(AND($C123="Despesa",U123&gt;0,U123&lt;=Sel_Idx,V123&gt;=Sel_Idx),N(R123)+ROW()/1000000000,0)</f>
        <v>0</v>
      </c>
      <c r="AC123" s="40">
        <f>IF(AND($C123="Despesa",U123&gt;0,U123&lt;=Sel_Idx,V123&gt;=Sel_Idx),Z123*10000+ROW(),0)</f>
        <v>0</v>
      </c>
      <c r="AD123" s="40">
        <f>IF(AC123=0,0,COUNTIFS(L_CalChave,"&gt;0",L_CalChave,"&lt;"&amp;AC123)+1)</f>
        <v>0</v>
      </c>
    </row>
    <row r="124">
      <c r="A124" s="38" t="n">
        <v>45986</v>
      </c>
      <c r="B124" s="39" t="inlineStr">
        <is>
          <t>Parcela renegociação da fatura</t>
        </is>
      </c>
      <c r="C124" s="34" t="inlineStr">
        <is>
          <t>Despesa</t>
        </is>
      </c>
      <c r="D124" s="34" t="inlineStr">
        <is>
          <t>Dívidas e Financiamentos</t>
        </is>
      </c>
      <c r="E124" s="34" t="n"/>
      <c r="F124" s="34" t="inlineStr">
        <is>
          <t>Conta Corrente Banco Azul</t>
        </is>
      </c>
      <c r="G124" s="34" t="inlineStr">
        <is>
          <t>Boleto</t>
        </is>
      </c>
      <c r="H124" s="37" t="n"/>
      <c r="I124" s="37" t="n"/>
      <c r="J124" s="34" t="inlineStr">
        <is>
          <t>Pago</t>
        </is>
      </c>
      <c r="K124" s="34" t="n"/>
      <c r="L124" s="34" t="n"/>
      <c r="M124" s="39" t="inlineStr">
        <is>
          <t>EXEMPLO</t>
        </is>
      </c>
      <c r="N124" s="35" t="n">
        <v>460</v>
      </c>
      <c r="O124" s="40">
        <f>IF($A124="","",MONTH($A124))</f>
        <v>11</v>
      </c>
      <c r="P124" s="40">
        <f>IF($A124="","",YEAR($A124))</f>
        <v>2025</v>
      </c>
      <c r="Q124" s="41">
        <f>IF($A124="","",DATE(P124,O124,1))</f>
        <v>45962.0</v>
      </c>
      <c r="R124" s="36">
        <f>IF(OR($A124="",$N124=""),"",IF(AND($C124&lt;&gt;"Transferência",N($I124)&gt;1),$N124/$I124,$N124))</f>
        <v>460</v>
      </c>
      <c r="S124" s="41" t="str">
        <f>IF(OR($A124="",$F124="",$C124&lt;&gt;"Despesa"),"",IF(COUNTIF(Cartoes_Nome,$F124)=0,"",DATE(P124,O124+IF(DAY($A124)&gt;=INDEX(Cartoes_Fech,MATCH($F124,Cartoes_Nome,0)),1,0),1)))</f>
        <v/>
      </c>
      <c r="T124" s="42" t="str">
        <f>IF($A124="","",IF(COUNTIFS(L_Data,$A124,L_Desc,$B124,L_Valor,$N124,L_Tipo,$C124)&gt;1,"⚠ Possível duplicidade",IF(OR(AND($C124="Despesa",COUNTIF(CatD_Nome,$D124)=0),AND($C124="Receita",COUNTIF(CatR_Nome,$D124)=0)),"⚠ Categoria não combina com o tipo",IF(OR($N124="",$C124=""),"⚠ Falta valor ou tipo",""))))</f>
        <v/>
      </c>
      <c r="U124" s="40">
        <f>IF($A124="",0,P124*12+O124)</f>
        <v>24311</v>
      </c>
      <c r="V124" s="40">
        <f>IF($A124="",0,U124+MAX(0,N($I124)-MAX(N($H124),1)))</f>
        <v>24311</v>
      </c>
      <c r="W124" s="40">
        <f>IF(S124="",0,YEAR(S124)*12+MONTH(S124))</f>
        <v>0</v>
      </c>
      <c r="X124" s="40">
        <f>IF(W124=0,0,W124+V124-U124)</f>
        <v>0</v>
      </c>
      <c r="Y124" s="36">
        <f>IF(W124=0,0,N(R124)*MAX(0,X124-MAX(W124,YEAR(Cfg_Hoje)*12+MONTH(Cfg_Hoje)+IF(DAY(Cfg_Hoje)&gt;=INDEX(Cartoes_Fech,MATCH($F124,Cartoes_Nome,0)),1,0))+1))</f>
        <v>0</v>
      </c>
      <c r="Z124" s="40">
        <f>IF($A124="",0,DAY($A124))</f>
        <v>25</v>
      </c>
      <c r="AA124" s="40">
        <f>IF($A124="",0,WEEKDAY($A124))</f>
        <v>3</v>
      </c>
      <c r="AB124" s="36">
        <f>IF(AND($C124="Despesa",U124&gt;0,U124&lt;=Sel_Idx,V124&gt;=Sel_Idx),N(R124)+ROW()/1000000000,0)</f>
        <v>0</v>
      </c>
      <c r="AC124" s="40">
        <f>IF(AND($C124="Despesa",U124&gt;0,U124&lt;=Sel_Idx,V124&gt;=Sel_Idx),Z124*10000+ROW(),0)</f>
        <v>0</v>
      </c>
      <c r="AD124" s="40">
        <f>IF(AC124=0,0,COUNTIFS(L_CalChave,"&gt;0",L_CalChave,"&lt;"&amp;AC124)+1)</f>
        <v>0</v>
      </c>
    </row>
    <row r="125">
      <c r="A125" s="38" t="n">
        <v>45987</v>
      </c>
      <c r="B125" s="39" t="inlineStr">
        <is>
          <t>Supermercado</t>
        </is>
      </c>
      <c r="C125" s="34" t="inlineStr">
        <is>
          <t>Despesa</t>
        </is>
      </c>
      <c r="D125" s="34" t="inlineStr">
        <is>
          <t>Alimentação</t>
        </is>
      </c>
      <c r="E125" s="34" t="inlineStr">
        <is>
          <t>Mercado</t>
        </is>
      </c>
      <c r="F125" s="34" t="inlineStr">
        <is>
          <t>Cartão Azul Gold</t>
        </is>
      </c>
      <c r="G125" s="34" t="inlineStr">
        <is>
          <t>Crédito</t>
        </is>
      </c>
      <c r="H125" s="37" t="n"/>
      <c r="I125" s="37" t="n"/>
      <c r="J125" s="34" t="inlineStr">
        <is>
          <t>Pago</t>
        </is>
      </c>
      <c r="K125" s="34" t="n"/>
      <c r="L125" s="34" t="n"/>
      <c r="M125" s="39" t="inlineStr">
        <is>
          <t>EXEMPLO</t>
        </is>
      </c>
      <c r="N125" s="35" t="n">
        <v>353.22</v>
      </c>
      <c r="O125" s="40">
        <f>IF($A125="","",MONTH($A125))</f>
        <v>11</v>
      </c>
      <c r="P125" s="40">
        <f>IF($A125="","",YEAR($A125))</f>
        <v>2025</v>
      </c>
      <c r="Q125" s="41">
        <f>IF($A125="","",DATE(P125,O125,1))</f>
        <v>45962.0</v>
      </c>
      <c r="R125" s="36">
        <f>IF(OR($A125="",$N125=""),"",IF(AND($C125&lt;&gt;"Transferência",N($I125)&gt;1),$N125/$I125,$N125))</f>
        <v>353.22</v>
      </c>
      <c r="S125" s="41">
        <f>IF(OR($A125="",$F125="",$C125&lt;&gt;"Despesa"),"",IF(COUNTIF(Cartoes_Nome,$F125)=0,"",DATE(P125,O125+IF(DAY($A125)&gt;=INDEX(Cartoes_Fech,MATCH($F125,Cartoes_Nome,0)),1,0),1)))</f>
        <v>45992.0</v>
      </c>
      <c r="T125" s="42" t="str">
        <f>IF($A125="","",IF(COUNTIFS(L_Data,$A125,L_Desc,$B125,L_Valor,$N125,L_Tipo,$C125)&gt;1,"⚠ Possível duplicidade",IF(OR(AND($C125="Despesa",COUNTIF(CatD_Nome,$D125)=0),AND($C125="Receita",COUNTIF(CatR_Nome,$D125)=0)),"⚠ Categoria não combina com o tipo",IF(OR($N125="",$C125=""),"⚠ Falta valor ou tipo",""))))</f>
        <v/>
      </c>
      <c r="U125" s="40">
        <f>IF($A125="",0,P125*12+O125)</f>
        <v>24311</v>
      </c>
      <c r="V125" s="40">
        <f>IF($A125="",0,U125+MAX(0,N($I125)-MAX(N($H125),1)))</f>
        <v>24311</v>
      </c>
      <c r="W125" s="40">
        <f>IF(S125="",0,YEAR(S125)*12+MONTH(S125))</f>
        <v>24312</v>
      </c>
      <c r="X125" s="40">
        <f>IF(W125=0,0,W125+V125-U125)</f>
        <v>24312</v>
      </c>
      <c r="Y125" s="36">
        <f>IF(W125=0,0,N(R125)*MAX(0,X125-MAX(W125,YEAR(Cfg_Hoje)*12+MONTH(Cfg_Hoje)+IF(DAY(Cfg_Hoje)&gt;=INDEX(Cartoes_Fech,MATCH($F125,Cartoes_Nome,0)),1,0))+1))</f>
        <v>0</v>
      </c>
      <c r="Z125" s="40">
        <f>IF($A125="",0,DAY($A125))</f>
        <v>26</v>
      </c>
      <c r="AA125" s="40">
        <f>IF($A125="",0,WEEKDAY($A125))</f>
        <v>4</v>
      </c>
      <c r="AB125" s="36">
        <f>IF(AND($C125="Despesa",U125&gt;0,U125&lt;=Sel_Idx,V125&gt;=Sel_Idx),N(R125)+ROW()/1000000000,0)</f>
        <v>0</v>
      </c>
      <c r="AC125" s="40">
        <f>IF(AND($C125="Despesa",U125&gt;0,U125&lt;=Sel_Idx,V125&gt;=Sel_Idx),Z125*10000+ROW(),0)</f>
        <v>0</v>
      </c>
      <c r="AD125" s="40">
        <f>IF(AC125=0,0,COUNTIFS(L_CalChave,"&gt;0",L_CalChave,"&lt;"&amp;AC125)+1)</f>
        <v>0</v>
      </c>
    </row>
    <row r="126">
      <c r="A126" s="38" t="n">
        <v>45989</v>
      </c>
      <c r="B126" s="39" t="inlineStr">
        <is>
          <t>Rendimento da poupança</t>
        </is>
      </c>
      <c r="C126" s="34" t="inlineStr">
        <is>
          <t>Receita</t>
        </is>
      </c>
      <c r="D126" s="34" t="inlineStr">
        <is>
          <t>Rendimentos</t>
        </is>
      </c>
      <c r="E126" s="34" t="n"/>
      <c r="F126" s="34" t="inlineStr">
        <is>
          <t>Poupança Banco Azul</t>
        </is>
      </c>
      <c r="G126" s="34" t="inlineStr">
        <is>
          <t>Transferência</t>
        </is>
      </c>
      <c r="H126" s="37" t="n"/>
      <c r="I126" s="37" t="n"/>
      <c r="J126" s="34" t="inlineStr">
        <is>
          <t>Pago</t>
        </is>
      </c>
      <c r="K126" s="34" t="n"/>
      <c r="L126" s="34" t="n"/>
      <c r="M126" s="39" t="inlineStr">
        <is>
          <t>EXEMPLO</t>
        </is>
      </c>
      <c r="N126" s="35" t="n">
        <v>71.08</v>
      </c>
      <c r="O126" s="40">
        <f>IF($A126="","",MONTH($A126))</f>
        <v>11</v>
      </c>
      <c r="P126" s="40">
        <f>IF($A126="","",YEAR($A126))</f>
        <v>2025</v>
      </c>
      <c r="Q126" s="41">
        <f>IF($A126="","",DATE(P126,O126,1))</f>
        <v>45962.0</v>
      </c>
      <c r="R126" s="36">
        <f>IF(OR($A126="",$N126=""),"",IF(AND($C126&lt;&gt;"Transferência",N($I126)&gt;1),$N126/$I126,$N126))</f>
        <v>71.08</v>
      </c>
      <c r="S126" s="41" t="str">
        <f>IF(OR($A126="",$F126="",$C126&lt;&gt;"Despesa"),"",IF(COUNTIF(Cartoes_Nome,$F126)=0,"",DATE(P126,O126+IF(DAY($A126)&gt;=INDEX(Cartoes_Fech,MATCH($F126,Cartoes_Nome,0)),1,0),1)))</f>
        <v/>
      </c>
      <c r="T126" s="42" t="str">
        <f>IF($A126="","",IF(COUNTIFS(L_Data,$A126,L_Desc,$B126,L_Valor,$N126,L_Tipo,$C126)&gt;1,"⚠ Possível duplicidade",IF(OR(AND($C126="Despesa",COUNTIF(CatD_Nome,$D126)=0),AND($C126="Receita",COUNTIF(CatR_Nome,$D126)=0)),"⚠ Categoria não combina com o tipo",IF(OR($N126="",$C126=""),"⚠ Falta valor ou tipo",""))))</f>
        <v/>
      </c>
      <c r="U126" s="40">
        <f>IF($A126="",0,P126*12+O126)</f>
        <v>24311</v>
      </c>
      <c r="V126" s="40">
        <f>IF($A126="",0,U126+MAX(0,N($I126)-MAX(N($H126),1)))</f>
        <v>24311</v>
      </c>
      <c r="W126" s="40">
        <f>IF(S126="",0,YEAR(S126)*12+MONTH(S126))</f>
        <v>0</v>
      </c>
      <c r="X126" s="40">
        <f>IF(W126=0,0,W126+V126-U126)</f>
        <v>0</v>
      </c>
      <c r="Y126" s="36">
        <f>IF(W126=0,0,N(R126)*MAX(0,X126-MAX(W126,YEAR(Cfg_Hoje)*12+MONTH(Cfg_Hoje)+IF(DAY(Cfg_Hoje)&gt;=INDEX(Cartoes_Fech,MATCH($F126,Cartoes_Nome,0)),1,0))+1))</f>
        <v>0</v>
      </c>
      <c r="Z126" s="40">
        <f>IF($A126="",0,DAY($A126))</f>
        <v>28</v>
      </c>
      <c r="AA126" s="40">
        <f>IF($A126="",0,WEEKDAY($A126))</f>
        <v>6</v>
      </c>
      <c r="AB126" s="36">
        <f>IF(AND($C126="Despesa",U126&gt;0,U126&lt;=Sel_Idx,V126&gt;=Sel_Idx),N(R126)+ROW()/1000000000,0)</f>
        <v>0</v>
      </c>
      <c r="AC126" s="40">
        <f>IF(AND($C126="Despesa",U126&gt;0,U126&lt;=Sel_Idx,V126&gt;=Sel_Idx),Z126*10000+ROW(),0)</f>
        <v>0</v>
      </c>
      <c r="AD126" s="40">
        <f>IF(AC126=0,0,COUNTIFS(L_CalChave,"&gt;0",L_CalChave,"&lt;"&amp;AC126)+1)</f>
        <v>0</v>
      </c>
    </row>
    <row r="127">
      <c r="A127" s="38" t="n">
        <v>45993</v>
      </c>
      <c r="B127" s="39" t="inlineStr">
        <is>
          <t>Bar com amigos</t>
        </is>
      </c>
      <c r="C127" s="34" t="inlineStr">
        <is>
          <t>Despesa</t>
        </is>
      </c>
      <c r="D127" s="34" t="inlineStr">
        <is>
          <t>Lazer</t>
        </is>
      </c>
      <c r="E127" s="34" t="inlineStr">
        <is>
          <t>Cinema</t>
        </is>
      </c>
      <c r="F127" s="34" t="inlineStr">
        <is>
          <t>Cartão Azul Gold</t>
        </is>
      </c>
      <c r="G127" s="34" t="inlineStr">
        <is>
          <t>Crédito</t>
        </is>
      </c>
      <c r="H127" s="37" t="n"/>
      <c r="I127" s="37" t="n"/>
      <c r="J127" s="34" t="inlineStr">
        <is>
          <t>Pago</t>
        </is>
      </c>
      <c r="K127" s="34" t="n"/>
      <c r="L127" s="34" t="n"/>
      <c r="M127" s="39" t="inlineStr">
        <is>
          <t>EXEMPLO</t>
        </is>
      </c>
      <c r="N127" s="35" t="n">
        <v>172.85</v>
      </c>
      <c r="O127" s="40">
        <f>IF($A127="","",MONTH($A127))</f>
        <v>12</v>
      </c>
      <c r="P127" s="40">
        <f>IF($A127="","",YEAR($A127))</f>
        <v>2025</v>
      </c>
      <c r="Q127" s="41">
        <f>IF($A127="","",DATE(P127,O127,1))</f>
        <v>45992.0</v>
      </c>
      <c r="R127" s="36">
        <f>IF(OR($A127="",$N127=""),"",IF(AND($C127&lt;&gt;"Transferência",N($I127)&gt;1),$N127/$I127,$N127))</f>
        <v>172.85</v>
      </c>
      <c r="S127" s="41">
        <f>IF(OR($A127="",$F127="",$C127&lt;&gt;"Despesa"),"",IF(COUNTIF(Cartoes_Nome,$F127)=0,"",DATE(P127,O127+IF(DAY($A127)&gt;=INDEX(Cartoes_Fech,MATCH($F127,Cartoes_Nome,0)),1,0),1)))</f>
        <v>45992.0</v>
      </c>
      <c r="T127" s="42" t="str">
        <f>IF($A127="","",IF(COUNTIFS(L_Data,$A127,L_Desc,$B127,L_Valor,$N127,L_Tipo,$C127)&gt;1,"⚠ Possível duplicidade",IF(OR(AND($C127="Despesa",COUNTIF(CatD_Nome,$D127)=0),AND($C127="Receita",COUNTIF(CatR_Nome,$D127)=0)),"⚠ Categoria não combina com o tipo",IF(OR($N127="",$C127=""),"⚠ Falta valor ou tipo",""))))</f>
        <v/>
      </c>
      <c r="U127" s="40">
        <f>IF($A127="",0,P127*12+O127)</f>
        <v>24312</v>
      </c>
      <c r="V127" s="40">
        <f>IF($A127="",0,U127+MAX(0,N($I127)-MAX(N($H127),1)))</f>
        <v>24312</v>
      </c>
      <c r="W127" s="40">
        <f>IF(S127="",0,YEAR(S127)*12+MONTH(S127))</f>
        <v>24312</v>
      </c>
      <c r="X127" s="40">
        <f>IF(W127=0,0,W127+V127-U127)</f>
        <v>24312</v>
      </c>
      <c r="Y127" s="36">
        <f>IF(W127=0,0,N(R127)*MAX(0,X127-MAX(W127,YEAR(Cfg_Hoje)*12+MONTH(Cfg_Hoje)+IF(DAY(Cfg_Hoje)&gt;=INDEX(Cartoes_Fech,MATCH($F127,Cartoes_Nome,0)),1,0))+1))</f>
        <v>0</v>
      </c>
      <c r="Z127" s="40">
        <f>IF($A127="",0,DAY($A127))</f>
        <v>2</v>
      </c>
      <c r="AA127" s="40">
        <f>IF($A127="",0,WEEKDAY($A127))</f>
        <v>3</v>
      </c>
      <c r="AB127" s="36">
        <f>IF(AND($C127="Despesa",U127&gt;0,U127&lt;=Sel_Idx,V127&gt;=Sel_Idx),N(R127)+ROW()/1000000000,0)</f>
        <v>0</v>
      </c>
      <c r="AC127" s="40">
        <f>IF(AND($C127="Despesa",U127&gt;0,U127&lt;=Sel_Idx,V127&gt;=Sel_Idx),Z127*10000+ROW(),0)</f>
        <v>0</v>
      </c>
      <c r="AD127" s="40">
        <f>IF(AC127=0,0,COUNTIFS(L_CalChave,"&gt;0",L_CalChave,"&lt;"&amp;AC127)+1)</f>
        <v>0</v>
      </c>
    </row>
    <row r="128">
      <c r="A128" s="38" t="n">
        <v>45994</v>
      </c>
      <c r="B128" s="39" t="inlineStr">
        <is>
          <t>Academia</t>
        </is>
      </c>
      <c r="C128" s="34" t="inlineStr">
        <is>
          <t>Despesa</t>
        </is>
      </c>
      <c r="D128" s="34" t="inlineStr">
        <is>
          <t>Assinaturas</t>
        </is>
      </c>
      <c r="E128" s="34" t="inlineStr">
        <is>
          <t>Academia</t>
        </is>
      </c>
      <c r="F128" s="34" t="inlineStr">
        <is>
          <t>Conta Corrente Banco Azul</t>
        </is>
      </c>
      <c r="G128" s="34" t="inlineStr">
        <is>
          <t>Débito automático</t>
        </is>
      </c>
      <c r="H128" s="37" t="n"/>
      <c r="I128" s="37" t="n"/>
      <c r="J128" s="34" t="inlineStr">
        <is>
          <t>Pago</t>
        </is>
      </c>
      <c r="K128" s="34" t="n"/>
      <c r="L128" s="34" t="n"/>
      <c r="M128" s="39" t="inlineStr">
        <is>
          <t>EXEMPLO</t>
        </is>
      </c>
      <c r="N128" s="35" t="n">
        <v>129</v>
      </c>
      <c r="O128" s="40">
        <f>IF($A128="","",MONTH($A128))</f>
        <v>12</v>
      </c>
      <c r="P128" s="40">
        <f>IF($A128="","",YEAR($A128))</f>
        <v>2025</v>
      </c>
      <c r="Q128" s="41">
        <f>IF($A128="","",DATE(P128,O128,1))</f>
        <v>45992.0</v>
      </c>
      <c r="R128" s="36">
        <f>IF(OR($A128="",$N128=""),"",IF(AND($C128&lt;&gt;"Transferência",N($I128)&gt;1),$N128/$I128,$N128))</f>
        <v>129</v>
      </c>
      <c r="S128" s="41" t="str">
        <f>IF(OR($A128="",$F128="",$C128&lt;&gt;"Despesa"),"",IF(COUNTIF(Cartoes_Nome,$F128)=0,"",DATE(P128,O128+IF(DAY($A128)&gt;=INDEX(Cartoes_Fech,MATCH($F128,Cartoes_Nome,0)),1,0),1)))</f>
        <v/>
      </c>
      <c r="T128" s="42" t="str">
        <f>IF($A128="","",IF(COUNTIFS(L_Data,$A128,L_Desc,$B128,L_Valor,$N128,L_Tipo,$C128)&gt;1,"⚠ Possível duplicidade",IF(OR(AND($C128="Despesa",COUNTIF(CatD_Nome,$D128)=0),AND($C128="Receita",COUNTIF(CatR_Nome,$D128)=0)),"⚠ Categoria não combina com o tipo",IF(OR($N128="",$C128=""),"⚠ Falta valor ou tipo",""))))</f>
        <v/>
      </c>
      <c r="U128" s="40">
        <f>IF($A128="",0,P128*12+O128)</f>
        <v>24312</v>
      </c>
      <c r="V128" s="40">
        <f>IF($A128="",0,U128+MAX(0,N($I128)-MAX(N($H128),1)))</f>
        <v>24312</v>
      </c>
      <c r="W128" s="40">
        <f>IF(S128="",0,YEAR(S128)*12+MONTH(S128))</f>
        <v>0</v>
      </c>
      <c r="X128" s="40">
        <f>IF(W128=0,0,W128+V128-U128)</f>
        <v>0</v>
      </c>
      <c r="Y128" s="36">
        <f>IF(W128=0,0,N(R128)*MAX(0,X128-MAX(W128,YEAR(Cfg_Hoje)*12+MONTH(Cfg_Hoje)+IF(DAY(Cfg_Hoje)&gt;=INDEX(Cartoes_Fech,MATCH($F128,Cartoes_Nome,0)),1,0))+1))</f>
        <v>0</v>
      </c>
      <c r="Z128" s="40">
        <f>IF($A128="",0,DAY($A128))</f>
        <v>3</v>
      </c>
      <c r="AA128" s="40">
        <f>IF($A128="",0,WEEKDAY($A128))</f>
        <v>4</v>
      </c>
      <c r="AB128" s="36">
        <f>IF(AND($C128="Despesa",U128&gt;0,U128&lt;=Sel_Idx,V128&gt;=Sel_Idx),N(R128)+ROW()/1000000000,0)</f>
        <v>0</v>
      </c>
      <c r="AC128" s="40">
        <f>IF(AND($C128="Despesa",U128&gt;0,U128&lt;=Sel_Idx,V128&gt;=Sel_Idx),Z128*10000+ROW(),0)</f>
        <v>0</v>
      </c>
      <c r="AD128" s="40">
        <f>IF(AC128=0,0,COUNTIFS(L_CalChave,"&gt;0",L_CalChave,"&lt;"&amp;AC128)+1)</f>
        <v>0</v>
      </c>
    </row>
    <row r="129">
      <c r="A129" s="38" t="n">
        <v>45994</v>
      </c>
      <c r="B129" s="39" t="inlineStr">
        <is>
          <t>Corrida de aplicativo</t>
        </is>
      </c>
      <c r="C129" s="34" t="inlineStr">
        <is>
          <t>Despesa</t>
        </is>
      </c>
      <c r="D129" s="34" t="inlineStr">
        <is>
          <t>Transporte</t>
        </is>
      </c>
      <c r="E129" s="34" t="inlineStr">
        <is>
          <t>App de transporte</t>
        </is>
      </c>
      <c r="F129" s="34" t="inlineStr">
        <is>
          <t>Conta Corrente Banco Azul</t>
        </is>
      </c>
      <c r="G129" s="34" t="inlineStr">
        <is>
          <t>Pix</t>
        </is>
      </c>
      <c r="H129" s="37" t="n"/>
      <c r="I129" s="37" t="n"/>
      <c r="J129" s="34" t="inlineStr">
        <is>
          <t>Pago</t>
        </is>
      </c>
      <c r="K129" s="34" t="n"/>
      <c r="L129" s="34" t="n"/>
      <c r="M129" s="39" t="inlineStr">
        <is>
          <t>EXEMPLO</t>
        </is>
      </c>
      <c r="N129" s="35" t="n">
        <v>34.42</v>
      </c>
      <c r="O129" s="40">
        <f>IF($A129="","",MONTH($A129))</f>
        <v>12</v>
      </c>
      <c r="P129" s="40">
        <f>IF($A129="","",YEAR($A129))</f>
        <v>2025</v>
      </c>
      <c r="Q129" s="41">
        <f>IF($A129="","",DATE(P129,O129,1))</f>
        <v>45992.0</v>
      </c>
      <c r="R129" s="36">
        <f>IF(OR($A129="",$N129=""),"",IF(AND($C129&lt;&gt;"Transferência",N($I129)&gt;1),$N129/$I129,$N129))</f>
        <v>34.42</v>
      </c>
      <c r="S129" s="41" t="str">
        <f>IF(OR($A129="",$F129="",$C129&lt;&gt;"Despesa"),"",IF(COUNTIF(Cartoes_Nome,$F129)=0,"",DATE(P129,O129+IF(DAY($A129)&gt;=INDEX(Cartoes_Fech,MATCH($F129,Cartoes_Nome,0)),1,0),1)))</f>
        <v/>
      </c>
      <c r="T129" s="42" t="str">
        <f>IF($A129="","",IF(COUNTIFS(L_Data,$A129,L_Desc,$B129,L_Valor,$N129,L_Tipo,$C129)&gt;1,"⚠ Possível duplicidade",IF(OR(AND($C129="Despesa",COUNTIF(CatD_Nome,$D129)=0),AND($C129="Receita",COUNTIF(CatR_Nome,$D129)=0)),"⚠ Categoria não combina com o tipo",IF(OR($N129="",$C129=""),"⚠ Falta valor ou tipo",""))))</f>
        <v/>
      </c>
      <c r="U129" s="40">
        <f>IF($A129="",0,P129*12+O129)</f>
        <v>24312</v>
      </c>
      <c r="V129" s="40">
        <f>IF($A129="",0,U129+MAX(0,N($I129)-MAX(N($H129),1)))</f>
        <v>24312</v>
      </c>
      <c r="W129" s="40">
        <f>IF(S129="",0,YEAR(S129)*12+MONTH(S129))</f>
        <v>0</v>
      </c>
      <c r="X129" s="40">
        <f>IF(W129=0,0,W129+V129-U129)</f>
        <v>0</v>
      </c>
      <c r="Y129" s="36">
        <f>IF(W129=0,0,N(R129)*MAX(0,X129-MAX(W129,YEAR(Cfg_Hoje)*12+MONTH(Cfg_Hoje)+IF(DAY(Cfg_Hoje)&gt;=INDEX(Cartoes_Fech,MATCH($F129,Cartoes_Nome,0)),1,0))+1))</f>
        <v>0</v>
      </c>
      <c r="Z129" s="40">
        <f>IF($A129="",0,DAY($A129))</f>
        <v>3</v>
      </c>
      <c r="AA129" s="40">
        <f>IF($A129="",0,WEEKDAY($A129))</f>
        <v>4</v>
      </c>
      <c r="AB129" s="36">
        <f>IF(AND($C129="Despesa",U129&gt;0,U129&lt;=Sel_Idx,V129&gt;=Sel_Idx),N(R129)+ROW()/1000000000,0)</f>
        <v>0</v>
      </c>
      <c r="AC129" s="40">
        <f>IF(AND($C129="Despesa",U129&gt;0,U129&lt;=Sel_Idx,V129&gt;=Sel_Idx),Z129*10000+ROW(),0)</f>
        <v>0</v>
      </c>
      <c r="AD129" s="40">
        <f>IF(AC129=0,0,COUNTIFS(L_CalChave,"&gt;0",L_CalChave,"&lt;"&amp;AC129)+1)</f>
        <v>0</v>
      </c>
    </row>
    <row r="130">
      <c r="A130" s="38" t="n">
        <v>45994</v>
      </c>
      <c r="B130" s="39" t="inlineStr">
        <is>
          <t>Farmácia</t>
        </is>
      </c>
      <c r="C130" s="34" t="inlineStr">
        <is>
          <t>Despesa</t>
        </is>
      </c>
      <c r="D130" s="34" t="inlineStr">
        <is>
          <t>Saúde</t>
        </is>
      </c>
      <c r="E130" s="34" t="inlineStr">
        <is>
          <t>Farmácia</t>
        </is>
      </c>
      <c r="F130" s="34" t="inlineStr">
        <is>
          <t>Cartão Roxinho</t>
        </is>
      </c>
      <c r="G130" s="34" t="inlineStr">
        <is>
          <t>Crédito</t>
        </is>
      </c>
      <c r="H130" s="37" t="n"/>
      <c r="I130" s="37" t="n"/>
      <c r="J130" s="34" t="inlineStr">
        <is>
          <t>Pago</t>
        </is>
      </c>
      <c r="K130" s="34" t="n"/>
      <c r="L130" s="34" t="n"/>
      <c r="M130" s="39" t="inlineStr">
        <is>
          <t>EXEMPLO</t>
        </is>
      </c>
      <c r="N130" s="35" t="n">
        <v>124.14</v>
      </c>
      <c r="O130" s="40">
        <f>IF($A130="","",MONTH($A130))</f>
        <v>12</v>
      </c>
      <c r="P130" s="40">
        <f>IF($A130="","",YEAR($A130))</f>
        <v>2025</v>
      </c>
      <c r="Q130" s="41">
        <f>IF($A130="","",DATE(P130,O130,1))</f>
        <v>45992.0</v>
      </c>
      <c r="R130" s="36">
        <f>IF(OR($A130="",$N130=""),"",IF(AND($C130&lt;&gt;"Transferência",N($I130)&gt;1),$N130/$I130,$N130))</f>
        <v>124.14</v>
      </c>
      <c r="S130" s="41">
        <f>IF(OR($A130="",$F130="",$C130&lt;&gt;"Despesa"),"",IF(COUNTIF(Cartoes_Nome,$F130)=0,"",DATE(P130,O130+IF(DAY($A130)&gt;=INDEX(Cartoes_Fech,MATCH($F130,Cartoes_Nome,0)),1,0),1)))</f>
        <v>45992.0</v>
      </c>
      <c r="T130" s="42" t="str">
        <f>IF($A130="","",IF(COUNTIFS(L_Data,$A130,L_Desc,$B130,L_Valor,$N130,L_Tipo,$C130)&gt;1,"⚠ Possível duplicidade",IF(OR(AND($C130="Despesa",COUNTIF(CatD_Nome,$D130)=0),AND($C130="Receita",COUNTIF(CatR_Nome,$D130)=0)),"⚠ Categoria não combina com o tipo",IF(OR($N130="",$C130=""),"⚠ Falta valor ou tipo",""))))</f>
        <v/>
      </c>
      <c r="U130" s="40">
        <f>IF($A130="",0,P130*12+O130)</f>
        <v>24312</v>
      </c>
      <c r="V130" s="40">
        <f>IF($A130="",0,U130+MAX(0,N($I130)-MAX(N($H130),1)))</f>
        <v>24312</v>
      </c>
      <c r="W130" s="40">
        <f>IF(S130="",0,YEAR(S130)*12+MONTH(S130))</f>
        <v>24312</v>
      </c>
      <c r="X130" s="40">
        <f>IF(W130=0,0,W130+V130-U130)</f>
        <v>24312</v>
      </c>
      <c r="Y130" s="36">
        <f>IF(W130=0,0,N(R130)*MAX(0,X130-MAX(W130,YEAR(Cfg_Hoje)*12+MONTH(Cfg_Hoje)+IF(DAY(Cfg_Hoje)&gt;=INDEX(Cartoes_Fech,MATCH($F130,Cartoes_Nome,0)),1,0))+1))</f>
        <v>0</v>
      </c>
      <c r="Z130" s="40">
        <f>IF($A130="",0,DAY($A130))</f>
        <v>3</v>
      </c>
      <c r="AA130" s="40">
        <f>IF($A130="",0,WEEKDAY($A130))</f>
        <v>4</v>
      </c>
      <c r="AB130" s="36">
        <f>IF(AND($C130="Despesa",U130&gt;0,U130&lt;=Sel_Idx,V130&gt;=Sel_Idx),N(R130)+ROW()/1000000000,0)</f>
        <v>0</v>
      </c>
      <c r="AC130" s="40">
        <f>IF(AND($C130="Despesa",U130&gt;0,U130&lt;=Sel_Idx,V130&gt;=Sel_Idx),Z130*10000+ROW(),0)</f>
        <v>0</v>
      </c>
      <c r="AD130" s="40">
        <f>IF(AC130=0,0,COUNTIFS(L_CalChave,"&gt;0",L_CalChave,"&lt;"&amp;AC130)+1)</f>
        <v>0</v>
      </c>
    </row>
    <row r="131">
      <c r="A131" s="38" t="n">
        <v>45996</v>
      </c>
      <c r="B131" s="39" t="inlineStr">
        <is>
          <t>Pagamento fatura Cartão Roxinho</t>
        </is>
      </c>
      <c r="C131" s="34" t="inlineStr">
        <is>
          <t>Transferência</t>
        </is>
      </c>
      <c r="D131" s="34" t="n"/>
      <c r="E131" s="34" t="n"/>
      <c r="F131" s="34" t="inlineStr">
        <is>
          <t>Conta Corrente Banco Azul</t>
        </is>
      </c>
      <c r="G131" s="34" t="inlineStr">
        <is>
          <t>Débito automático</t>
        </is>
      </c>
      <c r="H131" s="37" t="n"/>
      <c r="I131" s="37" t="n"/>
      <c r="J131" s="34" t="inlineStr">
        <is>
          <t>Pago</t>
        </is>
      </c>
      <c r="K131" s="34" t="n"/>
      <c r="L131" s="34" t="n"/>
      <c r="M131" s="39" t="inlineStr">
        <is>
          <t>EXEMPLO</t>
        </is>
      </c>
      <c r="N131" s="35" t="n">
        <v>-799.89</v>
      </c>
      <c r="O131" s="40">
        <f>IF($A131="","",MONTH($A131))</f>
        <v>12</v>
      </c>
      <c r="P131" s="40">
        <f>IF($A131="","",YEAR($A131))</f>
        <v>2025</v>
      </c>
      <c r="Q131" s="41">
        <f>IF($A131="","",DATE(P131,O131,1))</f>
        <v>45992.0</v>
      </c>
      <c r="R131" s="36">
        <f>IF(OR($A131="",$N131=""),"",IF(AND($C131&lt;&gt;"Transferência",N($I131)&gt;1),$N131/$I131,$N131))</f>
        <v>-799.89</v>
      </c>
      <c r="S131" s="41" t="str">
        <f>IF(OR($A131="",$F131="",$C131&lt;&gt;"Despesa"),"",IF(COUNTIF(Cartoes_Nome,$F131)=0,"",DATE(P131,O131+IF(DAY($A131)&gt;=INDEX(Cartoes_Fech,MATCH($F131,Cartoes_Nome,0)),1,0),1)))</f>
        <v/>
      </c>
      <c r="T131" s="42" t="str">
        <f>IF($A131="","",IF(COUNTIFS(L_Data,$A131,L_Desc,$B131,L_Valor,$N131,L_Tipo,$C131)&gt;1,"⚠ Possível duplicidade",IF(OR(AND($C131="Despesa",COUNTIF(CatD_Nome,$D131)=0),AND($C131="Receita",COUNTIF(CatR_Nome,$D131)=0)),"⚠ Categoria não combina com o tipo",IF(OR($N131="",$C131=""),"⚠ Falta valor ou tipo",""))))</f>
        <v/>
      </c>
      <c r="U131" s="40">
        <f>IF($A131="",0,P131*12+O131)</f>
        <v>24312</v>
      </c>
      <c r="V131" s="40">
        <f>IF($A131="",0,U131+MAX(0,N($I131)-MAX(N($H131),1)))</f>
        <v>24312</v>
      </c>
      <c r="W131" s="40">
        <f>IF(S131="",0,YEAR(S131)*12+MONTH(S131))</f>
        <v>0</v>
      </c>
      <c r="X131" s="40">
        <f>IF(W131=0,0,W131+V131-U131)</f>
        <v>0</v>
      </c>
      <c r="Y131" s="36">
        <f>IF(W131=0,0,N(R131)*MAX(0,X131-MAX(W131,YEAR(Cfg_Hoje)*12+MONTH(Cfg_Hoje)+IF(DAY(Cfg_Hoje)&gt;=INDEX(Cartoes_Fech,MATCH($F131,Cartoes_Nome,0)),1,0))+1))</f>
        <v>0</v>
      </c>
      <c r="Z131" s="40">
        <f>IF($A131="",0,DAY($A131))</f>
        <v>5</v>
      </c>
      <c r="AA131" s="40">
        <f>IF($A131="",0,WEEKDAY($A131))</f>
        <v>6</v>
      </c>
      <c r="AB131" s="36">
        <f>IF(AND($C131="Despesa",U131&gt;0,U131&lt;=Sel_Idx,V131&gt;=Sel_Idx),N(R131)+ROW()/1000000000,0)</f>
        <v>0</v>
      </c>
      <c r="AC131" s="40">
        <f>IF(AND($C131="Despesa",U131&gt;0,U131&lt;=Sel_Idx,V131&gt;=Sel_Idx),Z131*10000+ROW(),0)</f>
        <v>0</v>
      </c>
      <c r="AD131" s="40">
        <f>IF(AC131=0,0,COUNTIFS(L_CalChave,"&gt;0",L_CalChave,"&lt;"&amp;AC131)+1)</f>
        <v>0</v>
      </c>
    </row>
    <row r="132">
      <c r="A132" s="38" t="n">
        <v>45996</v>
      </c>
      <c r="B132" s="39" t="inlineStr">
        <is>
          <t>Plano de saúde</t>
        </is>
      </c>
      <c r="C132" s="34" t="inlineStr">
        <is>
          <t>Despesa</t>
        </is>
      </c>
      <c r="D132" s="34" t="inlineStr">
        <is>
          <t>Saúde</t>
        </is>
      </c>
      <c r="E132" s="34" t="inlineStr">
        <is>
          <t>Plano de saúde</t>
        </is>
      </c>
      <c r="F132" s="34" t="inlineStr">
        <is>
          <t>Conta Corrente Banco Azul</t>
        </is>
      </c>
      <c r="G132" s="34" t="inlineStr">
        <is>
          <t>Débito automático</t>
        </is>
      </c>
      <c r="H132" s="37" t="n"/>
      <c r="I132" s="37" t="n"/>
      <c r="J132" s="34" t="inlineStr">
        <is>
          <t>Pago</t>
        </is>
      </c>
      <c r="K132" s="34" t="n"/>
      <c r="L132" s="34" t="n"/>
      <c r="M132" s="39" t="inlineStr">
        <is>
          <t>EXEMPLO</t>
        </is>
      </c>
      <c r="N132" s="35" t="n">
        <v>780</v>
      </c>
      <c r="O132" s="40">
        <f>IF($A132="","",MONTH($A132))</f>
        <v>12</v>
      </c>
      <c r="P132" s="40">
        <f>IF($A132="","",YEAR($A132))</f>
        <v>2025</v>
      </c>
      <c r="Q132" s="41">
        <f>IF($A132="","",DATE(P132,O132,1))</f>
        <v>45992.0</v>
      </c>
      <c r="R132" s="36">
        <f>IF(OR($A132="",$N132=""),"",IF(AND($C132&lt;&gt;"Transferência",N($I132)&gt;1),$N132/$I132,$N132))</f>
        <v>780</v>
      </c>
      <c r="S132" s="41" t="str">
        <f>IF(OR($A132="",$F132="",$C132&lt;&gt;"Despesa"),"",IF(COUNTIF(Cartoes_Nome,$F132)=0,"",DATE(P132,O132+IF(DAY($A132)&gt;=INDEX(Cartoes_Fech,MATCH($F132,Cartoes_Nome,0)),1,0),1)))</f>
        <v/>
      </c>
      <c r="T132" s="42" t="str">
        <f>IF($A132="","",IF(COUNTIFS(L_Data,$A132,L_Desc,$B132,L_Valor,$N132,L_Tipo,$C132)&gt;1,"⚠ Possível duplicidade",IF(OR(AND($C132="Despesa",COUNTIF(CatD_Nome,$D132)=0),AND($C132="Receita",COUNTIF(CatR_Nome,$D132)=0)),"⚠ Categoria não combina com o tipo",IF(OR($N132="",$C132=""),"⚠ Falta valor ou tipo",""))))</f>
        <v/>
      </c>
      <c r="U132" s="40">
        <f>IF($A132="",0,P132*12+O132)</f>
        <v>24312</v>
      </c>
      <c r="V132" s="40">
        <f>IF($A132="",0,U132+MAX(0,N($I132)-MAX(N($H132),1)))</f>
        <v>24312</v>
      </c>
      <c r="W132" s="40">
        <f>IF(S132="",0,YEAR(S132)*12+MONTH(S132))</f>
        <v>0</v>
      </c>
      <c r="X132" s="40">
        <f>IF(W132=0,0,W132+V132-U132)</f>
        <v>0</v>
      </c>
      <c r="Y132" s="36">
        <f>IF(W132=0,0,N(R132)*MAX(0,X132-MAX(W132,YEAR(Cfg_Hoje)*12+MONTH(Cfg_Hoje)+IF(DAY(Cfg_Hoje)&gt;=INDEX(Cartoes_Fech,MATCH($F132,Cartoes_Nome,0)),1,0))+1))</f>
        <v>0</v>
      </c>
      <c r="Z132" s="40">
        <f>IF($A132="",0,DAY($A132))</f>
        <v>5</v>
      </c>
      <c r="AA132" s="40">
        <f>IF($A132="",0,WEEKDAY($A132))</f>
        <v>6</v>
      </c>
      <c r="AB132" s="36">
        <f>IF(AND($C132="Despesa",U132&gt;0,U132&lt;=Sel_Idx,V132&gt;=Sel_Idx),N(R132)+ROW()/1000000000,0)</f>
        <v>0</v>
      </c>
      <c r="AC132" s="40">
        <f>IF(AND($C132="Despesa",U132&gt;0,U132&lt;=Sel_Idx,V132&gt;=Sel_Idx),Z132*10000+ROW(),0)</f>
        <v>0</v>
      </c>
      <c r="AD132" s="40">
        <f>IF(AC132=0,0,COUNTIFS(L_CalChave,"&gt;0",L_CalChave,"&lt;"&amp;AC132)+1)</f>
        <v>0</v>
      </c>
    </row>
    <row r="133">
      <c r="A133" s="38" t="n">
        <v>45996</v>
      </c>
      <c r="B133" s="39" t="inlineStr">
        <is>
          <t>Salário</t>
        </is>
      </c>
      <c r="C133" s="34" t="inlineStr">
        <is>
          <t>Receita</t>
        </is>
      </c>
      <c r="D133" s="34" t="inlineStr">
        <is>
          <t>Salário</t>
        </is>
      </c>
      <c r="E133" s="34" t="n"/>
      <c r="F133" s="34" t="inlineStr">
        <is>
          <t>Conta Corrente Banco Azul</t>
        </is>
      </c>
      <c r="G133" s="34" t="inlineStr">
        <is>
          <t>Transferência</t>
        </is>
      </c>
      <c r="H133" s="37" t="n"/>
      <c r="I133" s="37" t="n"/>
      <c r="J133" s="34" t="inlineStr">
        <is>
          <t>Pago</t>
        </is>
      </c>
      <c r="K133" s="34" t="n"/>
      <c r="L133" s="34" t="n"/>
      <c r="M133" s="39" t="inlineStr">
        <is>
          <t>EXEMPLO</t>
        </is>
      </c>
      <c r="N133" s="35" t="n">
        <v>10800</v>
      </c>
      <c r="O133" s="40">
        <f>IF($A133="","",MONTH($A133))</f>
        <v>12</v>
      </c>
      <c r="P133" s="40">
        <f>IF($A133="","",YEAR($A133))</f>
        <v>2025</v>
      </c>
      <c r="Q133" s="41">
        <f>IF($A133="","",DATE(P133,O133,1))</f>
        <v>45992.0</v>
      </c>
      <c r="R133" s="36">
        <f>IF(OR($A133="",$N133=""),"",IF(AND($C133&lt;&gt;"Transferência",N($I133)&gt;1),$N133/$I133,$N133))</f>
        <v>10800</v>
      </c>
      <c r="S133" s="41" t="str">
        <f>IF(OR($A133="",$F133="",$C133&lt;&gt;"Despesa"),"",IF(COUNTIF(Cartoes_Nome,$F133)=0,"",DATE(P133,O133+IF(DAY($A133)&gt;=INDEX(Cartoes_Fech,MATCH($F133,Cartoes_Nome,0)),1,0),1)))</f>
        <v/>
      </c>
      <c r="T133" s="42" t="str">
        <f>IF($A133="","",IF(COUNTIFS(L_Data,$A133,L_Desc,$B133,L_Valor,$N133,L_Tipo,$C133)&gt;1,"⚠ Possível duplicidade",IF(OR(AND($C133="Despesa",COUNTIF(CatD_Nome,$D133)=0),AND($C133="Receita",COUNTIF(CatR_Nome,$D133)=0)),"⚠ Categoria não combina com o tipo",IF(OR($N133="",$C133=""),"⚠ Falta valor ou tipo",""))))</f>
        <v/>
      </c>
      <c r="U133" s="40">
        <f>IF($A133="",0,P133*12+O133)</f>
        <v>24312</v>
      </c>
      <c r="V133" s="40">
        <f>IF($A133="",0,U133+MAX(0,N($I133)-MAX(N($H133),1)))</f>
        <v>24312</v>
      </c>
      <c r="W133" s="40">
        <f>IF(S133="",0,YEAR(S133)*12+MONTH(S133))</f>
        <v>0</v>
      </c>
      <c r="X133" s="40">
        <f>IF(W133=0,0,W133+V133-U133)</f>
        <v>0</v>
      </c>
      <c r="Y133" s="36">
        <f>IF(W133=0,0,N(R133)*MAX(0,X133-MAX(W133,YEAR(Cfg_Hoje)*12+MONTH(Cfg_Hoje)+IF(DAY(Cfg_Hoje)&gt;=INDEX(Cartoes_Fech,MATCH($F133,Cartoes_Nome,0)),1,0))+1))</f>
        <v>0</v>
      </c>
      <c r="Z133" s="40">
        <f>IF($A133="",0,DAY($A133))</f>
        <v>5</v>
      </c>
      <c r="AA133" s="40">
        <f>IF($A133="",0,WEEKDAY($A133))</f>
        <v>6</v>
      </c>
      <c r="AB133" s="36">
        <f>IF(AND($C133="Despesa",U133&gt;0,U133&lt;=Sel_Idx,V133&gt;=Sel_Idx),N(R133)+ROW()/1000000000,0)</f>
        <v>0</v>
      </c>
      <c r="AC133" s="40">
        <f>IF(AND($C133="Despesa",U133&gt;0,U133&lt;=Sel_Idx,V133&gt;=Sel_Idx),Z133*10000+ROW(),0)</f>
        <v>0</v>
      </c>
      <c r="AD133" s="40">
        <f>IF(AC133=0,0,COUNTIFS(L_CalChave,"&gt;0",L_CalChave,"&lt;"&amp;AC133)+1)</f>
        <v>0</v>
      </c>
    </row>
    <row r="134">
      <c r="A134" s="38" t="n">
        <v>45997</v>
      </c>
      <c r="B134" s="39" t="inlineStr">
        <is>
          <t>Aporte - aposentadoria (PGBL)</t>
        </is>
      </c>
      <c r="C134" s="34" t="inlineStr">
        <is>
          <t>Investimento</t>
        </is>
      </c>
      <c r="D134" s="34" t="inlineStr">
        <is>
          <t>Investimento</t>
        </is>
      </c>
      <c r="E134" s="34" t="n"/>
      <c r="F134" s="34" t="inlineStr">
        <is>
          <t>Conta Corrente Banco Azul</t>
        </is>
      </c>
      <c r="G134" s="34" t="inlineStr">
        <is>
          <t>Transferência</t>
        </is>
      </c>
      <c r="H134" s="37" t="n"/>
      <c r="I134" s="37" t="n"/>
      <c r="J134" s="34" t="inlineStr">
        <is>
          <t>Pago</t>
        </is>
      </c>
      <c r="K134" s="34" t="n"/>
      <c r="L134" s="34" t="inlineStr">
        <is>
          <t>Aposentadoria</t>
        </is>
      </c>
      <c r="M134" s="39" t="inlineStr">
        <is>
          <t>EXEMPLO</t>
        </is>
      </c>
      <c r="N134" s="35" t="n">
        <v>300</v>
      </c>
      <c r="O134" s="40">
        <f>IF($A134="","",MONTH($A134))</f>
        <v>12</v>
      </c>
      <c r="P134" s="40">
        <f>IF($A134="","",YEAR($A134))</f>
        <v>2025</v>
      </c>
      <c r="Q134" s="41">
        <f>IF($A134="","",DATE(P134,O134,1))</f>
        <v>45992.0</v>
      </c>
      <c r="R134" s="36">
        <f>IF(OR($A134="",$N134=""),"",IF(AND($C134&lt;&gt;"Transferência",N($I134)&gt;1),$N134/$I134,$N134))</f>
        <v>300</v>
      </c>
      <c r="S134" s="41" t="str">
        <f>IF(OR($A134="",$F134="",$C134&lt;&gt;"Despesa"),"",IF(COUNTIF(Cartoes_Nome,$F134)=0,"",DATE(P134,O134+IF(DAY($A134)&gt;=INDEX(Cartoes_Fech,MATCH($F134,Cartoes_Nome,0)),1,0),1)))</f>
        <v/>
      </c>
      <c r="T134" s="42" t="str">
        <f>IF($A134="","",IF(COUNTIFS(L_Data,$A134,L_Desc,$B134,L_Valor,$N134,L_Tipo,$C134)&gt;1,"⚠ Possível duplicidade",IF(OR(AND($C134="Despesa",COUNTIF(CatD_Nome,$D134)=0),AND($C134="Receita",COUNTIF(CatR_Nome,$D134)=0)),"⚠ Categoria não combina com o tipo",IF(OR($N134="",$C134=""),"⚠ Falta valor ou tipo",""))))</f>
        <v/>
      </c>
      <c r="U134" s="40">
        <f>IF($A134="",0,P134*12+O134)</f>
        <v>24312</v>
      </c>
      <c r="V134" s="40">
        <f>IF($A134="",0,U134+MAX(0,N($I134)-MAX(N($H134),1)))</f>
        <v>24312</v>
      </c>
      <c r="W134" s="40">
        <f>IF(S134="",0,YEAR(S134)*12+MONTH(S134))</f>
        <v>0</v>
      </c>
      <c r="X134" s="40">
        <f>IF(W134=0,0,W134+V134-U134)</f>
        <v>0</v>
      </c>
      <c r="Y134" s="36">
        <f>IF(W134=0,0,N(R134)*MAX(0,X134-MAX(W134,YEAR(Cfg_Hoje)*12+MONTH(Cfg_Hoje)+IF(DAY(Cfg_Hoje)&gt;=INDEX(Cartoes_Fech,MATCH($F134,Cartoes_Nome,0)),1,0))+1))</f>
        <v>0</v>
      </c>
      <c r="Z134" s="40">
        <f>IF($A134="",0,DAY($A134))</f>
        <v>6</v>
      </c>
      <c r="AA134" s="40">
        <f>IF($A134="",0,WEEKDAY($A134))</f>
        <v>7</v>
      </c>
      <c r="AB134" s="36">
        <f>IF(AND($C134="Despesa",U134&gt;0,U134&lt;=Sel_Idx,V134&gt;=Sel_Idx),N(R134)+ROW()/1000000000,0)</f>
        <v>0</v>
      </c>
      <c r="AC134" s="40">
        <f>IF(AND($C134="Despesa",U134&gt;0,U134&lt;=Sel_Idx,V134&gt;=Sel_Idx),Z134*10000+ROW(),0)</f>
        <v>0</v>
      </c>
      <c r="AD134" s="40">
        <f>IF(AC134=0,0,COUNTIFS(L_CalChave,"&gt;0",L_CalChave,"&lt;"&amp;AC134)+1)</f>
        <v>0</v>
      </c>
    </row>
    <row r="135">
      <c r="A135" s="38" t="n">
        <v>45997</v>
      </c>
      <c r="B135" s="39" t="inlineStr">
        <is>
          <t>Aporte - reserva de emergência</t>
        </is>
      </c>
      <c r="C135" s="34" t="inlineStr">
        <is>
          <t>Investimento</t>
        </is>
      </c>
      <c r="D135" s="34" t="inlineStr">
        <is>
          <t>Investimento</t>
        </is>
      </c>
      <c r="E135" s="34" t="n"/>
      <c r="F135" s="34" t="inlineStr">
        <is>
          <t>Conta Corrente Banco Azul</t>
        </is>
      </c>
      <c r="G135" s="34" t="inlineStr">
        <is>
          <t>Transferência</t>
        </is>
      </c>
      <c r="H135" s="37" t="n"/>
      <c r="I135" s="37" t="n"/>
      <c r="J135" s="34" t="inlineStr">
        <is>
          <t>Pago</t>
        </is>
      </c>
      <c r="K135" s="34" t="n"/>
      <c r="L135" s="34" t="inlineStr">
        <is>
          <t>Reserva de emergência</t>
        </is>
      </c>
      <c r="M135" s="39" t="inlineStr">
        <is>
          <t>EXEMPLO</t>
        </is>
      </c>
      <c r="N135" s="35" t="n">
        <v>700</v>
      </c>
      <c r="O135" s="40">
        <f>IF($A135="","",MONTH($A135))</f>
        <v>12</v>
      </c>
      <c r="P135" s="40">
        <f>IF($A135="","",YEAR($A135))</f>
        <v>2025</v>
      </c>
      <c r="Q135" s="41">
        <f>IF($A135="","",DATE(P135,O135,1))</f>
        <v>45992.0</v>
      </c>
      <c r="R135" s="36">
        <f>IF(OR($A135="",$N135=""),"",IF(AND($C135&lt;&gt;"Transferência",N($I135)&gt;1),$N135/$I135,$N135))</f>
        <v>700</v>
      </c>
      <c r="S135" s="41" t="str">
        <f>IF(OR($A135="",$F135="",$C135&lt;&gt;"Despesa"),"",IF(COUNTIF(Cartoes_Nome,$F135)=0,"",DATE(P135,O135+IF(DAY($A135)&gt;=INDEX(Cartoes_Fech,MATCH($F135,Cartoes_Nome,0)),1,0),1)))</f>
        <v/>
      </c>
      <c r="T135" s="42" t="str">
        <f>IF($A135="","",IF(COUNTIFS(L_Data,$A135,L_Desc,$B135,L_Valor,$N135,L_Tipo,$C135)&gt;1,"⚠ Possível duplicidade",IF(OR(AND($C135="Despesa",COUNTIF(CatD_Nome,$D135)=0),AND($C135="Receita",COUNTIF(CatR_Nome,$D135)=0)),"⚠ Categoria não combina com o tipo",IF(OR($N135="",$C135=""),"⚠ Falta valor ou tipo",""))))</f>
        <v/>
      </c>
      <c r="U135" s="40">
        <f>IF($A135="",0,P135*12+O135)</f>
        <v>24312</v>
      </c>
      <c r="V135" s="40">
        <f>IF($A135="",0,U135+MAX(0,N($I135)-MAX(N($H135),1)))</f>
        <v>24312</v>
      </c>
      <c r="W135" s="40">
        <f>IF(S135="",0,YEAR(S135)*12+MONTH(S135))</f>
        <v>0</v>
      </c>
      <c r="X135" s="40">
        <f>IF(W135=0,0,W135+V135-U135)</f>
        <v>0</v>
      </c>
      <c r="Y135" s="36">
        <f>IF(W135=0,0,N(R135)*MAX(0,X135-MAX(W135,YEAR(Cfg_Hoje)*12+MONTH(Cfg_Hoje)+IF(DAY(Cfg_Hoje)&gt;=INDEX(Cartoes_Fech,MATCH($F135,Cartoes_Nome,0)),1,0))+1))</f>
        <v>0</v>
      </c>
      <c r="Z135" s="40">
        <f>IF($A135="",0,DAY($A135))</f>
        <v>6</v>
      </c>
      <c r="AA135" s="40">
        <f>IF($A135="",0,WEEKDAY($A135))</f>
        <v>7</v>
      </c>
      <c r="AB135" s="36">
        <f>IF(AND($C135="Despesa",U135&gt;0,U135&lt;=Sel_Idx,V135&gt;=Sel_Idx),N(R135)+ROW()/1000000000,0)</f>
        <v>0</v>
      </c>
      <c r="AC135" s="40">
        <f>IF(AND($C135="Despesa",U135&gt;0,U135&lt;=Sel_Idx,V135&gt;=Sel_Idx),Z135*10000+ROW(),0)</f>
        <v>0</v>
      </c>
      <c r="AD135" s="40">
        <f>IF(AC135=0,0,COUNTIFS(L_CalChave,"&gt;0",L_CalChave,"&lt;"&amp;AC135)+1)</f>
        <v>0</v>
      </c>
    </row>
    <row r="136">
      <c r="A136" s="38" t="n">
        <v>45997</v>
      </c>
      <c r="B136" s="39" t="inlineStr">
        <is>
          <t>Aporte - troca de carro</t>
        </is>
      </c>
      <c r="C136" s="34" t="inlineStr">
        <is>
          <t>Investimento</t>
        </is>
      </c>
      <c r="D136" s="34" t="inlineStr">
        <is>
          <t>Investimento</t>
        </is>
      </c>
      <c r="E136" s="34" t="n"/>
      <c r="F136" s="34" t="inlineStr">
        <is>
          <t>Conta Corrente Banco Azul</t>
        </is>
      </c>
      <c r="G136" s="34" t="inlineStr">
        <is>
          <t>Transferência</t>
        </is>
      </c>
      <c r="H136" s="37" t="n"/>
      <c r="I136" s="37" t="n"/>
      <c r="J136" s="34" t="inlineStr">
        <is>
          <t>Pago</t>
        </is>
      </c>
      <c r="K136" s="34" t="n"/>
      <c r="L136" s="34" t="inlineStr">
        <is>
          <t>Troca de carro</t>
        </is>
      </c>
      <c r="M136" s="39" t="inlineStr">
        <is>
          <t>EXEMPLO</t>
        </is>
      </c>
      <c r="N136" s="35" t="n">
        <v>200</v>
      </c>
      <c r="O136" s="40">
        <f>IF($A136="","",MONTH($A136))</f>
        <v>12</v>
      </c>
      <c r="P136" s="40">
        <f>IF($A136="","",YEAR($A136))</f>
        <v>2025</v>
      </c>
      <c r="Q136" s="41">
        <f>IF($A136="","",DATE(P136,O136,1))</f>
        <v>45992.0</v>
      </c>
      <c r="R136" s="36">
        <f>IF(OR($A136="",$N136=""),"",IF(AND($C136&lt;&gt;"Transferência",N($I136)&gt;1),$N136/$I136,$N136))</f>
        <v>200</v>
      </c>
      <c r="S136" s="41" t="str">
        <f>IF(OR($A136="",$F136="",$C136&lt;&gt;"Despesa"),"",IF(COUNTIF(Cartoes_Nome,$F136)=0,"",DATE(P136,O136+IF(DAY($A136)&gt;=INDEX(Cartoes_Fech,MATCH($F136,Cartoes_Nome,0)),1,0),1)))</f>
        <v/>
      </c>
      <c r="T136" s="42" t="str">
        <f>IF($A136="","",IF(COUNTIFS(L_Data,$A136,L_Desc,$B136,L_Valor,$N136,L_Tipo,$C136)&gt;1,"⚠ Possível duplicidade",IF(OR(AND($C136="Despesa",COUNTIF(CatD_Nome,$D136)=0),AND($C136="Receita",COUNTIF(CatR_Nome,$D136)=0)),"⚠ Categoria não combina com o tipo",IF(OR($N136="",$C136=""),"⚠ Falta valor ou tipo",""))))</f>
        <v/>
      </c>
      <c r="U136" s="40">
        <f>IF($A136="",0,P136*12+O136)</f>
        <v>24312</v>
      </c>
      <c r="V136" s="40">
        <f>IF($A136="",0,U136+MAX(0,N($I136)-MAX(N($H136),1)))</f>
        <v>24312</v>
      </c>
      <c r="W136" s="40">
        <f>IF(S136="",0,YEAR(S136)*12+MONTH(S136))</f>
        <v>0</v>
      </c>
      <c r="X136" s="40">
        <f>IF(W136=0,0,W136+V136-U136)</f>
        <v>0</v>
      </c>
      <c r="Y136" s="36">
        <f>IF(W136=0,0,N(R136)*MAX(0,X136-MAX(W136,YEAR(Cfg_Hoje)*12+MONTH(Cfg_Hoje)+IF(DAY(Cfg_Hoje)&gt;=INDEX(Cartoes_Fech,MATCH($F136,Cartoes_Nome,0)),1,0))+1))</f>
        <v>0</v>
      </c>
      <c r="Z136" s="40">
        <f>IF($A136="",0,DAY($A136))</f>
        <v>6</v>
      </c>
      <c r="AA136" s="40">
        <f>IF($A136="",0,WEEKDAY($A136))</f>
        <v>7</v>
      </c>
      <c r="AB136" s="36">
        <f>IF(AND($C136="Despesa",U136&gt;0,U136&lt;=Sel_Idx,V136&gt;=Sel_Idx),N(R136)+ROW()/1000000000,0)</f>
        <v>0</v>
      </c>
      <c r="AC136" s="40">
        <f>IF(AND($C136="Despesa",U136&gt;0,U136&lt;=Sel_Idx,V136&gt;=Sel_Idx),Z136*10000+ROW(),0)</f>
        <v>0</v>
      </c>
      <c r="AD136" s="40">
        <f>IF(AC136=0,0,COUNTIFS(L_CalChave,"&gt;0",L_CalChave,"&lt;"&amp;AC136)+1)</f>
        <v>0</v>
      </c>
    </row>
    <row r="137">
      <c r="A137" s="38" t="n">
        <v>45997</v>
      </c>
      <c r="B137" s="39" t="inlineStr">
        <is>
          <t>Aporte - viagem</t>
        </is>
      </c>
      <c r="C137" s="34" t="inlineStr">
        <is>
          <t>Investimento</t>
        </is>
      </c>
      <c r="D137" s="34" t="inlineStr">
        <is>
          <t>Investimento</t>
        </is>
      </c>
      <c r="E137" s="34" t="n"/>
      <c r="F137" s="34" t="inlineStr">
        <is>
          <t>Conta Corrente Banco Azul</t>
        </is>
      </c>
      <c r="G137" s="34" t="inlineStr">
        <is>
          <t>Transferência</t>
        </is>
      </c>
      <c r="H137" s="37" t="n"/>
      <c r="I137" s="37" t="n"/>
      <c r="J137" s="34" t="inlineStr">
        <is>
          <t>Pago</t>
        </is>
      </c>
      <c r="K137" s="34" t="n"/>
      <c r="L137" s="34" t="inlineStr">
        <is>
          <t>Viagem Europa</t>
        </is>
      </c>
      <c r="M137" s="39" t="inlineStr">
        <is>
          <t>EXEMPLO</t>
        </is>
      </c>
      <c r="N137" s="35" t="n">
        <v>300</v>
      </c>
      <c r="O137" s="40">
        <f>IF($A137="","",MONTH($A137))</f>
        <v>12</v>
      </c>
      <c r="P137" s="40">
        <f>IF($A137="","",YEAR($A137))</f>
        <v>2025</v>
      </c>
      <c r="Q137" s="41">
        <f>IF($A137="","",DATE(P137,O137,1))</f>
        <v>45992.0</v>
      </c>
      <c r="R137" s="36">
        <f>IF(OR($A137="",$N137=""),"",IF(AND($C137&lt;&gt;"Transferência",N($I137)&gt;1),$N137/$I137,$N137))</f>
        <v>300</v>
      </c>
      <c r="S137" s="41" t="str">
        <f>IF(OR($A137="",$F137="",$C137&lt;&gt;"Despesa"),"",IF(COUNTIF(Cartoes_Nome,$F137)=0,"",DATE(P137,O137+IF(DAY($A137)&gt;=INDEX(Cartoes_Fech,MATCH($F137,Cartoes_Nome,0)),1,0),1)))</f>
        <v/>
      </c>
      <c r="T137" s="42" t="str">
        <f>IF($A137="","",IF(COUNTIFS(L_Data,$A137,L_Desc,$B137,L_Valor,$N137,L_Tipo,$C137)&gt;1,"⚠ Possível duplicidade",IF(OR(AND($C137="Despesa",COUNTIF(CatD_Nome,$D137)=0),AND($C137="Receita",COUNTIF(CatR_Nome,$D137)=0)),"⚠ Categoria não combina com o tipo",IF(OR($N137="",$C137=""),"⚠ Falta valor ou tipo",""))))</f>
        <v/>
      </c>
      <c r="U137" s="40">
        <f>IF($A137="",0,P137*12+O137)</f>
        <v>24312</v>
      </c>
      <c r="V137" s="40">
        <f>IF($A137="",0,U137+MAX(0,N($I137)-MAX(N($H137),1)))</f>
        <v>24312</v>
      </c>
      <c r="W137" s="40">
        <f>IF(S137="",0,YEAR(S137)*12+MONTH(S137))</f>
        <v>0</v>
      </c>
      <c r="X137" s="40">
        <f>IF(W137=0,0,W137+V137-U137)</f>
        <v>0</v>
      </c>
      <c r="Y137" s="36">
        <f>IF(W137=0,0,N(R137)*MAX(0,X137-MAX(W137,YEAR(Cfg_Hoje)*12+MONTH(Cfg_Hoje)+IF(DAY(Cfg_Hoje)&gt;=INDEX(Cartoes_Fech,MATCH($F137,Cartoes_Nome,0)),1,0))+1))</f>
        <v>0</v>
      </c>
      <c r="Z137" s="40">
        <f>IF($A137="",0,DAY($A137))</f>
        <v>6</v>
      </c>
      <c r="AA137" s="40">
        <f>IF($A137="",0,WEEKDAY($A137))</f>
        <v>7</v>
      </c>
      <c r="AB137" s="36">
        <f>IF(AND($C137="Despesa",U137&gt;0,U137&lt;=Sel_Idx,V137&gt;=Sel_Idx),N(R137)+ROW()/1000000000,0)</f>
        <v>0</v>
      </c>
      <c r="AC137" s="40">
        <f>IF(AND($C137="Despesa",U137&gt;0,U137&lt;=Sel_Idx,V137&gt;=Sel_Idx),Z137*10000+ROW(),0)</f>
        <v>0</v>
      </c>
      <c r="AD137" s="40">
        <f>IF(AC137=0,0,COUNTIFS(L_CalChave,"&gt;0",L_CalChave,"&lt;"&amp;AC137)+1)</f>
        <v>0</v>
      </c>
    </row>
    <row r="138">
      <c r="A138" s="38" t="n">
        <v>45997</v>
      </c>
      <c r="B138" s="39" t="inlineStr">
        <is>
          <t>Despesa diversa</t>
        </is>
      </c>
      <c r="C138" s="34" t="inlineStr">
        <is>
          <t>Despesa</t>
        </is>
      </c>
      <c r="D138" s="34" t="inlineStr">
        <is>
          <t>Outros</t>
        </is>
      </c>
      <c r="E138" s="34" t="n"/>
      <c r="F138" s="34" t="inlineStr">
        <is>
          <t>Conta Corrente Banco Azul</t>
        </is>
      </c>
      <c r="G138" s="34" t="inlineStr">
        <is>
          <t>Pix</t>
        </is>
      </c>
      <c r="H138" s="37" t="n"/>
      <c r="I138" s="37" t="n"/>
      <c r="J138" s="34" t="inlineStr">
        <is>
          <t>Pago</t>
        </is>
      </c>
      <c r="K138" s="34" t="n"/>
      <c r="L138" s="34" t="n"/>
      <c r="M138" s="39" t="inlineStr">
        <is>
          <t>EXEMPLO</t>
        </is>
      </c>
      <c r="N138" s="35" t="n">
        <v>75.66</v>
      </c>
      <c r="O138" s="40">
        <f>IF($A138="","",MONTH($A138))</f>
        <v>12</v>
      </c>
      <c r="P138" s="40">
        <f>IF($A138="","",YEAR($A138))</f>
        <v>2025</v>
      </c>
      <c r="Q138" s="41">
        <f>IF($A138="","",DATE(P138,O138,1))</f>
        <v>45992.0</v>
      </c>
      <c r="R138" s="36">
        <f>IF(OR($A138="",$N138=""),"",IF(AND($C138&lt;&gt;"Transferência",N($I138)&gt;1),$N138/$I138,$N138))</f>
        <v>75.66</v>
      </c>
      <c r="S138" s="41" t="str">
        <f>IF(OR($A138="",$F138="",$C138&lt;&gt;"Despesa"),"",IF(COUNTIF(Cartoes_Nome,$F138)=0,"",DATE(P138,O138+IF(DAY($A138)&gt;=INDEX(Cartoes_Fech,MATCH($F138,Cartoes_Nome,0)),1,0),1)))</f>
        <v/>
      </c>
      <c r="T138" s="42" t="str">
        <f>IF($A138="","",IF(COUNTIFS(L_Data,$A138,L_Desc,$B138,L_Valor,$N138,L_Tipo,$C138)&gt;1,"⚠ Possível duplicidade",IF(OR(AND($C138="Despesa",COUNTIF(CatD_Nome,$D138)=0),AND($C138="Receita",COUNTIF(CatR_Nome,$D138)=0)),"⚠ Categoria não combina com o tipo",IF(OR($N138="",$C138=""),"⚠ Falta valor ou tipo",""))))</f>
        <v/>
      </c>
      <c r="U138" s="40">
        <f>IF($A138="",0,P138*12+O138)</f>
        <v>24312</v>
      </c>
      <c r="V138" s="40">
        <f>IF($A138="",0,U138+MAX(0,N($I138)-MAX(N($H138),1)))</f>
        <v>24312</v>
      </c>
      <c r="W138" s="40">
        <f>IF(S138="",0,YEAR(S138)*12+MONTH(S138))</f>
        <v>0</v>
      </c>
      <c r="X138" s="40">
        <f>IF(W138=0,0,W138+V138-U138)</f>
        <v>0</v>
      </c>
      <c r="Y138" s="36">
        <f>IF(W138=0,0,N(R138)*MAX(0,X138-MAX(W138,YEAR(Cfg_Hoje)*12+MONTH(Cfg_Hoje)+IF(DAY(Cfg_Hoje)&gt;=INDEX(Cartoes_Fech,MATCH($F138,Cartoes_Nome,0)),1,0))+1))</f>
        <v>0</v>
      </c>
      <c r="Z138" s="40">
        <f>IF($A138="",0,DAY($A138))</f>
        <v>6</v>
      </c>
      <c r="AA138" s="40">
        <f>IF($A138="",0,WEEKDAY($A138))</f>
        <v>7</v>
      </c>
      <c r="AB138" s="36">
        <f>IF(AND($C138="Despesa",U138&gt;0,U138&lt;=Sel_Idx,V138&gt;=Sel_Idx),N(R138)+ROW()/1000000000,0)</f>
        <v>0</v>
      </c>
      <c r="AC138" s="40">
        <f>IF(AND($C138="Despesa",U138&gt;0,U138&lt;=Sel_Idx,V138&gt;=Sel_Idx),Z138*10000+ROW(),0)</f>
        <v>0</v>
      </c>
      <c r="AD138" s="40">
        <f>IF(AC138=0,0,COUNTIFS(L_CalChave,"&gt;0",L_CalChave,"&lt;"&amp;AC138)+1)</f>
        <v>0</v>
      </c>
    </row>
    <row r="139">
      <c r="A139" s="38" t="n">
        <v>45997</v>
      </c>
      <c r="B139" s="39" t="inlineStr">
        <is>
          <t>Supermercado</t>
        </is>
      </c>
      <c r="C139" s="34" t="inlineStr">
        <is>
          <t>Despesa</t>
        </is>
      </c>
      <c r="D139" s="34" t="inlineStr">
        <is>
          <t>Alimentação</t>
        </is>
      </c>
      <c r="E139" s="34" t="inlineStr">
        <is>
          <t>Mercado</t>
        </is>
      </c>
      <c r="F139" s="34" t="inlineStr">
        <is>
          <t>Cartão Azul Gold</t>
        </is>
      </c>
      <c r="G139" s="34" t="inlineStr">
        <is>
          <t>Crédito</t>
        </is>
      </c>
      <c r="H139" s="37" t="n"/>
      <c r="I139" s="37" t="n"/>
      <c r="J139" s="34" t="inlineStr">
        <is>
          <t>Pago</t>
        </is>
      </c>
      <c r="K139" s="34" t="n"/>
      <c r="L139" s="34" t="n"/>
      <c r="M139" s="39" t="inlineStr">
        <is>
          <t>EXEMPLO</t>
        </is>
      </c>
      <c r="N139" s="35" t="n">
        <v>383.31</v>
      </c>
      <c r="O139" s="40">
        <f>IF($A139="","",MONTH($A139))</f>
        <v>12</v>
      </c>
      <c r="P139" s="40">
        <f>IF($A139="","",YEAR($A139))</f>
        <v>2025</v>
      </c>
      <c r="Q139" s="41">
        <f>IF($A139="","",DATE(P139,O139,1))</f>
        <v>45992.0</v>
      </c>
      <c r="R139" s="36">
        <f>IF(OR($A139="",$N139=""),"",IF(AND($C139&lt;&gt;"Transferência",N($I139)&gt;1),$N139/$I139,$N139))</f>
        <v>383.31</v>
      </c>
      <c r="S139" s="41">
        <f>IF(OR($A139="",$F139="",$C139&lt;&gt;"Despesa"),"",IF(COUNTIF(Cartoes_Nome,$F139)=0,"",DATE(P139,O139+IF(DAY($A139)&gt;=INDEX(Cartoes_Fech,MATCH($F139,Cartoes_Nome,0)),1,0),1)))</f>
        <v>45992.0</v>
      </c>
      <c r="T139" s="42" t="str">
        <f>IF($A139="","",IF(COUNTIFS(L_Data,$A139,L_Desc,$B139,L_Valor,$N139,L_Tipo,$C139)&gt;1,"⚠ Possível duplicidade",IF(OR(AND($C139="Despesa",COUNTIF(CatD_Nome,$D139)=0),AND($C139="Receita",COUNTIF(CatR_Nome,$D139)=0)),"⚠ Categoria não combina com o tipo",IF(OR($N139="",$C139=""),"⚠ Falta valor ou tipo",""))))</f>
        <v/>
      </c>
      <c r="U139" s="40">
        <f>IF($A139="",0,P139*12+O139)</f>
        <v>24312</v>
      </c>
      <c r="V139" s="40">
        <f>IF($A139="",0,U139+MAX(0,N($I139)-MAX(N($H139),1)))</f>
        <v>24312</v>
      </c>
      <c r="W139" s="40">
        <f>IF(S139="",0,YEAR(S139)*12+MONTH(S139))</f>
        <v>24312</v>
      </c>
      <c r="X139" s="40">
        <f>IF(W139=0,0,W139+V139-U139)</f>
        <v>24312</v>
      </c>
      <c r="Y139" s="36">
        <f>IF(W139=0,0,N(R139)*MAX(0,X139-MAX(W139,YEAR(Cfg_Hoje)*12+MONTH(Cfg_Hoje)+IF(DAY(Cfg_Hoje)&gt;=INDEX(Cartoes_Fech,MATCH($F139,Cartoes_Nome,0)),1,0))+1))</f>
        <v>0</v>
      </c>
      <c r="Z139" s="40">
        <f>IF($A139="",0,DAY($A139))</f>
        <v>6</v>
      </c>
      <c r="AA139" s="40">
        <f>IF($A139="",0,WEEKDAY($A139))</f>
        <v>7</v>
      </c>
      <c r="AB139" s="36">
        <f>IF(AND($C139="Despesa",U139&gt;0,U139&lt;=Sel_Idx,V139&gt;=Sel_Idx),N(R139)+ROW()/1000000000,0)</f>
        <v>0</v>
      </c>
      <c r="AC139" s="40">
        <f>IF(AND($C139="Despesa",U139&gt;0,U139&lt;=Sel_Idx,V139&gt;=Sel_Idx),Z139*10000+ROW(),0)</f>
        <v>0</v>
      </c>
      <c r="AD139" s="40">
        <f>IF(AC139=0,0,COUNTIFS(L_CalChave,"&gt;0",L_CalChave,"&lt;"&amp;AC139)+1)</f>
        <v>0</v>
      </c>
    </row>
    <row r="140">
      <c r="A140" s="38" t="n">
        <v>45998</v>
      </c>
      <c r="B140" s="39" t="inlineStr">
        <is>
          <t>Consulta médica</t>
        </is>
      </c>
      <c r="C140" s="34" t="inlineStr">
        <is>
          <t>Despesa</t>
        </is>
      </c>
      <c r="D140" s="34" t="inlineStr">
        <is>
          <t>Saúde</t>
        </is>
      </c>
      <c r="E140" s="34" t="inlineStr">
        <is>
          <t>Consultas</t>
        </is>
      </c>
      <c r="F140" s="34" t="inlineStr">
        <is>
          <t>Conta Corrente Banco Azul</t>
        </is>
      </c>
      <c r="G140" s="34" t="inlineStr">
        <is>
          <t>Pix</t>
        </is>
      </c>
      <c r="H140" s="37" t="n"/>
      <c r="I140" s="37" t="n"/>
      <c r="J140" s="34" t="inlineStr">
        <is>
          <t>Pago</t>
        </is>
      </c>
      <c r="K140" s="34" t="n"/>
      <c r="L140" s="34" t="n"/>
      <c r="M140" s="39" t="inlineStr">
        <is>
          <t>EXEMPLO</t>
        </is>
      </c>
      <c r="N140" s="35" t="n">
        <v>280</v>
      </c>
      <c r="O140" s="40">
        <f>IF($A140="","",MONTH($A140))</f>
        <v>12</v>
      </c>
      <c r="P140" s="40">
        <f>IF($A140="","",YEAR($A140))</f>
        <v>2025</v>
      </c>
      <c r="Q140" s="41">
        <f>IF($A140="","",DATE(P140,O140,1))</f>
        <v>45992.0</v>
      </c>
      <c r="R140" s="36">
        <f>IF(OR($A140="",$N140=""),"",IF(AND($C140&lt;&gt;"Transferência",N($I140)&gt;1),$N140/$I140,$N140))</f>
        <v>280</v>
      </c>
      <c r="S140" s="41" t="str">
        <f>IF(OR($A140="",$F140="",$C140&lt;&gt;"Despesa"),"",IF(COUNTIF(Cartoes_Nome,$F140)=0,"",DATE(P140,O140+IF(DAY($A140)&gt;=INDEX(Cartoes_Fech,MATCH($F140,Cartoes_Nome,0)),1,0),1)))</f>
        <v/>
      </c>
      <c r="T140" s="42" t="str">
        <f>IF($A140="","",IF(COUNTIFS(L_Data,$A140,L_Desc,$B140,L_Valor,$N140,L_Tipo,$C140)&gt;1,"⚠ Possível duplicidade",IF(OR(AND($C140="Despesa",COUNTIF(CatD_Nome,$D140)=0),AND($C140="Receita",COUNTIF(CatR_Nome,$D140)=0)),"⚠ Categoria não combina com o tipo",IF(OR($N140="",$C140=""),"⚠ Falta valor ou tipo",""))))</f>
        <v/>
      </c>
      <c r="U140" s="40">
        <f>IF($A140="",0,P140*12+O140)</f>
        <v>24312</v>
      </c>
      <c r="V140" s="40">
        <f>IF($A140="",0,U140+MAX(0,N($I140)-MAX(N($H140),1)))</f>
        <v>24312</v>
      </c>
      <c r="W140" s="40">
        <f>IF(S140="",0,YEAR(S140)*12+MONTH(S140))</f>
        <v>0</v>
      </c>
      <c r="X140" s="40">
        <f>IF(W140=0,0,W140+V140-U140)</f>
        <v>0</v>
      </c>
      <c r="Y140" s="36">
        <f>IF(W140=0,0,N(R140)*MAX(0,X140-MAX(W140,YEAR(Cfg_Hoje)*12+MONTH(Cfg_Hoje)+IF(DAY(Cfg_Hoje)&gt;=INDEX(Cartoes_Fech,MATCH($F140,Cartoes_Nome,0)),1,0))+1))</f>
        <v>0</v>
      </c>
      <c r="Z140" s="40">
        <f>IF($A140="",0,DAY($A140))</f>
        <v>7</v>
      </c>
      <c r="AA140" s="40">
        <f>IF($A140="",0,WEEKDAY($A140))</f>
        <v>1</v>
      </c>
      <c r="AB140" s="36">
        <f>IF(AND($C140="Despesa",U140&gt;0,U140&lt;=Sel_Idx,V140&gt;=Sel_Idx),N(R140)+ROW()/1000000000,0)</f>
        <v>0</v>
      </c>
      <c r="AC140" s="40">
        <f>IF(AND($C140="Despesa",U140&gt;0,U140&lt;=Sel_Idx,V140&gt;=Sel_Idx),Z140*10000+ROW(),0)</f>
        <v>0</v>
      </c>
      <c r="AD140" s="40">
        <f>IF(AC140=0,0,COUNTIFS(L_CalChave,"&gt;0",L_CalChave,"&lt;"&amp;AC140)+1)</f>
        <v>0</v>
      </c>
    </row>
    <row r="141">
      <c r="A141" s="38" t="n">
        <v>45998</v>
      </c>
      <c r="B141" s="39" t="inlineStr">
        <is>
          <t>Doação mensal</t>
        </is>
      </c>
      <c r="C141" s="34" t="inlineStr">
        <is>
          <t>Despesa</t>
        </is>
      </c>
      <c r="D141" s="34" t="inlineStr">
        <is>
          <t>Doações</t>
        </is>
      </c>
      <c r="E141" s="34" t="inlineStr">
        <is>
          <t>ONG</t>
        </is>
      </c>
      <c r="F141" s="34" t="inlineStr">
        <is>
          <t>Conta Corrente Banco Azul</t>
        </is>
      </c>
      <c r="G141" s="34" t="inlineStr">
        <is>
          <t>Pix</t>
        </is>
      </c>
      <c r="H141" s="37" t="n"/>
      <c r="I141" s="37" t="n"/>
      <c r="J141" s="34" t="inlineStr">
        <is>
          <t>Pago</t>
        </is>
      </c>
      <c r="K141" s="34" t="n"/>
      <c r="L141" s="34" t="n"/>
      <c r="M141" s="39" t="inlineStr">
        <is>
          <t>EXEMPLO</t>
        </is>
      </c>
      <c r="N141" s="35" t="n">
        <v>100</v>
      </c>
      <c r="O141" s="40">
        <f>IF($A141="","",MONTH($A141))</f>
        <v>12</v>
      </c>
      <c r="P141" s="40">
        <f>IF($A141="","",YEAR($A141))</f>
        <v>2025</v>
      </c>
      <c r="Q141" s="41">
        <f>IF($A141="","",DATE(P141,O141,1))</f>
        <v>45992.0</v>
      </c>
      <c r="R141" s="36">
        <f>IF(OR($A141="",$N141=""),"",IF(AND($C141&lt;&gt;"Transferência",N($I141)&gt;1),$N141/$I141,$N141))</f>
        <v>100</v>
      </c>
      <c r="S141" s="41" t="str">
        <f>IF(OR($A141="",$F141="",$C141&lt;&gt;"Despesa"),"",IF(COUNTIF(Cartoes_Nome,$F141)=0,"",DATE(P141,O141+IF(DAY($A141)&gt;=INDEX(Cartoes_Fech,MATCH($F141,Cartoes_Nome,0)),1,0),1)))</f>
        <v/>
      </c>
      <c r="T141" s="42" t="str">
        <f>IF($A141="","",IF(COUNTIFS(L_Data,$A141,L_Desc,$B141,L_Valor,$N141,L_Tipo,$C141)&gt;1,"⚠ Possível duplicidade",IF(OR(AND($C141="Despesa",COUNTIF(CatD_Nome,$D141)=0),AND($C141="Receita",COUNTIF(CatR_Nome,$D141)=0)),"⚠ Categoria não combina com o tipo",IF(OR($N141="",$C141=""),"⚠ Falta valor ou tipo",""))))</f>
        <v/>
      </c>
      <c r="U141" s="40">
        <f>IF($A141="",0,P141*12+O141)</f>
        <v>24312</v>
      </c>
      <c r="V141" s="40">
        <f>IF($A141="",0,U141+MAX(0,N($I141)-MAX(N($H141),1)))</f>
        <v>24312</v>
      </c>
      <c r="W141" s="40">
        <f>IF(S141="",0,YEAR(S141)*12+MONTH(S141))</f>
        <v>0</v>
      </c>
      <c r="X141" s="40">
        <f>IF(W141=0,0,W141+V141-U141)</f>
        <v>0</v>
      </c>
      <c r="Y141" s="36">
        <f>IF(W141=0,0,N(R141)*MAX(0,X141-MAX(W141,YEAR(Cfg_Hoje)*12+MONTH(Cfg_Hoje)+IF(DAY(Cfg_Hoje)&gt;=INDEX(Cartoes_Fech,MATCH($F141,Cartoes_Nome,0)),1,0))+1))</f>
        <v>0</v>
      </c>
      <c r="Z141" s="40">
        <f>IF($A141="",0,DAY($A141))</f>
        <v>7</v>
      </c>
      <c r="AA141" s="40">
        <f>IF($A141="",0,WEEKDAY($A141))</f>
        <v>1</v>
      </c>
      <c r="AB141" s="36">
        <f>IF(AND($C141="Despesa",U141&gt;0,U141&lt;=Sel_Idx,V141&gt;=Sel_Idx),N(R141)+ROW()/1000000000,0)</f>
        <v>0</v>
      </c>
      <c r="AC141" s="40">
        <f>IF(AND($C141="Despesa",U141&gt;0,U141&lt;=Sel_Idx,V141&gt;=Sel_Idx),Z141*10000+ROW(),0)</f>
        <v>0</v>
      </c>
      <c r="AD141" s="40">
        <f>IF(AC141=0,0,COUNTIFS(L_CalChave,"&gt;0",L_CalChave,"&lt;"&amp;AC141)+1)</f>
        <v>0</v>
      </c>
    </row>
    <row r="142">
      <c r="A142" s="38" t="n">
        <v>45999</v>
      </c>
      <c r="B142" s="39" t="inlineStr">
        <is>
          <t>Corrida de aplicativo</t>
        </is>
      </c>
      <c r="C142" s="34" t="inlineStr">
        <is>
          <t>Despesa</t>
        </is>
      </c>
      <c r="D142" s="34" t="inlineStr">
        <is>
          <t>Transporte</t>
        </is>
      </c>
      <c r="E142" s="34" t="inlineStr">
        <is>
          <t>App de transporte</t>
        </is>
      </c>
      <c r="F142" s="34" t="inlineStr">
        <is>
          <t>Conta Corrente Banco Azul</t>
        </is>
      </c>
      <c r="G142" s="34" t="inlineStr">
        <is>
          <t>Pix</t>
        </is>
      </c>
      <c r="H142" s="37" t="n"/>
      <c r="I142" s="37" t="n"/>
      <c r="J142" s="34" t="inlineStr">
        <is>
          <t>Pago</t>
        </is>
      </c>
      <c r="K142" s="34" t="n"/>
      <c r="L142" s="34" t="n"/>
      <c r="M142" s="39" t="inlineStr">
        <is>
          <t>EXEMPLO</t>
        </is>
      </c>
      <c r="N142" s="35" t="n">
        <v>38.35</v>
      </c>
      <c r="O142" s="40">
        <f>IF($A142="","",MONTH($A142))</f>
        <v>12</v>
      </c>
      <c r="P142" s="40">
        <f>IF($A142="","",YEAR($A142))</f>
        <v>2025</v>
      </c>
      <c r="Q142" s="41">
        <f>IF($A142="","",DATE(P142,O142,1))</f>
        <v>45992.0</v>
      </c>
      <c r="R142" s="36">
        <f>IF(OR($A142="",$N142=""),"",IF(AND($C142&lt;&gt;"Transferência",N($I142)&gt;1),$N142/$I142,$N142))</f>
        <v>38.35</v>
      </c>
      <c r="S142" s="41" t="str">
        <f>IF(OR($A142="",$F142="",$C142&lt;&gt;"Despesa"),"",IF(COUNTIF(Cartoes_Nome,$F142)=0,"",DATE(P142,O142+IF(DAY($A142)&gt;=INDEX(Cartoes_Fech,MATCH($F142,Cartoes_Nome,0)),1,0),1)))</f>
        <v/>
      </c>
      <c r="T142" s="42" t="str">
        <f>IF($A142="","",IF(COUNTIFS(L_Data,$A142,L_Desc,$B142,L_Valor,$N142,L_Tipo,$C142)&gt;1,"⚠ Possível duplicidade",IF(OR(AND($C142="Despesa",COUNTIF(CatD_Nome,$D142)=0),AND($C142="Receita",COUNTIF(CatR_Nome,$D142)=0)),"⚠ Categoria não combina com o tipo",IF(OR($N142="",$C142=""),"⚠ Falta valor ou tipo",""))))</f>
        <v/>
      </c>
      <c r="U142" s="40">
        <f>IF($A142="",0,P142*12+O142)</f>
        <v>24312</v>
      </c>
      <c r="V142" s="40">
        <f>IF($A142="",0,U142+MAX(0,N($I142)-MAX(N($H142),1)))</f>
        <v>24312</v>
      </c>
      <c r="W142" s="40">
        <f>IF(S142="",0,YEAR(S142)*12+MONTH(S142))</f>
        <v>0</v>
      </c>
      <c r="X142" s="40">
        <f>IF(W142=0,0,W142+V142-U142)</f>
        <v>0</v>
      </c>
      <c r="Y142" s="36">
        <f>IF(W142=0,0,N(R142)*MAX(0,X142-MAX(W142,YEAR(Cfg_Hoje)*12+MONTH(Cfg_Hoje)+IF(DAY(Cfg_Hoje)&gt;=INDEX(Cartoes_Fech,MATCH($F142,Cartoes_Nome,0)),1,0))+1))</f>
        <v>0</v>
      </c>
      <c r="Z142" s="40">
        <f>IF($A142="",0,DAY($A142))</f>
        <v>8</v>
      </c>
      <c r="AA142" s="40">
        <f>IF($A142="",0,WEEKDAY($A142))</f>
        <v>2</v>
      </c>
      <c r="AB142" s="36">
        <f>IF(AND($C142="Despesa",U142&gt;0,U142&lt;=Sel_Idx,V142&gt;=Sel_Idx),N(R142)+ROW()/1000000000,0)</f>
        <v>0</v>
      </c>
      <c r="AC142" s="40">
        <f>IF(AND($C142="Despesa",U142&gt;0,U142&lt;=Sel_Idx,V142&gt;=Sel_Idx),Z142*10000+ROW(),0)</f>
        <v>0</v>
      </c>
      <c r="AD142" s="40">
        <f>IF(AC142=0,0,COUNTIFS(L_CalChave,"&gt;0",L_CalChave,"&lt;"&amp;AC142)+1)</f>
        <v>0</v>
      </c>
    </row>
    <row r="143">
      <c r="A143" s="38" t="n">
        <v>45999</v>
      </c>
      <c r="B143" s="39" t="inlineStr">
        <is>
          <t>Curso de inglês</t>
        </is>
      </c>
      <c r="C143" s="34" t="inlineStr">
        <is>
          <t>Despesa</t>
        </is>
      </c>
      <c r="D143" s="34" t="inlineStr">
        <is>
          <t>Educação</t>
        </is>
      </c>
      <c r="E143" s="34" t="inlineStr">
        <is>
          <t>Cursos</t>
        </is>
      </c>
      <c r="F143" s="34" t="inlineStr">
        <is>
          <t>Conta Corrente Banco Azul</t>
        </is>
      </c>
      <c r="G143" s="34" t="inlineStr">
        <is>
          <t>Boleto</t>
        </is>
      </c>
      <c r="H143" s="37" t="n"/>
      <c r="I143" s="37" t="n"/>
      <c r="J143" s="34" t="inlineStr">
        <is>
          <t>Pago</t>
        </is>
      </c>
      <c r="K143" s="34" t="n"/>
      <c r="L143" s="34" t="n"/>
      <c r="M143" s="39" t="inlineStr">
        <is>
          <t>EXEMPLO</t>
        </is>
      </c>
      <c r="N143" s="35" t="n">
        <v>390</v>
      </c>
      <c r="O143" s="40">
        <f>IF($A143="","",MONTH($A143))</f>
        <v>12</v>
      </c>
      <c r="P143" s="40">
        <f>IF($A143="","",YEAR($A143))</f>
        <v>2025</v>
      </c>
      <c r="Q143" s="41">
        <f>IF($A143="","",DATE(P143,O143,1))</f>
        <v>45992.0</v>
      </c>
      <c r="R143" s="36">
        <f>IF(OR($A143="",$N143=""),"",IF(AND($C143&lt;&gt;"Transferência",N($I143)&gt;1),$N143/$I143,$N143))</f>
        <v>390</v>
      </c>
      <c r="S143" s="41" t="str">
        <f>IF(OR($A143="",$F143="",$C143&lt;&gt;"Despesa"),"",IF(COUNTIF(Cartoes_Nome,$F143)=0,"",DATE(P143,O143+IF(DAY($A143)&gt;=INDEX(Cartoes_Fech,MATCH($F143,Cartoes_Nome,0)),1,0),1)))</f>
        <v/>
      </c>
      <c r="T143" s="42" t="str">
        <f>IF($A143="","",IF(COUNTIFS(L_Data,$A143,L_Desc,$B143,L_Valor,$N143,L_Tipo,$C143)&gt;1,"⚠ Possível duplicidade",IF(OR(AND($C143="Despesa",COUNTIF(CatD_Nome,$D143)=0),AND($C143="Receita",COUNTIF(CatR_Nome,$D143)=0)),"⚠ Categoria não combina com o tipo",IF(OR($N143="",$C143=""),"⚠ Falta valor ou tipo",""))))</f>
        <v/>
      </c>
      <c r="U143" s="40">
        <f>IF($A143="",0,P143*12+O143)</f>
        <v>24312</v>
      </c>
      <c r="V143" s="40">
        <f>IF($A143="",0,U143+MAX(0,N($I143)-MAX(N($H143),1)))</f>
        <v>24312</v>
      </c>
      <c r="W143" s="40">
        <f>IF(S143="",0,YEAR(S143)*12+MONTH(S143))</f>
        <v>0</v>
      </c>
      <c r="X143" s="40">
        <f>IF(W143=0,0,W143+V143-U143)</f>
        <v>0</v>
      </c>
      <c r="Y143" s="36">
        <f>IF(W143=0,0,N(R143)*MAX(0,X143-MAX(W143,YEAR(Cfg_Hoje)*12+MONTH(Cfg_Hoje)+IF(DAY(Cfg_Hoje)&gt;=INDEX(Cartoes_Fech,MATCH($F143,Cartoes_Nome,0)),1,0))+1))</f>
        <v>0</v>
      </c>
      <c r="Z143" s="40">
        <f>IF($A143="",0,DAY($A143))</f>
        <v>8</v>
      </c>
      <c r="AA143" s="40">
        <f>IF($A143="",0,WEEKDAY($A143))</f>
        <v>2</v>
      </c>
      <c r="AB143" s="36">
        <f>IF(AND($C143="Despesa",U143&gt;0,U143&lt;=Sel_Idx,V143&gt;=Sel_Idx),N(R143)+ROW()/1000000000,0)</f>
        <v>0</v>
      </c>
      <c r="AC143" s="40">
        <f>IF(AND($C143="Despesa",U143&gt;0,U143&lt;=Sel_Idx,V143&gt;=Sel_Idx),Z143*10000+ROW(),0)</f>
        <v>0</v>
      </c>
      <c r="AD143" s="40">
        <f>IF(AC143=0,0,COUNTIFS(L_CalChave,"&gt;0",L_CalChave,"&lt;"&amp;AC143)+1)</f>
        <v>0</v>
      </c>
    </row>
    <row r="144">
      <c r="A144" s="38" t="n">
        <v>46000</v>
      </c>
      <c r="B144" s="39" t="inlineStr">
        <is>
          <t>Ração e petiscos</t>
        </is>
      </c>
      <c r="C144" s="34" t="inlineStr">
        <is>
          <t>Despesa</t>
        </is>
      </c>
      <c r="D144" s="34" t="inlineStr">
        <is>
          <t>Família/Pets</t>
        </is>
      </c>
      <c r="E144" s="34" t="inlineStr">
        <is>
          <t>Ração</t>
        </is>
      </c>
      <c r="F144" s="34" t="inlineStr">
        <is>
          <t>Cartão Azul Gold</t>
        </is>
      </c>
      <c r="G144" s="34" t="inlineStr">
        <is>
          <t>Crédito</t>
        </is>
      </c>
      <c r="H144" s="37" t="n"/>
      <c r="I144" s="37" t="n"/>
      <c r="J144" s="34" t="inlineStr">
        <is>
          <t>Pago</t>
        </is>
      </c>
      <c r="K144" s="34" t="n"/>
      <c r="L144" s="34" t="n"/>
      <c r="M144" s="39" t="inlineStr">
        <is>
          <t>EXEMPLO</t>
        </is>
      </c>
      <c r="N144" s="35" t="n">
        <v>221.01</v>
      </c>
      <c r="O144" s="40">
        <f>IF($A144="","",MONTH($A144))</f>
        <v>12</v>
      </c>
      <c r="P144" s="40">
        <f>IF($A144="","",YEAR($A144))</f>
        <v>2025</v>
      </c>
      <c r="Q144" s="41">
        <f>IF($A144="","",DATE(P144,O144,1))</f>
        <v>45992.0</v>
      </c>
      <c r="R144" s="36">
        <f>IF(OR($A144="",$N144=""),"",IF(AND($C144&lt;&gt;"Transferência",N($I144)&gt;1),$N144/$I144,$N144))</f>
        <v>221.01</v>
      </c>
      <c r="S144" s="41">
        <f>IF(OR($A144="",$F144="",$C144&lt;&gt;"Despesa"),"",IF(COUNTIF(Cartoes_Nome,$F144)=0,"",DATE(P144,O144+IF(DAY($A144)&gt;=INDEX(Cartoes_Fech,MATCH($F144,Cartoes_Nome,0)),1,0),1)))</f>
        <v>45992.0</v>
      </c>
      <c r="T144" s="42" t="str">
        <f>IF($A144="","",IF(COUNTIFS(L_Data,$A144,L_Desc,$B144,L_Valor,$N144,L_Tipo,$C144)&gt;1,"⚠ Possível duplicidade",IF(OR(AND($C144="Despesa",COUNTIF(CatD_Nome,$D144)=0),AND($C144="Receita",COUNTIF(CatR_Nome,$D144)=0)),"⚠ Categoria não combina com o tipo",IF(OR($N144="",$C144=""),"⚠ Falta valor ou tipo",""))))</f>
        <v/>
      </c>
      <c r="U144" s="40">
        <f>IF($A144="",0,P144*12+O144)</f>
        <v>24312</v>
      </c>
      <c r="V144" s="40">
        <f>IF($A144="",0,U144+MAX(0,N($I144)-MAX(N($H144),1)))</f>
        <v>24312</v>
      </c>
      <c r="W144" s="40">
        <f>IF(S144="",0,YEAR(S144)*12+MONTH(S144))</f>
        <v>24312</v>
      </c>
      <c r="X144" s="40">
        <f>IF(W144=0,0,W144+V144-U144)</f>
        <v>24312</v>
      </c>
      <c r="Y144" s="36">
        <f>IF(W144=0,0,N(R144)*MAX(0,X144-MAX(W144,YEAR(Cfg_Hoje)*12+MONTH(Cfg_Hoje)+IF(DAY(Cfg_Hoje)&gt;=INDEX(Cartoes_Fech,MATCH($F144,Cartoes_Nome,0)),1,0))+1))</f>
        <v>0</v>
      </c>
      <c r="Z144" s="40">
        <f>IF($A144="",0,DAY($A144))</f>
        <v>9</v>
      </c>
      <c r="AA144" s="40">
        <f>IF($A144="",0,WEEKDAY($A144))</f>
        <v>3</v>
      </c>
      <c r="AB144" s="36">
        <f>IF(AND($C144="Despesa",U144&gt;0,U144&lt;=Sel_Idx,V144&gt;=Sel_Idx),N(R144)+ROW()/1000000000,0)</f>
        <v>0</v>
      </c>
      <c r="AC144" s="40">
        <f>IF(AND($C144="Despesa",U144&gt;0,U144&lt;=Sel_Idx,V144&gt;=Sel_Idx),Z144*10000+ROW(),0)</f>
        <v>0</v>
      </c>
      <c r="AD144" s="40">
        <f>IF(AC144=0,0,COUNTIFS(L_CalChave,"&gt;0",L_CalChave,"&lt;"&amp;AC144)+1)</f>
        <v>0</v>
      </c>
    </row>
    <row r="145">
      <c r="A145" s="38" t="n">
        <v>46001</v>
      </c>
      <c r="B145" s="39" t="inlineStr">
        <is>
          <t>Aluguel recebido - apto 12</t>
        </is>
      </c>
      <c r="C145" s="34" t="inlineStr">
        <is>
          <t>Receita</t>
        </is>
      </c>
      <c r="D145" s="34" t="inlineStr">
        <is>
          <t>Aluguel recebido</t>
        </is>
      </c>
      <c r="E145" s="34" t="n"/>
      <c r="F145" s="34" t="inlineStr">
        <is>
          <t>Conta Corrente Banco Azul</t>
        </is>
      </c>
      <c r="G145" s="34" t="inlineStr">
        <is>
          <t>Pix</t>
        </is>
      </c>
      <c r="H145" s="37" t="n"/>
      <c r="I145" s="37" t="n"/>
      <c r="J145" s="34" t="inlineStr">
        <is>
          <t>Pago</t>
        </is>
      </c>
      <c r="K145" s="34" t="n"/>
      <c r="L145" s="34" t="n"/>
      <c r="M145" s="39" t="inlineStr">
        <is>
          <t>EXEMPLO</t>
        </is>
      </c>
      <c r="N145" s="35" t="n">
        <v>1900</v>
      </c>
      <c r="O145" s="40">
        <f>IF($A145="","",MONTH($A145))</f>
        <v>12</v>
      </c>
      <c r="P145" s="40">
        <f>IF($A145="","",YEAR($A145))</f>
        <v>2025</v>
      </c>
      <c r="Q145" s="41">
        <f>IF($A145="","",DATE(P145,O145,1))</f>
        <v>45992.0</v>
      </c>
      <c r="R145" s="36">
        <f>IF(OR($A145="",$N145=""),"",IF(AND($C145&lt;&gt;"Transferência",N($I145)&gt;1),$N145/$I145,$N145))</f>
        <v>1900</v>
      </c>
      <c r="S145" s="41" t="str">
        <f>IF(OR($A145="",$F145="",$C145&lt;&gt;"Despesa"),"",IF(COUNTIF(Cartoes_Nome,$F145)=0,"",DATE(P145,O145+IF(DAY($A145)&gt;=INDEX(Cartoes_Fech,MATCH($F145,Cartoes_Nome,0)),1,0),1)))</f>
        <v/>
      </c>
      <c r="T145" s="42" t="str">
        <f>IF($A145="","",IF(COUNTIFS(L_Data,$A145,L_Desc,$B145,L_Valor,$N145,L_Tipo,$C145)&gt;1,"⚠ Possível duplicidade",IF(OR(AND($C145="Despesa",COUNTIF(CatD_Nome,$D145)=0),AND($C145="Receita",COUNTIF(CatR_Nome,$D145)=0)),"⚠ Categoria não combina com o tipo",IF(OR($N145="",$C145=""),"⚠ Falta valor ou tipo",""))))</f>
        <v/>
      </c>
      <c r="U145" s="40">
        <f>IF($A145="",0,P145*12+O145)</f>
        <v>24312</v>
      </c>
      <c r="V145" s="40">
        <f>IF($A145="",0,U145+MAX(0,N($I145)-MAX(N($H145),1)))</f>
        <v>24312</v>
      </c>
      <c r="W145" s="40">
        <f>IF(S145="",0,YEAR(S145)*12+MONTH(S145))</f>
        <v>0</v>
      </c>
      <c r="X145" s="40">
        <f>IF(W145=0,0,W145+V145-U145)</f>
        <v>0</v>
      </c>
      <c r="Y145" s="36">
        <f>IF(W145=0,0,N(R145)*MAX(0,X145-MAX(W145,YEAR(Cfg_Hoje)*12+MONTH(Cfg_Hoje)+IF(DAY(Cfg_Hoje)&gt;=INDEX(Cartoes_Fech,MATCH($F145,Cartoes_Nome,0)),1,0))+1))</f>
        <v>0</v>
      </c>
      <c r="Z145" s="40">
        <f>IF($A145="",0,DAY($A145))</f>
        <v>10</v>
      </c>
      <c r="AA145" s="40">
        <f>IF($A145="",0,WEEKDAY($A145))</f>
        <v>4</v>
      </c>
      <c r="AB145" s="36">
        <f>IF(AND($C145="Despesa",U145&gt;0,U145&lt;=Sel_Idx,V145&gt;=Sel_Idx),N(R145)+ROW()/1000000000,0)</f>
        <v>0</v>
      </c>
      <c r="AC145" s="40">
        <f>IF(AND($C145="Despesa",U145&gt;0,U145&lt;=Sel_Idx,V145&gt;=Sel_Idx),Z145*10000+ROW(),0)</f>
        <v>0</v>
      </c>
      <c r="AD145" s="40">
        <f>IF(AC145=0,0,COUNTIFS(L_CalChave,"&gt;0",L_CalChave,"&lt;"&amp;AC145)+1)</f>
        <v>0</v>
      </c>
    </row>
    <row r="146">
      <c r="A146" s="38" t="n">
        <v>46001</v>
      </c>
      <c r="B146" s="39" t="inlineStr">
        <is>
          <t>Aluguel residencial</t>
        </is>
      </c>
      <c r="C146" s="34" t="inlineStr">
        <is>
          <t>Despesa</t>
        </is>
      </c>
      <c r="D146" s="34" t="inlineStr">
        <is>
          <t>Moradia</t>
        </is>
      </c>
      <c r="E146" s="34" t="inlineStr">
        <is>
          <t>Aluguel</t>
        </is>
      </c>
      <c r="F146" s="34" t="inlineStr">
        <is>
          <t>Conta Corrente Banco Azul</t>
        </is>
      </c>
      <c r="G146" s="34" t="inlineStr">
        <is>
          <t>Boleto</t>
        </is>
      </c>
      <c r="H146" s="37" t="n"/>
      <c r="I146" s="37" t="n"/>
      <c r="J146" s="34" t="inlineStr">
        <is>
          <t>Pago</t>
        </is>
      </c>
      <c r="K146" s="34" t="n"/>
      <c r="L146" s="34" t="n"/>
      <c r="M146" s="39" t="inlineStr">
        <is>
          <t>EXEMPLO</t>
        </is>
      </c>
      <c r="N146" s="35" t="n">
        <v>2400</v>
      </c>
      <c r="O146" s="40">
        <f>IF($A146="","",MONTH($A146))</f>
        <v>12</v>
      </c>
      <c r="P146" s="40">
        <f>IF($A146="","",YEAR($A146))</f>
        <v>2025</v>
      </c>
      <c r="Q146" s="41">
        <f>IF($A146="","",DATE(P146,O146,1))</f>
        <v>45992.0</v>
      </c>
      <c r="R146" s="36">
        <f>IF(OR($A146="",$N146=""),"",IF(AND($C146&lt;&gt;"Transferência",N($I146)&gt;1),$N146/$I146,$N146))</f>
        <v>2400</v>
      </c>
      <c r="S146" s="41" t="str">
        <f>IF(OR($A146="",$F146="",$C146&lt;&gt;"Despesa"),"",IF(COUNTIF(Cartoes_Nome,$F146)=0,"",DATE(P146,O146+IF(DAY($A146)&gt;=INDEX(Cartoes_Fech,MATCH($F146,Cartoes_Nome,0)),1,0),1)))</f>
        <v/>
      </c>
      <c r="T146" s="42" t="str">
        <f>IF($A146="","",IF(COUNTIFS(L_Data,$A146,L_Desc,$B146,L_Valor,$N146,L_Tipo,$C146)&gt;1,"⚠ Possível duplicidade",IF(OR(AND($C146="Despesa",COUNTIF(CatD_Nome,$D146)=0),AND($C146="Receita",COUNTIF(CatR_Nome,$D146)=0)),"⚠ Categoria não combina com o tipo",IF(OR($N146="",$C146=""),"⚠ Falta valor ou tipo",""))))</f>
        <v/>
      </c>
      <c r="U146" s="40">
        <f>IF($A146="",0,P146*12+O146)</f>
        <v>24312</v>
      </c>
      <c r="V146" s="40">
        <f>IF($A146="",0,U146+MAX(0,N($I146)-MAX(N($H146),1)))</f>
        <v>24312</v>
      </c>
      <c r="W146" s="40">
        <f>IF(S146="",0,YEAR(S146)*12+MONTH(S146))</f>
        <v>0</v>
      </c>
      <c r="X146" s="40">
        <f>IF(W146=0,0,W146+V146-U146)</f>
        <v>0</v>
      </c>
      <c r="Y146" s="36">
        <f>IF(W146=0,0,N(R146)*MAX(0,X146-MAX(W146,YEAR(Cfg_Hoje)*12+MONTH(Cfg_Hoje)+IF(DAY(Cfg_Hoje)&gt;=INDEX(Cartoes_Fech,MATCH($F146,Cartoes_Nome,0)),1,0))+1))</f>
        <v>0</v>
      </c>
      <c r="Z146" s="40">
        <f>IF($A146="",0,DAY($A146))</f>
        <v>10</v>
      </c>
      <c r="AA146" s="40">
        <f>IF($A146="",0,WEEKDAY($A146))</f>
        <v>4</v>
      </c>
      <c r="AB146" s="36">
        <f>IF(AND($C146="Despesa",U146&gt;0,U146&lt;=Sel_Idx,V146&gt;=Sel_Idx),N(R146)+ROW()/1000000000,0)</f>
        <v>0</v>
      </c>
      <c r="AC146" s="40">
        <f>IF(AND($C146="Despesa",U146&gt;0,U146&lt;=Sel_Idx,V146&gt;=Sel_Idx),Z146*10000+ROW(),0)</f>
        <v>0</v>
      </c>
      <c r="AD146" s="40">
        <f>IF(AC146=0,0,COUNTIFS(L_CalChave,"&gt;0",L_CalChave,"&lt;"&amp;AC146)+1)</f>
        <v>0</v>
      </c>
    </row>
    <row r="147">
      <c r="A147" s="38" t="n">
        <v>46001</v>
      </c>
      <c r="B147" s="39" t="inlineStr">
        <is>
          <t>Condomínio</t>
        </is>
      </c>
      <c r="C147" s="34" t="inlineStr">
        <is>
          <t>Despesa</t>
        </is>
      </c>
      <c r="D147" s="34" t="inlineStr">
        <is>
          <t>Moradia</t>
        </is>
      </c>
      <c r="E147" s="34" t="inlineStr">
        <is>
          <t>Condomínio</t>
        </is>
      </c>
      <c r="F147" s="34" t="inlineStr">
        <is>
          <t>Conta Corrente Banco Azul</t>
        </is>
      </c>
      <c r="G147" s="34" t="inlineStr">
        <is>
          <t>Boleto</t>
        </is>
      </c>
      <c r="H147" s="37" t="n"/>
      <c r="I147" s="37" t="n"/>
      <c r="J147" s="34" t="inlineStr">
        <is>
          <t>Pago</t>
        </is>
      </c>
      <c r="K147" s="34" t="n"/>
      <c r="L147" s="34" t="n"/>
      <c r="M147" s="39" t="inlineStr">
        <is>
          <t>EXEMPLO</t>
        </is>
      </c>
      <c r="N147" s="35" t="n">
        <v>650</v>
      </c>
      <c r="O147" s="40">
        <f>IF($A147="","",MONTH($A147))</f>
        <v>12</v>
      </c>
      <c r="P147" s="40">
        <f>IF($A147="","",YEAR($A147))</f>
        <v>2025</v>
      </c>
      <c r="Q147" s="41">
        <f>IF($A147="","",DATE(P147,O147,1))</f>
        <v>45992.0</v>
      </c>
      <c r="R147" s="36">
        <f>IF(OR($A147="",$N147=""),"",IF(AND($C147&lt;&gt;"Transferência",N($I147)&gt;1),$N147/$I147,$N147))</f>
        <v>650</v>
      </c>
      <c r="S147" s="41" t="str">
        <f>IF(OR($A147="",$F147="",$C147&lt;&gt;"Despesa"),"",IF(COUNTIF(Cartoes_Nome,$F147)=0,"",DATE(P147,O147+IF(DAY($A147)&gt;=INDEX(Cartoes_Fech,MATCH($F147,Cartoes_Nome,0)),1,0),1)))</f>
        <v/>
      </c>
      <c r="T147" s="42" t="str">
        <f>IF($A147="","",IF(COUNTIFS(L_Data,$A147,L_Desc,$B147,L_Valor,$N147,L_Tipo,$C147)&gt;1,"⚠ Possível duplicidade",IF(OR(AND($C147="Despesa",COUNTIF(CatD_Nome,$D147)=0),AND($C147="Receita",COUNTIF(CatR_Nome,$D147)=0)),"⚠ Categoria não combina com o tipo",IF(OR($N147="",$C147=""),"⚠ Falta valor ou tipo",""))))</f>
        <v/>
      </c>
      <c r="U147" s="40">
        <f>IF($A147="",0,P147*12+O147)</f>
        <v>24312</v>
      </c>
      <c r="V147" s="40">
        <f>IF($A147="",0,U147+MAX(0,N($I147)-MAX(N($H147),1)))</f>
        <v>24312</v>
      </c>
      <c r="W147" s="40">
        <f>IF(S147="",0,YEAR(S147)*12+MONTH(S147))</f>
        <v>0</v>
      </c>
      <c r="X147" s="40">
        <f>IF(W147=0,0,W147+V147-U147)</f>
        <v>0</v>
      </c>
      <c r="Y147" s="36">
        <f>IF(W147=0,0,N(R147)*MAX(0,X147-MAX(W147,YEAR(Cfg_Hoje)*12+MONTH(Cfg_Hoje)+IF(DAY(Cfg_Hoje)&gt;=INDEX(Cartoes_Fech,MATCH($F147,Cartoes_Nome,0)),1,0))+1))</f>
        <v>0</v>
      </c>
      <c r="Z147" s="40">
        <f>IF($A147="",0,DAY($A147))</f>
        <v>10</v>
      </c>
      <c r="AA147" s="40">
        <f>IF($A147="",0,WEEKDAY($A147))</f>
        <v>4</v>
      </c>
      <c r="AB147" s="36">
        <f>IF(AND($C147="Despesa",U147&gt;0,U147&lt;=Sel_Idx,V147&gt;=Sel_Idx),N(R147)+ROW()/1000000000,0)</f>
        <v>0</v>
      </c>
      <c r="AC147" s="40">
        <f>IF(AND($C147="Despesa",U147&gt;0,U147&lt;=Sel_Idx,V147&gt;=Sel_Idx),Z147*10000+ROW(),0)</f>
        <v>0</v>
      </c>
      <c r="AD147" s="40">
        <f>IF(AC147=0,0,COUNTIFS(L_CalChave,"&gt;0",L_CalChave,"&lt;"&amp;AC147)+1)</f>
        <v>0</v>
      </c>
    </row>
    <row r="148">
      <c r="A148" s="38" t="n">
        <v>46001</v>
      </c>
      <c r="B148" s="39" t="inlineStr">
        <is>
          <t>Delivery de comida</t>
        </is>
      </c>
      <c r="C148" s="34" t="inlineStr">
        <is>
          <t>Despesa</t>
        </is>
      </c>
      <c r="D148" s="34" t="inlineStr">
        <is>
          <t>Alimentação</t>
        </is>
      </c>
      <c r="E148" s="34" t="inlineStr">
        <is>
          <t>Delivery</t>
        </is>
      </c>
      <c r="F148" s="34" t="inlineStr">
        <is>
          <t>Cartão Roxinho</t>
        </is>
      </c>
      <c r="G148" s="34" t="inlineStr">
        <is>
          <t>Crédito</t>
        </is>
      </c>
      <c r="H148" s="37" t="n"/>
      <c r="I148" s="37" t="n"/>
      <c r="J148" s="34" t="inlineStr">
        <is>
          <t>Pago</t>
        </is>
      </c>
      <c r="K148" s="34" t="n"/>
      <c r="L148" s="34" t="n"/>
      <c r="M148" s="39" t="inlineStr">
        <is>
          <t>EXEMPLO</t>
        </is>
      </c>
      <c r="N148" s="35" t="n">
        <v>74.83</v>
      </c>
      <c r="O148" s="40">
        <f>IF($A148="","",MONTH($A148))</f>
        <v>12</v>
      </c>
      <c r="P148" s="40">
        <f>IF($A148="","",YEAR($A148))</f>
        <v>2025</v>
      </c>
      <c r="Q148" s="41">
        <f>IF($A148="","",DATE(P148,O148,1))</f>
        <v>45992.0</v>
      </c>
      <c r="R148" s="36">
        <f>IF(OR($A148="",$N148=""),"",IF(AND($C148&lt;&gt;"Transferência",N($I148)&gt;1),$N148/$I148,$N148))</f>
        <v>74.83</v>
      </c>
      <c r="S148" s="41">
        <f>IF(OR($A148="",$F148="",$C148&lt;&gt;"Despesa"),"",IF(COUNTIF(Cartoes_Nome,$F148)=0,"",DATE(P148,O148+IF(DAY($A148)&gt;=INDEX(Cartoes_Fech,MATCH($F148,Cartoes_Nome,0)),1,0),1)))</f>
        <v>45992.0</v>
      </c>
      <c r="T148" s="42" t="str">
        <f>IF($A148="","",IF(COUNTIFS(L_Data,$A148,L_Desc,$B148,L_Valor,$N148,L_Tipo,$C148)&gt;1,"⚠ Possível duplicidade",IF(OR(AND($C148="Despesa",COUNTIF(CatD_Nome,$D148)=0),AND($C148="Receita",COUNTIF(CatR_Nome,$D148)=0)),"⚠ Categoria não combina com o tipo",IF(OR($N148="",$C148=""),"⚠ Falta valor ou tipo",""))))</f>
        <v/>
      </c>
      <c r="U148" s="40">
        <f>IF($A148="",0,P148*12+O148)</f>
        <v>24312</v>
      </c>
      <c r="V148" s="40">
        <f>IF($A148="",0,U148+MAX(0,N($I148)-MAX(N($H148),1)))</f>
        <v>24312</v>
      </c>
      <c r="W148" s="40">
        <f>IF(S148="",0,YEAR(S148)*12+MONTH(S148))</f>
        <v>24312</v>
      </c>
      <c r="X148" s="40">
        <f>IF(W148=0,0,W148+V148-U148)</f>
        <v>24312</v>
      </c>
      <c r="Y148" s="36">
        <f>IF(W148=0,0,N(R148)*MAX(0,X148-MAX(W148,YEAR(Cfg_Hoje)*12+MONTH(Cfg_Hoje)+IF(DAY(Cfg_Hoje)&gt;=INDEX(Cartoes_Fech,MATCH($F148,Cartoes_Nome,0)),1,0))+1))</f>
        <v>0</v>
      </c>
      <c r="Z148" s="40">
        <f>IF($A148="",0,DAY($A148))</f>
        <v>10</v>
      </c>
      <c r="AA148" s="40">
        <f>IF($A148="",0,WEEKDAY($A148))</f>
        <v>4</v>
      </c>
      <c r="AB148" s="36">
        <f>IF(AND($C148="Despesa",U148&gt;0,U148&lt;=Sel_Idx,V148&gt;=Sel_Idx),N(R148)+ROW()/1000000000,0)</f>
        <v>0</v>
      </c>
      <c r="AC148" s="40">
        <f>IF(AND($C148="Despesa",U148&gt;0,U148&lt;=Sel_Idx,V148&gt;=Sel_Idx),Z148*10000+ROW(),0)</f>
        <v>0</v>
      </c>
      <c r="AD148" s="40">
        <f>IF(AC148=0,0,COUNTIFS(L_CalChave,"&gt;0",L_CalChave,"&lt;"&amp;AC148)+1)</f>
        <v>0</v>
      </c>
    </row>
    <row r="149">
      <c r="A149" s="38" t="n">
        <v>46002</v>
      </c>
      <c r="B149" s="39" t="inlineStr">
        <is>
          <t>Corrida de aplicativo</t>
        </is>
      </c>
      <c r="C149" s="34" t="inlineStr">
        <is>
          <t>Despesa</t>
        </is>
      </c>
      <c r="D149" s="34" t="inlineStr">
        <is>
          <t>Transporte</t>
        </is>
      </c>
      <c r="E149" s="34" t="inlineStr">
        <is>
          <t>App de transporte</t>
        </is>
      </c>
      <c r="F149" s="34" t="inlineStr">
        <is>
          <t>Conta Corrente Banco Azul</t>
        </is>
      </c>
      <c r="G149" s="34" t="inlineStr">
        <is>
          <t>Pix</t>
        </is>
      </c>
      <c r="H149" s="37" t="n"/>
      <c r="I149" s="37" t="n"/>
      <c r="J149" s="34" t="inlineStr">
        <is>
          <t>Pago</t>
        </is>
      </c>
      <c r="K149" s="34" t="n"/>
      <c r="L149" s="34" t="n"/>
      <c r="M149" s="39" t="inlineStr">
        <is>
          <t>EXEMPLO</t>
        </is>
      </c>
      <c r="N149" s="35" t="n">
        <v>31.76</v>
      </c>
      <c r="O149" s="40">
        <f>IF($A149="","",MONTH($A149))</f>
        <v>12</v>
      </c>
      <c r="P149" s="40">
        <f>IF($A149="","",YEAR($A149))</f>
        <v>2025</v>
      </c>
      <c r="Q149" s="41">
        <f>IF($A149="","",DATE(P149,O149,1))</f>
        <v>45992.0</v>
      </c>
      <c r="R149" s="36">
        <f>IF(OR($A149="",$N149=""),"",IF(AND($C149&lt;&gt;"Transferência",N($I149)&gt;1),$N149/$I149,$N149))</f>
        <v>31.76</v>
      </c>
      <c r="S149" s="41" t="str">
        <f>IF(OR($A149="",$F149="",$C149&lt;&gt;"Despesa"),"",IF(COUNTIF(Cartoes_Nome,$F149)=0,"",DATE(P149,O149+IF(DAY($A149)&gt;=INDEX(Cartoes_Fech,MATCH($F149,Cartoes_Nome,0)),1,0),1)))</f>
        <v/>
      </c>
      <c r="T149" s="42" t="str">
        <f>IF($A149="","",IF(COUNTIFS(L_Data,$A149,L_Desc,$B149,L_Valor,$N149,L_Tipo,$C149)&gt;1,"⚠ Possível duplicidade",IF(OR(AND($C149="Despesa",COUNTIF(CatD_Nome,$D149)=0),AND($C149="Receita",COUNTIF(CatR_Nome,$D149)=0)),"⚠ Categoria não combina com o tipo",IF(OR($N149="",$C149=""),"⚠ Falta valor ou tipo",""))))</f>
        <v/>
      </c>
      <c r="U149" s="40">
        <f>IF($A149="",0,P149*12+O149)</f>
        <v>24312</v>
      </c>
      <c r="V149" s="40">
        <f>IF($A149="",0,U149+MAX(0,N($I149)-MAX(N($H149),1)))</f>
        <v>24312</v>
      </c>
      <c r="W149" s="40">
        <f>IF(S149="",0,YEAR(S149)*12+MONTH(S149))</f>
        <v>0</v>
      </c>
      <c r="X149" s="40">
        <f>IF(W149=0,0,W149+V149-U149)</f>
        <v>0</v>
      </c>
      <c r="Y149" s="36">
        <f>IF(W149=0,0,N(R149)*MAX(0,X149-MAX(W149,YEAR(Cfg_Hoje)*12+MONTH(Cfg_Hoje)+IF(DAY(Cfg_Hoje)&gt;=INDEX(Cartoes_Fech,MATCH($F149,Cartoes_Nome,0)),1,0))+1))</f>
        <v>0</v>
      </c>
      <c r="Z149" s="40">
        <f>IF($A149="",0,DAY($A149))</f>
        <v>11</v>
      </c>
      <c r="AA149" s="40">
        <f>IF($A149="",0,WEEKDAY($A149))</f>
        <v>5</v>
      </c>
      <c r="AB149" s="36">
        <f>IF(AND($C149="Despesa",U149&gt;0,U149&lt;=Sel_Idx,V149&gt;=Sel_Idx),N(R149)+ROW()/1000000000,0)</f>
        <v>0</v>
      </c>
      <c r="AC149" s="40">
        <f>IF(AND($C149="Despesa",U149&gt;0,U149&lt;=Sel_Idx,V149&gt;=Sel_Idx),Z149*10000+ROW(),0)</f>
        <v>0</v>
      </c>
      <c r="AD149" s="40">
        <f>IF(AC149=0,0,COUNTIFS(L_CalChave,"&gt;0",L_CalChave,"&lt;"&amp;AC149)+1)</f>
        <v>0</v>
      </c>
    </row>
    <row r="150">
      <c r="A150" s="38" t="n">
        <v>46002</v>
      </c>
      <c r="B150" s="39" t="inlineStr">
        <is>
          <t>Supermercado</t>
        </is>
      </c>
      <c r="C150" s="34" t="inlineStr">
        <is>
          <t>Despesa</t>
        </is>
      </c>
      <c r="D150" s="34" t="inlineStr">
        <is>
          <t>Alimentação</t>
        </is>
      </c>
      <c r="E150" s="34" t="inlineStr">
        <is>
          <t>Mercado</t>
        </is>
      </c>
      <c r="F150" s="34" t="inlineStr">
        <is>
          <t>Cartão Azul Gold</t>
        </is>
      </c>
      <c r="G150" s="34" t="inlineStr">
        <is>
          <t>Crédito</t>
        </is>
      </c>
      <c r="H150" s="37" t="n"/>
      <c r="I150" s="37" t="n"/>
      <c r="J150" s="34" t="inlineStr">
        <is>
          <t>Pago</t>
        </is>
      </c>
      <c r="K150" s="34" t="n"/>
      <c r="L150" s="34" t="n"/>
      <c r="M150" s="39" t="inlineStr">
        <is>
          <t>EXEMPLO</t>
        </is>
      </c>
      <c r="N150" s="35" t="n">
        <v>412.18</v>
      </c>
      <c r="O150" s="40">
        <f>IF($A150="","",MONTH($A150))</f>
        <v>12</v>
      </c>
      <c r="P150" s="40">
        <f>IF($A150="","",YEAR($A150))</f>
        <v>2025</v>
      </c>
      <c r="Q150" s="41">
        <f>IF($A150="","",DATE(P150,O150,1))</f>
        <v>45992.0</v>
      </c>
      <c r="R150" s="36">
        <f>IF(OR($A150="",$N150=""),"",IF(AND($C150&lt;&gt;"Transferência",N($I150)&gt;1),$N150/$I150,$N150))</f>
        <v>412.18</v>
      </c>
      <c r="S150" s="41">
        <f>IF(OR($A150="",$F150="",$C150&lt;&gt;"Despesa"),"",IF(COUNTIF(Cartoes_Nome,$F150)=0,"",DATE(P150,O150+IF(DAY($A150)&gt;=INDEX(Cartoes_Fech,MATCH($F150,Cartoes_Nome,0)),1,0),1)))</f>
        <v>46023.0</v>
      </c>
      <c r="T150" s="42" t="str">
        <f>IF($A150="","",IF(COUNTIFS(L_Data,$A150,L_Desc,$B150,L_Valor,$N150,L_Tipo,$C150)&gt;1,"⚠ Possível duplicidade",IF(OR(AND($C150="Despesa",COUNTIF(CatD_Nome,$D150)=0),AND($C150="Receita",COUNTIF(CatR_Nome,$D150)=0)),"⚠ Categoria não combina com o tipo",IF(OR($N150="",$C150=""),"⚠ Falta valor ou tipo",""))))</f>
        <v/>
      </c>
      <c r="U150" s="40">
        <f>IF($A150="",0,P150*12+O150)</f>
        <v>24312</v>
      </c>
      <c r="V150" s="40">
        <f>IF($A150="",0,U150+MAX(0,N($I150)-MAX(N($H150),1)))</f>
        <v>24312</v>
      </c>
      <c r="W150" s="40">
        <f>IF(S150="",0,YEAR(S150)*12+MONTH(S150))</f>
        <v>24313</v>
      </c>
      <c r="X150" s="40">
        <f>IF(W150=0,0,W150+V150-U150)</f>
        <v>24313</v>
      </c>
      <c r="Y150" s="36">
        <f>IF(W150=0,0,N(R150)*MAX(0,X150-MAX(W150,YEAR(Cfg_Hoje)*12+MONTH(Cfg_Hoje)+IF(DAY(Cfg_Hoje)&gt;=INDEX(Cartoes_Fech,MATCH($F150,Cartoes_Nome,0)),1,0))+1))</f>
        <v>0</v>
      </c>
      <c r="Z150" s="40">
        <f>IF($A150="",0,DAY($A150))</f>
        <v>11</v>
      </c>
      <c r="AA150" s="40">
        <f>IF($A150="",0,WEEKDAY($A150))</f>
        <v>5</v>
      </c>
      <c r="AB150" s="36">
        <f>IF(AND($C150="Despesa",U150&gt;0,U150&lt;=Sel_Idx,V150&gt;=Sel_Idx),N(R150)+ROW()/1000000000,0)</f>
        <v>0</v>
      </c>
      <c r="AC150" s="40">
        <f>IF(AND($C150="Despesa",U150&gt;0,U150&lt;=Sel_Idx,V150&gt;=Sel_Idx),Z150*10000+ROW(),0)</f>
        <v>0</v>
      </c>
      <c r="AD150" s="40">
        <f>IF(AC150=0,0,COUNTIFS(L_CalChave,"&gt;0",L_CalChave,"&lt;"&amp;AC150)+1)</f>
        <v>0</v>
      </c>
    </row>
    <row r="151">
      <c r="A151" s="38" t="n">
        <v>46003</v>
      </c>
      <c r="B151" s="39" t="inlineStr">
        <is>
          <t>Streaming de música</t>
        </is>
      </c>
      <c r="C151" s="34" t="inlineStr">
        <is>
          <t>Despesa</t>
        </is>
      </c>
      <c r="D151" s="34" t="inlineStr">
        <is>
          <t>Assinaturas</t>
        </is>
      </c>
      <c r="E151" s="34" t="inlineStr">
        <is>
          <t>Música</t>
        </is>
      </c>
      <c r="F151" s="34" t="inlineStr">
        <is>
          <t>Cartão Roxinho</t>
        </is>
      </c>
      <c r="G151" s="34" t="inlineStr">
        <is>
          <t>Crédito</t>
        </is>
      </c>
      <c r="H151" s="37" t="n"/>
      <c r="I151" s="37" t="n"/>
      <c r="J151" s="34" t="inlineStr">
        <is>
          <t>Pago</t>
        </is>
      </c>
      <c r="K151" s="34" t="n"/>
      <c r="L151" s="34" t="n"/>
      <c r="M151" s="39" t="inlineStr">
        <is>
          <t>EXEMPLO</t>
        </is>
      </c>
      <c r="N151" s="35" t="n">
        <v>21.9</v>
      </c>
      <c r="O151" s="40">
        <f>IF($A151="","",MONTH($A151))</f>
        <v>12</v>
      </c>
      <c r="P151" s="40">
        <f>IF($A151="","",YEAR($A151))</f>
        <v>2025</v>
      </c>
      <c r="Q151" s="41">
        <f>IF($A151="","",DATE(P151,O151,1))</f>
        <v>45992.0</v>
      </c>
      <c r="R151" s="36">
        <f>IF(OR($A151="",$N151=""),"",IF(AND($C151&lt;&gt;"Transferência",N($I151)&gt;1),$N151/$I151,$N151))</f>
        <v>21.9</v>
      </c>
      <c r="S151" s="41">
        <f>IF(OR($A151="",$F151="",$C151&lt;&gt;"Despesa"),"",IF(COUNTIF(Cartoes_Nome,$F151)=0,"",DATE(P151,O151+IF(DAY($A151)&gt;=INDEX(Cartoes_Fech,MATCH($F151,Cartoes_Nome,0)),1,0),1)))</f>
        <v>45992.0</v>
      </c>
      <c r="T151" s="42" t="str">
        <f>IF($A151="","",IF(COUNTIFS(L_Data,$A151,L_Desc,$B151,L_Valor,$N151,L_Tipo,$C151)&gt;1,"⚠ Possível duplicidade",IF(OR(AND($C151="Despesa",COUNTIF(CatD_Nome,$D151)=0),AND($C151="Receita",COUNTIF(CatR_Nome,$D151)=0)),"⚠ Categoria não combina com o tipo",IF(OR($N151="",$C151=""),"⚠ Falta valor ou tipo",""))))</f>
        <v/>
      </c>
      <c r="U151" s="40">
        <f>IF($A151="",0,P151*12+O151)</f>
        <v>24312</v>
      </c>
      <c r="V151" s="40">
        <f>IF($A151="",0,U151+MAX(0,N($I151)-MAX(N($H151),1)))</f>
        <v>24312</v>
      </c>
      <c r="W151" s="40">
        <f>IF(S151="",0,YEAR(S151)*12+MONTH(S151))</f>
        <v>24312</v>
      </c>
      <c r="X151" s="40">
        <f>IF(W151=0,0,W151+V151-U151)</f>
        <v>24312</v>
      </c>
      <c r="Y151" s="36">
        <f>IF(W151=0,0,N(R151)*MAX(0,X151-MAX(W151,YEAR(Cfg_Hoje)*12+MONTH(Cfg_Hoje)+IF(DAY(Cfg_Hoje)&gt;=INDEX(Cartoes_Fech,MATCH($F151,Cartoes_Nome,0)),1,0))+1))</f>
        <v>0</v>
      </c>
      <c r="Z151" s="40">
        <f>IF($A151="",0,DAY($A151))</f>
        <v>12</v>
      </c>
      <c r="AA151" s="40">
        <f>IF($A151="",0,WEEKDAY($A151))</f>
        <v>6</v>
      </c>
      <c r="AB151" s="36">
        <f>IF(AND($C151="Despesa",U151&gt;0,U151&lt;=Sel_Idx,V151&gt;=Sel_Idx),N(R151)+ROW()/1000000000,0)</f>
        <v>0</v>
      </c>
      <c r="AC151" s="40">
        <f>IF(AND($C151="Despesa",U151&gt;0,U151&lt;=Sel_Idx,V151&gt;=Sel_Idx),Z151*10000+ROW(),0)</f>
        <v>0</v>
      </c>
      <c r="AD151" s="40">
        <f>IF(AC151=0,0,COUNTIFS(L_CalChave,"&gt;0",L_CalChave,"&lt;"&amp;AC151)+1)</f>
        <v>0</v>
      </c>
    </row>
    <row r="152">
      <c r="A152" s="38" t="n">
        <v>46003</v>
      </c>
      <c r="B152" s="39" t="inlineStr">
        <is>
          <t>Streaming de vídeo</t>
        </is>
      </c>
      <c r="C152" s="34" t="inlineStr">
        <is>
          <t>Despesa</t>
        </is>
      </c>
      <c r="D152" s="34" t="inlineStr">
        <is>
          <t>Assinaturas</t>
        </is>
      </c>
      <c r="E152" s="34" t="inlineStr">
        <is>
          <t>Streaming</t>
        </is>
      </c>
      <c r="F152" s="34" t="inlineStr">
        <is>
          <t>Cartão Roxinho</t>
        </is>
      </c>
      <c r="G152" s="34" t="inlineStr">
        <is>
          <t>Crédito</t>
        </is>
      </c>
      <c r="H152" s="37" t="n"/>
      <c r="I152" s="37" t="n"/>
      <c r="J152" s="34" t="inlineStr">
        <is>
          <t>Pago</t>
        </is>
      </c>
      <c r="K152" s="34" t="n"/>
      <c r="L152" s="34" t="n"/>
      <c r="M152" s="39" t="inlineStr">
        <is>
          <t>EXEMPLO</t>
        </is>
      </c>
      <c r="N152" s="35" t="n">
        <v>55.9</v>
      </c>
      <c r="O152" s="40">
        <f>IF($A152="","",MONTH($A152))</f>
        <v>12</v>
      </c>
      <c r="P152" s="40">
        <f>IF($A152="","",YEAR($A152))</f>
        <v>2025</v>
      </c>
      <c r="Q152" s="41">
        <f>IF($A152="","",DATE(P152,O152,1))</f>
        <v>45992.0</v>
      </c>
      <c r="R152" s="36">
        <f>IF(OR($A152="",$N152=""),"",IF(AND($C152&lt;&gt;"Transferência",N($I152)&gt;1),$N152/$I152,$N152))</f>
        <v>55.9</v>
      </c>
      <c r="S152" s="41">
        <f>IF(OR($A152="",$F152="",$C152&lt;&gt;"Despesa"),"",IF(COUNTIF(Cartoes_Nome,$F152)=0,"",DATE(P152,O152+IF(DAY($A152)&gt;=INDEX(Cartoes_Fech,MATCH($F152,Cartoes_Nome,0)),1,0),1)))</f>
        <v>45992.0</v>
      </c>
      <c r="T152" s="42" t="str">
        <f>IF($A152="","",IF(COUNTIFS(L_Data,$A152,L_Desc,$B152,L_Valor,$N152,L_Tipo,$C152)&gt;1,"⚠ Possível duplicidade",IF(OR(AND($C152="Despesa",COUNTIF(CatD_Nome,$D152)=0),AND($C152="Receita",COUNTIF(CatR_Nome,$D152)=0)),"⚠ Categoria não combina com o tipo",IF(OR($N152="",$C152=""),"⚠ Falta valor ou tipo",""))))</f>
        <v/>
      </c>
      <c r="U152" s="40">
        <f>IF($A152="",0,P152*12+O152)</f>
        <v>24312</v>
      </c>
      <c r="V152" s="40">
        <f>IF($A152="",0,U152+MAX(0,N($I152)-MAX(N($H152),1)))</f>
        <v>24312</v>
      </c>
      <c r="W152" s="40">
        <f>IF(S152="",0,YEAR(S152)*12+MONTH(S152))</f>
        <v>24312</v>
      </c>
      <c r="X152" s="40">
        <f>IF(W152=0,0,W152+V152-U152)</f>
        <v>24312</v>
      </c>
      <c r="Y152" s="36">
        <f>IF(W152=0,0,N(R152)*MAX(0,X152-MAX(W152,YEAR(Cfg_Hoje)*12+MONTH(Cfg_Hoje)+IF(DAY(Cfg_Hoje)&gt;=INDEX(Cartoes_Fech,MATCH($F152,Cartoes_Nome,0)),1,0))+1))</f>
        <v>0</v>
      </c>
      <c r="Z152" s="40">
        <f>IF($A152="",0,DAY($A152))</f>
        <v>12</v>
      </c>
      <c r="AA152" s="40">
        <f>IF($A152="",0,WEEKDAY($A152))</f>
        <v>6</v>
      </c>
      <c r="AB152" s="36">
        <f>IF(AND($C152="Despesa",U152&gt;0,U152&lt;=Sel_Idx,V152&gt;=Sel_Idx),N(R152)+ROW()/1000000000,0)</f>
        <v>0</v>
      </c>
      <c r="AC152" s="40">
        <f>IF(AND($C152="Despesa",U152&gt;0,U152&lt;=Sel_Idx,V152&gt;=Sel_Idx),Z152*10000+ROW(),0)</f>
        <v>0</v>
      </c>
      <c r="AD152" s="40">
        <f>IF(AC152=0,0,COUNTIFS(L_CalChave,"&gt;0",L_CalChave,"&lt;"&amp;AC152)+1)</f>
        <v>0</v>
      </c>
    </row>
    <row r="153">
      <c r="A153" s="38" t="n">
        <v>46005</v>
      </c>
      <c r="B153" s="39" t="inlineStr">
        <is>
          <t>Armazenamento em nuvem</t>
        </is>
      </c>
      <c r="C153" s="34" t="inlineStr">
        <is>
          <t>Despesa</t>
        </is>
      </c>
      <c r="D153" s="34" t="inlineStr">
        <is>
          <t>Assinaturas</t>
        </is>
      </c>
      <c r="E153" s="34" t="inlineStr">
        <is>
          <t>Nuvem</t>
        </is>
      </c>
      <c r="F153" s="34" t="inlineStr">
        <is>
          <t>Cartão Azul Gold</t>
        </is>
      </c>
      <c r="G153" s="34" t="inlineStr">
        <is>
          <t>Crédito</t>
        </is>
      </c>
      <c r="H153" s="37" t="n"/>
      <c r="I153" s="37" t="n"/>
      <c r="J153" s="34" t="inlineStr">
        <is>
          <t>Pago</t>
        </is>
      </c>
      <c r="K153" s="34" t="n"/>
      <c r="L153" s="34" t="n"/>
      <c r="M153" s="39" t="inlineStr">
        <is>
          <t>EXEMPLO</t>
        </is>
      </c>
      <c r="N153" s="35" t="n">
        <v>14.9</v>
      </c>
      <c r="O153" s="40">
        <f>IF($A153="","",MONTH($A153))</f>
        <v>12</v>
      </c>
      <c r="P153" s="40">
        <f>IF($A153="","",YEAR($A153))</f>
        <v>2025</v>
      </c>
      <c r="Q153" s="41">
        <f>IF($A153="","",DATE(P153,O153,1))</f>
        <v>45992.0</v>
      </c>
      <c r="R153" s="36">
        <f>IF(OR($A153="",$N153=""),"",IF(AND($C153&lt;&gt;"Transferência",N($I153)&gt;1),$N153/$I153,$N153))</f>
        <v>14.9</v>
      </c>
      <c r="S153" s="41">
        <f>IF(OR($A153="",$F153="",$C153&lt;&gt;"Despesa"),"",IF(COUNTIF(Cartoes_Nome,$F153)=0,"",DATE(P153,O153+IF(DAY($A153)&gt;=INDEX(Cartoes_Fech,MATCH($F153,Cartoes_Nome,0)),1,0),1)))</f>
        <v>46023.0</v>
      </c>
      <c r="T153" s="42" t="str">
        <f>IF($A153="","",IF(COUNTIFS(L_Data,$A153,L_Desc,$B153,L_Valor,$N153,L_Tipo,$C153)&gt;1,"⚠ Possível duplicidade",IF(OR(AND($C153="Despesa",COUNTIF(CatD_Nome,$D153)=0),AND($C153="Receita",COUNTIF(CatR_Nome,$D153)=0)),"⚠ Categoria não combina com o tipo",IF(OR($N153="",$C153=""),"⚠ Falta valor ou tipo",""))))</f>
        <v/>
      </c>
      <c r="U153" s="40">
        <f>IF($A153="",0,P153*12+O153)</f>
        <v>24312</v>
      </c>
      <c r="V153" s="40">
        <f>IF($A153="",0,U153+MAX(0,N($I153)-MAX(N($H153),1)))</f>
        <v>24312</v>
      </c>
      <c r="W153" s="40">
        <f>IF(S153="",0,YEAR(S153)*12+MONTH(S153))</f>
        <v>24313</v>
      </c>
      <c r="X153" s="40">
        <f>IF(W153=0,0,W153+V153-U153)</f>
        <v>24313</v>
      </c>
      <c r="Y153" s="36">
        <f>IF(W153=0,0,N(R153)*MAX(0,X153-MAX(W153,YEAR(Cfg_Hoje)*12+MONTH(Cfg_Hoje)+IF(DAY(Cfg_Hoje)&gt;=INDEX(Cartoes_Fech,MATCH($F153,Cartoes_Nome,0)),1,0))+1))</f>
        <v>0</v>
      </c>
      <c r="Z153" s="40">
        <f>IF($A153="",0,DAY($A153))</f>
        <v>14</v>
      </c>
      <c r="AA153" s="40">
        <f>IF($A153="",0,WEEKDAY($A153))</f>
        <v>1</v>
      </c>
      <c r="AB153" s="36">
        <f>IF(AND($C153="Despesa",U153&gt;0,U153&lt;=Sel_Idx,V153&gt;=Sel_Idx),N(R153)+ROW()/1000000000,0)</f>
        <v>0</v>
      </c>
      <c r="AC153" s="40">
        <f>IF(AND($C153="Despesa",U153&gt;0,U153&lt;=Sel_Idx,V153&gt;=Sel_Idx),Z153*10000+ROW(),0)</f>
        <v>0</v>
      </c>
      <c r="AD153" s="40">
        <f>IF(AC153=0,0,COUNTIFS(L_CalChave,"&gt;0",L_CalChave,"&lt;"&amp;AC153)+1)</f>
        <v>0</v>
      </c>
    </row>
    <row r="154">
      <c r="A154" s="38" t="n">
        <v>46006</v>
      </c>
      <c r="B154" s="39" t="inlineStr">
        <is>
          <t>Combustível</t>
        </is>
      </c>
      <c r="C154" s="34" t="inlineStr">
        <is>
          <t>Despesa</t>
        </is>
      </c>
      <c r="D154" s="34" t="inlineStr">
        <is>
          <t>Transporte</t>
        </is>
      </c>
      <c r="E154" s="34" t="inlineStr">
        <is>
          <t>Combustível</t>
        </is>
      </c>
      <c r="F154" s="34" t="inlineStr">
        <is>
          <t>Cartão Roxinho</t>
        </is>
      </c>
      <c r="G154" s="34" t="inlineStr">
        <is>
          <t>Crédito</t>
        </is>
      </c>
      <c r="H154" s="37" t="n"/>
      <c r="I154" s="37" t="n"/>
      <c r="J154" s="34" t="inlineStr">
        <is>
          <t>Pago</t>
        </is>
      </c>
      <c r="K154" s="34" t="n"/>
      <c r="L154" s="34" t="n"/>
      <c r="M154" s="39" t="inlineStr">
        <is>
          <t>EXEMPLO</t>
        </is>
      </c>
      <c r="N154" s="35" t="n">
        <v>160</v>
      </c>
      <c r="O154" s="40">
        <f>IF($A154="","",MONTH($A154))</f>
        <v>12</v>
      </c>
      <c r="P154" s="40">
        <f>IF($A154="","",YEAR($A154))</f>
        <v>2025</v>
      </c>
      <c r="Q154" s="41">
        <f>IF($A154="","",DATE(P154,O154,1))</f>
        <v>45992.0</v>
      </c>
      <c r="R154" s="36">
        <f>IF(OR($A154="",$N154=""),"",IF(AND($C154&lt;&gt;"Transferência",N($I154)&gt;1),$N154/$I154,$N154))</f>
        <v>160</v>
      </c>
      <c r="S154" s="41">
        <f>IF(OR($A154="",$F154="",$C154&lt;&gt;"Despesa"),"",IF(COUNTIF(Cartoes_Nome,$F154)=0,"",DATE(P154,O154+IF(DAY($A154)&gt;=INDEX(Cartoes_Fech,MATCH($F154,Cartoes_Nome,0)),1,0),1)))</f>
        <v>45992.0</v>
      </c>
      <c r="T154" s="42" t="str">
        <f>IF($A154="","",IF(COUNTIFS(L_Data,$A154,L_Desc,$B154,L_Valor,$N154,L_Tipo,$C154)&gt;1,"⚠ Possível duplicidade",IF(OR(AND($C154="Despesa",COUNTIF(CatD_Nome,$D154)=0),AND($C154="Receita",COUNTIF(CatR_Nome,$D154)=0)),"⚠ Categoria não combina com o tipo",IF(OR($N154="",$C154=""),"⚠ Falta valor ou tipo",""))))</f>
        <v/>
      </c>
      <c r="U154" s="40">
        <f>IF($A154="",0,P154*12+O154)</f>
        <v>24312</v>
      </c>
      <c r="V154" s="40">
        <f>IF($A154="",0,U154+MAX(0,N($I154)-MAX(N($H154),1)))</f>
        <v>24312</v>
      </c>
      <c r="W154" s="40">
        <f>IF(S154="",0,YEAR(S154)*12+MONTH(S154))</f>
        <v>24312</v>
      </c>
      <c r="X154" s="40">
        <f>IF(W154=0,0,W154+V154-U154)</f>
        <v>24312</v>
      </c>
      <c r="Y154" s="36">
        <f>IF(W154=0,0,N(R154)*MAX(0,X154-MAX(W154,YEAR(Cfg_Hoje)*12+MONTH(Cfg_Hoje)+IF(DAY(Cfg_Hoje)&gt;=INDEX(Cartoes_Fech,MATCH($F154,Cartoes_Nome,0)),1,0))+1))</f>
        <v>0</v>
      </c>
      <c r="Z154" s="40">
        <f>IF($A154="",0,DAY($A154))</f>
        <v>15</v>
      </c>
      <c r="AA154" s="40">
        <f>IF($A154="",0,WEEKDAY($A154))</f>
        <v>2</v>
      </c>
      <c r="AB154" s="36">
        <f>IF(AND($C154="Despesa",U154&gt;0,U154&lt;=Sel_Idx,V154&gt;=Sel_Idx),N(R154)+ROW()/1000000000,0)</f>
        <v>0</v>
      </c>
      <c r="AC154" s="40">
        <f>IF(AND($C154="Despesa",U154&gt;0,U154&lt;=Sel_Idx,V154&gt;=Sel_Idx),Z154*10000+ROW(),0)</f>
        <v>0</v>
      </c>
      <c r="AD154" s="40">
        <f>IF(AC154=0,0,COUNTIFS(L_CalChave,"&gt;0",L_CalChave,"&lt;"&amp;AC154)+1)</f>
        <v>0</v>
      </c>
    </row>
    <row r="155">
      <c r="A155" s="38" t="n">
        <v>46006</v>
      </c>
      <c r="B155" s="39" t="inlineStr">
        <is>
          <t>Conta de energia</t>
        </is>
      </c>
      <c r="C155" s="34" t="inlineStr">
        <is>
          <t>Despesa</t>
        </is>
      </c>
      <c r="D155" s="34" t="inlineStr">
        <is>
          <t>Moradia</t>
        </is>
      </c>
      <c r="E155" s="34" t="inlineStr">
        <is>
          <t>Energia</t>
        </is>
      </c>
      <c r="F155" s="34" t="inlineStr">
        <is>
          <t>Conta Corrente Banco Azul</t>
        </is>
      </c>
      <c r="G155" s="34" t="inlineStr">
        <is>
          <t>Débito automático</t>
        </is>
      </c>
      <c r="H155" s="37" t="n"/>
      <c r="I155" s="37" t="n"/>
      <c r="J155" s="34" t="inlineStr">
        <is>
          <t>Pago</t>
        </is>
      </c>
      <c r="K155" s="34" t="n"/>
      <c r="L155" s="34" t="n"/>
      <c r="M155" s="39" t="inlineStr">
        <is>
          <t>EXEMPLO</t>
        </is>
      </c>
      <c r="N155" s="35" t="n">
        <v>167.54</v>
      </c>
      <c r="O155" s="40">
        <f>IF($A155="","",MONTH($A155))</f>
        <v>12</v>
      </c>
      <c r="P155" s="40">
        <f>IF($A155="","",YEAR($A155))</f>
        <v>2025</v>
      </c>
      <c r="Q155" s="41">
        <f>IF($A155="","",DATE(P155,O155,1))</f>
        <v>45992.0</v>
      </c>
      <c r="R155" s="36">
        <f>IF(OR($A155="",$N155=""),"",IF(AND($C155&lt;&gt;"Transferência",N($I155)&gt;1),$N155/$I155,$N155))</f>
        <v>167.54</v>
      </c>
      <c r="S155" s="41" t="str">
        <f>IF(OR($A155="",$F155="",$C155&lt;&gt;"Despesa"),"",IF(COUNTIF(Cartoes_Nome,$F155)=0,"",DATE(P155,O155+IF(DAY($A155)&gt;=INDEX(Cartoes_Fech,MATCH($F155,Cartoes_Nome,0)),1,0),1)))</f>
        <v/>
      </c>
      <c r="T155" s="42" t="str">
        <f>IF($A155="","",IF(COUNTIFS(L_Data,$A155,L_Desc,$B155,L_Valor,$N155,L_Tipo,$C155)&gt;1,"⚠ Possível duplicidade",IF(OR(AND($C155="Despesa",COUNTIF(CatD_Nome,$D155)=0),AND($C155="Receita",COUNTIF(CatR_Nome,$D155)=0)),"⚠ Categoria não combina com o tipo",IF(OR($N155="",$C155=""),"⚠ Falta valor ou tipo",""))))</f>
        <v/>
      </c>
      <c r="U155" s="40">
        <f>IF($A155="",0,P155*12+O155)</f>
        <v>24312</v>
      </c>
      <c r="V155" s="40">
        <f>IF($A155="",0,U155+MAX(0,N($I155)-MAX(N($H155),1)))</f>
        <v>24312</v>
      </c>
      <c r="W155" s="40">
        <f>IF(S155="",0,YEAR(S155)*12+MONTH(S155))</f>
        <v>0</v>
      </c>
      <c r="X155" s="40">
        <f>IF(W155=0,0,W155+V155-U155)</f>
        <v>0</v>
      </c>
      <c r="Y155" s="36">
        <f>IF(W155=0,0,N(R155)*MAX(0,X155-MAX(W155,YEAR(Cfg_Hoje)*12+MONTH(Cfg_Hoje)+IF(DAY(Cfg_Hoje)&gt;=INDEX(Cartoes_Fech,MATCH($F155,Cartoes_Nome,0)),1,0))+1))</f>
        <v>0</v>
      </c>
      <c r="Z155" s="40">
        <f>IF($A155="",0,DAY($A155))</f>
        <v>15</v>
      </c>
      <c r="AA155" s="40">
        <f>IF($A155="",0,WEEKDAY($A155))</f>
        <v>2</v>
      </c>
      <c r="AB155" s="36">
        <f>IF(AND($C155="Despesa",U155&gt;0,U155&lt;=Sel_Idx,V155&gt;=Sel_Idx),N(R155)+ROW()/1000000000,0)</f>
        <v>0</v>
      </c>
      <c r="AC155" s="40">
        <f>IF(AND($C155="Despesa",U155&gt;0,U155&lt;=Sel_Idx,V155&gt;=Sel_Idx),Z155*10000+ROW(),0)</f>
        <v>0</v>
      </c>
      <c r="AD155" s="40">
        <f>IF(AC155=0,0,COUNTIFS(L_CalChave,"&gt;0",L_CalChave,"&lt;"&amp;AC155)+1)</f>
        <v>0</v>
      </c>
    </row>
    <row r="156">
      <c r="A156" s="38" t="n">
        <v>46006</v>
      </c>
      <c r="B156" s="39" t="inlineStr">
        <is>
          <t>Conta de água</t>
        </is>
      </c>
      <c r="C156" s="34" t="inlineStr">
        <is>
          <t>Despesa</t>
        </is>
      </c>
      <c r="D156" s="34" t="inlineStr">
        <is>
          <t>Moradia</t>
        </is>
      </c>
      <c r="E156" s="34" t="inlineStr">
        <is>
          <t>Água</t>
        </is>
      </c>
      <c r="F156" s="34" t="inlineStr">
        <is>
          <t>Conta Corrente Banco Azul</t>
        </is>
      </c>
      <c r="G156" s="34" t="inlineStr">
        <is>
          <t>Débito automático</t>
        </is>
      </c>
      <c r="H156" s="37" t="n"/>
      <c r="I156" s="37" t="n"/>
      <c r="J156" s="34" t="inlineStr">
        <is>
          <t>Pago</t>
        </is>
      </c>
      <c r="K156" s="34" t="n"/>
      <c r="L156" s="34" t="n"/>
      <c r="M156" s="39" t="inlineStr">
        <is>
          <t>EXEMPLO</t>
        </is>
      </c>
      <c r="N156" s="35" t="n">
        <v>86.48</v>
      </c>
      <c r="O156" s="40">
        <f>IF($A156="","",MONTH($A156))</f>
        <v>12</v>
      </c>
      <c r="P156" s="40">
        <f>IF($A156="","",YEAR($A156))</f>
        <v>2025</v>
      </c>
      <c r="Q156" s="41">
        <f>IF($A156="","",DATE(P156,O156,1))</f>
        <v>45992.0</v>
      </c>
      <c r="R156" s="36">
        <f>IF(OR($A156="",$N156=""),"",IF(AND($C156&lt;&gt;"Transferência",N($I156)&gt;1),$N156/$I156,$N156))</f>
        <v>86.48</v>
      </c>
      <c r="S156" s="41" t="str">
        <f>IF(OR($A156="",$F156="",$C156&lt;&gt;"Despesa"),"",IF(COUNTIF(Cartoes_Nome,$F156)=0,"",DATE(P156,O156+IF(DAY($A156)&gt;=INDEX(Cartoes_Fech,MATCH($F156,Cartoes_Nome,0)),1,0),1)))</f>
        <v/>
      </c>
      <c r="T156" s="42" t="str">
        <f>IF($A156="","",IF(COUNTIFS(L_Data,$A156,L_Desc,$B156,L_Valor,$N156,L_Tipo,$C156)&gt;1,"⚠ Possível duplicidade",IF(OR(AND($C156="Despesa",COUNTIF(CatD_Nome,$D156)=0),AND($C156="Receita",COUNTIF(CatR_Nome,$D156)=0)),"⚠ Categoria não combina com o tipo",IF(OR($N156="",$C156=""),"⚠ Falta valor ou tipo",""))))</f>
        <v/>
      </c>
      <c r="U156" s="40">
        <f>IF($A156="",0,P156*12+O156)</f>
        <v>24312</v>
      </c>
      <c r="V156" s="40">
        <f>IF($A156="",0,U156+MAX(0,N($I156)-MAX(N($H156),1)))</f>
        <v>24312</v>
      </c>
      <c r="W156" s="40">
        <f>IF(S156="",0,YEAR(S156)*12+MONTH(S156))</f>
        <v>0</v>
      </c>
      <c r="X156" s="40">
        <f>IF(W156=0,0,W156+V156-U156)</f>
        <v>0</v>
      </c>
      <c r="Y156" s="36">
        <f>IF(W156=0,0,N(R156)*MAX(0,X156-MAX(W156,YEAR(Cfg_Hoje)*12+MONTH(Cfg_Hoje)+IF(DAY(Cfg_Hoje)&gt;=INDEX(Cartoes_Fech,MATCH($F156,Cartoes_Nome,0)),1,0))+1))</f>
        <v>0</v>
      </c>
      <c r="Z156" s="40">
        <f>IF($A156="",0,DAY($A156))</f>
        <v>15</v>
      </c>
      <c r="AA156" s="40">
        <f>IF($A156="",0,WEEKDAY($A156))</f>
        <v>2</v>
      </c>
      <c r="AB156" s="36">
        <f>IF(AND($C156="Despesa",U156&gt;0,U156&lt;=Sel_Idx,V156&gt;=Sel_Idx),N(R156)+ROW()/1000000000,0)</f>
        <v>0</v>
      </c>
      <c r="AC156" s="40">
        <f>IF(AND($C156="Despesa",U156&gt;0,U156&lt;=Sel_Idx,V156&gt;=Sel_Idx),Z156*10000+ROW(),0)</f>
        <v>0</v>
      </c>
      <c r="AD156" s="40">
        <f>IF(AC156=0,0,COUNTIFS(L_CalChave,"&gt;0",L_CalChave,"&lt;"&amp;AC156)+1)</f>
        <v>0</v>
      </c>
    </row>
    <row r="157">
      <c r="A157" s="38" t="n">
        <v>46008</v>
      </c>
      <c r="B157" s="39" t="inlineStr">
        <is>
          <t>Combustível</t>
        </is>
      </c>
      <c r="C157" s="34" t="inlineStr">
        <is>
          <t>Despesa</t>
        </is>
      </c>
      <c r="D157" s="34" t="inlineStr">
        <is>
          <t>Transporte</t>
        </is>
      </c>
      <c r="E157" s="34" t="inlineStr">
        <is>
          <t>Combustível</t>
        </is>
      </c>
      <c r="F157" s="34" t="inlineStr">
        <is>
          <t>Cartão Roxinho</t>
        </is>
      </c>
      <c r="G157" s="34" t="inlineStr">
        <is>
          <t>Crédito</t>
        </is>
      </c>
      <c r="H157" s="37" t="n"/>
      <c r="I157" s="37" t="n"/>
      <c r="J157" s="34" t="inlineStr">
        <is>
          <t>Pago</t>
        </is>
      </c>
      <c r="K157" s="34" t="n"/>
      <c r="L157" s="34" t="n"/>
      <c r="M157" s="39" t="inlineStr">
        <is>
          <t>EXEMPLO</t>
        </is>
      </c>
      <c r="N157" s="35" t="n">
        <v>178.18</v>
      </c>
      <c r="O157" s="40">
        <f>IF($A157="","",MONTH($A157))</f>
        <v>12</v>
      </c>
      <c r="P157" s="40">
        <f>IF($A157="","",YEAR($A157))</f>
        <v>2025</v>
      </c>
      <c r="Q157" s="41">
        <f>IF($A157="","",DATE(P157,O157,1))</f>
        <v>45992.0</v>
      </c>
      <c r="R157" s="36">
        <f>IF(OR($A157="",$N157=""),"",IF(AND($C157&lt;&gt;"Transferência",N($I157)&gt;1),$N157/$I157,$N157))</f>
        <v>178.18</v>
      </c>
      <c r="S157" s="41">
        <f>IF(OR($A157="",$F157="",$C157&lt;&gt;"Despesa"),"",IF(COUNTIF(Cartoes_Nome,$F157)=0,"",DATE(P157,O157+IF(DAY($A157)&gt;=INDEX(Cartoes_Fech,MATCH($F157,Cartoes_Nome,0)),1,0),1)))</f>
        <v>45992.0</v>
      </c>
      <c r="T157" s="42" t="str">
        <f>IF($A157="","",IF(COUNTIFS(L_Data,$A157,L_Desc,$B157,L_Valor,$N157,L_Tipo,$C157)&gt;1,"⚠ Possível duplicidade",IF(OR(AND($C157="Despesa",COUNTIF(CatD_Nome,$D157)=0),AND($C157="Receita",COUNTIF(CatR_Nome,$D157)=0)),"⚠ Categoria não combina com o tipo",IF(OR($N157="",$C157=""),"⚠ Falta valor ou tipo",""))))</f>
        <v/>
      </c>
      <c r="U157" s="40">
        <f>IF($A157="",0,P157*12+O157)</f>
        <v>24312</v>
      </c>
      <c r="V157" s="40">
        <f>IF($A157="",0,U157+MAX(0,N($I157)-MAX(N($H157),1)))</f>
        <v>24312</v>
      </c>
      <c r="W157" s="40">
        <f>IF(S157="",0,YEAR(S157)*12+MONTH(S157))</f>
        <v>24312</v>
      </c>
      <c r="X157" s="40">
        <f>IF(W157=0,0,W157+V157-U157)</f>
        <v>24312</v>
      </c>
      <c r="Y157" s="36">
        <f>IF(W157=0,0,N(R157)*MAX(0,X157-MAX(W157,YEAR(Cfg_Hoje)*12+MONTH(Cfg_Hoje)+IF(DAY(Cfg_Hoje)&gt;=INDEX(Cartoes_Fech,MATCH($F157,Cartoes_Nome,0)),1,0))+1))</f>
        <v>0</v>
      </c>
      <c r="Z157" s="40">
        <f>IF($A157="",0,DAY($A157))</f>
        <v>17</v>
      </c>
      <c r="AA157" s="40">
        <f>IF($A157="",0,WEEKDAY($A157))</f>
        <v>4</v>
      </c>
      <c r="AB157" s="36">
        <f>IF(AND($C157="Despesa",U157&gt;0,U157&lt;=Sel_Idx,V157&gt;=Sel_Idx),N(R157)+ROW()/1000000000,0)</f>
        <v>0</v>
      </c>
      <c r="AC157" s="40">
        <f>IF(AND($C157="Despesa",U157&gt;0,U157&lt;=Sel_Idx,V157&gt;=Sel_Idx),Z157*10000+ROW(),0)</f>
        <v>0</v>
      </c>
      <c r="AD157" s="40">
        <f>IF(AC157=0,0,COUNTIFS(L_CalChave,"&gt;0",L_CalChave,"&lt;"&amp;AC157)+1)</f>
        <v>0</v>
      </c>
    </row>
    <row r="158">
      <c r="A158" s="38" t="n">
        <v>46008</v>
      </c>
      <c r="B158" s="39" t="inlineStr">
        <is>
          <t>Pagamento fatura Cartão Azul Gold</t>
        </is>
      </c>
      <c r="C158" s="34" t="inlineStr">
        <is>
          <t>Transferência</t>
        </is>
      </c>
      <c r="D158" s="34" t="n"/>
      <c r="E158" s="34" t="n"/>
      <c r="F158" s="34" t="inlineStr">
        <is>
          <t>Conta Corrente Banco Azul</t>
        </is>
      </c>
      <c r="G158" s="34" t="inlineStr">
        <is>
          <t>Débito automático</t>
        </is>
      </c>
      <c r="H158" s="37" t="n"/>
      <c r="I158" s="37" t="n"/>
      <c r="J158" s="34" t="inlineStr">
        <is>
          <t>Pago</t>
        </is>
      </c>
      <c r="K158" s="34" t="n"/>
      <c r="L158" s="34" t="n"/>
      <c r="M158" s="39" t="inlineStr">
        <is>
          <t>EXEMPLO</t>
        </is>
      </c>
      <c r="N158" s="35" t="n">
        <v>-1535.35</v>
      </c>
      <c r="O158" s="40">
        <f>IF($A158="","",MONTH($A158))</f>
        <v>12</v>
      </c>
      <c r="P158" s="40">
        <f>IF($A158="","",YEAR($A158))</f>
        <v>2025</v>
      </c>
      <c r="Q158" s="41">
        <f>IF($A158="","",DATE(P158,O158,1))</f>
        <v>45992.0</v>
      </c>
      <c r="R158" s="36">
        <f>IF(OR($A158="",$N158=""),"",IF(AND($C158&lt;&gt;"Transferência",N($I158)&gt;1),$N158/$I158,$N158))</f>
        <v>-1535.35</v>
      </c>
      <c r="S158" s="41" t="str">
        <f>IF(OR($A158="",$F158="",$C158&lt;&gt;"Despesa"),"",IF(COUNTIF(Cartoes_Nome,$F158)=0,"",DATE(P158,O158+IF(DAY($A158)&gt;=INDEX(Cartoes_Fech,MATCH($F158,Cartoes_Nome,0)),1,0),1)))</f>
        <v/>
      </c>
      <c r="T158" s="42" t="str">
        <f>IF($A158="","",IF(COUNTIFS(L_Data,$A158,L_Desc,$B158,L_Valor,$N158,L_Tipo,$C158)&gt;1,"⚠ Possível duplicidade",IF(OR(AND($C158="Despesa",COUNTIF(CatD_Nome,$D158)=0),AND($C158="Receita",COUNTIF(CatR_Nome,$D158)=0)),"⚠ Categoria não combina com o tipo",IF(OR($N158="",$C158=""),"⚠ Falta valor ou tipo",""))))</f>
        <v/>
      </c>
      <c r="U158" s="40">
        <f>IF($A158="",0,P158*12+O158)</f>
        <v>24312</v>
      </c>
      <c r="V158" s="40">
        <f>IF($A158="",0,U158+MAX(0,N($I158)-MAX(N($H158),1)))</f>
        <v>24312</v>
      </c>
      <c r="W158" s="40">
        <f>IF(S158="",0,YEAR(S158)*12+MONTH(S158))</f>
        <v>0</v>
      </c>
      <c r="X158" s="40">
        <f>IF(W158=0,0,W158+V158-U158)</f>
        <v>0</v>
      </c>
      <c r="Y158" s="36">
        <f>IF(W158=0,0,N(R158)*MAX(0,X158-MAX(W158,YEAR(Cfg_Hoje)*12+MONTH(Cfg_Hoje)+IF(DAY(Cfg_Hoje)&gt;=INDEX(Cartoes_Fech,MATCH($F158,Cartoes_Nome,0)),1,0))+1))</f>
        <v>0</v>
      </c>
      <c r="Z158" s="40">
        <f>IF($A158="",0,DAY($A158))</f>
        <v>17</v>
      </c>
      <c r="AA158" s="40">
        <f>IF($A158="",0,WEEKDAY($A158))</f>
        <v>4</v>
      </c>
      <c r="AB158" s="36">
        <f>IF(AND($C158="Despesa",U158&gt;0,U158&lt;=Sel_Idx,V158&gt;=Sel_Idx),N(R158)+ROW()/1000000000,0)</f>
        <v>0</v>
      </c>
      <c r="AC158" s="40">
        <f>IF(AND($C158="Despesa",U158&gt;0,U158&lt;=Sel_Idx,V158&gt;=Sel_Idx),Z158*10000+ROW(),0)</f>
        <v>0</v>
      </c>
      <c r="AD158" s="40">
        <f>IF(AC158=0,0,COUNTIFS(L_CalChave,"&gt;0",L_CalChave,"&lt;"&amp;AC158)+1)</f>
        <v>0</v>
      </c>
    </row>
    <row r="159">
      <c r="A159" s="38" t="n">
        <v>46008</v>
      </c>
      <c r="B159" s="39" t="inlineStr">
        <is>
          <t>Roupas</t>
        </is>
      </c>
      <c r="C159" s="34" t="inlineStr">
        <is>
          <t>Despesa</t>
        </is>
      </c>
      <c r="D159" s="34" t="inlineStr">
        <is>
          <t>Vestuário</t>
        </is>
      </c>
      <c r="E159" s="34" t="inlineStr">
        <is>
          <t>Roupas</t>
        </is>
      </c>
      <c r="F159" s="34" t="inlineStr">
        <is>
          <t>Cartão Roxinho</t>
        </is>
      </c>
      <c r="G159" s="34" t="inlineStr">
        <is>
          <t>Crédito</t>
        </is>
      </c>
      <c r="H159" s="37" t="n"/>
      <c r="I159" s="37" t="n"/>
      <c r="J159" s="34" t="inlineStr">
        <is>
          <t>Pago</t>
        </is>
      </c>
      <c r="K159" s="34" t="n"/>
      <c r="L159" s="34" t="n"/>
      <c r="M159" s="39" t="inlineStr">
        <is>
          <t>EXEMPLO</t>
        </is>
      </c>
      <c r="N159" s="35" t="n">
        <v>385.62</v>
      </c>
      <c r="O159" s="40">
        <f>IF($A159="","",MONTH($A159))</f>
        <v>12</v>
      </c>
      <c r="P159" s="40">
        <f>IF($A159="","",YEAR($A159))</f>
        <v>2025</v>
      </c>
      <c r="Q159" s="41">
        <f>IF($A159="","",DATE(P159,O159,1))</f>
        <v>45992.0</v>
      </c>
      <c r="R159" s="36">
        <f>IF(OR($A159="",$N159=""),"",IF(AND($C159&lt;&gt;"Transferência",N($I159)&gt;1),$N159/$I159,$N159))</f>
        <v>385.62</v>
      </c>
      <c r="S159" s="41">
        <f>IF(OR($A159="",$F159="",$C159&lt;&gt;"Despesa"),"",IF(COUNTIF(Cartoes_Nome,$F159)=0,"",DATE(P159,O159+IF(DAY($A159)&gt;=INDEX(Cartoes_Fech,MATCH($F159,Cartoes_Nome,0)),1,0),1)))</f>
        <v>45992.0</v>
      </c>
      <c r="T159" s="42" t="str">
        <f>IF($A159="","",IF(COUNTIFS(L_Data,$A159,L_Desc,$B159,L_Valor,$N159,L_Tipo,$C159)&gt;1,"⚠ Possível duplicidade",IF(OR(AND($C159="Despesa",COUNTIF(CatD_Nome,$D159)=0),AND($C159="Receita",COUNTIF(CatR_Nome,$D159)=0)),"⚠ Categoria não combina com o tipo",IF(OR($N159="",$C159=""),"⚠ Falta valor ou tipo",""))))</f>
        <v/>
      </c>
      <c r="U159" s="40">
        <f>IF($A159="",0,P159*12+O159)</f>
        <v>24312</v>
      </c>
      <c r="V159" s="40">
        <f>IF($A159="",0,U159+MAX(0,N($I159)-MAX(N($H159),1)))</f>
        <v>24312</v>
      </c>
      <c r="W159" s="40">
        <f>IF(S159="",0,YEAR(S159)*12+MONTH(S159))</f>
        <v>24312</v>
      </c>
      <c r="X159" s="40">
        <f>IF(W159=0,0,W159+V159-U159)</f>
        <v>24312</v>
      </c>
      <c r="Y159" s="36">
        <f>IF(W159=0,0,N(R159)*MAX(0,X159-MAX(W159,YEAR(Cfg_Hoje)*12+MONTH(Cfg_Hoje)+IF(DAY(Cfg_Hoje)&gt;=INDEX(Cartoes_Fech,MATCH($F159,Cartoes_Nome,0)),1,0))+1))</f>
        <v>0</v>
      </c>
      <c r="Z159" s="40">
        <f>IF($A159="",0,DAY($A159))</f>
        <v>17</v>
      </c>
      <c r="AA159" s="40">
        <f>IF($A159="",0,WEEKDAY($A159))</f>
        <v>4</v>
      </c>
      <c r="AB159" s="36">
        <f>IF(AND($C159="Despesa",U159&gt;0,U159&lt;=Sel_Idx,V159&gt;=Sel_Idx),N(R159)+ROW()/1000000000,0)</f>
        <v>0</v>
      </c>
      <c r="AC159" s="40">
        <f>IF(AND($C159="Despesa",U159&gt;0,U159&lt;=Sel_Idx,V159&gt;=Sel_Idx),Z159*10000+ROW(),0)</f>
        <v>0</v>
      </c>
      <c r="AD159" s="40">
        <f>IF(AC159=0,0,COUNTIFS(L_CalChave,"&gt;0",L_CalChave,"&lt;"&amp;AC159)+1)</f>
        <v>0</v>
      </c>
    </row>
    <row r="160">
      <c r="A160" s="38" t="n">
        <v>46009</v>
      </c>
      <c r="B160" s="39" t="inlineStr">
        <is>
          <t>Supermercado</t>
        </is>
      </c>
      <c r="C160" s="34" t="inlineStr">
        <is>
          <t>Despesa</t>
        </is>
      </c>
      <c r="D160" s="34" t="inlineStr">
        <is>
          <t>Alimentação</t>
        </is>
      </c>
      <c r="E160" s="34" t="inlineStr">
        <is>
          <t>Mercado</t>
        </is>
      </c>
      <c r="F160" s="34" t="inlineStr">
        <is>
          <t>Cartão Azul Gold</t>
        </is>
      </c>
      <c r="G160" s="34" t="inlineStr">
        <is>
          <t>Crédito</t>
        </is>
      </c>
      <c r="H160" s="37" t="n"/>
      <c r="I160" s="37" t="n"/>
      <c r="J160" s="34" t="inlineStr">
        <is>
          <t>Pago</t>
        </is>
      </c>
      <c r="K160" s="34" t="n"/>
      <c r="L160" s="34" t="n"/>
      <c r="M160" s="39" t="inlineStr">
        <is>
          <t>EXEMPLO</t>
        </is>
      </c>
      <c r="N160" s="35" t="n">
        <v>239.76</v>
      </c>
      <c r="O160" s="40">
        <f>IF($A160="","",MONTH($A160))</f>
        <v>12</v>
      </c>
      <c r="P160" s="40">
        <f>IF($A160="","",YEAR($A160))</f>
        <v>2025</v>
      </c>
      <c r="Q160" s="41">
        <f>IF($A160="","",DATE(P160,O160,1))</f>
        <v>45992.0</v>
      </c>
      <c r="R160" s="36">
        <f>IF(OR($A160="",$N160=""),"",IF(AND($C160&lt;&gt;"Transferência",N($I160)&gt;1),$N160/$I160,$N160))</f>
        <v>239.76</v>
      </c>
      <c r="S160" s="41">
        <f>IF(OR($A160="",$F160="",$C160&lt;&gt;"Despesa"),"",IF(COUNTIF(Cartoes_Nome,$F160)=0,"",DATE(P160,O160+IF(DAY($A160)&gt;=INDEX(Cartoes_Fech,MATCH($F160,Cartoes_Nome,0)),1,0),1)))</f>
        <v>46023.0</v>
      </c>
      <c r="T160" s="42" t="str">
        <f>IF($A160="","",IF(COUNTIFS(L_Data,$A160,L_Desc,$B160,L_Valor,$N160,L_Tipo,$C160)&gt;1,"⚠ Possível duplicidade",IF(OR(AND($C160="Despesa",COUNTIF(CatD_Nome,$D160)=0),AND($C160="Receita",COUNTIF(CatR_Nome,$D160)=0)),"⚠ Categoria não combina com o tipo",IF(OR($N160="",$C160=""),"⚠ Falta valor ou tipo",""))))</f>
        <v/>
      </c>
      <c r="U160" s="40">
        <f>IF($A160="",0,P160*12+O160)</f>
        <v>24312</v>
      </c>
      <c r="V160" s="40">
        <f>IF($A160="",0,U160+MAX(0,N($I160)-MAX(N($H160),1)))</f>
        <v>24312</v>
      </c>
      <c r="W160" s="40">
        <f>IF(S160="",0,YEAR(S160)*12+MONTH(S160))</f>
        <v>24313</v>
      </c>
      <c r="X160" s="40">
        <f>IF(W160=0,0,W160+V160-U160)</f>
        <v>24313</v>
      </c>
      <c r="Y160" s="36">
        <f>IF(W160=0,0,N(R160)*MAX(0,X160-MAX(W160,YEAR(Cfg_Hoje)*12+MONTH(Cfg_Hoje)+IF(DAY(Cfg_Hoje)&gt;=INDEX(Cartoes_Fech,MATCH($F160,Cartoes_Nome,0)),1,0))+1))</f>
        <v>0</v>
      </c>
      <c r="Z160" s="40">
        <f>IF($A160="",0,DAY($A160))</f>
        <v>18</v>
      </c>
      <c r="AA160" s="40">
        <f>IF($A160="",0,WEEKDAY($A160))</f>
        <v>5</v>
      </c>
      <c r="AB160" s="36">
        <f>IF(AND($C160="Despesa",U160&gt;0,U160&lt;=Sel_Idx,V160&gt;=Sel_Idx),N(R160)+ROW()/1000000000,0)</f>
        <v>0</v>
      </c>
      <c r="AC160" s="40">
        <f>IF(AND($C160="Despesa",U160&gt;0,U160&lt;=Sel_Idx,V160&gt;=Sel_Idx),Z160*10000+ROW(),0)</f>
        <v>0</v>
      </c>
      <c r="AD160" s="40">
        <f>IF(AC160=0,0,COUNTIFS(L_CalChave,"&gt;0",L_CalChave,"&lt;"&amp;AC160)+1)</f>
        <v>0</v>
      </c>
    </row>
    <row r="161">
      <c r="A161" s="38" t="n">
        <v>46011</v>
      </c>
      <c r="B161" s="39" t="inlineStr">
        <is>
          <t>13º salário</t>
        </is>
      </c>
      <c r="C161" s="34" t="inlineStr">
        <is>
          <t>Receita</t>
        </is>
      </c>
      <c r="D161" s="34" t="inlineStr">
        <is>
          <t>13º/Férias/PLR</t>
        </is>
      </c>
      <c r="E161" s="34" t="n"/>
      <c r="F161" s="34" t="inlineStr">
        <is>
          <t>Conta Corrente Banco Azul</t>
        </is>
      </c>
      <c r="G161" s="34" t="inlineStr">
        <is>
          <t>Transferência</t>
        </is>
      </c>
      <c r="H161" s="37" t="n"/>
      <c r="I161" s="37" t="n"/>
      <c r="J161" s="34" t="inlineStr">
        <is>
          <t>Pago</t>
        </is>
      </c>
      <c r="K161" s="34" t="n"/>
      <c r="L161" s="34" t="n"/>
      <c r="M161" s="39" t="inlineStr">
        <is>
          <t>EXEMPLO</t>
        </is>
      </c>
      <c r="N161" s="35" t="n">
        <v>10800</v>
      </c>
      <c r="O161" s="40">
        <f>IF($A161="","",MONTH($A161))</f>
        <v>12</v>
      </c>
      <c r="P161" s="40">
        <f>IF($A161="","",YEAR($A161))</f>
        <v>2025</v>
      </c>
      <c r="Q161" s="41">
        <f>IF($A161="","",DATE(P161,O161,1))</f>
        <v>45992.0</v>
      </c>
      <c r="R161" s="36">
        <f>IF(OR($A161="",$N161=""),"",IF(AND($C161&lt;&gt;"Transferência",N($I161)&gt;1),$N161/$I161,$N161))</f>
        <v>10800</v>
      </c>
      <c r="S161" s="41" t="str">
        <f>IF(OR($A161="",$F161="",$C161&lt;&gt;"Despesa"),"",IF(COUNTIF(Cartoes_Nome,$F161)=0,"",DATE(P161,O161+IF(DAY($A161)&gt;=INDEX(Cartoes_Fech,MATCH($F161,Cartoes_Nome,0)),1,0),1)))</f>
        <v/>
      </c>
      <c r="T161" s="42" t="str">
        <f>IF($A161="","",IF(COUNTIFS(L_Data,$A161,L_Desc,$B161,L_Valor,$N161,L_Tipo,$C161)&gt;1,"⚠ Possível duplicidade",IF(OR(AND($C161="Despesa",COUNTIF(CatD_Nome,$D161)=0),AND($C161="Receita",COUNTIF(CatR_Nome,$D161)=0)),"⚠ Categoria não combina com o tipo",IF(OR($N161="",$C161=""),"⚠ Falta valor ou tipo",""))))</f>
        <v/>
      </c>
      <c r="U161" s="40">
        <f>IF($A161="",0,P161*12+O161)</f>
        <v>24312</v>
      </c>
      <c r="V161" s="40">
        <f>IF($A161="",0,U161+MAX(0,N($I161)-MAX(N($H161),1)))</f>
        <v>24312</v>
      </c>
      <c r="W161" s="40">
        <f>IF(S161="",0,YEAR(S161)*12+MONTH(S161))</f>
        <v>0</v>
      </c>
      <c r="X161" s="40">
        <f>IF(W161=0,0,W161+V161-U161)</f>
        <v>0</v>
      </c>
      <c r="Y161" s="36">
        <f>IF(W161=0,0,N(R161)*MAX(0,X161-MAX(W161,YEAR(Cfg_Hoje)*12+MONTH(Cfg_Hoje)+IF(DAY(Cfg_Hoje)&gt;=INDEX(Cartoes_Fech,MATCH($F161,Cartoes_Nome,0)),1,0))+1))</f>
        <v>0</v>
      </c>
      <c r="Z161" s="40">
        <f>IF($A161="",0,DAY($A161))</f>
        <v>20</v>
      </c>
      <c r="AA161" s="40">
        <f>IF($A161="",0,WEEKDAY($A161))</f>
        <v>7</v>
      </c>
      <c r="AB161" s="36">
        <f>IF(AND($C161="Despesa",U161&gt;0,U161&lt;=Sel_Idx,V161&gt;=Sel_Idx),N(R161)+ROW()/1000000000,0)</f>
        <v>0</v>
      </c>
      <c r="AC161" s="40">
        <f>IF(AND($C161="Despesa",U161&gt;0,U161&lt;=Sel_Idx,V161&gt;=Sel_Idx),Z161*10000+ROW(),0)</f>
        <v>0</v>
      </c>
      <c r="AD161" s="40">
        <f>IF(AC161=0,0,COUNTIFS(L_CalChave,"&gt;0",L_CalChave,"&lt;"&amp;AC161)+1)</f>
        <v>0</v>
      </c>
    </row>
    <row r="162">
      <c r="A162" s="38" t="n">
        <v>46011</v>
      </c>
      <c r="B162" s="39" t="inlineStr">
        <is>
          <t>Internet fibra</t>
        </is>
      </c>
      <c r="C162" s="34" t="inlineStr">
        <is>
          <t>Despesa</t>
        </is>
      </c>
      <c r="D162" s="34" t="inlineStr">
        <is>
          <t>Moradia</t>
        </is>
      </c>
      <c r="E162" s="34" t="inlineStr">
        <is>
          <t>Internet</t>
        </is>
      </c>
      <c r="F162" s="34" t="inlineStr">
        <is>
          <t>Conta Corrente Banco Azul</t>
        </is>
      </c>
      <c r="G162" s="34" t="inlineStr">
        <is>
          <t>Débito automático</t>
        </is>
      </c>
      <c r="H162" s="37" t="n"/>
      <c r="I162" s="37" t="n"/>
      <c r="J162" s="34" t="inlineStr">
        <is>
          <t>Pago</t>
        </is>
      </c>
      <c r="K162" s="34" t="n"/>
      <c r="L162" s="34" t="n"/>
      <c r="M162" s="39" t="inlineStr">
        <is>
          <t>EXEMPLO</t>
        </is>
      </c>
      <c r="N162" s="35" t="n">
        <v>129.9</v>
      </c>
      <c r="O162" s="40">
        <f>IF($A162="","",MONTH($A162))</f>
        <v>12</v>
      </c>
      <c r="P162" s="40">
        <f>IF($A162="","",YEAR($A162))</f>
        <v>2025</v>
      </c>
      <c r="Q162" s="41">
        <f>IF($A162="","",DATE(P162,O162,1))</f>
        <v>45992.0</v>
      </c>
      <c r="R162" s="36">
        <f>IF(OR($A162="",$N162=""),"",IF(AND($C162&lt;&gt;"Transferência",N($I162)&gt;1),$N162/$I162,$N162))</f>
        <v>129.9</v>
      </c>
      <c r="S162" s="41" t="str">
        <f>IF(OR($A162="",$F162="",$C162&lt;&gt;"Despesa"),"",IF(COUNTIF(Cartoes_Nome,$F162)=0,"",DATE(P162,O162+IF(DAY($A162)&gt;=INDEX(Cartoes_Fech,MATCH($F162,Cartoes_Nome,0)),1,0),1)))</f>
        <v/>
      </c>
      <c r="T162" s="42" t="str">
        <f>IF($A162="","",IF(COUNTIFS(L_Data,$A162,L_Desc,$B162,L_Valor,$N162,L_Tipo,$C162)&gt;1,"⚠ Possível duplicidade",IF(OR(AND($C162="Despesa",COUNTIF(CatD_Nome,$D162)=0),AND($C162="Receita",COUNTIF(CatR_Nome,$D162)=0)),"⚠ Categoria não combina com o tipo",IF(OR($N162="",$C162=""),"⚠ Falta valor ou tipo",""))))</f>
        <v/>
      </c>
      <c r="U162" s="40">
        <f>IF($A162="",0,P162*12+O162)</f>
        <v>24312</v>
      </c>
      <c r="V162" s="40">
        <f>IF($A162="",0,U162+MAX(0,N($I162)-MAX(N($H162),1)))</f>
        <v>24312</v>
      </c>
      <c r="W162" s="40">
        <f>IF(S162="",0,YEAR(S162)*12+MONTH(S162))</f>
        <v>0</v>
      </c>
      <c r="X162" s="40">
        <f>IF(W162=0,0,W162+V162-U162)</f>
        <v>0</v>
      </c>
      <c r="Y162" s="36">
        <f>IF(W162=0,0,N(R162)*MAX(0,X162-MAX(W162,YEAR(Cfg_Hoje)*12+MONTH(Cfg_Hoje)+IF(DAY(Cfg_Hoje)&gt;=INDEX(Cartoes_Fech,MATCH($F162,Cartoes_Nome,0)),1,0))+1))</f>
        <v>0</v>
      </c>
      <c r="Z162" s="40">
        <f>IF($A162="",0,DAY($A162))</f>
        <v>20</v>
      </c>
      <c r="AA162" s="40">
        <f>IF($A162="",0,WEEKDAY($A162))</f>
        <v>7</v>
      </c>
      <c r="AB162" s="36">
        <f>IF(AND($C162="Despesa",U162&gt;0,U162&lt;=Sel_Idx,V162&gt;=Sel_Idx),N(R162)+ROW()/1000000000,0)</f>
        <v>0</v>
      </c>
      <c r="AC162" s="40">
        <f>IF(AND($C162="Despesa",U162&gt;0,U162&lt;=Sel_Idx,V162&gt;=Sel_Idx),Z162*10000+ROW(),0)</f>
        <v>0</v>
      </c>
      <c r="AD162" s="40">
        <f>IF(AC162=0,0,COUNTIFS(L_CalChave,"&gt;0",L_CalChave,"&lt;"&amp;AC162)+1)</f>
        <v>0</v>
      </c>
    </row>
    <row r="163">
      <c r="A163" s="38" t="n">
        <v>46011</v>
      </c>
      <c r="B163" s="39" t="inlineStr">
        <is>
          <t>Parcela financiamento do carro</t>
        </is>
      </c>
      <c r="C163" s="34" t="inlineStr">
        <is>
          <t>Despesa</t>
        </is>
      </c>
      <c r="D163" s="34" t="inlineStr">
        <is>
          <t>Dívidas e Financiamentos</t>
        </is>
      </c>
      <c r="E163" s="34" t="inlineStr">
        <is>
          <t>Financiamento</t>
        </is>
      </c>
      <c r="F163" s="34" t="inlineStr">
        <is>
          <t>Conta Corrente Banco Azul</t>
        </is>
      </c>
      <c r="G163" s="34" t="inlineStr">
        <is>
          <t>Débito automático</t>
        </is>
      </c>
      <c r="H163" s="37" t="n"/>
      <c r="I163" s="37" t="n"/>
      <c r="J163" s="34" t="inlineStr">
        <is>
          <t>Pago</t>
        </is>
      </c>
      <c r="K163" s="34" t="n"/>
      <c r="L163" s="34" t="n"/>
      <c r="M163" s="39" t="inlineStr">
        <is>
          <t>EXEMPLO</t>
        </is>
      </c>
      <c r="N163" s="35" t="n">
        <v>1150</v>
      </c>
      <c r="O163" s="40">
        <f>IF($A163="","",MONTH($A163))</f>
        <v>12</v>
      </c>
      <c r="P163" s="40">
        <f>IF($A163="","",YEAR($A163))</f>
        <v>2025</v>
      </c>
      <c r="Q163" s="41">
        <f>IF($A163="","",DATE(P163,O163,1))</f>
        <v>45992.0</v>
      </c>
      <c r="R163" s="36">
        <f>IF(OR($A163="",$N163=""),"",IF(AND($C163&lt;&gt;"Transferência",N($I163)&gt;1),$N163/$I163,$N163))</f>
        <v>1150</v>
      </c>
      <c r="S163" s="41" t="str">
        <f>IF(OR($A163="",$F163="",$C163&lt;&gt;"Despesa"),"",IF(COUNTIF(Cartoes_Nome,$F163)=0,"",DATE(P163,O163+IF(DAY($A163)&gt;=INDEX(Cartoes_Fech,MATCH($F163,Cartoes_Nome,0)),1,0),1)))</f>
        <v/>
      </c>
      <c r="T163" s="42" t="str">
        <f>IF($A163="","",IF(COUNTIFS(L_Data,$A163,L_Desc,$B163,L_Valor,$N163,L_Tipo,$C163)&gt;1,"⚠ Possível duplicidade",IF(OR(AND($C163="Despesa",COUNTIF(CatD_Nome,$D163)=0),AND($C163="Receita",COUNTIF(CatR_Nome,$D163)=0)),"⚠ Categoria não combina com o tipo",IF(OR($N163="",$C163=""),"⚠ Falta valor ou tipo",""))))</f>
        <v/>
      </c>
      <c r="U163" s="40">
        <f>IF($A163="",0,P163*12+O163)</f>
        <v>24312</v>
      </c>
      <c r="V163" s="40">
        <f>IF($A163="",0,U163+MAX(0,N($I163)-MAX(N($H163),1)))</f>
        <v>24312</v>
      </c>
      <c r="W163" s="40">
        <f>IF(S163="",0,YEAR(S163)*12+MONTH(S163))</f>
        <v>0</v>
      </c>
      <c r="X163" s="40">
        <f>IF(W163=0,0,W163+V163-U163)</f>
        <v>0</v>
      </c>
      <c r="Y163" s="36">
        <f>IF(W163=0,0,N(R163)*MAX(0,X163-MAX(W163,YEAR(Cfg_Hoje)*12+MONTH(Cfg_Hoje)+IF(DAY(Cfg_Hoje)&gt;=INDEX(Cartoes_Fech,MATCH($F163,Cartoes_Nome,0)),1,0))+1))</f>
        <v>0</v>
      </c>
      <c r="Z163" s="40">
        <f>IF($A163="",0,DAY($A163))</f>
        <v>20</v>
      </c>
      <c r="AA163" s="40">
        <f>IF($A163="",0,WEEKDAY($A163))</f>
        <v>7</v>
      </c>
      <c r="AB163" s="36">
        <f>IF(AND($C163="Despesa",U163&gt;0,U163&lt;=Sel_Idx,V163&gt;=Sel_Idx),N(R163)+ROW()/1000000000,0)</f>
        <v>0</v>
      </c>
      <c r="AC163" s="40">
        <f>IF(AND($C163="Despesa",U163&gt;0,U163&lt;=Sel_Idx,V163&gt;=Sel_Idx),Z163*10000+ROW(),0)</f>
        <v>0</v>
      </c>
      <c r="AD163" s="40">
        <f>IF(AC163=0,0,COUNTIFS(L_CalChave,"&gt;0",L_CalChave,"&lt;"&amp;AC163)+1)</f>
        <v>0</v>
      </c>
    </row>
    <row r="164">
      <c r="A164" s="38" t="n">
        <v>46012</v>
      </c>
      <c r="B164" s="39" t="inlineStr">
        <is>
          <t>Cinema</t>
        </is>
      </c>
      <c r="C164" s="34" t="inlineStr">
        <is>
          <t>Despesa</t>
        </is>
      </c>
      <c r="D164" s="34" t="inlineStr">
        <is>
          <t>Lazer</t>
        </is>
      </c>
      <c r="E164" s="34" t="inlineStr">
        <is>
          <t>Bares</t>
        </is>
      </c>
      <c r="F164" s="34" t="inlineStr">
        <is>
          <t>Cartão Roxinho</t>
        </is>
      </c>
      <c r="G164" s="34" t="inlineStr">
        <is>
          <t>Crédito</t>
        </is>
      </c>
      <c r="H164" s="37" t="n"/>
      <c r="I164" s="37" t="n"/>
      <c r="J164" s="34" t="inlineStr">
        <is>
          <t>Pago</t>
        </is>
      </c>
      <c r="K164" s="34" t="n"/>
      <c r="L164" s="34" t="n"/>
      <c r="M164" s="39" t="inlineStr">
        <is>
          <t>EXEMPLO</t>
        </is>
      </c>
      <c r="N164" s="35" t="n">
        <v>76.79000000000001</v>
      </c>
      <c r="O164" s="40">
        <f>IF($A164="","",MONTH($A164))</f>
        <v>12</v>
      </c>
      <c r="P164" s="40">
        <f>IF($A164="","",YEAR($A164))</f>
        <v>2025</v>
      </c>
      <c r="Q164" s="41">
        <f>IF($A164="","",DATE(P164,O164,1))</f>
        <v>45992.0</v>
      </c>
      <c r="R164" s="36">
        <f>IF(OR($A164="",$N164=""),"",IF(AND($C164&lt;&gt;"Transferência",N($I164)&gt;1),$N164/$I164,$N164))</f>
        <v>76.79</v>
      </c>
      <c r="S164" s="41">
        <f>IF(OR($A164="",$F164="",$C164&lt;&gt;"Despesa"),"",IF(COUNTIF(Cartoes_Nome,$F164)=0,"",DATE(P164,O164+IF(DAY($A164)&gt;=INDEX(Cartoes_Fech,MATCH($F164,Cartoes_Nome,0)),1,0),1)))</f>
        <v>45992.0</v>
      </c>
      <c r="T164" s="42" t="str">
        <f>IF($A164="","",IF(COUNTIFS(L_Data,$A164,L_Desc,$B164,L_Valor,$N164,L_Tipo,$C164)&gt;1,"⚠ Possível duplicidade",IF(OR(AND($C164="Despesa",COUNTIF(CatD_Nome,$D164)=0),AND($C164="Receita",COUNTIF(CatR_Nome,$D164)=0)),"⚠ Categoria não combina com o tipo",IF(OR($N164="",$C164=""),"⚠ Falta valor ou tipo",""))))</f>
        <v/>
      </c>
      <c r="U164" s="40">
        <f>IF($A164="",0,P164*12+O164)</f>
        <v>24312</v>
      </c>
      <c r="V164" s="40">
        <f>IF($A164="",0,U164+MAX(0,N($I164)-MAX(N($H164),1)))</f>
        <v>24312</v>
      </c>
      <c r="W164" s="40">
        <f>IF(S164="",0,YEAR(S164)*12+MONTH(S164))</f>
        <v>24312</v>
      </c>
      <c r="X164" s="40">
        <f>IF(W164=0,0,W164+V164-U164)</f>
        <v>24312</v>
      </c>
      <c r="Y164" s="36">
        <f>IF(W164=0,0,N(R164)*MAX(0,X164-MAX(W164,YEAR(Cfg_Hoje)*12+MONTH(Cfg_Hoje)+IF(DAY(Cfg_Hoje)&gt;=INDEX(Cartoes_Fech,MATCH($F164,Cartoes_Nome,0)),1,0))+1))</f>
        <v>0</v>
      </c>
      <c r="Z164" s="40">
        <f>IF($A164="",0,DAY($A164))</f>
        <v>21</v>
      </c>
      <c r="AA164" s="40">
        <f>IF($A164="",0,WEEKDAY($A164))</f>
        <v>1</v>
      </c>
      <c r="AB164" s="36">
        <f>IF(AND($C164="Despesa",U164&gt;0,U164&lt;=Sel_Idx,V164&gt;=Sel_Idx),N(R164)+ROW()/1000000000,0)</f>
        <v>0</v>
      </c>
      <c r="AC164" s="40">
        <f>IF(AND($C164="Despesa",U164&gt;0,U164&lt;=Sel_Idx,V164&gt;=Sel_Idx),Z164*10000+ROW(),0)</f>
        <v>0</v>
      </c>
      <c r="AD164" s="40">
        <f>IF(AC164=0,0,COUNTIFS(L_CalChave,"&gt;0",L_CalChave,"&lt;"&amp;AC164)+1)</f>
        <v>0</v>
      </c>
    </row>
    <row r="165">
      <c r="A165" s="38" t="n">
        <v>46013</v>
      </c>
      <c r="B165" s="39" t="inlineStr">
        <is>
          <t>Parcela empréstimo pessoal</t>
        </is>
      </c>
      <c r="C165" s="34" t="inlineStr">
        <is>
          <t>Despesa</t>
        </is>
      </c>
      <c r="D165" s="34" t="inlineStr">
        <is>
          <t>Dívidas e Financiamentos</t>
        </is>
      </c>
      <c r="E165" s="34" t="inlineStr">
        <is>
          <t>Empréstimo</t>
        </is>
      </c>
      <c r="F165" s="34" t="inlineStr">
        <is>
          <t>Conta Corrente Banco Azul</t>
        </is>
      </c>
      <c r="G165" s="34" t="inlineStr">
        <is>
          <t>Débito automático</t>
        </is>
      </c>
      <c r="H165" s="37" t="n"/>
      <c r="I165" s="37" t="n"/>
      <c r="J165" s="34" t="inlineStr">
        <is>
          <t>Pago</t>
        </is>
      </c>
      <c r="K165" s="34" t="n"/>
      <c r="L165" s="34" t="n"/>
      <c r="M165" s="39" t="inlineStr">
        <is>
          <t>EXEMPLO</t>
        </is>
      </c>
      <c r="N165" s="35" t="n">
        <v>580</v>
      </c>
      <c r="O165" s="40">
        <f>IF($A165="","",MONTH($A165))</f>
        <v>12</v>
      </c>
      <c r="P165" s="40">
        <f>IF($A165="","",YEAR($A165))</f>
        <v>2025</v>
      </c>
      <c r="Q165" s="41">
        <f>IF($A165="","",DATE(P165,O165,1))</f>
        <v>45992.0</v>
      </c>
      <c r="R165" s="36">
        <f>IF(OR($A165="",$N165=""),"",IF(AND($C165&lt;&gt;"Transferência",N($I165)&gt;1),$N165/$I165,$N165))</f>
        <v>580</v>
      </c>
      <c r="S165" s="41" t="str">
        <f>IF(OR($A165="",$F165="",$C165&lt;&gt;"Despesa"),"",IF(COUNTIF(Cartoes_Nome,$F165)=0,"",DATE(P165,O165+IF(DAY($A165)&gt;=INDEX(Cartoes_Fech,MATCH($F165,Cartoes_Nome,0)),1,0),1)))</f>
        <v/>
      </c>
      <c r="T165" s="42" t="str">
        <f>IF($A165="","",IF(COUNTIFS(L_Data,$A165,L_Desc,$B165,L_Valor,$N165,L_Tipo,$C165)&gt;1,"⚠ Possível duplicidade",IF(OR(AND($C165="Despesa",COUNTIF(CatD_Nome,$D165)=0),AND($C165="Receita",COUNTIF(CatR_Nome,$D165)=0)),"⚠ Categoria não combina com o tipo",IF(OR($N165="",$C165=""),"⚠ Falta valor ou tipo",""))))</f>
        <v/>
      </c>
      <c r="U165" s="40">
        <f>IF($A165="",0,P165*12+O165)</f>
        <v>24312</v>
      </c>
      <c r="V165" s="40">
        <f>IF($A165="",0,U165+MAX(0,N($I165)-MAX(N($H165),1)))</f>
        <v>24312</v>
      </c>
      <c r="W165" s="40">
        <f>IF(S165="",0,YEAR(S165)*12+MONTH(S165))</f>
        <v>0</v>
      </c>
      <c r="X165" s="40">
        <f>IF(W165=0,0,W165+V165-U165)</f>
        <v>0</v>
      </c>
      <c r="Y165" s="36">
        <f>IF(W165=0,0,N(R165)*MAX(0,X165-MAX(W165,YEAR(Cfg_Hoje)*12+MONTH(Cfg_Hoje)+IF(DAY(Cfg_Hoje)&gt;=INDEX(Cartoes_Fech,MATCH($F165,Cartoes_Nome,0)),1,0))+1))</f>
        <v>0</v>
      </c>
      <c r="Z165" s="40">
        <f>IF($A165="",0,DAY($A165))</f>
        <v>22</v>
      </c>
      <c r="AA165" s="40">
        <f>IF($A165="",0,WEEKDAY($A165))</f>
        <v>2</v>
      </c>
      <c r="AB165" s="36">
        <f>IF(AND($C165="Despesa",U165&gt;0,U165&lt;=Sel_Idx,V165&gt;=Sel_Idx),N(R165)+ROW()/1000000000,0)</f>
        <v>0</v>
      </c>
      <c r="AC165" s="40">
        <f>IF(AND($C165="Despesa",U165&gt;0,U165&lt;=Sel_Idx,V165&gt;=Sel_Idx),Z165*10000+ROW(),0)</f>
        <v>0</v>
      </c>
      <c r="AD165" s="40">
        <f>IF(AC165=0,0,COUNTIFS(L_CalChave,"&gt;0",L_CalChave,"&lt;"&amp;AC165)+1)</f>
        <v>0</v>
      </c>
    </row>
    <row r="166">
      <c r="A166" s="38" t="n">
        <v>46016</v>
      </c>
      <c r="B166" s="39" t="inlineStr">
        <is>
          <t>Parcela renegociação da fatura</t>
        </is>
      </c>
      <c r="C166" s="34" t="inlineStr">
        <is>
          <t>Despesa</t>
        </is>
      </c>
      <c r="D166" s="34" t="inlineStr">
        <is>
          <t>Dívidas e Financiamentos</t>
        </is>
      </c>
      <c r="E166" s="34" t="n"/>
      <c r="F166" s="34" t="inlineStr">
        <is>
          <t>Conta Corrente Banco Azul</t>
        </is>
      </c>
      <c r="G166" s="34" t="inlineStr">
        <is>
          <t>Boleto</t>
        </is>
      </c>
      <c r="H166" s="37" t="n"/>
      <c r="I166" s="37" t="n"/>
      <c r="J166" s="34" t="inlineStr">
        <is>
          <t>Pago</t>
        </is>
      </c>
      <c r="K166" s="34" t="n"/>
      <c r="L166" s="34" t="n"/>
      <c r="M166" s="39" t="inlineStr">
        <is>
          <t>EXEMPLO</t>
        </is>
      </c>
      <c r="N166" s="35" t="n">
        <v>460</v>
      </c>
      <c r="O166" s="40">
        <f>IF($A166="","",MONTH($A166))</f>
        <v>12</v>
      </c>
      <c r="P166" s="40">
        <f>IF($A166="","",YEAR($A166))</f>
        <v>2025</v>
      </c>
      <c r="Q166" s="41">
        <f>IF($A166="","",DATE(P166,O166,1))</f>
        <v>45992.0</v>
      </c>
      <c r="R166" s="36">
        <f>IF(OR($A166="",$N166=""),"",IF(AND($C166&lt;&gt;"Transferência",N($I166)&gt;1),$N166/$I166,$N166))</f>
        <v>460</v>
      </c>
      <c r="S166" s="41" t="str">
        <f>IF(OR($A166="",$F166="",$C166&lt;&gt;"Despesa"),"",IF(COUNTIF(Cartoes_Nome,$F166)=0,"",DATE(P166,O166+IF(DAY($A166)&gt;=INDEX(Cartoes_Fech,MATCH($F166,Cartoes_Nome,0)),1,0),1)))</f>
        <v/>
      </c>
      <c r="T166" s="42" t="str">
        <f>IF($A166="","",IF(COUNTIFS(L_Data,$A166,L_Desc,$B166,L_Valor,$N166,L_Tipo,$C166)&gt;1,"⚠ Possível duplicidade",IF(OR(AND($C166="Despesa",COUNTIF(CatD_Nome,$D166)=0),AND($C166="Receita",COUNTIF(CatR_Nome,$D166)=0)),"⚠ Categoria não combina com o tipo",IF(OR($N166="",$C166=""),"⚠ Falta valor ou tipo",""))))</f>
        <v/>
      </c>
      <c r="U166" s="40">
        <f>IF($A166="",0,P166*12+O166)</f>
        <v>24312</v>
      </c>
      <c r="V166" s="40">
        <f>IF($A166="",0,U166+MAX(0,N($I166)-MAX(N($H166),1)))</f>
        <v>24312</v>
      </c>
      <c r="W166" s="40">
        <f>IF(S166="",0,YEAR(S166)*12+MONTH(S166))</f>
        <v>0</v>
      </c>
      <c r="X166" s="40">
        <f>IF(W166=0,0,W166+V166-U166)</f>
        <v>0</v>
      </c>
      <c r="Y166" s="36">
        <f>IF(W166=0,0,N(R166)*MAX(0,X166-MAX(W166,YEAR(Cfg_Hoje)*12+MONTH(Cfg_Hoje)+IF(DAY(Cfg_Hoje)&gt;=INDEX(Cartoes_Fech,MATCH($F166,Cartoes_Nome,0)),1,0))+1))</f>
        <v>0</v>
      </c>
      <c r="Z166" s="40">
        <f>IF($A166="",0,DAY($A166))</f>
        <v>25</v>
      </c>
      <c r="AA166" s="40">
        <f>IF($A166="",0,WEEKDAY($A166))</f>
        <v>5</v>
      </c>
      <c r="AB166" s="36">
        <f>IF(AND($C166="Despesa",U166&gt;0,U166&lt;=Sel_Idx,V166&gt;=Sel_Idx),N(R166)+ROW()/1000000000,0)</f>
        <v>0</v>
      </c>
      <c r="AC166" s="40">
        <f>IF(AND($C166="Despesa",U166&gt;0,U166&lt;=Sel_Idx,V166&gt;=Sel_Idx),Z166*10000+ROW(),0)</f>
        <v>0</v>
      </c>
      <c r="AD166" s="40">
        <f>IF(AC166=0,0,COUNTIFS(L_CalChave,"&gt;0",L_CalChave,"&lt;"&amp;AC166)+1)</f>
        <v>0</v>
      </c>
    </row>
    <row r="167">
      <c r="A167" s="38" t="n">
        <v>46016</v>
      </c>
      <c r="B167" s="39" t="inlineStr">
        <is>
          <t>Restaurante</t>
        </is>
      </c>
      <c r="C167" s="34" t="inlineStr">
        <is>
          <t>Despesa</t>
        </is>
      </c>
      <c r="D167" s="34" t="inlineStr">
        <is>
          <t>Alimentação</t>
        </is>
      </c>
      <c r="E167" s="34" t="inlineStr">
        <is>
          <t>Restaurantes</t>
        </is>
      </c>
      <c r="F167" s="34" t="inlineStr">
        <is>
          <t>Cartão Azul Gold</t>
        </is>
      </c>
      <c r="G167" s="34" t="inlineStr">
        <is>
          <t>Crédito</t>
        </is>
      </c>
      <c r="H167" s="37" t="n"/>
      <c r="I167" s="37" t="n"/>
      <c r="J167" s="34" t="inlineStr">
        <is>
          <t>Pago</t>
        </is>
      </c>
      <c r="K167" s="34" t="n"/>
      <c r="L167" s="34" t="n"/>
      <c r="M167" s="39" t="inlineStr">
        <is>
          <t>EXEMPLO</t>
        </is>
      </c>
      <c r="N167" s="35" t="n">
        <v>62.94</v>
      </c>
      <c r="O167" s="40">
        <f>IF($A167="","",MONTH($A167))</f>
        <v>12</v>
      </c>
      <c r="P167" s="40">
        <f>IF($A167="","",YEAR($A167))</f>
        <v>2025</v>
      </c>
      <c r="Q167" s="41">
        <f>IF($A167="","",DATE(P167,O167,1))</f>
        <v>45992.0</v>
      </c>
      <c r="R167" s="36">
        <f>IF(OR($A167="",$N167=""),"",IF(AND($C167&lt;&gt;"Transferência",N($I167)&gt;1),$N167/$I167,$N167))</f>
        <v>62.94</v>
      </c>
      <c r="S167" s="41">
        <f>IF(OR($A167="",$F167="",$C167&lt;&gt;"Despesa"),"",IF(COUNTIF(Cartoes_Nome,$F167)=0,"",DATE(P167,O167+IF(DAY($A167)&gt;=INDEX(Cartoes_Fech,MATCH($F167,Cartoes_Nome,0)),1,0),1)))</f>
        <v>46023.0</v>
      </c>
      <c r="T167" s="42" t="str">
        <f>IF($A167="","",IF(COUNTIFS(L_Data,$A167,L_Desc,$B167,L_Valor,$N167,L_Tipo,$C167)&gt;1,"⚠ Possível duplicidade",IF(OR(AND($C167="Despesa",COUNTIF(CatD_Nome,$D167)=0),AND($C167="Receita",COUNTIF(CatR_Nome,$D167)=0)),"⚠ Categoria não combina com o tipo",IF(OR($N167="",$C167=""),"⚠ Falta valor ou tipo",""))))</f>
        <v/>
      </c>
      <c r="U167" s="40">
        <f>IF($A167="",0,P167*12+O167)</f>
        <v>24312</v>
      </c>
      <c r="V167" s="40">
        <f>IF($A167="",0,U167+MAX(0,N($I167)-MAX(N($H167),1)))</f>
        <v>24312</v>
      </c>
      <c r="W167" s="40">
        <f>IF(S167="",0,YEAR(S167)*12+MONTH(S167))</f>
        <v>24313</v>
      </c>
      <c r="X167" s="40">
        <f>IF(W167=0,0,W167+V167-U167)</f>
        <v>24313</v>
      </c>
      <c r="Y167" s="36">
        <f>IF(W167=0,0,N(R167)*MAX(0,X167-MAX(W167,YEAR(Cfg_Hoje)*12+MONTH(Cfg_Hoje)+IF(DAY(Cfg_Hoje)&gt;=INDEX(Cartoes_Fech,MATCH($F167,Cartoes_Nome,0)),1,0))+1))</f>
        <v>0</v>
      </c>
      <c r="Z167" s="40">
        <f>IF($A167="",0,DAY($A167))</f>
        <v>25</v>
      </c>
      <c r="AA167" s="40">
        <f>IF($A167="",0,WEEKDAY($A167))</f>
        <v>5</v>
      </c>
      <c r="AB167" s="36">
        <f>IF(AND($C167="Despesa",U167&gt;0,U167&lt;=Sel_Idx,V167&gt;=Sel_Idx),N(R167)+ROW()/1000000000,0)</f>
        <v>0</v>
      </c>
      <c r="AC167" s="40">
        <f>IF(AND($C167="Despesa",U167&gt;0,U167&lt;=Sel_Idx,V167&gt;=Sel_Idx),Z167*10000+ROW(),0)</f>
        <v>0</v>
      </c>
      <c r="AD167" s="40">
        <f>IF(AC167=0,0,COUNTIFS(L_CalChave,"&gt;0",L_CalChave,"&lt;"&amp;AC167)+1)</f>
        <v>0</v>
      </c>
    </row>
    <row r="168">
      <c r="A168" s="38" t="n">
        <v>46019</v>
      </c>
      <c r="B168" s="39" t="inlineStr">
        <is>
          <t>Rendimento da poupança</t>
        </is>
      </c>
      <c r="C168" s="34" t="inlineStr">
        <is>
          <t>Receita</t>
        </is>
      </c>
      <c r="D168" s="34" t="inlineStr">
        <is>
          <t>Rendimentos</t>
        </is>
      </c>
      <c r="E168" s="34" t="n"/>
      <c r="F168" s="34" t="inlineStr">
        <is>
          <t>Poupança Banco Azul</t>
        </is>
      </c>
      <c r="G168" s="34" t="inlineStr">
        <is>
          <t>Transferência</t>
        </is>
      </c>
      <c r="H168" s="37" t="n"/>
      <c r="I168" s="37" t="n"/>
      <c r="J168" s="34" t="inlineStr">
        <is>
          <t>Pago</t>
        </is>
      </c>
      <c r="K168" s="34" t="n"/>
      <c r="L168" s="34" t="n"/>
      <c r="M168" s="39" t="inlineStr">
        <is>
          <t>EXEMPLO</t>
        </is>
      </c>
      <c r="N168" s="35" t="n">
        <v>92.03</v>
      </c>
      <c r="O168" s="40">
        <f>IF($A168="","",MONTH($A168))</f>
        <v>12</v>
      </c>
      <c r="P168" s="40">
        <f>IF($A168="","",YEAR($A168))</f>
        <v>2025</v>
      </c>
      <c r="Q168" s="41">
        <f>IF($A168="","",DATE(P168,O168,1))</f>
        <v>45992.0</v>
      </c>
      <c r="R168" s="36">
        <f>IF(OR($A168="",$N168=""),"",IF(AND($C168&lt;&gt;"Transferência",N($I168)&gt;1),$N168/$I168,$N168))</f>
        <v>92.03</v>
      </c>
      <c r="S168" s="41" t="str">
        <f>IF(OR($A168="",$F168="",$C168&lt;&gt;"Despesa"),"",IF(COUNTIF(Cartoes_Nome,$F168)=0,"",DATE(P168,O168+IF(DAY($A168)&gt;=INDEX(Cartoes_Fech,MATCH($F168,Cartoes_Nome,0)),1,0),1)))</f>
        <v/>
      </c>
      <c r="T168" s="42" t="str">
        <f>IF($A168="","",IF(COUNTIFS(L_Data,$A168,L_Desc,$B168,L_Valor,$N168,L_Tipo,$C168)&gt;1,"⚠ Possível duplicidade",IF(OR(AND($C168="Despesa",COUNTIF(CatD_Nome,$D168)=0),AND($C168="Receita",COUNTIF(CatR_Nome,$D168)=0)),"⚠ Categoria não combina com o tipo",IF(OR($N168="",$C168=""),"⚠ Falta valor ou tipo",""))))</f>
        <v/>
      </c>
      <c r="U168" s="40">
        <f>IF($A168="",0,P168*12+O168)</f>
        <v>24312</v>
      </c>
      <c r="V168" s="40">
        <f>IF($A168="",0,U168+MAX(0,N($I168)-MAX(N($H168),1)))</f>
        <v>24312</v>
      </c>
      <c r="W168" s="40">
        <f>IF(S168="",0,YEAR(S168)*12+MONTH(S168))</f>
        <v>0</v>
      </c>
      <c r="X168" s="40">
        <f>IF(W168=0,0,W168+V168-U168)</f>
        <v>0</v>
      </c>
      <c r="Y168" s="36">
        <f>IF(W168=0,0,N(R168)*MAX(0,X168-MAX(W168,YEAR(Cfg_Hoje)*12+MONTH(Cfg_Hoje)+IF(DAY(Cfg_Hoje)&gt;=INDEX(Cartoes_Fech,MATCH($F168,Cartoes_Nome,0)),1,0))+1))</f>
        <v>0</v>
      </c>
      <c r="Z168" s="40">
        <f>IF($A168="",0,DAY($A168))</f>
        <v>28</v>
      </c>
      <c r="AA168" s="40">
        <f>IF($A168="",0,WEEKDAY($A168))</f>
        <v>1</v>
      </c>
      <c r="AB168" s="36">
        <f>IF(AND($C168="Despesa",U168&gt;0,U168&lt;=Sel_Idx,V168&gt;=Sel_Idx),N(R168)+ROW()/1000000000,0)</f>
        <v>0</v>
      </c>
      <c r="AC168" s="40">
        <f>IF(AND($C168="Despesa",U168&gt;0,U168&lt;=Sel_Idx,V168&gt;=Sel_Idx),Z168*10000+ROW(),0)</f>
        <v>0</v>
      </c>
      <c r="AD168" s="40">
        <f>IF(AC168=0,0,COUNTIFS(L_CalChave,"&gt;0",L_CalChave,"&lt;"&amp;AC168)+1)</f>
        <v>0</v>
      </c>
    </row>
    <row r="169">
      <c r="A169" s="38" t="n">
        <v>46019</v>
      </c>
      <c r="B169" s="39" t="inlineStr">
        <is>
          <t>Supermercado</t>
        </is>
      </c>
      <c r="C169" s="34" t="inlineStr">
        <is>
          <t>Despesa</t>
        </is>
      </c>
      <c r="D169" s="34" t="inlineStr">
        <is>
          <t>Alimentação</t>
        </is>
      </c>
      <c r="E169" s="34" t="inlineStr">
        <is>
          <t>Mercado</t>
        </is>
      </c>
      <c r="F169" s="34" t="inlineStr">
        <is>
          <t>Cartão Azul Gold</t>
        </is>
      </c>
      <c r="G169" s="34" t="inlineStr">
        <is>
          <t>Crédito</t>
        </is>
      </c>
      <c r="H169" s="37" t="n"/>
      <c r="I169" s="37" t="n"/>
      <c r="J169" s="34" t="inlineStr">
        <is>
          <t>Pago</t>
        </is>
      </c>
      <c r="K169" s="34" t="n"/>
      <c r="L169" s="34" t="n"/>
      <c r="M169" s="39" t="inlineStr">
        <is>
          <t>EXEMPLO</t>
        </is>
      </c>
      <c r="N169" s="35" t="n">
        <v>297.15</v>
      </c>
      <c r="O169" s="40">
        <f>IF($A169="","",MONTH($A169))</f>
        <v>12</v>
      </c>
      <c r="P169" s="40">
        <f>IF($A169="","",YEAR($A169))</f>
        <v>2025</v>
      </c>
      <c r="Q169" s="41">
        <f>IF($A169="","",DATE(P169,O169,1))</f>
        <v>45992.0</v>
      </c>
      <c r="R169" s="36">
        <f>IF(OR($A169="",$N169=""),"",IF(AND($C169&lt;&gt;"Transferência",N($I169)&gt;1),$N169/$I169,$N169))</f>
        <v>297.15</v>
      </c>
      <c r="S169" s="41">
        <f>IF(OR($A169="",$F169="",$C169&lt;&gt;"Despesa"),"",IF(COUNTIF(Cartoes_Nome,$F169)=0,"",DATE(P169,O169+IF(DAY($A169)&gt;=INDEX(Cartoes_Fech,MATCH($F169,Cartoes_Nome,0)),1,0),1)))</f>
        <v>46023.0</v>
      </c>
      <c r="T169" s="42" t="str">
        <f>IF($A169="","",IF(COUNTIFS(L_Data,$A169,L_Desc,$B169,L_Valor,$N169,L_Tipo,$C169)&gt;1,"⚠ Possível duplicidade",IF(OR(AND($C169="Despesa",COUNTIF(CatD_Nome,$D169)=0),AND($C169="Receita",COUNTIF(CatR_Nome,$D169)=0)),"⚠ Categoria não combina com o tipo",IF(OR($N169="",$C169=""),"⚠ Falta valor ou tipo",""))))</f>
        <v/>
      </c>
      <c r="U169" s="40">
        <f>IF($A169="",0,P169*12+O169)</f>
        <v>24312</v>
      </c>
      <c r="V169" s="40">
        <f>IF($A169="",0,U169+MAX(0,N($I169)-MAX(N($H169),1)))</f>
        <v>24312</v>
      </c>
      <c r="W169" s="40">
        <f>IF(S169="",0,YEAR(S169)*12+MONTH(S169))</f>
        <v>24313</v>
      </c>
      <c r="X169" s="40">
        <f>IF(W169=0,0,W169+V169-U169)</f>
        <v>24313</v>
      </c>
      <c r="Y169" s="36">
        <f>IF(W169=0,0,N(R169)*MAX(0,X169-MAX(W169,YEAR(Cfg_Hoje)*12+MONTH(Cfg_Hoje)+IF(DAY(Cfg_Hoje)&gt;=INDEX(Cartoes_Fech,MATCH($F169,Cartoes_Nome,0)),1,0))+1))</f>
        <v>0</v>
      </c>
      <c r="Z169" s="40">
        <f>IF($A169="",0,DAY($A169))</f>
        <v>28</v>
      </c>
      <c r="AA169" s="40">
        <f>IF($A169="",0,WEEKDAY($A169))</f>
        <v>1</v>
      </c>
      <c r="AB169" s="36">
        <f>IF(AND($C169="Despesa",U169&gt;0,U169&lt;=Sel_Idx,V169&gt;=Sel_Idx),N(R169)+ROW()/1000000000,0)</f>
        <v>0</v>
      </c>
      <c r="AC169" s="40">
        <f>IF(AND($C169="Despesa",U169&gt;0,U169&lt;=Sel_Idx,V169&gt;=Sel_Idx),Z169*10000+ROW(),0)</f>
        <v>0</v>
      </c>
      <c r="AD169" s="40">
        <f>IF(AC169=0,0,COUNTIFS(L_CalChave,"&gt;0",L_CalChave,"&lt;"&amp;AC169)+1)</f>
        <v>0</v>
      </c>
    </row>
    <row r="170">
      <c r="A170" s="38" t="n">
        <v>46023</v>
      </c>
      <c r="B170" s="39" t="inlineStr">
        <is>
          <t>Corrida de aplicativo</t>
        </is>
      </c>
      <c r="C170" s="34" t="inlineStr">
        <is>
          <t>Despesa</t>
        </is>
      </c>
      <c r="D170" s="34" t="inlineStr">
        <is>
          <t>Transporte</t>
        </is>
      </c>
      <c r="E170" s="34" t="inlineStr">
        <is>
          <t>App de transporte</t>
        </is>
      </c>
      <c r="F170" s="34" t="inlineStr">
        <is>
          <t>Conta Corrente Banco Azul</t>
        </is>
      </c>
      <c r="G170" s="34" t="inlineStr">
        <is>
          <t>Pix</t>
        </is>
      </c>
      <c r="H170" s="37" t="n"/>
      <c r="I170" s="37" t="n"/>
      <c r="J170" s="34" t="inlineStr">
        <is>
          <t>Pago</t>
        </is>
      </c>
      <c r="K170" s="34" t="n"/>
      <c r="L170" s="34" t="n"/>
      <c r="M170" s="39" t="inlineStr">
        <is>
          <t>EXEMPLO</t>
        </is>
      </c>
      <c r="N170" s="35" t="n">
        <v>28.56</v>
      </c>
      <c r="O170" s="40">
        <f>IF($A170="","",MONTH($A170))</f>
        <v>1</v>
      </c>
      <c r="P170" s="40">
        <f>IF($A170="","",YEAR($A170))</f>
        <v>2026</v>
      </c>
      <c r="Q170" s="41">
        <f>IF($A170="","",DATE(P170,O170,1))</f>
        <v>46023.0</v>
      </c>
      <c r="R170" s="36">
        <f>IF(OR($A170="",$N170=""),"",IF(AND($C170&lt;&gt;"Transferência",N($I170)&gt;1),$N170/$I170,$N170))</f>
        <v>28.56</v>
      </c>
      <c r="S170" s="41" t="str">
        <f>IF(OR($A170="",$F170="",$C170&lt;&gt;"Despesa"),"",IF(COUNTIF(Cartoes_Nome,$F170)=0,"",DATE(P170,O170+IF(DAY($A170)&gt;=INDEX(Cartoes_Fech,MATCH($F170,Cartoes_Nome,0)),1,0),1)))</f>
        <v/>
      </c>
      <c r="T170" s="42" t="str">
        <f>IF($A170="","",IF(COUNTIFS(L_Data,$A170,L_Desc,$B170,L_Valor,$N170,L_Tipo,$C170)&gt;1,"⚠ Possível duplicidade",IF(OR(AND($C170="Despesa",COUNTIF(CatD_Nome,$D170)=0),AND($C170="Receita",COUNTIF(CatR_Nome,$D170)=0)),"⚠ Categoria não combina com o tipo",IF(OR($N170="",$C170=""),"⚠ Falta valor ou tipo",""))))</f>
        <v/>
      </c>
      <c r="U170" s="40">
        <f>IF($A170="",0,P170*12+O170)</f>
        <v>24313</v>
      </c>
      <c r="V170" s="40">
        <f>IF($A170="",0,U170+MAX(0,N($I170)-MAX(N($H170),1)))</f>
        <v>24313</v>
      </c>
      <c r="W170" s="40">
        <f>IF(S170="",0,YEAR(S170)*12+MONTH(S170))</f>
        <v>0</v>
      </c>
      <c r="X170" s="40">
        <f>IF(W170=0,0,W170+V170-U170)</f>
        <v>0</v>
      </c>
      <c r="Y170" s="36">
        <f>IF(W170=0,0,N(R170)*MAX(0,X170-MAX(W170,YEAR(Cfg_Hoje)*12+MONTH(Cfg_Hoje)+IF(DAY(Cfg_Hoje)&gt;=INDEX(Cartoes_Fech,MATCH($F170,Cartoes_Nome,0)),1,0))+1))</f>
        <v>0</v>
      </c>
      <c r="Z170" s="40">
        <f>IF($A170="",0,DAY($A170))</f>
        <v>1</v>
      </c>
      <c r="AA170" s="40">
        <f>IF($A170="",0,WEEKDAY($A170))</f>
        <v>5</v>
      </c>
      <c r="AB170" s="36">
        <f>IF(AND($C170="Despesa",U170&gt;0,U170&lt;=Sel_Idx,V170&gt;=Sel_Idx),N(R170)+ROW()/1000000000,0)</f>
        <v>0</v>
      </c>
      <c r="AC170" s="40">
        <f>IF(AND($C170="Despesa",U170&gt;0,U170&lt;=Sel_Idx,V170&gt;=Sel_Idx),Z170*10000+ROW(),0)</f>
        <v>0</v>
      </c>
      <c r="AD170" s="40">
        <f>IF(AC170=0,0,COUNTIFS(L_CalChave,"&gt;0",L_CalChave,"&lt;"&amp;AC170)+1)</f>
        <v>0</v>
      </c>
    </row>
    <row r="171">
      <c r="A171" s="38" t="n">
        <v>46025</v>
      </c>
      <c r="B171" s="39" t="inlineStr">
        <is>
          <t>Academia</t>
        </is>
      </c>
      <c r="C171" s="34" t="inlineStr">
        <is>
          <t>Despesa</t>
        </is>
      </c>
      <c r="D171" s="34" t="inlineStr">
        <is>
          <t>Assinaturas</t>
        </is>
      </c>
      <c r="E171" s="34" t="inlineStr">
        <is>
          <t>Academia</t>
        </is>
      </c>
      <c r="F171" s="34" t="inlineStr">
        <is>
          <t>Conta Corrente Banco Azul</t>
        </is>
      </c>
      <c r="G171" s="34" t="inlineStr">
        <is>
          <t>Débito automático</t>
        </is>
      </c>
      <c r="H171" s="37" t="n"/>
      <c r="I171" s="37" t="n"/>
      <c r="J171" s="34" t="inlineStr">
        <is>
          <t>Pago</t>
        </is>
      </c>
      <c r="K171" s="34" t="n"/>
      <c r="L171" s="34" t="n"/>
      <c r="M171" s="39" t="inlineStr">
        <is>
          <t>EXEMPLO</t>
        </is>
      </c>
      <c r="N171" s="35" t="n">
        <v>129</v>
      </c>
      <c r="O171" s="40">
        <f>IF($A171="","",MONTH($A171))</f>
        <v>1</v>
      </c>
      <c r="P171" s="40">
        <f>IF($A171="","",YEAR($A171))</f>
        <v>2026</v>
      </c>
      <c r="Q171" s="41">
        <f>IF($A171="","",DATE(P171,O171,1))</f>
        <v>46023.0</v>
      </c>
      <c r="R171" s="36">
        <f>IF(OR($A171="",$N171=""),"",IF(AND($C171&lt;&gt;"Transferência",N($I171)&gt;1),$N171/$I171,$N171))</f>
        <v>129</v>
      </c>
      <c r="S171" s="41" t="str">
        <f>IF(OR($A171="",$F171="",$C171&lt;&gt;"Despesa"),"",IF(COUNTIF(Cartoes_Nome,$F171)=0,"",DATE(P171,O171+IF(DAY($A171)&gt;=INDEX(Cartoes_Fech,MATCH($F171,Cartoes_Nome,0)),1,0),1)))</f>
        <v/>
      </c>
      <c r="T171" s="42" t="str">
        <f>IF($A171="","",IF(COUNTIFS(L_Data,$A171,L_Desc,$B171,L_Valor,$N171,L_Tipo,$C171)&gt;1,"⚠ Possível duplicidade",IF(OR(AND($C171="Despesa",COUNTIF(CatD_Nome,$D171)=0),AND($C171="Receita",COUNTIF(CatR_Nome,$D171)=0)),"⚠ Categoria não combina com o tipo",IF(OR($N171="",$C171=""),"⚠ Falta valor ou tipo",""))))</f>
        <v/>
      </c>
      <c r="U171" s="40">
        <f>IF($A171="",0,P171*12+O171)</f>
        <v>24313</v>
      </c>
      <c r="V171" s="40">
        <f>IF($A171="",0,U171+MAX(0,N($I171)-MAX(N($H171),1)))</f>
        <v>24313</v>
      </c>
      <c r="W171" s="40">
        <f>IF(S171="",0,YEAR(S171)*12+MONTH(S171))</f>
        <v>0</v>
      </c>
      <c r="X171" s="40">
        <f>IF(W171=0,0,W171+V171-U171)</f>
        <v>0</v>
      </c>
      <c r="Y171" s="36">
        <f>IF(W171=0,0,N(R171)*MAX(0,X171-MAX(W171,YEAR(Cfg_Hoje)*12+MONTH(Cfg_Hoje)+IF(DAY(Cfg_Hoje)&gt;=INDEX(Cartoes_Fech,MATCH($F171,Cartoes_Nome,0)),1,0))+1))</f>
        <v>0</v>
      </c>
      <c r="Z171" s="40">
        <f>IF($A171="",0,DAY($A171))</f>
        <v>3</v>
      </c>
      <c r="AA171" s="40">
        <f>IF($A171="",0,WEEKDAY($A171))</f>
        <v>7</v>
      </c>
      <c r="AB171" s="36">
        <f>IF(AND($C171="Despesa",U171&gt;0,U171&lt;=Sel_Idx,V171&gt;=Sel_Idx),N(R171)+ROW()/1000000000,0)</f>
        <v>0</v>
      </c>
      <c r="AC171" s="40">
        <f>IF(AND($C171="Despesa",U171&gt;0,U171&lt;=Sel_Idx,V171&gt;=Sel_Idx),Z171*10000+ROW(),0)</f>
        <v>0</v>
      </c>
      <c r="AD171" s="40">
        <f>IF(AC171=0,0,COUNTIFS(L_CalChave,"&gt;0",L_CalChave,"&lt;"&amp;AC171)+1)</f>
        <v>0</v>
      </c>
    </row>
    <row r="172">
      <c r="A172" s="38" t="n">
        <v>46026</v>
      </c>
      <c r="B172" s="39" t="inlineStr">
        <is>
          <t>Supermercado</t>
        </is>
      </c>
      <c r="C172" s="34" t="inlineStr">
        <is>
          <t>Despesa</t>
        </is>
      </c>
      <c r="D172" s="34" t="inlineStr">
        <is>
          <t>Alimentação</t>
        </is>
      </c>
      <c r="E172" s="34" t="inlineStr">
        <is>
          <t>Mercado</t>
        </is>
      </c>
      <c r="F172" s="34" t="inlineStr">
        <is>
          <t>Cartão Azul Gold</t>
        </is>
      </c>
      <c r="G172" s="34" t="inlineStr">
        <is>
          <t>Crédito</t>
        </is>
      </c>
      <c r="H172" s="37" t="n"/>
      <c r="I172" s="37" t="n"/>
      <c r="J172" s="34" t="inlineStr">
        <is>
          <t>Pago</t>
        </is>
      </c>
      <c r="K172" s="34" t="n"/>
      <c r="L172" s="34" t="n"/>
      <c r="M172" s="39" t="inlineStr">
        <is>
          <t>EXEMPLO</t>
        </is>
      </c>
      <c r="N172" s="35" t="n">
        <v>302.81</v>
      </c>
      <c r="O172" s="40">
        <f>IF($A172="","",MONTH($A172))</f>
        <v>1</v>
      </c>
      <c r="P172" s="40">
        <f>IF($A172="","",YEAR($A172))</f>
        <v>2026</v>
      </c>
      <c r="Q172" s="41">
        <f>IF($A172="","",DATE(P172,O172,1))</f>
        <v>46023.0</v>
      </c>
      <c r="R172" s="36">
        <f>IF(OR($A172="",$N172=""),"",IF(AND($C172&lt;&gt;"Transferência",N($I172)&gt;1),$N172/$I172,$N172))</f>
        <v>302.81</v>
      </c>
      <c r="S172" s="41">
        <f>IF(OR($A172="",$F172="",$C172&lt;&gt;"Despesa"),"",IF(COUNTIF(Cartoes_Nome,$F172)=0,"",DATE(P172,O172+IF(DAY($A172)&gt;=INDEX(Cartoes_Fech,MATCH($F172,Cartoes_Nome,0)),1,0),1)))</f>
        <v>46023.0</v>
      </c>
      <c r="T172" s="42" t="str">
        <f>IF($A172="","",IF(COUNTIFS(L_Data,$A172,L_Desc,$B172,L_Valor,$N172,L_Tipo,$C172)&gt;1,"⚠ Possível duplicidade",IF(OR(AND($C172="Despesa",COUNTIF(CatD_Nome,$D172)=0),AND($C172="Receita",COUNTIF(CatR_Nome,$D172)=0)),"⚠ Categoria não combina com o tipo",IF(OR($N172="",$C172=""),"⚠ Falta valor ou tipo",""))))</f>
        <v/>
      </c>
      <c r="U172" s="40">
        <f>IF($A172="",0,P172*12+O172)</f>
        <v>24313</v>
      </c>
      <c r="V172" s="40">
        <f>IF($A172="",0,U172+MAX(0,N($I172)-MAX(N($H172),1)))</f>
        <v>24313</v>
      </c>
      <c r="W172" s="40">
        <f>IF(S172="",0,YEAR(S172)*12+MONTH(S172))</f>
        <v>24313</v>
      </c>
      <c r="X172" s="40">
        <f>IF(W172=0,0,W172+V172-U172)</f>
        <v>24313</v>
      </c>
      <c r="Y172" s="36">
        <f>IF(W172=0,0,N(R172)*MAX(0,X172-MAX(W172,YEAR(Cfg_Hoje)*12+MONTH(Cfg_Hoje)+IF(DAY(Cfg_Hoje)&gt;=INDEX(Cartoes_Fech,MATCH($F172,Cartoes_Nome,0)),1,0))+1))</f>
        <v>0</v>
      </c>
      <c r="Z172" s="40">
        <f>IF($A172="",0,DAY($A172))</f>
        <v>4</v>
      </c>
      <c r="AA172" s="40">
        <f>IF($A172="",0,WEEKDAY($A172))</f>
        <v>1</v>
      </c>
      <c r="AB172" s="36">
        <f>IF(AND($C172="Despesa",U172&gt;0,U172&lt;=Sel_Idx,V172&gt;=Sel_Idx),N(R172)+ROW()/1000000000,0)</f>
        <v>0</v>
      </c>
      <c r="AC172" s="40">
        <f>IF(AND($C172="Despesa",U172&gt;0,U172&lt;=Sel_Idx,V172&gt;=Sel_Idx),Z172*10000+ROW(),0)</f>
        <v>0</v>
      </c>
      <c r="AD172" s="40">
        <f>IF(AC172=0,0,COUNTIFS(L_CalChave,"&gt;0",L_CalChave,"&lt;"&amp;AC172)+1)</f>
        <v>0</v>
      </c>
    </row>
    <row r="173">
      <c r="A173" s="38" t="n">
        <v>46027</v>
      </c>
      <c r="B173" s="39" t="inlineStr">
        <is>
          <t>Pagamento fatura Cartão Roxinho</t>
        </is>
      </c>
      <c r="C173" s="34" t="inlineStr">
        <is>
          <t>Transferência</t>
        </is>
      </c>
      <c r="D173" s="34" t="n"/>
      <c r="E173" s="34" t="n"/>
      <c r="F173" s="34" t="inlineStr">
        <is>
          <t>Conta Corrente Banco Azul</t>
        </is>
      </c>
      <c r="G173" s="34" t="inlineStr">
        <is>
          <t>Débito automático</t>
        </is>
      </c>
      <c r="H173" s="37" t="n"/>
      <c r="I173" s="37" t="n"/>
      <c r="J173" s="34" t="inlineStr">
        <is>
          <t>Pago</t>
        </is>
      </c>
      <c r="K173" s="34" t="n"/>
      <c r="L173" s="34" t="n"/>
      <c r="M173" s="39" t="inlineStr">
        <is>
          <t>EXEMPLO</t>
        </is>
      </c>
      <c r="N173" s="35" t="n">
        <v>-1077.36</v>
      </c>
      <c r="O173" s="40">
        <f>IF($A173="","",MONTH($A173))</f>
        <v>1</v>
      </c>
      <c r="P173" s="40">
        <f>IF($A173="","",YEAR($A173))</f>
        <v>2026</v>
      </c>
      <c r="Q173" s="41">
        <f>IF($A173="","",DATE(P173,O173,1))</f>
        <v>46023.0</v>
      </c>
      <c r="R173" s="36">
        <f>IF(OR($A173="",$N173=""),"",IF(AND($C173&lt;&gt;"Transferência",N($I173)&gt;1),$N173/$I173,$N173))</f>
        <v>-1077.36</v>
      </c>
      <c r="S173" s="41" t="str">
        <f>IF(OR($A173="",$F173="",$C173&lt;&gt;"Despesa"),"",IF(COUNTIF(Cartoes_Nome,$F173)=0,"",DATE(P173,O173+IF(DAY($A173)&gt;=INDEX(Cartoes_Fech,MATCH($F173,Cartoes_Nome,0)),1,0),1)))</f>
        <v/>
      </c>
      <c r="T173" s="42" t="str">
        <f>IF($A173="","",IF(COUNTIFS(L_Data,$A173,L_Desc,$B173,L_Valor,$N173,L_Tipo,$C173)&gt;1,"⚠ Possível duplicidade",IF(OR(AND($C173="Despesa",COUNTIF(CatD_Nome,$D173)=0),AND($C173="Receita",COUNTIF(CatR_Nome,$D173)=0)),"⚠ Categoria não combina com o tipo",IF(OR($N173="",$C173=""),"⚠ Falta valor ou tipo",""))))</f>
        <v/>
      </c>
      <c r="U173" s="40">
        <f>IF($A173="",0,P173*12+O173)</f>
        <v>24313</v>
      </c>
      <c r="V173" s="40">
        <f>IF($A173="",0,U173+MAX(0,N($I173)-MAX(N($H173),1)))</f>
        <v>24313</v>
      </c>
      <c r="W173" s="40">
        <f>IF(S173="",0,YEAR(S173)*12+MONTH(S173))</f>
        <v>0</v>
      </c>
      <c r="X173" s="40">
        <f>IF(W173=0,0,W173+V173-U173)</f>
        <v>0</v>
      </c>
      <c r="Y173" s="36">
        <f>IF(W173=0,0,N(R173)*MAX(0,X173-MAX(W173,YEAR(Cfg_Hoje)*12+MONTH(Cfg_Hoje)+IF(DAY(Cfg_Hoje)&gt;=INDEX(Cartoes_Fech,MATCH($F173,Cartoes_Nome,0)),1,0))+1))</f>
        <v>0</v>
      </c>
      <c r="Z173" s="40">
        <f>IF($A173="",0,DAY($A173))</f>
        <v>5</v>
      </c>
      <c r="AA173" s="40">
        <f>IF($A173="",0,WEEKDAY($A173))</f>
        <v>2</v>
      </c>
      <c r="AB173" s="36">
        <f>IF(AND($C173="Despesa",U173&gt;0,U173&lt;=Sel_Idx,V173&gt;=Sel_Idx),N(R173)+ROW()/1000000000,0)</f>
        <v>0</v>
      </c>
      <c r="AC173" s="40">
        <f>IF(AND($C173="Despesa",U173&gt;0,U173&lt;=Sel_Idx,V173&gt;=Sel_Idx),Z173*10000+ROW(),0)</f>
        <v>0</v>
      </c>
      <c r="AD173" s="40">
        <f>IF(AC173=0,0,COUNTIFS(L_CalChave,"&gt;0",L_CalChave,"&lt;"&amp;AC173)+1)</f>
        <v>0</v>
      </c>
    </row>
    <row r="174">
      <c r="A174" s="38" t="n">
        <v>46027</v>
      </c>
      <c r="B174" s="39" t="inlineStr">
        <is>
          <t>Plano de saúde</t>
        </is>
      </c>
      <c r="C174" s="34" t="inlineStr">
        <is>
          <t>Despesa</t>
        </is>
      </c>
      <c r="D174" s="34" t="inlineStr">
        <is>
          <t>Saúde</t>
        </is>
      </c>
      <c r="E174" s="34" t="inlineStr">
        <is>
          <t>Plano de saúde</t>
        </is>
      </c>
      <c r="F174" s="34" t="inlineStr">
        <is>
          <t>Conta Corrente Banco Azul</t>
        </is>
      </c>
      <c r="G174" s="34" t="inlineStr">
        <is>
          <t>Débito automático</t>
        </is>
      </c>
      <c r="H174" s="37" t="n"/>
      <c r="I174" s="37" t="n"/>
      <c r="J174" s="34" t="inlineStr">
        <is>
          <t>Pago</t>
        </is>
      </c>
      <c r="K174" s="34" t="n"/>
      <c r="L174" s="34" t="n"/>
      <c r="M174" s="39" t="inlineStr">
        <is>
          <t>EXEMPLO</t>
        </is>
      </c>
      <c r="N174" s="35" t="n">
        <v>780</v>
      </c>
      <c r="O174" s="40">
        <f>IF($A174="","",MONTH($A174))</f>
        <v>1</v>
      </c>
      <c r="P174" s="40">
        <f>IF($A174="","",YEAR($A174))</f>
        <v>2026</v>
      </c>
      <c r="Q174" s="41">
        <f>IF($A174="","",DATE(P174,O174,1))</f>
        <v>46023.0</v>
      </c>
      <c r="R174" s="36">
        <f>IF(OR($A174="",$N174=""),"",IF(AND($C174&lt;&gt;"Transferência",N($I174)&gt;1),$N174/$I174,$N174))</f>
        <v>780</v>
      </c>
      <c r="S174" s="41" t="str">
        <f>IF(OR($A174="",$F174="",$C174&lt;&gt;"Despesa"),"",IF(COUNTIF(Cartoes_Nome,$F174)=0,"",DATE(P174,O174+IF(DAY($A174)&gt;=INDEX(Cartoes_Fech,MATCH($F174,Cartoes_Nome,0)),1,0),1)))</f>
        <v/>
      </c>
      <c r="T174" s="42" t="str">
        <f>IF($A174="","",IF(COUNTIFS(L_Data,$A174,L_Desc,$B174,L_Valor,$N174,L_Tipo,$C174)&gt;1,"⚠ Possível duplicidade",IF(OR(AND($C174="Despesa",COUNTIF(CatD_Nome,$D174)=0),AND($C174="Receita",COUNTIF(CatR_Nome,$D174)=0)),"⚠ Categoria não combina com o tipo",IF(OR($N174="",$C174=""),"⚠ Falta valor ou tipo",""))))</f>
        <v/>
      </c>
      <c r="U174" s="40">
        <f>IF($A174="",0,P174*12+O174)</f>
        <v>24313</v>
      </c>
      <c r="V174" s="40">
        <f>IF($A174="",0,U174+MAX(0,N($I174)-MAX(N($H174),1)))</f>
        <v>24313</v>
      </c>
      <c r="W174" s="40">
        <f>IF(S174="",0,YEAR(S174)*12+MONTH(S174))</f>
        <v>0</v>
      </c>
      <c r="X174" s="40">
        <f>IF(W174=0,0,W174+V174-U174)</f>
        <v>0</v>
      </c>
      <c r="Y174" s="36">
        <f>IF(W174=0,0,N(R174)*MAX(0,X174-MAX(W174,YEAR(Cfg_Hoje)*12+MONTH(Cfg_Hoje)+IF(DAY(Cfg_Hoje)&gt;=INDEX(Cartoes_Fech,MATCH($F174,Cartoes_Nome,0)),1,0))+1))</f>
        <v>0</v>
      </c>
      <c r="Z174" s="40">
        <f>IF($A174="",0,DAY($A174))</f>
        <v>5</v>
      </c>
      <c r="AA174" s="40">
        <f>IF($A174="",0,WEEKDAY($A174))</f>
        <v>2</v>
      </c>
      <c r="AB174" s="36">
        <f>IF(AND($C174="Despesa",U174&gt;0,U174&lt;=Sel_Idx,V174&gt;=Sel_Idx),N(R174)+ROW()/1000000000,0)</f>
        <v>0</v>
      </c>
      <c r="AC174" s="40">
        <f>IF(AND($C174="Despesa",U174&gt;0,U174&lt;=Sel_Idx,V174&gt;=Sel_Idx),Z174*10000+ROW(),0)</f>
        <v>0</v>
      </c>
      <c r="AD174" s="40">
        <f>IF(AC174=0,0,COUNTIFS(L_CalChave,"&gt;0",L_CalChave,"&lt;"&amp;AC174)+1)</f>
        <v>0</v>
      </c>
    </row>
    <row r="175">
      <c r="A175" s="38" t="n">
        <v>46027</v>
      </c>
      <c r="B175" s="39" t="inlineStr">
        <is>
          <t>Salário</t>
        </is>
      </c>
      <c r="C175" s="34" t="inlineStr">
        <is>
          <t>Receita</t>
        </is>
      </c>
      <c r="D175" s="34" t="inlineStr">
        <is>
          <t>Salário</t>
        </is>
      </c>
      <c r="E175" s="34" t="n"/>
      <c r="F175" s="34" t="inlineStr">
        <is>
          <t>Conta Corrente Banco Azul</t>
        </is>
      </c>
      <c r="G175" s="34" t="inlineStr">
        <is>
          <t>Transferência</t>
        </is>
      </c>
      <c r="H175" s="37" t="n"/>
      <c r="I175" s="37" t="n"/>
      <c r="J175" s="34" t="inlineStr">
        <is>
          <t>Pago</t>
        </is>
      </c>
      <c r="K175" s="34" t="n"/>
      <c r="L175" s="34" t="n"/>
      <c r="M175" s="39" t="inlineStr">
        <is>
          <t>EXEMPLO</t>
        </is>
      </c>
      <c r="N175" s="35" t="n">
        <v>10800</v>
      </c>
      <c r="O175" s="40">
        <f>IF($A175="","",MONTH($A175))</f>
        <v>1</v>
      </c>
      <c r="P175" s="40">
        <f>IF($A175="","",YEAR($A175))</f>
        <v>2026</v>
      </c>
      <c r="Q175" s="41">
        <f>IF($A175="","",DATE(P175,O175,1))</f>
        <v>46023.0</v>
      </c>
      <c r="R175" s="36">
        <f>IF(OR($A175="",$N175=""),"",IF(AND($C175&lt;&gt;"Transferência",N($I175)&gt;1),$N175/$I175,$N175))</f>
        <v>10800</v>
      </c>
      <c r="S175" s="41" t="str">
        <f>IF(OR($A175="",$F175="",$C175&lt;&gt;"Despesa"),"",IF(COUNTIF(Cartoes_Nome,$F175)=0,"",DATE(P175,O175+IF(DAY($A175)&gt;=INDEX(Cartoes_Fech,MATCH($F175,Cartoes_Nome,0)),1,0),1)))</f>
        <v/>
      </c>
      <c r="T175" s="42" t="str">
        <f>IF($A175="","",IF(COUNTIFS(L_Data,$A175,L_Desc,$B175,L_Valor,$N175,L_Tipo,$C175)&gt;1,"⚠ Possível duplicidade",IF(OR(AND($C175="Despesa",COUNTIF(CatD_Nome,$D175)=0),AND($C175="Receita",COUNTIF(CatR_Nome,$D175)=0)),"⚠ Categoria não combina com o tipo",IF(OR($N175="",$C175=""),"⚠ Falta valor ou tipo",""))))</f>
        <v/>
      </c>
      <c r="U175" s="40">
        <f>IF($A175="",0,P175*12+O175)</f>
        <v>24313</v>
      </c>
      <c r="V175" s="40">
        <f>IF($A175="",0,U175+MAX(0,N($I175)-MAX(N($H175),1)))</f>
        <v>24313</v>
      </c>
      <c r="W175" s="40">
        <f>IF(S175="",0,YEAR(S175)*12+MONTH(S175))</f>
        <v>0</v>
      </c>
      <c r="X175" s="40">
        <f>IF(W175=0,0,W175+V175-U175)</f>
        <v>0</v>
      </c>
      <c r="Y175" s="36">
        <f>IF(W175=0,0,N(R175)*MAX(0,X175-MAX(W175,YEAR(Cfg_Hoje)*12+MONTH(Cfg_Hoje)+IF(DAY(Cfg_Hoje)&gt;=INDEX(Cartoes_Fech,MATCH($F175,Cartoes_Nome,0)),1,0))+1))</f>
        <v>0</v>
      </c>
      <c r="Z175" s="40">
        <f>IF($A175="",0,DAY($A175))</f>
        <v>5</v>
      </c>
      <c r="AA175" s="40">
        <f>IF($A175="",0,WEEKDAY($A175))</f>
        <v>2</v>
      </c>
      <c r="AB175" s="36">
        <f>IF(AND($C175="Despesa",U175&gt;0,U175&lt;=Sel_Idx,V175&gt;=Sel_Idx),N(R175)+ROW()/1000000000,0)</f>
        <v>0</v>
      </c>
      <c r="AC175" s="40">
        <f>IF(AND($C175="Despesa",U175&gt;0,U175&lt;=Sel_Idx,V175&gt;=Sel_Idx),Z175*10000+ROW(),0)</f>
        <v>0</v>
      </c>
      <c r="AD175" s="40">
        <f>IF(AC175=0,0,COUNTIFS(L_CalChave,"&gt;0",L_CalChave,"&lt;"&amp;AC175)+1)</f>
        <v>0</v>
      </c>
    </row>
    <row r="176">
      <c r="A176" s="38" t="n">
        <v>46028</v>
      </c>
      <c r="B176" s="39" t="inlineStr">
        <is>
          <t>Aporte - MBA</t>
        </is>
      </c>
      <c r="C176" s="34" t="inlineStr">
        <is>
          <t>Investimento</t>
        </is>
      </c>
      <c r="D176" s="34" t="inlineStr">
        <is>
          <t>Investimento</t>
        </is>
      </c>
      <c r="E176" s="34" t="n"/>
      <c r="F176" s="34" t="inlineStr">
        <is>
          <t>Conta Corrente Banco Azul</t>
        </is>
      </c>
      <c r="G176" s="34" t="inlineStr">
        <is>
          <t>Transferência</t>
        </is>
      </c>
      <c r="H176" s="37" t="n"/>
      <c r="I176" s="37" t="n"/>
      <c r="J176" s="34" t="inlineStr">
        <is>
          <t>Pago</t>
        </is>
      </c>
      <c r="K176" s="34" t="n"/>
      <c r="L176" s="34" t="inlineStr">
        <is>
          <t>MBA</t>
        </is>
      </c>
      <c r="M176" s="39" t="inlineStr">
        <is>
          <t>EXEMPLO</t>
        </is>
      </c>
      <c r="N176" s="35" t="n">
        <v>150</v>
      </c>
      <c r="O176" s="40">
        <f>IF($A176="","",MONTH($A176))</f>
        <v>1</v>
      </c>
      <c r="P176" s="40">
        <f>IF($A176="","",YEAR($A176))</f>
        <v>2026</v>
      </c>
      <c r="Q176" s="41">
        <f>IF($A176="","",DATE(P176,O176,1))</f>
        <v>46023.0</v>
      </c>
      <c r="R176" s="36">
        <f>IF(OR($A176="",$N176=""),"",IF(AND($C176&lt;&gt;"Transferência",N($I176)&gt;1),$N176/$I176,$N176))</f>
        <v>150</v>
      </c>
      <c r="S176" s="41" t="str">
        <f>IF(OR($A176="",$F176="",$C176&lt;&gt;"Despesa"),"",IF(COUNTIF(Cartoes_Nome,$F176)=0,"",DATE(P176,O176+IF(DAY($A176)&gt;=INDEX(Cartoes_Fech,MATCH($F176,Cartoes_Nome,0)),1,0),1)))</f>
        <v/>
      </c>
      <c r="T176" s="42" t="str">
        <f>IF($A176="","",IF(COUNTIFS(L_Data,$A176,L_Desc,$B176,L_Valor,$N176,L_Tipo,$C176)&gt;1,"⚠ Possível duplicidade",IF(OR(AND($C176="Despesa",COUNTIF(CatD_Nome,$D176)=0),AND($C176="Receita",COUNTIF(CatR_Nome,$D176)=0)),"⚠ Categoria não combina com o tipo",IF(OR($N176="",$C176=""),"⚠ Falta valor ou tipo",""))))</f>
        <v/>
      </c>
      <c r="U176" s="40">
        <f>IF($A176="",0,P176*12+O176)</f>
        <v>24313</v>
      </c>
      <c r="V176" s="40">
        <f>IF($A176="",0,U176+MAX(0,N($I176)-MAX(N($H176),1)))</f>
        <v>24313</v>
      </c>
      <c r="W176" s="40">
        <f>IF(S176="",0,YEAR(S176)*12+MONTH(S176))</f>
        <v>0</v>
      </c>
      <c r="X176" s="40">
        <f>IF(W176=0,0,W176+V176-U176)</f>
        <v>0</v>
      </c>
      <c r="Y176" s="36">
        <f>IF(W176=0,0,N(R176)*MAX(0,X176-MAX(W176,YEAR(Cfg_Hoje)*12+MONTH(Cfg_Hoje)+IF(DAY(Cfg_Hoje)&gt;=INDEX(Cartoes_Fech,MATCH($F176,Cartoes_Nome,0)),1,0))+1))</f>
        <v>0</v>
      </c>
      <c r="Z176" s="40">
        <f>IF($A176="",0,DAY($A176))</f>
        <v>6</v>
      </c>
      <c r="AA176" s="40">
        <f>IF($A176="",0,WEEKDAY($A176))</f>
        <v>3</v>
      </c>
      <c r="AB176" s="36">
        <f>IF(AND($C176="Despesa",U176&gt;0,U176&lt;=Sel_Idx,V176&gt;=Sel_Idx),N(R176)+ROW()/1000000000,0)</f>
        <v>0</v>
      </c>
      <c r="AC176" s="40">
        <f>IF(AND($C176="Despesa",U176&gt;0,U176&lt;=Sel_Idx,V176&gt;=Sel_Idx),Z176*10000+ROW(),0)</f>
        <v>0</v>
      </c>
      <c r="AD176" s="40">
        <f>IF(AC176=0,0,COUNTIFS(L_CalChave,"&gt;0",L_CalChave,"&lt;"&amp;AC176)+1)</f>
        <v>0</v>
      </c>
    </row>
    <row r="177">
      <c r="A177" s="38" t="n">
        <v>46028</v>
      </c>
      <c r="B177" s="39" t="inlineStr">
        <is>
          <t>Aporte - aposentadoria (PGBL)</t>
        </is>
      </c>
      <c r="C177" s="34" t="inlineStr">
        <is>
          <t>Investimento</t>
        </is>
      </c>
      <c r="D177" s="34" t="inlineStr">
        <is>
          <t>Investimento</t>
        </is>
      </c>
      <c r="E177" s="34" t="n"/>
      <c r="F177" s="34" t="inlineStr">
        <is>
          <t>Conta Corrente Banco Azul</t>
        </is>
      </c>
      <c r="G177" s="34" t="inlineStr">
        <is>
          <t>Transferência</t>
        </is>
      </c>
      <c r="H177" s="37" t="n"/>
      <c r="I177" s="37" t="n"/>
      <c r="J177" s="34" t="inlineStr">
        <is>
          <t>Pago</t>
        </is>
      </c>
      <c r="K177" s="34" t="n"/>
      <c r="L177" s="34" t="inlineStr">
        <is>
          <t>Aposentadoria</t>
        </is>
      </c>
      <c r="M177" s="39" t="inlineStr">
        <is>
          <t>EXEMPLO</t>
        </is>
      </c>
      <c r="N177" s="35" t="n">
        <v>300</v>
      </c>
      <c r="O177" s="40">
        <f>IF($A177="","",MONTH($A177))</f>
        <v>1</v>
      </c>
      <c r="P177" s="40">
        <f>IF($A177="","",YEAR($A177))</f>
        <v>2026</v>
      </c>
      <c r="Q177" s="41">
        <f>IF($A177="","",DATE(P177,O177,1))</f>
        <v>46023.0</v>
      </c>
      <c r="R177" s="36">
        <f>IF(OR($A177="",$N177=""),"",IF(AND($C177&lt;&gt;"Transferência",N($I177)&gt;1),$N177/$I177,$N177))</f>
        <v>300</v>
      </c>
      <c r="S177" s="41" t="str">
        <f>IF(OR($A177="",$F177="",$C177&lt;&gt;"Despesa"),"",IF(COUNTIF(Cartoes_Nome,$F177)=0,"",DATE(P177,O177+IF(DAY($A177)&gt;=INDEX(Cartoes_Fech,MATCH($F177,Cartoes_Nome,0)),1,0),1)))</f>
        <v/>
      </c>
      <c r="T177" s="42" t="str">
        <f>IF($A177="","",IF(COUNTIFS(L_Data,$A177,L_Desc,$B177,L_Valor,$N177,L_Tipo,$C177)&gt;1,"⚠ Possível duplicidade",IF(OR(AND($C177="Despesa",COUNTIF(CatD_Nome,$D177)=0),AND($C177="Receita",COUNTIF(CatR_Nome,$D177)=0)),"⚠ Categoria não combina com o tipo",IF(OR($N177="",$C177=""),"⚠ Falta valor ou tipo",""))))</f>
        <v/>
      </c>
      <c r="U177" s="40">
        <f>IF($A177="",0,P177*12+O177)</f>
        <v>24313</v>
      </c>
      <c r="V177" s="40">
        <f>IF($A177="",0,U177+MAX(0,N($I177)-MAX(N($H177),1)))</f>
        <v>24313</v>
      </c>
      <c r="W177" s="40">
        <f>IF(S177="",0,YEAR(S177)*12+MONTH(S177))</f>
        <v>0</v>
      </c>
      <c r="X177" s="40">
        <f>IF(W177=0,0,W177+V177-U177)</f>
        <v>0</v>
      </c>
      <c r="Y177" s="36">
        <f>IF(W177=0,0,N(R177)*MAX(0,X177-MAX(W177,YEAR(Cfg_Hoje)*12+MONTH(Cfg_Hoje)+IF(DAY(Cfg_Hoje)&gt;=INDEX(Cartoes_Fech,MATCH($F177,Cartoes_Nome,0)),1,0))+1))</f>
        <v>0</v>
      </c>
      <c r="Z177" s="40">
        <f>IF($A177="",0,DAY($A177))</f>
        <v>6</v>
      </c>
      <c r="AA177" s="40">
        <f>IF($A177="",0,WEEKDAY($A177))</f>
        <v>3</v>
      </c>
      <c r="AB177" s="36">
        <f>IF(AND($C177="Despesa",U177&gt;0,U177&lt;=Sel_Idx,V177&gt;=Sel_Idx),N(R177)+ROW()/1000000000,0)</f>
        <v>0</v>
      </c>
      <c r="AC177" s="40">
        <f>IF(AND($C177="Despesa",U177&gt;0,U177&lt;=Sel_Idx,V177&gt;=Sel_Idx),Z177*10000+ROW(),0)</f>
        <v>0</v>
      </c>
      <c r="AD177" s="40">
        <f>IF(AC177=0,0,COUNTIFS(L_CalChave,"&gt;0",L_CalChave,"&lt;"&amp;AC177)+1)</f>
        <v>0</v>
      </c>
    </row>
    <row r="178">
      <c r="A178" s="38" t="n">
        <v>46028</v>
      </c>
      <c r="B178" s="39" t="inlineStr">
        <is>
          <t>Aporte - reserva de emergência</t>
        </is>
      </c>
      <c r="C178" s="34" t="inlineStr">
        <is>
          <t>Investimento</t>
        </is>
      </c>
      <c r="D178" s="34" t="inlineStr">
        <is>
          <t>Investimento</t>
        </is>
      </c>
      <c r="E178" s="34" t="n"/>
      <c r="F178" s="34" t="inlineStr">
        <is>
          <t>Conta Corrente Banco Azul</t>
        </is>
      </c>
      <c r="G178" s="34" t="inlineStr">
        <is>
          <t>Transferência</t>
        </is>
      </c>
      <c r="H178" s="37" t="n"/>
      <c r="I178" s="37" t="n"/>
      <c r="J178" s="34" t="inlineStr">
        <is>
          <t>Pago</t>
        </is>
      </c>
      <c r="K178" s="34" t="n"/>
      <c r="L178" s="34" t="inlineStr">
        <is>
          <t>Reserva de emergência</t>
        </is>
      </c>
      <c r="M178" s="39" t="inlineStr">
        <is>
          <t>EXEMPLO</t>
        </is>
      </c>
      <c r="N178" s="35" t="n">
        <v>700</v>
      </c>
      <c r="O178" s="40">
        <f>IF($A178="","",MONTH($A178))</f>
        <v>1</v>
      </c>
      <c r="P178" s="40">
        <f>IF($A178="","",YEAR($A178))</f>
        <v>2026</v>
      </c>
      <c r="Q178" s="41">
        <f>IF($A178="","",DATE(P178,O178,1))</f>
        <v>46023.0</v>
      </c>
      <c r="R178" s="36">
        <f>IF(OR($A178="",$N178=""),"",IF(AND($C178&lt;&gt;"Transferência",N($I178)&gt;1),$N178/$I178,$N178))</f>
        <v>700</v>
      </c>
      <c r="S178" s="41" t="str">
        <f>IF(OR($A178="",$F178="",$C178&lt;&gt;"Despesa"),"",IF(COUNTIF(Cartoes_Nome,$F178)=0,"",DATE(P178,O178+IF(DAY($A178)&gt;=INDEX(Cartoes_Fech,MATCH($F178,Cartoes_Nome,0)),1,0),1)))</f>
        <v/>
      </c>
      <c r="T178" s="42" t="str">
        <f>IF($A178="","",IF(COUNTIFS(L_Data,$A178,L_Desc,$B178,L_Valor,$N178,L_Tipo,$C178)&gt;1,"⚠ Possível duplicidade",IF(OR(AND($C178="Despesa",COUNTIF(CatD_Nome,$D178)=0),AND($C178="Receita",COUNTIF(CatR_Nome,$D178)=0)),"⚠ Categoria não combina com o tipo",IF(OR($N178="",$C178=""),"⚠ Falta valor ou tipo",""))))</f>
        <v/>
      </c>
      <c r="U178" s="40">
        <f>IF($A178="",0,P178*12+O178)</f>
        <v>24313</v>
      </c>
      <c r="V178" s="40">
        <f>IF($A178="",0,U178+MAX(0,N($I178)-MAX(N($H178),1)))</f>
        <v>24313</v>
      </c>
      <c r="W178" s="40">
        <f>IF(S178="",0,YEAR(S178)*12+MONTH(S178))</f>
        <v>0</v>
      </c>
      <c r="X178" s="40">
        <f>IF(W178=0,0,W178+V178-U178)</f>
        <v>0</v>
      </c>
      <c r="Y178" s="36">
        <f>IF(W178=0,0,N(R178)*MAX(0,X178-MAX(W178,YEAR(Cfg_Hoje)*12+MONTH(Cfg_Hoje)+IF(DAY(Cfg_Hoje)&gt;=INDEX(Cartoes_Fech,MATCH($F178,Cartoes_Nome,0)),1,0))+1))</f>
        <v>0</v>
      </c>
      <c r="Z178" s="40">
        <f>IF($A178="",0,DAY($A178))</f>
        <v>6</v>
      </c>
      <c r="AA178" s="40">
        <f>IF($A178="",0,WEEKDAY($A178))</f>
        <v>3</v>
      </c>
      <c r="AB178" s="36">
        <f>IF(AND($C178="Despesa",U178&gt;0,U178&lt;=Sel_Idx,V178&gt;=Sel_Idx),N(R178)+ROW()/1000000000,0)</f>
        <v>0</v>
      </c>
      <c r="AC178" s="40">
        <f>IF(AND($C178="Despesa",U178&gt;0,U178&lt;=Sel_Idx,V178&gt;=Sel_Idx),Z178*10000+ROW(),0)</f>
        <v>0</v>
      </c>
      <c r="AD178" s="40">
        <f>IF(AC178=0,0,COUNTIFS(L_CalChave,"&gt;0",L_CalChave,"&lt;"&amp;AC178)+1)</f>
        <v>0</v>
      </c>
    </row>
    <row r="179">
      <c r="A179" s="38" t="n">
        <v>46028</v>
      </c>
      <c r="B179" s="39" t="inlineStr">
        <is>
          <t>Aporte - troca de carro</t>
        </is>
      </c>
      <c r="C179" s="34" t="inlineStr">
        <is>
          <t>Investimento</t>
        </is>
      </c>
      <c r="D179" s="34" t="inlineStr">
        <is>
          <t>Investimento</t>
        </is>
      </c>
      <c r="E179" s="34" t="n"/>
      <c r="F179" s="34" t="inlineStr">
        <is>
          <t>Conta Corrente Banco Azul</t>
        </is>
      </c>
      <c r="G179" s="34" t="inlineStr">
        <is>
          <t>Transferência</t>
        </is>
      </c>
      <c r="H179" s="37" t="n"/>
      <c r="I179" s="37" t="n"/>
      <c r="J179" s="34" t="inlineStr">
        <is>
          <t>Pago</t>
        </is>
      </c>
      <c r="K179" s="34" t="n"/>
      <c r="L179" s="34" t="inlineStr">
        <is>
          <t>Troca de carro</t>
        </is>
      </c>
      <c r="M179" s="39" t="inlineStr">
        <is>
          <t>EXEMPLO</t>
        </is>
      </c>
      <c r="N179" s="35" t="n">
        <v>200</v>
      </c>
      <c r="O179" s="40">
        <f>IF($A179="","",MONTH($A179))</f>
        <v>1</v>
      </c>
      <c r="P179" s="40">
        <f>IF($A179="","",YEAR($A179))</f>
        <v>2026</v>
      </c>
      <c r="Q179" s="41">
        <f>IF($A179="","",DATE(P179,O179,1))</f>
        <v>46023.0</v>
      </c>
      <c r="R179" s="36">
        <f>IF(OR($A179="",$N179=""),"",IF(AND($C179&lt;&gt;"Transferência",N($I179)&gt;1),$N179/$I179,$N179))</f>
        <v>200</v>
      </c>
      <c r="S179" s="41" t="str">
        <f>IF(OR($A179="",$F179="",$C179&lt;&gt;"Despesa"),"",IF(COUNTIF(Cartoes_Nome,$F179)=0,"",DATE(P179,O179+IF(DAY($A179)&gt;=INDEX(Cartoes_Fech,MATCH($F179,Cartoes_Nome,0)),1,0),1)))</f>
        <v/>
      </c>
      <c r="T179" s="42" t="str">
        <f>IF($A179="","",IF(COUNTIFS(L_Data,$A179,L_Desc,$B179,L_Valor,$N179,L_Tipo,$C179)&gt;1,"⚠ Possível duplicidade",IF(OR(AND($C179="Despesa",COUNTIF(CatD_Nome,$D179)=0),AND($C179="Receita",COUNTIF(CatR_Nome,$D179)=0)),"⚠ Categoria não combina com o tipo",IF(OR($N179="",$C179=""),"⚠ Falta valor ou tipo",""))))</f>
        <v/>
      </c>
      <c r="U179" s="40">
        <f>IF($A179="",0,P179*12+O179)</f>
        <v>24313</v>
      </c>
      <c r="V179" s="40">
        <f>IF($A179="",0,U179+MAX(0,N($I179)-MAX(N($H179),1)))</f>
        <v>24313</v>
      </c>
      <c r="W179" s="40">
        <f>IF(S179="",0,YEAR(S179)*12+MONTH(S179))</f>
        <v>0</v>
      </c>
      <c r="X179" s="40">
        <f>IF(W179=0,0,W179+V179-U179)</f>
        <v>0</v>
      </c>
      <c r="Y179" s="36">
        <f>IF(W179=0,0,N(R179)*MAX(0,X179-MAX(W179,YEAR(Cfg_Hoje)*12+MONTH(Cfg_Hoje)+IF(DAY(Cfg_Hoje)&gt;=INDEX(Cartoes_Fech,MATCH($F179,Cartoes_Nome,0)),1,0))+1))</f>
        <v>0</v>
      </c>
      <c r="Z179" s="40">
        <f>IF($A179="",0,DAY($A179))</f>
        <v>6</v>
      </c>
      <c r="AA179" s="40">
        <f>IF($A179="",0,WEEKDAY($A179))</f>
        <v>3</v>
      </c>
      <c r="AB179" s="36">
        <f>IF(AND($C179="Despesa",U179&gt;0,U179&lt;=Sel_Idx,V179&gt;=Sel_Idx),N(R179)+ROW()/1000000000,0)</f>
        <v>0</v>
      </c>
      <c r="AC179" s="40">
        <f>IF(AND($C179="Despesa",U179&gt;0,U179&lt;=Sel_Idx,V179&gt;=Sel_Idx),Z179*10000+ROW(),0)</f>
        <v>0</v>
      </c>
      <c r="AD179" s="40">
        <f>IF(AC179=0,0,COUNTIFS(L_CalChave,"&gt;0",L_CalChave,"&lt;"&amp;AC179)+1)</f>
        <v>0</v>
      </c>
    </row>
    <row r="180">
      <c r="A180" s="38" t="n">
        <v>46028</v>
      </c>
      <c r="B180" s="39" t="inlineStr">
        <is>
          <t>Aporte - viagem</t>
        </is>
      </c>
      <c r="C180" s="34" t="inlineStr">
        <is>
          <t>Investimento</t>
        </is>
      </c>
      <c r="D180" s="34" t="inlineStr">
        <is>
          <t>Investimento</t>
        </is>
      </c>
      <c r="E180" s="34" t="n"/>
      <c r="F180" s="34" t="inlineStr">
        <is>
          <t>Conta Corrente Banco Azul</t>
        </is>
      </c>
      <c r="G180" s="34" t="inlineStr">
        <is>
          <t>Transferência</t>
        </is>
      </c>
      <c r="H180" s="37" t="n"/>
      <c r="I180" s="37" t="n"/>
      <c r="J180" s="34" t="inlineStr">
        <is>
          <t>Pago</t>
        </is>
      </c>
      <c r="K180" s="34" t="n"/>
      <c r="L180" s="34" t="inlineStr">
        <is>
          <t>Viagem Europa</t>
        </is>
      </c>
      <c r="M180" s="39" t="inlineStr">
        <is>
          <t>EXEMPLO</t>
        </is>
      </c>
      <c r="N180" s="35" t="n">
        <v>300</v>
      </c>
      <c r="O180" s="40">
        <f>IF($A180="","",MONTH($A180))</f>
        <v>1</v>
      </c>
      <c r="P180" s="40">
        <f>IF($A180="","",YEAR($A180))</f>
        <v>2026</v>
      </c>
      <c r="Q180" s="41">
        <f>IF($A180="","",DATE(P180,O180,1))</f>
        <v>46023.0</v>
      </c>
      <c r="R180" s="36">
        <f>IF(OR($A180="",$N180=""),"",IF(AND($C180&lt;&gt;"Transferência",N($I180)&gt;1),$N180/$I180,$N180))</f>
        <v>300</v>
      </c>
      <c r="S180" s="41" t="str">
        <f>IF(OR($A180="",$F180="",$C180&lt;&gt;"Despesa"),"",IF(COUNTIF(Cartoes_Nome,$F180)=0,"",DATE(P180,O180+IF(DAY($A180)&gt;=INDEX(Cartoes_Fech,MATCH($F180,Cartoes_Nome,0)),1,0),1)))</f>
        <v/>
      </c>
      <c r="T180" s="42" t="str">
        <f>IF($A180="","",IF(COUNTIFS(L_Data,$A180,L_Desc,$B180,L_Valor,$N180,L_Tipo,$C180)&gt;1,"⚠ Possível duplicidade",IF(OR(AND($C180="Despesa",COUNTIF(CatD_Nome,$D180)=0),AND($C180="Receita",COUNTIF(CatR_Nome,$D180)=0)),"⚠ Categoria não combina com o tipo",IF(OR($N180="",$C180=""),"⚠ Falta valor ou tipo",""))))</f>
        <v/>
      </c>
      <c r="U180" s="40">
        <f>IF($A180="",0,P180*12+O180)</f>
        <v>24313</v>
      </c>
      <c r="V180" s="40">
        <f>IF($A180="",0,U180+MAX(0,N($I180)-MAX(N($H180),1)))</f>
        <v>24313</v>
      </c>
      <c r="W180" s="40">
        <f>IF(S180="",0,YEAR(S180)*12+MONTH(S180))</f>
        <v>0</v>
      </c>
      <c r="X180" s="40">
        <f>IF(W180=0,0,W180+V180-U180)</f>
        <v>0</v>
      </c>
      <c r="Y180" s="36">
        <f>IF(W180=0,0,N(R180)*MAX(0,X180-MAX(W180,YEAR(Cfg_Hoje)*12+MONTH(Cfg_Hoje)+IF(DAY(Cfg_Hoje)&gt;=INDEX(Cartoes_Fech,MATCH($F180,Cartoes_Nome,0)),1,0))+1))</f>
        <v>0</v>
      </c>
      <c r="Z180" s="40">
        <f>IF($A180="",0,DAY($A180))</f>
        <v>6</v>
      </c>
      <c r="AA180" s="40">
        <f>IF($A180="",0,WEEKDAY($A180))</f>
        <v>3</v>
      </c>
      <c r="AB180" s="36">
        <f>IF(AND($C180="Despesa",U180&gt;0,U180&lt;=Sel_Idx,V180&gt;=Sel_Idx),N(R180)+ROW()/1000000000,0)</f>
        <v>0</v>
      </c>
      <c r="AC180" s="40">
        <f>IF(AND($C180="Despesa",U180&gt;0,U180&lt;=Sel_Idx,V180&gt;=Sel_Idx),Z180*10000+ROW(),0)</f>
        <v>0</v>
      </c>
      <c r="AD180" s="40">
        <f>IF(AC180=0,0,COUNTIFS(L_CalChave,"&gt;0",L_CalChave,"&lt;"&amp;AC180)+1)</f>
        <v>0</v>
      </c>
    </row>
    <row r="181">
      <c r="A181" s="38" t="n">
        <v>46028</v>
      </c>
      <c r="B181" s="39" t="inlineStr">
        <is>
          <t>Despesa diversa</t>
        </is>
      </c>
      <c r="C181" s="34" t="inlineStr">
        <is>
          <t>Despesa</t>
        </is>
      </c>
      <c r="D181" s="34" t="inlineStr">
        <is>
          <t>Outros</t>
        </is>
      </c>
      <c r="E181" s="34" t="n"/>
      <c r="F181" s="34" t="inlineStr">
        <is>
          <t>Conta Corrente Banco Azul</t>
        </is>
      </c>
      <c r="G181" s="34" t="inlineStr">
        <is>
          <t>Pix</t>
        </is>
      </c>
      <c r="H181" s="37" t="n"/>
      <c r="I181" s="37" t="n"/>
      <c r="J181" s="34" t="inlineStr">
        <is>
          <t>Pago</t>
        </is>
      </c>
      <c r="K181" s="34" t="n"/>
      <c r="L181" s="34" t="n"/>
      <c r="M181" s="39" t="inlineStr">
        <is>
          <t>EXEMPLO</t>
        </is>
      </c>
      <c r="N181" s="35" t="n">
        <v>66.23</v>
      </c>
      <c r="O181" s="40">
        <f>IF($A181="","",MONTH($A181))</f>
        <v>1</v>
      </c>
      <c r="P181" s="40">
        <f>IF($A181="","",YEAR($A181))</f>
        <v>2026</v>
      </c>
      <c r="Q181" s="41">
        <f>IF($A181="","",DATE(P181,O181,1))</f>
        <v>46023.0</v>
      </c>
      <c r="R181" s="36">
        <f>IF(OR($A181="",$N181=""),"",IF(AND($C181&lt;&gt;"Transferência",N($I181)&gt;1),$N181/$I181,$N181))</f>
        <v>66.23</v>
      </c>
      <c r="S181" s="41" t="str">
        <f>IF(OR($A181="",$F181="",$C181&lt;&gt;"Despesa"),"",IF(COUNTIF(Cartoes_Nome,$F181)=0,"",DATE(P181,O181+IF(DAY($A181)&gt;=INDEX(Cartoes_Fech,MATCH($F181,Cartoes_Nome,0)),1,0),1)))</f>
        <v/>
      </c>
      <c r="T181" s="42" t="str">
        <f>IF($A181="","",IF(COUNTIFS(L_Data,$A181,L_Desc,$B181,L_Valor,$N181,L_Tipo,$C181)&gt;1,"⚠ Possível duplicidade",IF(OR(AND($C181="Despesa",COUNTIF(CatD_Nome,$D181)=0),AND($C181="Receita",COUNTIF(CatR_Nome,$D181)=0)),"⚠ Categoria não combina com o tipo",IF(OR($N181="",$C181=""),"⚠ Falta valor ou tipo",""))))</f>
        <v/>
      </c>
      <c r="U181" s="40">
        <f>IF($A181="",0,P181*12+O181)</f>
        <v>24313</v>
      </c>
      <c r="V181" s="40">
        <f>IF($A181="",0,U181+MAX(0,N($I181)-MAX(N($H181),1)))</f>
        <v>24313</v>
      </c>
      <c r="W181" s="40">
        <f>IF(S181="",0,YEAR(S181)*12+MONTH(S181))</f>
        <v>0</v>
      </c>
      <c r="X181" s="40">
        <f>IF(W181=0,0,W181+V181-U181)</f>
        <v>0</v>
      </c>
      <c r="Y181" s="36">
        <f>IF(W181=0,0,N(R181)*MAX(0,X181-MAX(W181,YEAR(Cfg_Hoje)*12+MONTH(Cfg_Hoje)+IF(DAY(Cfg_Hoje)&gt;=INDEX(Cartoes_Fech,MATCH($F181,Cartoes_Nome,0)),1,0))+1))</f>
        <v>0</v>
      </c>
      <c r="Z181" s="40">
        <f>IF($A181="",0,DAY($A181))</f>
        <v>6</v>
      </c>
      <c r="AA181" s="40">
        <f>IF($A181="",0,WEEKDAY($A181))</f>
        <v>3</v>
      </c>
      <c r="AB181" s="36">
        <f>IF(AND($C181="Despesa",U181&gt;0,U181&lt;=Sel_Idx,V181&gt;=Sel_Idx),N(R181)+ROW()/1000000000,0)</f>
        <v>0</v>
      </c>
      <c r="AC181" s="40">
        <f>IF(AND($C181="Despesa",U181&gt;0,U181&lt;=Sel_Idx,V181&gt;=Sel_Idx),Z181*10000+ROW(),0)</f>
        <v>0</v>
      </c>
      <c r="AD181" s="40">
        <f>IF(AC181=0,0,COUNTIFS(L_CalChave,"&gt;0",L_CalChave,"&lt;"&amp;AC181)+1)</f>
        <v>0</v>
      </c>
    </row>
    <row r="182">
      <c r="A182" s="38" t="n">
        <v>46029</v>
      </c>
      <c r="B182" s="39" t="inlineStr">
        <is>
          <t>Doação mensal</t>
        </is>
      </c>
      <c r="C182" s="34" t="inlineStr">
        <is>
          <t>Despesa</t>
        </is>
      </c>
      <c r="D182" s="34" t="inlineStr">
        <is>
          <t>Doações</t>
        </is>
      </c>
      <c r="E182" s="34" t="inlineStr">
        <is>
          <t>ONG</t>
        </is>
      </c>
      <c r="F182" s="34" t="inlineStr">
        <is>
          <t>Conta Corrente Banco Azul</t>
        </is>
      </c>
      <c r="G182" s="34" t="inlineStr">
        <is>
          <t>Pix</t>
        </is>
      </c>
      <c r="H182" s="37" t="n"/>
      <c r="I182" s="37" t="n"/>
      <c r="J182" s="34" t="inlineStr">
        <is>
          <t>Pago</t>
        </is>
      </c>
      <c r="K182" s="34" t="n"/>
      <c r="L182" s="34" t="n"/>
      <c r="M182" s="39" t="inlineStr">
        <is>
          <t>EXEMPLO</t>
        </is>
      </c>
      <c r="N182" s="35" t="n">
        <v>100</v>
      </c>
      <c r="O182" s="40">
        <f>IF($A182="","",MONTH($A182))</f>
        <v>1</v>
      </c>
      <c r="P182" s="40">
        <f>IF($A182="","",YEAR($A182))</f>
        <v>2026</v>
      </c>
      <c r="Q182" s="41">
        <f>IF($A182="","",DATE(P182,O182,1))</f>
        <v>46023.0</v>
      </c>
      <c r="R182" s="36">
        <f>IF(OR($A182="",$N182=""),"",IF(AND($C182&lt;&gt;"Transferência",N($I182)&gt;1),$N182/$I182,$N182))</f>
        <v>100</v>
      </c>
      <c r="S182" s="41" t="str">
        <f>IF(OR($A182="",$F182="",$C182&lt;&gt;"Despesa"),"",IF(COUNTIF(Cartoes_Nome,$F182)=0,"",DATE(P182,O182+IF(DAY($A182)&gt;=INDEX(Cartoes_Fech,MATCH($F182,Cartoes_Nome,0)),1,0),1)))</f>
        <v/>
      </c>
      <c r="T182" s="42" t="str">
        <f>IF($A182="","",IF(COUNTIFS(L_Data,$A182,L_Desc,$B182,L_Valor,$N182,L_Tipo,$C182)&gt;1,"⚠ Possível duplicidade",IF(OR(AND($C182="Despesa",COUNTIF(CatD_Nome,$D182)=0),AND($C182="Receita",COUNTIF(CatR_Nome,$D182)=0)),"⚠ Categoria não combina com o tipo",IF(OR($N182="",$C182=""),"⚠ Falta valor ou tipo",""))))</f>
        <v/>
      </c>
      <c r="U182" s="40">
        <f>IF($A182="",0,P182*12+O182)</f>
        <v>24313</v>
      </c>
      <c r="V182" s="40">
        <f>IF($A182="",0,U182+MAX(0,N($I182)-MAX(N($H182),1)))</f>
        <v>24313</v>
      </c>
      <c r="W182" s="40">
        <f>IF(S182="",0,YEAR(S182)*12+MONTH(S182))</f>
        <v>0</v>
      </c>
      <c r="X182" s="40">
        <f>IF(W182=0,0,W182+V182-U182)</f>
        <v>0</v>
      </c>
      <c r="Y182" s="36">
        <f>IF(W182=0,0,N(R182)*MAX(0,X182-MAX(W182,YEAR(Cfg_Hoje)*12+MONTH(Cfg_Hoje)+IF(DAY(Cfg_Hoje)&gt;=INDEX(Cartoes_Fech,MATCH($F182,Cartoes_Nome,0)),1,0))+1))</f>
        <v>0</v>
      </c>
      <c r="Z182" s="40">
        <f>IF($A182="",0,DAY($A182))</f>
        <v>7</v>
      </c>
      <c r="AA182" s="40">
        <f>IF($A182="",0,WEEKDAY($A182))</f>
        <v>4</v>
      </c>
      <c r="AB182" s="36">
        <f>IF(AND($C182="Despesa",U182&gt;0,U182&lt;=Sel_Idx,V182&gt;=Sel_Idx),N(R182)+ROW()/1000000000,0)</f>
        <v>0</v>
      </c>
      <c r="AC182" s="40">
        <f>IF(AND($C182="Despesa",U182&gt;0,U182&lt;=Sel_Idx,V182&gt;=Sel_Idx),Z182*10000+ROW(),0)</f>
        <v>0</v>
      </c>
      <c r="AD182" s="40">
        <f>IF(AC182=0,0,COUNTIFS(L_CalChave,"&gt;0",L_CalChave,"&lt;"&amp;AC182)+1)</f>
        <v>0</v>
      </c>
    </row>
    <row r="183">
      <c r="A183" s="38" t="n">
        <v>46029</v>
      </c>
      <c r="B183" s="39" t="inlineStr">
        <is>
          <t>Farmácia</t>
        </is>
      </c>
      <c r="C183" s="34" t="inlineStr">
        <is>
          <t>Despesa</t>
        </is>
      </c>
      <c r="D183" s="34" t="inlineStr">
        <is>
          <t>Saúde</t>
        </is>
      </c>
      <c r="E183" s="34" t="inlineStr">
        <is>
          <t>Farmácia</t>
        </is>
      </c>
      <c r="F183" s="34" t="inlineStr">
        <is>
          <t>Cartão Azul Gold</t>
        </is>
      </c>
      <c r="G183" s="34" t="inlineStr">
        <is>
          <t>Crédito</t>
        </is>
      </c>
      <c r="H183" s="37" t="n"/>
      <c r="I183" s="37" t="n"/>
      <c r="J183" s="34" t="inlineStr">
        <is>
          <t>Pago</t>
        </is>
      </c>
      <c r="K183" s="34" t="n"/>
      <c r="L183" s="34" t="n"/>
      <c r="M183" s="39" t="inlineStr">
        <is>
          <t>EXEMPLO</t>
        </is>
      </c>
      <c r="N183" s="35" t="n">
        <v>113.06</v>
      </c>
      <c r="O183" s="40">
        <f>IF($A183="","",MONTH($A183))</f>
        <v>1</v>
      </c>
      <c r="P183" s="40">
        <f>IF($A183="","",YEAR($A183))</f>
        <v>2026</v>
      </c>
      <c r="Q183" s="41">
        <f>IF($A183="","",DATE(P183,O183,1))</f>
        <v>46023.0</v>
      </c>
      <c r="R183" s="36">
        <f>IF(OR($A183="",$N183=""),"",IF(AND($C183&lt;&gt;"Transferência",N($I183)&gt;1),$N183/$I183,$N183))</f>
        <v>113.06</v>
      </c>
      <c r="S183" s="41">
        <f>IF(OR($A183="",$F183="",$C183&lt;&gt;"Despesa"),"",IF(COUNTIF(Cartoes_Nome,$F183)=0,"",DATE(P183,O183+IF(DAY($A183)&gt;=INDEX(Cartoes_Fech,MATCH($F183,Cartoes_Nome,0)),1,0),1)))</f>
        <v>46023.0</v>
      </c>
      <c r="T183" s="42" t="str">
        <f>IF($A183="","",IF(COUNTIFS(L_Data,$A183,L_Desc,$B183,L_Valor,$N183,L_Tipo,$C183)&gt;1,"⚠ Possível duplicidade",IF(OR(AND($C183="Despesa",COUNTIF(CatD_Nome,$D183)=0),AND($C183="Receita",COUNTIF(CatR_Nome,$D183)=0)),"⚠ Categoria não combina com o tipo",IF(OR($N183="",$C183=""),"⚠ Falta valor ou tipo",""))))</f>
        <v/>
      </c>
      <c r="U183" s="40">
        <f>IF($A183="",0,P183*12+O183)</f>
        <v>24313</v>
      </c>
      <c r="V183" s="40">
        <f>IF($A183="",0,U183+MAX(0,N($I183)-MAX(N($H183),1)))</f>
        <v>24313</v>
      </c>
      <c r="W183" s="40">
        <f>IF(S183="",0,YEAR(S183)*12+MONTH(S183))</f>
        <v>24313</v>
      </c>
      <c r="X183" s="40">
        <f>IF(W183=0,0,W183+V183-U183)</f>
        <v>24313</v>
      </c>
      <c r="Y183" s="36">
        <f>IF(W183=0,0,N(R183)*MAX(0,X183-MAX(W183,YEAR(Cfg_Hoje)*12+MONTH(Cfg_Hoje)+IF(DAY(Cfg_Hoje)&gt;=INDEX(Cartoes_Fech,MATCH($F183,Cartoes_Nome,0)),1,0))+1))</f>
        <v>0</v>
      </c>
      <c r="Z183" s="40">
        <f>IF($A183="",0,DAY($A183))</f>
        <v>7</v>
      </c>
      <c r="AA183" s="40">
        <f>IF($A183="",0,WEEKDAY($A183))</f>
        <v>4</v>
      </c>
      <c r="AB183" s="36">
        <f>IF(AND($C183="Despesa",U183&gt;0,U183&lt;=Sel_Idx,V183&gt;=Sel_Idx),N(R183)+ROW()/1000000000,0)</f>
        <v>0</v>
      </c>
      <c r="AC183" s="40">
        <f>IF(AND($C183="Despesa",U183&gt;0,U183&lt;=Sel_Idx,V183&gt;=Sel_Idx),Z183*10000+ROW(),0)</f>
        <v>0</v>
      </c>
      <c r="AD183" s="40">
        <f>IF(AC183=0,0,COUNTIFS(L_CalChave,"&gt;0",L_CalChave,"&lt;"&amp;AC183)+1)</f>
        <v>0</v>
      </c>
    </row>
    <row r="184">
      <c r="A184" s="38" t="n">
        <v>46030</v>
      </c>
      <c r="B184" s="39" t="inlineStr">
        <is>
          <t>Combustível</t>
        </is>
      </c>
      <c r="C184" s="34" t="inlineStr">
        <is>
          <t>Despesa</t>
        </is>
      </c>
      <c r="D184" s="34" t="inlineStr">
        <is>
          <t>Transporte</t>
        </is>
      </c>
      <c r="E184" s="34" t="inlineStr">
        <is>
          <t>Combustível</t>
        </is>
      </c>
      <c r="F184" s="34" t="inlineStr">
        <is>
          <t>Cartão Roxinho</t>
        </is>
      </c>
      <c r="G184" s="34" t="inlineStr">
        <is>
          <t>Crédito</t>
        </is>
      </c>
      <c r="H184" s="37" t="n"/>
      <c r="I184" s="37" t="n"/>
      <c r="J184" s="34" t="inlineStr">
        <is>
          <t>Pago</t>
        </is>
      </c>
      <c r="K184" s="34" t="n"/>
      <c r="L184" s="34" t="n"/>
      <c r="M184" s="39" t="inlineStr">
        <is>
          <t>EXEMPLO</t>
        </is>
      </c>
      <c r="N184" s="35" t="n">
        <v>211.99</v>
      </c>
      <c r="O184" s="40">
        <f>IF($A184="","",MONTH($A184))</f>
        <v>1</v>
      </c>
      <c r="P184" s="40">
        <f>IF($A184="","",YEAR($A184))</f>
        <v>2026</v>
      </c>
      <c r="Q184" s="41">
        <f>IF($A184="","",DATE(P184,O184,1))</f>
        <v>46023.0</v>
      </c>
      <c r="R184" s="36">
        <f>IF(OR($A184="",$N184=""),"",IF(AND($C184&lt;&gt;"Transferência",N($I184)&gt;1),$N184/$I184,$N184))</f>
        <v>211.99</v>
      </c>
      <c r="S184" s="41">
        <f>IF(OR($A184="",$F184="",$C184&lt;&gt;"Despesa"),"",IF(COUNTIF(Cartoes_Nome,$F184)=0,"",DATE(P184,O184+IF(DAY($A184)&gt;=INDEX(Cartoes_Fech,MATCH($F184,Cartoes_Nome,0)),1,0),1)))</f>
        <v>46023.0</v>
      </c>
      <c r="T184" s="42" t="str">
        <f>IF($A184="","",IF(COUNTIFS(L_Data,$A184,L_Desc,$B184,L_Valor,$N184,L_Tipo,$C184)&gt;1,"⚠ Possível duplicidade",IF(OR(AND($C184="Despesa",COUNTIF(CatD_Nome,$D184)=0),AND($C184="Receita",COUNTIF(CatR_Nome,$D184)=0)),"⚠ Categoria não combina com o tipo",IF(OR($N184="",$C184=""),"⚠ Falta valor ou tipo",""))))</f>
        <v/>
      </c>
      <c r="U184" s="40">
        <f>IF($A184="",0,P184*12+O184)</f>
        <v>24313</v>
      </c>
      <c r="V184" s="40">
        <f>IF($A184="",0,U184+MAX(0,N($I184)-MAX(N($H184),1)))</f>
        <v>24313</v>
      </c>
      <c r="W184" s="40">
        <f>IF(S184="",0,YEAR(S184)*12+MONTH(S184))</f>
        <v>24313</v>
      </c>
      <c r="X184" s="40">
        <f>IF(W184=0,0,W184+V184-U184)</f>
        <v>24313</v>
      </c>
      <c r="Y184" s="36">
        <f>IF(W184=0,0,N(R184)*MAX(0,X184-MAX(W184,YEAR(Cfg_Hoje)*12+MONTH(Cfg_Hoje)+IF(DAY(Cfg_Hoje)&gt;=INDEX(Cartoes_Fech,MATCH($F184,Cartoes_Nome,0)),1,0))+1))</f>
        <v>0</v>
      </c>
      <c r="Z184" s="40">
        <f>IF($A184="",0,DAY($A184))</f>
        <v>8</v>
      </c>
      <c r="AA184" s="40">
        <f>IF($A184="",0,WEEKDAY($A184))</f>
        <v>5</v>
      </c>
      <c r="AB184" s="36">
        <f>IF(AND($C184="Despesa",U184&gt;0,U184&lt;=Sel_Idx,V184&gt;=Sel_Idx),N(R184)+ROW()/1000000000,0)</f>
        <v>0</v>
      </c>
      <c r="AC184" s="40">
        <f>IF(AND($C184="Despesa",U184&gt;0,U184&lt;=Sel_Idx,V184&gt;=Sel_Idx),Z184*10000+ROW(),0)</f>
        <v>0</v>
      </c>
      <c r="AD184" s="40">
        <f>IF(AC184=0,0,COUNTIFS(L_CalChave,"&gt;0",L_CalChave,"&lt;"&amp;AC184)+1)</f>
        <v>0</v>
      </c>
    </row>
    <row r="185">
      <c r="A185" s="38" t="n">
        <v>46030</v>
      </c>
      <c r="B185" s="39" t="inlineStr">
        <is>
          <t>Curso de inglês</t>
        </is>
      </c>
      <c r="C185" s="34" t="inlineStr">
        <is>
          <t>Despesa</t>
        </is>
      </c>
      <c r="D185" s="34" t="inlineStr">
        <is>
          <t>Educação</t>
        </is>
      </c>
      <c r="E185" s="34" t="inlineStr">
        <is>
          <t>Cursos</t>
        </is>
      </c>
      <c r="F185" s="34" t="inlineStr">
        <is>
          <t>Conta Corrente Banco Azul</t>
        </is>
      </c>
      <c r="G185" s="34" t="inlineStr">
        <is>
          <t>Boleto</t>
        </is>
      </c>
      <c r="H185" s="37" t="n"/>
      <c r="I185" s="37" t="n"/>
      <c r="J185" s="34" t="inlineStr">
        <is>
          <t>Pago</t>
        </is>
      </c>
      <c r="K185" s="34" t="n"/>
      <c r="L185" s="34" t="n"/>
      <c r="M185" s="39" t="inlineStr">
        <is>
          <t>EXEMPLO</t>
        </is>
      </c>
      <c r="N185" s="35" t="n">
        <v>390</v>
      </c>
      <c r="O185" s="40">
        <f>IF($A185="","",MONTH($A185))</f>
        <v>1</v>
      </c>
      <c r="P185" s="40">
        <f>IF($A185="","",YEAR($A185))</f>
        <v>2026</v>
      </c>
      <c r="Q185" s="41">
        <f>IF($A185="","",DATE(P185,O185,1))</f>
        <v>46023.0</v>
      </c>
      <c r="R185" s="36">
        <f>IF(OR($A185="",$N185=""),"",IF(AND($C185&lt;&gt;"Transferência",N($I185)&gt;1),$N185/$I185,$N185))</f>
        <v>390</v>
      </c>
      <c r="S185" s="41" t="str">
        <f>IF(OR($A185="",$F185="",$C185&lt;&gt;"Despesa"),"",IF(COUNTIF(Cartoes_Nome,$F185)=0,"",DATE(P185,O185+IF(DAY($A185)&gt;=INDEX(Cartoes_Fech,MATCH($F185,Cartoes_Nome,0)),1,0),1)))</f>
        <v/>
      </c>
      <c r="T185" s="42" t="str">
        <f>IF($A185="","",IF(COUNTIFS(L_Data,$A185,L_Desc,$B185,L_Valor,$N185,L_Tipo,$C185)&gt;1,"⚠ Possível duplicidade",IF(OR(AND($C185="Despesa",COUNTIF(CatD_Nome,$D185)=0),AND($C185="Receita",COUNTIF(CatR_Nome,$D185)=0)),"⚠ Categoria não combina com o tipo",IF(OR($N185="",$C185=""),"⚠ Falta valor ou tipo",""))))</f>
        <v/>
      </c>
      <c r="U185" s="40">
        <f>IF($A185="",0,P185*12+O185)</f>
        <v>24313</v>
      </c>
      <c r="V185" s="40">
        <f>IF($A185="",0,U185+MAX(0,N($I185)-MAX(N($H185),1)))</f>
        <v>24313</v>
      </c>
      <c r="W185" s="40">
        <f>IF(S185="",0,YEAR(S185)*12+MONTH(S185))</f>
        <v>0</v>
      </c>
      <c r="X185" s="40">
        <f>IF(W185=0,0,W185+V185-U185)</f>
        <v>0</v>
      </c>
      <c r="Y185" s="36">
        <f>IF(W185=0,0,N(R185)*MAX(0,X185-MAX(W185,YEAR(Cfg_Hoje)*12+MONTH(Cfg_Hoje)+IF(DAY(Cfg_Hoje)&gt;=INDEX(Cartoes_Fech,MATCH($F185,Cartoes_Nome,0)),1,0))+1))</f>
        <v>0</v>
      </c>
      <c r="Z185" s="40">
        <f>IF($A185="",0,DAY($A185))</f>
        <v>8</v>
      </c>
      <c r="AA185" s="40">
        <f>IF($A185="",0,WEEKDAY($A185))</f>
        <v>5</v>
      </c>
      <c r="AB185" s="36">
        <f>IF(AND($C185="Despesa",U185&gt;0,U185&lt;=Sel_Idx,V185&gt;=Sel_Idx),N(R185)+ROW()/1000000000,0)</f>
        <v>0</v>
      </c>
      <c r="AC185" s="40">
        <f>IF(AND($C185="Despesa",U185&gt;0,U185&lt;=Sel_Idx,V185&gt;=Sel_Idx),Z185*10000+ROW(),0)</f>
        <v>0</v>
      </c>
      <c r="AD185" s="40">
        <f>IF(AC185=0,0,COUNTIFS(L_CalChave,"&gt;0",L_CalChave,"&lt;"&amp;AC185)+1)</f>
        <v>0</v>
      </c>
    </row>
    <row r="186">
      <c r="A186" s="38" t="n">
        <v>46031</v>
      </c>
      <c r="B186" s="39" t="inlineStr">
        <is>
          <t>Bar com amigos</t>
        </is>
      </c>
      <c r="C186" s="34" t="inlineStr">
        <is>
          <t>Despesa</t>
        </is>
      </c>
      <c r="D186" s="34" t="inlineStr">
        <is>
          <t>Lazer</t>
        </is>
      </c>
      <c r="E186" s="34" t="inlineStr">
        <is>
          <t>Cinema</t>
        </is>
      </c>
      <c r="F186" s="34" t="inlineStr">
        <is>
          <t>Cartão Azul Gold</t>
        </is>
      </c>
      <c r="G186" s="34" t="inlineStr">
        <is>
          <t>Crédito</t>
        </is>
      </c>
      <c r="H186" s="37" t="n"/>
      <c r="I186" s="37" t="n"/>
      <c r="J186" s="34" t="inlineStr">
        <is>
          <t>Pago</t>
        </is>
      </c>
      <c r="K186" s="34" t="n"/>
      <c r="L186" s="34" t="n"/>
      <c r="M186" s="39" t="inlineStr">
        <is>
          <t>EXEMPLO</t>
        </is>
      </c>
      <c r="N186" s="35" t="n">
        <v>133.17</v>
      </c>
      <c r="O186" s="40">
        <f>IF($A186="","",MONTH($A186))</f>
        <v>1</v>
      </c>
      <c r="P186" s="40">
        <f>IF($A186="","",YEAR($A186))</f>
        <v>2026</v>
      </c>
      <c r="Q186" s="41">
        <f>IF($A186="","",DATE(P186,O186,1))</f>
        <v>46023.0</v>
      </c>
      <c r="R186" s="36">
        <f>IF(OR($A186="",$N186=""),"",IF(AND($C186&lt;&gt;"Transferência",N($I186)&gt;1),$N186/$I186,$N186))</f>
        <v>133.17</v>
      </c>
      <c r="S186" s="41">
        <f>IF(OR($A186="",$F186="",$C186&lt;&gt;"Despesa"),"",IF(COUNTIF(Cartoes_Nome,$F186)=0,"",DATE(P186,O186+IF(DAY($A186)&gt;=INDEX(Cartoes_Fech,MATCH($F186,Cartoes_Nome,0)),1,0),1)))</f>
        <v>46023.0</v>
      </c>
      <c r="T186" s="42" t="str">
        <f>IF($A186="","",IF(COUNTIFS(L_Data,$A186,L_Desc,$B186,L_Valor,$N186,L_Tipo,$C186)&gt;1,"⚠ Possível duplicidade",IF(OR(AND($C186="Despesa",COUNTIF(CatD_Nome,$D186)=0),AND($C186="Receita",COUNTIF(CatR_Nome,$D186)=0)),"⚠ Categoria não combina com o tipo",IF(OR($N186="",$C186=""),"⚠ Falta valor ou tipo",""))))</f>
        <v/>
      </c>
      <c r="U186" s="40">
        <f>IF($A186="",0,P186*12+O186)</f>
        <v>24313</v>
      </c>
      <c r="V186" s="40">
        <f>IF($A186="",0,U186+MAX(0,N($I186)-MAX(N($H186),1)))</f>
        <v>24313</v>
      </c>
      <c r="W186" s="40">
        <f>IF(S186="",0,YEAR(S186)*12+MONTH(S186))</f>
        <v>24313</v>
      </c>
      <c r="X186" s="40">
        <f>IF(W186=0,0,W186+V186-U186)</f>
        <v>24313</v>
      </c>
      <c r="Y186" s="36">
        <f>IF(W186=0,0,N(R186)*MAX(0,X186-MAX(W186,YEAR(Cfg_Hoje)*12+MONTH(Cfg_Hoje)+IF(DAY(Cfg_Hoje)&gt;=INDEX(Cartoes_Fech,MATCH($F186,Cartoes_Nome,0)),1,0))+1))</f>
        <v>0</v>
      </c>
      <c r="Z186" s="40">
        <f>IF($A186="",0,DAY($A186))</f>
        <v>9</v>
      </c>
      <c r="AA186" s="40">
        <f>IF($A186="",0,WEEKDAY($A186))</f>
        <v>6</v>
      </c>
      <c r="AB186" s="36">
        <f>IF(AND($C186="Despesa",U186&gt;0,U186&lt;=Sel_Idx,V186&gt;=Sel_Idx),N(R186)+ROW()/1000000000,0)</f>
        <v>0</v>
      </c>
      <c r="AC186" s="40">
        <f>IF(AND($C186="Despesa",U186&gt;0,U186&lt;=Sel_Idx,V186&gt;=Sel_Idx),Z186*10000+ROW(),0)</f>
        <v>0</v>
      </c>
      <c r="AD186" s="40">
        <f>IF(AC186=0,0,COUNTIFS(L_CalChave,"&gt;0",L_CalChave,"&lt;"&amp;AC186)+1)</f>
        <v>0</v>
      </c>
    </row>
    <row r="187">
      <c r="A187" s="38" t="n">
        <v>46031</v>
      </c>
      <c r="B187" s="39" t="inlineStr">
        <is>
          <t>Ração e petiscos</t>
        </is>
      </c>
      <c r="C187" s="34" t="inlineStr">
        <is>
          <t>Despesa</t>
        </is>
      </c>
      <c r="D187" s="34" t="inlineStr">
        <is>
          <t>Família/Pets</t>
        </is>
      </c>
      <c r="E187" s="34" t="inlineStr">
        <is>
          <t>Ração</t>
        </is>
      </c>
      <c r="F187" s="34" t="inlineStr">
        <is>
          <t>Cartão Azul Gold</t>
        </is>
      </c>
      <c r="G187" s="34" t="inlineStr">
        <is>
          <t>Crédito</t>
        </is>
      </c>
      <c r="H187" s="37" t="n"/>
      <c r="I187" s="37" t="n"/>
      <c r="J187" s="34" t="inlineStr">
        <is>
          <t>Pago</t>
        </is>
      </c>
      <c r="K187" s="34" t="n"/>
      <c r="L187" s="34" t="n"/>
      <c r="M187" s="39" t="inlineStr">
        <is>
          <t>EXEMPLO</t>
        </is>
      </c>
      <c r="N187" s="35" t="n">
        <v>230.22</v>
      </c>
      <c r="O187" s="40">
        <f>IF($A187="","",MONTH($A187))</f>
        <v>1</v>
      </c>
      <c r="P187" s="40">
        <f>IF($A187="","",YEAR($A187))</f>
        <v>2026</v>
      </c>
      <c r="Q187" s="41">
        <f>IF($A187="","",DATE(P187,O187,1))</f>
        <v>46023.0</v>
      </c>
      <c r="R187" s="36">
        <f>IF(OR($A187="",$N187=""),"",IF(AND($C187&lt;&gt;"Transferência",N($I187)&gt;1),$N187/$I187,$N187))</f>
        <v>230.22</v>
      </c>
      <c r="S187" s="41">
        <f>IF(OR($A187="",$F187="",$C187&lt;&gt;"Despesa"),"",IF(COUNTIF(Cartoes_Nome,$F187)=0,"",DATE(P187,O187+IF(DAY($A187)&gt;=INDEX(Cartoes_Fech,MATCH($F187,Cartoes_Nome,0)),1,0),1)))</f>
        <v>46023.0</v>
      </c>
      <c r="T187" s="42" t="str">
        <f>IF($A187="","",IF(COUNTIFS(L_Data,$A187,L_Desc,$B187,L_Valor,$N187,L_Tipo,$C187)&gt;1,"⚠ Possível duplicidade",IF(OR(AND($C187="Despesa",COUNTIF(CatD_Nome,$D187)=0),AND($C187="Receita",COUNTIF(CatR_Nome,$D187)=0)),"⚠ Categoria não combina com o tipo",IF(OR($N187="",$C187=""),"⚠ Falta valor ou tipo",""))))</f>
        <v/>
      </c>
      <c r="U187" s="40">
        <f>IF($A187="",0,P187*12+O187)</f>
        <v>24313</v>
      </c>
      <c r="V187" s="40">
        <f>IF($A187="",0,U187+MAX(0,N($I187)-MAX(N($H187),1)))</f>
        <v>24313</v>
      </c>
      <c r="W187" s="40">
        <f>IF(S187="",0,YEAR(S187)*12+MONTH(S187))</f>
        <v>24313</v>
      </c>
      <c r="X187" s="40">
        <f>IF(W187=0,0,W187+V187-U187)</f>
        <v>24313</v>
      </c>
      <c r="Y187" s="36">
        <f>IF(W187=0,0,N(R187)*MAX(0,X187-MAX(W187,YEAR(Cfg_Hoje)*12+MONTH(Cfg_Hoje)+IF(DAY(Cfg_Hoje)&gt;=INDEX(Cartoes_Fech,MATCH($F187,Cartoes_Nome,0)),1,0))+1))</f>
        <v>0</v>
      </c>
      <c r="Z187" s="40">
        <f>IF($A187="",0,DAY($A187))</f>
        <v>9</v>
      </c>
      <c r="AA187" s="40">
        <f>IF($A187="",0,WEEKDAY($A187))</f>
        <v>6</v>
      </c>
      <c r="AB187" s="36">
        <f>IF(AND($C187="Despesa",U187&gt;0,U187&lt;=Sel_Idx,V187&gt;=Sel_Idx),N(R187)+ROW()/1000000000,0)</f>
        <v>0</v>
      </c>
      <c r="AC187" s="40">
        <f>IF(AND($C187="Despesa",U187&gt;0,U187&lt;=Sel_Idx,V187&gt;=Sel_Idx),Z187*10000+ROW(),0)</f>
        <v>0</v>
      </c>
      <c r="AD187" s="40">
        <f>IF(AC187=0,0,COUNTIFS(L_CalChave,"&gt;0",L_CalChave,"&lt;"&amp;AC187)+1)</f>
        <v>0</v>
      </c>
    </row>
    <row r="188">
      <c r="A188" s="38" t="n">
        <v>46032</v>
      </c>
      <c r="B188" s="39" t="inlineStr">
        <is>
          <t>Aluguel recebido - apto 12</t>
        </is>
      </c>
      <c r="C188" s="34" t="inlineStr">
        <is>
          <t>Receita</t>
        </is>
      </c>
      <c r="D188" s="34" t="inlineStr">
        <is>
          <t>Aluguel recebido</t>
        </is>
      </c>
      <c r="E188" s="34" t="n"/>
      <c r="F188" s="34" t="inlineStr">
        <is>
          <t>Conta Corrente Banco Azul</t>
        </is>
      </c>
      <c r="G188" s="34" t="inlineStr">
        <is>
          <t>Pix</t>
        </is>
      </c>
      <c r="H188" s="37" t="n"/>
      <c r="I188" s="37" t="n"/>
      <c r="J188" s="34" t="inlineStr">
        <is>
          <t>Pago</t>
        </is>
      </c>
      <c r="K188" s="34" t="n"/>
      <c r="L188" s="34" t="n"/>
      <c r="M188" s="39" t="inlineStr">
        <is>
          <t>EXEMPLO</t>
        </is>
      </c>
      <c r="N188" s="35" t="n">
        <v>1900</v>
      </c>
      <c r="O188" s="40">
        <f>IF($A188="","",MONTH($A188))</f>
        <v>1</v>
      </c>
      <c r="P188" s="40">
        <f>IF($A188="","",YEAR($A188))</f>
        <v>2026</v>
      </c>
      <c r="Q188" s="41">
        <f>IF($A188="","",DATE(P188,O188,1))</f>
        <v>46023.0</v>
      </c>
      <c r="R188" s="36">
        <f>IF(OR($A188="",$N188=""),"",IF(AND($C188&lt;&gt;"Transferência",N($I188)&gt;1),$N188/$I188,$N188))</f>
        <v>1900</v>
      </c>
      <c r="S188" s="41" t="str">
        <f>IF(OR($A188="",$F188="",$C188&lt;&gt;"Despesa"),"",IF(COUNTIF(Cartoes_Nome,$F188)=0,"",DATE(P188,O188+IF(DAY($A188)&gt;=INDEX(Cartoes_Fech,MATCH($F188,Cartoes_Nome,0)),1,0),1)))</f>
        <v/>
      </c>
      <c r="T188" s="42" t="str">
        <f>IF($A188="","",IF(COUNTIFS(L_Data,$A188,L_Desc,$B188,L_Valor,$N188,L_Tipo,$C188)&gt;1,"⚠ Possível duplicidade",IF(OR(AND($C188="Despesa",COUNTIF(CatD_Nome,$D188)=0),AND($C188="Receita",COUNTIF(CatR_Nome,$D188)=0)),"⚠ Categoria não combina com o tipo",IF(OR($N188="",$C188=""),"⚠ Falta valor ou tipo",""))))</f>
        <v/>
      </c>
      <c r="U188" s="40">
        <f>IF($A188="",0,P188*12+O188)</f>
        <v>24313</v>
      </c>
      <c r="V188" s="40">
        <f>IF($A188="",0,U188+MAX(0,N($I188)-MAX(N($H188),1)))</f>
        <v>24313</v>
      </c>
      <c r="W188" s="40">
        <f>IF(S188="",0,YEAR(S188)*12+MONTH(S188))</f>
        <v>0</v>
      </c>
      <c r="X188" s="40">
        <f>IF(W188=0,0,W188+V188-U188)</f>
        <v>0</v>
      </c>
      <c r="Y188" s="36">
        <f>IF(W188=0,0,N(R188)*MAX(0,X188-MAX(W188,YEAR(Cfg_Hoje)*12+MONTH(Cfg_Hoje)+IF(DAY(Cfg_Hoje)&gt;=INDEX(Cartoes_Fech,MATCH($F188,Cartoes_Nome,0)),1,0))+1))</f>
        <v>0</v>
      </c>
      <c r="Z188" s="40">
        <f>IF($A188="",0,DAY($A188))</f>
        <v>10</v>
      </c>
      <c r="AA188" s="40">
        <f>IF($A188="",0,WEEKDAY($A188))</f>
        <v>7</v>
      </c>
      <c r="AB188" s="36">
        <f>IF(AND($C188="Despesa",U188&gt;0,U188&lt;=Sel_Idx,V188&gt;=Sel_Idx),N(R188)+ROW()/1000000000,0)</f>
        <v>0</v>
      </c>
      <c r="AC188" s="40">
        <f>IF(AND($C188="Despesa",U188&gt;0,U188&lt;=Sel_Idx,V188&gt;=Sel_Idx),Z188*10000+ROW(),0)</f>
        <v>0</v>
      </c>
      <c r="AD188" s="40">
        <f>IF(AC188=0,0,COUNTIFS(L_CalChave,"&gt;0",L_CalChave,"&lt;"&amp;AC188)+1)</f>
        <v>0</v>
      </c>
    </row>
    <row r="189">
      <c r="A189" s="38" t="n">
        <v>46032</v>
      </c>
      <c r="B189" s="39" t="inlineStr">
        <is>
          <t>Aluguel residencial</t>
        </is>
      </c>
      <c r="C189" s="34" t="inlineStr">
        <is>
          <t>Despesa</t>
        </is>
      </c>
      <c r="D189" s="34" t="inlineStr">
        <is>
          <t>Moradia</t>
        </is>
      </c>
      <c r="E189" s="34" t="inlineStr">
        <is>
          <t>Aluguel</t>
        </is>
      </c>
      <c r="F189" s="34" t="inlineStr">
        <is>
          <t>Conta Corrente Banco Azul</t>
        </is>
      </c>
      <c r="G189" s="34" t="inlineStr">
        <is>
          <t>Boleto</t>
        </is>
      </c>
      <c r="H189" s="37" t="n"/>
      <c r="I189" s="37" t="n"/>
      <c r="J189" s="34" t="inlineStr">
        <is>
          <t>Pago</t>
        </is>
      </c>
      <c r="K189" s="34" t="n"/>
      <c r="L189" s="34" t="n"/>
      <c r="M189" s="39" t="inlineStr">
        <is>
          <t>EXEMPLO</t>
        </is>
      </c>
      <c r="N189" s="35" t="n">
        <v>2400</v>
      </c>
      <c r="O189" s="40">
        <f>IF($A189="","",MONTH($A189))</f>
        <v>1</v>
      </c>
      <c r="P189" s="40">
        <f>IF($A189="","",YEAR($A189))</f>
        <v>2026</v>
      </c>
      <c r="Q189" s="41">
        <f>IF($A189="","",DATE(P189,O189,1))</f>
        <v>46023.0</v>
      </c>
      <c r="R189" s="36">
        <f>IF(OR($A189="",$N189=""),"",IF(AND($C189&lt;&gt;"Transferência",N($I189)&gt;1),$N189/$I189,$N189))</f>
        <v>2400</v>
      </c>
      <c r="S189" s="41" t="str">
        <f>IF(OR($A189="",$F189="",$C189&lt;&gt;"Despesa"),"",IF(COUNTIF(Cartoes_Nome,$F189)=0,"",DATE(P189,O189+IF(DAY($A189)&gt;=INDEX(Cartoes_Fech,MATCH($F189,Cartoes_Nome,0)),1,0),1)))</f>
        <v/>
      </c>
      <c r="T189" s="42" t="str">
        <f>IF($A189="","",IF(COUNTIFS(L_Data,$A189,L_Desc,$B189,L_Valor,$N189,L_Tipo,$C189)&gt;1,"⚠ Possível duplicidade",IF(OR(AND($C189="Despesa",COUNTIF(CatD_Nome,$D189)=0),AND($C189="Receita",COUNTIF(CatR_Nome,$D189)=0)),"⚠ Categoria não combina com o tipo",IF(OR($N189="",$C189=""),"⚠ Falta valor ou tipo",""))))</f>
        <v/>
      </c>
      <c r="U189" s="40">
        <f>IF($A189="",0,P189*12+O189)</f>
        <v>24313</v>
      </c>
      <c r="V189" s="40">
        <f>IF($A189="",0,U189+MAX(0,N($I189)-MAX(N($H189),1)))</f>
        <v>24313</v>
      </c>
      <c r="W189" s="40">
        <f>IF(S189="",0,YEAR(S189)*12+MONTH(S189))</f>
        <v>0</v>
      </c>
      <c r="X189" s="40">
        <f>IF(W189=0,0,W189+V189-U189)</f>
        <v>0</v>
      </c>
      <c r="Y189" s="36">
        <f>IF(W189=0,0,N(R189)*MAX(0,X189-MAX(W189,YEAR(Cfg_Hoje)*12+MONTH(Cfg_Hoje)+IF(DAY(Cfg_Hoje)&gt;=INDEX(Cartoes_Fech,MATCH($F189,Cartoes_Nome,0)),1,0))+1))</f>
        <v>0</v>
      </c>
      <c r="Z189" s="40">
        <f>IF($A189="",0,DAY($A189))</f>
        <v>10</v>
      </c>
      <c r="AA189" s="40">
        <f>IF($A189="",0,WEEKDAY($A189))</f>
        <v>7</v>
      </c>
      <c r="AB189" s="36">
        <f>IF(AND($C189="Despesa",U189&gt;0,U189&lt;=Sel_Idx,V189&gt;=Sel_Idx),N(R189)+ROW()/1000000000,0)</f>
        <v>0</v>
      </c>
      <c r="AC189" s="40">
        <f>IF(AND($C189="Despesa",U189&gt;0,U189&lt;=Sel_Idx,V189&gt;=Sel_Idx),Z189*10000+ROW(),0)</f>
        <v>0</v>
      </c>
      <c r="AD189" s="40">
        <f>IF(AC189=0,0,COUNTIFS(L_CalChave,"&gt;0",L_CalChave,"&lt;"&amp;AC189)+1)</f>
        <v>0</v>
      </c>
    </row>
    <row r="190">
      <c r="A190" s="38" t="n">
        <v>46032</v>
      </c>
      <c r="B190" s="39" t="inlineStr">
        <is>
          <t>Condomínio</t>
        </is>
      </c>
      <c r="C190" s="34" t="inlineStr">
        <is>
          <t>Despesa</t>
        </is>
      </c>
      <c r="D190" s="34" t="inlineStr">
        <is>
          <t>Moradia</t>
        </is>
      </c>
      <c r="E190" s="34" t="inlineStr">
        <is>
          <t>Condomínio</t>
        </is>
      </c>
      <c r="F190" s="34" t="inlineStr">
        <is>
          <t>Conta Corrente Banco Azul</t>
        </is>
      </c>
      <c r="G190" s="34" t="inlineStr">
        <is>
          <t>Boleto</t>
        </is>
      </c>
      <c r="H190" s="37" t="n"/>
      <c r="I190" s="37" t="n"/>
      <c r="J190" s="34" t="inlineStr">
        <is>
          <t>Pago</t>
        </is>
      </c>
      <c r="K190" s="34" t="n"/>
      <c r="L190" s="34" t="n"/>
      <c r="M190" s="39" t="inlineStr">
        <is>
          <t>EXEMPLO</t>
        </is>
      </c>
      <c r="N190" s="35" t="n">
        <v>650</v>
      </c>
      <c r="O190" s="40">
        <f>IF($A190="","",MONTH($A190))</f>
        <v>1</v>
      </c>
      <c r="P190" s="40">
        <f>IF($A190="","",YEAR($A190))</f>
        <v>2026</v>
      </c>
      <c r="Q190" s="41">
        <f>IF($A190="","",DATE(P190,O190,1))</f>
        <v>46023.0</v>
      </c>
      <c r="R190" s="36">
        <f>IF(OR($A190="",$N190=""),"",IF(AND($C190&lt;&gt;"Transferência",N($I190)&gt;1),$N190/$I190,$N190))</f>
        <v>650</v>
      </c>
      <c r="S190" s="41" t="str">
        <f>IF(OR($A190="",$F190="",$C190&lt;&gt;"Despesa"),"",IF(COUNTIF(Cartoes_Nome,$F190)=0,"",DATE(P190,O190+IF(DAY($A190)&gt;=INDEX(Cartoes_Fech,MATCH($F190,Cartoes_Nome,0)),1,0),1)))</f>
        <v/>
      </c>
      <c r="T190" s="42" t="str">
        <f>IF($A190="","",IF(COUNTIFS(L_Data,$A190,L_Desc,$B190,L_Valor,$N190,L_Tipo,$C190)&gt;1,"⚠ Possível duplicidade",IF(OR(AND($C190="Despesa",COUNTIF(CatD_Nome,$D190)=0),AND($C190="Receita",COUNTIF(CatR_Nome,$D190)=0)),"⚠ Categoria não combina com o tipo",IF(OR($N190="",$C190=""),"⚠ Falta valor ou tipo",""))))</f>
        <v/>
      </c>
      <c r="U190" s="40">
        <f>IF($A190="",0,P190*12+O190)</f>
        <v>24313</v>
      </c>
      <c r="V190" s="40">
        <f>IF($A190="",0,U190+MAX(0,N($I190)-MAX(N($H190),1)))</f>
        <v>24313</v>
      </c>
      <c r="W190" s="40">
        <f>IF(S190="",0,YEAR(S190)*12+MONTH(S190))</f>
        <v>0</v>
      </c>
      <c r="X190" s="40">
        <f>IF(W190=0,0,W190+V190-U190)</f>
        <v>0</v>
      </c>
      <c r="Y190" s="36">
        <f>IF(W190=0,0,N(R190)*MAX(0,X190-MAX(W190,YEAR(Cfg_Hoje)*12+MONTH(Cfg_Hoje)+IF(DAY(Cfg_Hoje)&gt;=INDEX(Cartoes_Fech,MATCH($F190,Cartoes_Nome,0)),1,0))+1))</f>
        <v>0</v>
      </c>
      <c r="Z190" s="40">
        <f>IF($A190="",0,DAY($A190))</f>
        <v>10</v>
      </c>
      <c r="AA190" s="40">
        <f>IF($A190="",0,WEEKDAY($A190))</f>
        <v>7</v>
      </c>
      <c r="AB190" s="36">
        <f>IF(AND($C190="Despesa",U190&gt;0,U190&lt;=Sel_Idx,V190&gt;=Sel_Idx),N(R190)+ROW()/1000000000,0)</f>
        <v>0</v>
      </c>
      <c r="AC190" s="40">
        <f>IF(AND($C190="Despesa",U190&gt;0,U190&lt;=Sel_Idx,V190&gt;=Sel_Idx),Z190*10000+ROW(),0)</f>
        <v>0</v>
      </c>
      <c r="AD190" s="40">
        <f>IF(AC190=0,0,COUNTIFS(L_CalChave,"&gt;0",L_CalChave,"&lt;"&amp;AC190)+1)</f>
        <v>0</v>
      </c>
    </row>
    <row r="191">
      <c r="A191" s="38" t="n">
        <v>46033</v>
      </c>
      <c r="B191" s="39" t="inlineStr">
        <is>
          <t>Padaria e café</t>
        </is>
      </c>
      <c r="C191" s="34" t="inlineStr">
        <is>
          <t>Despesa</t>
        </is>
      </c>
      <c r="D191" s="34" t="inlineStr">
        <is>
          <t>Alimentação</t>
        </is>
      </c>
      <c r="E191" s="34" t="inlineStr">
        <is>
          <t>Delivery</t>
        </is>
      </c>
      <c r="F191" s="34" t="inlineStr">
        <is>
          <t>Cartão Azul Gold</t>
        </is>
      </c>
      <c r="G191" s="34" t="inlineStr">
        <is>
          <t>Crédito</t>
        </is>
      </c>
      <c r="H191" s="37" t="n"/>
      <c r="I191" s="37" t="n"/>
      <c r="J191" s="34" t="inlineStr">
        <is>
          <t>Pago</t>
        </is>
      </c>
      <c r="K191" s="34" t="n"/>
      <c r="L191" s="34" t="n"/>
      <c r="M191" s="39" t="inlineStr">
        <is>
          <t>EXEMPLO</t>
        </is>
      </c>
      <c r="N191" s="35" t="n">
        <v>48.41</v>
      </c>
      <c r="O191" s="40">
        <f>IF($A191="","",MONTH($A191))</f>
        <v>1</v>
      </c>
      <c r="P191" s="40">
        <f>IF($A191="","",YEAR($A191))</f>
        <v>2026</v>
      </c>
      <c r="Q191" s="41">
        <f>IF($A191="","",DATE(P191,O191,1))</f>
        <v>46023.0</v>
      </c>
      <c r="R191" s="36">
        <f>IF(OR($A191="",$N191=""),"",IF(AND($C191&lt;&gt;"Transferência",N($I191)&gt;1),$N191/$I191,$N191))</f>
        <v>48.41</v>
      </c>
      <c r="S191" s="41">
        <f>IF(OR($A191="",$F191="",$C191&lt;&gt;"Despesa"),"",IF(COUNTIF(Cartoes_Nome,$F191)=0,"",DATE(P191,O191+IF(DAY($A191)&gt;=INDEX(Cartoes_Fech,MATCH($F191,Cartoes_Nome,0)),1,0),1)))</f>
        <v>46054.0</v>
      </c>
      <c r="T191" s="42" t="str">
        <f>IF($A191="","",IF(COUNTIFS(L_Data,$A191,L_Desc,$B191,L_Valor,$N191,L_Tipo,$C191)&gt;1,"⚠ Possível duplicidade",IF(OR(AND($C191="Despesa",COUNTIF(CatD_Nome,$D191)=0),AND($C191="Receita",COUNTIF(CatR_Nome,$D191)=0)),"⚠ Categoria não combina com o tipo",IF(OR($N191="",$C191=""),"⚠ Falta valor ou tipo",""))))</f>
        <v/>
      </c>
      <c r="U191" s="40">
        <f>IF($A191="",0,P191*12+O191)</f>
        <v>24313</v>
      </c>
      <c r="V191" s="40">
        <f>IF($A191="",0,U191+MAX(0,N($I191)-MAX(N($H191),1)))</f>
        <v>24313</v>
      </c>
      <c r="W191" s="40">
        <f>IF(S191="",0,YEAR(S191)*12+MONTH(S191))</f>
        <v>24314</v>
      </c>
      <c r="X191" s="40">
        <f>IF(W191=0,0,W191+V191-U191)</f>
        <v>24314</v>
      </c>
      <c r="Y191" s="36">
        <f>IF(W191=0,0,N(R191)*MAX(0,X191-MAX(W191,YEAR(Cfg_Hoje)*12+MONTH(Cfg_Hoje)+IF(DAY(Cfg_Hoje)&gt;=INDEX(Cartoes_Fech,MATCH($F191,Cartoes_Nome,0)),1,0))+1))</f>
        <v>0</v>
      </c>
      <c r="Z191" s="40">
        <f>IF($A191="",0,DAY($A191))</f>
        <v>11</v>
      </c>
      <c r="AA191" s="40">
        <f>IF($A191="",0,WEEKDAY($A191))</f>
        <v>1</v>
      </c>
      <c r="AB191" s="36">
        <f>IF(AND($C191="Despesa",U191&gt;0,U191&lt;=Sel_Idx,V191&gt;=Sel_Idx),N(R191)+ROW()/1000000000,0)</f>
        <v>0</v>
      </c>
      <c r="AC191" s="40">
        <f>IF(AND($C191="Despesa",U191&gt;0,U191&lt;=Sel_Idx,V191&gt;=Sel_Idx),Z191*10000+ROW(),0)</f>
        <v>0</v>
      </c>
      <c r="AD191" s="40">
        <f>IF(AC191=0,0,COUNTIFS(L_CalChave,"&gt;0",L_CalChave,"&lt;"&amp;AC191)+1)</f>
        <v>0</v>
      </c>
    </row>
    <row r="192">
      <c r="A192" s="38" t="n">
        <v>46034</v>
      </c>
      <c r="B192" s="39" t="inlineStr">
        <is>
          <t>Streaming de música</t>
        </is>
      </c>
      <c r="C192" s="34" t="inlineStr">
        <is>
          <t>Despesa</t>
        </is>
      </c>
      <c r="D192" s="34" t="inlineStr">
        <is>
          <t>Assinaturas</t>
        </is>
      </c>
      <c r="E192" s="34" t="inlineStr">
        <is>
          <t>Música</t>
        </is>
      </c>
      <c r="F192" s="34" t="inlineStr">
        <is>
          <t>Cartão Roxinho</t>
        </is>
      </c>
      <c r="G192" s="34" t="inlineStr">
        <is>
          <t>Crédito</t>
        </is>
      </c>
      <c r="H192" s="37" t="n"/>
      <c r="I192" s="37" t="n"/>
      <c r="J192" s="34" t="inlineStr">
        <is>
          <t>Pago</t>
        </is>
      </c>
      <c r="K192" s="34" t="n"/>
      <c r="L192" s="34" t="n"/>
      <c r="M192" s="39" t="inlineStr">
        <is>
          <t>EXEMPLO</t>
        </is>
      </c>
      <c r="N192" s="35" t="n">
        <v>21.9</v>
      </c>
      <c r="O192" s="40">
        <f>IF($A192="","",MONTH($A192))</f>
        <v>1</v>
      </c>
      <c r="P192" s="40">
        <f>IF($A192="","",YEAR($A192))</f>
        <v>2026</v>
      </c>
      <c r="Q192" s="41">
        <f>IF($A192="","",DATE(P192,O192,1))</f>
        <v>46023.0</v>
      </c>
      <c r="R192" s="36">
        <f>IF(OR($A192="",$N192=""),"",IF(AND($C192&lt;&gt;"Transferência",N($I192)&gt;1),$N192/$I192,$N192))</f>
        <v>21.9</v>
      </c>
      <c r="S192" s="41">
        <f>IF(OR($A192="",$F192="",$C192&lt;&gt;"Despesa"),"",IF(COUNTIF(Cartoes_Nome,$F192)=0,"",DATE(P192,O192+IF(DAY($A192)&gt;=INDEX(Cartoes_Fech,MATCH($F192,Cartoes_Nome,0)),1,0),1)))</f>
        <v>46023.0</v>
      </c>
      <c r="T192" s="42" t="str">
        <f>IF($A192="","",IF(COUNTIFS(L_Data,$A192,L_Desc,$B192,L_Valor,$N192,L_Tipo,$C192)&gt;1,"⚠ Possível duplicidade",IF(OR(AND($C192="Despesa",COUNTIF(CatD_Nome,$D192)=0),AND($C192="Receita",COUNTIF(CatR_Nome,$D192)=0)),"⚠ Categoria não combina com o tipo",IF(OR($N192="",$C192=""),"⚠ Falta valor ou tipo",""))))</f>
        <v/>
      </c>
      <c r="U192" s="40">
        <f>IF($A192="",0,P192*12+O192)</f>
        <v>24313</v>
      </c>
      <c r="V192" s="40">
        <f>IF($A192="",0,U192+MAX(0,N($I192)-MAX(N($H192),1)))</f>
        <v>24313</v>
      </c>
      <c r="W192" s="40">
        <f>IF(S192="",0,YEAR(S192)*12+MONTH(S192))</f>
        <v>24313</v>
      </c>
      <c r="X192" s="40">
        <f>IF(W192=0,0,W192+V192-U192)</f>
        <v>24313</v>
      </c>
      <c r="Y192" s="36">
        <f>IF(W192=0,0,N(R192)*MAX(0,X192-MAX(W192,YEAR(Cfg_Hoje)*12+MONTH(Cfg_Hoje)+IF(DAY(Cfg_Hoje)&gt;=INDEX(Cartoes_Fech,MATCH($F192,Cartoes_Nome,0)),1,0))+1))</f>
        <v>0</v>
      </c>
      <c r="Z192" s="40">
        <f>IF($A192="",0,DAY($A192))</f>
        <v>12</v>
      </c>
      <c r="AA192" s="40">
        <f>IF($A192="",0,WEEKDAY($A192))</f>
        <v>2</v>
      </c>
      <c r="AB192" s="36">
        <f>IF(AND($C192="Despesa",U192&gt;0,U192&lt;=Sel_Idx,V192&gt;=Sel_Idx),N(R192)+ROW()/1000000000,0)</f>
        <v>0</v>
      </c>
      <c r="AC192" s="40">
        <f>IF(AND($C192="Despesa",U192&gt;0,U192&lt;=Sel_Idx,V192&gt;=Sel_Idx),Z192*10000+ROW(),0)</f>
        <v>0</v>
      </c>
      <c r="AD192" s="40">
        <f>IF(AC192=0,0,COUNTIFS(L_CalChave,"&gt;0",L_CalChave,"&lt;"&amp;AC192)+1)</f>
        <v>0</v>
      </c>
    </row>
    <row r="193">
      <c r="A193" s="38" t="n">
        <v>46034</v>
      </c>
      <c r="B193" s="39" t="inlineStr">
        <is>
          <t>Streaming de vídeo</t>
        </is>
      </c>
      <c r="C193" s="34" t="inlineStr">
        <is>
          <t>Despesa</t>
        </is>
      </c>
      <c r="D193" s="34" t="inlineStr">
        <is>
          <t>Assinaturas</t>
        </is>
      </c>
      <c r="E193" s="34" t="inlineStr">
        <is>
          <t>Streaming</t>
        </is>
      </c>
      <c r="F193" s="34" t="inlineStr">
        <is>
          <t>Cartão Roxinho</t>
        </is>
      </c>
      <c r="G193" s="34" t="inlineStr">
        <is>
          <t>Crédito</t>
        </is>
      </c>
      <c r="H193" s="37" t="n"/>
      <c r="I193" s="37" t="n"/>
      <c r="J193" s="34" t="inlineStr">
        <is>
          <t>Pago</t>
        </is>
      </c>
      <c r="K193" s="34" t="n"/>
      <c r="L193" s="34" t="n"/>
      <c r="M193" s="39" t="inlineStr">
        <is>
          <t>EXEMPLO</t>
        </is>
      </c>
      <c r="N193" s="35" t="n">
        <v>55.9</v>
      </c>
      <c r="O193" s="40">
        <f>IF($A193="","",MONTH($A193))</f>
        <v>1</v>
      </c>
      <c r="P193" s="40">
        <f>IF($A193="","",YEAR($A193))</f>
        <v>2026</v>
      </c>
      <c r="Q193" s="41">
        <f>IF($A193="","",DATE(P193,O193,1))</f>
        <v>46023.0</v>
      </c>
      <c r="R193" s="36">
        <f>IF(OR($A193="",$N193=""),"",IF(AND($C193&lt;&gt;"Transferência",N($I193)&gt;1),$N193/$I193,$N193))</f>
        <v>55.9</v>
      </c>
      <c r="S193" s="41">
        <f>IF(OR($A193="",$F193="",$C193&lt;&gt;"Despesa"),"",IF(COUNTIF(Cartoes_Nome,$F193)=0,"",DATE(P193,O193+IF(DAY($A193)&gt;=INDEX(Cartoes_Fech,MATCH($F193,Cartoes_Nome,0)),1,0),1)))</f>
        <v>46023.0</v>
      </c>
      <c r="T193" s="42" t="str">
        <f>IF($A193="","",IF(COUNTIFS(L_Data,$A193,L_Desc,$B193,L_Valor,$N193,L_Tipo,$C193)&gt;1,"⚠ Possível duplicidade",IF(OR(AND($C193="Despesa",COUNTIF(CatD_Nome,$D193)=0),AND($C193="Receita",COUNTIF(CatR_Nome,$D193)=0)),"⚠ Categoria não combina com o tipo",IF(OR($N193="",$C193=""),"⚠ Falta valor ou tipo",""))))</f>
        <v/>
      </c>
      <c r="U193" s="40">
        <f>IF($A193="",0,P193*12+O193)</f>
        <v>24313</v>
      </c>
      <c r="V193" s="40">
        <f>IF($A193="",0,U193+MAX(0,N($I193)-MAX(N($H193),1)))</f>
        <v>24313</v>
      </c>
      <c r="W193" s="40">
        <f>IF(S193="",0,YEAR(S193)*12+MONTH(S193))</f>
        <v>24313</v>
      </c>
      <c r="X193" s="40">
        <f>IF(W193=0,0,W193+V193-U193)</f>
        <v>24313</v>
      </c>
      <c r="Y193" s="36">
        <f>IF(W193=0,0,N(R193)*MAX(0,X193-MAX(W193,YEAR(Cfg_Hoje)*12+MONTH(Cfg_Hoje)+IF(DAY(Cfg_Hoje)&gt;=INDEX(Cartoes_Fech,MATCH($F193,Cartoes_Nome,0)),1,0))+1))</f>
        <v>0</v>
      </c>
      <c r="Z193" s="40">
        <f>IF($A193="",0,DAY($A193))</f>
        <v>12</v>
      </c>
      <c r="AA193" s="40">
        <f>IF($A193="",0,WEEKDAY($A193))</f>
        <v>2</v>
      </c>
      <c r="AB193" s="36">
        <f>IF(AND($C193="Despesa",U193&gt;0,U193&lt;=Sel_Idx,V193&gt;=Sel_Idx),N(R193)+ROW()/1000000000,0)</f>
        <v>0</v>
      </c>
      <c r="AC193" s="40">
        <f>IF(AND($C193="Despesa",U193&gt;0,U193&lt;=Sel_Idx,V193&gt;=Sel_Idx),Z193*10000+ROW(),0)</f>
        <v>0</v>
      </c>
      <c r="AD193" s="40">
        <f>IF(AC193=0,0,COUNTIFS(L_CalChave,"&gt;0",L_CalChave,"&lt;"&amp;AC193)+1)</f>
        <v>0</v>
      </c>
    </row>
    <row r="194">
      <c r="A194" s="38" t="n">
        <v>46034</v>
      </c>
      <c r="B194" s="39" t="inlineStr">
        <is>
          <t>Supermercado</t>
        </is>
      </c>
      <c r="C194" s="34" t="inlineStr">
        <is>
          <t>Despesa</t>
        </is>
      </c>
      <c r="D194" s="34" t="inlineStr">
        <is>
          <t>Alimentação</t>
        </is>
      </c>
      <c r="E194" s="34" t="inlineStr">
        <is>
          <t>Mercado</t>
        </is>
      </c>
      <c r="F194" s="34" t="inlineStr">
        <is>
          <t>Cartão Azul Gold</t>
        </is>
      </c>
      <c r="G194" s="34" t="inlineStr">
        <is>
          <t>Crédito</t>
        </is>
      </c>
      <c r="H194" s="37" t="n"/>
      <c r="I194" s="37" t="n"/>
      <c r="J194" s="34" t="inlineStr">
        <is>
          <t>Pago</t>
        </is>
      </c>
      <c r="K194" s="34" t="n"/>
      <c r="L194" s="34" t="n"/>
      <c r="M194" s="39" t="inlineStr">
        <is>
          <t>EXEMPLO</t>
        </is>
      </c>
      <c r="N194" s="35" t="n">
        <v>263.19</v>
      </c>
      <c r="O194" s="40">
        <f>IF($A194="","",MONTH($A194))</f>
        <v>1</v>
      </c>
      <c r="P194" s="40">
        <f>IF($A194="","",YEAR($A194))</f>
        <v>2026</v>
      </c>
      <c r="Q194" s="41">
        <f>IF($A194="","",DATE(P194,O194,1))</f>
        <v>46023.0</v>
      </c>
      <c r="R194" s="36">
        <f>IF(OR($A194="",$N194=""),"",IF(AND($C194&lt;&gt;"Transferência",N($I194)&gt;1),$N194/$I194,$N194))</f>
        <v>263.19</v>
      </c>
      <c r="S194" s="41">
        <f>IF(OR($A194="",$F194="",$C194&lt;&gt;"Despesa"),"",IF(COUNTIF(Cartoes_Nome,$F194)=0,"",DATE(P194,O194+IF(DAY($A194)&gt;=INDEX(Cartoes_Fech,MATCH($F194,Cartoes_Nome,0)),1,0),1)))</f>
        <v>46054.0</v>
      </c>
      <c r="T194" s="42" t="str">
        <f>IF($A194="","",IF(COUNTIFS(L_Data,$A194,L_Desc,$B194,L_Valor,$N194,L_Tipo,$C194)&gt;1,"⚠ Possível duplicidade",IF(OR(AND($C194="Despesa",COUNTIF(CatD_Nome,$D194)=0),AND($C194="Receita",COUNTIF(CatR_Nome,$D194)=0)),"⚠ Categoria não combina com o tipo",IF(OR($N194="",$C194=""),"⚠ Falta valor ou tipo",""))))</f>
        <v/>
      </c>
      <c r="U194" s="40">
        <f>IF($A194="",0,P194*12+O194)</f>
        <v>24313</v>
      </c>
      <c r="V194" s="40">
        <f>IF($A194="",0,U194+MAX(0,N($I194)-MAX(N($H194),1)))</f>
        <v>24313</v>
      </c>
      <c r="W194" s="40">
        <f>IF(S194="",0,YEAR(S194)*12+MONTH(S194))</f>
        <v>24314</v>
      </c>
      <c r="X194" s="40">
        <f>IF(W194=0,0,W194+V194-U194)</f>
        <v>24314</v>
      </c>
      <c r="Y194" s="36">
        <f>IF(W194=0,0,N(R194)*MAX(0,X194-MAX(W194,YEAR(Cfg_Hoje)*12+MONTH(Cfg_Hoje)+IF(DAY(Cfg_Hoje)&gt;=INDEX(Cartoes_Fech,MATCH($F194,Cartoes_Nome,0)),1,0))+1))</f>
        <v>0</v>
      </c>
      <c r="Z194" s="40">
        <f>IF($A194="",0,DAY($A194))</f>
        <v>12</v>
      </c>
      <c r="AA194" s="40">
        <f>IF($A194="",0,WEEKDAY($A194))</f>
        <v>2</v>
      </c>
      <c r="AB194" s="36">
        <f>IF(AND($C194="Despesa",U194&gt;0,U194&lt;=Sel_Idx,V194&gt;=Sel_Idx),N(R194)+ROW()/1000000000,0)</f>
        <v>0</v>
      </c>
      <c r="AC194" s="40">
        <f>IF(AND($C194="Despesa",U194&gt;0,U194&lt;=Sel_Idx,V194&gt;=Sel_Idx),Z194*10000+ROW(),0)</f>
        <v>0</v>
      </c>
      <c r="AD194" s="40">
        <f>IF(AC194=0,0,COUNTIFS(L_CalChave,"&gt;0",L_CalChave,"&lt;"&amp;AC194)+1)</f>
        <v>0</v>
      </c>
    </row>
    <row r="195">
      <c r="A195" s="38" t="n">
        <v>46036</v>
      </c>
      <c r="B195" s="39" t="inlineStr">
        <is>
          <t>Armazenamento em nuvem</t>
        </is>
      </c>
      <c r="C195" s="34" t="inlineStr">
        <is>
          <t>Despesa</t>
        </is>
      </c>
      <c r="D195" s="34" t="inlineStr">
        <is>
          <t>Assinaturas</t>
        </is>
      </c>
      <c r="E195" s="34" t="inlineStr">
        <is>
          <t>Nuvem</t>
        </is>
      </c>
      <c r="F195" s="34" t="inlineStr">
        <is>
          <t>Cartão Azul Gold</t>
        </is>
      </c>
      <c r="G195" s="34" t="inlineStr">
        <is>
          <t>Crédito</t>
        </is>
      </c>
      <c r="H195" s="37" t="n"/>
      <c r="I195" s="37" t="n"/>
      <c r="J195" s="34" t="inlineStr">
        <is>
          <t>Pago</t>
        </is>
      </c>
      <c r="K195" s="34" t="n"/>
      <c r="L195" s="34" t="n"/>
      <c r="M195" s="39" t="inlineStr">
        <is>
          <t>EXEMPLO</t>
        </is>
      </c>
      <c r="N195" s="35" t="n">
        <v>14.9</v>
      </c>
      <c r="O195" s="40">
        <f>IF($A195="","",MONTH($A195))</f>
        <v>1</v>
      </c>
      <c r="P195" s="40">
        <f>IF($A195="","",YEAR($A195))</f>
        <v>2026</v>
      </c>
      <c r="Q195" s="41">
        <f>IF($A195="","",DATE(P195,O195,1))</f>
        <v>46023.0</v>
      </c>
      <c r="R195" s="36">
        <f>IF(OR($A195="",$N195=""),"",IF(AND($C195&lt;&gt;"Transferência",N($I195)&gt;1),$N195/$I195,$N195))</f>
        <v>14.9</v>
      </c>
      <c r="S195" s="41">
        <f>IF(OR($A195="",$F195="",$C195&lt;&gt;"Despesa"),"",IF(COUNTIF(Cartoes_Nome,$F195)=0,"",DATE(P195,O195+IF(DAY($A195)&gt;=INDEX(Cartoes_Fech,MATCH($F195,Cartoes_Nome,0)),1,0),1)))</f>
        <v>46054.0</v>
      </c>
      <c r="T195" s="42" t="str">
        <f>IF($A195="","",IF(COUNTIFS(L_Data,$A195,L_Desc,$B195,L_Valor,$N195,L_Tipo,$C195)&gt;1,"⚠ Possível duplicidade",IF(OR(AND($C195="Despesa",COUNTIF(CatD_Nome,$D195)=0),AND($C195="Receita",COUNTIF(CatR_Nome,$D195)=0)),"⚠ Categoria não combina com o tipo",IF(OR($N195="",$C195=""),"⚠ Falta valor ou tipo",""))))</f>
        <v/>
      </c>
      <c r="U195" s="40">
        <f>IF($A195="",0,P195*12+O195)</f>
        <v>24313</v>
      </c>
      <c r="V195" s="40">
        <f>IF($A195="",0,U195+MAX(0,N($I195)-MAX(N($H195),1)))</f>
        <v>24313</v>
      </c>
      <c r="W195" s="40">
        <f>IF(S195="",0,YEAR(S195)*12+MONTH(S195))</f>
        <v>24314</v>
      </c>
      <c r="X195" s="40">
        <f>IF(W195=0,0,W195+V195-U195)</f>
        <v>24314</v>
      </c>
      <c r="Y195" s="36">
        <f>IF(W195=0,0,N(R195)*MAX(0,X195-MAX(W195,YEAR(Cfg_Hoje)*12+MONTH(Cfg_Hoje)+IF(DAY(Cfg_Hoje)&gt;=INDEX(Cartoes_Fech,MATCH($F195,Cartoes_Nome,0)),1,0))+1))</f>
        <v>0</v>
      </c>
      <c r="Z195" s="40">
        <f>IF($A195="",0,DAY($A195))</f>
        <v>14</v>
      </c>
      <c r="AA195" s="40">
        <f>IF($A195="",0,WEEKDAY($A195))</f>
        <v>4</v>
      </c>
      <c r="AB195" s="36">
        <f>IF(AND($C195="Despesa",U195&gt;0,U195&lt;=Sel_Idx,V195&gt;=Sel_Idx),N(R195)+ROW()/1000000000,0)</f>
        <v>0</v>
      </c>
      <c r="AC195" s="40">
        <f>IF(AND($C195="Despesa",U195&gt;0,U195&lt;=Sel_Idx,V195&gt;=Sel_Idx),Z195*10000+ROW(),0)</f>
        <v>0</v>
      </c>
      <c r="AD195" s="40">
        <f>IF(AC195=0,0,COUNTIFS(L_CalChave,"&gt;0",L_CalChave,"&lt;"&amp;AC195)+1)</f>
        <v>0</v>
      </c>
    </row>
    <row r="196">
      <c r="A196" s="38" t="n">
        <v>46037</v>
      </c>
      <c r="B196" s="39" t="inlineStr">
        <is>
          <t>Combustível</t>
        </is>
      </c>
      <c r="C196" s="34" t="inlineStr">
        <is>
          <t>Despesa</t>
        </is>
      </c>
      <c r="D196" s="34" t="inlineStr">
        <is>
          <t>Transporte</t>
        </is>
      </c>
      <c r="E196" s="34" t="inlineStr">
        <is>
          <t>Combustível</t>
        </is>
      </c>
      <c r="F196" s="34" t="inlineStr">
        <is>
          <t>Cartão Azul Gold</t>
        </is>
      </c>
      <c r="G196" s="34" t="inlineStr">
        <is>
          <t>Crédito</t>
        </is>
      </c>
      <c r="H196" s="37" t="n"/>
      <c r="I196" s="37" t="n"/>
      <c r="J196" s="34" t="inlineStr">
        <is>
          <t>Pago</t>
        </is>
      </c>
      <c r="K196" s="34" t="n"/>
      <c r="L196" s="34" t="n"/>
      <c r="M196" s="39" t="inlineStr">
        <is>
          <t>EXEMPLO</t>
        </is>
      </c>
      <c r="N196" s="35" t="n">
        <v>176.52</v>
      </c>
      <c r="O196" s="40">
        <f>IF($A196="","",MONTH($A196))</f>
        <v>1</v>
      </c>
      <c r="P196" s="40">
        <f>IF($A196="","",YEAR($A196))</f>
        <v>2026</v>
      </c>
      <c r="Q196" s="41">
        <f>IF($A196="","",DATE(P196,O196,1))</f>
        <v>46023.0</v>
      </c>
      <c r="R196" s="36">
        <f>IF(OR($A196="",$N196=""),"",IF(AND($C196&lt;&gt;"Transferência",N($I196)&gt;1),$N196/$I196,$N196))</f>
        <v>176.52</v>
      </c>
      <c r="S196" s="41">
        <f>IF(OR($A196="",$F196="",$C196&lt;&gt;"Despesa"),"",IF(COUNTIF(Cartoes_Nome,$F196)=0,"",DATE(P196,O196+IF(DAY($A196)&gt;=INDEX(Cartoes_Fech,MATCH($F196,Cartoes_Nome,0)),1,0),1)))</f>
        <v>46054.0</v>
      </c>
      <c r="T196" s="42" t="str">
        <f>IF($A196="","",IF(COUNTIFS(L_Data,$A196,L_Desc,$B196,L_Valor,$N196,L_Tipo,$C196)&gt;1,"⚠ Possível duplicidade",IF(OR(AND($C196="Despesa",COUNTIF(CatD_Nome,$D196)=0),AND($C196="Receita",COUNTIF(CatR_Nome,$D196)=0)),"⚠ Categoria não combina com o tipo",IF(OR($N196="",$C196=""),"⚠ Falta valor ou tipo",""))))</f>
        <v/>
      </c>
      <c r="U196" s="40">
        <f>IF($A196="",0,P196*12+O196)</f>
        <v>24313</v>
      </c>
      <c r="V196" s="40">
        <f>IF($A196="",0,U196+MAX(0,N($I196)-MAX(N($H196),1)))</f>
        <v>24313</v>
      </c>
      <c r="W196" s="40">
        <f>IF(S196="",0,YEAR(S196)*12+MONTH(S196))</f>
        <v>24314</v>
      </c>
      <c r="X196" s="40">
        <f>IF(W196=0,0,W196+V196-U196)</f>
        <v>24314</v>
      </c>
      <c r="Y196" s="36">
        <f>IF(W196=0,0,N(R196)*MAX(0,X196-MAX(W196,YEAR(Cfg_Hoje)*12+MONTH(Cfg_Hoje)+IF(DAY(Cfg_Hoje)&gt;=INDEX(Cartoes_Fech,MATCH($F196,Cartoes_Nome,0)),1,0))+1))</f>
        <v>0</v>
      </c>
      <c r="Z196" s="40">
        <f>IF($A196="",0,DAY($A196))</f>
        <v>15</v>
      </c>
      <c r="AA196" s="40">
        <f>IF($A196="",0,WEEKDAY($A196))</f>
        <v>5</v>
      </c>
      <c r="AB196" s="36">
        <f>IF(AND($C196="Despesa",U196&gt;0,U196&lt;=Sel_Idx,V196&gt;=Sel_Idx),N(R196)+ROW()/1000000000,0)</f>
        <v>0</v>
      </c>
      <c r="AC196" s="40">
        <f>IF(AND($C196="Despesa",U196&gt;0,U196&lt;=Sel_Idx,V196&gt;=Sel_Idx),Z196*10000+ROW(),0)</f>
        <v>0</v>
      </c>
      <c r="AD196" s="40">
        <f>IF(AC196=0,0,COUNTIFS(L_CalChave,"&gt;0",L_CalChave,"&lt;"&amp;AC196)+1)</f>
        <v>0</v>
      </c>
    </row>
    <row r="197">
      <c r="A197" s="38" t="n">
        <v>46037</v>
      </c>
      <c r="B197" s="39" t="inlineStr">
        <is>
          <t>Conta de energia</t>
        </is>
      </c>
      <c r="C197" s="34" t="inlineStr">
        <is>
          <t>Despesa</t>
        </is>
      </c>
      <c r="D197" s="34" t="inlineStr">
        <is>
          <t>Moradia</t>
        </is>
      </c>
      <c r="E197" s="34" t="inlineStr">
        <is>
          <t>Energia</t>
        </is>
      </c>
      <c r="F197" s="34" t="inlineStr">
        <is>
          <t>Conta Corrente Banco Azul</t>
        </is>
      </c>
      <c r="G197" s="34" t="inlineStr">
        <is>
          <t>Débito automático</t>
        </is>
      </c>
      <c r="H197" s="37" t="n"/>
      <c r="I197" s="37" t="n"/>
      <c r="J197" s="34" t="inlineStr">
        <is>
          <t>Pago</t>
        </is>
      </c>
      <c r="K197" s="34" t="n"/>
      <c r="L197" s="34" t="n"/>
      <c r="M197" s="39" t="inlineStr">
        <is>
          <t>EXEMPLO</t>
        </is>
      </c>
      <c r="N197" s="35" t="n">
        <v>175.1</v>
      </c>
      <c r="O197" s="40">
        <f>IF($A197="","",MONTH($A197))</f>
        <v>1</v>
      </c>
      <c r="P197" s="40">
        <f>IF($A197="","",YEAR($A197))</f>
        <v>2026</v>
      </c>
      <c r="Q197" s="41">
        <f>IF($A197="","",DATE(P197,O197,1))</f>
        <v>46023.0</v>
      </c>
      <c r="R197" s="36">
        <f>IF(OR($A197="",$N197=""),"",IF(AND($C197&lt;&gt;"Transferência",N($I197)&gt;1),$N197/$I197,$N197))</f>
        <v>175.1</v>
      </c>
      <c r="S197" s="41" t="str">
        <f>IF(OR($A197="",$F197="",$C197&lt;&gt;"Despesa"),"",IF(COUNTIF(Cartoes_Nome,$F197)=0,"",DATE(P197,O197+IF(DAY($A197)&gt;=INDEX(Cartoes_Fech,MATCH($F197,Cartoes_Nome,0)),1,0),1)))</f>
        <v/>
      </c>
      <c r="T197" s="42" t="str">
        <f>IF($A197="","",IF(COUNTIFS(L_Data,$A197,L_Desc,$B197,L_Valor,$N197,L_Tipo,$C197)&gt;1,"⚠ Possível duplicidade",IF(OR(AND($C197="Despesa",COUNTIF(CatD_Nome,$D197)=0),AND($C197="Receita",COUNTIF(CatR_Nome,$D197)=0)),"⚠ Categoria não combina com o tipo",IF(OR($N197="",$C197=""),"⚠ Falta valor ou tipo",""))))</f>
        <v/>
      </c>
      <c r="U197" s="40">
        <f>IF($A197="",0,P197*12+O197)</f>
        <v>24313</v>
      </c>
      <c r="V197" s="40">
        <f>IF($A197="",0,U197+MAX(0,N($I197)-MAX(N($H197),1)))</f>
        <v>24313</v>
      </c>
      <c r="W197" s="40">
        <f>IF(S197="",0,YEAR(S197)*12+MONTH(S197))</f>
        <v>0</v>
      </c>
      <c r="X197" s="40">
        <f>IF(W197=0,0,W197+V197-U197)</f>
        <v>0</v>
      </c>
      <c r="Y197" s="36">
        <f>IF(W197=0,0,N(R197)*MAX(0,X197-MAX(W197,YEAR(Cfg_Hoje)*12+MONTH(Cfg_Hoje)+IF(DAY(Cfg_Hoje)&gt;=INDEX(Cartoes_Fech,MATCH($F197,Cartoes_Nome,0)),1,0))+1))</f>
        <v>0</v>
      </c>
      <c r="Z197" s="40">
        <f>IF($A197="",0,DAY($A197))</f>
        <v>15</v>
      </c>
      <c r="AA197" s="40">
        <f>IF($A197="",0,WEEKDAY($A197))</f>
        <v>5</v>
      </c>
      <c r="AB197" s="36">
        <f>IF(AND($C197="Despesa",U197&gt;0,U197&lt;=Sel_Idx,V197&gt;=Sel_Idx),N(R197)+ROW()/1000000000,0)</f>
        <v>0</v>
      </c>
      <c r="AC197" s="40">
        <f>IF(AND($C197="Despesa",U197&gt;0,U197&lt;=Sel_Idx,V197&gt;=Sel_Idx),Z197*10000+ROW(),0)</f>
        <v>0</v>
      </c>
      <c r="AD197" s="40">
        <f>IF(AC197=0,0,COUNTIFS(L_CalChave,"&gt;0",L_CalChave,"&lt;"&amp;AC197)+1)</f>
        <v>0</v>
      </c>
    </row>
    <row r="198">
      <c r="A198" s="38" t="n">
        <v>46037</v>
      </c>
      <c r="B198" s="39" t="inlineStr">
        <is>
          <t>Conta de água</t>
        </is>
      </c>
      <c r="C198" s="34" t="inlineStr">
        <is>
          <t>Despesa</t>
        </is>
      </c>
      <c r="D198" s="34" t="inlineStr">
        <is>
          <t>Moradia</t>
        </is>
      </c>
      <c r="E198" s="34" t="inlineStr">
        <is>
          <t>Água</t>
        </is>
      </c>
      <c r="F198" s="34" t="inlineStr">
        <is>
          <t>Conta Corrente Banco Azul</t>
        </is>
      </c>
      <c r="G198" s="34" t="inlineStr">
        <is>
          <t>Débito automático</t>
        </is>
      </c>
      <c r="H198" s="37" t="n"/>
      <c r="I198" s="37" t="n"/>
      <c r="J198" s="34" t="inlineStr">
        <is>
          <t>Pago</t>
        </is>
      </c>
      <c r="K198" s="34" t="n"/>
      <c r="L198" s="34" t="n"/>
      <c r="M198" s="39" t="inlineStr">
        <is>
          <t>EXEMPLO</t>
        </is>
      </c>
      <c r="N198" s="35" t="n">
        <v>87.01000000000001</v>
      </c>
      <c r="O198" s="40">
        <f>IF($A198="","",MONTH($A198))</f>
        <v>1</v>
      </c>
      <c r="P198" s="40">
        <f>IF($A198="","",YEAR($A198))</f>
        <v>2026</v>
      </c>
      <c r="Q198" s="41">
        <f>IF($A198="","",DATE(P198,O198,1))</f>
        <v>46023.0</v>
      </c>
      <c r="R198" s="36">
        <f>IF(OR($A198="",$N198=""),"",IF(AND($C198&lt;&gt;"Transferência",N($I198)&gt;1),$N198/$I198,$N198))</f>
        <v>87.01</v>
      </c>
      <c r="S198" s="41" t="str">
        <f>IF(OR($A198="",$F198="",$C198&lt;&gt;"Despesa"),"",IF(COUNTIF(Cartoes_Nome,$F198)=0,"",DATE(P198,O198+IF(DAY($A198)&gt;=INDEX(Cartoes_Fech,MATCH($F198,Cartoes_Nome,0)),1,0),1)))</f>
        <v/>
      </c>
      <c r="T198" s="42" t="str">
        <f>IF($A198="","",IF(COUNTIFS(L_Data,$A198,L_Desc,$B198,L_Valor,$N198,L_Tipo,$C198)&gt;1,"⚠ Possível duplicidade",IF(OR(AND($C198="Despesa",COUNTIF(CatD_Nome,$D198)=0),AND($C198="Receita",COUNTIF(CatR_Nome,$D198)=0)),"⚠ Categoria não combina com o tipo",IF(OR($N198="",$C198=""),"⚠ Falta valor ou tipo",""))))</f>
        <v/>
      </c>
      <c r="U198" s="40">
        <f>IF($A198="",0,P198*12+O198)</f>
        <v>24313</v>
      </c>
      <c r="V198" s="40">
        <f>IF($A198="",0,U198+MAX(0,N($I198)-MAX(N($H198),1)))</f>
        <v>24313</v>
      </c>
      <c r="W198" s="40">
        <f>IF(S198="",0,YEAR(S198)*12+MONTH(S198))</f>
        <v>0</v>
      </c>
      <c r="X198" s="40">
        <f>IF(W198=0,0,W198+V198-U198)</f>
        <v>0</v>
      </c>
      <c r="Y198" s="36">
        <f>IF(W198=0,0,N(R198)*MAX(0,X198-MAX(W198,YEAR(Cfg_Hoje)*12+MONTH(Cfg_Hoje)+IF(DAY(Cfg_Hoje)&gt;=INDEX(Cartoes_Fech,MATCH($F198,Cartoes_Nome,0)),1,0))+1))</f>
        <v>0</v>
      </c>
      <c r="Z198" s="40">
        <f>IF($A198="",0,DAY($A198))</f>
        <v>15</v>
      </c>
      <c r="AA198" s="40">
        <f>IF($A198="",0,WEEKDAY($A198))</f>
        <v>5</v>
      </c>
      <c r="AB198" s="36">
        <f>IF(AND($C198="Despesa",U198&gt;0,U198&lt;=Sel_Idx,V198&gt;=Sel_Idx),N(R198)+ROW()/1000000000,0)</f>
        <v>0</v>
      </c>
      <c r="AC198" s="40">
        <f>IF(AND($C198="Despesa",U198&gt;0,U198&lt;=Sel_Idx,V198&gt;=Sel_Idx),Z198*10000+ROW(),0)</f>
        <v>0</v>
      </c>
      <c r="AD198" s="40">
        <f>IF(AC198=0,0,COUNTIFS(L_CalChave,"&gt;0",L_CalChave,"&lt;"&amp;AC198)+1)</f>
        <v>0</v>
      </c>
    </row>
    <row r="199">
      <c r="A199" s="38" t="n">
        <v>46039</v>
      </c>
      <c r="B199" s="39" t="inlineStr">
        <is>
          <t>Pagamento fatura Cartão Azul Gold</t>
        </is>
      </c>
      <c r="C199" s="34" t="inlineStr">
        <is>
          <t>Transferência</t>
        </is>
      </c>
      <c r="D199" s="34" t="n"/>
      <c r="E199" s="34" t="n"/>
      <c r="F199" s="34" t="inlineStr">
        <is>
          <t>Conta Corrente Banco Azul</t>
        </is>
      </c>
      <c r="G199" s="34" t="inlineStr">
        <is>
          <t>Débito automático</t>
        </is>
      </c>
      <c r="H199" s="37" t="n"/>
      <c r="I199" s="37" t="n"/>
      <c r="J199" s="34" t="inlineStr">
        <is>
          <t>Pago</t>
        </is>
      </c>
      <c r="K199" s="34" t="n"/>
      <c r="L199" s="34" t="n"/>
      <c r="M199" s="39" t="inlineStr">
        <is>
          <t>EXEMPLO</t>
        </is>
      </c>
      <c r="N199" s="35" t="n">
        <v>-1806.19</v>
      </c>
      <c r="O199" s="40">
        <f>IF($A199="","",MONTH($A199))</f>
        <v>1</v>
      </c>
      <c r="P199" s="40">
        <f>IF($A199="","",YEAR($A199))</f>
        <v>2026</v>
      </c>
      <c r="Q199" s="41">
        <f>IF($A199="","",DATE(P199,O199,1))</f>
        <v>46023.0</v>
      </c>
      <c r="R199" s="36">
        <f>IF(OR($A199="",$N199=""),"",IF(AND($C199&lt;&gt;"Transferência",N($I199)&gt;1),$N199/$I199,$N199))</f>
        <v>-1806.19</v>
      </c>
      <c r="S199" s="41" t="str">
        <f>IF(OR($A199="",$F199="",$C199&lt;&gt;"Despesa"),"",IF(COUNTIF(Cartoes_Nome,$F199)=0,"",DATE(P199,O199+IF(DAY($A199)&gt;=INDEX(Cartoes_Fech,MATCH($F199,Cartoes_Nome,0)),1,0),1)))</f>
        <v/>
      </c>
      <c r="T199" s="42" t="str">
        <f>IF($A199="","",IF(COUNTIFS(L_Data,$A199,L_Desc,$B199,L_Valor,$N199,L_Tipo,$C199)&gt;1,"⚠ Possível duplicidade",IF(OR(AND($C199="Despesa",COUNTIF(CatD_Nome,$D199)=0),AND($C199="Receita",COUNTIF(CatR_Nome,$D199)=0)),"⚠ Categoria não combina com o tipo",IF(OR($N199="",$C199=""),"⚠ Falta valor ou tipo",""))))</f>
        <v/>
      </c>
      <c r="U199" s="40">
        <f>IF($A199="",0,P199*12+O199)</f>
        <v>24313</v>
      </c>
      <c r="V199" s="40">
        <f>IF($A199="",0,U199+MAX(0,N($I199)-MAX(N($H199),1)))</f>
        <v>24313</v>
      </c>
      <c r="W199" s="40">
        <f>IF(S199="",0,YEAR(S199)*12+MONTH(S199))</f>
        <v>0</v>
      </c>
      <c r="X199" s="40">
        <f>IF(W199=0,0,W199+V199-U199)</f>
        <v>0</v>
      </c>
      <c r="Y199" s="36">
        <f>IF(W199=0,0,N(R199)*MAX(0,X199-MAX(W199,YEAR(Cfg_Hoje)*12+MONTH(Cfg_Hoje)+IF(DAY(Cfg_Hoje)&gt;=INDEX(Cartoes_Fech,MATCH($F199,Cartoes_Nome,0)),1,0))+1))</f>
        <v>0</v>
      </c>
      <c r="Z199" s="40">
        <f>IF($A199="",0,DAY($A199))</f>
        <v>17</v>
      </c>
      <c r="AA199" s="40">
        <f>IF($A199="",0,WEEKDAY($A199))</f>
        <v>7</v>
      </c>
      <c r="AB199" s="36">
        <f>IF(AND($C199="Despesa",U199&gt;0,U199&lt;=Sel_Idx,V199&gt;=Sel_Idx),N(R199)+ROW()/1000000000,0)</f>
        <v>0</v>
      </c>
      <c r="AC199" s="40">
        <f>IF(AND($C199="Despesa",U199&gt;0,U199&lt;=Sel_Idx,V199&gt;=Sel_Idx),Z199*10000+ROW(),0)</f>
        <v>0</v>
      </c>
      <c r="AD199" s="40">
        <f>IF(AC199=0,0,COUNTIFS(L_CalChave,"&gt;0",L_CalChave,"&lt;"&amp;AC199)+1)</f>
        <v>0</v>
      </c>
    </row>
    <row r="200">
      <c r="A200" s="38" t="n">
        <v>46041</v>
      </c>
      <c r="B200" s="39" t="inlineStr">
        <is>
          <t>Bar com amigos</t>
        </is>
      </c>
      <c r="C200" s="34" t="inlineStr">
        <is>
          <t>Despesa</t>
        </is>
      </c>
      <c r="D200" s="34" t="inlineStr">
        <is>
          <t>Lazer</t>
        </is>
      </c>
      <c r="E200" s="34" t="inlineStr">
        <is>
          <t>Cinema</t>
        </is>
      </c>
      <c r="F200" s="34" t="inlineStr">
        <is>
          <t>Cartão Roxinho</t>
        </is>
      </c>
      <c r="G200" s="34" t="inlineStr">
        <is>
          <t>Crédito</t>
        </is>
      </c>
      <c r="H200" s="37" t="n"/>
      <c r="I200" s="37" t="n"/>
      <c r="J200" s="34" t="inlineStr">
        <is>
          <t>Pago</t>
        </is>
      </c>
      <c r="K200" s="34" t="n"/>
      <c r="L200" s="34" t="n"/>
      <c r="M200" s="39" t="inlineStr">
        <is>
          <t>EXEMPLO</t>
        </is>
      </c>
      <c r="N200" s="35" t="n">
        <v>140.7</v>
      </c>
      <c r="O200" s="40">
        <f>IF($A200="","",MONTH($A200))</f>
        <v>1</v>
      </c>
      <c r="P200" s="40">
        <f>IF($A200="","",YEAR($A200))</f>
        <v>2026</v>
      </c>
      <c r="Q200" s="41">
        <f>IF($A200="","",DATE(P200,O200,1))</f>
        <v>46023.0</v>
      </c>
      <c r="R200" s="36">
        <f>IF(OR($A200="",$N200=""),"",IF(AND($C200&lt;&gt;"Transferência",N($I200)&gt;1),$N200/$I200,$N200))</f>
        <v>140.7</v>
      </c>
      <c r="S200" s="41">
        <f>IF(OR($A200="",$F200="",$C200&lt;&gt;"Despesa"),"",IF(COUNTIF(Cartoes_Nome,$F200)=0,"",DATE(P200,O200+IF(DAY($A200)&gt;=INDEX(Cartoes_Fech,MATCH($F200,Cartoes_Nome,0)),1,0),1)))</f>
        <v>46023.0</v>
      </c>
      <c r="T200" s="42" t="str">
        <f>IF($A200="","",IF(COUNTIFS(L_Data,$A200,L_Desc,$B200,L_Valor,$N200,L_Tipo,$C200)&gt;1,"⚠ Possível duplicidade",IF(OR(AND($C200="Despesa",COUNTIF(CatD_Nome,$D200)=0),AND($C200="Receita",COUNTIF(CatR_Nome,$D200)=0)),"⚠ Categoria não combina com o tipo",IF(OR($N200="",$C200=""),"⚠ Falta valor ou tipo",""))))</f>
        <v/>
      </c>
      <c r="U200" s="40">
        <f>IF($A200="",0,P200*12+O200)</f>
        <v>24313</v>
      </c>
      <c r="V200" s="40">
        <f>IF($A200="",0,U200+MAX(0,N($I200)-MAX(N($H200),1)))</f>
        <v>24313</v>
      </c>
      <c r="W200" s="40">
        <f>IF(S200="",0,YEAR(S200)*12+MONTH(S200))</f>
        <v>24313</v>
      </c>
      <c r="X200" s="40">
        <f>IF(W200=0,0,W200+V200-U200)</f>
        <v>24313</v>
      </c>
      <c r="Y200" s="36">
        <f>IF(W200=0,0,N(R200)*MAX(0,X200-MAX(W200,YEAR(Cfg_Hoje)*12+MONTH(Cfg_Hoje)+IF(DAY(Cfg_Hoje)&gt;=INDEX(Cartoes_Fech,MATCH($F200,Cartoes_Nome,0)),1,0))+1))</f>
        <v>0</v>
      </c>
      <c r="Z200" s="40">
        <f>IF($A200="",0,DAY($A200))</f>
        <v>19</v>
      </c>
      <c r="AA200" s="40">
        <f>IF($A200="",0,WEEKDAY($A200))</f>
        <v>2</v>
      </c>
      <c r="AB200" s="36">
        <f>IF(AND($C200="Despesa",U200&gt;0,U200&lt;=Sel_Idx,V200&gt;=Sel_Idx),N(R200)+ROW()/1000000000,0)</f>
        <v>0</v>
      </c>
      <c r="AC200" s="40">
        <f>IF(AND($C200="Despesa",U200&gt;0,U200&lt;=Sel_Idx,V200&gt;=Sel_Idx),Z200*10000+ROW(),0)</f>
        <v>0</v>
      </c>
      <c r="AD200" s="40">
        <f>IF(AC200=0,0,COUNTIFS(L_CalChave,"&gt;0",L_CalChave,"&lt;"&amp;AC200)+1)</f>
        <v>0</v>
      </c>
    </row>
    <row r="201">
      <c r="A201" s="38" t="n">
        <v>46041</v>
      </c>
      <c r="B201" s="39" t="inlineStr">
        <is>
          <t>Supermercado</t>
        </is>
      </c>
      <c r="C201" s="34" t="inlineStr">
        <is>
          <t>Despesa</t>
        </is>
      </c>
      <c r="D201" s="34" t="inlineStr">
        <is>
          <t>Alimentação</t>
        </is>
      </c>
      <c r="E201" s="34" t="inlineStr">
        <is>
          <t>Mercado</t>
        </is>
      </c>
      <c r="F201" s="34" t="inlineStr">
        <is>
          <t>Cartão Azul Gold</t>
        </is>
      </c>
      <c r="G201" s="34" t="inlineStr">
        <is>
          <t>Crédito</t>
        </is>
      </c>
      <c r="H201" s="37" t="n"/>
      <c r="I201" s="37" t="n"/>
      <c r="J201" s="34" t="inlineStr">
        <is>
          <t>Pago</t>
        </is>
      </c>
      <c r="K201" s="34" t="n"/>
      <c r="L201" s="34" t="n"/>
      <c r="M201" s="39" t="inlineStr">
        <is>
          <t>EXEMPLO</t>
        </is>
      </c>
      <c r="N201" s="35" t="n">
        <v>419.86</v>
      </c>
      <c r="O201" s="40">
        <f>IF($A201="","",MONTH($A201))</f>
        <v>1</v>
      </c>
      <c r="P201" s="40">
        <f>IF($A201="","",YEAR($A201))</f>
        <v>2026</v>
      </c>
      <c r="Q201" s="41">
        <f>IF($A201="","",DATE(P201,O201,1))</f>
        <v>46023.0</v>
      </c>
      <c r="R201" s="36">
        <f>IF(OR($A201="",$N201=""),"",IF(AND($C201&lt;&gt;"Transferência",N($I201)&gt;1),$N201/$I201,$N201))</f>
        <v>419.86</v>
      </c>
      <c r="S201" s="41">
        <f>IF(OR($A201="",$F201="",$C201&lt;&gt;"Despesa"),"",IF(COUNTIF(Cartoes_Nome,$F201)=0,"",DATE(P201,O201+IF(DAY($A201)&gt;=INDEX(Cartoes_Fech,MATCH($F201,Cartoes_Nome,0)),1,0),1)))</f>
        <v>46054.0</v>
      </c>
      <c r="T201" s="42" t="str">
        <f>IF($A201="","",IF(COUNTIFS(L_Data,$A201,L_Desc,$B201,L_Valor,$N201,L_Tipo,$C201)&gt;1,"⚠ Possível duplicidade",IF(OR(AND($C201="Despesa",COUNTIF(CatD_Nome,$D201)=0),AND($C201="Receita",COUNTIF(CatR_Nome,$D201)=0)),"⚠ Categoria não combina com o tipo",IF(OR($N201="",$C201=""),"⚠ Falta valor ou tipo",""))))</f>
        <v/>
      </c>
      <c r="U201" s="40">
        <f>IF($A201="",0,P201*12+O201)</f>
        <v>24313</v>
      </c>
      <c r="V201" s="40">
        <f>IF($A201="",0,U201+MAX(0,N($I201)-MAX(N($H201),1)))</f>
        <v>24313</v>
      </c>
      <c r="W201" s="40">
        <f>IF(S201="",0,YEAR(S201)*12+MONTH(S201))</f>
        <v>24314</v>
      </c>
      <c r="X201" s="40">
        <f>IF(W201=0,0,W201+V201-U201)</f>
        <v>24314</v>
      </c>
      <c r="Y201" s="36">
        <f>IF(W201=0,0,N(R201)*MAX(0,X201-MAX(W201,YEAR(Cfg_Hoje)*12+MONTH(Cfg_Hoje)+IF(DAY(Cfg_Hoje)&gt;=INDEX(Cartoes_Fech,MATCH($F201,Cartoes_Nome,0)),1,0))+1))</f>
        <v>0</v>
      </c>
      <c r="Z201" s="40">
        <f>IF($A201="",0,DAY($A201))</f>
        <v>19</v>
      </c>
      <c r="AA201" s="40">
        <f>IF($A201="",0,WEEKDAY($A201))</f>
        <v>2</v>
      </c>
      <c r="AB201" s="36">
        <f>IF(AND($C201="Despesa",U201&gt;0,U201&lt;=Sel_Idx,V201&gt;=Sel_Idx),N(R201)+ROW()/1000000000,0)</f>
        <v>0</v>
      </c>
      <c r="AC201" s="40">
        <f>IF(AND($C201="Despesa",U201&gt;0,U201&lt;=Sel_Idx,V201&gt;=Sel_Idx),Z201*10000+ROW(),0)</f>
        <v>0</v>
      </c>
      <c r="AD201" s="40">
        <f>IF(AC201=0,0,COUNTIFS(L_CalChave,"&gt;0",L_CalChave,"&lt;"&amp;AC201)+1)</f>
        <v>0</v>
      </c>
    </row>
    <row r="202">
      <c r="A202" s="38" t="n">
        <v>46042</v>
      </c>
      <c r="B202" s="39" t="inlineStr">
        <is>
          <t>Internet fibra</t>
        </is>
      </c>
      <c r="C202" s="34" t="inlineStr">
        <is>
          <t>Despesa</t>
        </is>
      </c>
      <c r="D202" s="34" t="inlineStr">
        <is>
          <t>Moradia</t>
        </is>
      </c>
      <c r="E202" s="34" t="inlineStr">
        <is>
          <t>Internet</t>
        </is>
      </c>
      <c r="F202" s="34" t="inlineStr">
        <is>
          <t>Conta Corrente Banco Azul</t>
        </is>
      </c>
      <c r="G202" s="34" t="inlineStr">
        <is>
          <t>Débito automático</t>
        </is>
      </c>
      <c r="H202" s="37" t="n"/>
      <c r="I202" s="37" t="n"/>
      <c r="J202" s="34" t="inlineStr">
        <is>
          <t>Pago</t>
        </is>
      </c>
      <c r="K202" s="34" t="n"/>
      <c r="L202" s="34" t="n"/>
      <c r="M202" s="39" t="inlineStr">
        <is>
          <t>EXEMPLO</t>
        </is>
      </c>
      <c r="N202" s="35" t="n">
        <v>129.9</v>
      </c>
      <c r="O202" s="40">
        <f>IF($A202="","",MONTH($A202))</f>
        <v>1</v>
      </c>
      <c r="P202" s="40">
        <f>IF($A202="","",YEAR($A202))</f>
        <v>2026</v>
      </c>
      <c r="Q202" s="41">
        <f>IF($A202="","",DATE(P202,O202,1))</f>
        <v>46023.0</v>
      </c>
      <c r="R202" s="36">
        <f>IF(OR($A202="",$N202=""),"",IF(AND($C202&lt;&gt;"Transferência",N($I202)&gt;1),$N202/$I202,$N202))</f>
        <v>129.9</v>
      </c>
      <c r="S202" s="41" t="str">
        <f>IF(OR($A202="",$F202="",$C202&lt;&gt;"Despesa"),"",IF(COUNTIF(Cartoes_Nome,$F202)=0,"",DATE(P202,O202+IF(DAY($A202)&gt;=INDEX(Cartoes_Fech,MATCH($F202,Cartoes_Nome,0)),1,0),1)))</f>
        <v/>
      </c>
      <c r="T202" s="42" t="str">
        <f>IF($A202="","",IF(COUNTIFS(L_Data,$A202,L_Desc,$B202,L_Valor,$N202,L_Tipo,$C202)&gt;1,"⚠ Possível duplicidade",IF(OR(AND($C202="Despesa",COUNTIF(CatD_Nome,$D202)=0),AND($C202="Receita",COUNTIF(CatR_Nome,$D202)=0)),"⚠ Categoria não combina com o tipo",IF(OR($N202="",$C202=""),"⚠ Falta valor ou tipo",""))))</f>
        <v/>
      </c>
      <c r="U202" s="40">
        <f>IF($A202="",0,P202*12+O202)</f>
        <v>24313</v>
      </c>
      <c r="V202" s="40">
        <f>IF($A202="",0,U202+MAX(0,N($I202)-MAX(N($H202),1)))</f>
        <v>24313</v>
      </c>
      <c r="W202" s="40">
        <f>IF(S202="",0,YEAR(S202)*12+MONTH(S202))</f>
        <v>0</v>
      </c>
      <c r="X202" s="40">
        <f>IF(W202=0,0,W202+V202-U202)</f>
        <v>0</v>
      </c>
      <c r="Y202" s="36">
        <f>IF(W202=0,0,N(R202)*MAX(0,X202-MAX(W202,YEAR(Cfg_Hoje)*12+MONTH(Cfg_Hoje)+IF(DAY(Cfg_Hoje)&gt;=INDEX(Cartoes_Fech,MATCH($F202,Cartoes_Nome,0)),1,0))+1))</f>
        <v>0</v>
      </c>
      <c r="Z202" s="40">
        <f>IF($A202="",0,DAY($A202))</f>
        <v>20</v>
      </c>
      <c r="AA202" s="40">
        <f>IF($A202="",0,WEEKDAY($A202))</f>
        <v>3</v>
      </c>
      <c r="AB202" s="36">
        <f>IF(AND($C202="Despesa",U202&gt;0,U202&lt;=Sel_Idx,V202&gt;=Sel_Idx),N(R202)+ROW()/1000000000,0)</f>
        <v>0</v>
      </c>
      <c r="AC202" s="40">
        <f>IF(AND($C202="Despesa",U202&gt;0,U202&lt;=Sel_Idx,V202&gt;=Sel_Idx),Z202*10000+ROW(),0)</f>
        <v>0</v>
      </c>
      <c r="AD202" s="40">
        <f>IF(AC202=0,0,COUNTIFS(L_CalChave,"&gt;0",L_CalChave,"&lt;"&amp;AC202)+1)</f>
        <v>0</v>
      </c>
    </row>
    <row r="203">
      <c r="A203" s="38" t="n">
        <v>46042</v>
      </c>
      <c r="B203" s="39" t="inlineStr">
        <is>
          <t>Parcela financiamento do carro</t>
        </is>
      </c>
      <c r="C203" s="34" t="inlineStr">
        <is>
          <t>Despesa</t>
        </is>
      </c>
      <c r="D203" s="34" t="inlineStr">
        <is>
          <t>Dívidas e Financiamentos</t>
        </is>
      </c>
      <c r="E203" s="34" t="inlineStr">
        <is>
          <t>Financiamento</t>
        </is>
      </c>
      <c r="F203" s="34" t="inlineStr">
        <is>
          <t>Conta Corrente Banco Azul</t>
        </is>
      </c>
      <c r="G203" s="34" t="inlineStr">
        <is>
          <t>Débito automático</t>
        </is>
      </c>
      <c r="H203" s="37" t="n"/>
      <c r="I203" s="37" t="n"/>
      <c r="J203" s="34" t="inlineStr">
        <is>
          <t>Pago</t>
        </is>
      </c>
      <c r="K203" s="34" t="n"/>
      <c r="L203" s="34" t="n"/>
      <c r="M203" s="39" t="inlineStr">
        <is>
          <t>EXEMPLO</t>
        </is>
      </c>
      <c r="N203" s="35" t="n">
        <v>1150</v>
      </c>
      <c r="O203" s="40">
        <f>IF($A203="","",MONTH($A203))</f>
        <v>1</v>
      </c>
      <c r="P203" s="40">
        <f>IF($A203="","",YEAR($A203))</f>
        <v>2026</v>
      </c>
      <c r="Q203" s="41">
        <f>IF($A203="","",DATE(P203,O203,1))</f>
        <v>46023.0</v>
      </c>
      <c r="R203" s="36">
        <f>IF(OR($A203="",$N203=""),"",IF(AND($C203&lt;&gt;"Transferência",N($I203)&gt;1),$N203/$I203,$N203))</f>
        <v>1150</v>
      </c>
      <c r="S203" s="41" t="str">
        <f>IF(OR($A203="",$F203="",$C203&lt;&gt;"Despesa"),"",IF(COUNTIF(Cartoes_Nome,$F203)=0,"",DATE(P203,O203+IF(DAY($A203)&gt;=INDEX(Cartoes_Fech,MATCH($F203,Cartoes_Nome,0)),1,0),1)))</f>
        <v/>
      </c>
      <c r="T203" s="42" t="str">
        <f>IF($A203="","",IF(COUNTIFS(L_Data,$A203,L_Desc,$B203,L_Valor,$N203,L_Tipo,$C203)&gt;1,"⚠ Possível duplicidade",IF(OR(AND($C203="Despesa",COUNTIF(CatD_Nome,$D203)=0),AND($C203="Receita",COUNTIF(CatR_Nome,$D203)=0)),"⚠ Categoria não combina com o tipo",IF(OR($N203="",$C203=""),"⚠ Falta valor ou tipo",""))))</f>
        <v/>
      </c>
      <c r="U203" s="40">
        <f>IF($A203="",0,P203*12+O203)</f>
        <v>24313</v>
      </c>
      <c r="V203" s="40">
        <f>IF($A203="",0,U203+MAX(0,N($I203)-MAX(N($H203),1)))</f>
        <v>24313</v>
      </c>
      <c r="W203" s="40">
        <f>IF(S203="",0,YEAR(S203)*12+MONTH(S203))</f>
        <v>0</v>
      </c>
      <c r="X203" s="40">
        <f>IF(W203=0,0,W203+V203-U203)</f>
        <v>0</v>
      </c>
      <c r="Y203" s="36">
        <f>IF(W203=0,0,N(R203)*MAX(0,X203-MAX(W203,YEAR(Cfg_Hoje)*12+MONTH(Cfg_Hoje)+IF(DAY(Cfg_Hoje)&gt;=INDEX(Cartoes_Fech,MATCH($F203,Cartoes_Nome,0)),1,0))+1))</f>
        <v>0</v>
      </c>
      <c r="Z203" s="40">
        <f>IF($A203="",0,DAY($A203))</f>
        <v>20</v>
      </c>
      <c r="AA203" s="40">
        <f>IF($A203="",0,WEEKDAY($A203))</f>
        <v>3</v>
      </c>
      <c r="AB203" s="36">
        <f>IF(AND($C203="Despesa",U203&gt;0,U203&lt;=Sel_Idx,V203&gt;=Sel_Idx),N(R203)+ROW()/1000000000,0)</f>
        <v>0</v>
      </c>
      <c r="AC203" s="40">
        <f>IF(AND($C203="Despesa",U203&gt;0,U203&lt;=Sel_Idx,V203&gt;=Sel_Idx),Z203*10000+ROW(),0)</f>
        <v>0</v>
      </c>
      <c r="AD203" s="40">
        <f>IF(AC203=0,0,COUNTIFS(L_CalChave,"&gt;0",L_CalChave,"&lt;"&amp;AC203)+1)</f>
        <v>0</v>
      </c>
    </row>
    <row r="204">
      <c r="A204" s="38" t="n">
        <v>46044</v>
      </c>
      <c r="B204" s="39" t="inlineStr">
        <is>
          <t>Parcela empréstimo pessoal</t>
        </is>
      </c>
      <c r="C204" s="34" t="inlineStr">
        <is>
          <t>Despesa</t>
        </is>
      </c>
      <c r="D204" s="34" t="inlineStr">
        <is>
          <t>Dívidas e Financiamentos</t>
        </is>
      </c>
      <c r="E204" s="34" t="inlineStr">
        <is>
          <t>Empréstimo</t>
        </is>
      </c>
      <c r="F204" s="34" t="inlineStr">
        <is>
          <t>Conta Corrente Banco Azul</t>
        </is>
      </c>
      <c r="G204" s="34" t="inlineStr">
        <is>
          <t>Débito automático</t>
        </is>
      </c>
      <c r="H204" s="37" t="n"/>
      <c r="I204" s="37" t="n"/>
      <c r="J204" s="34" t="inlineStr">
        <is>
          <t>Pago</t>
        </is>
      </c>
      <c r="K204" s="34" t="n"/>
      <c r="L204" s="34" t="n"/>
      <c r="M204" s="39" t="inlineStr">
        <is>
          <t>EXEMPLO</t>
        </is>
      </c>
      <c r="N204" s="35" t="n">
        <v>580</v>
      </c>
      <c r="O204" s="40">
        <f>IF($A204="","",MONTH($A204))</f>
        <v>1</v>
      </c>
      <c r="P204" s="40">
        <f>IF($A204="","",YEAR($A204))</f>
        <v>2026</v>
      </c>
      <c r="Q204" s="41">
        <f>IF($A204="","",DATE(P204,O204,1))</f>
        <v>46023.0</v>
      </c>
      <c r="R204" s="36">
        <f>IF(OR($A204="",$N204=""),"",IF(AND($C204&lt;&gt;"Transferência",N($I204)&gt;1),$N204/$I204,$N204))</f>
        <v>580</v>
      </c>
      <c r="S204" s="41" t="str">
        <f>IF(OR($A204="",$F204="",$C204&lt;&gt;"Despesa"),"",IF(COUNTIF(Cartoes_Nome,$F204)=0,"",DATE(P204,O204+IF(DAY($A204)&gt;=INDEX(Cartoes_Fech,MATCH($F204,Cartoes_Nome,0)),1,0),1)))</f>
        <v/>
      </c>
      <c r="T204" s="42" t="str">
        <f>IF($A204="","",IF(COUNTIFS(L_Data,$A204,L_Desc,$B204,L_Valor,$N204,L_Tipo,$C204)&gt;1,"⚠ Possível duplicidade",IF(OR(AND($C204="Despesa",COUNTIF(CatD_Nome,$D204)=0),AND($C204="Receita",COUNTIF(CatR_Nome,$D204)=0)),"⚠ Categoria não combina com o tipo",IF(OR($N204="",$C204=""),"⚠ Falta valor ou tipo",""))))</f>
        <v/>
      </c>
      <c r="U204" s="40">
        <f>IF($A204="",0,P204*12+O204)</f>
        <v>24313</v>
      </c>
      <c r="V204" s="40">
        <f>IF($A204="",0,U204+MAX(0,N($I204)-MAX(N($H204),1)))</f>
        <v>24313</v>
      </c>
      <c r="W204" s="40">
        <f>IF(S204="",0,YEAR(S204)*12+MONTH(S204))</f>
        <v>0</v>
      </c>
      <c r="X204" s="40">
        <f>IF(W204=0,0,W204+V204-U204)</f>
        <v>0</v>
      </c>
      <c r="Y204" s="36">
        <f>IF(W204=0,0,N(R204)*MAX(0,X204-MAX(W204,YEAR(Cfg_Hoje)*12+MONTH(Cfg_Hoje)+IF(DAY(Cfg_Hoje)&gt;=INDEX(Cartoes_Fech,MATCH($F204,Cartoes_Nome,0)),1,0))+1))</f>
        <v>0</v>
      </c>
      <c r="Z204" s="40">
        <f>IF($A204="",0,DAY($A204))</f>
        <v>22</v>
      </c>
      <c r="AA204" s="40">
        <f>IF($A204="",0,WEEKDAY($A204))</f>
        <v>5</v>
      </c>
      <c r="AB204" s="36">
        <f>IF(AND($C204="Despesa",U204&gt;0,U204&lt;=Sel_Idx,V204&gt;=Sel_Idx),N(R204)+ROW()/1000000000,0)</f>
        <v>0</v>
      </c>
      <c r="AC204" s="40">
        <f>IF(AND($C204="Despesa",U204&gt;0,U204&lt;=Sel_Idx,V204&gt;=Sel_Idx),Z204*10000+ROW(),0)</f>
        <v>0</v>
      </c>
      <c r="AD204" s="40">
        <f>IF(AC204=0,0,COUNTIFS(L_CalChave,"&gt;0",L_CalChave,"&lt;"&amp;AC204)+1)</f>
        <v>0</v>
      </c>
    </row>
    <row r="205">
      <c r="A205" s="38" t="n">
        <v>46047</v>
      </c>
      <c r="B205" s="39" t="inlineStr">
        <is>
          <t>Parcela renegociação da fatura</t>
        </is>
      </c>
      <c r="C205" s="34" t="inlineStr">
        <is>
          <t>Despesa</t>
        </is>
      </c>
      <c r="D205" s="34" t="inlineStr">
        <is>
          <t>Dívidas e Financiamentos</t>
        </is>
      </c>
      <c r="E205" s="34" t="n"/>
      <c r="F205" s="34" t="inlineStr">
        <is>
          <t>Conta Corrente Banco Azul</t>
        </is>
      </c>
      <c r="G205" s="34" t="inlineStr">
        <is>
          <t>Boleto</t>
        </is>
      </c>
      <c r="H205" s="37" t="n"/>
      <c r="I205" s="37" t="n"/>
      <c r="J205" s="34" t="inlineStr">
        <is>
          <t>Pago</t>
        </is>
      </c>
      <c r="K205" s="34" t="n"/>
      <c r="L205" s="34" t="n"/>
      <c r="M205" s="39" t="inlineStr">
        <is>
          <t>EXEMPLO</t>
        </is>
      </c>
      <c r="N205" s="35" t="n">
        <v>460</v>
      </c>
      <c r="O205" s="40">
        <f>IF($A205="","",MONTH($A205))</f>
        <v>1</v>
      </c>
      <c r="P205" s="40">
        <f>IF($A205="","",YEAR($A205))</f>
        <v>2026</v>
      </c>
      <c r="Q205" s="41">
        <f>IF($A205="","",DATE(P205,O205,1))</f>
        <v>46023.0</v>
      </c>
      <c r="R205" s="36">
        <f>IF(OR($A205="",$N205=""),"",IF(AND($C205&lt;&gt;"Transferência",N($I205)&gt;1),$N205/$I205,$N205))</f>
        <v>460</v>
      </c>
      <c r="S205" s="41" t="str">
        <f>IF(OR($A205="",$F205="",$C205&lt;&gt;"Despesa"),"",IF(COUNTIF(Cartoes_Nome,$F205)=0,"",DATE(P205,O205+IF(DAY($A205)&gt;=INDEX(Cartoes_Fech,MATCH($F205,Cartoes_Nome,0)),1,0),1)))</f>
        <v/>
      </c>
      <c r="T205" s="42" t="str">
        <f>IF($A205="","",IF(COUNTIFS(L_Data,$A205,L_Desc,$B205,L_Valor,$N205,L_Tipo,$C205)&gt;1,"⚠ Possível duplicidade",IF(OR(AND($C205="Despesa",COUNTIF(CatD_Nome,$D205)=0),AND($C205="Receita",COUNTIF(CatR_Nome,$D205)=0)),"⚠ Categoria não combina com o tipo",IF(OR($N205="",$C205=""),"⚠ Falta valor ou tipo",""))))</f>
        <v/>
      </c>
      <c r="U205" s="40">
        <f>IF($A205="",0,P205*12+O205)</f>
        <v>24313</v>
      </c>
      <c r="V205" s="40">
        <f>IF($A205="",0,U205+MAX(0,N($I205)-MAX(N($H205),1)))</f>
        <v>24313</v>
      </c>
      <c r="W205" s="40">
        <f>IF(S205="",0,YEAR(S205)*12+MONTH(S205))</f>
        <v>0</v>
      </c>
      <c r="X205" s="40">
        <f>IF(W205=0,0,W205+V205-U205)</f>
        <v>0</v>
      </c>
      <c r="Y205" s="36">
        <f>IF(W205=0,0,N(R205)*MAX(0,X205-MAX(W205,YEAR(Cfg_Hoje)*12+MONTH(Cfg_Hoje)+IF(DAY(Cfg_Hoje)&gt;=INDEX(Cartoes_Fech,MATCH($F205,Cartoes_Nome,0)),1,0))+1))</f>
        <v>0</v>
      </c>
      <c r="Z205" s="40">
        <f>IF($A205="",0,DAY($A205))</f>
        <v>25</v>
      </c>
      <c r="AA205" s="40">
        <f>IF($A205="",0,WEEKDAY($A205))</f>
        <v>1</v>
      </c>
      <c r="AB205" s="36">
        <f>IF(AND($C205="Despesa",U205&gt;0,U205&lt;=Sel_Idx,V205&gt;=Sel_Idx),N(R205)+ROW()/1000000000,0)</f>
        <v>0</v>
      </c>
      <c r="AC205" s="40">
        <f>IF(AND($C205="Despesa",U205&gt;0,U205&lt;=Sel_Idx,V205&gt;=Sel_Idx),Z205*10000+ROW(),0)</f>
        <v>0</v>
      </c>
      <c r="AD205" s="40">
        <f>IF(AC205=0,0,COUNTIFS(L_CalChave,"&gt;0",L_CalChave,"&lt;"&amp;AC205)+1)</f>
        <v>0</v>
      </c>
    </row>
    <row r="206">
      <c r="A206" s="38" t="n">
        <v>46048</v>
      </c>
      <c r="B206" s="39" t="inlineStr">
        <is>
          <t>Corrida de aplicativo</t>
        </is>
      </c>
      <c r="C206" s="34" t="inlineStr">
        <is>
          <t>Despesa</t>
        </is>
      </c>
      <c r="D206" s="34" t="inlineStr">
        <is>
          <t>Transporte</t>
        </is>
      </c>
      <c r="E206" s="34" t="inlineStr">
        <is>
          <t>App de transporte</t>
        </is>
      </c>
      <c r="F206" s="34" t="inlineStr">
        <is>
          <t>Conta Corrente Banco Azul</t>
        </is>
      </c>
      <c r="G206" s="34" t="inlineStr">
        <is>
          <t>Pix</t>
        </is>
      </c>
      <c r="H206" s="37" t="n"/>
      <c r="I206" s="37" t="n"/>
      <c r="J206" s="34" t="inlineStr">
        <is>
          <t>Pago</t>
        </is>
      </c>
      <c r="K206" s="34" t="n"/>
      <c r="L206" s="34" t="n"/>
      <c r="M206" s="39" t="inlineStr">
        <is>
          <t>EXEMPLO</t>
        </is>
      </c>
      <c r="N206" s="35" t="n">
        <v>43.01</v>
      </c>
      <c r="O206" s="40">
        <f>IF($A206="","",MONTH($A206))</f>
        <v>1</v>
      </c>
      <c r="P206" s="40">
        <f>IF($A206="","",YEAR($A206))</f>
        <v>2026</v>
      </c>
      <c r="Q206" s="41">
        <f>IF($A206="","",DATE(P206,O206,1))</f>
        <v>46023.0</v>
      </c>
      <c r="R206" s="36">
        <f>IF(OR($A206="",$N206=""),"",IF(AND($C206&lt;&gt;"Transferência",N($I206)&gt;1),$N206/$I206,$N206))</f>
        <v>43.01</v>
      </c>
      <c r="S206" s="41" t="str">
        <f>IF(OR($A206="",$F206="",$C206&lt;&gt;"Despesa"),"",IF(COUNTIF(Cartoes_Nome,$F206)=0,"",DATE(P206,O206+IF(DAY($A206)&gt;=INDEX(Cartoes_Fech,MATCH($F206,Cartoes_Nome,0)),1,0),1)))</f>
        <v/>
      </c>
      <c r="T206" s="42" t="str">
        <f>IF($A206="","",IF(COUNTIFS(L_Data,$A206,L_Desc,$B206,L_Valor,$N206,L_Tipo,$C206)&gt;1,"⚠ Possível duplicidade",IF(OR(AND($C206="Despesa",COUNTIF(CatD_Nome,$D206)=0),AND($C206="Receita",COUNTIF(CatR_Nome,$D206)=0)),"⚠ Categoria não combina com o tipo",IF(OR($N206="",$C206=""),"⚠ Falta valor ou tipo",""))))</f>
        <v/>
      </c>
      <c r="U206" s="40">
        <f>IF($A206="",0,P206*12+O206)</f>
        <v>24313</v>
      </c>
      <c r="V206" s="40">
        <f>IF($A206="",0,U206+MAX(0,N($I206)-MAX(N($H206),1)))</f>
        <v>24313</v>
      </c>
      <c r="W206" s="40">
        <f>IF(S206="",0,YEAR(S206)*12+MONTH(S206))</f>
        <v>0</v>
      </c>
      <c r="X206" s="40">
        <f>IF(W206=0,0,W206+V206-U206)</f>
        <v>0</v>
      </c>
      <c r="Y206" s="36">
        <f>IF(W206=0,0,N(R206)*MAX(0,X206-MAX(W206,YEAR(Cfg_Hoje)*12+MONTH(Cfg_Hoje)+IF(DAY(Cfg_Hoje)&gt;=INDEX(Cartoes_Fech,MATCH($F206,Cartoes_Nome,0)),1,0))+1))</f>
        <v>0</v>
      </c>
      <c r="Z206" s="40">
        <f>IF($A206="",0,DAY($A206))</f>
        <v>26</v>
      </c>
      <c r="AA206" s="40">
        <f>IF($A206="",0,WEEKDAY($A206))</f>
        <v>2</v>
      </c>
      <c r="AB206" s="36">
        <f>IF(AND($C206="Despesa",U206&gt;0,U206&lt;=Sel_Idx,V206&gt;=Sel_Idx),N(R206)+ROW()/1000000000,0)</f>
        <v>0</v>
      </c>
      <c r="AC206" s="40">
        <f>IF(AND($C206="Despesa",U206&gt;0,U206&lt;=Sel_Idx,V206&gt;=Sel_Idx),Z206*10000+ROW(),0)</f>
        <v>0</v>
      </c>
      <c r="AD206" s="40">
        <f>IF(AC206=0,0,COUNTIFS(L_CalChave,"&gt;0",L_CalChave,"&lt;"&amp;AC206)+1)</f>
        <v>0</v>
      </c>
    </row>
    <row r="207">
      <c r="A207" s="38" t="n">
        <v>46048</v>
      </c>
      <c r="B207" s="39" t="inlineStr">
        <is>
          <t>Padaria e café</t>
        </is>
      </c>
      <c r="C207" s="34" t="inlineStr">
        <is>
          <t>Despesa</t>
        </is>
      </c>
      <c r="D207" s="34" t="inlineStr">
        <is>
          <t>Alimentação</t>
        </is>
      </c>
      <c r="E207" s="34" t="inlineStr">
        <is>
          <t>Delivery</t>
        </is>
      </c>
      <c r="F207" s="34" t="inlineStr">
        <is>
          <t>Cartão Roxinho</t>
        </is>
      </c>
      <c r="G207" s="34" t="inlineStr">
        <is>
          <t>Crédito</t>
        </is>
      </c>
      <c r="H207" s="37" t="n"/>
      <c r="I207" s="37" t="n"/>
      <c r="J207" s="34" t="inlineStr">
        <is>
          <t>Pago</t>
        </is>
      </c>
      <c r="K207" s="34" t="n"/>
      <c r="L207" s="34" t="n"/>
      <c r="M207" s="39" t="inlineStr">
        <is>
          <t>EXEMPLO</t>
        </is>
      </c>
      <c r="N207" s="35" t="n">
        <v>99.34999999999999</v>
      </c>
      <c r="O207" s="40">
        <f>IF($A207="","",MONTH($A207))</f>
        <v>1</v>
      </c>
      <c r="P207" s="40">
        <f>IF($A207="","",YEAR($A207))</f>
        <v>2026</v>
      </c>
      <c r="Q207" s="41">
        <f>IF($A207="","",DATE(P207,O207,1))</f>
        <v>46023.0</v>
      </c>
      <c r="R207" s="36">
        <f>IF(OR($A207="",$N207=""),"",IF(AND($C207&lt;&gt;"Transferência",N($I207)&gt;1),$N207/$I207,$N207))</f>
        <v>99.35</v>
      </c>
      <c r="S207" s="41">
        <f>IF(OR($A207="",$F207="",$C207&lt;&gt;"Despesa"),"",IF(COUNTIF(Cartoes_Nome,$F207)=0,"",DATE(P207,O207+IF(DAY($A207)&gt;=INDEX(Cartoes_Fech,MATCH($F207,Cartoes_Nome,0)),1,0),1)))</f>
        <v>46054.0</v>
      </c>
      <c r="T207" s="42" t="str">
        <f>IF($A207="","",IF(COUNTIFS(L_Data,$A207,L_Desc,$B207,L_Valor,$N207,L_Tipo,$C207)&gt;1,"⚠ Possível duplicidade",IF(OR(AND($C207="Despesa",COUNTIF(CatD_Nome,$D207)=0),AND($C207="Receita",COUNTIF(CatR_Nome,$D207)=0)),"⚠ Categoria não combina com o tipo",IF(OR($N207="",$C207=""),"⚠ Falta valor ou tipo",""))))</f>
        <v/>
      </c>
      <c r="U207" s="40">
        <f>IF($A207="",0,P207*12+O207)</f>
        <v>24313</v>
      </c>
      <c r="V207" s="40">
        <f>IF($A207="",0,U207+MAX(0,N($I207)-MAX(N($H207),1)))</f>
        <v>24313</v>
      </c>
      <c r="W207" s="40">
        <f>IF(S207="",0,YEAR(S207)*12+MONTH(S207))</f>
        <v>24314</v>
      </c>
      <c r="X207" s="40">
        <f>IF(W207=0,0,W207+V207-U207)</f>
        <v>24314</v>
      </c>
      <c r="Y207" s="36">
        <f>IF(W207=0,0,N(R207)*MAX(0,X207-MAX(W207,YEAR(Cfg_Hoje)*12+MONTH(Cfg_Hoje)+IF(DAY(Cfg_Hoje)&gt;=INDEX(Cartoes_Fech,MATCH($F207,Cartoes_Nome,0)),1,0))+1))</f>
        <v>0</v>
      </c>
      <c r="Z207" s="40">
        <f>IF($A207="",0,DAY($A207))</f>
        <v>26</v>
      </c>
      <c r="AA207" s="40">
        <f>IF($A207="",0,WEEKDAY($A207))</f>
        <v>2</v>
      </c>
      <c r="AB207" s="36">
        <f>IF(AND($C207="Despesa",U207&gt;0,U207&lt;=Sel_Idx,V207&gt;=Sel_Idx),N(R207)+ROW()/1000000000,0)</f>
        <v>0</v>
      </c>
      <c r="AC207" s="40">
        <f>IF(AND($C207="Despesa",U207&gt;0,U207&lt;=Sel_Idx,V207&gt;=Sel_Idx),Z207*10000+ROW(),0)</f>
        <v>0</v>
      </c>
      <c r="AD207" s="40">
        <f>IF(AC207=0,0,COUNTIFS(L_CalChave,"&gt;0",L_CalChave,"&lt;"&amp;AC207)+1)</f>
        <v>0</v>
      </c>
    </row>
    <row r="208">
      <c r="A208" s="38" t="n">
        <v>46049</v>
      </c>
      <c r="B208" s="39" t="inlineStr">
        <is>
          <t>Supermercado</t>
        </is>
      </c>
      <c r="C208" s="34" t="inlineStr">
        <is>
          <t>Despesa</t>
        </is>
      </c>
      <c r="D208" s="34" t="inlineStr">
        <is>
          <t>Alimentação</t>
        </is>
      </c>
      <c r="E208" s="34" t="inlineStr">
        <is>
          <t>Mercado</t>
        </is>
      </c>
      <c r="F208" s="34" t="inlineStr">
        <is>
          <t>Cartão Azul Gold</t>
        </is>
      </c>
      <c r="G208" s="34" t="inlineStr">
        <is>
          <t>Crédito</t>
        </is>
      </c>
      <c r="H208" s="37" t="n"/>
      <c r="I208" s="37" t="n"/>
      <c r="J208" s="34" t="inlineStr">
        <is>
          <t>Pago</t>
        </is>
      </c>
      <c r="K208" s="34" t="n"/>
      <c r="L208" s="34" t="n"/>
      <c r="M208" s="39" t="inlineStr">
        <is>
          <t>EXEMPLO</t>
        </is>
      </c>
      <c r="N208" s="35" t="n">
        <v>318.86</v>
      </c>
      <c r="O208" s="40">
        <f>IF($A208="","",MONTH($A208))</f>
        <v>1</v>
      </c>
      <c r="P208" s="40">
        <f>IF($A208="","",YEAR($A208))</f>
        <v>2026</v>
      </c>
      <c r="Q208" s="41">
        <f>IF($A208="","",DATE(P208,O208,1))</f>
        <v>46023.0</v>
      </c>
      <c r="R208" s="36">
        <f>IF(OR($A208="",$N208=""),"",IF(AND($C208&lt;&gt;"Transferência",N($I208)&gt;1),$N208/$I208,$N208))</f>
        <v>318.86</v>
      </c>
      <c r="S208" s="41">
        <f>IF(OR($A208="",$F208="",$C208&lt;&gt;"Despesa"),"",IF(COUNTIF(Cartoes_Nome,$F208)=0,"",DATE(P208,O208+IF(DAY($A208)&gt;=INDEX(Cartoes_Fech,MATCH($F208,Cartoes_Nome,0)),1,0),1)))</f>
        <v>46054.0</v>
      </c>
      <c r="T208" s="42" t="str">
        <f>IF($A208="","",IF(COUNTIFS(L_Data,$A208,L_Desc,$B208,L_Valor,$N208,L_Tipo,$C208)&gt;1,"⚠ Possível duplicidade",IF(OR(AND($C208="Despesa",COUNTIF(CatD_Nome,$D208)=0),AND($C208="Receita",COUNTIF(CatR_Nome,$D208)=0)),"⚠ Categoria não combina com o tipo",IF(OR($N208="",$C208=""),"⚠ Falta valor ou tipo",""))))</f>
        <v/>
      </c>
      <c r="U208" s="40">
        <f>IF($A208="",0,P208*12+O208)</f>
        <v>24313</v>
      </c>
      <c r="V208" s="40">
        <f>IF($A208="",0,U208+MAX(0,N($I208)-MAX(N($H208),1)))</f>
        <v>24313</v>
      </c>
      <c r="W208" s="40">
        <f>IF(S208="",0,YEAR(S208)*12+MONTH(S208))</f>
        <v>24314</v>
      </c>
      <c r="X208" s="40">
        <f>IF(W208=0,0,W208+V208-U208)</f>
        <v>24314</v>
      </c>
      <c r="Y208" s="36">
        <f>IF(W208=0,0,N(R208)*MAX(0,X208-MAX(W208,YEAR(Cfg_Hoje)*12+MONTH(Cfg_Hoje)+IF(DAY(Cfg_Hoje)&gt;=INDEX(Cartoes_Fech,MATCH($F208,Cartoes_Nome,0)),1,0))+1))</f>
        <v>0</v>
      </c>
      <c r="Z208" s="40">
        <f>IF($A208="",0,DAY($A208))</f>
        <v>27</v>
      </c>
      <c r="AA208" s="40">
        <f>IF($A208="",0,WEEKDAY($A208))</f>
        <v>3</v>
      </c>
      <c r="AB208" s="36">
        <f>IF(AND($C208="Despesa",U208&gt;0,U208&lt;=Sel_Idx,V208&gt;=Sel_Idx),N(R208)+ROW()/1000000000,0)</f>
        <v>0</v>
      </c>
      <c r="AC208" s="40">
        <f>IF(AND($C208="Despesa",U208&gt;0,U208&lt;=Sel_Idx,V208&gt;=Sel_Idx),Z208*10000+ROW(),0)</f>
        <v>0</v>
      </c>
      <c r="AD208" s="40">
        <f>IF(AC208=0,0,COUNTIFS(L_CalChave,"&gt;0",L_CalChave,"&lt;"&amp;AC208)+1)</f>
        <v>0</v>
      </c>
    </row>
    <row r="209">
      <c r="A209" s="38" t="n">
        <v>46050</v>
      </c>
      <c r="B209" s="39" t="inlineStr">
        <is>
          <t>Corrida de aplicativo</t>
        </is>
      </c>
      <c r="C209" s="34" t="inlineStr">
        <is>
          <t>Despesa</t>
        </is>
      </c>
      <c r="D209" s="34" t="inlineStr">
        <is>
          <t>Transporte</t>
        </is>
      </c>
      <c r="E209" s="34" t="inlineStr">
        <is>
          <t>App de transporte</t>
        </is>
      </c>
      <c r="F209" s="34" t="inlineStr">
        <is>
          <t>Conta Corrente Banco Azul</t>
        </is>
      </c>
      <c r="G209" s="34" t="inlineStr">
        <is>
          <t>Pix</t>
        </is>
      </c>
      <c r="H209" s="37" t="n"/>
      <c r="I209" s="37" t="n"/>
      <c r="J209" s="34" t="inlineStr">
        <is>
          <t>Pago</t>
        </is>
      </c>
      <c r="K209" s="34" t="n"/>
      <c r="L209" s="34" t="n"/>
      <c r="M209" s="39" t="inlineStr">
        <is>
          <t>EXEMPLO</t>
        </is>
      </c>
      <c r="N209" s="35" t="n">
        <v>38.11</v>
      </c>
      <c r="O209" s="40">
        <f>IF($A209="","",MONTH($A209))</f>
        <v>1</v>
      </c>
      <c r="P209" s="40">
        <f>IF($A209="","",YEAR($A209))</f>
        <v>2026</v>
      </c>
      <c r="Q209" s="41">
        <f>IF($A209="","",DATE(P209,O209,1))</f>
        <v>46023.0</v>
      </c>
      <c r="R209" s="36">
        <f>IF(OR($A209="",$N209=""),"",IF(AND($C209&lt;&gt;"Transferência",N($I209)&gt;1),$N209/$I209,$N209))</f>
        <v>38.11</v>
      </c>
      <c r="S209" s="41" t="str">
        <f>IF(OR($A209="",$F209="",$C209&lt;&gt;"Despesa"),"",IF(COUNTIF(Cartoes_Nome,$F209)=0,"",DATE(P209,O209+IF(DAY($A209)&gt;=INDEX(Cartoes_Fech,MATCH($F209,Cartoes_Nome,0)),1,0),1)))</f>
        <v/>
      </c>
      <c r="T209" s="42" t="str">
        <f>IF($A209="","",IF(COUNTIFS(L_Data,$A209,L_Desc,$B209,L_Valor,$N209,L_Tipo,$C209)&gt;1,"⚠ Possível duplicidade",IF(OR(AND($C209="Despesa",COUNTIF(CatD_Nome,$D209)=0),AND($C209="Receita",COUNTIF(CatR_Nome,$D209)=0)),"⚠ Categoria não combina com o tipo",IF(OR($N209="",$C209=""),"⚠ Falta valor ou tipo",""))))</f>
        <v/>
      </c>
      <c r="U209" s="40">
        <f>IF($A209="",0,P209*12+O209)</f>
        <v>24313</v>
      </c>
      <c r="V209" s="40">
        <f>IF($A209="",0,U209+MAX(0,N($I209)-MAX(N($H209),1)))</f>
        <v>24313</v>
      </c>
      <c r="W209" s="40">
        <f>IF(S209="",0,YEAR(S209)*12+MONTH(S209))</f>
        <v>0</v>
      </c>
      <c r="X209" s="40">
        <f>IF(W209=0,0,W209+V209-U209)</f>
        <v>0</v>
      </c>
      <c r="Y209" s="36">
        <f>IF(W209=0,0,N(R209)*MAX(0,X209-MAX(W209,YEAR(Cfg_Hoje)*12+MONTH(Cfg_Hoje)+IF(DAY(Cfg_Hoje)&gt;=INDEX(Cartoes_Fech,MATCH($F209,Cartoes_Nome,0)),1,0))+1))</f>
        <v>0</v>
      </c>
      <c r="Z209" s="40">
        <f>IF($A209="",0,DAY($A209))</f>
        <v>28</v>
      </c>
      <c r="AA209" s="40">
        <f>IF($A209="",0,WEEKDAY($A209))</f>
        <v>4</v>
      </c>
      <c r="AB209" s="36">
        <f>IF(AND($C209="Despesa",U209&gt;0,U209&lt;=Sel_Idx,V209&gt;=Sel_Idx),N(R209)+ROW()/1000000000,0)</f>
        <v>0</v>
      </c>
      <c r="AC209" s="40">
        <f>IF(AND($C209="Despesa",U209&gt;0,U209&lt;=Sel_Idx,V209&gt;=Sel_Idx),Z209*10000+ROW(),0)</f>
        <v>0</v>
      </c>
      <c r="AD209" s="40">
        <f>IF(AC209=0,0,COUNTIFS(L_CalChave,"&gt;0",L_CalChave,"&lt;"&amp;AC209)+1)</f>
        <v>0</v>
      </c>
    </row>
    <row r="210">
      <c r="A210" s="38" t="n">
        <v>46050</v>
      </c>
      <c r="B210" s="39" t="inlineStr">
        <is>
          <t>Rendimento da poupança</t>
        </is>
      </c>
      <c r="C210" s="34" t="inlineStr">
        <is>
          <t>Receita</t>
        </is>
      </c>
      <c r="D210" s="34" t="inlineStr">
        <is>
          <t>Rendimentos</t>
        </is>
      </c>
      <c r="E210" s="34" t="n"/>
      <c r="F210" s="34" t="inlineStr">
        <is>
          <t>Poupança Banco Azul</t>
        </is>
      </c>
      <c r="G210" s="34" t="inlineStr">
        <is>
          <t>Transferência</t>
        </is>
      </c>
      <c r="H210" s="37" t="n"/>
      <c r="I210" s="37" t="n"/>
      <c r="J210" s="34" t="inlineStr">
        <is>
          <t>Pago</t>
        </is>
      </c>
      <c r="K210" s="34" t="n"/>
      <c r="L210" s="34" t="n"/>
      <c r="M210" s="39" t="inlineStr">
        <is>
          <t>EXEMPLO</t>
        </is>
      </c>
      <c r="N210" s="35" t="n">
        <v>89.55</v>
      </c>
      <c r="O210" s="40">
        <f>IF($A210="","",MONTH($A210))</f>
        <v>1</v>
      </c>
      <c r="P210" s="40">
        <f>IF($A210="","",YEAR($A210))</f>
        <v>2026</v>
      </c>
      <c r="Q210" s="41">
        <f>IF($A210="","",DATE(P210,O210,1))</f>
        <v>46023.0</v>
      </c>
      <c r="R210" s="36">
        <f>IF(OR($A210="",$N210=""),"",IF(AND($C210&lt;&gt;"Transferência",N($I210)&gt;1),$N210/$I210,$N210))</f>
        <v>89.55</v>
      </c>
      <c r="S210" s="41" t="str">
        <f>IF(OR($A210="",$F210="",$C210&lt;&gt;"Despesa"),"",IF(COUNTIF(Cartoes_Nome,$F210)=0,"",DATE(P210,O210+IF(DAY($A210)&gt;=INDEX(Cartoes_Fech,MATCH($F210,Cartoes_Nome,0)),1,0),1)))</f>
        <v/>
      </c>
      <c r="T210" s="42" t="str">
        <f>IF($A210="","",IF(COUNTIFS(L_Data,$A210,L_Desc,$B210,L_Valor,$N210,L_Tipo,$C210)&gt;1,"⚠ Possível duplicidade",IF(OR(AND($C210="Despesa",COUNTIF(CatD_Nome,$D210)=0),AND($C210="Receita",COUNTIF(CatR_Nome,$D210)=0)),"⚠ Categoria não combina com o tipo",IF(OR($N210="",$C210=""),"⚠ Falta valor ou tipo",""))))</f>
        <v/>
      </c>
      <c r="U210" s="40">
        <f>IF($A210="",0,P210*12+O210)</f>
        <v>24313</v>
      </c>
      <c r="V210" s="40">
        <f>IF($A210="",0,U210+MAX(0,N($I210)-MAX(N($H210),1)))</f>
        <v>24313</v>
      </c>
      <c r="W210" s="40">
        <f>IF(S210="",0,YEAR(S210)*12+MONTH(S210))</f>
        <v>0</v>
      </c>
      <c r="X210" s="40">
        <f>IF(W210=0,0,W210+V210-U210)</f>
        <v>0</v>
      </c>
      <c r="Y210" s="36">
        <f>IF(W210=0,0,N(R210)*MAX(0,X210-MAX(W210,YEAR(Cfg_Hoje)*12+MONTH(Cfg_Hoje)+IF(DAY(Cfg_Hoje)&gt;=INDEX(Cartoes_Fech,MATCH($F210,Cartoes_Nome,0)),1,0))+1))</f>
        <v>0</v>
      </c>
      <c r="Z210" s="40">
        <f>IF($A210="",0,DAY($A210))</f>
        <v>28</v>
      </c>
      <c r="AA210" s="40">
        <f>IF($A210="",0,WEEKDAY($A210))</f>
        <v>4</v>
      </c>
      <c r="AB210" s="36">
        <f>IF(AND($C210="Despesa",U210&gt;0,U210&lt;=Sel_Idx,V210&gt;=Sel_Idx),N(R210)+ROW()/1000000000,0)</f>
        <v>0</v>
      </c>
      <c r="AC210" s="40">
        <f>IF(AND($C210="Despesa",U210&gt;0,U210&lt;=Sel_Idx,V210&gt;=Sel_Idx),Z210*10000+ROW(),0)</f>
        <v>0</v>
      </c>
      <c r="AD210" s="40">
        <f>IF(AC210=0,0,COUNTIFS(L_CalChave,"&gt;0",L_CalChave,"&lt;"&amp;AC210)+1)</f>
        <v>0</v>
      </c>
    </row>
    <row r="211">
      <c r="A211" s="38" t="n">
        <v>46055</v>
      </c>
      <c r="B211" s="39" t="inlineStr">
        <is>
          <t>Corrida de aplicativo</t>
        </is>
      </c>
      <c r="C211" s="34" t="inlineStr">
        <is>
          <t>Despesa</t>
        </is>
      </c>
      <c r="D211" s="34" t="inlineStr">
        <is>
          <t>Transporte</t>
        </is>
      </c>
      <c r="E211" s="34" t="inlineStr">
        <is>
          <t>App de transporte</t>
        </is>
      </c>
      <c r="F211" s="34" t="inlineStr">
        <is>
          <t>Conta Corrente Banco Azul</t>
        </is>
      </c>
      <c r="G211" s="34" t="inlineStr">
        <is>
          <t>Pix</t>
        </is>
      </c>
      <c r="H211" s="37" t="n"/>
      <c r="I211" s="37" t="n"/>
      <c r="J211" s="34" t="inlineStr">
        <is>
          <t>Pago</t>
        </is>
      </c>
      <c r="K211" s="34" t="n"/>
      <c r="L211" s="34" t="n"/>
      <c r="M211" s="39" t="inlineStr">
        <is>
          <t>EXEMPLO</t>
        </is>
      </c>
      <c r="N211" s="35" t="n">
        <v>45.74</v>
      </c>
      <c r="O211" s="40">
        <f>IF($A211="","",MONTH($A211))</f>
        <v>2</v>
      </c>
      <c r="P211" s="40">
        <f>IF($A211="","",YEAR($A211))</f>
        <v>2026</v>
      </c>
      <c r="Q211" s="41">
        <f>IF($A211="","",DATE(P211,O211,1))</f>
        <v>46054.0</v>
      </c>
      <c r="R211" s="36">
        <f>IF(OR($A211="",$N211=""),"",IF(AND($C211&lt;&gt;"Transferência",N($I211)&gt;1),$N211/$I211,$N211))</f>
        <v>45.74</v>
      </c>
      <c r="S211" s="41" t="str">
        <f>IF(OR($A211="",$F211="",$C211&lt;&gt;"Despesa"),"",IF(COUNTIF(Cartoes_Nome,$F211)=0,"",DATE(P211,O211+IF(DAY($A211)&gt;=INDEX(Cartoes_Fech,MATCH($F211,Cartoes_Nome,0)),1,0),1)))</f>
        <v/>
      </c>
      <c r="T211" s="42" t="str">
        <f>IF($A211="","",IF(COUNTIFS(L_Data,$A211,L_Desc,$B211,L_Valor,$N211,L_Tipo,$C211)&gt;1,"⚠ Possível duplicidade",IF(OR(AND($C211="Despesa",COUNTIF(CatD_Nome,$D211)=0),AND($C211="Receita",COUNTIF(CatR_Nome,$D211)=0)),"⚠ Categoria não combina com o tipo",IF(OR($N211="",$C211=""),"⚠ Falta valor ou tipo",""))))</f>
        <v/>
      </c>
      <c r="U211" s="40">
        <f>IF($A211="",0,P211*12+O211)</f>
        <v>24314</v>
      </c>
      <c r="V211" s="40">
        <f>IF($A211="",0,U211+MAX(0,N($I211)-MAX(N($H211),1)))</f>
        <v>24314</v>
      </c>
      <c r="W211" s="40">
        <f>IF(S211="",0,YEAR(S211)*12+MONTH(S211))</f>
        <v>0</v>
      </c>
      <c r="X211" s="40">
        <f>IF(W211=0,0,W211+V211-U211)</f>
        <v>0</v>
      </c>
      <c r="Y211" s="36">
        <f>IF(W211=0,0,N(R211)*MAX(0,X211-MAX(W211,YEAR(Cfg_Hoje)*12+MONTH(Cfg_Hoje)+IF(DAY(Cfg_Hoje)&gt;=INDEX(Cartoes_Fech,MATCH($F211,Cartoes_Nome,0)),1,0))+1))</f>
        <v>0</v>
      </c>
      <c r="Z211" s="40">
        <f>IF($A211="",0,DAY($A211))</f>
        <v>2</v>
      </c>
      <c r="AA211" s="40">
        <f>IF($A211="",0,WEEKDAY($A211))</f>
        <v>2</v>
      </c>
      <c r="AB211" s="36">
        <f>IF(AND($C211="Despesa",U211&gt;0,U211&lt;=Sel_Idx,V211&gt;=Sel_Idx),N(R211)+ROW()/1000000000,0)</f>
        <v>0</v>
      </c>
      <c r="AC211" s="40">
        <f>IF(AND($C211="Despesa",U211&gt;0,U211&lt;=Sel_Idx,V211&gt;=Sel_Idx),Z211*10000+ROW(),0)</f>
        <v>0</v>
      </c>
      <c r="AD211" s="40">
        <f>IF(AC211=0,0,COUNTIFS(L_CalChave,"&gt;0",L_CalChave,"&lt;"&amp;AC211)+1)</f>
        <v>0</v>
      </c>
    </row>
    <row r="212">
      <c r="A212" s="38" t="n">
        <v>46055</v>
      </c>
      <c r="B212" s="39" t="inlineStr">
        <is>
          <t>Despesa diversa</t>
        </is>
      </c>
      <c r="C212" s="34" t="inlineStr">
        <is>
          <t>Despesa</t>
        </is>
      </c>
      <c r="D212" s="34" t="inlineStr">
        <is>
          <t>Outros</t>
        </is>
      </c>
      <c r="E212" s="34" t="n"/>
      <c r="F212" s="34" t="inlineStr">
        <is>
          <t>Conta Corrente Banco Azul</t>
        </is>
      </c>
      <c r="G212" s="34" t="inlineStr">
        <is>
          <t>Pix</t>
        </is>
      </c>
      <c r="H212" s="37" t="n"/>
      <c r="I212" s="37" t="n"/>
      <c r="J212" s="34" t="inlineStr">
        <is>
          <t>Pago</t>
        </is>
      </c>
      <c r="K212" s="34" t="n"/>
      <c r="L212" s="34" t="n"/>
      <c r="M212" s="39" t="inlineStr">
        <is>
          <t>EXEMPLO</t>
        </is>
      </c>
      <c r="N212" s="35" t="n">
        <v>95.03</v>
      </c>
      <c r="O212" s="40">
        <f>IF($A212="","",MONTH($A212))</f>
        <v>2</v>
      </c>
      <c r="P212" s="40">
        <f>IF($A212="","",YEAR($A212))</f>
        <v>2026</v>
      </c>
      <c r="Q212" s="41">
        <f>IF($A212="","",DATE(P212,O212,1))</f>
        <v>46054.0</v>
      </c>
      <c r="R212" s="36">
        <f>IF(OR($A212="",$N212=""),"",IF(AND($C212&lt;&gt;"Transferência",N($I212)&gt;1),$N212/$I212,$N212))</f>
        <v>95.03</v>
      </c>
      <c r="S212" s="41" t="str">
        <f>IF(OR($A212="",$F212="",$C212&lt;&gt;"Despesa"),"",IF(COUNTIF(Cartoes_Nome,$F212)=0,"",DATE(P212,O212+IF(DAY($A212)&gt;=INDEX(Cartoes_Fech,MATCH($F212,Cartoes_Nome,0)),1,0),1)))</f>
        <v/>
      </c>
      <c r="T212" s="42" t="str">
        <f>IF($A212="","",IF(COUNTIFS(L_Data,$A212,L_Desc,$B212,L_Valor,$N212,L_Tipo,$C212)&gt;1,"⚠ Possível duplicidade",IF(OR(AND($C212="Despesa",COUNTIF(CatD_Nome,$D212)=0),AND($C212="Receita",COUNTIF(CatR_Nome,$D212)=0)),"⚠ Categoria não combina com o tipo",IF(OR($N212="",$C212=""),"⚠ Falta valor ou tipo",""))))</f>
        <v/>
      </c>
      <c r="U212" s="40">
        <f>IF($A212="",0,P212*12+O212)</f>
        <v>24314</v>
      </c>
      <c r="V212" s="40">
        <f>IF($A212="",0,U212+MAX(0,N($I212)-MAX(N($H212),1)))</f>
        <v>24314</v>
      </c>
      <c r="W212" s="40">
        <f>IF(S212="",0,YEAR(S212)*12+MONTH(S212))</f>
        <v>0</v>
      </c>
      <c r="X212" s="40">
        <f>IF(W212=0,0,W212+V212-U212)</f>
        <v>0</v>
      </c>
      <c r="Y212" s="36">
        <f>IF(W212=0,0,N(R212)*MAX(0,X212-MAX(W212,YEAR(Cfg_Hoje)*12+MONTH(Cfg_Hoje)+IF(DAY(Cfg_Hoje)&gt;=INDEX(Cartoes_Fech,MATCH($F212,Cartoes_Nome,0)),1,0))+1))</f>
        <v>0</v>
      </c>
      <c r="Z212" s="40">
        <f>IF($A212="",0,DAY($A212))</f>
        <v>2</v>
      </c>
      <c r="AA212" s="40">
        <f>IF($A212="",0,WEEKDAY($A212))</f>
        <v>2</v>
      </c>
      <c r="AB212" s="36">
        <f>IF(AND($C212="Despesa",U212&gt;0,U212&lt;=Sel_Idx,V212&gt;=Sel_Idx),N(R212)+ROW()/1000000000,0)</f>
        <v>0</v>
      </c>
      <c r="AC212" s="40">
        <f>IF(AND($C212="Despesa",U212&gt;0,U212&lt;=Sel_Idx,V212&gt;=Sel_Idx),Z212*10000+ROW(),0)</f>
        <v>0</v>
      </c>
      <c r="AD212" s="40">
        <f>IF(AC212=0,0,COUNTIFS(L_CalChave,"&gt;0",L_CalChave,"&lt;"&amp;AC212)+1)</f>
        <v>0</v>
      </c>
    </row>
    <row r="213">
      <c r="A213" s="38" t="n">
        <v>46056</v>
      </c>
      <c r="B213" s="39" t="inlineStr">
        <is>
          <t>Academia</t>
        </is>
      </c>
      <c r="C213" s="34" t="inlineStr">
        <is>
          <t>Despesa</t>
        </is>
      </c>
      <c r="D213" s="34" t="inlineStr">
        <is>
          <t>Assinaturas</t>
        </is>
      </c>
      <c r="E213" s="34" t="inlineStr">
        <is>
          <t>Academia</t>
        </is>
      </c>
      <c r="F213" s="34" t="inlineStr">
        <is>
          <t>Conta Corrente Banco Azul</t>
        </is>
      </c>
      <c r="G213" s="34" t="inlineStr">
        <is>
          <t>Débito automático</t>
        </is>
      </c>
      <c r="H213" s="37" t="n"/>
      <c r="I213" s="37" t="n"/>
      <c r="J213" s="34" t="inlineStr">
        <is>
          <t>Pago</t>
        </is>
      </c>
      <c r="K213" s="34" t="n"/>
      <c r="L213" s="34" t="n"/>
      <c r="M213" s="39" t="inlineStr">
        <is>
          <t>EXEMPLO</t>
        </is>
      </c>
      <c r="N213" s="35" t="n">
        <v>129</v>
      </c>
      <c r="O213" s="40">
        <f>IF($A213="","",MONTH($A213))</f>
        <v>2</v>
      </c>
      <c r="P213" s="40">
        <f>IF($A213="","",YEAR($A213))</f>
        <v>2026</v>
      </c>
      <c r="Q213" s="41">
        <f>IF($A213="","",DATE(P213,O213,1))</f>
        <v>46054.0</v>
      </c>
      <c r="R213" s="36">
        <f>IF(OR($A213="",$N213=""),"",IF(AND($C213&lt;&gt;"Transferência",N($I213)&gt;1),$N213/$I213,$N213))</f>
        <v>129</v>
      </c>
      <c r="S213" s="41" t="str">
        <f>IF(OR($A213="",$F213="",$C213&lt;&gt;"Despesa"),"",IF(COUNTIF(Cartoes_Nome,$F213)=0,"",DATE(P213,O213+IF(DAY($A213)&gt;=INDEX(Cartoes_Fech,MATCH($F213,Cartoes_Nome,0)),1,0),1)))</f>
        <v/>
      </c>
      <c r="T213" s="42" t="str">
        <f>IF($A213="","",IF(COUNTIFS(L_Data,$A213,L_Desc,$B213,L_Valor,$N213,L_Tipo,$C213)&gt;1,"⚠ Possível duplicidade",IF(OR(AND($C213="Despesa",COUNTIF(CatD_Nome,$D213)=0),AND($C213="Receita",COUNTIF(CatR_Nome,$D213)=0)),"⚠ Categoria não combina com o tipo",IF(OR($N213="",$C213=""),"⚠ Falta valor ou tipo",""))))</f>
        <v/>
      </c>
      <c r="U213" s="40">
        <f>IF($A213="",0,P213*12+O213)</f>
        <v>24314</v>
      </c>
      <c r="V213" s="40">
        <f>IF($A213="",0,U213+MAX(0,N($I213)-MAX(N($H213),1)))</f>
        <v>24314</v>
      </c>
      <c r="W213" s="40">
        <f>IF(S213="",0,YEAR(S213)*12+MONTH(S213))</f>
        <v>0</v>
      </c>
      <c r="X213" s="40">
        <f>IF(W213=0,0,W213+V213-U213)</f>
        <v>0</v>
      </c>
      <c r="Y213" s="36">
        <f>IF(W213=0,0,N(R213)*MAX(0,X213-MAX(W213,YEAR(Cfg_Hoje)*12+MONTH(Cfg_Hoje)+IF(DAY(Cfg_Hoje)&gt;=INDEX(Cartoes_Fech,MATCH($F213,Cartoes_Nome,0)),1,0))+1))</f>
        <v>0</v>
      </c>
      <c r="Z213" s="40">
        <f>IF($A213="",0,DAY($A213))</f>
        <v>3</v>
      </c>
      <c r="AA213" s="40">
        <f>IF($A213="",0,WEEKDAY($A213))</f>
        <v>3</v>
      </c>
      <c r="AB213" s="36">
        <f>IF(AND($C213="Despesa",U213&gt;0,U213&lt;=Sel_Idx,V213&gt;=Sel_Idx),N(R213)+ROW()/1000000000,0)</f>
        <v>0</v>
      </c>
      <c r="AC213" s="40">
        <f>IF(AND($C213="Despesa",U213&gt;0,U213&lt;=Sel_Idx,V213&gt;=Sel_Idx),Z213*10000+ROW(),0)</f>
        <v>0</v>
      </c>
      <c r="AD213" s="40">
        <f>IF(AC213=0,0,COUNTIFS(L_CalChave,"&gt;0",L_CalChave,"&lt;"&amp;AC213)+1)</f>
        <v>0</v>
      </c>
    </row>
    <row r="214">
      <c r="A214" s="38" t="n">
        <v>46057</v>
      </c>
      <c r="B214" s="39" t="inlineStr">
        <is>
          <t>Combustível</t>
        </is>
      </c>
      <c r="C214" s="34" t="inlineStr">
        <is>
          <t>Despesa</t>
        </is>
      </c>
      <c r="D214" s="34" t="inlineStr">
        <is>
          <t>Transporte</t>
        </is>
      </c>
      <c r="E214" s="34" t="inlineStr">
        <is>
          <t>Combustível</t>
        </is>
      </c>
      <c r="F214" s="34" t="inlineStr">
        <is>
          <t>Cartão Azul Gold</t>
        </is>
      </c>
      <c r="G214" s="34" t="inlineStr">
        <is>
          <t>Crédito</t>
        </is>
      </c>
      <c r="H214" s="37" t="n"/>
      <c r="I214" s="37" t="n"/>
      <c r="J214" s="34" t="inlineStr">
        <is>
          <t>Pago</t>
        </is>
      </c>
      <c r="K214" s="34" t="n"/>
      <c r="L214" s="34" t="n"/>
      <c r="M214" s="39" t="inlineStr">
        <is>
          <t>EXEMPLO</t>
        </is>
      </c>
      <c r="N214" s="35" t="n">
        <v>170.47</v>
      </c>
      <c r="O214" s="40">
        <f>IF($A214="","",MONTH($A214))</f>
        <v>2</v>
      </c>
      <c r="P214" s="40">
        <f>IF($A214="","",YEAR($A214))</f>
        <v>2026</v>
      </c>
      <c r="Q214" s="41">
        <f>IF($A214="","",DATE(P214,O214,1))</f>
        <v>46054.0</v>
      </c>
      <c r="R214" s="36">
        <f>IF(OR($A214="",$N214=""),"",IF(AND($C214&lt;&gt;"Transferência",N($I214)&gt;1),$N214/$I214,$N214))</f>
        <v>170.47</v>
      </c>
      <c r="S214" s="41">
        <f>IF(OR($A214="",$F214="",$C214&lt;&gt;"Despesa"),"",IF(COUNTIF(Cartoes_Nome,$F214)=0,"",DATE(P214,O214+IF(DAY($A214)&gt;=INDEX(Cartoes_Fech,MATCH($F214,Cartoes_Nome,0)),1,0),1)))</f>
        <v>46054.0</v>
      </c>
      <c r="T214" s="42" t="str">
        <f>IF($A214="","",IF(COUNTIFS(L_Data,$A214,L_Desc,$B214,L_Valor,$N214,L_Tipo,$C214)&gt;1,"⚠ Possível duplicidade",IF(OR(AND($C214="Despesa",COUNTIF(CatD_Nome,$D214)=0),AND($C214="Receita",COUNTIF(CatR_Nome,$D214)=0)),"⚠ Categoria não combina com o tipo",IF(OR($N214="",$C214=""),"⚠ Falta valor ou tipo",""))))</f>
        <v/>
      </c>
      <c r="U214" s="40">
        <f>IF($A214="",0,P214*12+O214)</f>
        <v>24314</v>
      </c>
      <c r="V214" s="40">
        <f>IF($A214="",0,U214+MAX(0,N($I214)-MAX(N($H214),1)))</f>
        <v>24314</v>
      </c>
      <c r="W214" s="40">
        <f>IF(S214="",0,YEAR(S214)*12+MONTH(S214))</f>
        <v>24314</v>
      </c>
      <c r="X214" s="40">
        <f>IF(W214=0,0,W214+V214-U214)</f>
        <v>24314</v>
      </c>
      <c r="Y214" s="36">
        <f>IF(W214=0,0,N(R214)*MAX(0,X214-MAX(W214,YEAR(Cfg_Hoje)*12+MONTH(Cfg_Hoje)+IF(DAY(Cfg_Hoje)&gt;=INDEX(Cartoes_Fech,MATCH($F214,Cartoes_Nome,0)),1,0))+1))</f>
        <v>0</v>
      </c>
      <c r="Z214" s="40">
        <f>IF($A214="",0,DAY($A214))</f>
        <v>4</v>
      </c>
      <c r="AA214" s="40">
        <f>IF($A214="",0,WEEKDAY($A214))</f>
        <v>4</v>
      </c>
      <c r="AB214" s="36">
        <f>IF(AND($C214="Despesa",U214&gt;0,U214&lt;=Sel_Idx,V214&gt;=Sel_Idx),N(R214)+ROW()/1000000000,0)</f>
        <v>0</v>
      </c>
      <c r="AC214" s="40">
        <f>IF(AND($C214="Despesa",U214&gt;0,U214&lt;=Sel_Idx,V214&gt;=Sel_Idx),Z214*10000+ROW(),0)</f>
        <v>0</v>
      </c>
      <c r="AD214" s="40">
        <f>IF(AC214=0,0,COUNTIFS(L_CalChave,"&gt;0",L_CalChave,"&lt;"&amp;AC214)+1)</f>
        <v>0</v>
      </c>
    </row>
    <row r="215">
      <c r="A215" s="38" t="n">
        <v>46058</v>
      </c>
      <c r="B215" s="39" t="inlineStr">
        <is>
          <t>Pagamento fatura Cartão Roxinho</t>
        </is>
      </c>
      <c r="C215" s="34" t="inlineStr">
        <is>
          <t>Transferência</t>
        </is>
      </c>
      <c r="D215" s="34" t="n"/>
      <c r="E215" s="34" t="n"/>
      <c r="F215" s="34" t="inlineStr">
        <is>
          <t>Conta Corrente Banco Azul</t>
        </is>
      </c>
      <c r="G215" s="34" t="inlineStr">
        <is>
          <t>Débito automático</t>
        </is>
      </c>
      <c r="H215" s="37" t="n"/>
      <c r="I215" s="37" t="n"/>
      <c r="J215" s="34" t="inlineStr">
        <is>
          <t>Pago</t>
        </is>
      </c>
      <c r="K215" s="34" t="n"/>
      <c r="L215" s="34" t="n"/>
      <c r="M215" s="39" t="inlineStr">
        <is>
          <t>EXEMPLO</t>
        </is>
      </c>
      <c r="N215" s="35" t="n">
        <v>-430.49</v>
      </c>
      <c r="O215" s="40">
        <f>IF($A215="","",MONTH($A215))</f>
        <v>2</v>
      </c>
      <c r="P215" s="40">
        <f>IF($A215="","",YEAR($A215))</f>
        <v>2026</v>
      </c>
      <c r="Q215" s="41">
        <f>IF($A215="","",DATE(P215,O215,1))</f>
        <v>46054.0</v>
      </c>
      <c r="R215" s="36">
        <f>IF(OR($A215="",$N215=""),"",IF(AND($C215&lt;&gt;"Transferência",N($I215)&gt;1),$N215/$I215,$N215))</f>
        <v>-430.49</v>
      </c>
      <c r="S215" s="41" t="str">
        <f>IF(OR($A215="",$F215="",$C215&lt;&gt;"Despesa"),"",IF(COUNTIF(Cartoes_Nome,$F215)=0,"",DATE(P215,O215+IF(DAY($A215)&gt;=INDEX(Cartoes_Fech,MATCH($F215,Cartoes_Nome,0)),1,0),1)))</f>
        <v/>
      </c>
      <c r="T215" s="42" t="str">
        <f>IF($A215="","",IF(COUNTIFS(L_Data,$A215,L_Desc,$B215,L_Valor,$N215,L_Tipo,$C215)&gt;1,"⚠ Possível duplicidade",IF(OR(AND($C215="Despesa",COUNTIF(CatD_Nome,$D215)=0),AND($C215="Receita",COUNTIF(CatR_Nome,$D215)=0)),"⚠ Categoria não combina com o tipo",IF(OR($N215="",$C215=""),"⚠ Falta valor ou tipo",""))))</f>
        <v/>
      </c>
      <c r="U215" s="40">
        <f>IF($A215="",0,P215*12+O215)</f>
        <v>24314</v>
      </c>
      <c r="V215" s="40">
        <f>IF($A215="",0,U215+MAX(0,N($I215)-MAX(N($H215),1)))</f>
        <v>24314</v>
      </c>
      <c r="W215" s="40">
        <f>IF(S215="",0,YEAR(S215)*12+MONTH(S215))</f>
        <v>0</v>
      </c>
      <c r="X215" s="40">
        <f>IF(W215=0,0,W215+V215-U215)</f>
        <v>0</v>
      </c>
      <c r="Y215" s="36">
        <f>IF(W215=0,0,N(R215)*MAX(0,X215-MAX(W215,YEAR(Cfg_Hoje)*12+MONTH(Cfg_Hoje)+IF(DAY(Cfg_Hoje)&gt;=INDEX(Cartoes_Fech,MATCH($F215,Cartoes_Nome,0)),1,0))+1))</f>
        <v>0</v>
      </c>
      <c r="Z215" s="40">
        <f>IF($A215="",0,DAY($A215))</f>
        <v>5</v>
      </c>
      <c r="AA215" s="40">
        <f>IF($A215="",0,WEEKDAY($A215))</f>
        <v>5</v>
      </c>
      <c r="AB215" s="36">
        <f>IF(AND($C215="Despesa",U215&gt;0,U215&lt;=Sel_Idx,V215&gt;=Sel_Idx),N(R215)+ROW()/1000000000,0)</f>
        <v>0</v>
      </c>
      <c r="AC215" s="40">
        <f>IF(AND($C215="Despesa",U215&gt;0,U215&lt;=Sel_Idx,V215&gt;=Sel_Idx),Z215*10000+ROW(),0)</f>
        <v>0</v>
      </c>
      <c r="AD215" s="40">
        <f>IF(AC215=0,0,COUNTIFS(L_CalChave,"&gt;0",L_CalChave,"&lt;"&amp;AC215)+1)</f>
        <v>0</v>
      </c>
    </row>
    <row r="216">
      <c r="A216" s="38" t="n">
        <v>46058</v>
      </c>
      <c r="B216" s="39" t="inlineStr">
        <is>
          <t>Plano de saúde</t>
        </is>
      </c>
      <c r="C216" s="34" t="inlineStr">
        <is>
          <t>Despesa</t>
        </is>
      </c>
      <c r="D216" s="34" t="inlineStr">
        <is>
          <t>Saúde</t>
        </is>
      </c>
      <c r="E216" s="34" t="inlineStr">
        <is>
          <t>Plano de saúde</t>
        </is>
      </c>
      <c r="F216" s="34" t="inlineStr">
        <is>
          <t>Conta Corrente Banco Azul</t>
        </is>
      </c>
      <c r="G216" s="34" t="inlineStr">
        <is>
          <t>Débito automático</t>
        </is>
      </c>
      <c r="H216" s="37" t="n"/>
      <c r="I216" s="37" t="n"/>
      <c r="J216" s="34" t="inlineStr">
        <is>
          <t>Pago</t>
        </is>
      </c>
      <c r="K216" s="34" t="n"/>
      <c r="L216" s="34" t="n"/>
      <c r="M216" s="39" t="inlineStr">
        <is>
          <t>EXEMPLO</t>
        </is>
      </c>
      <c r="N216" s="35" t="n">
        <v>780</v>
      </c>
      <c r="O216" s="40">
        <f>IF($A216="","",MONTH($A216))</f>
        <v>2</v>
      </c>
      <c r="P216" s="40">
        <f>IF($A216="","",YEAR($A216))</f>
        <v>2026</v>
      </c>
      <c r="Q216" s="41">
        <f>IF($A216="","",DATE(P216,O216,1))</f>
        <v>46054.0</v>
      </c>
      <c r="R216" s="36">
        <f>IF(OR($A216="",$N216=""),"",IF(AND($C216&lt;&gt;"Transferência",N($I216)&gt;1),$N216/$I216,$N216))</f>
        <v>780</v>
      </c>
      <c r="S216" s="41" t="str">
        <f>IF(OR($A216="",$F216="",$C216&lt;&gt;"Despesa"),"",IF(COUNTIF(Cartoes_Nome,$F216)=0,"",DATE(P216,O216+IF(DAY($A216)&gt;=INDEX(Cartoes_Fech,MATCH($F216,Cartoes_Nome,0)),1,0),1)))</f>
        <v/>
      </c>
      <c r="T216" s="42" t="str">
        <f>IF($A216="","",IF(COUNTIFS(L_Data,$A216,L_Desc,$B216,L_Valor,$N216,L_Tipo,$C216)&gt;1,"⚠ Possível duplicidade",IF(OR(AND($C216="Despesa",COUNTIF(CatD_Nome,$D216)=0),AND($C216="Receita",COUNTIF(CatR_Nome,$D216)=0)),"⚠ Categoria não combina com o tipo",IF(OR($N216="",$C216=""),"⚠ Falta valor ou tipo",""))))</f>
        <v/>
      </c>
      <c r="U216" s="40">
        <f>IF($A216="",0,P216*12+O216)</f>
        <v>24314</v>
      </c>
      <c r="V216" s="40">
        <f>IF($A216="",0,U216+MAX(0,N($I216)-MAX(N($H216),1)))</f>
        <v>24314</v>
      </c>
      <c r="W216" s="40">
        <f>IF(S216="",0,YEAR(S216)*12+MONTH(S216))</f>
        <v>0</v>
      </c>
      <c r="X216" s="40">
        <f>IF(W216=0,0,W216+V216-U216)</f>
        <v>0</v>
      </c>
      <c r="Y216" s="36">
        <f>IF(W216=0,0,N(R216)*MAX(0,X216-MAX(W216,YEAR(Cfg_Hoje)*12+MONTH(Cfg_Hoje)+IF(DAY(Cfg_Hoje)&gt;=INDEX(Cartoes_Fech,MATCH($F216,Cartoes_Nome,0)),1,0))+1))</f>
        <v>0</v>
      </c>
      <c r="Z216" s="40">
        <f>IF($A216="",0,DAY($A216))</f>
        <v>5</v>
      </c>
      <c r="AA216" s="40">
        <f>IF($A216="",0,WEEKDAY($A216))</f>
        <v>5</v>
      </c>
      <c r="AB216" s="36">
        <f>IF(AND($C216="Despesa",U216&gt;0,U216&lt;=Sel_Idx,V216&gt;=Sel_Idx),N(R216)+ROW()/1000000000,0)</f>
        <v>0</v>
      </c>
      <c r="AC216" s="40">
        <f>IF(AND($C216="Despesa",U216&gt;0,U216&lt;=Sel_Idx,V216&gt;=Sel_Idx),Z216*10000+ROW(),0)</f>
        <v>0</v>
      </c>
      <c r="AD216" s="40">
        <f>IF(AC216=0,0,COUNTIFS(L_CalChave,"&gt;0",L_CalChave,"&lt;"&amp;AC216)+1)</f>
        <v>0</v>
      </c>
    </row>
    <row r="217">
      <c r="A217" s="38" t="n">
        <v>46058</v>
      </c>
      <c r="B217" s="39" t="inlineStr">
        <is>
          <t>Salário</t>
        </is>
      </c>
      <c r="C217" s="34" t="inlineStr">
        <is>
          <t>Receita</t>
        </is>
      </c>
      <c r="D217" s="34" t="inlineStr">
        <is>
          <t>Salário</t>
        </is>
      </c>
      <c r="E217" s="34" t="n"/>
      <c r="F217" s="34" t="inlineStr">
        <is>
          <t>Conta Corrente Banco Azul</t>
        </is>
      </c>
      <c r="G217" s="34" t="inlineStr">
        <is>
          <t>Transferência</t>
        </is>
      </c>
      <c r="H217" s="37" t="n"/>
      <c r="I217" s="37" t="n"/>
      <c r="J217" s="34" t="inlineStr">
        <is>
          <t>Pago</t>
        </is>
      </c>
      <c r="K217" s="34" t="n"/>
      <c r="L217" s="34" t="n"/>
      <c r="M217" s="39" t="inlineStr">
        <is>
          <t>EXEMPLO</t>
        </is>
      </c>
      <c r="N217" s="35" t="n">
        <v>10800</v>
      </c>
      <c r="O217" s="40">
        <f>IF($A217="","",MONTH($A217))</f>
        <v>2</v>
      </c>
      <c r="P217" s="40">
        <f>IF($A217="","",YEAR($A217))</f>
        <v>2026</v>
      </c>
      <c r="Q217" s="41">
        <f>IF($A217="","",DATE(P217,O217,1))</f>
        <v>46054.0</v>
      </c>
      <c r="R217" s="36">
        <f>IF(OR($A217="",$N217=""),"",IF(AND($C217&lt;&gt;"Transferência",N($I217)&gt;1),$N217/$I217,$N217))</f>
        <v>10800</v>
      </c>
      <c r="S217" s="41" t="str">
        <f>IF(OR($A217="",$F217="",$C217&lt;&gt;"Despesa"),"",IF(COUNTIF(Cartoes_Nome,$F217)=0,"",DATE(P217,O217+IF(DAY($A217)&gt;=INDEX(Cartoes_Fech,MATCH($F217,Cartoes_Nome,0)),1,0),1)))</f>
        <v/>
      </c>
      <c r="T217" s="42" t="str">
        <f>IF($A217="","",IF(COUNTIFS(L_Data,$A217,L_Desc,$B217,L_Valor,$N217,L_Tipo,$C217)&gt;1,"⚠ Possível duplicidade",IF(OR(AND($C217="Despesa",COUNTIF(CatD_Nome,$D217)=0),AND($C217="Receita",COUNTIF(CatR_Nome,$D217)=0)),"⚠ Categoria não combina com o tipo",IF(OR($N217="",$C217=""),"⚠ Falta valor ou tipo",""))))</f>
        <v/>
      </c>
      <c r="U217" s="40">
        <f>IF($A217="",0,P217*12+O217)</f>
        <v>24314</v>
      </c>
      <c r="V217" s="40">
        <f>IF($A217="",0,U217+MAX(0,N($I217)-MAX(N($H217),1)))</f>
        <v>24314</v>
      </c>
      <c r="W217" s="40">
        <f>IF(S217="",0,YEAR(S217)*12+MONTH(S217))</f>
        <v>0</v>
      </c>
      <c r="X217" s="40">
        <f>IF(W217=0,0,W217+V217-U217)</f>
        <v>0</v>
      </c>
      <c r="Y217" s="36">
        <f>IF(W217=0,0,N(R217)*MAX(0,X217-MAX(W217,YEAR(Cfg_Hoje)*12+MONTH(Cfg_Hoje)+IF(DAY(Cfg_Hoje)&gt;=INDEX(Cartoes_Fech,MATCH($F217,Cartoes_Nome,0)),1,0))+1))</f>
        <v>0</v>
      </c>
      <c r="Z217" s="40">
        <f>IF($A217="",0,DAY($A217))</f>
        <v>5</v>
      </c>
      <c r="AA217" s="40">
        <f>IF($A217="",0,WEEKDAY($A217))</f>
        <v>5</v>
      </c>
      <c r="AB217" s="36">
        <f>IF(AND($C217="Despesa",U217&gt;0,U217&lt;=Sel_Idx,V217&gt;=Sel_Idx),N(R217)+ROW()/1000000000,0)</f>
        <v>0</v>
      </c>
      <c r="AC217" s="40">
        <f>IF(AND($C217="Despesa",U217&gt;0,U217&lt;=Sel_Idx,V217&gt;=Sel_Idx),Z217*10000+ROW(),0)</f>
        <v>0</v>
      </c>
      <c r="AD217" s="40">
        <f>IF(AC217=0,0,COUNTIFS(L_CalChave,"&gt;0",L_CalChave,"&lt;"&amp;AC217)+1)</f>
        <v>0</v>
      </c>
    </row>
    <row r="218">
      <c r="A218" s="38" t="n">
        <v>46058</v>
      </c>
      <c r="B218" s="39" t="inlineStr">
        <is>
          <t>Supermercado</t>
        </is>
      </c>
      <c r="C218" s="34" t="inlineStr">
        <is>
          <t>Despesa</t>
        </is>
      </c>
      <c r="D218" s="34" t="inlineStr">
        <is>
          <t>Alimentação</t>
        </is>
      </c>
      <c r="E218" s="34" t="inlineStr">
        <is>
          <t>Mercado</t>
        </is>
      </c>
      <c r="F218" s="34" t="inlineStr">
        <is>
          <t>Cartão Azul Gold</t>
        </is>
      </c>
      <c r="G218" s="34" t="inlineStr">
        <is>
          <t>Crédito</t>
        </is>
      </c>
      <c r="H218" s="37" t="n"/>
      <c r="I218" s="37" t="n"/>
      <c r="J218" s="34" t="inlineStr">
        <is>
          <t>Pago</t>
        </is>
      </c>
      <c r="K218" s="34" t="n"/>
      <c r="L218" s="34" t="n"/>
      <c r="M218" s="39" t="inlineStr">
        <is>
          <t>EXEMPLO</t>
        </is>
      </c>
      <c r="N218" s="35" t="n">
        <v>367.25</v>
      </c>
      <c r="O218" s="40">
        <f>IF($A218="","",MONTH($A218))</f>
        <v>2</v>
      </c>
      <c r="P218" s="40">
        <f>IF($A218="","",YEAR($A218))</f>
        <v>2026</v>
      </c>
      <c r="Q218" s="41">
        <f>IF($A218="","",DATE(P218,O218,1))</f>
        <v>46054.0</v>
      </c>
      <c r="R218" s="36">
        <f>IF(OR($A218="",$N218=""),"",IF(AND($C218&lt;&gt;"Transferência",N($I218)&gt;1),$N218/$I218,$N218))</f>
        <v>367.25</v>
      </c>
      <c r="S218" s="41">
        <f>IF(OR($A218="",$F218="",$C218&lt;&gt;"Despesa"),"",IF(COUNTIF(Cartoes_Nome,$F218)=0,"",DATE(P218,O218+IF(DAY($A218)&gt;=INDEX(Cartoes_Fech,MATCH($F218,Cartoes_Nome,0)),1,0),1)))</f>
        <v>46054.0</v>
      </c>
      <c r="T218" s="42" t="str">
        <f>IF($A218="","",IF(COUNTIFS(L_Data,$A218,L_Desc,$B218,L_Valor,$N218,L_Tipo,$C218)&gt;1,"⚠ Possível duplicidade",IF(OR(AND($C218="Despesa",COUNTIF(CatD_Nome,$D218)=0),AND($C218="Receita",COUNTIF(CatR_Nome,$D218)=0)),"⚠ Categoria não combina com o tipo",IF(OR($N218="",$C218=""),"⚠ Falta valor ou tipo",""))))</f>
        <v/>
      </c>
      <c r="U218" s="40">
        <f>IF($A218="",0,P218*12+O218)</f>
        <v>24314</v>
      </c>
      <c r="V218" s="40">
        <f>IF($A218="",0,U218+MAX(0,N($I218)-MAX(N($H218),1)))</f>
        <v>24314</v>
      </c>
      <c r="W218" s="40">
        <f>IF(S218="",0,YEAR(S218)*12+MONTH(S218))</f>
        <v>24314</v>
      </c>
      <c r="X218" s="40">
        <f>IF(W218=0,0,W218+V218-U218)</f>
        <v>24314</v>
      </c>
      <c r="Y218" s="36">
        <f>IF(W218=0,0,N(R218)*MAX(0,X218-MAX(W218,YEAR(Cfg_Hoje)*12+MONTH(Cfg_Hoje)+IF(DAY(Cfg_Hoje)&gt;=INDEX(Cartoes_Fech,MATCH($F218,Cartoes_Nome,0)),1,0))+1))</f>
        <v>0</v>
      </c>
      <c r="Z218" s="40">
        <f>IF($A218="",0,DAY($A218))</f>
        <v>5</v>
      </c>
      <c r="AA218" s="40">
        <f>IF($A218="",0,WEEKDAY($A218))</f>
        <v>5</v>
      </c>
      <c r="AB218" s="36">
        <f>IF(AND($C218="Despesa",U218&gt;0,U218&lt;=Sel_Idx,V218&gt;=Sel_Idx),N(R218)+ROW()/1000000000,0)</f>
        <v>0</v>
      </c>
      <c r="AC218" s="40">
        <f>IF(AND($C218="Despesa",U218&gt;0,U218&lt;=Sel_Idx,V218&gt;=Sel_Idx),Z218*10000+ROW(),0)</f>
        <v>0</v>
      </c>
      <c r="AD218" s="40">
        <f>IF(AC218=0,0,COUNTIFS(L_CalChave,"&gt;0",L_CalChave,"&lt;"&amp;AC218)+1)</f>
        <v>0</v>
      </c>
    </row>
    <row r="219">
      <c r="A219" s="38" t="n">
        <v>46059</v>
      </c>
      <c r="B219" s="39" t="inlineStr">
        <is>
          <t>Aporte - MBA</t>
        </is>
      </c>
      <c r="C219" s="34" t="inlineStr">
        <is>
          <t>Investimento</t>
        </is>
      </c>
      <c r="D219" s="34" t="inlineStr">
        <is>
          <t>Investimento</t>
        </is>
      </c>
      <c r="E219" s="34" t="n"/>
      <c r="F219" s="34" t="inlineStr">
        <is>
          <t>Conta Corrente Banco Azul</t>
        </is>
      </c>
      <c r="G219" s="34" t="inlineStr">
        <is>
          <t>Transferência</t>
        </is>
      </c>
      <c r="H219" s="37" t="n"/>
      <c r="I219" s="37" t="n"/>
      <c r="J219" s="34" t="inlineStr">
        <is>
          <t>Pago</t>
        </is>
      </c>
      <c r="K219" s="34" t="n"/>
      <c r="L219" s="34" t="inlineStr">
        <is>
          <t>MBA</t>
        </is>
      </c>
      <c r="M219" s="39" t="inlineStr">
        <is>
          <t>EXEMPLO</t>
        </is>
      </c>
      <c r="N219" s="35" t="n">
        <v>150</v>
      </c>
      <c r="O219" s="40">
        <f>IF($A219="","",MONTH($A219))</f>
        <v>2</v>
      </c>
      <c r="P219" s="40">
        <f>IF($A219="","",YEAR($A219))</f>
        <v>2026</v>
      </c>
      <c r="Q219" s="41">
        <f>IF($A219="","",DATE(P219,O219,1))</f>
        <v>46054.0</v>
      </c>
      <c r="R219" s="36">
        <f>IF(OR($A219="",$N219=""),"",IF(AND($C219&lt;&gt;"Transferência",N($I219)&gt;1),$N219/$I219,$N219))</f>
        <v>150</v>
      </c>
      <c r="S219" s="41" t="str">
        <f>IF(OR($A219="",$F219="",$C219&lt;&gt;"Despesa"),"",IF(COUNTIF(Cartoes_Nome,$F219)=0,"",DATE(P219,O219+IF(DAY($A219)&gt;=INDEX(Cartoes_Fech,MATCH($F219,Cartoes_Nome,0)),1,0),1)))</f>
        <v/>
      </c>
      <c r="T219" s="42" t="str">
        <f>IF($A219="","",IF(COUNTIFS(L_Data,$A219,L_Desc,$B219,L_Valor,$N219,L_Tipo,$C219)&gt;1,"⚠ Possível duplicidade",IF(OR(AND($C219="Despesa",COUNTIF(CatD_Nome,$D219)=0),AND($C219="Receita",COUNTIF(CatR_Nome,$D219)=0)),"⚠ Categoria não combina com o tipo",IF(OR($N219="",$C219=""),"⚠ Falta valor ou tipo",""))))</f>
        <v/>
      </c>
      <c r="U219" s="40">
        <f>IF($A219="",0,P219*12+O219)</f>
        <v>24314</v>
      </c>
      <c r="V219" s="40">
        <f>IF($A219="",0,U219+MAX(0,N($I219)-MAX(N($H219),1)))</f>
        <v>24314</v>
      </c>
      <c r="W219" s="40">
        <f>IF(S219="",0,YEAR(S219)*12+MONTH(S219))</f>
        <v>0</v>
      </c>
      <c r="X219" s="40">
        <f>IF(W219=0,0,W219+V219-U219)</f>
        <v>0</v>
      </c>
      <c r="Y219" s="36">
        <f>IF(W219=0,0,N(R219)*MAX(0,X219-MAX(W219,YEAR(Cfg_Hoje)*12+MONTH(Cfg_Hoje)+IF(DAY(Cfg_Hoje)&gt;=INDEX(Cartoes_Fech,MATCH($F219,Cartoes_Nome,0)),1,0))+1))</f>
        <v>0</v>
      </c>
      <c r="Z219" s="40">
        <f>IF($A219="",0,DAY($A219))</f>
        <v>6</v>
      </c>
      <c r="AA219" s="40">
        <f>IF($A219="",0,WEEKDAY($A219))</f>
        <v>6</v>
      </c>
      <c r="AB219" s="36">
        <f>IF(AND($C219="Despesa",U219&gt;0,U219&lt;=Sel_Idx,V219&gt;=Sel_Idx),N(R219)+ROW()/1000000000,0)</f>
        <v>0</v>
      </c>
      <c r="AC219" s="40">
        <f>IF(AND($C219="Despesa",U219&gt;0,U219&lt;=Sel_Idx,V219&gt;=Sel_Idx),Z219*10000+ROW(),0)</f>
        <v>0</v>
      </c>
      <c r="AD219" s="40">
        <f>IF(AC219=0,0,COUNTIFS(L_CalChave,"&gt;0",L_CalChave,"&lt;"&amp;AC219)+1)</f>
        <v>0</v>
      </c>
    </row>
    <row r="220">
      <c r="A220" s="38" t="n">
        <v>46059</v>
      </c>
      <c r="B220" s="39" t="inlineStr">
        <is>
          <t>Aporte - aposentadoria (PGBL)</t>
        </is>
      </c>
      <c r="C220" s="34" t="inlineStr">
        <is>
          <t>Investimento</t>
        </is>
      </c>
      <c r="D220" s="34" t="inlineStr">
        <is>
          <t>Investimento</t>
        </is>
      </c>
      <c r="E220" s="34" t="n"/>
      <c r="F220" s="34" t="inlineStr">
        <is>
          <t>Conta Corrente Banco Azul</t>
        </is>
      </c>
      <c r="G220" s="34" t="inlineStr">
        <is>
          <t>Transferência</t>
        </is>
      </c>
      <c r="H220" s="37" t="n"/>
      <c r="I220" s="37" t="n"/>
      <c r="J220" s="34" t="inlineStr">
        <is>
          <t>Pago</t>
        </is>
      </c>
      <c r="K220" s="34" t="n"/>
      <c r="L220" s="34" t="inlineStr">
        <is>
          <t>Aposentadoria</t>
        </is>
      </c>
      <c r="M220" s="39" t="inlineStr">
        <is>
          <t>EXEMPLO</t>
        </is>
      </c>
      <c r="N220" s="35" t="n">
        <v>300</v>
      </c>
      <c r="O220" s="40">
        <f>IF($A220="","",MONTH($A220))</f>
        <v>2</v>
      </c>
      <c r="P220" s="40">
        <f>IF($A220="","",YEAR($A220))</f>
        <v>2026</v>
      </c>
      <c r="Q220" s="41">
        <f>IF($A220="","",DATE(P220,O220,1))</f>
        <v>46054.0</v>
      </c>
      <c r="R220" s="36">
        <f>IF(OR($A220="",$N220=""),"",IF(AND($C220&lt;&gt;"Transferência",N($I220)&gt;1),$N220/$I220,$N220))</f>
        <v>300</v>
      </c>
      <c r="S220" s="41" t="str">
        <f>IF(OR($A220="",$F220="",$C220&lt;&gt;"Despesa"),"",IF(COUNTIF(Cartoes_Nome,$F220)=0,"",DATE(P220,O220+IF(DAY($A220)&gt;=INDEX(Cartoes_Fech,MATCH($F220,Cartoes_Nome,0)),1,0),1)))</f>
        <v/>
      </c>
      <c r="T220" s="42" t="str">
        <f>IF($A220="","",IF(COUNTIFS(L_Data,$A220,L_Desc,$B220,L_Valor,$N220,L_Tipo,$C220)&gt;1,"⚠ Possível duplicidade",IF(OR(AND($C220="Despesa",COUNTIF(CatD_Nome,$D220)=0),AND($C220="Receita",COUNTIF(CatR_Nome,$D220)=0)),"⚠ Categoria não combina com o tipo",IF(OR($N220="",$C220=""),"⚠ Falta valor ou tipo",""))))</f>
        <v/>
      </c>
      <c r="U220" s="40">
        <f>IF($A220="",0,P220*12+O220)</f>
        <v>24314</v>
      </c>
      <c r="V220" s="40">
        <f>IF($A220="",0,U220+MAX(0,N($I220)-MAX(N($H220),1)))</f>
        <v>24314</v>
      </c>
      <c r="W220" s="40">
        <f>IF(S220="",0,YEAR(S220)*12+MONTH(S220))</f>
        <v>0</v>
      </c>
      <c r="X220" s="40">
        <f>IF(W220=0,0,W220+V220-U220)</f>
        <v>0</v>
      </c>
      <c r="Y220" s="36">
        <f>IF(W220=0,0,N(R220)*MAX(0,X220-MAX(W220,YEAR(Cfg_Hoje)*12+MONTH(Cfg_Hoje)+IF(DAY(Cfg_Hoje)&gt;=INDEX(Cartoes_Fech,MATCH($F220,Cartoes_Nome,0)),1,0))+1))</f>
        <v>0</v>
      </c>
      <c r="Z220" s="40">
        <f>IF($A220="",0,DAY($A220))</f>
        <v>6</v>
      </c>
      <c r="AA220" s="40">
        <f>IF($A220="",0,WEEKDAY($A220))</f>
        <v>6</v>
      </c>
      <c r="AB220" s="36">
        <f>IF(AND($C220="Despesa",U220&gt;0,U220&lt;=Sel_Idx,V220&gt;=Sel_Idx),N(R220)+ROW()/1000000000,0)</f>
        <v>0</v>
      </c>
      <c r="AC220" s="40">
        <f>IF(AND($C220="Despesa",U220&gt;0,U220&lt;=Sel_Idx,V220&gt;=Sel_Idx),Z220*10000+ROW(),0)</f>
        <v>0</v>
      </c>
      <c r="AD220" s="40">
        <f>IF(AC220=0,0,COUNTIFS(L_CalChave,"&gt;0",L_CalChave,"&lt;"&amp;AC220)+1)</f>
        <v>0</v>
      </c>
    </row>
    <row r="221">
      <c r="A221" s="38" t="n">
        <v>46059</v>
      </c>
      <c r="B221" s="39" t="inlineStr">
        <is>
          <t>Aporte - reserva de emergência</t>
        </is>
      </c>
      <c r="C221" s="34" t="inlineStr">
        <is>
          <t>Investimento</t>
        </is>
      </c>
      <c r="D221" s="34" t="inlineStr">
        <is>
          <t>Investimento</t>
        </is>
      </c>
      <c r="E221" s="34" t="n"/>
      <c r="F221" s="34" t="inlineStr">
        <is>
          <t>Conta Corrente Banco Azul</t>
        </is>
      </c>
      <c r="G221" s="34" t="inlineStr">
        <is>
          <t>Transferência</t>
        </is>
      </c>
      <c r="H221" s="37" t="n"/>
      <c r="I221" s="37" t="n"/>
      <c r="J221" s="34" t="inlineStr">
        <is>
          <t>Pago</t>
        </is>
      </c>
      <c r="K221" s="34" t="n"/>
      <c r="L221" s="34" t="inlineStr">
        <is>
          <t>Reserva de emergência</t>
        </is>
      </c>
      <c r="M221" s="39" t="inlineStr">
        <is>
          <t>EXEMPLO</t>
        </is>
      </c>
      <c r="N221" s="35" t="n">
        <v>700</v>
      </c>
      <c r="O221" s="40">
        <f>IF($A221="","",MONTH($A221))</f>
        <v>2</v>
      </c>
      <c r="P221" s="40">
        <f>IF($A221="","",YEAR($A221))</f>
        <v>2026</v>
      </c>
      <c r="Q221" s="41">
        <f>IF($A221="","",DATE(P221,O221,1))</f>
        <v>46054.0</v>
      </c>
      <c r="R221" s="36">
        <f>IF(OR($A221="",$N221=""),"",IF(AND($C221&lt;&gt;"Transferência",N($I221)&gt;1),$N221/$I221,$N221))</f>
        <v>700</v>
      </c>
      <c r="S221" s="41" t="str">
        <f>IF(OR($A221="",$F221="",$C221&lt;&gt;"Despesa"),"",IF(COUNTIF(Cartoes_Nome,$F221)=0,"",DATE(P221,O221+IF(DAY($A221)&gt;=INDEX(Cartoes_Fech,MATCH($F221,Cartoes_Nome,0)),1,0),1)))</f>
        <v/>
      </c>
      <c r="T221" s="42" t="str">
        <f>IF($A221="","",IF(COUNTIFS(L_Data,$A221,L_Desc,$B221,L_Valor,$N221,L_Tipo,$C221)&gt;1,"⚠ Possível duplicidade",IF(OR(AND($C221="Despesa",COUNTIF(CatD_Nome,$D221)=0),AND($C221="Receita",COUNTIF(CatR_Nome,$D221)=0)),"⚠ Categoria não combina com o tipo",IF(OR($N221="",$C221=""),"⚠ Falta valor ou tipo",""))))</f>
        <v/>
      </c>
      <c r="U221" s="40">
        <f>IF($A221="",0,P221*12+O221)</f>
        <v>24314</v>
      </c>
      <c r="V221" s="40">
        <f>IF($A221="",0,U221+MAX(0,N($I221)-MAX(N($H221),1)))</f>
        <v>24314</v>
      </c>
      <c r="W221" s="40">
        <f>IF(S221="",0,YEAR(S221)*12+MONTH(S221))</f>
        <v>0</v>
      </c>
      <c r="X221" s="40">
        <f>IF(W221=0,0,W221+V221-U221)</f>
        <v>0</v>
      </c>
      <c r="Y221" s="36">
        <f>IF(W221=0,0,N(R221)*MAX(0,X221-MAX(W221,YEAR(Cfg_Hoje)*12+MONTH(Cfg_Hoje)+IF(DAY(Cfg_Hoje)&gt;=INDEX(Cartoes_Fech,MATCH($F221,Cartoes_Nome,0)),1,0))+1))</f>
        <v>0</v>
      </c>
      <c r="Z221" s="40">
        <f>IF($A221="",0,DAY($A221))</f>
        <v>6</v>
      </c>
      <c r="AA221" s="40">
        <f>IF($A221="",0,WEEKDAY($A221))</f>
        <v>6</v>
      </c>
      <c r="AB221" s="36">
        <f>IF(AND($C221="Despesa",U221&gt;0,U221&lt;=Sel_Idx,V221&gt;=Sel_Idx),N(R221)+ROW()/1000000000,0)</f>
        <v>0</v>
      </c>
      <c r="AC221" s="40">
        <f>IF(AND($C221="Despesa",U221&gt;0,U221&lt;=Sel_Idx,V221&gt;=Sel_Idx),Z221*10000+ROW(),0)</f>
        <v>0</v>
      </c>
      <c r="AD221" s="40">
        <f>IF(AC221=0,0,COUNTIFS(L_CalChave,"&gt;0",L_CalChave,"&lt;"&amp;AC221)+1)</f>
        <v>0</v>
      </c>
    </row>
    <row r="222">
      <c r="A222" s="38" t="n">
        <v>46059</v>
      </c>
      <c r="B222" s="39" t="inlineStr">
        <is>
          <t>Aporte - troca de carro</t>
        </is>
      </c>
      <c r="C222" s="34" t="inlineStr">
        <is>
          <t>Investimento</t>
        </is>
      </c>
      <c r="D222" s="34" t="inlineStr">
        <is>
          <t>Investimento</t>
        </is>
      </c>
      <c r="E222" s="34" t="n"/>
      <c r="F222" s="34" t="inlineStr">
        <is>
          <t>Conta Corrente Banco Azul</t>
        </is>
      </c>
      <c r="G222" s="34" t="inlineStr">
        <is>
          <t>Transferência</t>
        </is>
      </c>
      <c r="H222" s="37" t="n"/>
      <c r="I222" s="37" t="n"/>
      <c r="J222" s="34" t="inlineStr">
        <is>
          <t>Pago</t>
        </is>
      </c>
      <c r="K222" s="34" t="n"/>
      <c r="L222" s="34" t="inlineStr">
        <is>
          <t>Troca de carro</t>
        </is>
      </c>
      <c r="M222" s="39" t="inlineStr">
        <is>
          <t>EXEMPLO</t>
        </is>
      </c>
      <c r="N222" s="35" t="n">
        <v>200</v>
      </c>
      <c r="O222" s="40">
        <f>IF($A222="","",MONTH($A222))</f>
        <v>2</v>
      </c>
      <c r="P222" s="40">
        <f>IF($A222="","",YEAR($A222))</f>
        <v>2026</v>
      </c>
      <c r="Q222" s="41">
        <f>IF($A222="","",DATE(P222,O222,1))</f>
        <v>46054.0</v>
      </c>
      <c r="R222" s="36">
        <f>IF(OR($A222="",$N222=""),"",IF(AND($C222&lt;&gt;"Transferência",N($I222)&gt;1),$N222/$I222,$N222))</f>
        <v>200</v>
      </c>
      <c r="S222" s="41" t="str">
        <f>IF(OR($A222="",$F222="",$C222&lt;&gt;"Despesa"),"",IF(COUNTIF(Cartoes_Nome,$F222)=0,"",DATE(P222,O222+IF(DAY($A222)&gt;=INDEX(Cartoes_Fech,MATCH($F222,Cartoes_Nome,0)),1,0),1)))</f>
        <v/>
      </c>
      <c r="T222" s="42" t="str">
        <f>IF($A222="","",IF(COUNTIFS(L_Data,$A222,L_Desc,$B222,L_Valor,$N222,L_Tipo,$C222)&gt;1,"⚠ Possível duplicidade",IF(OR(AND($C222="Despesa",COUNTIF(CatD_Nome,$D222)=0),AND($C222="Receita",COUNTIF(CatR_Nome,$D222)=0)),"⚠ Categoria não combina com o tipo",IF(OR($N222="",$C222=""),"⚠ Falta valor ou tipo",""))))</f>
        <v/>
      </c>
      <c r="U222" s="40">
        <f>IF($A222="",0,P222*12+O222)</f>
        <v>24314</v>
      </c>
      <c r="V222" s="40">
        <f>IF($A222="",0,U222+MAX(0,N($I222)-MAX(N($H222),1)))</f>
        <v>24314</v>
      </c>
      <c r="W222" s="40">
        <f>IF(S222="",0,YEAR(S222)*12+MONTH(S222))</f>
        <v>0</v>
      </c>
      <c r="X222" s="40">
        <f>IF(W222=0,0,W222+V222-U222)</f>
        <v>0</v>
      </c>
      <c r="Y222" s="36">
        <f>IF(W222=0,0,N(R222)*MAX(0,X222-MAX(W222,YEAR(Cfg_Hoje)*12+MONTH(Cfg_Hoje)+IF(DAY(Cfg_Hoje)&gt;=INDEX(Cartoes_Fech,MATCH($F222,Cartoes_Nome,0)),1,0))+1))</f>
        <v>0</v>
      </c>
      <c r="Z222" s="40">
        <f>IF($A222="",0,DAY($A222))</f>
        <v>6</v>
      </c>
      <c r="AA222" s="40">
        <f>IF($A222="",0,WEEKDAY($A222))</f>
        <v>6</v>
      </c>
      <c r="AB222" s="36">
        <f>IF(AND($C222="Despesa",U222&gt;0,U222&lt;=Sel_Idx,V222&gt;=Sel_Idx),N(R222)+ROW()/1000000000,0)</f>
        <v>0</v>
      </c>
      <c r="AC222" s="40">
        <f>IF(AND($C222="Despesa",U222&gt;0,U222&lt;=Sel_Idx,V222&gt;=Sel_Idx),Z222*10000+ROW(),0)</f>
        <v>0</v>
      </c>
      <c r="AD222" s="40">
        <f>IF(AC222=0,0,COUNTIFS(L_CalChave,"&gt;0",L_CalChave,"&lt;"&amp;AC222)+1)</f>
        <v>0</v>
      </c>
    </row>
    <row r="223">
      <c r="A223" s="38" t="n">
        <v>46059</v>
      </c>
      <c r="B223" s="39" t="inlineStr">
        <is>
          <t>Aporte - viagem</t>
        </is>
      </c>
      <c r="C223" s="34" t="inlineStr">
        <is>
          <t>Investimento</t>
        </is>
      </c>
      <c r="D223" s="34" t="inlineStr">
        <is>
          <t>Investimento</t>
        </is>
      </c>
      <c r="E223" s="34" t="n"/>
      <c r="F223" s="34" t="inlineStr">
        <is>
          <t>Conta Corrente Banco Azul</t>
        </is>
      </c>
      <c r="G223" s="34" t="inlineStr">
        <is>
          <t>Transferência</t>
        </is>
      </c>
      <c r="H223" s="37" t="n"/>
      <c r="I223" s="37" t="n"/>
      <c r="J223" s="34" t="inlineStr">
        <is>
          <t>Pago</t>
        </is>
      </c>
      <c r="K223" s="34" t="n"/>
      <c r="L223" s="34" t="inlineStr">
        <is>
          <t>Viagem Europa</t>
        </is>
      </c>
      <c r="M223" s="39" t="inlineStr">
        <is>
          <t>EXEMPLO</t>
        </is>
      </c>
      <c r="N223" s="35" t="n">
        <v>300</v>
      </c>
      <c r="O223" s="40">
        <f>IF($A223="","",MONTH($A223))</f>
        <v>2</v>
      </c>
      <c r="P223" s="40">
        <f>IF($A223="","",YEAR($A223))</f>
        <v>2026</v>
      </c>
      <c r="Q223" s="41">
        <f>IF($A223="","",DATE(P223,O223,1))</f>
        <v>46054.0</v>
      </c>
      <c r="R223" s="36">
        <f>IF(OR($A223="",$N223=""),"",IF(AND($C223&lt;&gt;"Transferência",N($I223)&gt;1),$N223/$I223,$N223))</f>
        <v>300</v>
      </c>
      <c r="S223" s="41" t="str">
        <f>IF(OR($A223="",$F223="",$C223&lt;&gt;"Despesa"),"",IF(COUNTIF(Cartoes_Nome,$F223)=0,"",DATE(P223,O223+IF(DAY($A223)&gt;=INDEX(Cartoes_Fech,MATCH($F223,Cartoes_Nome,0)),1,0),1)))</f>
        <v/>
      </c>
      <c r="T223" s="42" t="str">
        <f>IF($A223="","",IF(COUNTIFS(L_Data,$A223,L_Desc,$B223,L_Valor,$N223,L_Tipo,$C223)&gt;1,"⚠ Possível duplicidade",IF(OR(AND($C223="Despesa",COUNTIF(CatD_Nome,$D223)=0),AND($C223="Receita",COUNTIF(CatR_Nome,$D223)=0)),"⚠ Categoria não combina com o tipo",IF(OR($N223="",$C223=""),"⚠ Falta valor ou tipo",""))))</f>
        <v/>
      </c>
      <c r="U223" s="40">
        <f>IF($A223="",0,P223*12+O223)</f>
        <v>24314</v>
      </c>
      <c r="V223" s="40">
        <f>IF($A223="",0,U223+MAX(0,N($I223)-MAX(N($H223),1)))</f>
        <v>24314</v>
      </c>
      <c r="W223" s="40">
        <f>IF(S223="",0,YEAR(S223)*12+MONTH(S223))</f>
        <v>0</v>
      </c>
      <c r="X223" s="40">
        <f>IF(W223=0,0,W223+V223-U223)</f>
        <v>0</v>
      </c>
      <c r="Y223" s="36">
        <f>IF(W223=0,0,N(R223)*MAX(0,X223-MAX(W223,YEAR(Cfg_Hoje)*12+MONTH(Cfg_Hoje)+IF(DAY(Cfg_Hoje)&gt;=INDEX(Cartoes_Fech,MATCH($F223,Cartoes_Nome,0)),1,0))+1))</f>
        <v>0</v>
      </c>
      <c r="Z223" s="40">
        <f>IF($A223="",0,DAY($A223))</f>
        <v>6</v>
      </c>
      <c r="AA223" s="40">
        <f>IF($A223="",0,WEEKDAY($A223))</f>
        <v>6</v>
      </c>
      <c r="AB223" s="36">
        <f>IF(AND($C223="Despesa",U223&gt;0,U223&lt;=Sel_Idx,V223&gt;=Sel_Idx),N(R223)+ROW()/1000000000,0)</f>
        <v>0</v>
      </c>
      <c r="AC223" s="40">
        <f>IF(AND($C223="Despesa",U223&gt;0,U223&lt;=Sel_Idx,V223&gt;=Sel_Idx),Z223*10000+ROW(),0)</f>
        <v>0</v>
      </c>
      <c r="AD223" s="40">
        <f>IF(AC223=0,0,COUNTIFS(L_CalChave,"&gt;0",L_CalChave,"&lt;"&amp;AC223)+1)</f>
        <v>0</v>
      </c>
    </row>
    <row r="224">
      <c r="A224" s="38" t="n">
        <v>46059</v>
      </c>
      <c r="B224" s="39" t="inlineStr">
        <is>
          <t>Delivery de comida</t>
        </is>
      </c>
      <c r="C224" s="34" t="inlineStr">
        <is>
          <t>Despesa</t>
        </is>
      </c>
      <c r="D224" s="34" t="inlineStr">
        <is>
          <t>Alimentação</t>
        </is>
      </c>
      <c r="E224" s="34" t="inlineStr">
        <is>
          <t>Delivery</t>
        </is>
      </c>
      <c r="F224" s="34" t="inlineStr">
        <is>
          <t>Cartão Roxinho</t>
        </is>
      </c>
      <c r="G224" s="34" t="inlineStr">
        <is>
          <t>Crédito</t>
        </is>
      </c>
      <c r="H224" s="37" t="n"/>
      <c r="I224" s="37" t="n"/>
      <c r="J224" s="34" t="inlineStr">
        <is>
          <t>Pago</t>
        </is>
      </c>
      <c r="K224" s="34" t="n"/>
      <c r="L224" s="34" t="n"/>
      <c r="M224" s="39" t="inlineStr">
        <is>
          <t>EXEMPLO</t>
        </is>
      </c>
      <c r="N224" s="35" t="n">
        <v>40.97</v>
      </c>
      <c r="O224" s="40">
        <f>IF($A224="","",MONTH($A224))</f>
        <v>2</v>
      </c>
      <c r="P224" s="40">
        <f>IF($A224="","",YEAR($A224))</f>
        <v>2026</v>
      </c>
      <c r="Q224" s="41">
        <f>IF($A224="","",DATE(P224,O224,1))</f>
        <v>46054.0</v>
      </c>
      <c r="R224" s="36">
        <f>IF(OR($A224="",$N224=""),"",IF(AND($C224&lt;&gt;"Transferência",N($I224)&gt;1),$N224/$I224,$N224))</f>
        <v>40.97</v>
      </c>
      <c r="S224" s="41">
        <f>IF(OR($A224="",$F224="",$C224&lt;&gt;"Despesa"),"",IF(COUNTIF(Cartoes_Nome,$F224)=0,"",DATE(P224,O224+IF(DAY($A224)&gt;=INDEX(Cartoes_Fech,MATCH($F224,Cartoes_Nome,0)),1,0),1)))</f>
        <v>46054.0</v>
      </c>
      <c r="T224" s="42" t="str">
        <f>IF($A224="","",IF(COUNTIFS(L_Data,$A224,L_Desc,$B224,L_Valor,$N224,L_Tipo,$C224)&gt;1,"⚠ Possível duplicidade",IF(OR(AND($C224="Despesa",COUNTIF(CatD_Nome,$D224)=0),AND($C224="Receita",COUNTIF(CatR_Nome,$D224)=0)),"⚠ Categoria não combina com o tipo",IF(OR($N224="",$C224=""),"⚠ Falta valor ou tipo",""))))</f>
        <v/>
      </c>
      <c r="U224" s="40">
        <f>IF($A224="",0,P224*12+O224)</f>
        <v>24314</v>
      </c>
      <c r="V224" s="40">
        <f>IF($A224="",0,U224+MAX(0,N($I224)-MAX(N($H224),1)))</f>
        <v>24314</v>
      </c>
      <c r="W224" s="40">
        <f>IF(S224="",0,YEAR(S224)*12+MONTH(S224))</f>
        <v>24314</v>
      </c>
      <c r="X224" s="40">
        <f>IF(W224=0,0,W224+V224-U224)</f>
        <v>24314</v>
      </c>
      <c r="Y224" s="36">
        <f>IF(W224=0,0,N(R224)*MAX(0,X224-MAX(W224,YEAR(Cfg_Hoje)*12+MONTH(Cfg_Hoje)+IF(DAY(Cfg_Hoje)&gt;=INDEX(Cartoes_Fech,MATCH($F224,Cartoes_Nome,0)),1,0))+1))</f>
        <v>0</v>
      </c>
      <c r="Z224" s="40">
        <f>IF($A224="",0,DAY($A224))</f>
        <v>6</v>
      </c>
      <c r="AA224" s="40">
        <f>IF($A224="",0,WEEKDAY($A224))</f>
        <v>6</v>
      </c>
      <c r="AB224" s="36">
        <f>IF(AND($C224="Despesa",U224&gt;0,U224&lt;=Sel_Idx,V224&gt;=Sel_Idx),N(R224)+ROW()/1000000000,0)</f>
        <v>0</v>
      </c>
      <c r="AC224" s="40">
        <f>IF(AND($C224="Despesa",U224&gt;0,U224&lt;=Sel_Idx,V224&gt;=Sel_Idx),Z224*10000+ROW(),0)</f>
        <v>0</v>
      </c>
      <c r="AD224" s="40">
        <f>IF(AC224=0,0,COUNTIFS(L_CalChave,"&gt;0",L_CalChave,"&lt;"&amp;AC224)+1)</f>
        <v>0</v>
      </c>
    </row>
    <row r="225">
      <c r="A225" s="38" t="n">
        <v>46060</v>
      </c>
      <c r="B225" s="39" t="inlineStr">
        <is>
          <t>Doação mensal</t>
        </is>
      </c>
      <c r="C225" s="34" t="inlineStr">
        <is>
          <t>Despesa</t>
        </is>
      </c>
      <c r="D225" s="34" t="inlineStr">
        <is>
          <t>Doações</t>
        </is>
      </c>
      <c r="E225" s="34" t="inlineStr">
        <is>
          <t>ONG</t>
        </is>
      </c>
      <c r="F225" s="34" t="inlineStr">
        <is>
          <t>Conta Corrente Banco Azul</t>
        </is>
      </c>
      <c r="G225" s="34" t="inlineStr">
        <is>
          <t>Pix</t>
        </is>
      </c>
      <c r="H225" s="37" t="n"/>
      <c r="I225" s="37" t="n"/>
      <c r="J225" s="34" t="inlineStr">
        <is>
          <t>Pago</t>
        </is>
      </c>
      <c r="K225" s="34" t="n"/>
      <c r="L225" s="34" t="n"/>
      <c r="M225" s="39" t="inlineStr">
        <is>
          <t>EXEMPLO</t>
        </is>
      </c>
      <c r="N225" s="35" t="n">
        <v>100</v>
      </c>
      <c r="O225" s="40">
        <f>IF($A225="","",MONTH($A225))</f>
        <v>2</v>
      </c>
      <c r="P225" s="40">
        <f>IF($A225="","",YEAR($A225))</f>
        <v>2026</v>
      </c>
      <c r="Q225" s="41">
        <f>IF($A225="","",DATE(P225,O225,1))</f>
        <v>46054.0</v>
      </c>
      <c r="R225" s="36">
        <f>IF(OR($A225="",$N225=""),"",IF(AND($C225&lt;&gt;"Transferência",N($I225)&gt;1),$N225/$I225,$N225))</f>
        <v>100</v>
      </c>
      <c r="S225" s="41" t="str">
        <f>IF(OR($A225="",$F225="",$C225&lt;&gt;"Despesa"),"",IF(COUNTIF(Cartoes_Nome,$F225)=0,"",DATE(P225,O225+IF(DAY($A225)&gt;=INDEX(Cartoes_Fech,MATCH($F225,Cartoes_Nome,0)),1,0),1)))</f>
        <v/>
      </c>
      <c r="T225" s="42" t="str">
        <f>IF($A225="","",IF(COUNTIFS(L_Data,$A225,L_Desc,$B225,L_Valor,$N225,L_Tipo,$C225)&gt;1,"⚠ Possível duplicidade",IF(OR(AND($C225="Despesa",COUNTIF(CatD_Nome,$D225)=0),AND($C225="Receita",COUNTIF(CatR_Nome,$D225)=0)),"⚠ Categoria não combina com o tipo",IF(OR($N225="",$C225=""),"⚠ Falta valor ou tipo",""))))</f>
        <v/>
      </c>
      <c r="U225" s="40">
        <f>IF($A225="",0,P225*12+O225)</f>
        <v>24314</v>
      </c>
      <c r="V225" s="40">
        <f>IF($A225="",0,U225+MAX(0,N($I225)-MAX(N($H225),1)))</f>
        <v>24314</v>
      </c>
      <c r="W225" s="40">
        <f>IF(S225="",0,YEAR(S225)*12+MONTH(S225))</f>
        <v>0</v>
      </c>
      <c r="X225" s="40">
        <f>IF(W225=0,0,W225+V225-U225)</f>
        <v>0</v>
      </c>
      <c r="Y225" s="36">
        <f>IF(W225=0,0,N(R225)*MAX(0,X225-MAX(W225,YEAR(Cfg_Hoje)*12+MONTH(Cfg_Hoje)+IF(DAY(Cfg_Hoje)&gt;=INDEX(Cartoes_Fech,MATCH($F225,Cartoes_Nome,0)),1,0))+1))</f>
        <v>0</v>
      </c>
      <c r="Z225" s="40">
        <f>IF($A225="",0,DAY($A225))</f>
        <v>7</v>
      </c>
      <c r="AA225" s="40">
        <f>IF($A225="",0,WEEKDAY($A225))</f>
        <v>7</v>
      </c>
      <c r="AB225" s="36">
        <f>IF(AND($C225="Despesa",U225&gt;0,U225&lt;=Sel_Idx,V225&gt;=Sel_Idx),N(R225)+ROW()/1000000000,0)</f>
        <v>0</v>
      </c>
      <c r="AC225" s="40">
        <f>IF(AND($C225="Despesa",U225&gt;0,U225&lt;=Sel_Idx,V225&gt;=Sel_Idx),Z225*10000+ROW(),0)</f>
        <v>0</v>
      </c>
      <c r="AD225" s="40">
        <f>IF(AC225=0,0,COUNTIFS(L_CalChave,"&gt;0",L_CalChave,"&lt;"&amp;AC225)+1)</f>
        <v>0</v>
      </c>
    </row>
    <row r="226">
      <c r="A226" s="38" t="n">
        <v>46061</v>
      </c>
      <c r="B226" s="39" t="inlineStr">
        <is>
          <t>Combustível</t>
        </is>
      </c>
      <c r="C226" s="34" t="inlineStr">
        <is>
          <t>Despesa</t>
        </is>
      </c>
      <c r="D226" s="34" t="inlineStr">
        <is>
          <t>Transporte</t>
        </is>
      </c>
      <c r="E226" s="34" t="inlineStr">
        <is>
          <t>Combustível</t>
        </is>
      </c>
      <c r="F226" s="34" t="inlineStr">
        <is>
          <t>Cartão Roxinho</t>
        </is>
      </c>
      <c r="G226" s="34" t="inlineStr">
        <is>
          <t>Crédito</t>
        </is>
      </c>
      <c r="H226" s="37" t="n"/>
      <c r="I226" s="37" t="n"/>
      <c r="J226" s="34" t="inlineStr">
        <is>
          <t>Pago</t>
        </is>
      </c>
      <c r="K226" s="34" t="n"/>
      <c r="L226" s="34" t="n"/>
      <c r="M226" s="39" t="inlineStr">
        <is>
          <t>EXEMPLO</t>
        </is>
      </c>
      <c r="N226" s="35" t="n">
        <v>170.14</v>
      </c>
      <c r="O226" s="40">
        <f>IF($A226="","",MONTH($A226))</f>
        <v>2</v>
      </c>
      <c r="P226" s="40">
        <f>IF($A226="","",YEAR($A226))</f>
        <v>2026</v>
      </c>
      <c r="Q226" s="41">
        <f>IF($A226="","",DATE(P226,O226,1))</f>
        <v>46054.0</v>
      </c>
      <c r="R226" s="36">
        <f>IF(OR($A226="",$N226=""),"",IF(AND($C226&lt;&gt;"Transferência",N($I226)&gt;1),$N226/$I226,$N226))</f>
        <v>170.14</v>
      </c>
      <c r="S226" s="41">
        <f>IF(OR($A226="",$F226="",$C226&lt;&gt;"Despesa"),"",IF(COUNTIF(Cartoes_Nome,$F226)=0,"",DATE(P226,O226+IF(DAY($A226)&gt;=INDEX(Cartoes_Fech,MATCH($F226,Cartoes_Nome,0)),1,0),1)))</f>
        <v>46054.0</v>
      </c>
      <c r="T226" s="42" t="str">
        <f>IF($A226="","",IF(COUNTIFS(L_Data,$A226,L_Desc,$B226,L_Valor,$N226,L_Tipo,$C226)&gt;1,"⚠ Possível duplicidade",IF(OR(AND($C226="Despesa",COUNTIF(CatD_Nome,$D226)=0),AND($C226="Receita",COUNTIF(CatR_Nome,$D226)=0)),"⚠ Categoria não combina com o tipo",IF(OR($N226="",$C226=""),"⚠ Falta valor ou tipo",""))))</f>
        <v/>
      </c>
      <c r="U226" s="40">
        <f>IF($A226="",0,P226*12+O226)</f>
        <v>24314</v>
      </c>
      <c r="V226" s="40">
        <f>IF($A226="",0,U226+MAX(0,N($I226)-MAX(N($H226),1)))</f>
        <v>24314</v>
      </c>
      <c r="W226" s="40">
        <f>IF(S226="",0,YEAR(S226)*12+MONTH(S226))</f>
        <v>24314</v>
      </c>
      <c r="X226" s="40">
        <f>IF(W226=0,0,W226+V226-U226)</f>
        <v>24314</v>
      </c>
      <c r="Y226" s="36">
        <f>IF(W226=0,0,N(R226)*MAX(0,X226-MAX(W226,YEAR(Cfg_Hoje)*12+MONTH(Cfg_Hoje)+IF(DAY(Cfg_Hoje)&gt;=INDEX(Cartoes_Fech,MATCH($F226,Cartoes_Nome,0)),1,0))+1))</f>
        <v>0</v>
      </c>
      <c r="Z226" s="40">
        <f>IF($A226="",0,DAY($A226))</f>
        <v>8</v>
      </c>
      <c r="AA226" s="40">
        <f>IF($A226="",0,WEEKDAY($A226))</f>
        <v>1</v>
      </c>
      <c r="AB226" s="36">
        <f>IF(AND($C226="Despesa",U226&gt;0,U226&lt;=Sel_Idx,V226&gt;=Sel_Idx),N(R226)+ROW()/1000000000,0)</f>
        <v>0</v>
      </c>
      <c r="AC226" s="40">
        <f>IF(AND($C226="Despesa",U226&gt;0,U226&lt;=Sel_Idx,V226&gt;=Sel_Idx),Z226*10000+ROW(),0)</f>
        <v>0</v>
      </c>
      <c r="AD226" s="40">
        <f>IF(AC226=0,0,COUNTIFS(L_CalChave,"&gt;0",L_CalChave,"&lt;"&amp;AC226)+1)</f>
        <v>0</v>
      </c>
    </row>
    <row r="227">
      <c r="A227" s="38" t="n">
        <v>46061</v>
      </c>
      <c r="B227" s="39" t="inlineStr">
        <is>
          <t>Curso de inglês</t>
        </is>
      </c>
      <c r="C227" s="34" t="inlineStr">
        <is>
          <t>Despesa</t>
        </is>
      </c>
      <c r="D227" s="34" t="inlineStr">
        <is>
          <t>Educação</t>
        </is>
      </c>
      <c r="E227" s="34" t="inlineStr">
        <is>
          <t>Cursos</t>
        </is>
      </c>
      <c r="F227" s="34" t="inlineStr">
        <is>
          <t>Conta Corrente Banco Azul</t>
        </is>
      </c>
      <c r="G227" s="34" t="inlineStr">
        <is>
          <t>Boleto</t>
        </is>
      </c>
      <c r="H227" s="37" t="n"/>
      <c r="I227" s="37" t="n"/>
      <c r="J227" s="34" t="inlineStr">
        <is>
          <t>Pago</t>
        </is>
      </c>
      <c r="K227" s="34" t="n"/>
      <c r="L227" s="34" t="n"/>
      <c r="M227" s="39" t="inlineStr">
        <is>
          <t>EXEMPLO</t>
        </is>
      </c>
      <c r="N227" s="35" t="n">
        <v>390</v>
      </c>
      <c r="O227" s="40">
        <f>IF($A227="","",MONTH($A227))</f>
        <v>2</v>
      </c>
      <c r="P227" s="40">
        <f>IF($A227="","",YEAR($A227))</f>
        <v>2026</v>
      </c>
      <c r="Q227" s="41">
        <f>IF($A227="","",DATE(P227,O227,1))</f>
        <v>46054.0</v>
      </c>
      <c r="R227" s="36">
        <f>IF(OR($A227="",$N227=""),"",IF(AND($C227&lt;&gt;"Transferência",N($I227)&gt;1),$N227/$I227,$N227))</f>
        <v>390</v>
      </c>
      <c r="S227" s="41" t="str">
        <f>IF(OR($A227="",$F227="",$C227&lt;&gt;"Despesa"),"",IF(COUNTIF(Cartoes_Nome,$F227)=0,"",DATE(P227,O227+IF(DAY($A227)&gt;=INDEX(Cartoes_Fech,MATCH($F227,Cartoes_Nome,0)),1,0),1)))</f>
        <v/>
      </c>
      <c r="T227" s="42" t="str">
        <f>IF($A227="","",IF(COUNTIFS(L_Data,$A227,L_Desc,$B227,L_Valor,$N227,L_Tipo,$C227)&gt;1,"⚠ Possível duplicidade",IF(OR(AND($C227="Despesa",COUNTIF(CatD_Nome,$D227)=0),AND($C227="Receita",COUNTIF(CatR_Nome,$D227)=0)),"⚠ Categoria não combina com o tipo",IF(OR($N227="",$C227=""),"⚠ Falta valor ou tipo",""))))</f>
        <v/>
      </c>
      <c r="U227" s="40">
        <f>IF($A227="",0,P227*12+O227)</f>
        <v>24314</v>
      </c>
      <c r="V227" s="40">
        <f>IF($A227="",0,U227+MAX(0,N($I227)-MAX(N($H227),1)))</f>
        <v>24314</v>
      </c>
      <c r="W227" s="40">
        <f>IF(S227="",0,YEAR(S227)*12+MONTH(S227))</f>
        <v>0</v>
      </c>
      <c r="X227" s="40">
        <f>IF(W227=0,0,W227+V227-U227)</f>
        <v>0</v>
      </c>
      <c r="Y227" s="36">
        <f>IF(W227=0,0,N(R227)*MAX(0,X227-MAX(W227,YEAR(Cfg_Hoje)*12+MONTH(Cfg_Hoje)+IF(DAY(Cfg_Hoje)&gt;=INDEX(Cartoes_Fech,MATCH($F227,Cartoes_Nome,0)),1,0))+1))</f>
        <v>0</v>
      </c>
      <c r="Z227" s="40">
        <f>IF($A227="",0,DAY($A227))</f>
        <v>8</v>
      </c>
      <c r="AA227" s="40">
        <f>IF($A227="",0,WEEKDAY($A227))</f>
        <v>1</v>
      </c>
      <c r="AB227" s="36">
        <f>IF(AND($C227="Despesa",U227&gt;0,U227&lt;=Sel_Idx,V227&gt;=Sel_Idx),N(R227)+ROW()/1000000000,0)</f>
        <v>0</v>
      </c>
      <c r="AC227" s="40">
        <f>IF(AND($C227="Despesa",U227&gt;0,U227&lt;=Sel_Idx,V227&gt;=Sel_Idx),Z227*10000+ROW(),0)</f>
        <v>0</v>
      </c>
      <c r="AD227" s="40">
        <f>IF(AC227=0,0,COUNTIFS(L_CalChave,"&gt;0",L_CalChave,"&lt;"&amp;AC227)+1)</f>
        <v>0</v>
      </c>
    </row>
    <row r="228">
      <c r="A228" s="38" t="n">
        <v>46062</v>
      </c>
      <c r="B228" s="39" t="inlineStr">
        <is>
          <t>Ração e petiscos</t>
        </is>
      </c>
      <c r="C228" s="34" t="inlineStr">
        <is>
          <t>Despesa</t>
        </is>
      </c>
      <c r="D228" s="34" t="inlineStr">
        <is>
          <t>Família/Pets</t>
        </is>
      </c>
      <c r="E228" s="34" t="inlineStr">
        <is>
          <t>Ração</t>
        </is>
      </c>
      <c r="F228" s="34" t="inlineStr">
        <is>
          <t>Cartão Azul Gold</t>
        </is>
      </c>
      <c r="G228" s="34" t="inlineStr">
        <is>
          <t>Crédito</t>
        </is>
      </c>
      <c r="H228" s="37" t="n"/>
      <c r="I228" s="37" t="n"/>
      <c r="J228" s="34" t="inlineStr">
        <is>
          <t>Pago</t>
        </is>
      </c>
      <c r="K228" s="34" t="n"/>
      <c r="L228" s="34" t="n"/>
      <c r="M228" s="39" t="inlineStr">
        <is>
          <t>EXEMPLO</t>
        </is>
      </c>
      <c r="N228" s="35" t="n">
        <v>216.2</v>
      </c>
      <c r="O228" s="40">
        <f>IF($A228="","",MONTH($A228))</f>
        <v>2</v>
      </c>
      <c r="P228" s="40">
        <f>IF($A228="","",YEAR($A228))</f>
        <v>2026</v>
      </c>
      <c r="Q228" s="41">
        <f>IF($A228="","",DATE(P228,O228,1))</f>
        <v>46054.0</v>
      </c>
      <c r="R228" s="36">
        <f>IF(OR($A228="",$N228=""),"",IF(AND($C228&lt;&gt;"Transferência",N($I228)&gt;1),$N228/$I228,$N228))</f>
        <v>216.2</v>
      </c>
      <c r="S228" s="41">
        <f>IF(OR($A228="",$F228="",$C228&lt;&gt;"Despesa"),"",IF(COUNTIF(Cartoes_Nome,$F228)=0,"",DATE(P228,O228+IF(DAY($A228)&gt;=INDEX(Cartoes_Fech,MATCH($F228,Cartoes_Nome,0)),1,0),1)))</f>
        <v>46054.0</v>
      </c>
      <c r="T228" s="42" t="str">
        <f>IF($A228="","",IF(COUNTIFS(L_Data,$A228,L_Desc,$B228,L_Valor,$N228,L_Tipo,$C228)&gt;1,"⚠ Possível duplicidade",IF(OR(AND($C228="Despesa",COUNTIF(CatD_Nome,$D228)=0),AND($C228="Receita",COUNTIF(CatR_Nome,$D228)=0)),"⚠ Categoria não combina com o tipo",IF(OR($N228="",$C228=""),"⚠ Falta valor ou tipo",""))))</f>
        <v/>
      </c>
      <c r="U228" s="40">
        <f>IF($A228="",0,P228*12+O228)</f>
        <v>24314</v>
      </c>
      <c r="V228" s="40">
        <f>IF($A228="",0,U228+MAX(0,N($I228)-MAX(N($H228),1)))</f>
        <v>24314</v>
      </c>
      <c r="W228" s="40">
        <f>IF(S228="",0,YEAR(S228)*12+MONTH(S228))</f>
        <v>24314</v>
      </c>
      <c r="X228" s="40">
        <f>IF(W228=0,0,W228+V228-U228)</f>
        <v>24314</v>
      </c>
      <c r="Y228" s="36">
        <f>IF(W228=0,0,N(R228)*MAX(0,X228-MAX(W228,YEAR(Cfg_Hoje)*12+MONTH(Cfg_Hoje)+IF(DAY(Cfg_Hoje)&gt;=INDEX(Cartoes_Fech,MATCH($F228,Cartoes_Nome,0)),1,0))+1))</f>
        <v>0</v>
      </c>
      <c r="Z228" s="40">
        <f>IF($A228="",0,DAY($A228))</f>
        <v>9</v>
      </c>
      <c r="AA228" s="40">
        <f>IF($A228="",0,WEEKDAY($A228))</f>
        <v>2</v>
      </c>
      <c r="AB228" s="36">
        <f>IF(AND($C228="Despesa",U228&gt;0,U228&lt;=Sel_Idx,V228&gt;=Sel_Idx),N(R228)+ROW()/1000000000,0)</f>
        <v>0</v>
      </c>
      <c r="AC228" s="40">
        <f>IF(AND($C228="Despesa",U228&gt;0,U228&lt;=Sel_Idx,V228&gt;=Sel_Idx),Z228*10000+ROW(),0)</f>
        <v>0</v>
      </c>
      <c r="AD228" s="40">
        <f>IF(AC228=0,0,COUNTIFS(L_CalChave,"&gt;0",L_CalChave,"&lt;"&amp;AC228)+1)</f>
        <v>0</v>
      </c>
    </row>
    <row r="229">
      <c r="A229" s="38" t="n">
        <v>46063</v>
      </c>
      <c r="B229" s="39" t="inlineStr">
        <is>
          <t>Aluguel recebido - apto 12</t>
        </is>
      </c>
      <c r="C229" s="34" t="inlineStr">
        <is>
          <t>Receita</t>
        </is>
      </c>
      <c r="D229" s="34" t="inlineStr">
        <is>
          <t>Aluguel recebido</t>
        </is>
      </c>
      <c r="E229" s="34" t="n"/>
      <c r="F229" s="34" t="inlineStr">
        <is>
          <t>Conta Corrente Banco Azul</t>
        </is>
      </c>
      <c r="G229" s="34" t="inlineStr">
        <is>
          <t>Pix</t>
        </is>
      </c>
      <c r="H229" s="37" t="n"/>
      <c r="I229" s="37" t="n"/>
      <c r="J229" s="34" t="inlineStr">
        <is>
          <t>Pago</t>
        </is>
      </c>
      <c r="K229" s="34" t="n"/>
      <c r="L229" s="34" t="n"/>
      <c r="M229" s="39" t="inlineStr">
        <is>
          <t>EXEMPLO</t>
        </is>
      </c>
      <c r="N229" s="35" t="n">
        <v>1900</v>
      </c>
      <c r="O229" s="40">
        <f>IF($A229="","",MONTH($A229))</f>
        <v>2</v>
      </c>
      <c r="P229" s="40">
        <f>IF($A229="","",YEAR($A229))</f>
        <v>2026</v>
      </c>
      <c r="Q229" s="41">
        <f>IF($A229="","",DATE(P229,O229,1))</f>
        <v>46054.0</v>
      </c>
      <c r="R229" s="36">
        <f>IF(OR($A229="",$N229=""),"",IF(AND($C229&lt;&gt;"Transferência",N($I229)&gt;1),$N229/$I229,$N229))</f>
        <v>1900</v>
      </c>
      <c r="S229" s="41" t="str">
        <f>IF(OR($A229="",$F229="",$C229&lt;&gt;"Despesa"),"",IF(COUNTIF(Cartoes_Nome,$F229)=0,"",DATE(P229,O229+IF(DAY($A229)&gt;=INDEX(Cartoes_Fech,MATCH($F229,Cartoes_Nome,0)),1,0),1)))</f>
        <v/>
      </c>
      <c r="T229" s="42" t="str">
        <f>IF($A229="","",IF(COUNTIFS(L_Data,$A229,L_Desc,$B229,L_Valor,$N229,L_Tipo,$C229)&gt;1,"⚠ Possível duplicidade",IF(OR(AND($C229="Despesa",COUNTIF(CatD_Nome,$D229)=0),AND($C229="Receita",COUNTIF(CatR_Nome,$D229)=0)),"⚠ Categoria não combina com o tipo",IF(OR($N229="",$C229=""),"⚠ Falta valor ou tipo",""))))</f>
        <v/>
      </c>
      <c r="U229" s="40">
        <f>IF($A229="",0,P229*12+O229)</f>
        <v>24314</v>
      </c>
      <c r="V229" s="40">
        <f>IF($A229="",0,U229+MAX(0,N($I229)-MAX(N($H229),1)))</f>
        <v>24314</v>
      </c>
      <c r="W229" s="40">
        <f>IF(S229="",0,YEAR(S229)*12+MONTH(S229))</f>
        <v>0</v>
      </c>
      <c r="X229" s="40">
        <f>IF(W229=0,0,W229+V229-U229)</f>
        <v>0</v>
      </c>
      <c r="Y229" s="36">
        <f>IF(W229=0,0,N(R229)*MAX(0,X229-MAX(W229,YEAR(Cfg_Hoje)*12+MONTH(Cfg_Hoje)+IF(DAY(Cfg_Hoje)&gt;=INDEX(Cartoes_Fech,MATCH($F229,Cartoes_Nome,0)),1,0))+1))</f>
        <v>0</v>
      </c>
      <c r="Z229" s="40">
        <f>IF($A229="",0,DAY($A229))</f>
        <v>10</v>
      </c>
      <c r="AA229" s="40">
        <f>IF($A229="",0,WEEKDAY($A229))</f>
        <v>3</v>
      </c>
      <c r="AB229" s="36">
        <f>IF(AND($C229="Despesa",U229&gt;0,U229&lt;=Sel_Idx,V229&gt;=Sel_Idx),N(R229)+ROW()/1000000000,0)</f>
        <v>0</v>
      </c>
      <c r="AC229" s="40">
        <f>IF(AND($C229="Despesa",U229&gt;0,U229&lt;=Sel_Idx,V229&gt;=Sel_Idx),Z229*10000+ROW(),0)</f>
        <v>0</v>
      </c>
      <c r="AD229" s="40">
        <f>IF(AC229=0,0,COUNTIFS(L_CalChave,"&gt;0",L_CalChave,"&lt;"&amp;AC229)+1)</f>
        <v>0</v>
      </c>
    </row>
    <row r="230">
      <c r="A230" s="38" t="n">
        <v>46063</v>
      </c>
      <c r="B230" s="39" t="inlineStr">
        <is>
          <t>Aluguel residencial</t>
        </is>
      </c>
      <c r="C230" s="34" t="inlineStr">
        <is>
          <t>Despesa</t>
        </is>
      </c>
      <c r="D230" s="34" t="inlineStr">
        <is>
          <t>Moradia</t>
        </is>
      </c>
      <c r="E230" s="34" t="inlineStr">
        <is>
          <t>Aluguel</t>
        </is>
      </c>
      <c r="F230" s="34" t="inlineStr">
        <is>
          <t>Conta Corrente Banco Azul</t>
        </is>
      </c>
      <c r="G230" s="34" t="inlineStr">
        <is>
          <t>Boleto</t>
        </is>
      </c>
      <c r="H230" s="37" t="n"/>
      <c r="I230" s="37" t="n"/>
      <c r="J230" s="34" t="inlineStr">
        <is>
          <t>Pago</t>
        </is>
      </c>
      <c r="K230" s="34" t="n"/>
      <c r="L230" s="34" t="n"/>
      <c r="M230" s="39" t="inlineStr">
        <is>
          <t>EXEMPLO</t>
        </is>
      </c>
      <c r="N230" s="35" t="n">
        <v>2400</v>
      </c>
      <c r="O230" s="40">
        <f>IF($A230="","",MONTH($A230))</f>
        <v>2</v>
      </c>
      <c r="P230" s="40">
        <f>IF($A230="","",YEAR($A230))</f>
        <v>2026</v>
      </c>
      <c r="Q230" s="41">
        <f>IF($A230="","",DATE(P230,O230,1))</f>
        <v>46054.0</v>
      </c>
      <c r="R230" s="36">
        <f>IF(OR($A230="",$N230=""),"",IF(AND($C230&lt;&gt;"Transferência",N($I230)&gt;1),$N230/$I230,$N230))</f>
        <v>2400</v>
      </c>
      <c r="S230" s="41" t="str">
        <f>IF(OR($A230="",$F230="",$C230&lt;&gt;"Despesa"),"",IF(COUNTIF(Cartoes_Nome,$F230)=0,"",DATE(P230,O230+IF(DAY($A230)&gt;=INDEX(Cartoes_Fech,MATCH($F230,Cartoes_Nome,0)),1,0),1)))</f>
        <v/>
      </c>
      <c r="T230" s="42" t="str">
        <f>IF($A230="","",IF(COUNTIFS(L_Data,$A230,L_Desc,$B230,L_Valor,$N230,L_Tipo,$C230)&gt;1,"⚠ Possível duplicidade",IF(OR(AND($C230="Despesa",COUNTIF(CatD_Nome,$D230)=0),AND($C230="Receita",COUNTIF(CatR_Nome,$D230)=0)),"⚠ Categoria não combina com o tipo",IF(OR($N230="",$C230=""),"⚠ Falta valor ou tipo",""))))</f>
        <v/>
      </c>
      <c r="U230" s="40">
        <f>IF($A230="",0,P230*12+O230)</f>
        <v>24314</v>
      </c>
      <c r="V230" s="40">
        <f>IF($A230="",0,U230+MAX(0,N($I230)-MAX(N($H230),1)))</f>
        <v>24314</v>
      </c>
      <c r="W230" s="40">
        <f>IF(S230="",0,YEAR(S230)*12+MONTH(S230))</f>
        <v>0</v>
      </c>
      <c r="X230" s="40">
        <f>IF(W230=0,0,W230+V230-U230)</f>
        <v>0</v>
      </c>
      <c r="Y230" s="36">
        <f>IF(W230=0,0,N(R230)*MAX(0,X230-MAX(W230,YEAR(Cfg_Hoje)*12+MONTH(Cfg_Hoje)+IF(DAY(Cfg_Hoje)&gt;=INDEX(Cartoes_Fech,MATCH($F230,Cartoes_Nome,0)),1,0))+1))</f>
        <v>0</v>
      </c>
      <c r="Z230" s="40">
        <f>IF($A230="",0,DAY($A230))</f>
        <v>10</v>
      </c>
      <c r="AA230" s="40">
        <f>IF($A230="",0,WEEKDAY($A230))</f>
        <v>3</v>
      </c>
      <c r="AB230" s="36">
        <f>IF(AND($C230="Despesa",U230&gt;0,U230&lt;=Sel_Idx,V230&gt;=Sel_Idx),N(R230)+ROW()/1000000000,0)</f>
        <v>0</v>
      </c>
      <c r="AC230" s="40">
        <f>IF(AND($C230="Despesa",U230&gt;0,U230&lt;=Sel_Idx,V230&gt;=Sel_Idx),Z230*10000+ROW(),0)</f>
        <v>0</v>
      </c>
      <c r="AD230" s="40">
        <f>IF(AC230=0,0,COUNTIFS(L_CalChave,"&gt;0",L_CalChave,"&lt;"&amp;AC230)+1)</f>
        <v>0</v>
      </c>
    </row>
    <row r="231">
      <c r="A231" s="38" t="n">
        <v>46063</v>
      </c>
      <c r="B231" s="39" t="inlineStr">
        <is>
          <t>Condomínio</t>
        </is>
      </c>
      <c r="C231" s="34" t="inlineStr">
        <is>
          <t>Despesa</t>
        </is>
      </c>
      <c r="D231" s="34" t="inlineStr">
        <is>
          <t>Moradia</t>
        </is>
      </c>
      <c r="E231" s="34" t="inlineStr">
        <is>
          <t>Condomínio</t>
        </is>
      </c>
      <c r="F231" s="34" t="inlineStr">
        <is>
          <t>Conta Corrente Banco Azul</t>
        </is>
      </c>
      <c r="G231" s="34" t="inlineStr">
        <is>
          <t>Boleto</t>
        </is>
      </c>
      <c r="H231" s="37" t="n"/>
      <c r="I231" s="37" t="n"/>
      <c r="J231" s="34" t="inlineStr">
        <is>
          <t>Pago</t>
        </is>
      </c>
      <c r="K231" s="34" t="n"/>
      <c r="L231" s="34" t="n"/>
      <c r="M231" s="39" t="inlineStr">
        <is>
          <t>EXEMPLO</t>
        </is>
      </c>
      <c r="N231" s="35" t="n">
        <v>650</v>
      </c>
      <c r="O231" s="40">
        <f>IF($A231="","",MONTH($A231))</f>
        <v>2</v>
      </c>
      <c r="P231" s="40">
        <f>IF($A231="","",YEAR($A231))</f>
        <v>2026</v>
      </c>
      <c r="Q231" s="41">
        <f>IF($A231="","",DATE(P231,O231,1))</f>
        <v>46054.0</v>
      </c>
      <c r="R231" s="36">
        <f>IF(OR($A231="",$N231=""),"",IF(AND($C231&lt;&gt;"Transferência",N($I231)&gt;1),$N231/$I231,$N231))</f>
        <v>650</v>
      </c>
      <c r="S231" s="41" t="str">
        <f>IF(OR($A231="",$F231="",$C231&lt;&gt;"Despesa"),"",IF(COUNTIF(Cartoes_Nome,$F231)=0,"",DATE(P231,O231+IF(DAY($A231)&gt;=INDEX(Cartoes_Fech,MATCH($F231,Cartoes_Nome,0)),1,0),1)))</f>
        <v/>
      </c>
      <c r="T231" s="42" t="str">
        <f>IF($A231="","",IF(COUNTIFS(L_Data,$A231,L_Desc,$B231,L_Valor,$N231,L_Tipo,$C231)&gt;1,"⚠ Possível duplicidade",IF(OR(AND($C231="Despesa",COUNTIF(CatD_Nome,$D231)=0),AND($C231="Receita",COUNTIF(CatR_Nome,$D231)=0)),"⚠ Categoria não combina com o tipo",IF(OR($N231="",$C231=""),"⚠ Falta valor ou tipo",""))))</f>
        <v/>
      </c>
      <c r="U231" s="40">
        <f>IF($A231="",0,P231*12+O231)</f>
        <v>24314</v>
      </c>
      <c r="V231" s="40">
        <f>IF($A231="",0,U231+MAX(0,N($I231)-MAX(N($H231),1)))</f>
        <v>24314</v>
      </c>
      <c r="W231" s="40">
        <f>IF(S231="",0,YEAR(S231)*12+MONTH(S231))</f>
        <v>0</v>
      </c>
      <c r="X231" s="40">
        <f>IF(W231=0,0,W231+V231-U231)</f>
        <v>0</v>
      </c>
      <c r="Y231" s="36">
        <f>IF(W231=0,0,N(R231)*MAX(0,X231-MAX(W231,YEAR(Cfg_Hoje)*12+MONTH(Cfg_Hoje)+IF(DAY(Cfg_Hoje)&gt;=INDEX(Cartoes_Fech,MATCH($F231,Cartoes_Nome,0)),1,0))+1))</f>
        <v>0</v>
      </c>
      <c r="Z231" s="40">
        <f>IF($A231="",0,DAY($A231))</f>
        <v>10</v>
      </c>
      <c r="AA231" s="40">
        <f>IF($A231="",0,WEEKDAY($A231))</f>
        <v>3</v>
      </c>
      <c r="AB231" s="36">
        <f>IF(AND($C231="Despesa",U231&gt;0,U231&lt;=Sel_Idx,V231&gt;=Sel_Idx),N(R231)+ROW()/1000000000,0)</f>
        <v>0</v>
      </c>
      <c r="AC231" s="40">
        <f>IF(AND($C231="Despesa",U231&gt;0,U231&lt;=Sel_Idx,V231&gt;=Sel_Idx),Z231*10000+ROW(),0)</f>
        <v>0</v>
      </c>
      <c r="AD231" s="40">
        <f>IF(AC231=0,0,COUNTIFS(L_CalChave,"&gt;0",L_CalChave,"&lt;"&amp;AC231)+1)</f>
        <v>0</v>
      </c>
    </row>
    <row r="232">
      <c r="A232" s="38" t="n">
        <v>46065</v>
      </c>
      <c r="B232" s="39" t="inlineStr">
        <is>
          <t>Farmácia</t>
        </is>
      </c>
      <c r="C232" s="34" t="inlineStr">
        <is>
          <t>Despesa</t>
        </is>
      </c>
      <c r="D232" s="34" t="inlineStr">
        <is>
          <t>Saúde</t>
        </is>
      </c>
      <c r="E232" s="34" t="inlineStr">
        <is>
          <t>Farmácia</t>
        </is>
      </c>
      <c r="F232" s="34" t="inlineStr">
        <is>
          <t>Cartão Roxinho</t>
        </is>
      </c>
      <c r="G232" s="34" t="inlineStr">
        <is>
          <t>Crédito</t>
        </is>
      </c>
      <c r="H232" s="37" t="n"/>
      <c r="I232" s="37" t="n"/>
      <c r="J232" s="34" t="inlineStr">
        <is>
          <t>Pago</t>
        </is>
      </c>
      <c r="K232" s="34" t="n"/>
      <c r="L232" s="34" t="n"/>
      <c r="M232" s="39" t="inlineStr">
        <is>
          <t>EXEMPLO</t>
        </is>
      </c>
      <c r="N232" s="35" t="n">
        <v>117.23</v>
      </c>
      <c r="O232" s="40">
        <f>IF($A232="","",MONTH($A232))</f>
        <v>2</v>
      </c>
      <c r="P232" s="40">
        <f>IF($A232="","",YEAR($A232))</f>
        <v>2026</v>
      </c>
      <c r="Q232" s="41">
        <f>IF($A232="","",DATE(P232,O232,1))</f>
        <v>46054.0</v>
      </c>
      <c r="R232" s="36">
        <f>IF(OR($A232="",$N232=""),"",IF(AND($C232&lt;&gt;"Transferência",N($I232)&gt;1),$N232/$I232,$N232))</f>
        <v>117.23</v>
      </c>
      <c r="S232" s="41">
        <f>IF(OR($A232="",$F232="",$C232&lt;&gt;"Despesa"),"",IF(COUNTIF(Cartoes_Nome,$F232)=0,"",DATE(P232,O232+IF(DAY($A232)&gt;=INDEX(Cartoes_Fech,MATCH($F232,Cartoes_Nome,0)),1,0),1)))</f>
        <v>46054.0</v>
      </c>
      <c r="T232" s="42" t="str">
        <f>IF($A232="","",IF(COUNTIFS(L_Data,$A232,L_Desc,$B232,L_Valor,$N232,L_Tipo,$C232)&gt;1,"⚠ Possível duplicidade",IF(OR(AND($C232="Despesa",COUNTIF(CatD_Nome,$D232)=0),AND($C232="Receita",COUNTIF(CatR_Nome,$D232)=0)),"⚠ Categoria não combina com o tipo",IF(OR($N232="",$C232=""),"⚠ Falta valor ou tipo",""))))</f>
        <v/>
      </c>
      <c r="U232" s="40">
        <f>IF($A232="",0,P232*12+O232)</f>
        <v>24314</v>
      </c>
      <c r="V232" s="40">
        <f>IF($A232="",0,U232+MAX(0,N($I232)-MAX(N($H232),1)))</f>
        <v>24314</v>
      </c>
      <c r="W232" s="40">
        <f>IF(S232="",0,YEAR(S232)*12+MONTH(S232))</f>
        <v>24314</v>
      </c>
      <c r="X232" s="40">
        <f>IF(W232=0,0,W232+V232-U232)</f>
        <v>24314</v>
      </c>
      <c r="Y232" s="36">
        <f>IF(W232=0,0,N(R232)*MAX(0,X232-MAX(W232,YEAR(Cfg_Hoje)*12+MONTH(Cfg_Hoje)+IF(DAY(Cfg_Hoje)&gt;=INDEX(Cartoes_Fech,MATCH($F232,Cartoes_Nome,0)),1,0))+1))</f>
        <v>0</v>
      </c>
      <c r="Z232" s="40">
        <f>IF($A232="",0,DAY($A232))</f>
        <v>12</v>
      </c>
      <c r="AA232" s="40">
        <f>IF($A232="",0,WEEKDAY($A232))</f>
        <v>5</v>
      </c>
      <c r="AB232" s="36">
        <f>IF(AND($C232="Despesa",U232&gt;0,U232&lt;=Sel_Idx,V232&gt;=Sel_Idx),N(R232)+ROW()/1000000000,0)</f>
        <v>0</v>
      </c>
      <c r="AC232" s="40">
        <f>IF(AND($C232="Despesa",U232&gt;0,U232&lt;=Sel_Idx,V232&gt;=Sel_Idx),Z232*10000+ROW(),0)</f>
        <v>0</v>
      </c>
      <c r="AD232" s="40">
        <f>IF(AC232=0,0,COUNTIFS(L_CalChave,"&gt;0",L_CalChave,"&lt;"&amp;AC232)+1)</f>
        <v>0</v>
      </c>
    </row>
    <row r="233">
      <c r="A233" s="38" t="n">
        <v>46065</v>
      </c>
      <c r="B233" s="39" t="inlineStr">
        <is>
          <t>IPTU 2026 (10 parcelas)</t>
        </is>
      </c>
      <c r="C233" s="34" t="inlineStr">
        <is>
          <t>Despesa</t>
        </is>
      </c>
      <c r="D233" s="34" t="inlineStr">
        <is>
          <t>Impostos e Taxas</t>
        </is>
      </c>
      <c r="E233" s="34" t="inlineStr">
        <is>
          <t>IPTU</t>
        </is>
      </c>
      <c r="F233" s="34" t="inlineStr">
        <is>
          <t>Conta Corrente Banco Azul</t>
        </is>
      </c>
      <c r="G233" s="34" t="inlineStr">
        <is>
          <t>Boleto</t>
        </is>
      </c>
      <c r="H233" s="37" t="n">
        <v>1</v>
      </c>
      <c r="I233" s="37" t="n">
        <v>10</v>
      </c>
      <c r="J233" s="34" t="inlineStr">
        <is>
          <t>Pago</t>
        </is>
      </c>
      <c r="K233" s="34" t="n"/>
      <c r="L233" s="34" t="n"/>
      <c r="M233" s="39" t="inlineStr">
        <is>
          <t>EXEMPLO</t>
        </is>
      </c>
      <c r="N233" s="35" t="n">
        <v>1800</v>
      </c>
      <c r="O233" s="40">
        <f>IF($A233="","",MONTH($A233))</f>
        <v>2</v>
      </c>
      <c r="P233" s="40">
        <f>IF($A233="","",YEAR($A233))</f>
        <v>2026</v>
      </c>
      <c r="Q233" s="41">
        <f>IF($A233="","",DATE(P233,O233,1))</f>
        <v>46054.0</v>
      </c>
      <c r="R233" s="36">
        <f>IF(OR($A233="",$N233=""),"",IF(AND($C233&lt;&gt;"Transferência",N($I233)&gt;1),$N233/$I233,$N233))</f>
        <v>180</v>
      </c>
      <c r="S233" s="41" t="str">
        <f>IF(OR($A233="",$F233="",$C233&lt;&gt;"Despesa"),"",IF(COUNTIF(Cartoes_Nome,$F233)=0,"",DATE(P233,O233+IF(DAY($A233)&gt;=INDEX(Cartoes_Fech,MATCH($F233,Cartoes_Nome,0)),1,0),1)))</f>
        <v/>
      </c>
      <c r="T233" s="42" t="str">
        <f>IF($A233="","",IF(COUNTIFS(L_Data,$A233,L_Desc,$B233,L_Valor,$N233,L_Tipo,$C233)&gt;1,"⚠ Possível duplicidade",IF(OR(AND($C233="Despesa",COUNTIF(CatD_Nome,$D233)=0),AND($C233="Receita",COUNTIF(CatR_Nome,$D233)=0)),"⚠ Categoria não combina com o tipo",IF(OR($N233="",$C233=""),"⚠ Falta valor ou tipo",""))))</f>
        <v/>
      </c>
      <c r="U233" s="40">
        <f>IF($A233="",0,P233*12+O233)</f>
        <v>24314</v>
      </c>
      <c r="V233" s="40">
        <f>IF($A233="",0,U233+MAX(0,N($I233)-MAX(N($H233),1)))</f>
        <v>24323</v>
      </c>
      <c r="W233" s="40">
        <f>IF(S233="",0,YEAR(S233)*12+MONTH(S233))</f>
        <v>0</v>
      </c>
      <c r="X233" s="40">
        <f>IF(W233=0,0,W233+V233-U233)</f>
        <v>0</v>
      </c>
      <c r="Y233" s="36">
        <f>IF(W233=0,0,N(R233)*MAX(0,X233-MAX(W233,YEAR(Cfg_Hoje)*12+MONTH(Cfg_Hoje)+IF(DAY(Cfg_Hoje)&gt;=INDEX(Cartoes_Fech,MATCH($F233,Cartoes_Nome,0)),1,0))+1))</f>
        <v>0</v>
      </c>
      <c r="Z233" s="40">
        <f>IF($A233="",0,DAY($A233))</f>
        <v>12</v>
      </c>
      <c r="AA233" s="40">
        <f>IF($A233="",0,WEEKDAY($A233))</f>
        <v>5</v>
      </c>
      <c r="AB233" s="36">
        <f>IF(AND($C233="Despesa",U233&gt;0,U233&lt;=Sel_Idx,V233&gt;=Sel_Idx),N(R233)+ROW()/1000000000,0)</f>
        <v>180.000000233</v>
      </c>
      <c r="AC233" s="40">
        <f>IF(AND($C233="Despesa",U233&gt;0,U233&lt;=Sel_Idx,V233&gt;=Sel_Idx),Z233*10000+ROW(),0)</f>
        <v>120233</v>
      </c>
      <c r="AD233" s="40">
        <f>IF(AC233=0,0,COUNTIFS(L_CalChave,"&gt;0",L_CalChave,"&lt;"&amp;AC233)+1)</f>
        <v>12</v>
      </c>
    </row>
    <row r="234">
      <c r="A234" s="38" t="n">
        <v>46065</v>
      </c>
      <c r="B234" s="39" t="inlineStr">
        <is>
          <t>Roupas</t>
        </is>
      </c>
      <c r="C234" s="34" t="inlineStr">
        <is>
          <t>Despesa</t>
        </is>
      </c>
      <c r="D234" s="34" t="inlineStr">
        <is>
          <t>Vestuário</t>
        </is>
      </c>
      <c r="E234" s="34" t="inlineStr">
        <is>
          <t>Roupas</t>
        </is>
      </c>
      <c r="F234" s="34" t="inlineStr">
        <is>
          <t>Cartão Roxinho</t>
        </is>
      </c>
      <c r="G234" s="34" t="inlineStr">
        <is>
          <t>Crédito</t>
        </is>
      </c>
      <c r="H234" s="37" t="n"/>
      <c r="I234" s="37" t="n"/>
      <c r="J234" s="34" t="inlineStr">
        <is>
          <t>Pago</t>
        </is>
      </c>
      <c r="K234" s="34" t="n"/>
      <c r="L234" s="34" t="n"/>
      <c r="M234" s="39" t="inlineStr">
        <is>
          <t>EXEMPLO</t>
        </is>
      </c>
      <c r="N234" s="35" t="n">
        <v>370.62</v>
      </c>
      <c r="O234" s="40">
        <f>IF($A234="","",MONTH($A234))</f>
        <v>2</v>
      </c>
      <c r="P234" s="40">
        <f>IF($A234="","",YEAR($A234))</f>
        <v>2026</v>
      </c>
      <c r="Q234" s="41">
        <f>IF($A234="","",DATE(P234,O234,1))</f>
        <v>46054.0</v>
      </c>
      <c r="R234" s="36">
        <f>IF(OR($A234="",$N234=""),"",IF(AND($C234&lt;&gt;"Transferência",N($I234)&gt;1),$N234/$I234,$N234))</f>
        <v>370.62</v>
      </c>
      <c r="S234" s="41">
        <f>IF(OR($A234="",$F234="",$C234&lt;&gt;"Despesa"),"",IF(COUNTIF(Cartoes_Nome,$F234)=0,"",DATE(P234,O234+IF(DAY($A234)&gt;=INDEX(Cartoes_Fech,MATCH($F234,Cartoes_Nome,0)),1,0),1)))</f>
        <v>46054.0</v>
      </c>
      <c r="T234" s="42" t="str">
        <f>IF($A234="","",IF(COUNTIFS(L_Data,$A234,L_Desc,$B234,L_Valor,$N234,L_Tipo,$C234)&gt;1,"⚠ Possível duplicidade",IF(OR(AND($C234="Despesa",COUNTIF(CatD_Nome,$D234)=0),AND($C234="Receita",COUNTIF(CatR_Nome,$D234)=0)),"⚠ Categoria não combina com o tipo",IF(OR($N234="",$C234=""),"⚠ Falta valor ou tipo",""))))</f>
        <v/>
      </c>
      <c r="U234" s="40">
        <f>IF($A234="",0,P234*12+O234)</f>
        <v>24314</v>
      </c>
      <c r="V234" s="40">
        <f>IF($A234="",0,U234+MAX(0,N($I234)-MAX(N($H234),1)))</f>
        <v>24314</v>
      </c>
      <c r="W234" s="40">
        <f>IF(S234="",0,YEAR(S234)*12+MONTH(S234))</f>
        <v>24314</v>
      </c>
      <c r="X234" s="40">
        <f>IF(W234=0,0,W234+V234-U234)</f>
        <v>24314</v>
      </c>
      <c r="Y234" s="36">
        <f>IF(W234=0,0,N(R234)*MAX(0,X234-MAX(W234,YEAR(Cfg_Hoje)*12+MONTH(Cfg_Hoje)+IF(DAY(Cfg_Hoje)&gt;=INDEX(Cartoes_Fech,MATCH($F234,Cartoes_Nome,0)),1,0))+1))</f>
        <v>0</v>
      </c>
      <c r="Z234" s="40">
        <f>IF($A234="",0,DAY($A234))</f>
        <v>12</v>
      </c>
      <c r="AA234" s="40">
        <f>IF($A234="",0,WEEKDAY($A234))</f>
        <v>5</v>
      </c>
      <c r="AB234" s="36">
        <f>IF(AND($C234="Despesa",U234&gt;0,U234&lt;=Sel_Idx,V234&gt;=Sel_Idx),N(R234)+ROW()/1000000000,0)</f>
        <v>0</v>
      </c>
      <c r="AC234" s="40">
        <f>IF(AND($C234="Despesa",U234&gt;0,U234&lt;=Sel_Idx,V234&gt;=Sel_Idx),Z234*10000+ROW(),0)</f>
        <v>0</v>
      </c>
      <c r="AD234" s="40">
        <f>IF(AC234=0,0,COUNTIFS(L_CalChave,"&gt;0",L_CalChave,"&lt;"&amp;AC234)+1)</f>
        <v>0</v>
      </c>
    </row>
    <row r="235">
      <c r="A235" s="38" t="n">
        <v>46065</v>
      </c>
      <c r="B235" s="39" t="inlineStr">
        <is>
          <t>Streaming de música</t>
        </is>
      </c>
      <c r="C235" s="34" t="inlineStr">
        <is>
          <t>Despesa</t>
        </is>
      </c>
      <c r="D235" s="34" t="inlineStr">
        <is>
          <t>Assinaturas</t>
        </is>
      </c>
      <c r="E235" s="34" t="inlineStr">
        <is>
          <t>Música</t>
        </is>
      </c>
      <c r="F235" s="34" t="inlineStr">
        <is>
          <t>Cartão Roxinho</t>
        </is>
      </c>
      <c r="G235" s="34" t="inlineStr">
        <is>
          <t>Crédito</t>
        </is>
      </c>
      <c r="H235" s="37" t="n"/>
      <c r="I235" s="37" t="n"/>
      <c r="J235" s="34" t="inlineStr">
        <is>
          <t>Pago</t>
        </is>
      </c>
      <c r="K235" s="34" t="n"/>
      <c r="L235" s="34" t="n"/>
      <c r="M235" s="39" t="inlineStr">
        <is>
          <t>EXEMPLO</t>
        </is>
      </c>
      <c r="N235" s="35" t="n">
        <v>21.9</v>
      </c>
      <c r="O235" s="40">
        <f>IF($A235="","",MONTH($A235))</f>
        <v>2</v>
      </c>
      <c r="P235" s="40">
        <f>IF($A235="","",YEAR($A235))</f>
        <v>2026</v>
      </c>
      <c r="Q235" s="41">
        <f>IF($A235="","",DATE(P235,O235,1))</f>
        <v>46054.0</v>
      </c>
      <c r="R235" s="36">
        <f>IF(OR($A235="",$N235=""),"",IF(AND($C235&lt;&gt;"Transferência",N($I235)&gt;1),$N235/$I235,$N235))</f>
        <v>21.9</v>
      </c>
      <c r="S235" s="41">
        <f>IF(OR($A235="",$F235="",$C235&lt;&gt;"Despesa"),"",IF(COUNTIF(Cartoes_Nome,$F235)=0,"",DATE(P235,O235+IF(DAY($A235)&gt;=INDEX(Cartoes_Fech,MATCH($F235,Cartoes_Nome,0)),1,0),1)))</f>
        <v>46054.0</v>
      </c>
      <c r="T235" s="42" t="str">
        <f>IF($A235="","",IF(COUNTIFS(L_Data,$A235,L_Desc,$B235,L_Valor,$N235,L_Tipo,$C235)&gt;1,"⚠ Possível duplicidade",IF(OR(AND($C235="Despesa",COUNTIF(CatD_Nome,$D235)=0),AND($C235="Receita",COUNTIF(CatR_Nome,$D235)=0)),"⚠ Categoria não combina com o tipo",IF(OR($N235="",$C235=""),"⚠ Falta valor ou tipo",""))))</f>
        <v/>
      </c>
      <c r="U235" s="40">
        <f>IF($A235="",0,P235*12+O235)</f>
        <v>24314</v>
      </c>
      <c r="V235" s="40">
        <f>IF($A235="",0,U235+MAX(0,N($I235)-MAX(N($H235),1)))</f>
        <v>24314</v>
      </c>
      <c r="W235" s="40">
        <f>IF(S235="",0,YEAR(S235)*12+MONTH(S235))</f>
        <v>24314</v>
      </c>
      <c r="X235" s="40">
        <f>IF(W235=0,0,W235+V235-U235)</f>
        <v>24314</v>
      </c>
      <c r="Y235" s="36">
        <f>IF(W235=0,0,N(R235)*MAX(0,X235-MAX(W235,YEAR(Cfg_Hoje)*12+MONTH(Cfg_Hoje)+IF(DAY(Cfg_Hoje)&gt;=INDEX(Cartoes_Fech,MATCH($F235,Cartoes_Nome,0)),1,0))+1))</f>
        <v>0</v>
      </c>
      <c r="Z235" s="40">
        <f>IF($A235="",0,DAY($A235))</f>
        <v>12</v>
      </c>
      <c r="AA235" s="40">
        <f>IF($A235="",0,WEEKDAY($A235))</f>
        <v>5</v>
      </c>
      <c r="AB235" s="36">
        <f>IF(AND($C235="Despesa",U235&gt;0,U235&lt;=Sel_Idx,V235&gt;=Sel_Idx),N(R235)+ROW()/1000000000,0)</f>
        <v>0</v>
      </c>
      <c r="AC235" s="40">
        <f>IF(AND($C235="Despesa",U235&gt;0,U235&lt;=Sel_Idx,V235&gt;=Sel_Idx),Z235*10000+ROW(),0)</f>
        <v>0</v>
      </c>
      <c r="AD235" s="40">
        <f>IF(AC235=0,0,COUNTIFS(L_CalChave,"&gt;0",L_CalChave,"&lt;"&amp;AC235)+1)</f>
        <v>0</v>
      </c>
    </row>
    <row r="236">
      <c r="A236" s="38" t="n">
        <v>46065</v>
      </c>
      <c r="B236" s="39" t="inlineStr">
        <is>
          <t>Streaming de vídeo</t>
        </is>
      </c>
      <c r="C236" s="34" t="inlineStr">
        <is>
          <t>Despesa</t>
        </is>
      </c>
      <c r="D236" s="34" t="inlineStr">
        <is>
          <t>Assinaturas</t>
        </is>
      </c>
      <c r="E236" s="34" t="inlineStr">
        <is>
          <t>Streaming</t>
        </is>
      </c>
      <c r="F236" s="34" t="inlineStr">
        <is>
          <t>Cartão Roxinho</t>
        </is>
      </c>
      <c r="G236" s="34" t="inlineStr">
        <is>
          <t>Crédito</t>
        </is>
      </c>
      <c r="H236" s="37" t="n"/>
      <c r="I236" s="37" t="n"/>
      <c r="J236" s="34" t="inlineStr">
        <is>
          <t>Pago</t>
        </is>
      </c>
      <c r="K236" s="34" t="n"/>
      <c r="L236" s="34" t="n"/>
      <c r="M236" s="39" t="inlineStr">
        <is>
          <t>EXEMPLO</t>
        </is>
      </c>
      <c r="N236" s="35" t="n">
        <v>55.9</v>
      </c>
      <c r="O236" s="40">
        <f>IF($A236="","",MONTH($A236))</f>
        <v>2</v>
      </c>
      <c r="P236" s="40">
        <f>IF($A236="","",YEAR($A236))</f>
        <v>2026</v>
      </c>
      <c r="Q236" s="41">
        <f>IF($A236="","",DATE(P236,O236,1))</f>
        <v>46054.0</v>
      </c>
      <c r="R236" s="36">
        <f>IF(OR($A236="",$N236=""),"",IF(AND($C236&lt;&gt;"Transferência",N($I236)&gt;1),$N236/$I236,$N236))</f>
        <v>55.9</v>
      </c>
      <c r="S236" s="41">
        <f>IF(OR($A236="",$F236="",$C236&lt;&gt;"Despesa"),"",IF(COUNTIF(Cartoes_Nome,$F236)=0,"",DATE(P236,O236+IF(DAY($A236)&gt;=INDEX(Cartoes_Fech,MATCH($F236,Cartoes_Nome,0)),1,0),1)))</f>
        <v>46054.0</v>
      </c>
      <c r="T236" s="42" t="str">
        <f>IF($A236="","",IF(COUNTIFS(L_Data,$A236,L_Desc,$B236,L_Valor,$N236,L_Tipo,$C236)&gt;1,"⚠ Possível duplicidade",IF(OR(AND($C236="Despesa",COUNTIF(CatD_Nome,$D236)=0),AND($C236="Receita",COUNTIF(CatR_Nome,$D236)=0)),"⚠ Categoria não combina com o tipo",IF(OR($N236="",$C236=""),"⚠ Falta valor ou tipo",""))))</f>
        <v/>
      </c>
      <c r="U236" s="40">
        <f>IF($A236="",0,P236*12+O236)</f>
        <v>24314</v>
      </c>
      <c r="V236" s="40">
        <f>IF($A236="",0,U236+MAX(0,N($I236)-MAX(N($H236),1)))</f>
        <v>24314</v>
      </c>
      <c r="W236" s="40">
        <f>IF(S236="",0,YEAR(S236)*12+MONTH(S236))</f>
        <v>24314</v>
      </c>
      <c r="X236" s="40">
        <f>IF(W236=0,0,W236+V236-U236)</f>
        <v>24314</v>
      </c>
      <c r="Y236" s="36">
        <f>IF(W236=0,0,N(R236)*MAX(0,X236-MAX(W236,YEAR(Cfg_Hoje)*12+MONTH(Cfg_Hoje)+IF(DAY(Cfg_Hoje)&gt;=INDEX(Cartoes_Fech,MATCH($F236,Cartoes_Nome,0)),1,0))+1))</f>
        <v>0</v>
      </c>
      <c r="Z236" s="40">
        <f>IF($A236="",0,DAY($A236))</f>
        <v>12</v>
      </c>
      <c r="AA236" s="40">
        <f>IF($A236="",0,WEEKDAY($A236))</f>
        <v>5</v>
      </c>
      <c r="AB236" s="36">
        <f>IF(AND($C236="Despesa",U236&gt;0,U236&lt;=Sel_Idx,V236&gt;=Sel_Idx),N(R236)+ROW()/1000000000,0)</f>
        <v>0</v>
      </c>
      <c r="AC236" s="40">
        <f>IF(AND($C236="Despesa",U236&gt;0,U236&lt;=Sel_Idx,V236&gt;=Sel_Idx),Z236*10000+ROW(),0)</f>
        <v>0</v>
      </c>
      <c r="AD236" s="40">
        <f>IF(AC236=0,0,COUNTIFS(L_CalChave,"&gt;0",L_CalChave,"&lt;"&amp;AC236)+1)</f>
        <v>0</v>
      </c>
    </row>
    <row r="237">
      <c r="A237" s="38" t="n">
        <v>46066</v>
      </c>
      <c r="B237" s="39" t="inlineStr">
        <is>
          <t>Supermercado</t>
        </is>
      </c>
      <c r="C237" s="34" t="inlineStr">
        <is>
          <t>Despesa</t>
        </is>
      </c>
      <c r="D237" s="34" t="inlineStr">
        <is>
          <t>Alimentação</t>
        </is>
      </c>
      <c r="E237" s="34" t="inlineStr">
        <is>
          <t>Mercado</t>
        </is>
      </c>
      <c r="F237" s="34" t="inlineStr">
        <is>
          <t>Cartão Azul Gold</t>
        </is>
      </c>
      <c r="G237" s="34" t="inlineStr">
        <is>
          <t>Crédito</t>
        </is>
      </c>
      <c r="H237" s="37" t="n"/>
      <c r="I237" s="37" t="n"/>
      <c r="J237" s="34" t="inlineStr">
        <is>
          <t>Pago</t>
        </is>
      </c>
      <c r="K237" s="34" t="n"/>
      <c r="L237" s="34" t="n"/>
      <c r="M237" s="39" t="inlineStr">
        <is>
          <t>EXEMPLO</t>
        </is>
      </c>
      <c r="N237" s="35" t="n">
        <v>349.72</v>
      </c>
      <c r="O237" s="40">
        <f>IF($A237="","",MONTH($A237))</f>
        <v>2</v>
      </c>
      <c r="P237" s="40">
        <f>IF($A237="","",YEAR($A237))</f>
        <v>2026</v>
      </c>
      <c r="Q237" s="41">
        <f>IF($A237="","",DATE(P237,O237,1))</f>
        <v>46054.0</v>
      </c>
      <c r="R237" s="36">
        <f>IF(OR($A237="",$N237=""),"",IF(AND($C237&lt;&gt;"Transferência",N($I237)&gt;1),$N237/$I237,$N237))</f>
        <v>349.72</v>
      </c>
      <c r="S237" s="41">
        <f>IF(OR($A237="",$F237="",$C237&lt;&gt;"Despesa"),"",IF(COUNTIF(Cartoes_Nome,$F237)=0,"",DATE(P237,O237+IF(DAY($A237)&gt;=INDEX(Cartoes_Fech,MATCH($F237,Cartoes_Nome,0)),1,0),1)))</f>
        <v>46082.0</v>
      </c>
      <c r="T237" s="42" t="str">
        <f>IF($A237="","",IF(COUNTIFS(L_Data,$A237,L_Desc,$B237,L_Valor,$N237,L_Tipo,$C237)&gt;1,"⚠ Possível duplicidade",IF(OR(AND($C237="Despesa",COUNTIF(CatD_Nome,$D237)=0),AND($C237="Receita",COUNTIF(CatR_Nome,$D237)=0)),"⚠ Categoria não combina com o tipo",IF(OR($N237="",$C237=""),"⚠ Falta valor ou tipo",""))))</f>
        <v/>
      </c>
      <c r="U237" s="40">
        <f>IF($A237="",0,P237*12+O237)</f>
        <v>24314</v>
      </c>
      <c r="V237" s="40">
        <f>IF($A237="",0,U237+MAX(0,N($I237)-MAX(N($H237),1)))</f>
        <v>24314</v>
      </c>
      <c r="W237" s="40">
        <f>IF(S237="",0,YEAR(S237)*12+MONTH(S237))</f>
        <v>24315</v>
      </c>
      <c r="X237" s="40">
        <f>IF(W237=0,0,W237+V237-U237)</f>
        <v>24315</v>
      </c>
      <c r="Y237" s="36">
        <f>IF(W237=0,0,N(R237)*MAX(0,X237-MAX(W237,YEAR(Cfg_Hoje)*12+MONTH(Cfg_Hoje)+IF(DAY(Cfg_Hoje)&gt;=INDEX(Cartoes_Fech,MATCH($F237,Cartoes_Nome,0)),1,0))+1))</f>
        <v>0</v>
      </c>
      <c r="Z237" s="40">
        <f>IF($A237="",0,DAY($A237))</f>
        <v>13</v>
      </c>
      <c r="AA237" s="40">
        <f>IF($A237="",0,WEEKDAY($A237))</f>
        <v>6</v>
      </c>
      <c r="AB237" s="36">
        <f>IF(AND($C237="Despesa",U237&gt;0,U237&lt;=Sel_Idx,V237&gt;=Sel_Idx),N(R237)+ROW()/1000000000,0)</f>
        <v>0</v>
      </c>
      <c r="AC237" s="40">
        <f>IF(AND($C237="Despesa",U237&gt;0,U237&lt;=Sel_Idx,V237&gt;=Sel_Idx),Z237*10000+ROW(),0)</f>
        <v>0</v>
      </c>
      <c r="AD237" s="40">
        <f>IF(AC237=0,0,COUNTIFS(L_CalChave,"&gt;0",L_CalChave,"&lt;"&amp;AC237)+1)</f>
        <v>0</v>
      </c>
    </row>
    <row r="238">
      <c r="A238" s="38" t="n">
        <v>46067</v>
      </c>
      <c r="B238" s="39" t="inlineStr">
        <is>
          <t>Armazenamento em nuvem</t>
        </is>
      </c>
      <c r="C238" s="34" t="inlineStr">
        <is>
          <t>Despesa</t>
        </is>
      </c>
      <c r="D238" s="34" t="inlineStr">
        <is>
          <t>Assinaturas</t>
        </is>
      </c>
      <c r="E238" s="34" t="inlineStr">
        <is>
          <t>Nuvem</t>
        </is>
      </c>
      <c r="F238" s="34" t="inlineStr">
        <is>
          <t>Cartão Azul Gold</t>
        </is>
      </c>
      <c r="G238" s="34" t="inlineStr">
        <is>
          <t>Crédito</t>
        </is>
      </c>
      <c r="H238" s="37" t="n"/>
      <c r="I238" s="37" t="n"/>
      <c r="J238" s="34" t="inlineStr">
        <is>
          <t>Pago</t>
        </is>
      </c>
      <c r="K238" s="34" t="n"/>
      <c r="L238" s="34" t="n"/>
      <c r="M238" s="39" t="inlineStr">
        <is>
          <t>EXEMPLO</t>
        </is>
      </c>
      <c r="N238" s="35" t="n">
        <v>14.9</v>
      </c>
      <c r="O238" s="40">
        <f>IF($A238="","",MONTH($A238))</f>
        <v>2</v>
      </c>
      <c r="P238" s="40">
        <f>IF($A238="","",YEAR($A238))</f>
        <v>2026</v>
      </c>
      <c r="Q238" s="41">
        <f>IF($A238="","",DATE(P238,O238,1))</f>
        <v>46054.0</v>
      </c>
      <c r="R238" s="36">
        <f>IF(OR($A238="",$N238=""),"",IF(AND($C238&lt;&gt;"Transferência",N($I238)&gt;1),$N238/$I238,$N238))</f>
        <v>14.9</v>
      </c>
      <c r="S238" s="41">
        <f>IF(OR($A238="",$F238="",$C238&lt;&gt;"Despesa"),"",IF(COUNTIF(Cartoes_Nome,$F238)=0,"",DATE(P238,O238+IF(DAY($A238)&gt;=INDEX(Cartoes_Fech,MATCH($F238,Cartoes_Nome,0)),1,0),1)))</f>
        <v>46082.0</v>
      </c>
      <c r="T238" s="42" t="str">
        <f>IF($A238="","",IF(COUNTIFS(L_Data,$A238,L_Desc,$B238,L_Valor,$N238,L_Tipo,$C238)&gt;1,"⚠ Possível duplicidade",IF(OR(AND($C238="Despesa",COUNTIF(CatD_Nome,$D238)=0),AND($C238="Receita",COUNTIF(CatR_Nome,$D238)=0)),"⚠ Categoria não combina com o tipo",IF(OR($N238="",$C238=""),"⚠ Falta valor ou tipo",""))))</f>
        <v/>
      </c>
      <c r="U238" s="40">
        <f>IF($A238="",0,P238*12+O238)</f>
        <v>24314</v>
      </c>
      <c r="V238" s="40">
        <f>IF($A238="",0,U238+MAX(0,N($I238)-MAX(N($H238),1)))</f>
        <v>24314</v>
      </c>
      <c r="W238" s="40">
        <f>IF(S238="",0,YEAR(S238)*12+MONTH(S238))</f>
        <v>24315</v>
      </c>
      <c r="X238" s="40">
        <f>IF(W238=0,0,W238+V238-U238)</f>
        <v>24315</v>
      </c>
      <c r="Y238" s="36">
        <f>IF(W238=0,0,N(R238)*MAX(0,X238-MAX(W238,YEAR(Cfg_Hoje)*12+MONTH(Cfg_Hoje)+IF(DAY(Cfg_Hoje)&gt;=INDEX(Cartoes_Fech,MATCH($F238,Cartoes_Nome,0)),1,0))+1))</f>
        <v>0</v>
      </c>
      <c r="Z238" s="40">
        <f>IF($A238="",0,DAY($A238))</f>
        <v>14</v>
      </c>
      <c r="AA238" s="40">
        <f>IF($A238="",0,WEEKDAY($A238))</f>
        <v>7</v>
      </c>
      <c r="AB238" s="36">
        <f>IF(AND($C238="Despesa",U238&gt;0,U238&lt;=Sel_Idx,V238&gt;=Sel_Idx),N(R238)+ROW()/1000000000,0)</f>
        <v>0</v>
      </c>
      <c r="AC238" s="40">
        <f>IF(AND($C238="Despesa",U238&gt;0,U238&lt;=Sel_Idx,V238&gt;=Sel_Idx),Z238*10000+ROW(),0)</f>
        <v>0</v>
      </c>
      <c r="AD238" s="40">
        <f>IF(AC238=0,0,COUNTIFS(L_CalChave,"&gt;0",L_CalChave,"&lt;"&amp;AC238)+1)</f>
        <v>0</v>
      </c>
    </row>
    <row r="239">
      <c r="A239" s="38" t="n">
        <v>46067</v>
      </c>
      <c r="B239" s="39" t="inlineStr">
        <is>
          <t>Bar com amigos</t>
        </is>
      </c>
      <c r="C239" s="34" t="inlineStr">
        <is>
          <t>Despesa</t>
        </is>
      </c>
      <c r="D239" s="34" t="inlineStr">
        <is>
          <t>Lazer</t>
        </is>
      </c>
      <c r="E239" s="34" t="inlineStr">
        <is>
          <t>Cinema</t>
        </is>
      </c>
      <c r="F239" s="34" t="inlineStr">
        <is>
          <t>Cartão Azul Gold</t>
        </is>
      </c>
      <c r="G239" s="34" t="inlineStr">
        <is>
          <t>Crédito</t>
        </is>
      </c>
      <c r="H239" s="37" t="n"/>
      <c r="I239" s="37" t="n"/>
      <c r="J239" s="34" t="inlineStr">
        <is>
          <t>Pago</t>
        </is>
      </c>
      <c r="K239" s="34" t="n"/>
      <c r="L239" s="34" t="n"/>
      <c r="M239" s="39" t="inlineStr">
        <is>
          <t>EXEMPLO</t>
        </is>
      </c>
      <c r="N239" s="35" t="n">
        <v>171.97</v>
      </c>
      <c r="O239" s="40">
        <f>IF($A239="","",MONTH($A239))</f>
        <v>2</v>
      </c>
      <c r="P239" s="40">
        <f>IF($A239="","",YEAR($A239))</f>
        <v>2026</v>
      </c>
      <c r="Q239" s="41">
        <f>IF($A239="","",DATE(P239,O239,1))</f>
        <v>46054.0</v>
      </c>
      <c r="R239" s="36">
        <f>IF(OR($A239="",$N239=""),"",IF(AND($C239&lt;&gt;"Transferência",N($I239)&gt;1),$N239/$I239,$N239))</f>
        <v>171.97</v>
      </c>
      <c r="S239" s="41">
        <f>IF(OR($A239="",$F239="",$C239&lt;&gt;"Despesa"),"",IF(COUNTIF(Cartoes_Nome,$F239)=0,"",DATE(P239,O239+IF(DAY($A239)&gt;=INDEX(Cartoes_Fech,MATCH($F239,Cartoes_Nome,0)),1,0),1)))</f>
        <v>46082.0</v>
      </c>
      <c r="T239" s="42" t="str">
        <f>IF($A239="","",IF(COUNTIFS(L_Data,$A239,L_Desc,$B239,L_Valor,$N239,L_Tipo,$C239)&gt;1,"⚠ Possível duplicidade",IF(OR(AND($C239="Despesa",COUNTIF(CatD_Nome,$D239)=0),AND($C239="Receita",COUNTIF(CatR_Nome,$D239)=0)),"⚠ Categoria não combina com o tipo",IF(OR($N239="",$C239=""),"⚠ Falta valor ou tipo",""))))</f>
        <v/>
      </c>
      <c r="U239" s="40">
        <f>IF($A239="",0,P239*12+O239)</f>
        <v>24314</v>
      </c>
      <c r="V239" s="40">
        <f>IF($A239="",0,U239+MAX(0,N($I239)-MAX(N($H239),1)))</f>
        <v>24314</v>
      </c>
      <c r="W239" s="40">
        <f>IF(S239="",0,YEAR(S239)*12+MONTH(S239))</f>
        <v>24315</v>
      </c>
      <c r="X239" s="40">
        <f>IF(W239=0,0,W239+V239-U239)</f>
        <v>24315</v>
      </c>
      <c r="Y239" s="36">
        <f>IF(W239=0,0,N(R239)*MAX(0,X239-MAX(W239,YEAR(Cfg_Hoje)*12+MONTH(Cfg_Hoje)+IF(DAY(Cfg_Hoje)&gt;=INDEX(Cartoes_Fech,MATCH($F239,Cartoes_Nome,0)),1,0))+1))</f>
        <v>0</v>
      </c>
      <c r="Z239" s="40">
        <f>IF($A239="",0,DAY($A239))</f>
        <v>14</v>
      </c>
      <c r="AA239" s="40">
        <f>IF($A239="",0,WEEKDAY($A239))</f>
        <v>7</v>
      </c>
      <c r="AB239" s="36">
        <f>IF(AND($C239="Despesa",U239&gt;0,U239&lt;=Sel_Idx,V239&gt;=Sel_Idx),N(R239)+ROW()/1000000000,0)</f>
        <v>0</v>
      </c>
      <c r="AC239" s="40">
        <f>IF(AND($C239="Despesa",U239&gt;0,U239&lt;=Sel_Idx,V239&gt;=Sel_Idx),Z239*10000+ROW(),0)</f>
        <v>0</v>
      </c>
      <c r="AD239" s="40">
        <f>IF(AC239=0,0,COUNTIFS(L_CalChave,"&gt;0",L_CalChave,"&lt;"&amp;AC239)+1)</f>
        <v>0</v>
      </c>
    </row>
    <row r="240">
      <c r="A240" s="38" t="n">
        <v>46068</v>
      </c>
      <c r="B240" s="39" t="inlineStr">
        <is>
          <t>Conta de energia</t>
        </is>
      </c>
      <c r="C240" s="34" t="inlineStr">
        <is>
          <t>Despesa</t>
        </is>
      </c>
      <c r="D240" s="34" t="inlineStr">
        <is>
          <t>Moradia</t>
        </is>
      </c>
      <c r="E240" s="34" t="inlineStr">
        <is>
          <t>Energia</t>
        </is>
      </c>
      <c r="F240" s="34" t="inlineStr">
        <is>
          <t>Conta Corrente Banco Azul</t>
        </is>
      </c>
      <c r="G240" s="34" t="inlineStr">
        <is>
          <t>Débito automático</t>
        </is>
      </c>
      <c r="H240" s="37" t="n"/>
      <c r="I240" s="37" t="n"/>
      <c r="J240" s="34" t="inlineStr">
        <is>
          <t>Pago</t>
        </is>
      </c>
      <c r="K240" s="34" t="n"/>
      <c r="L240" s="34" t="n"/>
      <c r="M240" s="39" t="inlineStr">
        <is>
          <t>EXEMPLO</t>
        </is>
      </c>
      <c r="N240" s="35" t="n">
        <v>179.24</v>
      </c>
      <c r="O240" s="40">
        <f>IF($A240="","",MONTH($A240))</f>
        <v>2</v>
      </c>
      <c r="P240" s="40">
        <f>IF($A240="","",YEAR($A240))</f>
        <v>2026</v>
      </c>
      <c r="Q240" s="41">
        <f>IF($A240="","",DATE(P240,O240,1))</f>
        <v>46054.0</v>
      </c>
      <c r="R240" s="36">
        <f>IF(OR($A240="",$N240=""),"",IF(AND($C240&lt;&gt;"Transferência",N($I240)&gt;1),$N240/$I240,$N240))</f>
        <v>179.24</v>
      </c>
      <c r="S240" s="41" t="str">
        <f>IF(OR($A240="",$F240="",$C240&lt;&gt;"Despesa"),"",IF(COUNTIF(Cartoes_Nome,$F240)=0,"",DATE(P240,O240+IF(DAY($A240)&gt;=INDEX(Cartoes_Fech,MATCH($F240,Cartoes_Nome,0)),1,0),1)))</f>
        <v/>
      </c>
      <c r="T240" s="42" t="str">
        <f>IF($A240="","",IF(COUNTIFS(L_Data,$A240,L_Desc,$B240,L_Valor,$N240,L_Tipo,$C240)&gt;1,"⚠ Possível duplicidade",IF(OR(AND($C240="Despesa",COUNTIF(CatD_Nome,$D240)=0),AND($C240="Receita",COUNTIF(CatR_Nome,$D240)=0)),"⚠ Categoria não combina com o tipo",IF(OR($N240="",$C240=""),"⚠ Falta valor ou tipo",""))))</f>
        <v/>
      </c>
      <c r="U240" s="40">
        <f>IF($A240="",0,P240*12+O240)</f>
        <v>24314</v>
      </c>
      <c r="V240" s="40">
        <f>IF($A240="",0,U240+MAX(0,N($I240)-MAX(N($H240),1)))</f>
        <v>24314</v>
      </c>
      <c r="W240" s="40">
        <f>IF(S240="",0,YEAR(S240)*12+MONTH(S240))</f>
        <v>0</v>
      </c>
      <c r="X240" s="40">
        <f>IF(W240=0,0,W240+V240-U240)</f>
        <v>0</v>
      </c>
      <c r="Y240" s="36">
        <f>IF(W240=0,0,N(R240)*MAX(0,X240-MAX(W240,YEAR(Cfg_Hoje)*12+MONTH(Cfg_Hoje)+IF(DAY(Cfg_Hoje)&gt;=INDEX(Cartoes_Fech,MATCH($F240,Cartoes_Nome,0)),1,0))+1))</f>
        <v>0</v>
      </c>
      <c r="Z240" s="40">
        <f>IF($A240="",0,DAY($A240))</f>
        <v>15</v>
      </c>
      <c r="AA240" s="40">
        <f>IF($A240="",0,WEEKDAY($A240))</f>
        <v>1</v>
      </c>
      <c r="AB240" s="36">
        <f>IF(AND($C240="Despesa",U240&gt;0,U240&lt;=Sel_Idx,V240&gt;=Sel_Idx),N(R240)+ROW()/1000000000,0)</f>
        <v>0</v>
      </c>
      <c r="AC240" s="40">
        <f>IF(AND($C240="Despesa",U240&gt;0,U240&lt;=Sel_Idx,V240&gt;=Sel_Idx),Z240*10000+ROW(),0)</f>
        <v>0</v>
      </c>
      <c r="AD240" s="40">
        <f>IF(AC240=0,0,COUNTIFS(L_CalChave,"&gt;0",L_CalChave,"&lt;"&amp;AC240)+1)</f>
        <v>0</v>
      </c>
    </row>
    <row r="241">
      <c r="A241" s="38" t="n">
        <v>46068</v>
      </c>
      <c r="B241" s="39" t="inlineStr">
        <is>
          <t>Conta de água</t>
        </is>
      </c>
      <c r="C241" s="34" t="inlineStr">
        <is>
          <t>Despesa</t>
        </is>
      </c>
      <c r="D241" s="34" t="inlineStr">
        <is>
          <t>Moradia</t>
        </is>
      </c>
      <c r="E241" s="34" t="inlineStr">
        <is>
          <t>Água</t>
        </is>
      </c>
      <c r="F241" s="34" t="inlineStr">
        <is>
          <t>Conta Corrente Banco Azul</t>
        </is>
      </c>
      <c r="G241" s="34" t="inlineStr">
        <is>
          <t>Débito automático</t>
        </is>
      </c>
      <c r="H241" s="37" t="n"/>
      <c r="I241" s="37" t="n"/>
      <c r="J241" s="34" t="inlineStr">
        <is>
          <t>Pago</t>
        </is>
      </c>
      <c r="K241" s="34" t="n"/>
      <c r="L241" s="34" t="n"/>
      <c r="M241" s="39" t="inlineStr">
        <is>
          <t>EXEMPLO</t>
        </is>
      </c>
      <c r="N241" s="35" t="n">
        <v>74.23999999999999</v>
      </c>
      <c r="O241" s="40">
        <f>IF($A241="","",MONTH($A241))</f>
        <v>2</v>
      </c>
      <c r="P241" s="40">
        <f>IF($A241="","",YEAR($A241))</f>
        <v>2026</v>
      </c>
      <c r="Q241" s="41">
        <f>IF($A241="","",DATE(P241,O241,1))</f>
        <v>46054.0</v>
      </c>
      <c r="R241" s="36">
        <f>IF(OR($A241="",$N241=""),"",IF(AND($C241&lt;&gt;"Transferência",N($I241)&gt;1),$N241/$I241,$N241))</f>
        <v>74.24</v>
      </c>
      <c r="S241" s="41" t="str">
        <f>IF(OR($A241="",$F241="",$C241&lt;&gt;"Despesa"),"",IF(COUNTIF(Cartoes_Nome,$F241)=0,"",DATE(P241,O241+IF(DAY($A241)&gt;=INDEX(Cartoes_Fech,MATCH($F241,Cartoes_Nome,0)),1,0),1)))</f>
        <v/>
      </c>
      <c r="T241" s="42" t="str">
        <f>IF($A241="","",IF(COUNTIFS(L_Data,$A241,L_Desc,$B241,L_Valor,$N241,L_Tipo,$C241)&gt;1,"⚠ Possível duplicidade",IF(OR(AND($C241="Despesa",COUNTIF(CatD_Nome,$D241)=0),AND($C241="Receita",COUNTIF(CatR_Nome,$D241)=0)),"⚠ Categoria não combina com o tipo",IF(OR($N241="",$C241=""),"⚠ Falta valor ou tipo",""))))</f>
        <v/>
      </c>
      <c r="U241" s="40">
        <f>IF($A241="",0,P241*12+O241)</f>
        <v>24314</v>
      </c>
      <c r="V241" s="40">
        <f>IF($A241="",0,U241+MAX(0,N($I241)-MAX(N($H241),1)))</f>
        <v>24314</v>
      </c>
      <c r="W241" s="40">
        <f>IF(S241="",0,YEAR(S241)*12+MONTH(S241))</f>
        <v>0</v>
      </c>
      <c r="X241" s="40">
        <f>IF(W241=0,0,W241+V241-U241)</f>
        <v>0</v>
      </c>
      <c r="Y241" s="36">
        <f>IF(W241=0,0,N(R241)*MAX(0,X241-MAX(W241,YEAR(Cfg_Hoje)*12+MONTH(Cfg_Hoje)+IF(DAY(Cfg_Hoje)&gt;=INDEX(Cartoes_Fech,MATCH($F241,Cartoes_Nome,0)),1,0))+1))</f>
        <v>0</v>
      </c>
      <c r="Z241" s="40">
        <f>IF($A241="",0,DAY($A241))</f>
        <v>15</v>
      </c>
      <c r="AA241" s="40">
        <f>IF($A241="",0,WEEKDAY($A241))</f>
        <v>1</v>
      </c>
      <c r="AB241" s="36">
        <f>IF(AND($C241="Despesa",U241&gt;0,U241&lt;=Sel_Idx,V241&gt;=Sel_Idx),N(R241)+ROW()/1000000000,0)</f>
        <v>0</v>
      </c>
      <c r="AC241" s="40">
        <f>IF(AND($C241="Despesa",U241&gt;0,U241&lt;=Sel_Idx,V241&gt;=Sel_Idx),Z241*10000+ROW(),0)</f>
        <v>0</v>
      </c>
      <c r="AD241" s="40">
        <f>IF(AC241=0,0,COUNTIFS(L_CalChave,"&gt;0",L_CalChave,"&lt;"&amp;AC241)+1)</f>
        <v>0</v>
      </c>
    </row>
    <row r="242">
      <c r="A242" s="38" t="n">
        <v>46068</v>
      </c>
      <c r="B242" s="39" t="inlineStr">
        <is>
          <t>Corrida de aplicativo</t>
        </is>
      </c>
      <c r="C242" s="34" t="inlineStr">
        <is>
          <t>Despesa</t>
        </is>
      </c>
      <c r="D242" s="34" t="inlineStr">
        <is>
          <t>Transporte</t>
        </is>
      </c>
      <c r="E242" s="34" t="inlineStr">
        <is>
          <t>App de transporte</t>
        </is>
      </c>
      <c r="F242" s="34" t="inlineStr">
        <is>
          <t>Conta Corrente Banco Azul</t>
        </is>
      </c>
      <c r="G242" s="34" t="inlineStr">
        <is>
          <t>Pix</t>
        </is>
      </c>
      <c r="H242" s="37" t="n"/>
      <c r="I242" s="37" t="n"/>
      <c r="J242" s="34" t="inlineStr">
        <is>
          <t>Pago</t>
        </is>
      </c>
      <c r="K242" s="34" t="n"/>
      <c r="L242" s="34" t="n"/>
      <c r="M242" s="39" t="inlineStr">
        <is>
          <t>EXEMPLO</t>
        </is>
      </c>
      <c r="N242" s="35" t="n">
        <v>36.22</v>
      </c>
      <c r="O242" s="40">
        <f>IF($A242="","",MONTH($A242))</f>
        <v>2</v>
      </c>
      <c r="P242" s="40">
        <f>IF($A242="","",YEAR($A242))</f>
        <v>2026</v>
      </c>
      <c r="Q242" s="41">
        <f>IF($A242="","",DATE(P242,O242,1))</f>
        <v>46054.0</v>
      </c>
      <c r="R242" s="36">
        <f>IF(OR($A242="",$N242=""),"",IF(AND($C242&lt;&gt;"Transferência",N($I242)&gt;1),$N242/$I242,$N242))</f>
        <v>36.22</v>
      </c>
      <c r="S242" s="41" t="str">
        <f>IF(OR($A242="",$F242="",$C242&lt;&gt;"Despesa"),"",IF(COUNTIF(Cartoes_Nome,$F242)=0,"",DATE(P242,O242+IF(DAY($A242)&gt;=INDEX(Cartoes_Fech,MATCH($F242,Cartoes_Nome,0)),1,0),1)))</f>
        <v/>
      </c>
      <c r="T242" s="42" t="str">
        <f>IF($A242="","",IF(COUNTIFS(L_Data,$A242,L_Desc,$B242,L_Valor,$N242,L_Tipo,$C242)&gt;1,"⚠ Possível duplicidade",IF(OR(AND($C242="Despesa",COUNTIF(CatD_Nome,$D242)=0),AND($C242="Receita",COUNTIF(CatR_Nome,$D242)=0)),"⚠ Categoria não combina com o tipo",IF(OR($N242="",$C242=""),"⚠ Falta valor ou tipo",""))))</f>
        <v/>
      </c>
      <c r="U242" s="40">
        <f>IF($A242="",0,P242*12+O242)</f>
        <v>24314</v>
      </c>
      <c r="V242" s="40">
        <f>IF($A242="",0,U242+MAX(0,N($I242)-MAX(N($H242),1)))</f>
        <v>24314</v>
      </c>
      <c r="W242" s="40">
        <f>IF(S242="",0,YEAR(S242)*12+MONTH(S242))</f>
        <v>0</v>
      </c>
      <c r="X242" s="40">
        <f>IF(W242=0,0,W242+V242-U242)</f>
        <v>0</v>
      </c>
      <c r="Y242" s="36">
        <f>IF(W242=0,0,N(R242)*MAX(0,X242-MAX(W242,YEAR(Cfg_Hoje)*12+MONTH(Cfg_Hoje)+IF(DAY(Cfg_Hoje)&gt;=INDEX(Cartoes_Fech,MATCH($F242,Cartoes_Nome,0)),1,0))+1))</f>
        <v>0</v>
      </c>
      <c r="Z242" s="40">
        <f>IF($A242="",0,DAY($A242))</f>
        <v>15</v>
      </c>
      <c r="AA242" s="40">
        <f>IF($A242="",0,WEEKDAY($A242))</f>
        <v>1</v>
      </c>
      <c r="AB242" s="36">
        <f>IF(AND($C242="Despesa",U242&gt;0,U242&lt;=Sel_Idx,V242&gt;=Sel_Idx),N(R242)+ROW()/1000000000,0)</f>
        <v>0</v>
      </c>
      <c r="AC242" s="40">
        <f>IF(AND($C242="Despesa",U242&gt;0,U242&lt;=Sel_Idx,V242&gt;=Sel_Idx),Z242*10000+ROW(),0)</f>
        <v>0</v>
      </c>
      <c r="AD242" s="40">
        <f>IF(AC242=0,0,COUNTIFS(L_CalChave,"&gt;0",L_CalChave,"&lt;"&amp;AC242)+1)</f>
        <v>0</v>
      </c>
    </row>
    <row r="243">
      <c r="A243" s="38" t="n">
        <v>46070</v>
      </c>
      <c r="B243" s="39" t="inlineStr">
        <is>
          <t>Pagamento fatura Cartão Azul Gold</t>
        </is>
      </c>
      <c r="C243" s="34" t="inlineStr">
        <is>
          <t>Transferência</t>
        </is>
      </c>
      <c r="D243" s="34" t="n"/>
      <c r="E243" s="34" t="n"/>
      <c r="F243" s="34" t="inlineStr">
        <is>
          <t>Conta Corrente Banco Azul</t>
        </is>
      </c>
      <c r="G243" s="34" t="inlineStr">
        <is>
          <t>Débito automático</t>
        </is>
      </c>
      <c r="H243" s="37" t="n"/>
      <c r="I243" s="37" t="n"/>
      <c r="J243" s="34" t="inlineStr">
        <is>
          <t>Pago</t>
        </is>
      </c>
      <c r="K243" s="34" t="n"/>
      <c r="L243" s="34" t="n"/>
      <c r="M243" s="39" t="inlineStr">
        <is>
          <t>EXEMPLO</t>
        </is>
      </c>
      <c r="N243" s="35" t="n">
        <v>-1995.66</v>
      </c>
      <c r="O243" s="40">
        <f>IF($A243="","",MONTH($A243))</f>
        <v>2</v>
      </c>
      <c r="P243" s="40">
        <f>IF($A243="","",YEAR($A243))</f>
        <v>2026</v>
      </c>
      <c r="Q243" s="41">
        <f>IF($A243="","",DATE(P243,O243,1))</f>
        <v>46054.0</v>
      </c>
      <c r="R243" s="36">
        <f>IF(OR($A243="",$N243=""),"",IF(AND($C243&lt;&gt;"Transferência",N($I243)&gt;1),$N243/$I243,$N243))</f>
        <v>-1995.66</v>
      </c>
      <c r="S243" s="41" t="str">
        <f>IF(OR($A243="",$F243="",$C243&lt;&gt;"Despesa"),"",IF(COUNTIF(Cartoes_Nome,$F243)=0,"",DATE(P243,O243+IF(DAY($A243)&gt;=INDEX(Cartoes_Fech,MATCH($F243,Cartoes_Nome,0)),1,0),1)))</f>
        <v/>
      </c>
      <c r="T243" s="42" t="str">
        <f>IF($A243="","",IF(COUNTIFS(L_Data,$A243,L_Desc,$B243,L_Valor,$N243,L_Tipo,$C243)&gt;1,"⚠ Possível duplicidade",IF(OR(AND($C243="Despesa",COUNTIF(CatD_Nome,$D243)=0),AND($C243="Receita",COUNTIF(CatR_Nome,$D243)=0)),"⚠ Categoria não combina com o tipo",IF(OR($N243="",$C243=""),"⚠ Falta valor ou tipo",""))))</f>
        <v/>
      </c>
      <c r="U243" s="40">
        <f>IF($A243="",0,P243*12+O243)</f>
        <v>24314</v>
      </c>
      <c r="V243" s="40">
        <f>IF($A243="",0,U243+MAX(0,N($I243)-MAX(N($H243),1)))</f>
        <v>24314</v>
      </c>
      <c r="W243" s="40">
        <f>IF(S243="",0,YEAR(S243)*12+MONTH(S243))</f>
        <v>0</v>
      </c>
      <c r="X243" s="40">
        <f>IF(W243=0,0,W243+V243-U243)</f>
        <v>0</v>
      </c>
      <c r="Y243" s="36">
        <f>IF(W243=0,0,N(R243)*MAX(0,X243-MAX(W243,YEAR(Cfg_Hoje)*12+MONTH(Cfg_Hoje)+IF(DAY(Cfg_Hoje)&gt;=INDEX(Cartoes_Fech,MATCH($F243,Cartoes_Nome,0)),1,0))+1))</f>
        <v>0</v>
      </c>
      <c r="Z243" s="40">
        <f>IF($A243="",0,DAY($A243))</f>
        <v>17</v>
      </c>
      <c r="AA243" s="40">
        <f>IF($A243="",0,WEEKDAY($A243))</f>
        <v>3</v>
      </c>
      <c r="AB243" s="36">
        <f>IF(AND($C243="Despesa",U243&gt;0,U243&lt;=Sel_Idx,V243&gt;=Sel_Idx),N(R243)+ROW()/1000000000,0)</f>
        <v>0</v>
      </c>
      <c r="AC243" s="40">
        <f>IF(AND($C243="Despesa",U243&gt;0,U243&lt;=Sel_Idx,V243&gt;=Sel_Idx),Z243*10000+ROW(),0)</f>
        <v>0</v>
      </c>
      <c r="AD243" s="40">
        <f>IF(AC243=0,0,COUNTIFS(L_CalChave,"&gt;0",L_CalChave,"&lt;"&amp;AC243)+1)</f>
        <v>0</v>
      </c>
    </row>
    <row r="244">
      <c r="A244" s="38" t="n">
        <v>46071</v>
      </c>
      <c r="B244" s="39" t="inlineStr">
        <is>
          <t>Projeto freelance</t>
        </is>
      </c>
      <c r="C244" s="34" t="inlineStr">
        <is>
          <t>Receita</t>
        </is>
      </c>
      <c r="D244" s="34" t="inlineStr">
        <is>
          <t>Freelance/Extra</t>
        </is>
      </c>
      <c r="E244" s="34" t="n"/>
      <c r="F244" s="34" t="inlineStr">
        <is>
          <t>Conta Corrente Banco Azul</t>
        </is>
      </c>
      <c r="G244" s="34" t="inlineStr">
        <is>
          <t>Pix</t>
        </is>
      </c>
      <c r="H244" s="37" t="n"/>
      <c r="I244" s="37" t="n"/>
      <c r="J244" s="34" t="inlineStr">
        <is>
          <t>Pago</t>
        </is>
      </c>
      <c r="K244" s="34" t="n"/>
      <c r="L244" s="34" t="n"/>
      <c r="M244" s="39" t="inlineStr">
        <is>
          <t>EXEMPLO</t>
        </is>
      </c>
      <c r="N244" s="35" t="n">
        <v>1800</v>
      </c>
      <c r="O244" s="40">
        <f>IF($A244="","",MONTH($A244))</f>
        <v>2</v>
      </c>
      <c r="P244" s="40">
        <f>IF($A244="","",YEAR($A244))</f>
        <v>2026</v>
      </c>
      <c r="Q244" s="41">
        <f>IF($A244="","",DATE(P244,O244,1))</f>
        <v>46054.0</v>
      </c>
      <c r="R244" s="36">
        <f>IF(OR($A244="",$N244=""),"",IF(AND($C244&lt;&gt;"Transferência",N($I244)&gt;1),$N244/$I244,$N244))</f>
        <v>1800</v>
      </c>
      <c r="S244" s="41" t="str">
        <f>IF(OR($A244="",$F244="",$C244&lt;&gt;"Despesa"),"",IF(COUNTIF(Cartoes_Nome,$F244)=0,"",DATE(P244,O244+IF(DAY($A244)&gt;=INDEX(Cartoes_Fech,MATCH($F244,Cartoes_Nome,0)),1,0),1)))</f>
        <v/>
      </c>
      <c r="T244" s="42" t="str">
        <f>IF($A244="","",IF(COUNTIFS(L_Data,$A244,L_Desc,$B244,L_Valor,$N244,L_Tipo,$C244)&gt;1,"⚠ Possível duplicidade",IF(OR(AND($C244="Despesa",COUNTIF(CatD_Nome,$D244)=0),AND($C244="Receita",COUNTIF(CatR_Nome,$D244)=0)),"⚠ Categoria não combina com o tipo",IF(OR($N244="",$C244=""),"⚠ Falta valor ou tipo",""))))</f>
        <v/>
      </c>
      <c r="U244" s="40">
        <f>IF($A244="",0,P244*12+O244)</f>
        <v>24314</v>
      </c>
      <c r="V244" s="40">
        <f>IF($A244="",0,U244+MAX(0,N($I244)-MAX(N($H244),1)))</f>
        <v>24314</v>
      </c>
      <c r="W244" s="40">
        <f>IF(S244="",0,YEAR(S244)*12+MONTH(S244))</f>
        <v>0</v>
      </c>
      <c r="X244" s="40">
        <f>IF(W244=0,0,W244+V244-U244)</f>
        <v>0</v>
      </c>
      <c r="Y244" s="36">
        <f>IF(W244=0,0,N(R244)*MAX(0,X244-MAX(W244,YEAR(Cfg_Hoje)*12+MONTH(Cfg_Hoje)+IF(DAY(Cfg_Hoje)&gt;=INDEX(Cartoes_Fech,MATCH($F244,Cartoes_Nome,0)),1,0))+1))</f>
        <v>0</v>
      </c>
      <c r="Z244" s="40">
        <f>IF($A244="",0,DAY($A244))</f>
        <v>18</v>
      </c>
      <c r="AA244" s="40">
        <f>IF($A244="",0,WEEKDAY($A244))</f>
        <v>4</v>
      </c>
      <c r="AB244" s="36">
        <f>IF(AND($C244="Despesa",U244&gt;0,U244&lt;=Sel_Idx,V244&gt;=Sel_Idx),N(R244)+ROW()/1000000000,0)</f>
        <v>0</v>
      </c>
      <c r="AC244" s="40">
        <f>IF(AND($C244="Despesa",U244&gt;0,U244&lt;=Sel_Idx,V244&gt;=Sel_Idx),Z244*10000+ROW(),0)</f>
        <v>0</v>
      </c>
      <c r="AD244" s="40">
        <f>IF(AC244=0,0,COUNTIFS(L_CalChave,"&gt;0",L_CalChave,"&lt;"&amp;AC244)+1)</f>
        <v>0</v>
      </c>
    </row>
    <row r="245">
      <c r="A245" s="38" t="n">
        <v>46072</v>
      </c>
      <c r="B245" s="39" t="inlineStr">
        <is>
          <t>Supermercado</t>
        </is>
      </c>
      <c r="C245" s="34" t="inlineStr">
        <is>
          <t>Despesa</t>
        </is>
      </c>
      <c r="D245" s="34" t="inlineStr">
        <is>
          <t>Alimentação</t>
        </is>
      </c>
      <c r="E245" s="34" t="inlineStr">
        <is>
          <t>Mercado</t>
        </is>
      </c>
      <c r="F245" s="34" t="inlineStr">
        <is>
          <t>Conta Corrente Banco Azul</t>
        </is>
      </c>
      <c r="G245" s="34" t="inlineStr">
        <is>
          <t>Débito</t>
        </is>
      </c>
      <c r="H245" s="37" t="n"/>
      <c r="I245" s="37" t="n"/>
      <c r="J245" s="34" t="inlineStr">
        <is>
          <t>Pago</t>
        </is>
      </c>
      <c r="K245" s="34" t="n"/>
      <c r="L245" s="34" t="n"/>
      <c r="M245" s="39" t="inlineStr">
        <is>
          <t>EXEMPLO</t>
        </is>
      </c>
      <c r="N245" s="35" t="n">
        <v>282.59</v>
      </c>
      <c r="O245" s="40">
        <f>IF($A245="","",MONTH($A245))</f>
        <v>2</v>
      </c>
      <c r="P245" s="40">
        <f>IF($A245="","",YEAR($A245))</f>
        <v>2026</v>
      </c>
      <c r="Q245" s="41">
        <f>IF($A245="","",DATE(P245,O245,1))</f>
        <v>46054.0</v>
      </c>
      <c r="R245" s="36">
        <f>IF(OR($A245="",$N245=""),"",IF(AND($C245&lt;&gt;"Transferência",N($I245)&gt;1),$N245/$I245,$N245))</f>
        <v>282.59</v>
      </c>
      <c r="S245" s="41" t="str">
        <f>IF(OR($A245="",$F245="",$C245&lt;&gt;"Despesa"),"",IF(COUNTIF(Cartoes_Nome,$F245)=0,"",DATE(P245,O245+IF(DAY($A245)&gt;=INDEX(Cartoes_Fech,MATCH($F245,Cartoes_Nome,0)),1,0),1)))</f>
        <v/>
      </c>
      <c r="T245" s="42" t="str">
        <f>IF($A245="","",IF(COUNTIFS(L_Data,$A245,L_Desc,$B245,L_Valor,$N245,L_Tipo,$C245)&gt;1,"⚠ Possível duplicidade",IF(OR(AND($C245="Despesa",COUNTIF(CatD_Nome,$D245)=0),AND($C245="Receita",COUNTIF(CatR_Nome,$D245)=0)),"⚠ Categoria não combina com o tipo",IF(OR($N245="",$C245=""),"⚠ Falta valor ou tipo",""))))</f>
        <v/>
      </c>
      <c r="U245" s="40">
        <f>IF($A245="",0,P245*12+O245)</f>
        <v>24314</v>
      </c>
      <c r="V245" s="40">
        <f>IF($A245="",0,U245+MAX(0,N($I245)-MAX(N($H245),1)))</f>
        <v>24314</v>
      </c>
      <c r="W245" s="40">
        <f>IF(S245="",0,YEAR(S245)*12+MONTH(S245))</f>
        <v>0</v>
      </c>
      <c r="X245" s="40">
        <f>IF(W245=0,0,W245+V245-U245)</f>
        <v>0</v>
      </c>
      <c r="Y245" s="36">
        <f>IF(W245=0,0,N(R245)*MAX(0,X245-MAX(W245,YEAR(Cfg_Hoje)*12+MONTH(Cfg_Hoje)+IF(DAY(Cfg_Hoje)&gt;=INDEX(Cartoes_Fech,MATCH($F245,Cartoes_Nome,0)),1,0))+1))</f>
        <v>0</v>
      </c>
      <c r="Z245" s="40">
        <f>IF($A245="",0,DAY($A245))</f>
        <v>19</v>
      </c>
      <c r="AA245" s="40">
        <f>IF($A245="",0,WEEKDAY($A245))</f>
        <v>5</v>
      </c>
      <c r="AB245" s="36">
        <f>IF(AND($C245="Despesa",U245&gt;0,U245&lt;=Sel_Idx,V245&gt;=Sel_Idx),N(R245)+ROW()/1000000000,0)</f>
        <v>0</v>
      </c>
      <c r="AC245" s="40">
        <f>IF(AND($C245="Despesa",U245&gt;0,U245&lt;=Sel_Idx,V245&gt;=Sel_Idx),Z245*10000+ROW(),0)</f>
        <v>0</v>
      </c>
      <c r="AD245" s="40">
        <f>IF(AC245=0,0,COUNTIFS(L_CalChave,"&gt;0",L_CalChave,"&lt;"&amp;AC245)+1)</f>
        <v>0</v>
      </c>
    </row>
    <row r="246">
      <c r="A246" s="38" t="n">
        <v>46073</v>
      </c>
      <c r="B246" s="39" t="inlineStr">
        <is>
          <t>Internet fibra</t>
        </is>
      </c>
      <c r="C246" s="34" t="inlineStr">
        <is>
          <t>Despesa</t>
        </is>
      </c>
      <c r="D246" s="34" t="inlineStr">
        <is>
          <t>Moradia</t>
        </is>
      </c>
      <c r="E246" s="34" t="inlineStr">
        <is>
          <t>Internet</t>
        </is>
      </c>
      <c r="F246" s="34" t="inlineStr">
        <is>
          <t>Conta Corrente Banco Azul</t>
        </is>
      </c>
      <c r="G246" s="34" t="inlineStr">
        <is>
          <t>Débito automático</t>
        </is>
      </c>
      <c r="H246" s="37" t="n"/>
      <c r="I246" s="37" t="n"/>
      <c r="J246" s="34" t="inlineStr">
        <is>
          <t>Pago</t>
        </is>
      </c>
      <c r="K246" s="34" t="n"/>
      <c r="L246" s="34" t="n"/>
      <c r="M246" s="39" t="inlineStr">
        <is>
          <t>EXEMPLO</t>
        </is>
      </c>
      <c r="N246" s="35" t="n">
        <v>129.9</v>
      </c>
      <c r="O246" s="40">
        <f>IF($A246="","",MONTH($A246))</f>
        <v>2</v>
      </c>
      <c r="P246" s="40">
        <f>IF($A246="","",YEAR($A246))</f>
        <v>2026</v>
      </c>
      <c r="Q246" s="41">
        <f>IF($A246="","",DATE(P246,O246,1))</f>
        <v>46054.0</v>
      </c>
      <c r="R246" s="36">
        <f>IF(OR($A246="",$N246=""),"",IF(AND($C246&lt;&gt;"Transferência",N($I246)&gt;1),$N246/$I246,$N246))</f>
        <v>129.9</v>
      </c>
      <c r="S246" s="41" t="str">
        <f>IF(OR($A246="",$F246="",$C246&lt;&gt;"Despesa"),"",IF(COUNTIF(Cartoes_Nome,$F246)=0,"",DATE(P246,O246+IF(DAY($A246)&gt;=INDEX(Cartoes_Fech,MATCH($F246,Cartoes_Nome,0)),1,0),1)))</f>
        <v/>
      </c>
      <c r="T246" s="42" t="str">
        <f>IF($A246="","",IF(COUNTIFS(L_Data,$A246,L_Desc,$B246,L_Valor,$N246,L_Tipo,$C246)&gt;1,"⚠ Possível duplicidade",IF(OR(AND($C246="Despesa",COUNTIF(CatD_Nome,$D246)=0),AND($C246="Receita",COUNTIF(CatR_Nome,$D246)=0)),"⚠ Categoria não combina com o tipo",IF(OR($N246="",$C246=""),"⚠ Falta valor ou tipo",""))))</f>
        <v/>
      </c>
      <c r="U246" s="40">
        <f>IF($A246="",0,P246*12+O246)</f>
        <v>24314</v>
      </c>
      <c r="V246" s="40">
        <f>IF($A246="",0,U246+MAX(0,N($I246)-MAX(N($H246),1)))</f>
        <v>24314</v>
      </c>
      <c r="W246" s="40">
        <f>IF(S246="",0,YEAR(S246)*12+MONTH(S246))</f>
        <v>0</v>
      </c>
      <c r="X246" s="40">
        <f>IF(W246=0,0,W246+V246-U246)</f>
        <v>0</v>
      </c>
      <c r="Y246" s="36">
        <f>IF(W246=0,0,N(R246)*MAX(0,X246-MAX(W246,YEAR(Cfg_Hoje)*12+MONTH(Cfg_Hoje)+IF(DAY(Cfg_Hoje)&gt;=INDEX(Cartoes_Fech,MATCH($F246,Cartoes_Nome,0)),1,0))+1))</f>
        <v>0</v>
      </c>
      <c r="Z246" s="40">
        <f>IF($A246="",0,DAY($A246))</f>
        <v>20</v>
      </c>
      <c r="AA246" s="40">
        <f>IF($A246="",0,WEEKDAY($A246))</f>
        <v>6</v>
      </c>
      <c r="AB246" s="36">
        <f>IF(AND($C246="Despesa",U246&gt;0,U246&lt;=Sel_Idx,V246&gt;=Sel_Idx),N(R246)+ROW()/1000000000,0)</f>
        <v>0</v>
      </c>
      <c r="AC246" s="40">
        <f>IF(AND($C246="Despesa",U246&gt;0,U246&lt;=Sel_Idx,V246&gt;=Sel_Idx),Z246*10000+ROW(),0)</f>
        <v>0</v>
      </c>
      <c r="AD246" s="40">
        <f>IF(AC246=0,0,COUNTIFS(L_CalChave,"&gt;0",L_CalChave,"&lt;"&amp;AC246)+1)</f>
        <v>0</v>
      </c>
    </row>
    <row r="247">
      <c r="A247" s="38" t="n">
        <v>46073</v>
      </c>
      <c r="B247" s="39" t="inlineStr">
        <is>
          <t>Parcela financiamento do carro</t>
        </is>
      </c>
      <c r="C247" s="34" t="inlineStr">
        <is>
          <t>Despesa</t>
        </is>
      </c>
      <c r="D247" s="34" t="inlineStr">
        <is>
          <t>Dívidas e Financiamentos</t>
        </is>
      </c>
      <c r="E247" s="34" t="inlineStr">
        <is>
          <t>Financiamento</t>
        </is>
      </c>
      <c r="F247" s="34" t="inlineStr">
        <is>
          <t>Conta Corrente Banco Azul</t>
        </is>
      </c>
      <c r="G247" s="34" t="inlineStr">
        <is>
          <t>Débito automático</t>
        </is>
      </c>
      <c r="H247" s="37" t="n"/>
      <c r="I247" s="37" t="n"/>
      <c r="J247" s="34" t="inlineStr">
        <is>
          <t>Pago</t>
        </is>
      </c>
      <c r="K247" s="34" t="n"/>
      <c r="L247" s="34" t="n"/>
      <c r="M247" s="39" t="inlineStr">
        <is>
          <t>EXEMPLO</t>
        </is>
      </c>
      <c r="N247" s="35" t="n">
        <v>1150</v>
      </c>
      <c r="O247" s="40">
        <f>IF($A247="","",MONTH($A247))</f>
        <v>2</v>
      </c>
      <c r="P247" s="40">
        <f>IF($A247="","",YEAR($A247))</f>
        <v>2026</v>
      </c>
      <c r="Q247" s="41">
        <f>IF($A247="","",DATE(P247,O247,1))</f>
        <v>46054.0</v>
      </c>
      <c r="R247" s="36">
        <f>IF(OR($A247="",$N247=""),"",IF(AND($C247&lt;&gt;"Transferência",N($I247)&gt;1),$N247/$I247,$N247))</f>
        <v>1150</v>
      </c>
      <c r="S247" s="41" t="str">
        <f>IF(OR($A247="",$F247="",$C247&lt;&gt;"Despesa"),"",IF(COUNTIF(Cartoes_Nome,$F247)=0,"",DATE(P247,O247+IF(DAY($A247)&gt;=INDEX(Cartoes_Fech,MATCH($F247,Cartoes_Nome,0)),1,0),1)))</f>
        <v/>
      </c>
      <c r="T247" s="42" t="str">
        <f>IF($A247="","",IF(COUNTIFS(L_Data,$A247,L_Desc,$B247,L_Valor,$N247,L_Tipo,$C247)&gt;1,"⚠ Possível duplicidade",IF(OR(AND($C247="Despesa",COUNTIF(CatD_Nome,$D247)=0),AND($C247="Receita",COUNTIF(CatR_Nome,$D247)=0)),"⚠ Categoria não combina com o tipo",IF(OR($N247="",$C247=""),"⚠ Falta valor ou tipo",""))))</f>
        <v/>
      </c>
      <c r="U247" s="40">
        <f>IF($A247="",0,P247*12+O247)</f>
        <v>24314</v>
      </c>
      <c r="V247" s="40">
        <f>IF($A247="",0,U247+MAX(0,N($I247)-MAX(N($H247),1)))</f>
        <v>24314</v>
      </c>
      <c r="W247" s="40">
        <f>IF(S247="",0,YEAR(S247)*12+MONTH(S247))</f>
        <v>0</v>
      </c>
      <c r="X247" s="40">
        <f>IF(W247=0,0,W247+V247-U247)</f>
        <v>0</v>
      </c>
      <c r="Y247" s="36">
        <f>IF(W247=0,0,N(R247)*MAX(0,X247-MAX(W247,YEAR(Cfg_Hoje)*12+MONTH(Cfg_Hoje)+IF(DAY(Cfg_Hoje)&gt;=INDEX(Cartoes_Fech,MATCH($F247,Cartoes_Nome,0)),1,0))+1))</f>
        <v>0</v>
      </c>
      <c r="Z247" s="40">
        <f>IF($A247="",0,DAY($A247))</f>
        <v>20</v>
      </c>
      <c r="AA247" s="40">
        <f>IF($A247="",0,WEEKDAY($A247))</f>
        <v>6</v>
      </c>
      <c r="AB247" s="36">
        <f>IF(AND($C247="Despesa",U247&gt;0,U247&lt;=Sel_Idx,V247&gt;=Sel_Idx),N(R247)+ROW()/1000000000,0)</f>
        <v>0</v>
      </c>
      <c r="AC247" s="40">
        <f>IF(AND($C247="Despesa",U247&gt;0,U247&lt;=Sel_Idx,V247&gt;=Sel_Idx),Z247*10000+ROW(),0)</f>
        <v>0</v>
      </c>
      <c r="AD247" s="40">
        <f>IF(AC247=0,0,COUNTIFS(L_CalChave,"&gt;0",L_CalChave,"&lt;"&amp;AC247)+1)</f>
        <v>0</v>
      </c>
    </row>
    <row r="248">
      <c r="A248" s="38" t="n">
        <v>46074</v>
      </c>
      <c r="B248" s="39" t="inlineStr">
        <is>
          <t>Corrida de aplicativo</t>
        </is>
      </c>
      <c r="C248" s="34" t="inlineStr">
        <is>
          <t>Despesa</t>
        </is>
      </c>
      <c r="D248" s="34" t="inlineStr">
        <is>
          <t>Transporte</t>
        </is>
      </c>
      <c r="E248" s="34" t="inlineStr">
        <is>
          <t>App de transporte</t>
        </is>
      </c>
      <c r="F248" s="34" t="inlineStr">
        <is>
          <t>Conta Corrente Banco Azul</t>
        </is>
      </c>
      <c r="G248" s="34" t="inlineStr">
        <is>
          <t>Pix</t>
        </is>
      </c>
      <c r="H248" s="37" t="n"/>
      <c r="I248" s="37" t="n"/>
      <c r="J248" s="34" t="inlineStr">
        <is>
          <t>Pago</t>
        </is>
      </c>
      <c r="K248" s="34" t="n"/>
      <c r="L248" s="34" t="n"/>
      <c r="M248" s="39" t="inlineStr">
        <is>
          <t>EXEMPLO</t>
        </is>
      </c>
      <c r="N248" s="35" t="n">
        <v>39.43</v>
      </c>
      <c r="O248" s="40">
        <f>IF($A248="","",MONTH($A248))</f>
        <v>2</v>
      </c>
      <c r="P248" s="40">
        <f>IF($A248="","",YEAR($A248))</f>
        <v>2026</v>
      </c>
      <c r="Q248" s="41">
        <f>IF($A248="","",DATE(P248,O248,1))</f>
        <v>46054.0</v>
      </c>
      <c r="R248" s="36">
        <f>IF(OR($A248="",$N248=""),"",IF(AND($C248&lt;&gt;"Transferência",N($I248)&gt;1),$N248/$I248,$N248))</f>
        <v>39.43</v>
      </c>
      <c r="S248" s="41" t="str">
        <f>IF(OR($A248="",$F248="",$C248&lt;&gt;"Despesa"),"",IF(COUNTIF(Cartoes_Nome,$F248)=0,"",DATE(P248,O248+IF(DAY($A248)&gt;=INDEX(Cartoes_Fech,MATCH($F248,Cartoes_Nome,0)),1,0),1)))</f>
        <v/>
      </c>
      <c r="T248" s="42" t="str">
        <f>IF($A248="","",IF(COUNTIFS(L_Data,$A248,L_Desc,$B248,L_Valor,$N248,L_Tipo,$C248)&gt;1,"⚠ Possível duplicidade",IF(OR(AND($C248="Despesa",COUNTIF(CatD_Nome,$D248)=0),AND($C248="Receita",COUNTIF(CatR_Nome,$D248)=0)),"⚠ Categoria não combina com o tipo",IF(OR($N248="",$C248=""),"⚠ Falta valor ou tipo",""))))</f>
        <v/>
      </c>
      <c r="U248" s="40">
        <f>IF($A248="",0,P248*12+O248)</f>
        <v>24314</v>
      </c>
      <c r="V248" s="40">
        <f>IF($A248="",0,U248+MAX(0,N($I248)-MAX(N($H248),1)))</f>
        <v>24314</v>
      </c>
      <c r="W248" s="40">
        <f>IF(S248="",0,YEAR(S248)*12+MONTH(S248))</f>
        <v>0</v>
      </c>
      <c r="X248" s="40">
        <f>IF(W248=0,0,W248+V248-U248)</f>
        <v>0</v>
      </c>
      <c r="Y248" s="36">
        <f>IF(W248=0,0,N(R248)*MAX(0,X248-MAX(W248,YEAR(Cfg_Hoje)*12+MONTH(Cfg_Hoje)+IF(DAY(Cfg_Hoje)&gt;=INDEX(Cartoes_Fech,MATCH($F248,Cartoes_Nome,0)),1,0))+1))</f>
        <v>0</v>
      </c>
      <c r="Z248" s="40">
        <f>IF($A248="",0,DAY($A248))</f>
        <v>21</v>
      </c>
      <c r="AA248" s="40">
        <f>IF($A248="",0,WEEKDAY($A248))</f>
        <v>7</v>
      </c>
      <c r="AB248" s="36">
        <f>IF(AND($C248="Despesa",U248&gt;0,U248&lt;=Sel_Idx,V248&gt;=Sel_Idx),N(R248)+ROW()/1000000000,0)</f>
        <v>0</v>
      </c>
      <c r="AC248" s="40">
        <f>IF(AND($C248="Despesa",U248&gt;0,U248&lt;=Sel_Idx,V248&gt;=Sel_Idx),Z248*10000+ROW(),0)</f>
        <v>0</v>
      </c>
      <c r="AD248" s="40">
        <f>IF(AC248=0,0,COUNTIFS(L_CalChave,"&gt;0",L_CalChave,"&lt;"&amp;AC248)+1)</f>
        <v>0</v>
      </c>
    </row>
    <row r="249">
      <c r="A249" s="38" t="n">
        <v>46075</v>
      </c>
      <c r="B249" s="39" t="inlineStr">
        <is>
          <t>Parcela empréstimo pessoal</t>
        </is>
      </c>
      <c r="C249" s="34" t="inlineStr">
        <is>
          <t>Despesa</t>
        </is>
      </c>
      <c r="D249" s="34" t="inlineStr">
        <is>
          <t>Dívidas e Financiamentos</t>
        </is>
      </c>
      <c r="E249" s="34" t="inlineStr">
        <is>
          <t>Empréstimo</t>
        </is>
      </c>
      <c r="F249" s="34" t="inlineStr">
        <is>
          <t>Conta Corrente Banco Azul</t>
        </is>
      </c>
      <c r="G249" s="34" t="inlineStr">
        <is>
          <t>Débito automático</t>
        </is>
      </c>
      <c r="H249" s="37" t="n"/>
      <c r="I249" s="37" t="n"/>
      <c r="J249" s="34" t="inlineStr">
        <is>
          <t>Pago</t>
        </is>
      </c>
      <c r="K249" s="34" t="n"/>
      <c r="L249" s="34" t="n"/>
      <c r="M249" s="39" t="inlineStr">
        <is>
          <t>EXEMPLO</t>
        </is>
      </c>
      <c r="N249" s="35" t="n">
        <v>580</v>
      </c>
      <c r="O249" s="40">
        <f>IF($A249="","",MONTH($A249))</f>
        <v>2</v>
      </c>
      <c r="P249" s="40">
        <f>IF($A249="","",YEAR($A249))</f>
        <v>2026</v>
      </c>
      <c r="Q249" s="41">
        <f>IF($A249="","",DATE(P249,O249,1))</f>
        <v>46054.0</v>
      </c>
      <c r="R249" s="36">
        <f>IF(OR($A249="",$N249=""),"",IF(AND($C249&lt;&gt;"Transferência",N($I249)&gt;1),$N249/$I249,$N249))</f>
        <v>580</v>
      </c>
      <c r="S249" s="41" t="str">
        <f>IF(OR($A249="",$F249="",$C249&lt;&gt;"Despesa"),"",IF(COUNTIF(Cartoes_Nome,$F249)=0,"",DATE(P249,O249+IF(DAY($A249)&gt;=INDEX(Cartoes_Fech,MATCH($F249,Cartoes_Nome,0)),1,0),1)))</f>
        <v/>
      </c>
      <c r="T249" s="42" t="str">
        <f>IF($A249="","",IF(COUNTIFS(L_Data,$A249,L_Desc,$B249,L_Valor,$N249,L_Tipo,$C249)&gt;1,"⚠ Possível duplicidade",IF(OR(AND($C249="Despesa",COUNTIF(CatD_Nome,$D249)=0),AND($C249="Receita",COUNTIF(CatR_Nome,$D249)=0)),"⚠ Categoria não combina com o tipo",IF(OR($N249="",$C249=""),"⚠ Falta valor ou tipo",""))))</f>
        <v/>
      </c>
      <c r="U249" s="40">
        <f>IF($A249="",0,P249*12+O249)</f>
        <v>24314</v>
      </c>
      <c r="V249" s="40">
        <f>IF($A249="",0,U249+MAX(0,N($I249)-MAX(N($H249),1)))</f>
        <v>24314</v>
      </c>
      <c r="W249" s="40">
        <f>IF(S249="",0,YEAR(S249)*12+MONTH(S249))</f>
        <v>0</v>
      </c>
      <c r="X249" s="40">
        <f>IF(W249=0,0,W249+V249-U249)</f>
        <v>0</v>
      </c>
      <c r="Y249" s="36">
        <f>IF(W249=0,0,N(R249)*MAX(0,X249-MAX(W249,YEAR(Cfg_Hoje)*12+MONTH(Cfg_Hoje)+IF(DAY(Cfg_Hoje)&gt;=INDEX(Cartoes_Fech,MATCH($F249,Cartoes_Nome,0)),1,0))+1))</f>
        <v>0</v>
      </c>
      <c r="Z249" s="40">
        <f>IF($A249="",0,DAY($A249))</f>
        <v>22</v>
      </c>
      <c r="AA249" s="40">
        <f>IF($A249="",0,WEEKDAY($A249))</f>
        <v>1</v>
      </c>
      <c r="AB249" s="36">
        <f>IF(AND($C249="Despesa",U249&gt;0,U249&lt;=Sel_Idx,V249&gt;=Sel_Idx),N(R249)+ROW()/1000000000,0)</f>
        <v>0</v>
      </c>
      <c r="AC249" s="40">
        <f>IF(AND($C249="Despesa",U249&gt;0,U249&lt;=Sel_Idx,V249&gt;=Sel_Idx),Z249*10000+ROW(),0)</f>
        <v>0</v>
      </c>
      <c r="AD249" s="40">
        <f>IF(AC249=0,0,COUNTIFS(L_CalChave,"&gt;0",L_CalChave,"&lt;"&amp;AC249)+1)</f>
        <v>0</v>
      </c>
    </row>
    <row r="250">
      <c r="A250" s="38" t="n">
        <v>46075</v>
      </c>
      <c r="B250" s="39" t="inlineStr">
        <is>
          <t>Show</t>
        </is>
      </c>
      <c r="C250" s="34" t="inlineStr">
        <is>
          <t>Despesa</t>
        </is>
      </c>
      <c r="D250" s="34" t="inlineStr">
        <is>
          <t>Lazer</t>
        </is>
      </c>
      <c r="E250" s="34" t="inlineStr">
        <is>
          <t>Bares</t>
        </is>
      </c>
      <c r="F250" s="34" t="inlineStr">
        <is>
          <t>Cartão Azul Gold</t>
        </is>
      </c>
      <c r="G250" s="34" t="inlineStr">
        <is>
          <t>Crédito</t>
        </is>
      </c>
      <c r="H250" s="37" t="n"/>
      <c r="I250" s="37" t="n"/>
      <c r="J250" s="34" t="inlineStr">
        <is>
          <t>Pago</t>
        </is>
      </c>
      <c r="K250" s="34" t="n"/>
      <c r="L250" s="34" t="n"/>
      <c r="M250" s="39" t="inlineStr">
        <is>
          <t>EXEMPLO</t>
        </is>
      </c>
      <c r="N250" s="35" t="n">
        <v>183.12</v>
      </c>
      <c r="O250" s="40">
        <f>IF($A250="","",MONTH($A250))</f>
        <v>2</v>
      </c>
      <c r="P250" s="40">
        <f>IF($A250="","",YEAR($A250))</f>
        <v>2026</v>
      </c>
      <c r="Q250" s="41">
        <f>IF($A250="","",DATE(P250,O250,1))</f>
        <v>46054.0</v>
      </c>
      <c r="R250" s="36">
        <f>IF(OR($A250="",$N250=""),"",IF(AND($C250&lt;&gt;"Transferência",N($I250)&gt;1),$N250/$I250,$N250))</f>
        <v>183.12</v>
      </c>
      <c r="S250" s="41">
        <f>IF(OR($A250="",$F250="",$C250&lt;&gt;"Despesa"),"",IF(COUNTIF(Cartoes_Nome,$F250)=0,"",DATE(P250,O250+IF(DAY($A250)&gt;=INDEX(Cartoes_Fech,MATCH($F250,Cartoes_Nome,0)),1,0),1)))</f>
        <v>46082.0</v>
      </c>
      <c r="T250" s="42" t="str">
        <f>IF($A250="","",IF(COUNTIFS(L_Data,$A250,L_Desc,$B250,L_Valor,$N250,L_Tipo,$C250)&gt;1,"⚠ Possível duplicidade",IF(OR(AND($C250="Despesa",COUNTIF(CatD_Nome,$D250)=0),AND($C250="Receita",COUNTIF(CatR_Nome,$D250)=0)),"⚠ Categoria não combina com o tipo",IF(OR($N250="",$C250=""),"⚠ Falta valor ou tipo",""))))</f>
        <v/>
      </c>
      <c r="U250" s="40">
        <f>IF($A250="",0,P250*12+O250)</f>
        <v>24314</v>
      </c>
      <c r="V250" s="40">
        <f>IF($A250="",0,U250+MAX(0,N($I250)-MAX(N($H250),1)))</f>
        <v>24314</v>
      </c>
      <c r="W250" s="40">
        <f>IF(S250="",0,YEAR(S250)*12+MONTH(S250))</f>
        <v>24315</v>
      </c>
      <c r="X250" s="40">
        <f>IF(W250=0,0,W250+V250-U250)</f>
        <v>24315</v>
      </c>
      <c r="Y250" s="36">
        <f>IF(W250=0,0,N(R250)*MAX(0,X250-MAX(W250,YEAR(Cfg_Hoje)*12+MONTH(Cfg_Hoje)+IF(DAY(Cfg_Hoje)&gt;=INDEX(Cartoes_Fech,MATCH($F250,Cartoes_Nome,0)),1,0))+1))</f>
        <v>0</v>
      </c>
      <c r="Z250" s="40">
        <f>IF($A250="",0,DAY($A250))</f>
        <v>22</v>
      </c>
      <c r="AA250" s="40">
        <f>IF($A250="",0,WEEKDAY($A250))</f>
        <v>1</v>
      </c>
      <c r="AB250" s="36">
        <f>IF(AND($C250="Despesa",U250&gt;0,U250&lt;=Sel_Idx,V250&gt;=Sel_Idx),N(R250)+ROW()/1000000000,0)</f>
        <v>0</v>
      </c>
      <c r="AC250" s="40">
        <f>IF(AND($C250="Despesa",U250&gt;0,U250&lt;=Sel_Idx,V250&gt;=Sel_Idx),Z250*10000+ROW(),0)</f>
        <v>0</v>
      </c>
      <c r="AD250" s="40">
        <f>IF(AC250=0,0,COUNTIFS(L_CalChave,"&gt;0",L_CalChave,"&lt;"&amp;AC250)+1)</f>
        <v>0</v>
      </c>
    </row>
    <row r="251">
      <c r="A251" s="38" t="n">
        <v>46078</v>
      </c>
      <c r="B251" s="39" t="inlineStr">
        <is>
          <t>Parcela renegociação da fatura</t>
        </is>
      </c>
      <c r="C251" s="34" t="inlineStr">
        <is>
          <t>Despesa</t>
        </is>
      </c>
      <c r="D251" s="34" t="inlineStr">
        <is>
          <t>Dívidas e Financiamentos</t>
        </is>
      </c>
      <c r="E251" s="34" t="n"/>
      <c r="F251" s="34" t="inlineStr">
        <is>
          <t>Conta Corrente Banco Azul</t>
        </is>
      </c>
      <c r="G251" s="34" t="inlineStr">
        <is>
          <t>Boleto</t>
        </is>
      </c>
      <c r="H251" s="37" t="n"/>
      <c r="I251" s="37" t="n"/>
      <c r="J251" s="34" t="inlineStr">
        <is>
          <t>Pago</t>
        </is>
      </c>
      <c r="K251" s="34" t="n"/>
      <c r="L251" s="34" t="n"/>
      <c r="M251" s="39" t="inlineStr">
        <is>
          <t>EXEMPLO</t>
        </is>
      </c>
      <c r="N251" s="35" t="n">
        <v>460</v>
      </c>
      <c r="O251" s="40">
        <f>IF($A251="","",MONTH($A251))</f>
        <v>2</v>
      </c>
      <c r="P251" s="40">
        <f>IF($A251="","",YEAR($A251))</f>
        <v>2026</v>
      </c>
      <c r="Q251" s="41">
        <f>IF($A251="","",DATE(P251,O251,1))</f>
        <v>46054.0</v>
      </c>
      <c r="R251" s="36">
        <f>IF(OR($A251="",$N251=""),"",IF(AND($C251&lt;&gt;"Transferência",N($I251)&gt;1),$N251/$I251,$N251))</f>
        <v>460</v>
      </c>
      <c r="S251" s="41" t="str">
        <f>IF(OR($A251="",$F251="",$C251&lt;&gt;"Despesa"),"",IF(COUNTIF(Cartoes_Nome,$F251)=0,"",DATE(P251,O251+IF(DAY($A251)&gt;=INDEX(Cartoes_Fech,MATCH($F251,Cartoes_Nome,0)),1,0),1)))</f>
        <v/>
      </c>
      <c r="T251" s="42" t="str">
        <f>IF($A251="","",IF(COUNTIFS(L_Data,$A251,L_Desc,$B251,L_Valor,$N251,L_Tipo,$C251)&gt;1,"⚠ Possível duplicidade",IF(OR(AND($C251="Despesa",COUNTIF(CatD_Nome,$D251)=0),AND($C251="Receita",COUNTIF(CatR_Nome,$D251)=0)),"⚠ Categoria não combina com o tipo",IF(OR($N251="",$C251=""),"⚠ Falta valor ou tipo",""))))</f>
        <v/>
      </c>
      <c r="U251" s="40">
        <f>IF($A251="",0,P251*12+O251)</f>
        <v>24314</v>
      </c>
      <c r="V251" s="40">
        <f>IF($A251="",0,U251+MAX(0,N($I251)-MAX(N($H251),1)))</f>
        <v>24314</v>
      </c>
      <c r="W251" s="40">
        <f>IF(S251="",0,YEAR(S251)*12+MONTH(S251))</f>
        <v>0</v>
      </c>
      <c r="X251" s="40">
        <f>IF(W251=0,0,W251+V251-U251)</f>
        <v>0</v>
      </c>
      <c r="Y251" s="36">
        <f>IF(W251=0,0,N(R251)*MAX(0,X251-MAX(W251,YEAR(Cfg_Hoje)*12+MONTH(Cfg_Hoje)+IF(DAY(Cfg_Hoje)&gt;=INDEX(Cartoes_Fech,MATCH($F251,Cartoes_Nome,0)),1,0))+1))</f>
        <v>0</v>
      </c>
      <c r="Z251" s="40">
        <f>IF($A251="",0,DAY($A251))</f>
        <v>25</v>
      </c>
      <c r="AA251" s="40">
        <f>IF($A251="",0,WEEKDAY($A251))</f>
        <v>4</v>
      </c>
      <c r="AB251" s="36">
        <f>IF(AND($C251="Despesa",U251&gt;0,U251&lt;=Sel_Idx,V251&gt;=Sel_Idx),N(R251)+ROW()/1000000000,0)</f>
        <v>0</v>
      </c>
      <c r="AC251" s="40">
        <f>IF(AND($C251="Despesa",U251&gt;0,U251&lt;=Sel_Idx,V251&gt;=Sel_Idx),Z251*10000+ROW(),0)</f>
        <v>0</v>
      </c>
      <c r="AD251" s="40">
        <f>IF(AC251=0,0,COUNTIFS(L_CalChave,"&gt;0",L_CalChave,"&lt;"&amp;AC251)+1)</f>
        <v>0</v>
      </c>
    </row>
    <row r="252">
      <c r="A252" s="38" t="n">
        <v>46080</v>
      </c>
      <c r="B252" s="39" t="inlineStr">
        <is>
          <t>Supermercado</t>
        </is>
      </c>
      <c r="C252" s="34" t="inlineStr">
        <is>
          <t>Despesa</t>
        </is>
      </c>
      <c r="D252" s="34" t="inlineStr">
        <is>
          <t>Alimentação</t>
        </is>
      </c>
      <c r="E252" s="34" t="inlineStr">
        <is>
          <t>Mercado</t>
        </is>
      </c>
      <c r="F252" s="34" t="inlineStr">
        <is>
          <t>Cartão Azul Gold</t>
        </is>
      </c>
      <c r="G252" s="34" t="inlineStr">
        <is>
          <t>Crédito</t>
        </is>
      </c>
      <c r="H252" s="37" t="n"/>
      <c r="I252" s="37" t="n"/>
      <c r="J252" s="34" t="inlineStr">
        <is>
          <t>Pago</t>
        </is>
      </c>
      <c r="K252" s="34" t="n"/>
      <c r="L252" s="34" t="n"/>
      <c r="M252" s="39" t="inlineStr">
        <is>
          <t>EXEMPLO</t>
        </is>
      </c>
      <c r="N252" s="35" t="n">
        <v>407.05</v>
      </c>
      <c r="O252" s="40">
        <f>IF($A252="","",MONTH($A252))</f>
        <v>2</v>
      </c>
      <c r="P252" s="40">
        <f>IF($A252="","",YEAR($A252))</f>
        <v>2026</v>
      </c>
      <c r="Q252" s="41">
        <f>IF($A252="","",DATE(P252,O252,1))</f>
        <v>46054.0</v>
      </c>
      <c r="R252" s="36">
        <f>IF(OR($A252="",$N252=""),"",IF(AND($C252&lt;&gt;"Transferência",N($I252)&gt;1),$N252/$I252,$N252))</f>
        <v>407.05</v>
      </c>
      <c r="S252" s="41">
        <f>IF(OR($A252="",$F252="",$C252&lt;&gt;"Despesa"),"",IF(COUNTIF(Cartoes_Nome,$F252)=0,"",DATE(P252,O252+IF(DAY($A252)&gt;=INDEX(Cartoes_Fech,MATCH($F252,Cartoes_Nome,0)),1,0),1)))</f>
        <v>46082.0</v>
      </c>
      <c r="T252" s="42" t="str">
        <f>IF($A252="","",IF(COUNTIFS(L_Data,$A252,L_Desc,$B252,L_Valor,$N252,L_Tipo,$C252)&gt;1,"⚠ Possível duplicidade",IF(OR(AND($C252="Despesa",COUNTIF(CatD_Nome,$D252)=0),AND($C252="Receita",COUNTIF(CatR_Nome,$D252)=0)),"⚠ Categoria não combina com o tipo",IF(OR($N252="",$C252=""),"⚠ Falta valor ou tipo",""))))</f>
        <v/>
      </c>
      <c r="U252" s="40">
        <f>IF($A252="",0,P252*12+O252)</f>
        <v>24314</v>
      </c>
      <c r="V252" s="40">
        <f>IF($A252="",0,U252+MAX(0,N($I252)-MAX(N($H252),1)))</f>
        <v>24314</v>
      </c>
      <c r="W252" s="40">
        <f>IF(S252="",0,YEAR(S252)*12+MONTH(S252))</f>
        <v>24315</v>
      </c>
      <c r="X252" s="40">
        <f>IF(W252=0,0,W252+V252-U252)</f>
        <v>24315</v>
      </c>
      <c r="Y252" s="36">
        <f>IF(W252=0,0,N(R252)*MAX(0,X252-MAX(W252,YEAR(Cfg_Hoje)*12+MONTH(Cfg_Hoje)+IF(DAY(Cfg_Hoje)&gt;=INDEX(Cartoes_Fech,MATCH($F252,Cartoes_Nome,0)),1,0))+1))</f>
        <v>0</v>
      </c>
      <c r="Z252" s="40">
        <f>IF($A252="",0,DAY($A252))</f>
        <v>27</v>
      </c>
      <c r="AA252" s="40">
        <f>IF($A252="",0,WEEKDAY($A252))</f>
        <v>6</v>
      </c>
      <c r="AB252" s="36">
        <f>IF(AND($C252="Despesa",U252&gt;0,U252&lt;=Sel_Idx,V252&gt;=Sel_Idx),N(R252)+ROW()/1000000000,0)</f>
        <v>0</v>
      </c>
      <c r="AC252" s="40">
        <f>IF(AND($C252="Despesa",U252&gt;0,U252&lt;=Sel_Idx,V252&gt;=Sel_Idx),Z252*10000+ROW(),0)</f>
        <v>0</v>
      </c>
      <c r="AD252" s="40">
        <f>IF(AC252=0,0,COUNTIFS(L_CalChave,"&gt;0",L_CalChave,"&lt;"&amp;AC252)+1)</f>
        <v>0</v>
      </c>
    </row>
    <row r="253">
      <c r="A253" s="38" t="n">
        <v>46081</v>
      </c>
      <c r="B253" s="39" t="inlineStr">
        <is>
          <t>Delivery de comida</t>
        </is>
      </c>
      <c r="C253" s="34" t="inlineStr">
        <is>
          <t>Despesa</t>
        </is>
      </c>
      <c r="D253" s="34" t="inlineStr">
        <is>
          <t>Alimentação</t>
        </is>
      </c>
      <c r="E253" s="34" t="inlineStr">
        <is>
          <t>Delivery</t>
        </is>
      </c>
      <c r="F253" s="34" t="inlineStr">
        <is>
          <t>Cartão Roxinho</t>
        </is>
      </c>
      <c r="G253" s="34" t="inlineStr">
        <is>
          <t>Crédito</t>
        </is>
      </c>
      <c r="H253" s="37" t="n"/>
      <c r="I253" s="37" t="n"/>
      <c r="J253" s="34" t="inlineStr">
        <is>
          <t>Pago</t>
        </is>
      </c>
      <c r="K253" s="34" t="n"/>
      <c r="L253" s="34" t="n"/>
      <c r="M253" s="39" t="inlineStr">
        <is>
          <t>EXEMPLO</t>
        </is>
      </c>
      <c r="N253" s="35" t="n">
        <v>44.01</v>
      </c>
      <c r="O253" s="40">
        <f>IF($A253="","",MONTH($A253))</f>
        <v>2</v>
      </c>
      <c r="P253" s="40">
        <f>IF($A253="","",YEAR($A253))</f>
        <v>2026</v>
      </c>
      <c r="Q253" s="41">
        <f>IF($A253="","",DATE(P253,O253,1))</f>
        <v>46054.0</v>
      </c>
      <c r="R253" s="36">
        <f>IF(OR($A253="",$N253=""),"",IF(AND($C253&lt;&gt;"Transferência",N($I253)&gt;1),$N253/$I253,$N253))</f>
        <v>44.01</v>
      </c>
      <c r="S253" s="41">
        <f>IF(OR($A253="",$F253="",$C253&lt;&gt;"Despesa"),"",IF(COUNTIF(Cartoes_Nome,$F253)=0,"",DATE(P253,O253+IF(DAY($A253)&gt;=INDEX(Cartoes_Fech,MATCH($F253,Cartoes_Nome,0)),1,0),1)))</f>
        <v>46082.0</v>
      </c>
      <c r="T253" s="42" t="str">
        <f>IF($A253="","",IF(COUNTIFS(L_Data,$A253,L_Desc,$B253,L_Valor,$N253,L_Tipo,$C253)&gt;1,"⚠ Possível duplicidade",IF(OR(AND($C253="Despesa",COUNTIF(CatD_Nome,$D253)=0),AND($C253="Receita",COUNTIF(CatR_Nome,$D253)=0)),"⚠ Categoria não combina com o tipo",IF(OR($N253="",$C253=""),"⚠ Falta valor ou tipo",""))))</f>
        <v/>
      </c>
      <c r="U253" s="40">
        <f>IF($A253="",0,P253*12+O253)</f>
        <v>24314</v>
      </c>
      <c r="V253" s="40">
        <f>IF($A253="",0,U253+MAX(0,N($I253)-MAX(N($H253),1)))</f>
        <v>24314</v>
      </c>
      <c r="W253" s="40">
        <f>IF(S253="",0,YEAR(S253)*12+MONTH(S253))</f>
        <v>24315</v>
      </c>
      <c r="X253" s="40">
        <f>IF(W253=0,0,W253+V253-U253)</f>
        <v>24315</v>
      </c>
      <c r="Y253" s="36">
        <f>IF(W253=0,0,N(R253)*MAX(0,X253-MAX(W253,YEAR(Cfg_Hoje)*12+MONTH(Cfg_Hoje)+IF(DAY(Cfg_Hoje)&gt;=INDEX(Cartoes_Fech,MATCH($F253,Cartoes_Nome,0)),1,0))+1))</f>
        <v>0</v>
      </c>
      <c r="Z253" s="40">
        <f>IF($A253="",0,DAY($A253))</f>
        <v>28</v>
      </c>
      <c r="AA253" s="40">
        <f>IF($A253="",0,WEEKDAY($A253))</f>
        <v>7</v>
      </c>
      <c r="AB253" s="36">
        <f>IF(AND($C253="Despesa",U253&gt;0,U253&lt;=Sel_Idx,V253&gt;=Sel_Idx),N(R253)+ROW()/1000000000,0)</f>
        <v>0</v>
      </c>
      <c r="AC253" s="40">
        <f>IF(AND($C253="Despesa",U253&gt;0,U253&lt;=Sel_Idx,V253&gt;=Sel_Idx),Z253*10000+ROW(),0)</f>
        <v>0</v>
      </c>
      <c r="AD253" s="40">
        <f>IF(AC253=0,0,COUNTIFS(L_CalChave,"&gt;0",L_CalChave,"&lt;"&amp;AC253)+1)</f>
        <v>0</v>
      </c>
    </row>
    <row r="254">
      <c r="A254" s="38" t="n">
        <v>46081</v>
      </c>
      <c r="B254" s="39" t="inlineStr">
        <is>
          <t>Rendimento da poupança</t>
        </is>
      </c>
      <c r="C254" s="34" t="inlineStr">
        <is>
          <t>Receita</t>
        </is>
      </c>
      <c r="D254" s="34" t="inlineStr">
        <is>
          <t>Rendimentos</t>
        </is>
      </c>
      <c r="E254" s="34" t="n"/>
      <c r="F254" s="34" t="inlineStr">
        <is>
          <t>Poupança Banco Azul</t>
        </is>
      </c>
      <c r="G254" s="34" t="inlineStr">
        <is>
          <t>Transferência</t>
        </is>
      </c>
      <c r="H254" s="37" t="n"/>
      <c r="I254" s="37" t="n"/>
      <c r="J254" s="34" t="inlineStr">
        <is>
          <t>Pago</t>
        </is>
      </c>
      <c r="K254" s="34" t="n"/>
      <c r="L254" s="34" t="n"/>
      <c r="M254" s="39" t="inlineStr">
        <is>
          <t>EXEMPLO</t>
        </is>
      </c>
      <c r="N254" s="35" t="n">
        <v>63.38</v>
      </c>
      <c r="O254" s="40">
        <f>IF($A254="","",MONTH($A254))</f>
        <v>2</v>
      </c>
      <c r="P254" s="40">
        <f>IF($A254="","",YEAR($A254))</f>
        <v>2026</v>
      </c>
      <c r="Q254" s="41">
        <f>IF($A254="","",DATE(P254,O254,1))</f>
        <v>46054.0</v>
      </c>
      <c r="R254" s="36">
        <f>IF(OR($A254="",$N254=""),"",IF(AND($C254&lt;&gt;"Transferência",N($I254)&gt;1),$N254/$I254,$N254))</f>
        <v>63.38</v>
      </c>
      <c r="S254" s="41" t="str">
        <f>IF(OR($A254="",$F254="",$C254&lt;&gt;"Despesa"),"",IF(COUNTIF(Cartoes_Nome,$F254)=0,"",DATE(P254,O254+IF(DAY($A254)&gt;=INDEX(Cartoes_Fech,MATCH($F254,Cartoes_Nome,0)),1,0),1)))</f>
        <v/>
      </c>
      <c r="T254" s="42" t="str">
        <f>IF($A254="","",IF(COUNTIFS(L_Data,$A254,L_Desc,$B254,L_Valor,$N254,L_Tipo,$C254)&gt;1,"⚠ Possível duplicidade",IF(OR(AND($C254="Despesa",COUNTIF(CatD_Nome,$D254)=0),AND($C254="Receita",COUNTIF(CatR_Nome,$D254)=0)),"⚠ Categoria não combina com o tipo",IF(OR($N254="",$C254=""),"⚠ Falta valor ou tipo",""))))</f>
        <v/>
      </c>
      <c r="U254" s="40">
        <f>IF($A254="",0,P254*12+O254)</f>
        <v>24314</v>
      </c>
      <c r="V254" s="40">
        <f>IF($A254="",0,U254+MAX(0,N($I254)-MAX(N($H254),1)))</f>
        <v>24314</v>
      </c>
      <c r="W254" s="40">
        <f>IF(S254="",0,YEAR(S254)*12+MONTH(S254))</f>
        <v>0</v>
      </c>
      <c r="X254" s="40">
        <f>IF(W254=0,0,W254+V254-U254)</f>
        <v>0</v>
      </c>
      <c r="Y254" s="36">
        <f>IF(W254=0,0,N(R254)*MAX(0,X254-MAX(W254,YEAR(Cfg_Hoje)*12+MONTH(Cfg_Hoje)+IF(DAY(Cfg_Hoje)&gt;=INDEX(Cartoes_Fech,MATCH($F254,Cartoes_Nome,0)),1,0))+1))</f>
        <v>0</v>
      </c>
      <c r="Z254" s="40">
        <f>IF($A254="",0,DAY($A254))</f>
        <v>28</v>
      </c>
      <c r="AA254" s="40">
        <f>IF($A254="",0,WEEKDAY($A254))</f>
        <v>7</v>
      </c>
      <c r="AB254" s="36">
        <f>IF(AND($C254="Despesa",U254&gt;0,U254&lt;=Sel_Idx,V254&gt;=Sel_Idx),N(R254)+ROW()/1000000000,0)</f>
        <v>0</v>
      </c>
      <c r="AC254" s="40">
        <f>IF(AND($C254="Despesa",U254&gt;0,U254&lt;=Sel_Idx,V254&gt;=Sel_Idx),Z254*10000+ROW(),0)</f>
        <v>0</v>
      </c>
      <c r="AD254" s="40">
        <f>IF(AC254=0,0,COUNTIFS(L_CalChave,"&gt;0",L_CalChave,"&lt;"&amp;AC254)+1)</f>
        <v>0</v>
      </c>
    </row>
    <row r="255">
      <c r="A255" s="38" t="n">
        <v>46082</v>
      </c>
      <c r="B255" s="39" t="inlineStr">
        <is>
          <t>Corrida de aplicativo</t>
        </is>
      </c>
      <c r="C255" s="34" t="inlineStr">
        <is>
          <t>Despesa</t>
        </is>
      </c>
      <c r="D255" s="34" t="inlineStr">
        <is>
          <t>Transporte</t>
        </is>
      </c>
      <c r="E255" s="34" t="inlineStr">
        <is>
          <t>App de transporte</t>
        </is>
      </c>
      <c r="F255" s="34" t="inlineStr">
        <is>
          <t>Conta Corrente Banco Azul</t>
        </is>
      </c>
      <c r="G255" s="34" t="inlineStr">
        <is>
          <t>Pix</t>
        </is>
      </c>
      <c r="H255" s="37" t="n"/>
      <c r="I255" s="37" t="n"/>
      <c r="J255" s="34" t="inlineStr">
        <is>
          <t>Pago</t>
        </is>
      </c>
      <c r="K255" s="34" t="n"/>
      <c r="L255" s="34" t="n"/>
      <c r="M255" s="39" t="inlineStr">
        <is>
          <t>EXEMPLO</t>
        </is>
      </c>
      <c r="N255" s="35" t="n">
        <v>37.85</v>
      </c>
      <c r="O255" s="40">
        <f>IF($A255="","",MONTH($A255))</f>
        <v>3</v>
      </c>
      <c r="P255" s="40">
        <f>IF($A255="","",YEAR($A255))</f>
        <v>2026</v>
      </c>
      <c r="Q255" s="41">
        <f>IF($A255="","",DATE(P255,O255,1))</f>
        <v>46082.0</v>
      </c>
      <c r="R255" s="36">
        <f>IF(OR($A255="",$N255=""),"",IF(AND($C255&lt;&gt;"Transferência",N($I255)&gt;1),$N255/$I255,$N255))</f>
        <v>37.85</v>
      </c>
      <c r="S255" s="41" t="str">
        <f>IF(OR($A255="",$F255="",$C255&lt;&gt;"Despesa"),"",IF(COUNTIF(Cartoes_Nome,$F255)=0,"",DATE(P255,O255+IF(DAY($A255)&gt;=INDEX(Cartoes_Fech,MATCH($F255,Cartoes_Nome,0)),1,0),1)))</f>
        <v/>
      </c>
      <c r="T255" s="42" t="str">
        <f>IF($A255="","",IF(COUNTIFS(L_Data,$A255,L_Desc,$B255,L_Valor,$N255,L_Tipo,$C255)&gt;1,"⚠ Possível duplicidade",IF(OR(AND($C255="Despesa",COUNTIF(CatD_Nome,$D255)=0),AND($C255="Receita",COUNTIF(CatR_Nome,$D255)=0)),"⚠ Categoria não combina com o tipo",IF(OR($N255="",$C255=""),"⚠ Falta valor ou tipo",""))))</f>
        <v/>
      </c>
      <c r="U255" s="40">
        <f>IF($A255="",0,P255*12+O255)</f>
        <v>24315</v>
      </c>
      <c r="V255" s="40">
        <f>IF($A255="",0,U255+MAX(0,N($I255)-MAX(N($H255),1)))</f>
        <v>24315</v>
      </c>
      <c r="W255" s="40">
        <f>IF(S255="",0,YEAR(S255)*12+MONTH(S255))</f>
        <v>0</v>
      </c>
      <c r="X255" s="40">
        <f>IF(W255=0,0,W255+V255-U255)</f>
        <v>0</v>
      </c>
      <c r="Y255" s="36">
        <f>IF(W255=0,0,N(R255)*MAX(0,X255-MAX(W255,YEAR(Cfg_Hoje)*12+MONTH(Cfg_Hoje)+IF(DAY(Cfg_Hoje)&gt;=INDEX(Cartoes_Fech,MATCH($F255,Cartoes_Nome,0)),1,0))+1))</f>
        <v>0</v>
      </c>
      <c r="Z255" s="40">
        <f>IF($A255="",0,DAY($A255))</f>
        <v>1</v>
      </c>
      <c r="AA255" s="40">
        <f>IF($A255="",0,WEEKDAY($A255))</f>
        <v>1</v>
      </c>
      <c r="AB255" s="36">
        <f>IF(AND($C255="Despesa",U255&gt;0,U255&lt;=Sel_Idx,V255&gt;=Sel_Idx),N(R255)+ROW()/1000000000,0)</f>
        <v>0</v>
      </c>
      <c r="AC255" s="40">
        <f>IF(AND($C255="Despesa",U255&gt;0,U255&lt;=Sel_Idx,V255&gt;=Sel_Idx),Z255*10000+ROW(),0)</f>
        <v>0</v>
      </c>
      <c r="AD255" s="40">
        <f>IF(AC255=0,0,COUNTIFS(L_CalChave,"&gt;0",L_CalChave,"&lt;"&amp;AC255)+1)</f>
        <v>0</v>
      </c>
    </row>
    <row r="256">
      <c r="A256" s="38" t="n">
        <v>46084</v>
      </c>
      <c r="B256" s="39" t="inlineStr">
        <is>
          <t>Academia</t>
        </is>
      </c>
      <c r="C256" s="34" t="inlineStr">
        <is>
          <t>Despesa</t>
        </is>
      </c>
      <c r="D256" s="34" t="inlineStr">
        <is>
          <t>Assinaturas</t>
        </is>
      </c>
      <c r="E256" s="34" t="inlineStr">
        <is>
          <t>Academia</t>
        </is>
      </c>
      <c r="F256" s="34" t="inlineStr">
        <is>
          <t>Conta Corrente Banco Azul</t>
        </is>
      </c>
      <c r="G256" s="34" t="inlineStr">
        <is>
          <t>Débito automático</t>
        </is>
      </c>
      <c r="H256" s="37" t="n"/>
      <c r="I256" s="37" t="n"/>
      <c r="J256" s="34" t="inlineStr">
        <is>
          <t>Pago</t>
        </is>
      </c>
      <c r="K256" s="34" t="n"/>
      <c r="L256" s="34" t="n"/>
      <c r="M256" s="39" t="inlineStr">
        <is>
          <t>EXEMPLO</t>
        </is>
      </c>
      <c r="N256" s="35" t="n">
        <v>129</v>
      </c>
      <c r="O256" s="40">
        <f>IF($A256="","",MONTH($A256))</f>
        <v>3</v>
      </c>
      <c r="P256" s="40">
        <f>IF($A256="","",YEAR($A256))</f>
        <v>2026</v>
      </c>
      <c r="Q256" s="41">
        <f>IF($A256="","",DATE(P256,O256,1))</f>
        <v>46082.0</v>
      </c>
      <c r="R256" s="36">
        <f>IF(OR($A256="",$N256=""),"",IF(AND($C256&lt;&gt;"Transferência",N($I256)&gt;1),$N256/$I256,$N256))</f>
        <v>129</v>
      </c>
      <c r="S256" s="41" t="str">
        <f>IF(OR($A256="",$F256="",$C256&lt;&gt;"Despesa"),"",IF(COUNTIF(Cartoes_Nome,$F256)=0,"",DATE(P256,O256+IF(DAY($A256)&gt;=INDEX(Cartoes_Fech,MATCH($F256,Cartoes_Nome,0)),1,0),1)))</f>
        <v/>
      </c>
      <c r="T256" s="42" t="str">
        <f>IF($A256="","",IF(COUNTIFS(L_Data,$A256,L_Desc,$B256,L_Valor,$N256,L_Tipo,$C256)&gt;1,"⚠ Possível duplicidade",IF(OR(AND($C256="Despesa",COUNTIF(CatD_Nome,$D256)=0),AND($C256="Receita",COUNTIF(CatR_Nome,$D256)=0)),"⚠ Categoria não combina com o tipo",IF(OR($N256="",$C256=""),"⚠ Falta valor ou tipo",""))))</f>
        <v/>
      </c>
      <c r="U256" s="40">
        <f>IF($A256="",0,P256*12+O256)</f>
        <v>24315</v>
      </c>
      <c r="V256" s="40">
        <f>IF($A256="",0,U256+MAX(0,N($I256)-MAX(N($H256),1)))</f>
        <v>24315</v>
      </c>
      <c r="W256" s="40">
        <f>IF(S256="",0,YEAR(S256)*12+MONTH(S256))</f>
        <v>0</v>
      </c>
      <c r="X256" s="40">
        <f>IF(W256=0,0,W256+V256-U256)</f>
        <v>0</v>
      </c>
      <c r="Y256" s="36">
        <f>IF(W256=0,0,N(R256)*MAX(0,X256-MAX(W256,YEAR(Cfg_Hoje)*12+MONTH(Cfg_Hoje)+IF(DAY(Cfg_Hoje)&gt;=INDEX(Cartoes_Fech,MATCH($F256,Cartoes_Nome,0)),1,0))+1))</f>
        <v>0</v>
      </c>
      <c r="Z256" s="40">
        <f>IF($A256="",0,DAY($A256))</f>
        <v>3</v>
      </c>
      <c r="AA256" s="40">
        <f>IF($A256="",0,WEEKDAY($A256))</f>
        <v>3</v>
      </c>
      <c r="AB256" s="36">
        <f>IF(AND($C256="Despesa",U256&gt;0,U256&lt;=Sel_Idx,V256&gt;=Sel_Idx),N(R256)+ROW()/1000000000,0)</f>
        <v>0</v>
      </c>
      <c r="AC256" s="40">
        <f>IF(AND($C256="Despesa",U256&gt;0,U256&lt;=Sel_Idx,V256&gt;=Sel_Idx),Z256*10000+ROW(),0)</f>
        <v>0</v>
      </c>
      <c r="AD256" s="40">
        <f>IF(AC256=0,0,COUNTIFS(L_CalChave,"&gt;0",L_CalChave,"&lt;"&amp;AC256)+1)</f>
        <v>0</v>
      </c>
    </row>
    <row r="257">
      <c r="A257" s="38" t="n">
        <v>46085</v>
      </c>
      <c r="B257" s="39" t="inlineStr">
        <is>
          <t>Despesa diversa</t>
        </is>
      </c>
      <c r="C257" s="34" t="inlineStr">
        <is>
          <t>Despesa</t>
        </is>
      </c>
      <c r="D257" s="34" t="inlineStr">
        <is>
          <t>Outros</t>
        </is>
      </c>
      <c r="E257" s="34" t="n"/>
      <c r="F257" s="34" t="inlineStr">
        <is>
          <t>Conta Corrente Banco Azul</t>
        </is>
      </c>
      <c r="G257" s="34" t="inlineStr">
        <is>
          <t>Pix</t>
        </is>
      </c>
      <c r="H257" s="37" t="n"/>
      <c r="I257" s="37" t="n"/>
      <c r="J257" s="34" t="inlineStr">
        <is>
          <t>Pago</t>
        </is>
      </c>
      <c r="K257" s="34" t="n"/>
      <c r="L257" s="34" t="n"/>
      <c r="M257" s="39" t="inlineStr">
        <is>
          <t>EXEMPLO</t>
        </is>
      </c>
      <c r="N257" s="35" t="n">
        <v>184.33</v>
      </c>
      <c r="O257" s="40">
        <f>IF($A257="","",MONTH($A257))</f>
        <v>3</v>
      </c>
      <c r="P257" s="40">
        <f>IF($A257="","",YEAR($A257))</f>
        <v>2026</v>
      </c>
      <c r="Q257" s="41">
        <f>IF($A257="","",DATE(P257,O257,1))</f>
        <v>46082.0</v>
      </c>
      <c r="R257" s="36">
        <f>IF(OR($A257="",$N257=""),"",IF(AND($C257&lt;&gt;"Transferência",N($I257)&gt;1),$N257/$I257,$N257))</f>
        <v>184.33</v>
      </c>
      <c r="S257" s="41" t="str">
        <f>IF(OR($A257="",$F257="",$C257&lt;&gt;"Despesa"),"",IF(COUNTIF(Cartoes_Nome,$F257)=0,"",DATE(P257,O257+IF(DAY($A257)&gt;=INDEX(Cartoes_Fech,MATCH($F257,Cartoes_Nome,0)),1,0),1)))</f>
        <v/>
      </c>
      <c r="T257" s="42" t="str">
        <f>IF($A257="","",IF(COUNTIFS(L_Data,$A257,L_Desc,$B257,L_Valor,$N257,L_Tipo,$C257)&gt;1,"⚠ Possível duplicidade",IF(OR(AND($C257="Despesa",COUNTIF(CatD_Nome,$D257)=0),AND($C257="Receita",COUNTIF(CatR_Nome,$D257)=0)),"⚠ Categoria não combina com o tipo",IF(OR($N257="",$C257=""),"⚠ Falta valor ou tipo",""))))</f>
        <v/>
      </c>
      <c r="U257" s="40">
        <f>IF($A257="",0,P257*12+O257)</f>
        <v>24315</v>
      </c>
      <c r="V257" s="40">
        <f>IF($A257="",0,U257+MAX(0,N($I257)-MAX(N($H257),1)))</f>
        <v>24315</v>
      </c>
      <c r="W257" s="40">
        <f>IF(S257="",0,YEAR(S257)*12+MONTH(S257))</f>
        <v>0</v>
      </c>
      <c r="X257" s="40">
        <f>IF(W257=0,0,W257+V257-U257)</f>
        <v>0</v>
      </c>
      <c r="Y257" s="36">
        <f>IF(W257=0,0,N(R257)*MAX(0,X257-MAX(W257,YEAR(Cfg_Hoje)*12+MONTH(Cfg_Hoje)+IF(DAY(Cfg_Hoje)&gt;=INDEX(Cartoes_Fech,MATCH($F257,Cartoes_Nome,0)),1,0))+1))</f>
        <v>0</v>
      </c>
      <c r="Z257" s="40">
        <f>IF($A257="",0,DAY($A257))</f>
        <v>4</v>
      </c>
      <c r="AA257" s="40">
        <f>IF($A257="",0,WEEKDAY($A257))</f>
        <v>4</v>
      </c>
      <c r="AB257" s="36">
        <f>IF(AND($C257="Despesa",U257&gt;0,U257&lt;=Sel_Idx,V257&gt;=Sel_Idx),N(R257)+ROW()/1000000000,0)</f>
        <v>0</v>
      </c>
      <c r="AC257" s="40">
        <f>IF(AND($C257="Despesa",U257&gt;0,U257&lt;=Sel_Idx,V257&gt;=Sel_Idx),Z257*10000+ROW(),0)</f>
        <v>0</v>
      </c>
      <c r="AD257" s="40">
        <f>IF(AC257=0,0,COUNTIFS(L_CalChave,"&gt;0",L_CalChave,"&lt;"&amp;AC257)+1)</f>
        <v>0</v>
      </c>
    </row>
    <row r="258">
      <c r="A258" s="38" t="n">
        <v>46086</v>
      </c>
      <c r="B258" s="39" t="inlineStr">
        <is>
          <t>Cinema</t>
        </is>
      </c>
      <c r="C258" s="34" t="inlineStr">
        <is>
          <t>Despesa</t>
        </is>
      </c>
      <c r="D258" s="34" t="inlineStr">
        <is>
          <t>Lazer</t>
        </is>
      </c>
      <c r="E258" s="34" t="inlineStr">
        <is>
          <t>Cinema</t>
        </is>
      </c>
      <c r="F258" s="34" t="inlineStr">
        <is>
          <t>Cartão Roxinho</t>
        </is>
      </c>
      <c r="G258" s="34" t="inlineStr">
        <is>
          <t>Crédito</t>
        </is>
      </c>
      <c r="H258" s="37" t="n"/>
      <c r="I258" s="37" t="n"/>
      <c r="J258" s="34" t="inlineStr">
        <is>
          <t>Pago</t>
        </is>
      </c>
      <c r="K258" s="34" t="n"/>
      <c r="L258" s="34" t="n"/>
      <c r="M258" s="39" t="inlineStr">
        <is>
          <t>EXEMPLO</t>
        </is>
      </c>
      <c r="N258" s="35" t="n">
        <v>95.98999999999999</v>
      </c>
      <c r="O258" s="40">
        <f>IF($A258="","",MONTH($A258))</f>
        <v>3</v>
      </c>
      <c r="P258" s="40">
        <f>IF($A258="","",YEAR($A258))</f>
        <v>2026</v>
      </c>
      <c r="Q258" s="41">
        <f>IF($A258="","",DATE(P258,O258,1))</f>
        <v>46082.0</v>
      </c>
      <c r="R258" s="36">
        <f>IF(OR($A258="",$N258=""),"",IF(AND($C258&lt;&gt;"Transferência",N($I258)&gt;1),$N258/$I258,$N258))</f>
        <v>95.99</v>
      </c>
      <c r="S258" s="41">
        <f>IF(OR($A258="",$F258="",$C258&lt;&gt;"Despesa"),"",IF(COUNTIF(Cartoes_Nome,$F258)=0,"",DATE(P258,O258+IF(DAY($A258)&gt;=INDEX(Cartoes_Fech,MATCH($F258,Cartoes_Nome,0)),1,0),1)))</f>
        <v>46082.0</v>
      </c>
      <c r="T258" s="42" t="str">
        <f>IF($A258="","",IF(COUNTIFS(L_Data,$A258,L_Desc,$B258,L_Valor,$N258,L_Tipo,$C258)&gt;1,"⚠ Possível duplicidade",IF(OR(AND($C258="Despesa",COUNTIF(CatD_Nome,$D258)=0),AND($C258="Receita",COUNTIF(CatR_Nome,$D258)=0)),"⚠ Categoria não combina com o tipo",IF(OR($N258="",$C258=""),"⚠ Falta valor ou tipo",""))))</f>
        <v/>
      </c>
      <c r="U258" s="40">
        <f>IF($A258="",0,P258*12+O258)</f>
        <v>24315</v>
      </c>
      <c r="V258" s="40">
        <f>IF($A258="",0,U258+MAX(0,N($I258)-MAX(N($H258),1)))</f>
        <v>24315</v>
      </c>
      <c r="W258" s="40">
        <f>IF(S258="",0,YEAR(S258)*12+MONTH(S258))</f>
        <v>24315</v>
      </c>
      <c r="X258" s="40">
        <f>IF(W258=0,0,W258+V258-U258)</f>
        <v>24315</v>
      </c>
      <c r="Y258" s="36">
        <f>IF(W258=0,0,N(R258)*MAX(0,X258-MAX(W258,YEAR(Cfg_Hoje)*12+MONTH(Cfg_Hoje)+IF(DAY(Cfg_Hoje)&gt;=INDEX(Cartoes_Fech,MATCH($F258,Cartoes_Nome,0)),1,0))+1))</f>
        <v>0</v>
      </c>
      <c r="Z258" s="40">
        <f>IF($A258="",0,DAY($A258))</f>
        <v>5</v>
      </c>
      <c r="AA258" s="40">
        <f>IF($A258="",0,WEEKDAY($A258))</f>
        <v>5</v>
      </c>
      <c r="AB258" s="36">
        <f>IF(AND($C258="Despesa",U258&gt;0,U258&lt;=Sel_Idx,V258&gt;=Sel_Idx),N(R258)+ROW()/1000000000,0)</f>
        <v>0</v>
      </c>
      <c r="AC258" s="40">
        <f>IF(AND($C258="Despesa",U258&gt;0,U258&lt;=Sel_Idx,V258&gt;=Sel_Idx),Z258*10000+ROW(),0)</f>
        <v>0</v>
      </c>
      <c r="AD258" s="40">
        <f>IF(AC258=0,0,COUNTIFS(L_CalChave,"&gt;0",L_CalChave,"&lt;"&amp;AC258)+1)</f>
        <v>0</v>
      </c>
    </row>
    <row r="259">
      <c r="A259" s="38" t="n">
        <v>46086</v>
      </c>
      <c r="B259" s="39" t="inlineStr">
        <is>
          <t>Combustível</t>
        </is>
      </c>
      <c r="C259" s="34" t="inlineStr">
        <is>
          <t>Despesa</t>
        </is>
      </c>
      <c r="D259" s="34" t="inlineStr">
        <is>
          <t>Transporte</t>
        </is>
      </c>
      <c r="E259" s="34" t="inlineStr">
        <is>
          <t>Combustível</t>
        </is>
      </c>
      <c r="F259" s="34" t="inlineStr">
        <is>
          <t>Cartão Azul Gold</t>
        </is>
      </c>
      <c r="G259" s="34" t="inlineStr">
        <is>
          <t>Crédito</t>
        </is>
      </c>
      <c r="H259" s="37" t="n"/>
      <c r="I259" s="37" t="n"/>
      <c r="J259" s="34" t="inlineStr">
        <is>
          <t>Pago</t>
        </is>
      </c>
      <c r="K259" s="34" t="n"/>
      <c r="L259" s="34" t="n"/>
      <c r="M259" s="39" t="inlineStr">
        <is>
          <t>EXEMPLO</t>
        </is>
      </c>
      <c r="N259" s="35" t="n">
        <v>176.99</v>
      </c>
      <c r="O259" s="40">
        <f>IF($A259="","",MONTH($A259))</f>
        <v>3</v>
      </c>
      <c r="P259" s="40">
        <f>IF($A259="","",YEAR($A259))</f>
        <v>2026</v>
      </c>
      <c r="Q259" s="41">
        <f>IF($A259="","",DATE(P259,O259,1))</f>
        <v>46082.0</v>
      </c>
      <c r="R259" s="36">
        <f>IF(OR($A259="",$N259=""),"",IF(AND($C259&lt;&gt;"Transferência",N($I259)&gt;1),$N259/$I259,$N259))</f>
        <v>176.99</v>
      </c>
      <c r="S259" s="41">
        <f>IF(OR($A259="",$F259="",$C259&lt;&gt;"Despesa"),"",IF(COUNTIF(Cartoes_Nome,$F259)=0,"",DATE(P259,O259+IF(DAY($A259)&gt;=INDEX(Cartoes_Fech,MATCH($F259,Cartoes_Nome,0)),1,0),1)))</f>
        <v>46082.0</v>
      </c>
      <c r="T259" s="42" t="str">
        <f>IF($A259="","",IF(COUNTIFS(L_Data,$A259,L_Desc,$B259,L_Valor,$N259,L_Tipo,$C259)&gt;1,"⚠ Possível duplicidade",IF(OR(AND($C259="Despesa",COUNTIF(CatD_Nome,$D259)=0),AND($C259="Receita",COUNTIF(CatR_Nome,$D259)=0)),"⚠ Categoria não combina com o tipo",IF(OR($N259="",$C259=""),"⚠ Falta valor ou tipo",""))))</f>
        <v/>
      </c>
      <c r="U259" s="40">
        <f>IF($A259="",0,P259*12+O259)</f>
        <v>24315</v>
      </c>
      <c r="V259" s="40">
        <f>IF($A259="",0,U259+MAX(0,N($I259)-MAX(N($H259),1)))</f>
        <v>24315</v>
      </c>
      <c r="W259" s="40">
        <f>IF(S259="",0,YEAR(S259)*12+MONTH(S259))</f>
        <v>24315</v>
      </c>
      <c r="X259" s="40">
        <f>IF(W259=0,0,W259+V259-U259)</f>
        <v>24315</v>
      </c>
      <c r="Y259" s="36">
        <f>IF(W259=0,0,N(R259)*MAX(0,X259-MAX(W259,YEAR(Cfg_Hoje)*12+MONTH(Cfg_Hoje)+IF(DAY(Cfg_Hoje)&gt;=INDEX(Cartoes_Fech,MATCH($F259,Cartoes_Nome,0)),1,0))+1))</f>
        <v>0</v>
      </c>
      <c r="Z259" s="40">
        <f>IF($A259="",0,DAY($A259))</f>
        <v>5</v>
      </c>
      <c r="AA259" s="40">
        <f>IF($A259="",0,WEEKDAY($A259))</f>
        <v>5</v>
      </c>
      <c r="AB259" s="36">
        <f>IF(AND($C259="Despesa",U259&gt;0,U259&lt;=Sel_Idx,V259&gt;=Sel_Idx),N(R259)+ROW()/1000000000,0)</f>
        <v>0</v>
      </c>
      <c r="AC259" s="40">
        <f>IF(AND($C259="Despesa",U259&gt;0,U259&lt;=Sel_Idx,V259&gt;=Sel_Idx),Z259*10000+ROW(),0)</f>
        <v>0</v>
      </c>
      <c r="AD259" s="40">
        <f>IF(AC259=0,0,COUNTIFS(L_CalChave,"&gt;0",L_CalChave,"&lt;"&amp;AC259)+1)</f>
        <v>0</v>
      </c>
    </row>
    <row r="260">
      <c r="A260" s="38" t="n">
        <v>46086</v>
      </c>
      <c r="B260" s="39" t="inlineStr">
        <is>
          <t>Corrida de aplicativo</t>
        </is>
      </c>
      <c r="C260" s="34" t="inlineStr">
        <is>
          <t>Despesa</t>
        </is>
      </c>
      <c r="D260" s="34" t="inlineStr">
        <is>
          <t>Transporte</t>
        </is>
      </c>
      <c r="E260" s="34" t="inlineStr">
        <is>
          <t>App de transporte</t>
        </is>
      </c>
      <c r="F260" s="34" t="inlineStr">
        <is>
          <t>Conta Corrente Banco Azul</t>
        </is>
      </c>
      <c r="G260" s="34" t="inlineStr">
        <is>
          <t>Pix</t>
        </is>
      </c>
      <c r="H260" s="37" t="n"/>
      <c r="I260" s="37" t="n"/>
      <c r="J260" s="34" t="inlineStr">
        <is>
          <t>Pago</t>
        </is>
      </c>
      <c r="K260" s="34" t="n"/>
      <c r="L260" s="34" t="n"/>
      <c r="M260" s="39" t="inlineStr">
        <is>
          <t>EXEMPLO</t>
        </is>
      </c>
      <c r="N260" s="35" t="n">
        <v>23.5</v>
      </c>
      <c r="O260" s="40">
        <f>IF($A260="","",MONTH($A260))</f>
        <v>3</v>
      </c>
      <c r="P260" s="40">
        <f>IF($A260="","",YEAR($A260))</f>
        <v>2026</v>
      </c>
      <c r="Q260" s="41">
        <f>IF($A260="","",DATE(P260,O260,1))</f>
        <v>46082.0</v>
      </c>
      <c r="R260" s="36">
        <f>IF(OR($A260="",$N260=""),"",IF(AND($C260&lt;&gt;"Transferência",N($I260)&gt;1),$N260/$I260,$N260))</f>
        <v>23.5</v>
      </c>
      <c r="S260" s="41" t="str">
        <f>IF(OR($A260="",$F260="",$C260&lt;&gt;"Despesa"),"",IF(COUNTIF(Cartoes_Nome,$F260)=0,"",DATE(P260,O260+IF(DAY($A260)&gt;=INDEX(Cartoes_Fech,MATCH($F260,Cartoes_Nome,0)),1,0),1)))</f>
        <v/>
      </c>
      <c r="T260" s="42" t="str">
        <f>IF($A260="","",IF(COUNTIFS(L_Data,$A260,L_Desc,$B260,L_Valor,$N260,L_Tipo,$C260)&gt;1,"⚠ Possível duplicidade",IF(OR(AND($C260="Despesa",COUNTIF(CatD_Nome,$D260)=0),AND($C260="Receita",COUNTIF(CatR_Nome,$D260)=0)),"⚠ Categoria não combina com o tipo",IF(OR($N260="",$C260=""),"⚠ Falta valor ou tipo",""))))</f>
        <v/>
      </c>
      <c r="U260" s="40">
        <f>IF($A260="",0,P260*12+O260)</f>
        <v>24315</v>
      </c>
      <c r="V260" s="40">
        <f>IF($A260="",0,U260+MAX(0,N($I260)-MAX(N($H260),1)))</f>
        <v>24315</v>
      </c>
      <c r="W260" s="40">
        <f>IF(S260="",0,YEAR(S260)*12+MONTH(S260))</f>
        <v>0</v>
      </c>
      <c r="X260" s="40">
        <f>IF(W260=0,0,W260+V260-U260)</f>
        <v>0</v>
      </c>
      <c r="Y260" s="36">
        <f>IF(W260=0,0,N(R260)*MAX(0,X260-MAX(W260,YEAR(Cfg_Hoje)*12+MONTH(Cfg_Hoje)+IF(DAY(Cfg_Hoje)&gt;=INDEX(Cartoes_Fech,MATCH($F260,Cartoes_Nome,0)),1,0))+1))</f>
        <v>0</v>
      </c>
      <c r="Z260" s="40">
        <f>IF($A260="",0,DAY($A260))</f>
        <v>5</v>
      </c>
      <c r="AA260" s="40">
        <f>IF($A260="",0,WEEKDAY($A260))</f>
        <v>5</v>
      </c>
      <c r="AB260" s="36">
        <f>IF(AND($C260="Despesa",U260&gt;0,U260&lt;=Sel_Idx,V260&gt;=Sel_Idx),N(R260)+ROW()/1000000000,0)</f>
        <v>0</v>
      </c>
      <c r="AC260" s="40">
        <f>IF(AND($C260="Despesa",U260&gt;0,U260&lt;=Sel_Idx,V260&gt;=Sel_Idx),Z260*10000+ROW(),0)</f>
        <v>0</v>
      </c>
      <c r="AD260" s="40">
        <f>IF(AC260=0,0,COUNTIFS(L_CalChave,"&gt;0",L_CalChave,"&lt;"&amp;AC260)+1)</f>
        <v>0</v>
      </c>
    </row>
    <row r="261">
      <c r="A261" s="38" t="n">
        <v>46086</v>
      </c>
      <c r="B261" s="39" t="inlineStr">
        <is>
          <t>Pagamento fatura Cartão Roxinho</t>
        </is>
      </c>
      <c r="C261" s="34" t="inlineStr">
        <is>
          <t>Transferência</t>
        </is>
      </c>
      <c r="D261" s="34" t="n"/>
      <c r="E261" s="34" t="n"/>
      <c r="F261" s="34" t="inlineStr">
        <is>
          <t>Conta Corrente Banco Azul</t>
        </is>
      </c>
      <c r="G261" s="34" t="inlineStr">
        <is>
          <t>Débito automático</t>
        </is>
      </c>
      <c r="H261" s="37" t="n"/>
      <c r="I261" s="37" t="n"/>
      <c r="J261" s="34" t="inlineStr">
        <is>
          <t>Pago</t>
        </is>
      </c>
      <c r="K261" s="34" t="n"/>
      <c r="L261" s="34" t="n"/>
      <c r="M261" s="39" t="inlineStr">
        <is>
          <t>EXEMPLO</t>
        </is>
      </c>
      <c r="N261" s="35" t="n">
        <v>-876.11</v>
      </c>
      <c r="O261" s="40">
        <f>IF($A261="","",MONTH($A261))</f>
        <v>3</v>
      </c>
      <c r="P261" s="40">
        <f>IF($A261="","",YEAR($A261))</f>
        <v>2026</v>
      </c>
      <c r="Q261" s="41">
        <f>IF($A261="","",DATE(P261,O261,1))</f>
        <v>46082.0</v>
      </c>
      <c r="R261" s="36">
        <f>IF(OR($A261="",$N261=""),"",IF(AND($C261&lt;&gt;"Transferência",N($I261)&gt;1),$N261/$I261,$N261))</f>
        <v>-876.11</v>
      </c>
      <c r="S261" s="41" t="str">
        <f>IF(OR($A261="",$F261="",$C261&lt;&gt;"Despesa"),"",IF(COUNTIF(Cartoes_Nome,$F261)=0,"",DATE(P261,O261+IF(DAY($A261)&gt;=INDEX(Cartoes_Fech,MATCH($F261,Cartoes_Nome,0)),1,0),1)))</f>
        <v/>
      </c>
      <c r="T261" s="42" t="str">
        <f>IF($A261="","",IF(COUNTIFS(L_Data,$A261,L_Desc,$B261,L_Valor,$N261,L_Tipo,$C261)&gt;1,"⚠ Possível duplicidade",IF(OR(AND($C261="Despesa",COUNTIF(CatD_Nome,$D261)=0),AND($C261="Receita",COUNTIF(CatR_Nome,$D261)=0)),"⚠ Categoria não combina com o tipo",IF(OR($N261="",$C261=""),"⚠ Falta valor ou tipo",""))))</f>
        <v/>
      </c>
      <c r="U261" s="40">
        <f>IF($A261="",0,P261*12+O261)</f>
        <v>24315</v>
      </c>
      <c r="V261" s="40">
        <f>IF($A261="",0,U261+MAX(0,N($I261)-MAX(N($H261),1)))</f>
        <v>24315</v>
      </c>
      <c r="W261" s="40">
        <f>IF(S261="",0,YEAR(S261)*12+MONTH(S261))</f>
        <v>0</v>
      </c>
      <c r="X261" s="40">
        <f>IF(W261=0,0,W261+V261-U261)</f>
        <v>0</v>
      </c>
      <c r="Y261" s="36">
        <f>IF(W261=0,0,N(R261)*MAX(0,X261-MAX(W261,YEAR(Cfg_Hoje)*12+MONTH(Cfg_Hoje)+IF(DAY(Cfg_Hoje)&gt;=INDEX(Cartoes_Fech,MATCH($F261,Cartoes_Nome,0)),1,0))+1))</f>
        <v>0</v>
      </c>
      <c r="Z261" s="40">
        <f>IF($A261="",0,DAY($A261))</f>
        <v>5</v>
      </c>
      <c r="AA261" s="40">
        <f>IF($A261="",0,WEEKDAY($A261))</f>
        <v>5</v>
      </c>
      <c r="AB261" s="36">
        <f>IF(AND($C261="Despesa",U261&gt;0,U261&lt;=Sel_Idx,V261&gt;=Sel_Idx),N(R261)+ROW()/1000000000,0)</f>
        <v>0</v>
      </c>
      <c r="AC261" s="40">
        <f>IF(AND($C261="Despesa",U261&gt;0,U261&lt;=Sel_Idx,V261&gt;=Sel_Idx),Z261*10000+ROW(),0)</f>
        <v>0</v>
      </c>
      <c r="AD261" s="40">
        <f>IF(AC261=0,0,COUNTIFS(L_CalChave,"&gt;0",L_CalChave,"&lt;"&amp;AC261)+1)</f>
        <v>0</v>
      </c>
    </row>
    <row r="262">
      <c r="A262" s="38" t="n">
        <v>46086</v>
      </c>
      <c r="B262" s="39" t="inlineStr">
        <is>
          <t>Plano de saúde</t>
        </is>
      </c>
      <c r="C262" s="34" t="inlineStr">
        <is>
          <t>Despesa</t>
        </is>
      </c>
      <c r="D262" s="34" t="inlineStr">
        <is>
          <t>Saúde</t>
        </is>
      </c>
      <c r="E262" s="34" t="inlineStr">
        <is>
          <t>Plano de saúde</t>
        </is>
      </c>
      <c r="F262" s="34" t="inlineStr">
        <is>
          <t>Conta Corrente Banco Azul</t>
        </is>
      </c>
      <c r="G262" s="34" t="inlineStr">
        <is>
          <t>Débito automático</t>
        </is>
      </c>
      <c r="H262" s="37" t="n"/>
      <c r="I262" s="37" t="n"/>
      <c r="J262" s="34" t="inlineStr">
        <is>
          <t>Pago</t>
        </is>
      </c>
      <c r="K262" s="34" t="n"/>
      <c r="L262" s="34" t="n"/>
      <c r="M262" s="39" t="inlineStr">
        <is>
          <t>EXEMPLO</t>
        </is>
      </c>
      <c r="N262" s="35" t="n">
        <v>780</v>
      </c>
      <c r="O262" s="40">
        <f>IF($A262="","",MONTH($A262))</f>
        <v>3</v>
      </c>
      <c r="P262" s="40">
        <f>IF($A262="","",YEAR($A262))</f>
        <v>2026</v>
      </c>
      <c r="Q262" s="41">
        <f>IF($A262="","",DATE(P262,O262,1))</f>
        <v>46082.0</v>
      </c>
      <c r="R262" s="36">
        <f>IF(OR($A262="",$N262=""),"",IF(AND($C262&lt;&gt;"Transferência",N($I262)&gt;1),$N262/$I262,$N262))</f>
        <v>780</v>
      </c>
      <c r="S262" s="41" t="str">
        <f>IF(OR($A262="",$F262="",$C262&lt;&gt;"Despesa"),"",IF(COUNTIF(Cartoes_Nome,$F262)=0,"",DATE(P262,O262+IF(DAY($A262)&gt;=INDEX(Cartoes_Fech,MATCH($F262,Cartoes_Nome,0)),1,0),1)))</f>
        <v/>
      </c>
      <c r="T262" s="42" t="str">
        <f>IF($A262="","",IF(COUNTIFS(L_Data,$A262,L_Desc,$B262,L_Valor,$N262,L_Tipo,$C262)&gt;1,"⚠ Possível duplicidade",IF(OR(AND($C262="Despesa",COUNTIF(CatD_Nome,$D262)=0),AND($C262="Receita",COUNTIF(CatR_Nome,$D262)=0)),"⚠ Categoria não combina com o tipo",IF(OR($N262="",$C262=""),"⚠ Falta valor ou tipo",""))))</f>
        <v/>
      </c>
      <c r="U262" s="40">
        <f>IF($A262="",0,P262*12+O262)</f>
        <v>24315</v>
      </c>
      <c r="V262" s="40">
        <f>IF($A262="",0,U262+MAX(0,N($I262)-MAX(N($H262),1)))</f>
        <v>24315</v>
      </c>
      <c r="W262" s="40">
        <f>IF(S262="",0,YEAR(S262)*12+MONTH(S262))</f>
        <v>0</v>
      </c>
      <c r="X262" s="40">
        <f>IF(W262=0,0,W262+V262-U262)</f>
        <v>0</v>
      </c>
      <c r="Y262" s="36">
        <f>IF(W262=0,0,N(R262)*MAX(0,X262-MAX(W262,YEAR(Cfg_Hoje)*12+MONTH(Cfg_Hoje)+IF(DAY(Cfg_Hoje)&gt;=INDEX(Cartoes_Fech,MATCH($F262,Cartoes_Nome,0)),1,0))+1))</f>
        <v>0</v>
      </c>
      <c r="Z262" s="40">
        <f>IF($A262="",0,DAY($A262))</f>
        <v>5</v>
      </c>
      <c r="AA262" s="40">
        <f>IF($A262="",0,WEEKDAY($A262))</f>
        <v>5</v>
      </c>
      <c r="AB262" s="36">
        <f>IF(AND($C262="Despesa",U262&gt;0,U262&lt;=Sel_Idx,V262&gt;=Sel_Idx),N(R262)+ROW()/1000000000,0)</f>
        <v>0</v>
      </c>
      <c r="AC262" s="40">
        <f>IF(AND($C262="Despesa",U262&gt;0,U262&lt;=Sel_Idx,V262&gt;=Sel_Idx),Z262*10000+ROW(),0)</f>
        <v>0</v>
      </c>
      <c r="AD262" s="40">
        <f>IF(AC262=0,0,COUNTIFS(L_CalChave,"&gt;0",L_CalChave,"&lt;"&amp;AC262)+1)</f>
        <v>0</v>
      </c>
    </row>
    <row r="263">
      <c r="A263" s="38" t="n">
        <v>46086</v>
      </c>
      <c r="B263" s="39" t="inlineStr">
        <is>
          <t>Salário</t>
        </is>
      </c>
      <c r="C263" s="34" t="inlineStr">
        <is>
          <t>Receita</t>
        </is>
      </c>
      <c r="D263" s="34" t="inlineStr">
        <is>
          <t>Salário</t>
        </is>
      </c>
      <c r="E263" s="34" t="n"/>
      <c r="F263" s="34" t="inlineStr">
        <is>
          <t>Conta Corrente Banco Azul</t>
        </is>
      </c>
      <c r="G263" s="34" t="inlineStr">
        <is>
          <t>Transferência</t>
        </is>
      </c>
      <c r="H263" s="37" t="n"/>
      <c r="I263" s="37" t="n"/>
      <c r="J263" s="34" t="inlineStr">
        <is>
          <t>Pago</t>
        </is>
      </c>
      <c r="K263" s="34" t="n"/>
      <c r="L263" s="34" t="n"/>
      <c r="M263" s="39" t="inlineStr">
        <is>
          <t>EXEMPLO</t>
        </is>
      </c>
      <c r="N263" s="35" t="n">
        <v>10800</v>
      </c>
      <c r="O263" s="40">
        <f>IF($A263="","",MONTH($A263))</f>
        <v>3</v>
      </c>
      <c r="P263" s="40">
        <f>IF($A263="","",YEAR($A263))</f>
        <v>2026</v>
      </c>
      <c r="Q263" s="41">
        <f>IF($A263="","",DATE(P263,O263,1))</f>
        <v>46082.0</v>
      </c>
      <c r="R263" s="36">
        <f>IF(OR($A263="",$N263=""),"",IF(AND($C263&lt;&gt;"Transferência",N($I263)&gt;1),$N263/$I263,$N263))</f>
        <v>10800</v>
      </c>
      <c r="S263" s="41" t="str">
        <f>IF(OR($A263="",$F263="",$C263&lt;&gt;"Despesa"),"",IF(COUNTIF(Cartoes_Nome,$F263)=0,"",DATE(P263,O263+IF(DAY($A263)&gt;=INDEX(Cartoes_Fech,MATCH($F263,Cartoes_Nome,0)),1,0),1)))</f>
        <v/>
      </c>
      <c r="T263" s="42" t="str">
        <f>IF($A263="","",IF(COUNTIFS(L_Data,$A263,L_Desc,$B263,L_Valor,$N263,L_Tipo,$C263)&gt;1,"⚠ Possível duplicidade",IF(OR(AND($C263="Despesa",COUNTIF(CatD_Nome,$D263)=0),AND($C263="Receita",COUNTIF(CatR_Nome,$D263)=0)),"⚠ Categoria não combina com o tipo",IF(OR($N263="",$C263=""),"⚠ Falta valor ou tipo",""))))</f>
        <v/>
      </c>
      <c r="U263" s="40">
        <f>IF($A263="",0,P263*12+O263)</f>
        <v>24315</v>
      </c>
      <c r="V263" s="40">
        <f>IF($A263="",0,U263+MAX(0,N($I263)-MAX(N($H263),1)))</f>
        <v>24315</v>
      </c>
      <c r="W263" s="40">
        <f>IF(S263="",0,YEAR(S263)*12+MONTH(S263))</f>
        <v>0</v>
      </c>
      <c r="X263" s="40">
        <f>IF(W263=0,0,W263+V263-U263)</f>
        <v>0</v>
      </c>
      <c r="Y263" s="36">
        <f>IF(W263=0,0,N(R263)*MAX(0,X263-MAX(W263,YEAR(Cfg_Hoje)*12+MONTH(Cfg_Hoje)+IF(DAY(Cfg_Hoje)&gt;=INDEX(Cartoes_Fech,MATCH($F263,Cartoes_Nome,0)),1,0))+1))</f>
        <v>0</v>
      </c>
      <c r="Z263" s="40">
        <f>IF($A263="",0,DAY($A263))</f>
        <v>5</v>
      </c>
      <c r="AA263" s="40">
        <f>IF($A263="",0,WEEKDAY($A263))</f>
        <v>5</v>
      </c>
      <c r="AB263" s="36">
        <f>IF(AND($C263="Despesa",U263&gt;0,U263&lt;=Sel_Idx,V263&gt;=Sel_Idx),N(R263)+ROW()/1000000000,0)</f>
        <v>0</v>
      </c>
      <c r="AC263" s="40">
        <f>IF(AND($C263="Despesa",U263&gt;0,U263&lt;=Sel_Idx,V263&gt;=Sel_Idx),Z263*10000+ROW(),0)</f>
        <v>0</v>
      </c>
      <c r="AD263" s="40">
        <f>IF(AC263=0,0,COUNTIFS(L_CalChave,"&gt;0",L_CalChave,"&lt;"&amp;AC263)+1)</f>
        <v>0</v>
      </c>
    </row>
    <row r="264">
      <c r="A264" s="38" t="n">
        <v>46086</v>
      </c>
      <c r="B264" s="39" t="inlineStr">
        <is>
          <t>Supermercado</t>
        </is>
      </c>
      <c r="C264" s="34" t="inlineStr">
        <is>
          <t>Despesa</t>
        </is>
      </c>
      <c r="D264" s="34" t="inlineStr">
        <is>
          <t>Alimentação</t>
        </is>
      </c>
      <c r="E264" s="34" t="inlineStr">
        <is>
          <t>Mercado</t>
        </is>
      </c>
      <c r="F264" s="34" t="inlineStr">
        <is>
          <t>Cartão Azul Gold</t>
        </is>
      </c>
      <c r="G264" s="34" t="inlineStr">
        <is>
          <t>Crédito</t>
        </is>
      </c>
      <c r="H264" s="37" t="n"/>
      <c r="I264" s="37" t="n"/>
      <c r="J264" s="34" t="inlineStr">
        <is>
          <t>Pago</t>
        </is>
      </c>
      <c r="K264" s="34" t="n"/>
      <c r="L264" s="34" t="n"/>
      <c r="M264" s="39" t="inlineStr">
        <is>
          <t>EXEMPLO</t>
        </is>
      </c>
      <c r="N264" s="35" t="n">
        <v>375.9</v>
      </c>
      <c r="O264" s="40">
        <f>IF($A264="","",MONTH($A264))</f>
        <v>3</v>
      </c>
      <c r="P264" s="40">
        <f>IF($A264="","",YEAR($A264))</f>
        <v>2026</v>
      </c>
      <c r="Q264" s="41">
        <f>IF($A264="","",DATE(P264,O264,1))</f>
        <v>46082.0</v>
      </c>
      <c r="R264" s="36">
        <f>IF(OR($A264="",$N264=""),"",IF(AND($C264&lt;&gt;"Transferência",N($I264)&gt;1),$N264/$I264,$N264))</f>
        <v>375.9</v>
      </c>
      <c r="S264" s="41">
        <f>IF(OR($A264="",$F264="",$C264&lt;&gt;"Despesa"),"",IF(COUNTIF(Cartoes_Nome,$F264)=0,"",DATE(P264,O264+IF(DAY($A264)&gt;=INDEX(Cartoes_Fech,MATCH($F264,Cartoes_Nome,0)),1,0),1)))</f>
        <v>46082.0</v>
      </c>
      <c r="T264" s="42" t="str">
        <f>IF($A264="","",IF(COUNTIFS(L_Data,$A264,L_Desc,$B264,L_Valor,$N264,L_Tipo,$C264)&gt;1,"⚠ Possível duplicidade",IF(OR(AND($C264="Despesa",COUNTIF(CatD_Nome,$D264)=0),AND($C264="Receita",COUNTIF(CatR_Nome,$D264)=0)),"⚠ Categoria não combina com o tipo",IF(OR($N264="",$C264=""),"⚠ Falta valor ou tipo",""))))</f>
        <v/>
      </c>
      <c r="U264" s="40">
        <f>IF($A264="",0,P264*12+O264)</f>
        <v>24315</v>
      </c>
      <c r="V264" s="40">
        <f>IF($A264="",0,U264+MAX(0,N($I264)-MAX(N($H264),1)))</f>
        <v>24315</v>
      </c>
      <c r="W264" s="40">
        <f>IF(S264="",0,YEAR(S264)*12+MONTH(S264))</f>
        <v>24315</v>
      </c>
      <c r="X264" s="40">
        <f>IF(W264=0,0,W264+V264-U264)</f>
        <v>24315</v>
      </c>
      <c r="Y264" s="36">
        <f>IF(W264=0,0,N(R264)*MAX(0,X264-MAX(W264,YEAR(Cfg_Hoje)*12+MONTH(Cfg_Hoje)+IF(DAY(Cfg_Hoje)&gt;=INDEX(Cartoes_Fech,MATCH($F264,Cartoes_Nome,0)),1,0))+1))</f>
        <v>0</v>
      </c>
      <c r="Z264" s="40">
        <f>IF($A264="",0,DAY($A264))</f>
        <v>5</v>
      </c>
      <c r="AA264" s="40">
        <f>IF($A264="",0,WEEKDAY($A264))</f>
        <v>5</v>
      </c>
      <c r="AB264" s="36">
        <f>IF(AND($C264="Despesa",U264&gt;0,U264&lt;=Sel_Idx,V264&gt;=Sel_Idx),N(R264)+ROW()/1000000000,0)</f>
        <v>0</v>
      </c>
      <c r="AC264" s="40">
        <f>IF(AND($C264="Despesa",U264&gt;0,U264&lt;=Sel_Idx,V264&gt;=Sel_Idx),Z264*10000+ROW(),0)</f>
        <v>0</v>
      </c>
      <c r="AD264" s="40">
        <f>IF(AC264=0,0,COUNTIFS(L_CalChave,"&gt;0",L_CalChave,"&lt;"&amp;AC264)+1)</f>
        <v>0</v>
      </c>
    </row>
    <row r="265">
      <c r="A265" s="38" t="n">
        <v>46087</v>
      </c>
      <c r="B265" s="39" t="inlineStr">
        <is>
          <t>Aporte - MBA</t>
        </is>
      </c>
      <c r="C265" s="34" t="inlineStr">
        <is>
          <t>Investimento</t>
        </is>
      </c>
      <c r="D265" s="34" t="inlineStr">
        <is>
          <t>Investimento</t>
        </is>
      </c>
      <c r="E265" s="34" t="n"/>
      <c r="F265" s="34" t="inlineStr">
        <is>
          <t>Conta Corrente Banco Azul</t>
        </is>
      </c>
      <c r="G265" s="34" t="inlineStr">
        <is>
          <t>Transferência</t>
        </is>
      </c>
      <c r="H265" s="37" t="n"/>
      <c r="I265" s="37" t="n"/>
      <c r="J265" s="34" t="inlineStr">
        <is>
          <t>Pago</t>
        </is>
      </c>
      <c r="K265" s="34" t="n"/>
      <c r="L265" s="34" t="inlineStr">
        <is>
          <t>MBA</t>
        </is>
      </c>
      <c r="M265" s="39" t="inlineStr">
        <is>
          <t>EXEMPLO</t>
        </is>
      </c>
      <c r="N265" s="35" t="n">
        <v>150</v>
      </c>
      <c r="O265" s="40">
        <f>IF($A265="","",MONTH($A265))</f>
        <v>3</v>
      </c>
      <c r="P265" s="40">
        <f>IF($A265="","",YEAR($A265))</f>
        <v>2026</v>
      </c>
      <c r="Q265" s="41">
        <f>IF($A265="","",DATE(P265,O265,1))</f>
        <v>46082.0</v>
      </c>
      <c r="R265" s="36">
        <f>IF(OR($A265="",$N265=""),"",IF(AND($C265&lt;&gt;"Transferência",N($I265)&gt;1),$N265/$I265,$N265))</f>
        <v>150</v>
      </c>
      <c r="S265" s="41" t="str">
        <f>IF(OR($A265="",$F265="",$C265&lt;&gt;"Despesa"),"",IF(COUNTIF(Cartoes_Nome,$F265)=0,"",DATE(P265,O265+IF(DAY($A265)&gt;=INDEX(Cartoes_Fech,MATCH($F265,Cartoes_Nome,0)),1,0),1)))</f>
        <v/>
      </c>
      <c r="T265" s="42" t="str">
        <f>IF($A265="","",IF(COUNTIFS(L_Data,$A265,L_Desc,$B265,L_Valor,$N265,L_Tipo,$C265)&gt;1,"⚠ Possível duplicidade",IF(OR(AND($C265="Despesa",COUNTIF(CatD_Nome,$D265)=0),AND($C265="Receita",COUNTIF(CatR_Nome,$D265)=0)),"⚠ Categoria não combina com o tipo",IF(OR($N265="",$C265=""),"⚠ Falta valor ou tipo",""))))</f>
        <v/>
      </c>
      <c r="U265" s="40">
        <f>IF($A265="",0,P265*12+O265)</f>
        <v>24315</v>
      </c>
      <c r="V265" s="40">
        <f>IF($A265="",0,U265+MAX(0,N($I265)-MAX(N($H265),1)))</f>
        <v>24315</v>
      </c>
      <c r="W265" s="40">
        <f>IF(S265="",0,YEAR(S265)*12+MONTH(S265))</f>
        <v>0</v>
      </c>
      <c r="X265" s="40">
        <f>IF(W265=0,0,W265+V265-U265)</f>
        <v>0</v>
      </c>
      <c r="Y265" s="36">
        <f>IF(W265=0,0,N(R265)*MAX(0,X265-MAX(W265,YEAR(Cfg_Hoje)*12+MONTH(Cfg_Hoje)+IF(DAY(Cfg_Hoje)&gt;=INDEX(Cartoes_Fech,MATCH($F265,Cartoes_Nome,0)),1,0))+1))</f>
        <v>0</v>
      </c>
      <c r="Z265" s="40">
        <f>IF($A265="",0,DAY($A265))</f>
        <v>6</v>
      </c>
      <c r="AA265" s="40">
        <f>IF($A265="",0,WEEKDAY($A265))</f>
        <v>6</v>
      </c>
      <c r="AB265" s="36">
        <f>IF(AND($C265="Despesa",U265&gt;0,U265&lt;=Sel_Idx,V265&gt;=Sel_Idx),N(R265)+ROW()/1000000000,0)</f>
        <v>0</v>
      </c>
      <c r="AC265" s="40">
        <f>IF(AND($C265="Despesa",U265&gt;0,U265&lt;=Sel_Idx,V265&gt;=Sel_Idx),Z265*10000+ROW(),0)</f>
        <v>0</v>
      </c>
      <c r="AD265" s="40">
        <f>IF(AC265=0,0,COUNTIFS(L_CalChave,"&gt;0",L_CalChave,"&lt;"&amp;AC265)+1)</f>
        <v>0</v>
      </c>
    </row>
    <row r="266">
      <c r="A266" s="38" t="n">
        <v>46087</v>
      </c>
      <c r="B266" s="39" t="inlineStr">
        <is>
          <t>Aporte - aposentadoria (PGBL)</t>
        </is>
      </c>
      <c r="C266" s="34" t="inlineStr">
        <is>
          <t>Investimento</t>
        </is>
      </c>
      <c r="D266" s="34" t="inlineStr">
        <is>
          <t>Investimento</t>
        </is>
      </c>
      <c r="E266" s="34" t="n"/>
      <c r="F266" s="34" t="inlineStr">
        <is>
          <t>Conta Corrente Banco Azul</t>
        </is>
      </c>
      <c r="G266" s="34" t="inlineStr">
        <is>
          <t>Transferência</t>
        </is>
      </c>
      <c r="H266" s="37" t="n"/>
      <c r="I266" s="37" t="n"/>
      <c r="J266" s="34" t="inlineStr">
        <is>
          <t>Pago</t>
        </is>
      </c>
      <c r="K266" s="34" t="n"/>
      <c r="L266" s="34" t="inlineStr">
        <is>
          <t>Aposentadoria</t>
        </is>
      </c>
      <c r="M266" s="39" t="inlineStr">
        <is>
          <t>EXEMPLO</t>
        </is>
      </c>
      <c r="N266" s="35" t="n">
        <v>300</v>
      </c>
      <c r="O266" s="40">
        <f>IF($A266="","",MONTH($A266))</f>
        <v>3</v>
      </c>
      <c r="P266" s="40">
        <f>IF($A266="","",YEAR($A266))</f>
        <v>2026</v>
      </c>
      <c r="Q266" s="41">
        <f>IF($A266="","",DATE(P266,O266,1))</f>
        <v>46082.0</v>
      </c>
      <c r="R266" s="36">
        <f>IF(OR($A266="",$N266=""),"",IF(AND($C266&lt;&gt;"Transferência",N($I266)&gt;1),$N266/$I266,$N266))</f>
        <v>300</v>
      </c>
      <c r="S266" s="41" t="str">
        <f>IF(OR($A266="",$F266="",$C266&lt;&gt;"Despesa"),"",IF(COUNTIF(Cartoes_Nome,$F266)=0,"",DATE(P266,O266+IF(DAY($A266)&gt;=INDEX(Cartoes_Fech,MATCH($F266,Cartoes_Nome,0)),1,0),1)))</f>
        <v/>
      </c>
      <c r="T266" s="42" t="str">
        <f>IF($A266="","",IF(COUNTIFS(L_Data,$A266,L_Desc,$B266,L_Valor,$N266,L_Tipo,$C266)&gt;1,"⚠ Possível duplicidade",IF(OR(AND($C266="Despesa",COUNTIF(CatD_Nome,$D266)=0),AND($C266="Receita",COUNTIF(CatR_Nome,$D266)=0)),"⚠ Categoria não combina com o tipo",IF(OR($N266="",$C266=""),"⚠ Falta valor ou tipo",""))))</f>
        <v/>
      </c>
      <c r="U266" s="40">
        <f>IF($A266="",0,P266*12+O266)</f>
        <v>24315</v>
      </c>
      <c r="V266" s="40">
        <f>IF($A266="",0,U266+MAX(0,N($I266)-MAX(N($H266),1)))</f>
        <v>24315</v>
      </c>
      <c r="W266" s="40">
        <f>IF(S266="",0,YEAR(S266)*12+MONTH(S266))</f>
        <v>0</v>
      </c>
      <c r="X266" s="40">
        <f>IF(W266=0,0,W266+V266-U266)</f>
        <v>0</v>
      </c>
      <c r="Y266" s="36">
        <f>IF(W266=0,0,N(R266)*MAX(0,X266-MAX(W266,YEAR(Cfg_Hoje)*12+MONTH(Cfg_Hoje)+IF(DAY(Cfg_Hoje)&gt;=INDEX(Cartoes_Fech,MATCH($F266,Cartoes_Nome,0)),1,0))+1))</f>
        <v>0</v>
      </c>
      <c r="Z266" s="40">
        <f>IF($A266="",0,DAY($A266))</f>
        <v>6</v>
      </c>
      <c r="AA266" s="40">
        <f>IF($A266="",0,WEEKDAY($A266))</f>
        <v>6</v>
      </c>
      <c r="AB266" s="36">
        <f>IF(AND($C266="Despesa",U266&gt;0,U266&lt;=Sel_Idx,V266&gt;=Sel_Idx),N(R266)+ROW()/1000000000,0)</f>
        <v>0</v>
      </c>
      <c r="AC266" s="40">
        <f>IF(AND($C266="Despesa",U266&gt;0,U266&lt;=Sel_Idx,V266&gt;=Sel_Idx),Z266*10000+ROW(),0)</f>
        <v>0</v>
      </c>
      <c r="AD266" s="40">
        <f>IF(AC266=0,0,COUNTIFS(L_CalChave,"&gt;0",L_CalChave,"&lt;"&amp;AC266)+1)</f>
        <v>0</v>
      </c>
    </row>
    <row r="267">
      <c r="A267" s="38" t="n">
        <v>46087</v>
      </c>
      <c r="B267" s="39" t="inlineStr">
        <is>
          <t>Aporte - reserva de emergência</t>
        </is>
      </c>
      <c r="C267" s="34" t="inlineStr">
        <is>
          <t>Investimento</t>
        </is>
      </c>
      <c r="D267" s="34" t="inlineStr">
        <is>
          <t>Investimento</t>
        </is>
      </c>
      <c r="E267" s="34" t="n"/>
      <c r="F267" s="34" t="inlineStr">
        <is>
          <t>Conta Corrente Banco Azul</t>
        </is>
      </c>
      <c r="G267" s="34" t="inlineStr">
        <is>
          <t>Transferência</t>
        </is>
      </c>
      <c r="H267" s="37" t="n"/>
      <c r="I267" s="37" t="n"/>
      <c r="J267" s="34" t="inlineStr">
        <is>
          <t>Pago</t>
        </is>
      </c>
      <c r="K267" s="34" t="n"/>
      <c r="L267" s="34" t="inlineStr">
        <is>
          <t>Reserva de emergência</t>
        </is>
      </c>
      <c r="M267" s="39" t="inlineStr">
        <is>
          <t>EXEMPLO</t>
        </is>
      </c>
      <c r="N267" s="35" t="n">
        <v>700</v>
      </c>
      <c r="O267" s="40">
        <f>IF($A267="","",MONTH($A267))</f>
        <v>3</v>
      </c>
      <c r="P267" s="40">
        <f>IF($A267="","",YEAR($A267))</f>
        <v>2026</v>
      </c>
      <c r="Q267" s="41">
        <f>IF($A267="","",DATE(P267,O267,1))</f>
        <v>46082.0</v>
      </c>
      <c r="R267" s="36">
        <f>IF(OR($A267="",$N267=""),"",IF(AND($C267&lt;&gt;"Transferência",N($I267)&gt;1),$N267/$I267,$N267))</f>
        <v>700</v>
      </c>
      <c r="S267" s="41" t="str">
        <f>IF(OR($A267="",$F267="",$C267&lt;&gt;"Despesa"),"",IF(COUNTIF(Cartoes_Nome,$F267)=0,"",DATE(P267,O267+IF(DAY($A267)&gt;=INDEX(Cartoes_Fech,MATCH($F267,Cartoes_Nome,0)),1,0),1)))</f>
        <v/>
      </c>
      <c r="T267" s="42" t="str">
        <f>IF($A267="","",IF(COUNTIFS(L_Data,$A267,L_Desc,$B267,L_Valor,$N267,L_Tipo,$C267)&gt;1,"⚠ Possível duplicidade",IF(OR(AND($C267="Despesa",COUNTIF(CatD_Nome,$D267)=0),AND($C267="Receita",COUNTIF(CatR_Nome,$D267)=0)),"⚠ Categoria não combina com o tipo",IF(OR($N267="",$C267=""),"⚠ Falta valor ou tipo",""))))</f>
        <v/>
      </c>
      <c r="U267" s="40">
        <f>IF($A267="",0,P267*12+O267)</f>
        <v>24315</v>
      </c>
      <c r="V267" s="40">
        <f>IF($A267="",0,U267+MAX(0,N($I267)-MAX(N($H267),1)))</f>
        <v>24315</v>
      </c>
      <c r="W267" s="40">
        <f>IF(S267="",0,YEAR(S267)*12+MONTH(S267))</f>
        <v>0</v>
      </c>
      <c r="X267" s="40">
        <f>IF(W267=0,0,W267+V267-U267)</f>
        <v>0</v>
      </c>
      <c r="Y267" s="36">
        <f>IF(W267=0,0,N(R267)*MAX(0,X267-MAX(W267,YEAR(Cfg_Hoje)*12+MONTH(Cfg_Hoje)+IF(DAY(Cfg_Hoje)&gt;=INDEX(Cartoes_Fech,MATCH($F267,Cartoes_Nome,0)),1,0))+1))</f>
        <v>0</v>
      </c>
      <c r="Z267" s="40">
        <f>IF($A267="",0,DAY($A267))</f>
        <v>6</v>
      </c>
      <c r="AA267" s="40">
        <f>IF($A267="",0,WEEKDAY($A267))</f>
        <v>6</v>
      </c>
      <c r="AB267" s="36">
        <f>IF(AND($C267="Despesa",U267&gt;0,U267&lt;=Sel_Idx,V267&gt;=Sel_Idx),N(R267)+ROW()/1000000000,0)</f>
        <v>0</v>
      </c>
      <c r="AC267" s="40">
        <f>IF(AND($C267="Despesa",U267&gt;0,U267&lt;=Sel_Idx,V267&gt;=Sel_Idx),Z267*10000+ROW(),0)</f>
        <v>0</v>
      </c>
      <c r="AD267" s="40">
        <f>IF(AC267=0,0,COUNTIFS(L_CalChave,"&gt;0",L_CalChave,"&lt;"&amp;AC267)+1)</f>
        <v>0</v>
      </c>
    </row>
    <row r="268">
      <c r="A268" s="38" t="n">
        <v>46087</v>
      </c>
      <c r="B268" s="39" t="inlineStr">
        <is>
          <t>Aporte - troca de carro</t>
        </is>
      </c>
      <c r="C268" s="34" t="inlineStr">
        <is>
          <t>Investimento</t>
        </is>
      </c>
      <c r="D268" s="34" t="inlineStr">
        <is>
          <t>Investimento</t>
        </is>
      </c>
      <c r="E268" s="34" t="n"/>
      <c r="F268" s="34" t="inlineStr">
        <is>
          <t>Conta Corrente Banco Azul</t>
        </is>
      </c>
      <c r="G268" s="34" t="inlineStr">
        <is>
          <t>Transferência</t>
        </is>
      </c>
      <c r="H268" s="37" t="n"/>
      <c r="I268" s="37" t="n"/>
      <c r="J268" s="34" t="inlineStr">
        <is>
          <t>Pago</t>
        </is>
      </c>
      <c r="K268" s="34" t="n"/>
      <c r="L268" s="34" t="inlineStr">
        <is>
          <t>Troca de carro</t>
        </is>
      </c>
      <c r="M268" s="39" t="inlineStr">
        <is>
          <t>EXEMPLO</t>
        </is>
      </c>
      <c r="N268" s="35" t="n">
        <v>200</v>
      </c>
      <c r="O268" s="40">
        <f>IF($A268="","",MONTH($A268))</f>
        <v>3</v>
      </c>
      <c r="P268" s="40">
        <f>IF($A268="","",YEAR($A268))</f>
        <v>2026</v>
      </c>
      <c r="Q268" s="41">
        <f>IF($A268="","",DATE(P268,O268,1))</f>
        <v>46082.0</v>
      </c>
      <c r="R268" s="36">
        <f>IF(OR($A268="",$N268=""),"",IF(AND($C268&lt;&gt;"Transferência",N($I268)&gt;1),$N268/$I268,$N268))</f>
        <v>200</v>
      </c>
      <c r="S268" s="41" t="str">
        <f>IF(OR($A268="",$F268="",$C268&lt;&gt;"Despesa"),"",IF(COUNTIF(Cartoes_Nome,$F268)=0,"",DATE(P268,O268+IF(DAY($A268)&gt;=INDEX(Cartoes_Fech,MATCH($F268,Cartoes_Nome,0)),1,0),1)))</f>
        <v/>
      </c>
      <c r="T268" s="42" t="str">
        <f>IF($A268="","",IF(COUNTIFS(L_Data,$A268,L_Desc,$B268,L_Valor,$N268,L_Tipo,$C268)&gt;1,"⚠ Possível duplicidade",IF(OR(AND($C268="Despesa",COUNTIF(CatD_Nome,$D268)=0),AND($C268="Receita",COUNTIF(CatR_Nome,$D268)=0)),"⚠ Categoria não combina com o tipo",IF(OR($N268="",$C268=""),"⚠ Falta valor ou tipo",""))))</f>
        <v/>
      </c>
      <c r="U268" s="40">
        <f>IF($A268="",0,P268*12+O268)</f>
        <v>24315</v>
      </c>
      <c r="V268" s="40">
        <f>IF($A268="",0,U268+MAX(0,N($I268)-MAX(N($H268),1)))</f>
        <v>24315</v>
      </c>
      <c r="W268" s="40">
        <f>IF(S268="",0,YEAR(S268)*12+MONTH(S268))</f>
        <v>0</v>
      </c>
      <c r="X268" s="40">
        <f>IF(W268=0,0,W268+V268-U268)</f>
        <v>0</v>
      </c>
      <c r="Y268" s="36">
        <f>IF(W268=0,0,N(R268)*MAX(0,X268-MAX(W268,YEAR(Cfg_Hoje)*12+MONTH(Cfg_Hoje)+IF(DAY(Cfg_Hoje)&gt;=INDEX(Cartoes_Fech,MATCH($F268,Cartoes_Nome,0)),1,0))+1))</f>
        <v>0</v>
      </c>
      <c r="Z268" s="40">
        <f>IF($A268="",0,DAY($A268))</f>
        <v>6</v>
      </c>
      <c r="AA268" s="40">
        <f>IF($A268="",0,WEEKDAY($A268))</f>
        <v>6</v>
      </c>
      <c r="AB268" s="36">
        <f>IF(AND($C268="Despesa",U268&gt;0,U268&lt;=Sel_Idx,V268&gt;=Sel_Idx),N(R268)+ROW()/1000000000,0)</f>
        <v>0</v>
      </c>
      <c r="AC268" s="40">
        <f>IF(AND($C268="Despesa",U268&gt;0,U268&lt;=Sel_Idx,V268&gt;=Sel_Idx),Z268*10000+ROW(),0)</f>
        <v>0</v>
      </c>
      <c r="AD268" s="40">
        <f>IF(AC268=0,0,COUNTIFS(L_CalChave,"&gt;0",L_CalChave,"&lt;"&amp;AC268)+1)</f>
        <v>0</v>
      </c>
    </row>
    <row r="269">
      <c r="A269" s="38" t="n">
        <v>46087</v>
      </c>
      <c r="B269" s="39" t="inlineStr">
        <is>
          <t>Aporte - viagem</t>
        </is>
      </c>
      <c r="C269" s="34" t="inlineStr">
        <is>
          <t>Investimento</t>
        </is>
      </c>
      <c r="D269" s="34" t="inlineStr">
        <is>
          <t>Investimento</t>
        </is>
      </c>
      <c r="E269" s="34" t="n"/>
      <c r="F269" s="34" t="inlineStr">
        <is>
          <t>Conta Corrente Banco Azul</t>
        </is>
      </c>
      <c r="G269" s="34" t="inlineStr">
        <is>
          <t>Transferência</t>
        </is>
      </c>
      <c r="H269" s="37" t="n"/>
      <c r="I269" s="37" t="n"/>
      <c r="J269" s="34" t="inlineStr">
        <is>
          <t>Pago</t>
        </is>
      </c>
      <c r="K269" s="34" t="n"/>
      <c r="L269" s="34" t="inlineStr">
        <is>
          <t>Viagem Europa</t>
        </is>
      </c>
      <c r="M269" s="39" t="inlineStr">
        <is>
          <t>EXEMPLO</t>
        </is>
      </c>
      <c r="N269" s="35" t="n">
        <v>300</v>
      </c>
      <c r="O269" s="40">
        <f>IF($A269="","",MONTH($A269))</f>
        <v>3</v>
      </c>
      <c r="P269" s="40">
        <f>IF($A269="","",YEAR($A269))</f>
        <v>2026</v>
      </c>
      <c r="Q269" s="41">
        <f>IF($A269="","",DATE(P269,O269,1))</f>
        <v>46082.0</v>
      </c>
      <c r="R269" s="36">
        <f>IF(OR($A269="",$N269=""),"",IF(AND($C269&lt;&gt;"Transferência",N($I269)&gt;1),$N269/$I269,$N269))</f>
        <v>300</v>
      </c>
      <c r="S269" s="41" t="str">
        <f>IF(OR($A269="",$F269="",$C269&lt;&gt;"Despesa"),"",IF(COUNTIF(Cartoes_Nome,$F269)=0,"",DATE(P269,O269+IF(DAY($A269)&gt;=INDEX(Cartoes_Fech,MATCH($F269,Cartoes_Nome,0)),1,0),1)))</f>
        <v/>
      </c>
      <c r="T269" s="42" t="str">
        <f>IF($A269="","",IF(COUNTIFS(L_Data,$A269,L_Desc,$B269,L_Valor,$N269,L_Tipo,$C269)&gt;1,"⚠ Possível duplicidade",IF(OR(AND($C269="Despesa",COUNTIF(CatD_Nome,$D269)=0),AND($C269="Receita",COUNTIF(CatR_Nome,$D269)=0)),"⚠ Categoria não combina com o tipo",IF(OR($N269="",$C269=""),"⚠ Falta valor ou tipo",""))))</f>
        <v/>
      </c>
      <c r="U269" s="40">
        <f>IF($A269="",0,P269*12+O269)</f>
        <v>24315</v>
      </c>
      <c r="V269" s="40">
        <f>IF($A269="",0,U269+MAX(0,N($I269)-MAX(N($H269),1)))</f>
        <v>24315</v>
      </c>
      <c r="W269" s="40">
        <f>IF(S269="",0,YEAR(S269)*12+MONTH(S269))</f>
        <v>0</v>
      </c>
      <c r="X269" s="40">
        <f>IF(W269=0,0,W269+V269-U269)</f>
        <v>0</v>
      </c>
      <c r="Y269" s="36">
        <f>IF(W269=0,0,N(R269)*MAX(0,X269-MAX(W269,YEAR(Cfg_Hoje)*12+MONTH(Cfg_Hoje)+IF(DAY(Cfg_Hoje)&gt;=INDEX(Cartoes_Fech,MATCH($F269,Cartoes_Nome,0)),1,0))+1))</f>
        <v>0</v>
      </c>
      <c r="Z269" s="40">
        <f>IF($A269="",0,DAY($A269))</f>
        <v>6</v>
      </c>
      <c r="AA269" s="40">
        <f>IF($A269="",0,WEEKDAY($A269))</f>
        <v>6</v>
      </c>
      <c r="AB269" s="36">
        <f>IF(AND($C269="Despesa",U269&gt;0,U269&lt;=Sel_Idx,V269&gt;=Sel_Idx),N(R269)+ROW()/1000000000,0)</f>
        <v>0</v>
      </c>
      <c r="AC269" s="40">
        <f>IF(AND($C269="Despesa",U269&gt;0,U269&lt;=Sel_Idx,V269&gt;=Sel_Idx),Z269*10000+ROW(),0)</f>
        <v>0</v>
      </c>
      <c r="AD269" s="40">
        <f>IF(AC269=0,0,COUNTIFS(L_CalChave,"&gt;0",L_CalChave,"&lt;"&amp;AC269)+1)</f>
        <v>0</v>
      </c>
    </row>
    <row r="270">
      <c r="A270" s="38" t="n">
        <v>46087</v>
      </c>
      <c r="B270" s="39" t="inlineStr">
        <is>
          <t>Padaria e café</t>
        </is>
      </c>
      <c r="C270" s="34" t="inlineStr">
        <is>
          <t>Despesa</t>
        </is>
      </c>
      <c r="D270" s="34" t="inlineStr">
        <is>
          <t>Alimentação</t>
        </is>
      </c>
      <c r="E270" s="34" t="inlineStr">
        <is>
          <t>Restaurantes</t>
        </is>
      </c>
      <c r="F270" s="34" t="inlineStr">
        <is>
          <t>Cartão Roxinho</t>
        </is>
      </c>
      <c r="G270" s="34" t="inlineStr">
        <is>
          <t>Crédito</t>
        </is>
      </c>
      <c r="H270" s="37" t="n"/>
      <c r="I270" s="37" t="n"/>
      <c r="J270" s="34" t="inlineStr">
        <is>
          <t>Pago</t>
        </is>
      </c>
      <c r="K270" s="34" t="n"/>
      <c r="L270" s="34" t="n"/>
      <c r="M270" s="39" t="inlineStr">
        <is>
          <t>EXEMPLO</t>
        </is>
      </c>
      <c r="N270" s="35" t="n">
        <v>42.61</v>
      </c>
      <c r="O270" s="40">
        <f>IF($A270="","",MONTH($A270))</f>
        <v>3</v>
      </c>
      <c r="P270" s="40">
        <f>IF($A270="","",YEAR($A270))</f>
        <v>2026</v>
      </c>
      <c r="Q270" s="41">
        <f>IF($A270="","",DATE(P270,O270,1))</f>
        <v>46082.0</v>
      </c>
      <c r="R270" s="36">
        <f>IF(OR($A270="",$N270=""),"",IF(AND($C270&lt;&gt;"Transferência",N($I270)&gt;1),$N270/$I270,$N270))</f>
        <v>42.61</v>
      </c>
      <c r="S270" s="41">
        <f>IF(OR($A270="",$F270="",$C270&lt;&gt;"Despesa"),"",IF(COUNTIF(Cartoes_Nome,$F270)=0,"",DATE(P270,O270+IF(DAY($A270)&gt;=INDEX(Cartoes_Fech,MATCH($F270,Cartoes_Nome,0)),1,0),1)))</f>
        <v>46082.0</v>
      </c>
      <c r="T270" s="42" t="str">
        <f>IF($A270="","",IF(COUNTIFS(L_Data,$A270,L_Desc,$B270,L_Valor,$N270,L_Tipo,$C270)&gt;1,"⚠ Possível duplicidade",IF(OR(AND($C270="Despesa",COUNTIF(CatD_Nome,$D270)=0),AND($C270="Receita",COUNTIF(CatR_Nome,$D270)=0)),"⚠ Categoria não combina com o tipo",IF(OR($N270="",$C270=""),"⚠ Falta valor ou tipo",""))))</f>
        <v/>
      </c>
      <c r="U270" s="40">
        <f>IF($A270="",0,P270*12+O270)</f>
        <v>24315</v>
      </c>
      <c r="V270" s="40">
        <f>IF($A270="",0,U270+MAX(0,N($I270)-MAX(N($H270),1)))</f>
        <v>24315</v>
      </c>
      <c r="W270" s="40">
        <f>IF(S270="",0,YEAR(S270)*12+MONTH(S270))</f>
        <v>24315</v>
      </c>
      <c r="X270" s="40">
        <f>IF(W270=0,0,W270+V270-U270)</f>
        <v>24315</v>
      </c>
      <c r="Y270" s="36">
        <f>IF(W270=0,0,N(R270)*MAX(0,X270-MAX(W270,YEAR(Cfg_Hoje)*12+MONTH(Cfg_Hoje)+IF(DAY(Cfg_Hoje)&gt;=INDEX(Cartoes_Fech,MATCH($F270,Cartoes_Nome,0)),1,0))+1))</f>
        <v>0</v>
      </c>
      <c r="Z270" s="40">
        <f>IF($A270="",0,DAY($A270))</f>
        <v>6</v>
      </c>
      <c r="AA270" s="40">
        <f>IF($A270="",0,WEEKDAY($A270))</f>
        <v>6</v>
      </c>
      <c r="AB270" s="36">
        <f>IF(AND($C270="Despesa",U270&gt;0,U270&lt;=Sel_Idx,V270&gt;=Sel_Idx),N(R270)+ROW()/1000000000,0)</f>
        <v>0</v>
      </c>
      <c r="AC270" s="40">
        <f>IF(AND($C270="Despesa",U270&gt;0,U270&lt;=Sel_Idx,V270&gt;=Sel_Idx),Z270*10000+ROW(),0)</f>
        <v>0</v>
      </c>
      <c r="AD270" s="40">
        <f>IF(AC270=0,0,COUNTIFS(L_CalChave,"&gt;0",L_CalChave,"&lt;"&amp;AC270)+1)</f>
        <v>0</v>
      </c>
    </row>
    <row r="271">
      <c r="A271" s="38" t="n">
        <v>46088</v>
      </c>
      <c r="B271" s="39" t="inlineStr">
        <is>
          <t>Doação mensal</t>
        </is>
      </c>
      <c r="C271" s="34" t="inlineStr">
        <is>
          <t>Despesa</t>
        </is>
      </c>
      <c r="D271" s="34" t="inlineStr">
        <is>
          <t>Doações</t>
        </is>
      </c>
      <c r="E271" s="34" t="inlineStr">
        <is>
          <t>ONG</t>
        </is>
      </c>
      <c r="F271" s="34" t="inlineStr">
        <is>
          <t>Conta Corrente Banco Azul</t>
        </is>
      </c>
      <c r="G271" s="34" t="inlineStr">
        <is>
          <t>Pix</t>
        </is>
      </c>
      <c r="H271" s="37" t="n"/>
      <c r="I271" s="37" t="n"/>
      <c r="J271" s="34" t="inlineStr">
        <is>
          <t>Pago</t>
        </is>
      </c>
      <c r="K271" s="34" t="n"/>
      <c r="L271" s="34" t="n"/>
      <c r="M271" s="39" t="inlineStr">
        <is>
          <t>EXEMPLO</t>
        </is>
      </c>
      <c r="N271" s="35" t="n">
        <v>100</v>
      </c>
      <c r="O271" s="40">
        <f>IF($A271="","",MONTH($A271))</f>
        <v>3</v>
      </c>
      <c r="P271" s="40">
        <f>IF($A271="","",YEAR($A271))</f>
        <v>2026</v>
      </c>
      <c r="Q271" s="41">
        <f>IF($A271="","",DATE(P271,O271,1))</f>
        <v>46082.0</v>
      </c>
      <c r="R271" s="36">
        <f>IF(OR($A271="",$N271=""),"",IF(AND($C271&lt;&gt;"Transferência",N($I271)&gt;1),$N271/$I271,$N271))</f>
        <v>100</v>
      </c>
      <c r="S271" s="41" t="str">
        <f>IF(OR($A271="",$F271="",$C271&lt;&gt;"Despesa"),"",IF(COUNTIF(Cartoes_Nome,$F271)=0,"",DATE(P271,O271+IF(DAY($A271)&gt;=INDEX(Cartoes_Fech,MATCH($F271,Cartoes_Nome,0)),1,0),1)))</f>
        <v/>
      </c>
      <c r="T271" s="42" t="str">
        <f>IF($A271="","",IF(COUNTIFS(L_Data,$A271,L_Desc,$B271,L_Valor,$N271,L_Tipo,$C271)&gt;1,"⚠ Possível duplicidade",IF(OR(AND($C271="Despesa",COUNTIF(CatD_Nome,$D271)=0),AND($C271="Receita",COUNTIF(CatR_Nome,$D271)=0)),"⚠ Categoria não combina com o tipo",IF(OR($N271="",$C271=""),"⚠ Falta valor ou tipo",""))))</f>
        <v/>
      </c>
      <c r="U271" s="40">
        <f>IF($A271="",0,P271*12+O271)</f>
        <v>24315</v>
      </c>
      <c r="V271" s="40">
        <f>IF($A271="",0,U271+MAX(0,N($I271)-MAX(N($H271),1)))</f>
        <v>24315</v>
      </c>
      <c r="W271" s="40">
        <f>IF(S271="",0,YEAR(S271)*12+MONTH(S271))</f>
        <v>0</v>
      </c>
      <c r="X271" s="40">
        <f>IF(W271=0,0,W271+V271-U271)</f>
        <v>0</v>
      </c>
      <c r="Y271" s="36">
        <f>IF(W271=0,0,N(R271)*MAX(0,X271-MAX(W271,YEAR(Cfg_Hoje)*12+MONTH(Cfg_Hoje)+IF(DAY(Cfg_Hoje)&gt;=INDEX(Cartoes_Fech,MATCH($F271,Cartoes_Nome,0)),1,0))+1))</f>
        <v>0</v>
      </c>
      <c r="Z271" s="40">
        <f>IF($A271="",0,DAY($A271))</f>
        <v>7</v>
      </c>
      <c r="AA271" s="40">
        <f>IF($A271="",0,WEEKDAY($A271))</f>
        <v>7</v>
      </c>
      <c r="AB271" s="36">
        <f>IF(AND($C271="Despesa",U271&gt;0,U271&lt;=Sel_Idx,V271&gt;=Sel_Idx),N(R271)+ROW()/1000000000,0)</f>
        <v>0</v>
      </c>
      <c r="AC271" s="40">
        <f>IF(AND($C271="Despesa",U271&gt;0,U271&lt;=Sel_Idx,V271&gt;=Sel_Idx),Z271*10000+ROW(),0)</f>
        <v>0</v>
      </c>
      <c r="AD271" s="40">
        <f>IF(AC271=0,0,COUNTIFS(L_CalChave,"&gt;0",L_CalChave,"&lt;"&amp;AC271)+1)</f>
        <v>0</v>
      </c>
    </row>
    <row r="272">
      <c r="A272" s="38" t="n">
        <v>46089</v>
      </c>
      <c r="B272" s="39" t="inlineStr">
        <is>
          <t>Curso de inglês</t>
        </is>
      </c>
      <c r="C272" s="34" t="inlineStr">
        <is>
          <t>Despesa</t>
        </is>
      </c>
      <c r="D272" s="34" t="inlineStr">
        <is>
          <t>Educação</t>
        </is>
      </c>
      <c r="E272" s="34" t="inlineStr">
        <is>
          <t>Cursos</t>
        </is>
      </c>
      <c r="F272" s="34" t="inlineStr">
        <is>
          <t>Conta Corrente Banco Azul</t>
        </is>
      </c>
      <c r="G272" s="34" t="inlineStr">
        <is>
          <t>Boleto</t>
        </is>
      </c>
      <c r="H272" s="37" t="n"/>
      <c r="I272" s="37" t="n"/>
      <c r="J272" s="34" t="inlineStr">
        <is>
          <t>Pago</t>
        </is>
      </c>
      <c r="K272" s="34" t="n"/>
      <c r="L272" s="34" t="n"/>
      <c r="M272" s="39" t="inlineStr">
        <is>
          <t>EXEMPLO</t>
        </is>
      </c>
      <c r="N272" s="35" t="n">
        <v>390</v>
      </c>
      <c r="O272" s="40">
        <f>IF($A272="","",MONTH($A272))</f>
        <v>3</v>
      </c>
      <c r="P272" s="40">
        <f>IF($A272="","",YEAR($A272))</f>
        <v>2026</v>
      </c>
      <c r="Q272" s="41">
        <f>IF($A272="","",DATE(P272,O272,1))</f>
        <v>46082.0</v>
      </c>
      <c r="R272" s="36">
        <f>IF(OR($A272="",$N272=""),"",IF(AND($C272&lt;&gt;"Transferência",N($I272)&gt;1),$N272/$I272,$N272))</f>
        <v>390</v>
      </c>
      <c r="S272" s="41" t="str">
        <f>IF(OR($A272="",$F272="",$C272&lt;&gt;"Despesa"),"",IF(COUNTIF(Cartoes_Nome,$F272)=0,"",DATE(P272,O272+IF(DAY($A272)&gt;=INDEX(Cartoes_Fech,MATCH($F272,Cartoes_Nome,0)),1,0),1)))</f>
        <v/>
      </c>
      <c r="T272" s="42" t="str">
        <f>IF($A272="","",IF(COUNTIFS(L_Data,$A272,L_Desc,$B272,L_Valor,$N272,L_Tipo,$C272)&gt;1,"⚠ Possível duplicidade",IF(OR(AND($C272="Despesa",COUNTIF(CatD_Nome,$D272)=0),AND($C272="Receita",COUNTIF(CatR_Nome,$D272)=0)),"⚠ Categoria não combina com o tipo",IF(OR($N272="",$C272=""),"⚠ Falta valor ou tipo",""))))</f>
        <v/>
      </c>
      <c r="U272" s="40">
        <f>IF($A272="",0,P272*12+O272)</f>
        <v>24315</v>
      </c>
      <c r="V272" s="40">
        <f>IF($A272="",0,U272+MAX(0,N($I272)-MAX(N($H272),1)))</f>
        <v>24315</v>
      </c>
      <c r="W272" s="40">
        <f>IF(S272="",0,YEAR(S272)*12+MONTH(S272))</f>
        <v>0</v>
      </c>
      <c r="X272" s="40">
        <f>IF(W272=0,0,W272+V272-U272)</f>
        <v>0</v>
      </c>
      <c r="Y272" s="36">
        <f>IF(W272=0,0,N(R272)*MAX(0,X272-MAX(W272,YEAR(Cfg_Hoje)*12+MONTH(Cfg_Hoje)+IF(DAY(Cfg_Hoje)&gt;=INDEX(Cartoes_Fech,MATCH($F272,Cartoes_Nome,0)),1,0))+1))</f>
        <v>0</v>
      </c>
      <c r="Z272" s="40">
        <f>IF($A272="",0,DAY($A272))</f>
        <v>8</v>
      </c>
      <c r="AA272" s="40">
        <f>IF($A272="",0,WEEKDAY($A272))</f>
        <v>1</v>
      </c>
      <c r="AB272" s="36">
        <f>IF(AND($C272="Despesa",U272&gt;0,U272&lt;=Sel_Idx,V272&gt;=Sel_Idx),N(R272)+ROW()/1000000000,0)</f>
        <v>0</v>
      </c>
      <c r="AC272" s="40">
        <f>IF(AND($C272="Despesa",U272&gt;0,U272&lt;=Sel_Idx,V272&gt;=Sel_Idx),Z272*10000+ROW(),0)</f>
        <v>0</v>
      </c>
      <c r="AD272" s="40">
        <f>IF(AC272=0,0,COUNTIFS(L_CalChave,"&gt;0",L_CalChave,"&lt;"&amp;AC272)+1)</f>
        <v>0</v>
      </c>
    </row>
    <row r="273">
      <c r="A273" s="38" t="n">
        <v>46090</v>
      </c>
      <c r="B273" s="39" t="inlineStr">
        <is>
          <t>Ração e petiscos</t>
        </is>
      </c>
      <c r="C273" s="34" t="inlineStr">
        <is>
          <t>Despesa</t>
        </is>
      </c>
      <c r="D273" s="34" t="inlineStr">
        <is>
          <t>Família/Pets</t>
        </is>
      </c>
      <c r="E273" s="34" t="inlineStr">
        <is>
          <t>Ração</t>
        </is>
      </c>
      <c r="F273" s="34" t="inlineStr">
        <is>
          <t>Cartão Azul Gold</t>
        </is>
      </c>
      <c r="G273" s="34" t="inlineStr">
        <is>
          <t>Crédito</t>
        </is>
      </c>
      <c r="H273" s="37" t="n"/>
      <c r="I273" s="37" t="n"/>
      <c r="J273" s="34" t="inlineStr">
        <is>
          <t>Pago</t>
        </is>
      </c>
      <c r="K273" s="34" t="n"/>
      <c r="L273" s="34" t="n"/>
      <c r="M273" s="39" t="inlineStr">
        <is>
          <t>EXEMPLO</t>
        </is>
      </c>
      <c r="N273" s="35" t="n">
        <v>227.61</v>
      </c>
      <c r="O273" s="40">
        <f>IF($A273="","",MONTH($A273))</f>
        <v>3</v>
      </c>
      <c r="P273" s="40">
        <f>IF($A273="","",YEAR($A273))</f>
        <v>2026</v>
      </c>
      <c r="Q273" s="41">
        <f>IF($A273="","",DATE(P273,O273,1))</f>
        <v>46082.0</v>
      </c>
      <c r="R273" s="36">
        <f>IF(OR($A273="",$N273=""),"",IF(AND($C273&lt;&gt;"Transferência",N($I273)&gt;1),$N273/$I273,$N273))</f>
        <v>227.61</v>
      </c>
      <c r="S273" s="41">
        <f>IF(OR($A273="",$F273="",$C273&lt;&gt;"Despesa"),"",IF(COUNTIF(Cartoes_Nome,$F273)=0,"",DATE(P273,O273+IF(DAY($A273)&gt;=INDEX(Cartoes_Fech,MATCH($F273,Cartoes_Nome,0)),1,0),1)))</f>
        <v>46082.0</v>
      </c>
      <c r="T273" s="42" t="str">
        <f>IF($A273="","",IF(COUNTIFS(L_Data,$A273,L_Desc,$B273,L_Valor,$N273,L_Tipo,$C273)&gt;1,"⚠ Possível duplicidade",IF(OR(AND($C273="Despesa",COUNTIF(CatD_Nome,$D273)=0),AND($C273="Receita",COUNTIF(CatR_Nome,$D273)=0)),"⚠ Categoria não combina com o tipo",IF(OR($N273="",$C273=""),"⚠ Falta valor ou tipo",""))))</f>
        <v/>
      </c>
      <c r="U273" s="40">
        <f>IF($A273="",0,P273*12+O273)</f>
        <v>24315</v>
      </c>
      <c r="V273" s="40">
        <f>IF($A273="",0,U273+MAX(0,N($I273)-MAX(N($H273),1)))</f>
        <v>24315</v>
      </c>
      <c r="W273" s="40">
        <f>IF(S273="",0,YEAR(S273)*12+MONTH(S273))</f>
        <v>24315</v>
      </c>
      <c r="X273" s="40">
        <f>IF(W273=0,0,W273+V273-U273)</f>
        <v>24315</v>
      </c>
      <c r="Y273" s="36">
        <f>IF(W273=0,0,N(R273)*MAX(0,X273-MAX(W273,YEAR(Cfg_Hoje)*12+MONTH(Cfg_Hoje)+IF(DAY(Cfg_Hoje)&gt;=INDEX(Cartoes_Fech,MATCH($F273,Cartoes_Nome,0)),1,0))+1))</f>
        <v>0</v>
      </c>
      <c r="Z273" s="40">
        <f>IF($A273="",0,DAY($A273))</f>
        <v>9</v>
      </c>
      <c r="AA273" s="40">
        <f>IF($A273="",0,WEEKDAY($A273))</f>
        <v>2</v>
      </c>
      <c r="AB273" s="36">
        <f>IF(AND($C273="Despesa",U273&gt;0,U273&lt;=Sel_Idx,V273&gt;=Sel_Idx),N(R273)+ROW()/1000000000,0)</f>
        <v>0</v>
      </c>
      <c r="AC273" s="40">
        <f>IF(AND($C273="Despesa",U273&gt;0,U273&lt;=Sel_Idx,V273&gt;=Sel_Idx),Z273*10000+ROW(),0)</f>
        <v>0</v>
      </c>
      <c r="AD273" s="40">
        <f>IF(AC273=0,0,COUNTIFS(L_CalChave,"&gt;0",L_CalChave,"&lt;"&amp;AC273)+1)</f>
        <v>0</v>
      </c>
    </row>
    <row r="274">
      <c r="A274" s="38" t="n">
        <v>46091</v>
      </c>
      <c r="B274" s="39" t="inlineStr">
        <is>
          <t>Aluguel recebido - apto 12</t>
        </is>
      </c>
      <c r="C274" s="34" t="inlineStr">
        <is>
          <t>Receita</t>
        </is>
      </c>
      <c r="D274" s="34" t="inlineStr">
        <is>
          <t>Aluguel recebido</t>
        </is>
      </c>
      <c r="E274" s="34" t="n"/>
      <c r="F274" s="34" t="inlineStr">
        <is>
          <t>Conta Corrente Banco Azul</t>
        </is>
      </c>
      <c r="G274" s="34" t="inlineStr">
        <is>
          <t>Pix</t>
        </is>
      </c>
      <c r="H274" s="37" t="n"/>
      <c r="I274" s="37" t="n"/>
      <c r="J274" s="34" t="inlineStr">
        <is>
          <t>Pago</t>
        </is>
      </c>
      <c r="K274" s="34" t="n"/>
      <c r="L274" s="34" t="n"/>
      <c r="M274" s="39" t="inlineStr">
        <is>
          <t>EXEMPLO</t>
        </is>
      </c>
      <c r="N274" s="35" t="n">
        <v>1900</v>
      </c>
      <c r="O274" s="40">
        <f>IF($A274="","",MONTH($A274))</f>
        <v>3</v>
      </c>
      <c r="P274" s="40">
        <f>IF($A274="","",YEAR($A274))</f>
        <v>2026</v>
      </c>
      <c r="Q274" s="41">
        <f>IF($A274="","",DATE(P274,O274,1))</f>
        <v>46082.0</v>
      </c>
      <c r="R274" s="36">
        <f>IF(OR($A274="",$N274=""),"",IF(AND($C274&lt;&gt;"Transferência",N($I274)&gt;1),$N274/$I274,$N274))</f>
        <v>1900</v>
      </c>
      <c r="S274" s="41" t="str">
        <f>IF(OR($A274="",$F274="",$C274&lt;&gt;"Despesa"),"",IF(COUNTIF(Cartoes_Nome,$F274)=0,"",DATE(P274,O274+IF(DAY($A274)&gt;=INDEX(Cartoes_Fech,MATCH($F274,Cartoes_Nome,0)),1,0),1)))</f>
        <v/>
      </c>
      <c r="T274" s="42" t="str">
        <f>IF($A274="","",IF(COUNTIFS(L_Data,$A274,L_Desc,$B274,L_Valor,$N274,L_Tipo,$C274)&gt;1,"⚠ Possível duplicidade",IF(OR(AND($C274="Despesa",COUNTIF(CatD_Nome,$D274)=0),AND($C274="Receita",COUNTIF(CatR_Nome,$D274)=0)),"⚠ Categoria não combina com o tipo",IF(OR($N274="",$C274=""),"⚠ Falta valor ou tipo",""))))</f>
        <v/>
      </c>
      <c r="U274" s="40">
        <f>IF($A274="",0,P274*12+O274)</f>
        <v>24315</v>
      </c>
      <c r="V274" s="40">
        <f>IF($A274="",0,U274+MAX(0,N($I274)-MAX(N($H274),1)))</f>
        <v>24315</v>
      </c>
      <c r="W274" s="40">
        <f>IF(S274="",0,YEAR(S274)*12+MONTH(S274))</f>
        <v>0</v>
      </c>
      <c r="X274" s="40">
        <f>IF(W274=0,0,W274+V274-U274)</f>
        <v>0</v>
      </c>
      <c r="Y274" s="36">
        <f>IF(W274=0,0,N(R274)*MAX(0,X274-MAX(W274,YEAR(Cfg_Hoje)*12+MONTH(Cfg_Hoje)+IF(DAY(Cfg_Hoje)&gt;=INDEX(Cartoes_Fech,MATCH($F274,Cartoes_Nome,0)),1,0))+1))</f>
        <v>0</v>
      </c>
      <c r="Z274" s="40">
        <f>IF($A274="",0,DAY($A274))</f>
        <v>10</v>
      </c>
      <c r="AA274" s="40">
        <f>IF($A274="",0,WEEKDAY($A274))</f>
        <v>3</v>
      </c>
      <c r="AB274" s="36">
        <f>IF(AND($C274="Despesa",U274&gt;0,U274&lt;=Sel_Idx,V274&gt;=Sel_Idx),N(R274)+ROW()/1000000000,0)</f>
        <v>0</v>
      </c>
      <c r="AC274" s="40">
        <f>IF(AND($C274="Despesa",U274&gt;0,U274&lt;=Sel_Idx,V274&gt;=Sel_Idx),Z274*10000+ROW(),0)</f>
        <v>0</v>
      </c>
      <c r="AD274" s="40">
        <f>IF(AC274=0,0,COUNTIFS(L_CalChave,"&gt;0",L_CalChave,"&lt;"&amp;AC274)+1)</f>
        <v>0</v>
      </c>
    </row>
    <row r="275">
      <c r="A275" s="38" t="n">
        <v>46091</v>
      </c>
      <c r="B275" s="39" t="inlineStr">
        <is>
          <t>Aluguel residencial</t>
        </is>
      </c>
      <c r="C275" s="34" t="inlineStr">
        <is>
          <t>Despesa</t>
        </is>
      </c>
      <c r="D275" s="34" t="inlineStr">
        <is>
          <t>Moradia</t>
        </is>
      </c>
      <c r="E275" s="34" t="inlineStr">
        <is>
          <t>Aluguel</t>
        </is>
      </c>
      <c r="F275" s="34" t="inlineStr">
        <is>
          <t>Conta Corrente Banco Azul</t>
        </is>
      </c>
      <c r="G275" s="34" t="inlineStr">
        <is>
          <t>Boleto</t>
        </is>
      </c>
      <c r="H275" s="37" t="n"/>
      <c r="I275" s="37" t="n"/>
      <c r="J275" s="34" t="inlineStr">
        <is>
          <t>Pago</t>
        </is>
      </c>
      <c r="K275" s="34" t="n"/>
      <c r="L275" s="34" t="n"/>
      <c r="M275" s="39" t="inlineStr">
        <is>
          <t>EXEMPLO</t>
        </is>
      </c>
      <c r="N275" s="35" t="n">
        <v>2400</v>
      </c>
      <c r="O275" s="40">
        <f>IF($A275="","",MONTH($A275))</f>
        <v>3</v>
      </c>
      <c r="P275" s="40">
        <f>IF($A275="","",YEAR($A275))</f>
        <v>2026</v>
      </c>
      <c r="Q275" s="41">
        <f>IF($A275="","",DATE(P275,O275,1))</f>
        <v>46082.0</v>
      </c>
      <c r="R275" s="36">
        <f>IF(OR($A275="",$N275=""),"",IF(AND($C275&lt;&gt;"Transferência",N($I275)&gt;1),$N275/$I275,$N275))</f>
        <v>2400</v>
      </c>
      <c r="S275" s="41" t="str">
        <f>IF(OR($A275="",$F275="",$C275&lt;&gt;"Despesa"),"",IF(COUNTIF(Cartoes_Nome,$F275)=0,"",DATE(P275,O275+IF(DAY($A275)&gt;=INDEX(Cartoes_Fech,MATCH($F275,Cartoes_Nome,0)),1,0),1)))</f>
        <v/>
      </c>
      <c r="T275" s="42" t="str">
        <f>IF($A275="","",IF(COUNTIFS(L_Data,$A275,L_Desc,$B275,L_Valor,$N275,L_Tipo,$C275)&gt;1,"⚠ Possível duplicidade",IF(OR(AND($C275="Despesa",COUNTIF(CatD_Nome,$D275)=0),AND($C275="Receita",COUNTIF(CatR_Nome,$D275)=0)),"⚠ Categoria não combina com o tipo",IF(OR($N275="",$C275=""),"⚠ Falta valor ou tipo",""))))</f>
        <v/>
      </c>
      <c r="U275" s="40">
        <f>IF($A275="",0,P275*12+O275)</f>
        <v>24315</v>
      </c>
      <c r="V275" s="40">
        <f>IF($A275="",0,U275+MAX(0,N($I275)-MAX(N($H275),1)))</f>
        <v>24315</v>
      </c>
      <c r="W275" s="40">
        <f>IF(S275="",0,YEAR(S275)*12+MONTH(S275))</f>
        <v>0</v>
      </c>
      <c r="X275" s="40">
        <f>IF(W275=0,0,W275+V275-U275)</f>
        <v>0</v>
      </c>
      <c r="Y275" s="36">
        <f>IF(W275=0,0,N(R275)*MAX(0,X275-MAX(W275,YEAR(Cfg_Hoje)*12+MONTH(Cfg_Hoje)+IF(DAY(Cfg_Hoje)&gt;=INDEX(Cartoes_Fech,MATCH($F275,Cartoes_Nome,0)),1,0))+1))</f>
        <v>0</v>
      </c>
      <c r="Z275" s="40">
        <f>IF($A275="",0,DAY($A275))</f>
        <v>10</v>
      </c>
      <c r="AA275" s="40">
        <f>IF($A275="",0,WEEKDAY($A275))</f>
        <v>3</v>
      </c>
      <c r="AB275" s="36">
        <f>IF(AND($C275="Despesa",U275&gt;0,U275&lt;=Sel_Idx,V275&gt;=Sel_Idx),N(R275)+ROW()/1000000000,0)</f>
        <v>0</v>
      </c>
      <c r="AC275" s="40">
        <f>IF(AND($C275="Despesa",U275&gt;0,U275&lt;=Sel_Idx,V275&gt;=Sel_Idx),Z275*10000+ROW(),0)</f>
        <v>0</v>
      </c>
      <c r="AD275" s="40">
        <f>IF(AC275=0,0,COUNTIFS(L_CalChave,"&gt;0",L_CalChave,"&lt;"&amp;AC275)+1)</f>
        <v>0</v>
      </c>
    </row>
    <row r="276">
      <c r="A276" s="38" t="n">
        <v>46091</v>
      </c>
      <c r="B276" s="39" t="inlineStr">
        <is>
          <t>Condomínio</t>
        </is>
      </c>
      <c r="C276" s="34" t="inlineStr">
        <is>
          <t>Despesa</t>
        </is>
      </c>
      <c r="D276" s="34" t="inlineStr">
        <is>
          <t>Moradia</t>
        </is>
      </c>
      <c r="E276" s="34" t="inlineStr">
        <is>
          <t>Condomínio</t>
        </is>
      </c>
      <c r="F276" s="34" t="inlineStr">
        <is>
          <t>Conta Corrente Banco Azul</t>
        </is>
      </c>
      <c r="G276" s="34" t="inlineStr">
        <is>
          <t>Boleto</t>
        </is>
      </c>
      <c r="H276" s="37" t="n"/>
      <c r="I276" s="37" t="n"/>
      <c r="J276" s="34" t="inlineStr">
        <is>
          <t>Pago</t>
        </is>
      </c>
      <c r="K276" s="34" t="n"/>
      <c r="L276" s="34" t="n"/>
      <c r="M276" s="39" t="inlineStr">
        <is>
          <t>EXEMPLO</t>
        </is>
      </c>
      <c r="N276" s="35" t="n">
        <v>650</v>
      </c>
      <c r="O276" s="40">
        <f>IF($A276="","",MONTH($A276))</f>
        <v>3</v>
      </c>
      <c r="P276" s="40">
        <f>IF($A276="","",YEAR($A276))</f>
        <v>2026</v>
      </c>
      <c r="Q276" s="41">
        <f>IF($A276="","",DATE(P276,O276,1))</f>
        <v>46082.0</v>
      </c>
      <c r="R276" s="36">
        <f>IF(OR($A276="",$N276=""),"",IF(AND($C276&lt;&gt;"Transferência",N($I276)&gt;1),$N276/$I276,$N276))</f>
        <v>650</v>
      </c>
      <c r="S276" s="41" t="str">
        <f>IF(OR($A276="",$F276="",$C276&lt;&gt;"Despesa"),"",IF(COUNTIF(Cartoes_Nome,$F276)=0,"",DATE(P276,O276+IF(DAY($A276)&gt;=INDEX(Cartoes_Fech,MATCH($F276,Cartoes_Nome,0)),1,0),1)))</f>
        <v/>
      </c>
      <c r="T276" s="42" t="str">
        <f>IF($A276="","",IF(COUNTIFS(L_Data,$A276,L_Desc,$B276,L_Valor,$N276,L_Tipo,$C276)&gt;1,"⚠ Possível duplicidade",IF(OR(AND($C276="Despesa",COUNTIF(CatD_Nome,$D276)=0),AND($C276="Receita",COUNTIF(CatR_Nome,$D276)=0)),"⚠ Categoria não combina com o tipo",IF(OR($N276="",$C276=""),"⚠ Falta valor ou tipo",""))))</f>
        <v/>
      </c>
      <c r="U276" s="40">
        <f>IF($A276="",0,P276*12+O276)</f>
        <v>24315</v>
      </c>
      <c r="V276" s="40">
        <f>IF($A276="",0,U276+MAX(0,N($I276)-MAX(N($H276),1)))</f>
        <v>24315</v>
      </c>
      <c r="W276" s="40">
        <f>IF(S276="",0,YEAR(S276)*12+MONTH(S276))</f>
        <v>0</v>
      </c>
      <c r="X276" s="40">
        <f>IF(W276=0,0,W276+V276-U276)</f>
        <v>0</v>
      </c>
      <c r="Y276" s="36">
        <f>IF(W276=0,0,N(R276)*MAX(0,X276-MAX(W276,YEAR(Cfg_Hoje)*12+MONTH(Cfg_Hoje)+IF(DAY(Cfg_Hoje)&gt;=INDEX(Cartoes_Fech,MATCH($F276,Cartoes_Nome,0)),1,0))+1))</f>
        <v>0</v>
      </c>
      <c r="Z276" s="40">
        <f>IF($A276="",0,DAY($A276))</f>
        <v>10</v>
      </c>
      <c r="AA276" s="40">
        <f>IF($A276="",0,WEEKDAY($A276))</f>
        <v>3</v>
      </c>
      <c r="AB276" s="36">
        <f>IF(AND($C276="Despesa",U276&gt;0,U276&lt;=Sel_Idx,V276&gt;=Sel_Idx),N(R276)+ROW()/1000000000,0)</f>
        <v>0</v>
      </c>
      <c r="AC276" s="40">
        <f>IF(AND($C276="Despesa",U276&gt;0,U276&lt;=Sel_Idx,V276&gt;=Sel_Idx),Z276*10000+ROW(),0)</f>
        <v>0</v>
      </c>
      <c r="AD276" s="40">
        <f>IF(AC276=0,0,COUNTIFS(L_CalChave,"&gt;0",L_CalChave,"&lt;"&amp;AC276)+1)</f>
        <v>0</v>
      </c>
    </row>
    <row r="277">
      <c r="A277" s="38" t="n">
        <v>46093</v>
      </c>
      <c r="B277" s="39" t="inlineStr">
        <is>
          <t>Notebook novo (12x)</t>
        </is>
      </c>
      <c r="C277" s="34" t="inlineStr">
        <is>
          <t>Despesa</t>
        </is>
      </c>
      <c r="D277" s="34" t="inlineStr">
        <is>
          <t>Outros</t>
        </is>
      </c>
      <c r="E277" s="34" t="n"/>
      <c r="F277" s="34" t="inlineStr">
        <is>
          <t>Cartão Roxinho</t>
        </is>
      </c>
      <c r="G277" s="34" t="inlineStr">
        <is>
          <t>Crédito</t>
        </is>
      </c>
      <c r="H277" s="37" t="n">
        <v>1</v>
      </c>
      <c r="I277" s="37" t="n">
        <v>12</v>
      </c>
      <c r="J277" s="34" t="inlineStr">
        <is>
          <t>Pendente</t>
        </is>
      </c>
      <c r="K277" s="34" t="n"/>
      <c r="L277" s="34" t="n"/>
      <c r="M277" s="39" t="inlineStr">
        <is>
          <t>EXEMPLO</t>
        </is>
      </c>
      <c r="N277" s="35" t="n">
        <v>3600</v>
      </c>
      <c r="O277" s="40">
        <f>IF($A277="","",MONTH($A277))</f>
        <v>3</v>
      </c>
      <c r="P277" s="40">
        <f>IF($A277="","",YEAR($A277))</f>
        <v>2026</v>
      </c>
      <c r="Q277" s="41">
        <f>IF($A277="","",DATE(P277,O277,1))</f>
        <v>46082.0</v>
      </c>
      <c r="R277" s="36">
        <f>IF(OR($A277="",$N277=""),"",IF(AND($C277&lt;&gt;"Transferência",N($I277)&gt;1),$N277/$I277,$N277))</f>
        <v>300</v>
      </c>
      <c r="S277" s="41">
        <f>IF(OR($A277="",$F277="",$C277&lt;&gt;"Despesa"),"",IF(COUNTIF(Cartoes_Nome,$F277)=0,"",DATE(P277,O277+IF(DAY($A277)&gt;=INDEX(Cartoes_Fech,MATCH($F277,Cartoes_Nome,0)),1,0),1)))</f>
        <v>46082.0</v>
      </c>
      <c r="T277" s="42" t="str">
        <f>IF($A277="","",IF(COUNTIFS(L_Data,$A277,L_Desc,$B277,L_Valor,$N277,L_Tipo,$C277)&gt;1,"⚠ Possível duplicidade",IF(OR(AND($C277="Despesa",COUNTIF(CatD_Nome,$D277)=0),AND($C277="Receita",COUNTIF(CatR_Nome,$D277)=0)),"⚠ Categoria não combina com o tipo",IF(OR($N277="",$C277=""),"⚠ Falta valor ou tipo",""))))</f>
        <v/>
      </c>
      <c r="U277" s="40">
        <f>IF($A277="",0,P277*12+O277)</f>
        <v>24315</v>
      </c>
      <c r="V277" s="40">
        <f>IF($A277="",0,U277+MAX(0,N($I277)-MAX(N($H277),1)))</f>
        <v>24326</v>
      </c>
      <c r="W277" s="40">
        <f>IF(S277="",0,YEAR(S277)*12+MONTH(S277))</f>
        <v>24315</v>
      </c>
      <c r="X277" s="40">
        <f>IF(W277=0,0,W277+V277-U277)</f>
        <v>24326</v>
      </c>
      <c r="Y277" s="36">
        <f>IF(W277=0,0,N(R277)*MAX(0,X277-MAX(W277,YEAR(Cfg_Hoje)*12+MONTH(Cfg_Hoje)+IF(DAY(Cfg_Hoje)&gt;=INDEX(Cartoes_Fech,MATCH($F277,Cartoes_Nome,0)),1,0))+1))</f>
        <v>1500</v>
      </c>
      <c r="Z277" s="40">
        <f>IF($A277="",0,DAY($A277))</f>
        <v>12</v>
      </c>
      <c r="AA277" s="40">
        <f>IF($A277="",0,WEEKDAY($A277))</f>
        <v>5</v>
      </c>
      <c r="AB277" s="36">
        <f>IF(AND($C277="Despesa",U277&gt;0,U277&lt;=Sel_Idx,V277&gt;=Sel_Idx),N(R277)+ROW()/1000000000,0)</f>
        <v>300.000000277</v>
      </c>
      <c r="AC277" s="40">
        <f>IF(AND($C277="Despesa",U277&gt;0,U277&lt;=Sel_Idx,V277&gt;=Sel_Idx),Z277*10000+ROW(),0)</f>
        <v>120277</v>
      </c>
      <c r="AD277" s="40">
        <f>IF(AC277=0,0,COUNTIFS(L_CalChave,"&gt;0",L_CalChave,"&lt;"&amp;AC277)+1)</f>
        <v>13</v>
      </c>
    </row>
    <row r="278">
      <c r="A278" s="38" t="n">
        <v>46093</v>
      </c>
      <c r="B278" s="39" t="inlineStr">
        <is>
          <t>Streaming de música</t>
        </is>
      </c>
      <c r="C278" s="34" t="inlineStr">
        <is>
          <t>Despesa</t>
        </is>
      </c>
      <c r="D278" s="34" t="inlineStr">
        <is>
          <t>Assinaturas</t>
        </is>
      </c>
      <c r="E278" s="34" t="inlineStr">
        <is>
          <t>Música</t>
        </is>
      </c>
      <c r="F278" s="34" t="inlineStr">
        <is>
          <t>Cartão Roxinho</t>
        </is>
      </c>
      <c r="G278" s="34" t="inlineStr">
        <is>
          <t>Crédito</t>
        </is>
      </c>
      <c r="H278" s="37" t="n"/>
      <c r="I278" s="37" t="n"/>
      <c r="J278" s="34" t="inlineStr">
        <is>
          <t>Pago</t>
        </is>
      </c>
      <c r="K278" s="34" t="n"/>
      <c r="L278" s="34" t="n"/>
      <c r="M278" s="39" t="inlineStr">
        <is>
          <t>EXEMPLO</t>
        </is>
      </c>
      <c r="N278" s="35" t="n">
        <v>21.9</v>
      </c>
      <c r="O278" s="40">
        <f>IF($A278="","",MONTH($A278))</f>
        <v>3</v>
      </c>
      <c r="P278" s="40">
        <f>IF($A278="","",YEAR($A278))</f>
        <v>2026</v>
      </c>
      <c r="Q278" s="41">
        <f>IF($A278="","",DATE(P278,O278,1))</f>
        <v>46082.0</v>
      </c>
      <c r="R278" s="36">
        <f>IF(OR($A278="",$N278=""),"",IF(AND($C278&lt;&gt;"Transferência",N($I278)&gt;1),$N278/$I278,$N278))</f>
        <v>21.9</v>
      </c>
      <c r="S278" s="41">
        <f>IF(OR($A278="",$F278="",$C278&lt;&gt;"Despesa"),"",IF(COUNTIF(Cartoes_Nome,$F278)=0,"",DATE(P278,O278+IF(DAY($A278)&gt;=INDEX(Cartoes_Fech,MATCH($F278,Cartoes_Nome,0)),1,0),1)))</f>
        <v>46082.0</v>
      </c>
      <c r="T278" s="42" t="str">
        <f>IF($A278="","",IF(COUNTIFS(L_Data,$A278,L_Desc,$B278,L_Valor,$N278,L_Tipo,$C278)&gt;1,"⚠ Possível duplicidade",IF(OR(AND($C278="Despesa",COUNTIF(CatD_Nome,$D278)=0),AND($C278="Receita",COUNTIF(CatR_Nome,$D278)=0)),"⚠ Categoria não combina com o tipo",IF(OR($N278="",$C278=""),"⚠ Falta valor ou tipo",""))))</f>
        <v/>
      </c>
      <c r="U278" s="40">
        <f>IF($A278="",0,P278*12+O278)</f>
        <v>24315</v>
      </c>
      <c r="V278" s="40">
        <f>IF($A278="",0,U278+MAX(0,N($I278)-MAX(N($H278),1)))</f>
        <v>24315</v>
      </c>
      <c r="W278" s="40">
        <f>IF(S278="",0,YEAR(S278)*12+MONTH(S278))</f>
        <v>24315</v>
      </c>
      <c r="X278" s="40">
        <f>IF(W278=0,0,W278+V278-U278)</f>
        <v>24315</v>
      </c>
      <c r="Y278" s="36">
        <f>IF(W278=0,0,N(R278)*MAX(0,X278-MAX(W278,YEAR(Cfg_Hoje)*12+MONTH(Cfg_Hoje)+IF(DAY(Cfg_Hoje)&gt;=INDEX(Cartoes_Fech,MATCH($F278,Cartoes_Nome,0)),1,0))+1))</f>
        <v>0</v>
      </c>
      <c r="Z278" s="40">
        <f>IF($A278="",0,DAY($A278))</f>
        <v>12</v>
      </c>
      <c r="AA278" s="40">
        <f>IF($A278="",0,WEEKDAY($A278))</f>
        <v>5</v>
      </c>
      <c r="AB278" s="36">
        <f>IF(AND($C278="Despesa",U278&gt;0,U278&lt;=Sel_Idx,V278&gt;=Sel_Idx),N(R278)+ROW()/1000000000,0)</f>
        <v>0</v>
      </c>
      <c r="AC278" s="40">
        <f>IF(AND($C278="Despesa",U278&gt;0,U278&lt;=Sel_Idx,V278&gt;=Sel_Idx),Z278*10000+ROW(),0)</f>
        <v>0</v>
      </c>
      <c r="AD278" s="40">
        <f>IF(AC278=0,0,COUNTIFS(L_CalChave,"&gt;0",L_CalChave,"&lt;"&amp;AC278)+1)</f>
        <v>0</v>
      </c>
    </row>
    <row r="279">
      <c r="A279" s="38" t="n">
        <v>46093</v>
      </c>
      <c r="B279" s="39" t="inlineStr">
        <is>
          <t>Streaming de vídeo</t>
        </is>
      </c>
      <c r="C279" s="34" t="inlineStr">
        <is>
          <t>Despesa</t>
        </is>
      </c>
      <c r="D279" s="34" t="inlineStr">
        <is>
          <t>Assinaturas</t>
        </is>
      </c>
      <c r="E279" s="34" t="inlineStr">
        <is>
          <t>Streaming</t>
        </is>
      </c>
      <c r="F279" s="34" t="inlineStr">
        <is>
          <t>Cartão Roxinho</t>
        </is>
      </c>
      <c r="G279" s="34" t="inlineStr">
        <is>
          <t>Crédito</t>
        </is>
      </c>
      <c r="H279" s="37" t="n"/>
      <c r="I279" s="37" t="n"/>
      <c r="J279" s="34" t="inlineStr">
        <is>
          <t>Pago</t>
        </is>
      </c>
      <c r="K279" s="34" t="n"/>
      <c r="L279" s="34" t="n"/>
      <c r="M279" s="39" t="inlineStr">
        <is>
          <t>EXEMPLO</t>
        </is>
      </c>
      <c r="N279" s="35" t="n">
        <v>55.9</v>
      </c>
      <c r="O279" s="40">
        <f>IF($A279="","",MONTH($A279))</f>
        <v>3</v>
      </c>
      <c r="P279" s="40">
        <f>IF($A279="","",YEAR($A279))</f>
        <v>2026</v>
      </c>
      <c r="Q279" s="41">
        <f>IF($A279="","",DATE(P279,O279,1))</f>
        <v>46082.0</v>
      </c>
      <c r="R279" s="36">
        <f>IF(OR($A279="",$N279=""),"",IF(AND($C279&lt;&gt;"Transferência",N($I279)&gt;1),$N279/$I279,$N279))</f>
        <v>55.9</v>
      </c>
      <c r="S279" s="41">
        <f>IF(OR($A279="",$F279="",$C279&lt;&gt;"Despesa"),"",IF(COUNTIF(Cartoes_Nome,$F279)=0,"",DATE(P279,O279+IF(DAY($A279)&gt;=INDEX(Cartoes_Fech,MATCH($F279,Cartoes_Nome,0)),1,0),1)))</f>
        <v>46082.0</v>
      </c>
      <c r="T279" s="42" t="str">
        <f>IF($A279="","",IF(COUNTIFS(L_Data,$A279,L_Desc,$B279,L_Valor,$N279,L_Tipo,$C279)&gt;1,"⚠ Possível duplicidade",IF(OR(AND($C279="Despesa",COUNTIF(CatD_Nome,$D279)=0),AND($C279="Receita",COUNTIF(CatR_Nome,$D279)=0)),"⚠ Categoria não combina com o tipo",IF(OR($N279="",$C279=""),"⚠ Falta valor ou tipo",""))))</f>
        <v/>
      </c>
      <c r="U279" s="40">
        <f>IF($A279="",0,P279*12+O279)</f>
        <v>24315</v>
      </c>
      <c r="V279" s="40">
        <f>IF($A279="",0,U279+MAX(0,N($I279)-MAX(N($H279),1)))</f>
        <v>24315</v>
      </c>
      <c r="W279" s="40">
        <f>IF(S279="",0,YEAR(S279)*12+MONTH(S279))</f>
        <v>24315</v>
      </c>
      <c r="X279" s="40">
        <f>IF(W279=0,0,W279+V279-U279)</f>
        <v>24315</v>
      </c>
      <c r="Y279" s="36">
        <f>IF(W279=0,0,N(R279)*MAX(0,X279-MAX(W279,YEAR(Cfg_Hoje)*12+MONTH(Cfg_Hoje)+IF(DAY(Cfg_Hoje)&gt;=INDEX(Cartoes_Fech,MATCH($F279,Cartoes_Nome,0)),1,0))+1))</f>
        <v>0</v>
      </c>
      <c r="Z279" s="40">
        <f>IF($A279="",0,DAY($A279))</f>
        <v>12</v>
      </c>
      <c r="AA279" s="40">
        <f>IF($A279="",0,WEEKDAY($A279))</f>
        <v>5</v>
      </c>
      <c r="AB279" s="36">
        <f>IF(AND($C279="Despesa",U279&gt;0,U279&lt;=Sel_Idx,V279&gt;=Sel_Idx),N(R279)+ROW()/1000000000,0)</f>
        <v>0</v>
      </c>
      <c r="AC279" s="40">
        <f>IF(AND($C279="Despesa",U279&gt;0,U279&lt;=Sel_Idx,V279&gt;=Sel_Idx),Z279*10000+ROW(),0)</f>
        <v>0</v>
      </c>
      <c r="AD279" s="40">
        <f>IF(AC279=0,0,COUNTIFS(L_CalChave,"&gt;0",L_CalChave,"&lt;"&amp;AC279)+1)</f>
        <v>0</v>
      </c>
    </row>
    <row r="280">
      <c r="A280" s="38" t="n">
        <v>46094</v>
      </c>
      <c r="B280" s="39" t="inlineStr">
        <is>
          <t>Combustível</t>
        </is>
      </c>
      <c r="C280" s="34" t="inlineStr">
        <is>
          <t>Despesa</t>
        </is>
      </c>
      <c r="D280" s="34" t="inlineStr">
        <is>
          <t>Transporte</t>
        </is>
      </c>
      <c r="E280" s="34" t="inlineStr">
        <is>
          <t>Combustível</t>
        </is>
      </c>
      <c r="F280" s="34" t="inlineStr">
        <is>
          <t>Cartão Roxinho</t>
        </is>
      </c>
      <c r="G280" s="34" t="inlineStr">
        <is>
          <t>Crédito</t>
        </is>
      </c>
      <c r="H280" s="37" t="n"/>
      <c r="I280" s="37" t="n"/>
      <c r="J280" s="34" t="inlineStr">
        <is>
          <t>Pago</t>
        </is>
      </c>
      <c r="K280" s="34" t="n"/>
      <c r="L280" s="34" t="n"/>
      <c r="M280" s="39" t="inlineStr">
        <is>
          <t>EXEMPLO</t>
        </is>
      </c>
      <c r="N280" s="35" t="n">
        <v>200.48</v>
      </c>
      <c r="O280" s="40">
        <f>IF($A280="","",MONTH($A280))</f>
        <v>3</v>
      </c>
      <c r="P280" s="40">
        <f>IF($A280="","",YEAR($A280))</f>
        <v>2026</v>
      </c>
      <c r="Q280" s="41">
        <f>IF($A280="","",DATE(P280,O280,1))</f>
        <v>46082.0</v>
      </c>
      <c r="R280" s="36">
        <f>IF(OR($A280="",$N280=""),"",IF(AND($C280&lt;&gt;"Transferência",N($I280)&gt;1),$N280/$I280,$N280))</f>
        <v>200.48</v>
      </c>
      <c r="S280" s="41">
        <f>IF(OR($A280="",$F280="",$C280&lt;&gt;"Despesa"),"",IF(COUNTIF(Cartoes_Nome,$F280)=0,"",DATE(P280,O280+IF(DAY($A280)&gt;=INDEX(Cartoes_Fech,MATCH($F280,Cartoes_Nome,0)),1,0),1)))</f>
        <v>46082.0</v>
      </c>
      <c r="T280" s="42" t="str">
        <f>IF($A280="","",IF(COUNTIFS(L_Data,$A280,L_Desc,$B280,L_Valor,$N280,L_Tipo,$C280)&gt;1,"⚠ Possível duplicidade",IF(OR(AND($C280="Despesa",COUNTIF(CatD_Nome,$D280)=0),AND($C280="Receita",COUNTIF(CatR_Nome,$D280)=0)),"⚠ Categoria não combina com o tipo",IF(OR($N280="",$C280=""),"⚠ Falta valor ou tipo",""))))</f>
        <v/>
      </c>
      <c r="U280" s="40">
        <f>IF($A280="",0,P280*12+O280)</f>
        <v>24315</v>
      </c>
      <c r="V280" s="40">
        <f>IF($A280="",0,U280+MAX(0,N($I280)-MAX(N($H280),1)))</f>
        <v>24315</v>
      </c>
      <c r="W280" s="40">
        <f>IF(S280="",0,YEAR(S280)*12+MONTH(S280))</f>
        <v>24315</v>
      </c>
      <c r="X280" s="40">
        <f>IF(W280=0,0,W280+V280-U280)</f>
        <v>24315</v>
      </c>
      <c r="Y280" s="36">
        <f>IF(W280=0,0,N(R280)*MAX(0,X280-MAX(W280,YEAR(Cfg_Hoje)*12+MONTH(Cfg_Hoje)+IF(DAY(Cfg_Hoje)&gt;=INDEX(Cartoes_Fech,MATCH($F280,Cartoes_Nome,0)),1,0))+1))</f>
        <v>0</v>
      </c>
      <c r="Z280" s="40">
        <f>IF($A280="",0,DAY($A280))</f>
        <v>13</v>
      </c>
      <c r="AA280" s="40">
        <f>IF($A280="",0,WEEKDAY($A280))</f>
        <v>6</v>
      </c>
      <c r="AB280" s="36">
        <f>IF(AND($C280="Despesa",U280&gt;0,U280&lt;=Sel_Idx,V280&gt;=Sel_Idx),N(R280)+ROW()/1000000000,0)</f>
        <v>0</v>
      </c>
      <c r="AC280" s="40">
        <f>IF(AND($C280="Despesa",U280&gt;0,U280&lt;=Sel_Idx,V280&gt;=Sel_Idx),Z280*10000+ROW(),0)</f>
        <v>0</v>
      </c>
      <c r="AD280" s="40">
        <f>IF(AC280=0,0,COUNTIFS(L_CalChave,"&gt;0",L_CalChave,"&lt;"&amp;AC280)+1)</f>
        <v>0</v>
      </c>
    </row>
    <row r="281">
      <c r="A281" s="38" t="n">
        <v>46094</v>
      </c>
      <c r="B281" s="39" t="inlineStr">
        <is>
          <t>Supermercado</t>
        </is>
      </c>
      <c r="C281" s="34" t="inlineStr">
        <is>
          <t>Despesa</t>
        </is>
      </c>
      <c r="D281" s="34" t="inlineStr">
        <is>
          <t>Alimentação</t>
        </is>
      </c>
      <c r="E281" s="34" t="inlineStr">
        <is>
          <t>Mercado</t>
        </is>
      </c>
      <c r="F281" s="34" t="inlineStr">
        <is>
          <t>Cartão Azul Gold</t>
        </is>
      </c>
      <c r="G281" s="34" t="inlineStr">
        <is>
          <t>Crédito</t>
        </is>
      </c>
      <c r="H281" s="37" t="n"/>
      <c r="I281" s="37" t="n"/>
      <c r="J281" s="34" t="inlineStr">
        <is>
          <t>Pago</t>
        </is>
      </c>
      <c r="K281" s="34" t="n"/>
      <c r="L281" s="34" t="n"/>
      <c r="M281" s="39" t="inlineStr">
        <is>
          <t>EXEMPLO</t>
        </is>
      </c>
      <c r="N281" s="35" t="n">
        <v>401.56</v>
      </c>
      <c r="O281" s="40">
        <f>IF($A281="","",MONTH($A281))</f>
        <v>3</v>
      </c>
      <c r="P281" s="40">
        <f>IF($A281="","",YEAR($A281))</f>
        <v>2026</v>
      </c>
      <c r="Q281" s="41">
        <f>IF($A281="","",DATE(P281,O281,1))</f>
        <v>46082.0</v>
      </c>
      <c r="R281" s="36">
        <f>IF(OR($A281="",$N281=""),"",IF(AND($C281&lt;&gt;"Transferência",N($I281)&gt;1),$N281/$I281,$N281))</f>
        <v>401.56</v>
      </c>
      <c r="S281" s="41">
        <f>IF(OR($A281="",$F281="",$C281&lt;&gt;"Despesa"),"",IF(COUNTIF(Cartoes_Nome,$F281)=0,"",DATE(P281,O281+IF(DAY($A281)&gt;=INDEX(Cartoes_Fech,MATCH($F281,Cartoes_Nome,0)),1,0),1)))</f>
        <v>46113.0</v>
      </c>
      <c r="T281" s="42" t="str">
        <f>IF($A281="","",IF(COUNTIFS(L_Data,$A281,L_Desc,$B281,L_Valor,$N281,L_Tipo,$C281)&gt;1,"⚠ Possível duplicidade",IF(OR(AND($C281="Despesa",COUNTIF(CatD_Nome,$D281)=0),AND($C281="Receita",COUNTIF(CatR_Nome,$D281)=0)),"⚠ Categoria não combina com o tipo",IF(OR($N281="",$C281=""),"⚠ Falta valor ou tipo",""))))</f>
        <v/>
      </c>
      <c r="U281" s="40">
        <f>IF($A281="",0,P281*12+O281)</f>
        <v>24315</v>
      </c>
      <c r="V281" s="40">
        <f>IF($A281="",0,U281+MAX(0,N($I281)-MAX(N($H281),1)))</f>
        <v>24315</v>
      </c>
      <c r="W281" s="40">
        <f>IF(S281="",0,YEAR(S281)*12+MONTH(S281))</f>
        <v>24316</v>
      </c>
      <c r="X281" s="40">
        <f>IF(W281=0,0,W281+V281-U281)</f>
        <v>24316</v>
      </c>
      <c r="Y281" s="36">
        <f>IF(W281=0,0,N(R281)*MAX(0,X281-MAX(W281,YEAR(Cfg_Hoje)*12+MONTH(Cfg_Hoje)+IF(DAY(Cfg_Hoje)&gt;=INDEX(Cartoes_Fech,MATCH($F281,Cartoes_Nome,0)),1,0))+1))</f>
        <v>0</v>
      </c>
      <c r="Z281" s="40">
        <f>IF($A281="",0,DAY($A281))</f>
        <v>13</v>
      </c>
      <c r="AA281" s="40">
        <f>IF($A281="",0,WEEKDAY($A281))</f>
        <v>6</v>
      </c>
      <c r="AB281" s="36">
        <f>IF(AND($C281="Despesa",U281&gt;0,U281&lt;=Sel_Idx,V281&gt;=Sel_Idx),N(R281)+ROW()/1000000000,0)</f>
        <v>0</v>
      </c>
      <c r="AC281" s="40">
        <f>IF(AND($C281="Despesa",U281&gt;0,U281&lt;=Sel_Idx,V281&gt;=Sel_Idx),Z281*10000+ROW(),0)</f>
        <v>0</v>
      </c>
      <c r="AD281" s="40">
        <f>IF(AC281=0,0,COUNTIFS(L_CalChave,"&gt;0",L_CalChave,"&lt;"&amp;AC281)+1)</f>
        <v>0</v>
      </c>
    </row>
    <row r="282">
      <c r="A282" s="38" t="n">
        <v>46095</v>
      </c>
      <c r="B282" s="39" t="inlineStr">
        <is>
          <t>Armazenamento em nuvem</t>
        </is>
      </c>
      <c r="C282" s="34" t="inlineStr">
        <is>
          <t>Despesa</t>
        </is>
      </c>
      <c r="D282" s="34" t="inlineStr">
        <is>
          <t>Assinaturas</t>
        </is>
      </c>
      <c r="E282" s="34" t="inlineStr">
        <is>
          <t>Nuvem</t>
        </is>
      </c>
      <c r="F282" s="34" t="inlineStr">
        <is>
          <t>Cartão Azul Gold</t>
        </is>
      </c>
      <c r="G282" s="34" t="inlineStr">
        <is>
          <t>Crédito</t>
        </is>
      </c>
      <c r="H282" s="37" t="n"/>
      <c r="I282" s="37" t="n"/>
      <c r="J282" s="34" t="inlineStr">
        <is>
          <t>Pago</t>
        </is>
      </c>
      <c r="K282" s="34" t="n"/>
      <c r="L282" s="34" t="n"/>
      <c r="M282" s="39" t="inlineStr">
        <is>
          <t>EXEMPLO</t>
        </is>
      </c>
      <c r="N282" s="35" t="n">
        <v>14.9</v>
      </c>
      <c r="O282" s="40">
        <f>IF($A282="","",MONTH($A282))</f>
        <v>3</v>
      </c>
      <c r="P282" s="40">
        <f>IF($A282="","",YEAR($A282))</f>
        <v>2026</v>
      </c>
      <c r="Q282" s="41">
        <f>IF($A282="","",DATE(P282,O282,1))</f>
        <v>46082.0</v>
      </c>
      <c r="R282" s="36">
        <f>IF(OR($A282="",$N282=""),"",IF(AND($C282&lt;&gt;"Transferência",N($I282)&gt;1),$N282/$I282,$N282))</f>
        <v>14.9</v>
      </c>
      <c r="S282" s="41">
        <f>IF(OR($A282="",$F282="",$C282&lt;&gt;"Despesa"),"",IF(COUNTIF(Cartoes_Nome,$F282)=0,"",DATE(P282,O282+IF(DAY($A282)&gt;=INDEX(Cartoes_Fech,MATCH($F282,Cartoes_Nome,0)),1,0),1)))</f>
        <v>46113.0</v>
      </c>
      <c r="T282" s="42" t="str">
        <f>IF($A282="","",IF(COUNTIFS(L_Data,$A282,L_Desc,$B282,L_Valor,$N282,L_Tipo,$C282)&gt;1,"⚠ Possível duplicidade",IF(OR(AND($C282="Despesa",COUNTIF(CatD_Nome,$D282)=0),AND($C282="Receita",COUNTIF(CatR_Nome,$D282)=0)),"⚠ Categoria não combina com o tipo",IF(OR($N282="",$C282=""),"⚠ Falta valor ou tipo",""))))</f>
        <v/>
      </c>
      <c r="U282" s="40">
        <f>IF($A282="",0,P282*12+O282)</f>
        <v>24315</v>
      </c>
      <c r="V282" s="40">
        <f>IF($A282="",0,U282+MAX(0,N($I282)-MAX(N($H282),1)))</f>
        <v>24315</v>
      </c>
      <c r="W282" s="40">
        <f>IF(S282="",0,YEAR(S282)*12+MONTH(S282))</f>
        <v>24316</v>
      </c>
      <c r="X282" s="40">
        <f>IF(W282=0,0,W282+V282-U282)</f>
        <v>24316</v>
      </c>
      <c r="Y282" s="36">
        <f>IF(W282=0,0,N(R282)*MAX(0,X282-MAX(W282,YEAR(Cfg_Hoje)*12+MONTH(Cfg_Hoje)+IF(DAY(Cfg_Hoje)&gt;=INDEX(Cartoes_Fech,MATCH($F282,Cartoes_Nome,0)),1,0))+1))</f>
        <v>0</v>
      </c>
      <c r="Z282" s="40">
        <f>IF($A282="",0,DAY($A282))</f>
        <v>14</v>
      </c>
      <c r="AA282" s="40">
        <f>IF($A282="",0,WEEKDAY($A282))</f>
        <v>7</v>
      </c>
      <c r="AB282" s="36">
        <f>IF(AND($C282="Despesa",U282&gt;0,U282&lt;=Sel_Idx,V282&gt;=Sel_Idx),N(R282)+ROW()/1000000000,0)</f>
        <v>0</v>
      </c>
      <c r="AC282" s="40">
        <f>IF(AND($C282="Despesa",U282&gt;0,U282&lt;=Sel_Idx,V282&gt;=Sel_Idx),Z282*10000+ROW(),0)</f>
        <v>0</v>
      </c>
      <c r="AD282" s="40">
        <f>IF(AC282=0,0,COUNTIFS(L_CalChave,"&gt;0",L_CalChave,"&lt;"&amp;AC282)+1)</f>
        <v>0</v>
      </c>
    </row>
    <row r="283">
      <c r="A283" s="38" t="n">
        <v>46096</v>
      </c>
      <c r="B283" s="39" t="inlineStr">
        <is>
          <t>Conta de energia</t>
        </is>
      </c>
      <c r="C283" s="34" t="inlineStr">
        <is>
          <t>Despesa</t>
        </is>
      </c>
      <c r="D283" s="34" t="inlineStr">
        <is>
          <t>Moradia</t>
        </is>
      </c>
      <c r="E283" s="34" t="inlineStr">
        <is>
          <t>Energia</t>
        </is>
      </c>
      <c r="F283" s="34" t="inlineStr">
        <is>
          <t>Conta Corrente Banco Azul</t>
        </is>
      </c>
      <c r="G283" s="34" t="inlineStr">
        <is>
          <t>Débito automático</t>
        </is>
      </c>
      <c r="H283" s="37" t="n"/>
      <c r="I283" s="37" t="n"/>
      <c r="J283" s="34" t="inlineStr">
        <is>
          <t>Pago</t>
        </is>
      </c>
      <c r="K283" s="34" t="n"/>
      <c r="L283" s="34" t="n"/>
      <c r="M283" s="39" t="inlineStr">
        <is>
          <t>EXEMPLO</t>
        </is>
      </c>
      <c r="N283" s="35" t="n">
        <v>205.44</v>
      </c>
      <c r="O283" s="40">
        <f>IF($A283="","",MONTH($A283))</f>
        <v>3</v>
      </c>
      <c r="P283" s="40">
        <f>IF($A283="","",YEAR($A283))</f>
        <v>2026</v>
      </c>
      <c r="Q283" s="41">
        <f>IF($A283="","",DATE(P283,O283,1))</f>
        <v>46082.0</v>
      </c>
      <c r="R283" s="36">
        <f>IF(OR($A283="",$N283=""),"",IF(AND($C283&lt;&gt;"Transferência",N($I283)&gt;1),$N283/$I283,$N283))</f>
        <v>205.44</v>
      </c>
      <c r="S283" s="41" t="str">
        <f>IF(OR($A283="",$F283="",$C283&lt;&gt;"Despesa"),"",IF(COUNTIF(Cartoes_Nome,$F283)=0,"",DATE(P283,O283+IF(DAY($A283)&gt;=INDEX(Cartoes_Fech,MATCH($F283,Cartoes_Nome,0)),1,0),1)))</f>
        <v/>
      </c>
      <c r="T283" s="42" t="str">
        <f>IF($A283="","",IF(COUNTIFS(L_Data,$A283,L_Desc,$B283,L_Valor,$N283,L_Tipo,$C283)&gt;1,"⚠ Possível duplicidade",IF(OR(AND($C283="Despesa",COUNTIF(CatD_Nome,$D283)=0),AND($C283="Receita",COUNTIF(CatR_Nome,$D283)=0)),"⚠ Categoria não combina com o tipo",IF(OR($N283="",$C283=""),"⚠ Falta valor ou tipo",""))))</f>
        <v/>
      </c>
      <c r="U283" s="40">
        <f>IF($A283="",0,P283*12+O283)</f>
        <v>24315</v>
      </c>
      <c r="V283" s="40">
        <f>IF($A283="",0,U283+MAX(0,N($I283)-MAX(N($H283),1)))</f>
        <v>24315</v>
      </c>
      <c r="W283" s="40">
        <f>IF(S283="",0,YEAR(S283)*12+MONTH(S283))</f>
        <v>0</v>
      </c>
      <c r="X283" s="40">
        <f>IF(W283=0,0,W283+V283-U283)</f>
        <v>0</v>
      </c>
      <c r="Y283" s="36">
        <f>IF(W283=0,0,N(R283)*MAX(0,X283-MAX(W283,YEAR(Cfg_Hoje)*12+MONTH(Cfg_Hoje)+IF(DAY(Cfg_Hoje)&gt;=INDEX(Cartoes_Fech,MATCH($F283,Cartoes_Nome,0)),1,0))+1))</f>
        <v>0</v>
      </c>
      <c r="Z283" s="40">
        <f>IF($A283="",0,DAY($A283))</f>
        <v>15</v>
      </c>
      <c r="AA283" s="40">
        <f>IF($A283="",0,WEEKDAY($A283))</f>
        <v>1</v>
      </c>
      <c r="AB283" s="36">
        <f>IF(AND($C283="Despesa",U283&gt;0,U283&lt;=Sel_Idx,V283&gt;=Sel_Idx),N(R283)+ROW()/1000000000,0)</f>
        <v>0</v>
      </c>
      <c r="AC283" s="40">
        <f>IF(AND($C283="Despesa",U283&gt;0,U283&lt;=Sel_Idx,V283&gt;=Sel_Idx),Z283*10000+ROW(),0)</f>
        <v>0</v>
      </c>
      <c r="AD283" s="40">
        <f>IF(AC283=0,0,COUNTIFS(L_CalChave,"&gt;0",L_CalChave,"&lt;"&amp;AC283)+1)</f>
        <v>0</v>
      </c>
    </row>
    <row r="284">
      <c r="A284" s="38" t="n">
        <v>46096</v>
      </c>
      <c r="B284" s="39" t="inlineStr">
        <is>
          <t>Conta de água</t>
        </is>
      </c>
      <c r="C284" s="34" t="inlineStr">
        <is>
          <t>Despesa</t>
        </is>
      </c>
      <c r="D284" s="34" t="inlineStr">
        <is>
          <t>Moradia</t>
        </is>
      </c>
      <c r="E284" s="34" t="inlineStr">
        <is>
          <t>Água</t>
        </is>
      </c>
      <c r="F284" s="34" t="inlineStr">
        <is>
          <t>Conta Corrente Banco Azul</t>
        </is>
      </c>
      <c r="G284" s="34" t="inlineStr">
        <is>
          <t>Débito automático</t>
        </is>
      </c>
      <c r="H284" s="37" t="n"/>
      <c r="I284" s="37" t="n"/>
      <c r="J284" s="34" t="inlineStr">
        <is>
          <t>Pago</t>
        </is>
      </c>
      <c r="K284" s="34" t="n"/>
      <c r="L284" s="34" t="n"/>
      <c r="M284" s="39" t="inlineStr">
        <is>
          <t>EXEMPLO</t>
        </is>
      </c>
      <c r="N284" s="35" t="n">
        <v>100.77</v>
      </c>
      <c r="O284" s="40">
        <f>IF($A284="","",MONTH($A284))</f>
        <v>3</v>
      </c>
      <c r="P284" s="40">
        <f>IF($A284="","",YEAR($A284))</f>
        <v>2026</v>
      </c>
      <c r="Q284" s="41">
        <f>IF($A284="","",DATE(P284,O284,1))</f>
        <v>46082.0</v>
      </c>
      <c r="R284" s="36">
        <f>IF(OR($A284="",$N284=""),"",IF(AND($C284&lt;&gt;"Transferência",N($I284)&gt;1),$N284/$I284,$N284))</f>
        <v>100.77</v>
      </c>
      <c r="S284" s="41" t="str">
        <f>IF(OR($A284="",$F284="",$C284&lt;&gt;"Despesa"),"",IF(COUNTIF(Cartoes_Nome,$F284)=0,"",DATE(P284,O284+IF(DAY($A284)&gt;=INDEX(Cartoes_Fech,MATCH($F284,Cartoes_Nome,0)),1,0),1)))</f>
        <v/>
      </c>
      <c r="T284" s="42" t="str">
        <f>IF($A284="","",IF(COUNTIFS(L_Data,$A284,L_Desc,$B284,L_Valor,$N284,L_Tipo,$C284)&gt;1,"⚠ Possível duplicidade",IF(OR(AND($C284="Despesa",COUNTIF(CatD_Nome,$D284)=0),AND($C284="Receita",COUNTIF(CatR_Nome,$D284)=0)),"⚠ Categoria não combina com o tipo",IF(OR($N284="",$C284=""),"⚠ Falta valor ou tipo",""))))</f>
        <v/>
      </c>
      <c r="U284" s="40">
        <f>IF($A284="",0,P284*12+O284)</f>
        <v>24315</v>
      </c>
      <c r="V284" s="40">
        <f>IF($A284="",0,U284+MAX(0,N($I284)-MAX(N($H284),1)))</f>
        <v>24315</v>
      </c>
      <c r="W284" s="40">
        <f>IF(S284="",0,YEAR(S284)*12+MONTH(S284))</f>
        <v>0</v>
      </c>
      <c r="X284" s="40">
        <f>IF(W284=0,0,W284+V284-U284)</f>
        <v>0</v>
      </c>
      <c r="Y284" s="36">
        <f>IF(W284=0,0,N(R284)*MAX(0,X284-MAX(W284,YEAR(Cfg_Hoje)*12+MONTH(Cfg_Hoje)+IF(DAY(Cfg_Hoje)&gt;=INDEX(Cartoes_Fech,MATCH($F284,Cartoes_Nome,0)),1,0))+1))</f>
        <v>0</v>
      </c>
      <c r="Z284" s="40">
        <f>IF($A284="",0,DAY($A284))</f>
        <v>15</v>
      </c>
      <c r="AA284" s="40">
        <f>IF($A284="",0,WEEKDAY($A284))</f>
        <v>1</v>
      </c>
      <c r="AB284" s="36">
        <f>IF(AND($C284="Despesa",U284&gt;0,U284&lt;=Sel_Idx,V284&gt;=Sel_Idx),N(R284)+ROW()/1000000000,0)</f>
        <v>0</v>
      </c>
      <c r="AC284" s="40">
        <f>IF(AND($C284="Despesa",U284&gt;0,U284&lt;=Sel_Idx,V284&gt;=Sel_Idx),Z284*10000+ROW(),0)</f>
        <v>0</v>
      </c>
      <c r="AD284" s="40">
        <f>IF(AC284=0,0,COUNTIFS(L_CalChave,"&gt;0",L_CalChave,"&lt;"&amp;AC284)+1)</f>
        <v>0</v>
      </c>
    </row>
    <row r="285">
      <c r="A285" s="38" t="n">
        <v>46097</v>
      </c>
      <c r="B285" s="39" t="inlineStr">
        <is>
          <t>Show</t>
        </is>
      </c>
      <c r="C285" s="34" t="inlineStr">
        <is>
          <t>Despesa</t>
        </is>
      </c>
      <c r="D285" s="34" t="inlineStr">
        <is>
          <t>Lazer</t>
        </is>
      </c>
      <c r="E285" s="34" t="inlineStr">
        <is>
          <t>Bares</t>
        </is>
      </c>
      <c r="F285" s="34" t="inlineStr">
        <is>
          <t>Cartão Azul Gold</t>
        </is>
      </c>
      <c r="G285" s="34" t="inlineStr">
        <is>
          <t>Crédito</t>
        </is>
      </c>
      <c r="H285" s="37" t="n"/>
      <c r="I285" s="37" t="n"/>
      <c r="J285" s="34" t="inlineStr">
        <is>
          <t>Pago</t>
        </is>
      </c>
      <c r="K285" s="34" t="n"/>
      <c r="L285" s="34" t="n"/>
      <c r="M285" s="39" t="inlineStr">
        <is>
          <t>EXEMPLO</t>
        </is>
      </c>
      <c r="N285" s="35" t="n">
        <v>78.03</v>
      </c>
      <c r="O285" s="40">
        <f>IF($A285="","",MONTH($A285))</f>
        <v>3</v>
      </c>
      <c r="P285" s="40">
        <f>IF($A285="","",YEAR($A285))</f>
        <v>2026</v>
      </c>
      <c r="Q285" s="41">
        <f>IF($A285="","",DATE(P285,O285,1))</f>
        <v>46082.0</v>
      </c>
      <c r="R285" s="36">
        <f>IF(OR($A285="",$N285=""),"",IF(AND($C285&lt;&gt;"Transferência",N($I285)&gt;1),$N285/$I285,$N285))</f>
        <v>78.03</v>
      </c>
      <c r="S285" s="41">
        <f>IF(OR($A285="",$F285="",$C285&lt;&gt;"Despesa"),"",IF(COUNTIF(Cartoes_Nome,$F285)=0,"",DATE(P285,O285+IF(DAY($A285)&gt;=INDEX(Cartoes_Fech,MATCH($F285,Cartoes_Nome,0)),1,0),1)))</f>
        <v>46113.0</v>
      </c>
      <c r="T285" s="42" t="str">
        <f>IF($A285="","",IF(COUNTIFS(L_Data,$A285,L_Desc,$B285,L_Valor,$N285,L_Tipo,$C285)&gt;1,"⚠ Possível duplicidade",IF(OR(AND($C285="Despesa",COUNTIF(CatD_Nome,$D285)=0),AND($C285="Receita",COUNTIF(CatR_Nome,$D285)=0)),"⚠ Categoria não combina com o tipo",IF(OR($N285="",$C285=""),"⚠ Falta valor ou tipo",""))))</f>
        <v/>
      </c>
      <c r="U285" s="40">
        <f>IF($A285="",0,P285*12+O285)</f>
        <v>24315</v>
      </c>
      <c r="V285" s="40">
        <f>IF($A285="",0,U285+MAX(0,N($I285)-MAX(N($H285),1)))</f>
        <v>24315</v>
      </c>
      <c r="W285" s="40">
        <f>IF(S285="",0,YEAR(S285)*12+MONTH(S285))</f>
        <v>24316</v>
      </c>
      <c r="X285" s="40">
        <f>IF(W285=0,0,W285+V285-U285)</f>
        <v>24316</v>
      </c>
      <c r="Y285" s="36">
        <f>IF(W285=0,0,N(R285)*MAX(0,X285-MAX(W285,YEAR(Cfg_Hoje)*12+MONTH(Cfg_Hoje)+IF(DAY(Cfg_Hoje)&gt;=INDEX(Cartoes_Fech,MATCH($F285,Cartoes_Nome,0)),1,0))+1))</f>
        <v>0</v>
      </c>
      <c r="Z285" s="40">
        <f>IF($A285="",0,DAY($A285))</f>
        <v>16</v>
      </c>
      <c r="AA285" s="40">
        <f>IF($A285="",0,WEEKDAY($A285))</f>
        <v>2</v>
      </c>
      <c r="AB285" s="36">
        <f>IF(AND($C285="Despesa",U285&gt;0,U285&lt;=Sel_Idx,V285&gt;=Sel_Idx),N(R285)+ROW()/1000000000,0)</f>
        <v>0</v>
      </c>
      <c r="AC285" s="40">
        <f>IF(AND($C285="Despesa",U285&gt;0,U285&lt;=Sel_Idx,V285&gt;=Sel_Idx),Z285*10000+ROW(),0)</f>
        <v>0</v>
      </c>
      <c r="AD285" s="40">
        <f>IF(AC285=0,0,COUNTIFS(L_CalChave,"&gt;0",L_CalChave,"&lt;"&amp;AC285)+1)</f>
        <v>0</v>
      </c>
    </row>
    <row r="286">
      <c r="A286" s="38" t="n">
        <v>46098</v>
      </c>
      <c r="B286" s="39" t="inlineStr">
        <is>
          <t>Delivery de comida</t>
        </is>
      </c>
      <c r="C286" s="34" t="inlineStr">
        <is>
          <t>Despesa</t>
        </is>
      </c>
      <c r="D286" s="34" t="inlineStr">
        <is>
          <t>Alimentação</t>
        </is>
      </c>
      <c r="E286" s="34" t="inlineStr">
        <is>
          <t>Delivery</t>
        </is>
      </c>
      <c r="F286" s="34" t="inlineStr">
        <is>
          <t>Cartão Roxinho</t>
        </is>
      </c>
      <c r="G286" s="34" t="inlineStr">
        <is>
          <t>Crédito</t>
        </is>
      </c>
      <c r="H286" s="37" t="n"/>
      <c r="I286" s="37" t="n"/>
      <c r="J286" s="34" t="inlineStr">
        <is>
          <t>Pago</t>
        </is>
      </c>
      <c r="K286" s="34" t="n"/>
      <c r="L286" s="34" t="n"/>
      <c r="M286" s="39" t="inlineStr">
        <is>
          <t>EXEMPLO</t>
        </is>
      </c>
      <c r="N286" s="35" t="n">
        <v>69.73</v>
      </c>
      <c r="O286" s="40">
        <f>IF($A286="","",MONTH($A286))</f>
        <v>3</v>
      </c>
      <c r="P286" s="40">
        <f>IF($A286="","",YEAR($A286))</f>
        <v>2026</v>
      </c>
      <c r="Q286" s="41">
        <f>IF($A286="","",DATE(P286,O286,1))</f>
        <v>46082.0</v>
      </c>
      <c r="R286" s="36">
        <f>IF(OR($A286="",$N286=""),"",IF(AND($C286&lt;&gt;"Transferência",N($I286)&gt;1),$N286/$I286,$N286))</f>
        <v>69.73</v>
      </c>
      <c r="S286" s="41">
        <f>IF(OR($A286="",$F286="",$C286&lt;&gt;"Despesa"),"",IF(COUNTIF(Cartoes_Nome,$F286)=0,"",DATE(P286,O286+IF(DAY($A286)&gt;=INDEX(Cartoes_Fech,MATCH($F286,Cartoes_Nome,0)),1,0),1)))</f>
        <v>46082.0</v>
      </c>
      <c r="T286" s="42" t="str">
        <f>IF($A286="","",IF(COUNTIFS(L_Data,$A286,L_Desc,$B286,L_Valor,$N286,L_Tipo,$C286)&gt;1,"⚠ Possível duplicidade",IF(OR(AND($C286="Despesa",COUNTIF(CatD_Nome,$D286)=0),AND($C286="Receita",COUNTIF(CatR_Nome,$D286)=0)),"⚠ Categoria não combina com o tipo",IF(OR($N286="",$C286=""),"⚠ Falta valor ou tipo",""))))</f>
        <v/>
      </c>
      <c r="U286" s="40">
        <f>IF($A286="",0,P286*12+O286)</f>
        <v>24315</v>
      </c>
      <c r="V286" s="40">
        <f>IF($A286="",0,U286+MAX(0,N($I286)-MAX(N($H286),1)))</f>
        <v>24315</v>
      </c>
      <c r="W286" s="40">
        <f>IF(S286="",0,YEAR(S286)*12+MONTH(S286))</f>
        <v>24315</v>
      </c>
      <c r="X286" s="40">
        <f>IF(W286=0,0,W286+V286-U286)</f>
        <v>24315</v>
      </c>
      <c r="Y286" s="36">
        <f>IF(W286=0,0,N(R286)*MAX(0,X286-MAX(W286,YEAR(Cfg_Hoje)*12+MONTH(Cfg_Hoje)+IF(DAY(Cfg_Hoje)&gt;=INDEX(Cartoes_Fech,MATCH($F286,Cartoes_Nome,0)),1,0))+1))</f>
        <v>0</v>
      </c>
      <c r="Z286" s="40">
        <f>IF($A286="",0,DAY($A286))</f>
        <v>17</v>
      </c>
      <c r="AA286" s="40">
        <f>IF($A286="",0,WEEKDAY($A286))</f>
        <v>3</v>
      </c>
      <c r="AB286" s="36">
        <f>IF(AND($C286="Despesa",U286&gt;0,U286&lt;=Sel_Idx,V286&gt;=Sel_Idx),N(R286)+ROW()/1000000000,0)</f>
        <v>0</v>
      </c>
      <c r="AC286" s="40">
        <f>IF(AND($C286="Despesa",U286&gt;0,U286&lt;=Sel_Idx,V286&gt;=Sel_Idx),Z286*10000+ROW(),0)</f>
        <v>0</v>
      </c>
      <c r="AD286" s="40">
        <f>IF(AC286=0,0,COUNTIFS(L_CalChave,"&gt;0",L_CalChave,"&lt;"&amp;AC286)+1)</f>
        <v>0</v>
      </c>
    </row>
    <row r="287">
      <c r="A287" s="38" t="n">
        <v>46098</v>
      </c>
      <c r="B287" s="39" t="inlineStr">
        <is>
          <t>Pagamento fatura Cartão Azul Gold</t>
        </is>
      </c>
      <c r="C287" s="34" t="inlineStr">
        <is>
          <t>Transferência</t>
        </is>
      </c>
      <c r="D287" s="34" t="n"/>
      <c r="E287" s="34" t="n"/>
      <c r="F287" s="34" t="inlineStr">
        <is>
          <t>Conta Corrente Banco Azul</t>
        </is>
      </c>
      <c r="G287" s="34" t="inlineStr">
        <is>
          <t>Débito automático</t>
        </is>
      </c>
      <c r="H287" s="37" t="n"/>
      <c r="I287" s="37" t="n"/>
      <c r="J287" s="34" t="inlineStr">
        <is>
          <t>Pago</t>
        </is>
      </c>
      <c r="K287" s="34" t="n"/>
      <c r="L287" s="34" t="n"/>
      <c r="M287" s="39" t="inlineStr">
        <is>
          <t>EXEMPLO</t>
        </is>
      </c>
      <c r="N287" s="35" t="n">
        <v>-1907.26</v>
      </c>
      <c r="O287" s="40">
        <f>IF($A287="","",MONTH($A287))</f>
        <v>3</v>
      </c>
      <c r="P287" s="40">
        <f>IF($A287="","",YEAR($A287))</f>
        <v>2026</v>
      </c>
      <c r="Q287" s="41">
        <f>IF($A287="","",DATE(P287,O287,1))</f>
        <v>46082.0</v>
      </c>
      <c r="R287" s="36">
        <f>IF(OR($A287="",$N287=""),"",IF(AND($C287&lt;&gt;"Transferência",N($I287)&gt;1),$N287/$I287,$N287))</f>
        <v>-1907.26</v>
      </c>
      <c r="S287" s="41" t="str">
        <f>IF(OR($A287="",$F287="",$C287&lt;&gt;"Despesa"),"",IF(COUNTIF(Cartoes_Nome,$F287)=0,"",DATE(P287,O287+IF(DAY($A287)&gt;=INDEX(Cartoes_Fech,MATCH($F287,Cartoes_Nome,0)),1,0),1)))</f>
        <v/>
      </c>
      <c r="T287" s="42" t="str">
        <f>IF($A287="","",IF(COUNTIFS(L_Data,$A287,L_Desc,$B287,L_Valor,$N287,L_Tipo,$C287)&gt;1,"⚠ Possível duplicidade",IF(OR(AND($C287="Despesa",COUNTIF(CatD_Nome,$D287)=0),AND($C287="Receita",COUNTIF(CatR_Nome,$D287)=0)),"⚠ Categoria não combina com o tipo",IF(OR($N287="",$C287=""),"⚠ Falta valor ou tipo",""))))</f>
        <v/>
      </c>
      <c r="U287" s="40">
        <f>IF($A287="",0,P287*12+O287)</f>
        <v>24315</v>
      </c>
      <c r="V287" s="40">
        <f>IF($A287="",0,U287+MAX(0,N($I287)-MAX(N($H287),1)))</f>
        <v>24315</v>
      </c>
      <c r="W287" s="40">
        <f>IF(S287="",0,YEAR(S287)*12+MONTH(S287))</f>
        <v>0</v>
      </c>
      <c r="X287" s="40">
        <f>IF(W287=0,0,W287+V287-U287)</f>
        <v>0</v>
      </c>
      <c r="Y287" s="36">
        <f>IF(W287=0,0,N(R287)*MAX(0,X287-MAX(W287,YEAR(Cfg_Hoje)*12+MONTH(Cfg_Hoje)+IF(DAY(Cfg_Hoje)&gt;=INDEX(Cartoes_Fech,MATCH($F287,Cartoes_Nome,0)),1,0))+1))</f>
        <v>0</v>
      </c>
      <c r="Z287" s="40">
        <f>IF($A287="",0,DAY($A287))</f>
        <v>17</v>
      </c>
      <c r="AA287" s="40">
        <f>IF($A287="",0,WEEKDAY($A287))</f>
        <v>3</v>
      </c>
      <c r="AB287" s="36">
        <f>IF(AND($C287="Despesa",U287&gt;0,U287&lt;=Sel_Idx,V287&gt;=Sel_Idx),N(R287)+ROW()/1000000000,0)</f>
        <v>0</v>
      </c>
      <c r="AC287" s="40">
        <f>IF(AND($C287="Despesa",U287&gt;0,U287&lt;=Sel_Idx,V287&gt;=Sel_Idx),Z287*10000+ROW(),0)</f>
        <v>0</v>
      </c>
      <c r="AD287" s="40">
        <f>IF(AC287=0,0,COUNTIFS(L_CalChave,"&gt;0",L_CalChave,"&lt;"&amp;AC287)+1)</f>
        <v>0</v>
      </c>
    </row>
    <row r="288">
      <c r="A288" s="38" t="n">
        <v>46100</v>
      </c>
      <c r="B288" s="39" t="inlineStr">
        <is>
          <t>Farmácia</t>
        </is>
      </c>
      <c r="C288" s="34" t="inlineStr">
        <is>
          <t>Despesa</t>
        </is>
      </c>
      <c r="D288" s="34" t="inlineStr">
        <is>
          <t>Saúde</t>
        </is>
      </c>
      <c r="E288" s="34" t="inlineStr">
        <is>
          <t>Farmácia</t>
        </is>
      </c>
      <c r="F288" s="34" t="inlineStr">
        <is>
          <t>Cartão Azul Gold</t>
        </is>
      </c>
      <c r="G288" s="34" t="inlineStr">
        <is>
          <t>Crédito</t>
        </is>
      </c>
      <c r="H288" s="37" t="n"/>
      <c r="I288" s="37" t="n"/>
      <c r="J288" s="34" t="inlineStr">
        <is>
          <t>Pago</t>
        </is>
      </c>
      <c r="K288" s="34" t="n"/>
      <c r="L288" s="34" t="n"/>
      <c r="M288" s="39" t="inlineStr">
        <is>
          <t>EXEMPLO</t>
        </is>
      </c>
      <c r="N288" s="35" t="n">
        <v>155.59</v>
      </c>
      <c r="O288" s="40">
        <f>IF($A288="","",MONTH($A288))</f>
        <v>3</v>
      </c>
      <c r="P288" s="40">
        <f>IF($A288="","",YEAR($A288))</f>
        <v>2026</v>
      </c>
      <c r="Q288" s="41">
        <f>IF($A288="","",DATE(P288,O288,1))</f>
        <v>46082.0</v>
      </c>
      <c r="R288" s="36">
        <f>IF(OR($A288="",$N288=""),"",IF(AND($C288&lt;&gt;"Transferência",N($I288)&gt;1),$N288/$I288,$N288))</f>
        <v>155.59</v>
      </c>
      <c r="S288" s="41">
        <f>IF(OR($A288="",$F288="",$C288&lt;&gt;"Despesa"),"",IF(COUNTIF(Cartoes_Nome,$F288)=0,"",DATE(P288,O288+IF(DAY($A288)&gt;=INDEX(Cartoes_Fech,MATCH($F288,Cartoes_Nome,0)),1,0),1)))</f>
        <v>46113.0</v>
      </c>
      <c r="T288" s="42" t="str">
        <f>IF($A288="","",IF(COUNTIFS(L_Data,$A288,L_Desc,$B288,L_Valor,$N288,L_Tipo,$C288)&gt;1,"⚠ Possível duplicidade",IF(OR(AND($C288="Despesa",COUNTIF(CatD_Nome,$D288)=0),AND($C288="Receita",COUNTIF(CatR_Nome,$D288)=0)),"⚠ Categoria não combina com o tipo",IF(OR($N288="",$C288=""),"⚠ Falta valor ou tipo",""))))</f>
        <v/>
      </c>
      <c r="U288" s="40">
        <f>IF($A288="",0,P288*12+O288)</f>
        <v>24315</v>
      </c>
      <c r="V288" s="40">
        <f>IF($A288="",0,U288+MAX(0,N($I288)-MAX(N($H288),1)))</f>
        <v>24315</v>
      </c>
      <c r="W288" s="40">
        <f>IF(S288="",0,YEAR(S288)*12+MONTH(S288))</f>
        <v>24316</v>
      </c>
      <c r="X288" s="40">
        <f>IF(W288=0,0,W288+V288-U288)</f>
        <v>24316</v>
      </c>
      <c r="Y288" s="36">
        <f>IF(W288=0,0,N(R288)*MAX(0,X288-MAX(W288,YEAR(Cfg_Hoje)*12+MONTH(Cfg_Hoje)+IF(DAY(Cfg_Hoje)&gt;=INDEX(Cartoes_Fech,MATCH($F288,Cartoes_Nome,0)),1,0))+1))</f>
        <v>0</v>
      </c>
      <c r="Z288" s="40">
        <f>IF($A288="",0,DAY($A288))</f>
        <v>19</v>
      </c>
      <c r="AA288" s="40">
        <f>IF($A288="",0,WEEKDAY($A288))</f>
        <v>5</v>
      </c>
      <c r="AB288" s="36">
        <f>IF(AND($C288="Despesa",U288&gt;0,U288&lt;=Sel_Idx,V288&gt;=Sel_Idx),N(R288)+ROW()/1000000000,0)</f>
        <v>0</v>
      </c>
      <c r="AC288" s="40">
        <f>IF(AND($C288="Despesa",U288&gt;0,U288&lt;=Sel_Idx,V288&gt;=Sel_Idx),Z288*10000+ROW(),0)</f>
        <v>0</v>
      </c>
      <c r="AD288" s="40">
        <f>IF(AC288=0,0,COUNTIFS(L_CalChave,"&gt;0",L_CalChave,"&lt;"&amp;AC288)+1)</f>
        <v>0</v>
      </c>
    </row>
    <row r="289">
      <c r="A289" s="38" t="n">
        <v>46100</v>
      </c>
      <c r="B289" s="39" t="inlineStr">
        <is>
          <t>Supermercado</t>
        </is>
      </c>
      <c r="C289" s="34" t="inlineStr">
        <is>
          <t>Despesa</t>
        </is>
      </c>
      <c r="D289" s="34" t="inlineStr">
        <is>
          <t>Alimentação</t>
        </is>
      </c>
      <c r="E289" s="34" t="inlineStr">
        <is>
          <t>Mercado</t>
        </is>
      </c>
      <c r="F289" s="34" t="inlineStr">
        <is>
          <t>Conta Corrente Banco Azul</t>
        </is>
      </c>
      <c r="G289" s="34" t="inlineStr">
        <is>
          <t>Débito</t>
        </is>
      </c>
      <c r="H289" s="37" t="n"/>
      <c r="I289" s="37" t="n"/>
      <c r="J289" s="34" t="inlineStr">
        <is>
          <t>Pago</t>
        </is>
      </c>
      <c r="K289" s="34" t="n"/>
      <c r="L289" s="34" t="n"/>
      <c r="M289" s="39" t="inlineStr">
        <is>
          <t>EXEMPLO</t>
        </is>
      </c>
      <c r="N289" s="35" t="n">
        <v>267.52</v>
      </c>
      <c r="O289" s="40">
        <f>IF($A289="","",MONTH($A289))</f>
        <v>3</v>
      </c>
      <c r="P289" s="40">
        <f>IF($A289="","",YEAR($A289))</f>
        <v>2026</v>
      </c>
      <c r="Q289" s="41">
        <f>IF($A289="","",DATE(P289,O289,1))</f>
        <v>46082.0</v>
      </c>
      <c r="R289" s="36">
        <f>IF(OR($A289="",$N289=""),"",IF(AND($C289&lt;&gt;"Transferência",N($I289)&gt;1),$N289/$I289,$N289))</f>
        <v>267.52</v>
      </c>
      <c r="S289" s="41" t="str">
        <f>IF(OR($A289="",$F289="",$C289&lt;&gt;"Despesa"),"",IF(COUNTIF(Cartoes_Nome,$F289)=0,"",DATE(P289,O289+IF(DAY($A289)&gt;=INDEX(Cartoes_Fech,MATCH($F289,Cartoes_Nome,0)),1,0),1)))</f>
        <v/>
      </c>
      <c r="T289" s="42" t="str">
        <f>IF($A289="","",IF(COUNTIFS(L_Data,$A289,L_Desc,$B289,L_Valor,$N289,L_Tipo,$C289)&gt;1,"⚠ Possível duplicidade",IF(OR(AND($C289="Despesa",COUNTIF(CatD_Nome,$D289)=0),AND($C289="Receita",COUNTIF(CatR_Nome,$D289)=0)),"⚠ Categoria não combina com o tipo",IF(OR($N289="",$C289=""),"⚠ Falta valor ou tipo",""))))</f>
        <v/>
      </c>
      <c r="U289" s="40">
        <f>IF($A289="",0,P289*12+O289)</f>
        <v>24315</v>
      </c>
      <c r="V289" s="40">
        <f>IF($A289="",0,U289+MAX(0,N($I289)-MAX(N($H289),1)))</f>
        <v>24315</v>
      </c>
      <c r="W289" s="40">
        <f>IF(S289="",0,YEAR(S289)*12+MONTH(S289))</f>
        <v>0</v>
      </c>
      <c r="X289" s="40">
        <f>IF(W289=0,0,W289+V289-U289)</f>
        <v>0</v>
      </c>
      <c r="Y289" s="36">
        <f>IF(W289=0,0,N(R289)*MAX(0,X289-MAX(W289,YEAR(Cfg_Hoje)*12+MONTH(Cfg_Hoje)+IF(DAY(Cfg_Hoje)&gt;=INDEX(Cartoes_Fech,MATCH($F289,Cartoes_Nome,0)),1,0))+1))</f>
        <v>0</v>
      </c>
      <c r="Z289" s="40">
        <f>IF($A289="",0,DAY($A289))</f>
        <v>19</v>
      </c>
      <c r="AA289" s="40">
        <f>IF($A289="",0,WEEKDAY($A289))</f>
        <v>5</v>
      </c>
      <c r="AB289" s="36">
        <f>IF(AND($C289="Despesa",U289&gt;0,U289&lt;=Sel_Idx,V289&gt;=Sel_Idx),N(R289)+ROW()/1000000000,0)</f>
        <v>0</v>
      </c>
      <c r="AC289" s="40">
        <f>IF(AND($C289="Despesa",U289&gt;0,U289&lt;=Sel_Idx,V289&gt;=Sel_Idx),Z289*10000+ROW(),0)</f>
        <v>0</v>
      </c>
      <c r="AD289" s="40">
        <f>IF(AC289=0,0,COUNTIFS(L_CalChave,"&gt;0",L_CalChave,"&lt;"&amp;AC289)+1)</f>
        <v>0</v>
      </c>
    </row>
    <row r="290">
      <c r="A290" s="38" t="n">
        <v>46101</v>
      </c>
      <c r="B290" s="39" t="inlineStr">
        <is>
          <t>Internet fibra</t>
        </is>
      </c>
      <c r="C290" s="34" t="inlineStr">
        <is>
          <t>Despesa</t>
        </is>
      </c>
      <c r="D290" s="34" t="inlineStr">
        <is>
          <t>Moradia</t>
        </is>
      </c>
      <c r="E290" s="34" t="inlineStr">
        <is>
          <t>Internet</t>
        </is>
      </c>
      <c r="F290" s="34" t="inlineStr">
        <is>
          <t>Conta Corrente Banco Azul</t>
        </is>
      </c>
      <c r="G290" s="34" t="inlineStr">
        <is>
          <t>Débito automático</t>
        </is>
      </c>
      <c r="H290" s="37" t="n"/>
      <c r="I290" s="37" t="n"/>
      <c r="J290" s="34" t="inlineStr">
        <is>
          <t>Pago</t>
        </is>
      </c>
      <c r="K290" s="34" t="n"/>
      <c r="L290" s="34" t="n"/>
      <c r="M290" s="39" t="inlineStr">
        <is>
          <t>EXEMPLO</t>
        </is>
      </c>
      <c r="N290" s="35" t="n">
        <v>129.9</v>
      </c>
      <c r="O290" s="40">
        <f>IF($A290="","",MONTH($A290))</f>
        <v>3</v>
      </c>
      <c r="P290" s="40">
        <f>IF($A290="","",YEAR($A290))</f>
        <v>2026</v>
      </c>
      <c r="Q290" s="41">
        <f>IF($A290="","",DATE(P290,O290,1))</f>
        <v>46082.0</v>
      </c>
      <c r="R290" s="36">
        <f>IF(OR($A290="",$N290=""),"",IF(AND($C290&lt;&gt;"Transferência",N($I290)&gt;1),$N290/$I290,$N290))</f>
        <v>129.9</v>
      </c>
      <c r="S290" s="41" t="str">
        <f>IF(OR($A290="",$F290="",$C290&lt;&gt;"Despesa"),"",IF(COUNTIF(Cartoes_Nome,$F290)=0,"",DATE(P290,O290+IF(DAY($A290)&gt;=INDEX(Cartoes_Fech,MATCH($F290,Cartoes_Nome,0)),1,0),1)))</f>
        <v/>
      </c>
      <c r="T290" s="42" t="str">
        <f>IF($A290="","",IF(COUNTIFS(L_Data,$A290,L_Desc,$B290,L_Valor,$N290,L_Tipo,$C290)&gt;1,"⚠ Possível duplicidade",IF(OR(AND($C290="Despesa",COUNTIF(CatD_Nome,$D290)=0),AND($C290="Receita",COUNTIF(CatR_Nome,$D290)=0)),"⚠ Categoria não combina com o tipo",IF(OR($N290="",$C290=""),"⚠ Falta valor ou tipo",""))))</f>
        <v/>
      </c>
      <c r="U290" s="40">
        <f>IF($A290="",0,P290*12+O290)</f>
        <v>24315</v>
      </c>
      <c r="V290" s="40">
        <f>IF($A290="",0,U290+MAX(0,N($I290)-MAX(N($H290),1)))</f>
        <v>24315</v>
      </c>
      <c r="W290" s="40">
        <f>IF(S290="",0,YEAR(S290)*12+MONTH(S290))</f>
        <v>0</v>
      </c>
      <c r="X290" s="40">
        <f>IF(W290=0,0,W290+V290-U290)</f>
        <v>0</v>
      </c>
      <c r="Y290" s="36">
        <f>IF(W290=0,0,N(R290)*MAX(0,X290-MAX(W290,YEAR(Cfg_Hoje)*12+MONTH(Cfg_Hoje)+IF(DAY(Cfg_Hoje)&gt;=INDEX(Cartoes_Fech,MATCH($F290,Cartoes_Nome,0)),1,0))+1))</f>
        <v>0</v>
      </c>
      <c r="Z290" s="40">
        <f>IF($A290="",0,DAY($A290))</f>
        <v>20</v>
      </c>
      <c r="AA290" s="40">
        <f>IF($A290="",0,WEEKDAY($A290))</f>
        <v>6</v>
      </c>
      <c r="AB290" s="36">
        <f>IF(AND($C290="Despesa",U290&gt;0,U290&lt;=Sel_Idx,V290&gt;=Sel_Idx),N(R290)+ROW()/1000000000,0)</f>
        <v>0</v>
      </c>
      <c r="AC290" s="40">
        <f>IF(AND($C290="Despesa",U290&gt;0,U290&lt;=Sel_Idx,V290&gt;=Sel_Idx),Z290*10000+ROW(),0)</f>
        <v>0</v>
      </c>
      <c r="AD290" s="40">
        <f>IF(AC290=0,0,COUNTIFS(L_CalChave,"&gt;0",L_CalChave,"&lt;"&amp;AC290)+1)</f>
        <v>0</v>
      </c>
    </row>
    <row r="291">
      <c r="A291" s="38" t="n">
        <v>46101</v>
      </c>
      <c r="B291" s="39" t="inlineStr">
        <is>
          <t>Parcela financiamento do carro</t>
        </is>
      </c>
      <c r="C291" s="34" t="inlineStr">
        <is>
          <t>Despesa</t>
        </is>
      </c>
      <c r="D291" s="34" t="inlineStr">
        <is>
          <t>Dívidas e Financiamentos</t>
        </is>
      </c>
      <c r="E291" s="34" t="inlineStr">
        <is>
          <t>Financiamento</t>
        </is>
      </c>
      <c r="F291" s="34" t="inlineStr">
        <is>
          <t>Conta Corrente Banco Azul</t>
        </is>
      </c>
      <c r="G291" s="34" t="inlineStr">
        <is>
          <t>Débito automático</t>
        </is>
      </c>
      <c r="H291" s="37" t="n"/>
      <c r="I291" s="37" t="n"/>
      <c r="J291" s="34" t="inlineStr">
        <is>
          <t>Pago</t>
        </is>
      </c>
      <c r="K291" s="34" t="n"/>
      <c r="L291" s="34" t="n"/>
      <c r="M291" s="39" t="inlineStr">
        <is>
          <t>EXEMPLO</t>
        </is>
      </c>
      <c r="N291" s="35" t="n">
        <v>1150</v>
      </c>
      <c r="O291" s="40">
        <f>IF($A291="","",MONTH($A291))</f>
        <v>3</v>
      </c>
      <c r="P291" s="40">
        <f>IF($A291="","",YEAR($A291))</f>
        <v>2026</v>
      </c>
      <c r="Q291" s="41">
        <f>IF($A291="","",DATE(P291,O291,1))</f>
        <v>46082.0</v>
      </c>
      <c r="R291" s="36">
        <f>IF(OR($A291="",$N291=""),"",IF(AND($C291&lt;&gt;"Transferência",N($I291)&gt;1),$N291/$I291,$N291))</f>
        <v>1150</v>
      </c>
      <c r="S291" s="41" t="str">
        <f>IF(OR($A291="",$F291="",$C291&lt;&gt;"Despesa"),"",IF(COUNTIF(Cartoes_Nome,$F291)=0,"",DATE(P291,O291+IF(DAY($A291)&gt;=INDEX(Cartoes_Fech,MATCH($F291,Cartoes_Nome,0)),1,0),1)))</f>
        <v/>
      </c>
      <c r="T291" s="42" t="str">
        <f>IF($A291="","",IF(COUNTIFS(L_Data,$A291,L_Desc,$B291,L_Valor,$N291,L_Tipo,$C291)&gt;1,"⚠ Possível duplicidade",IF(OR(AND($C291="Despesa",COUNTIF(CatD_Nome,$D291)=0),AND($C291="Receita",COUNTIF(CatR_Nome,$D291)=0)),"⚠ Categoria não combina com o tipo",IF(OR($N291="",$C291=""),"⚠ Falta valor ou tipo",""))))</f>
        <v/>
      </c>
      <c r="U291" s="40">
        <f>IF($A291="",0,P291*12+O291)</f>
        <v>24315</v>
      </c>
      <c r="V291" s="40">
        <f>IF($A291="",0,U291+MAX(0,N($I291)-MAX(N($H291),1)))</f>
        <v>24315</v>
      </c>
      <c r="W291" s="40">
        <f>IF(S291="",0,YEAR(S291)*12+MONTH(S291))</f>
        <v>0</v>
      </c>
      <c r="X291" s="40">
        <f>IF(W291=0,0,W291+V291-U291)</f>
        <v>0</v>
      </c>
      <c r="Y291" s="36">
        <f>IF(W291=0,0,N(R291)*MAX(0,X291-MAX(W291,YEAR(Cfg_Hoje)*12+MONTH(Cfg_Hoje)+IF(DAY(Cfg_Hoje)&gt;=INDEX(Cartoes_Fech,MATCH($F291,Cartoes_Nome,0)),1,0))+1))</f>
        <v>0</v>
      </c>
      <c r="Z291" s="40">
        <f>IF($A291="",0,DAY($A291))</f>
        <v>20</v>
      </c>
      <c r="AA291" s="40">
        <f>IF($A291="",0,WEEKDAY($A291))</f>
        <v>6</v>
      </c>
      <c r="AB291" s="36">
        <f>IF(AND($C291="Despesa",U291&gt;0,U291&lt;=Sel_Idx,V291&gt;=Sel_Idx),N(R291)+ROW()/1000000000,0)</f>
        <v>0</v>
      </c>
      <c r="AC291" s="40">
        <f>IF(AND($C291="Despesa",U291&gt;0,U291&lt;=Sel_Idx,V291&gt;=Sel_Idx),Z291*10000+ROW(),0)</f>
        <v>0</v>
      </c>
      <c r="AD291" s="40">
        <f>IF(AC291=0,0,COUNTIFS(L_CalChave,"&gt;0",L_CalChave,"&lt;"&amp;AC291)+1)</f>
        <v>0</v>
      </c>
    </row>
    <row r="292">
      <c r="A292" s="38" t="n">
        <v>46103</v>
      </c>
      <c r="B292" s="39" t="inlineStr">
        <is>
          <t>Corrida de aplicativo</t>
        </is>
      </c>
      <c r="C292" s="34" t="inlineStr">
        <is>
          <t>Despesa</t>
        </is>
      </c>
      <c r="D292" s="34" t="inlineStr">
        <is>
          <t>Transporte</t>
        </is>
      </c>
      <c r="E292" s="34" t="inlineStr">
        <is>
          <t>App de transporte</t>
        </is>
      </c>
      <c r="F292" s="34" t="inlineStr">
        <is>
          <t>Conta Corrente Banco Azul</t>
        </is>
      </c>
      <c r="G292" s="34" t="inlineStr">
        <is>
          <t>Pix</t>
        </is>
      </c>
      <c r="H292" s="37" t="n"/>
      <c r="I292" s="37" t="n"/>
      <c r="J292" s="34" t="inlineStr">
        <is>
          <t>Pago</t>
        </is>
      </c>
      <c r="K292" s="34" t="n"/>
      <c r="L292" s="34" t="n"/>
      <c r="M292" s="39" t="inlineStr">
        <is>
          <t>EXEMPLO</t>
        </is>
      </c>
      <c r="N292" s="35" t="n">
        <v>24.59</v>
      </c>
      <c r="O292" s="40">
        <f>IF($A292="","",MONTH($A292))</f>
        <v>3</v>
      </c>
      <c r="P292" s="40">
        <f>IF($A292="","",YEAR($A292))</f>
        <v>2026</v>
      </c>
      <c r="Q292" s="41">
        <f>IF($A292="","",DATE(P292,O292,1))</f>
        <v>46082.0</v>
      </c>
      <c r="R292" s="36">
        <f>IF(OR($A292="",$N292=""),"",IF(AND($C292&lt;&gt;"Transferência",N($I292)&gt;1),$N292/$I292,$N292))</f>
        <v>24.59</v>
      </c>
      <c r="S292" s="41" t="str">
        <f>IF(OR($A292="",$F292="",$C292&lt;&gt;"Despesa"),"",IF(COUNTIF(Cartoes_Nome,$F292)=0,"",DATE(P292,O292+IF(DAY($A292)&gt;=INDEX(Cartoes_Fech,MATCH($F292,Cartoes_Nome,0)),1,0),1)))</f>
        <v/>
      </c>
      <c r="T292" s="42" t="str">
        <f>IF($A292="","",IF(COUNTIFS(L_Data,$A292,L_Desc,$B292,L_Valor,$N292,L_Tipo,$C292)&gt;1,"⚠ Possível duplicidade",IF(OR(AND($C292="Despesa",COUNTIF(CatD_Nome,$D292)=0),AND($C292="Receita",COUNTIF(CatR_Nome,$D292)=0)),"⚠ Categoria não combina com o tipo",IF(OR($N292="",$C292=""),"⚠ Falta valor ou tipo",""))))</f>
        <v/>
      </c>
      <c r="U292" s="40">
        <f>IF($A292="",0,P292*12+O292)</f>
        <v>24315</v>
      </c>
      <c r="V292" s="40">
        <f>IF($A292="",0,U292+MAX(0,N($I292)-MAX(N($H292),1)))</f>
        <v>24315</v>
      </c>
      <c r="W292" s="40">
        <f>IF(S292="",0,YEAR(S292)*12+MONTH(S292))</f>
        <v>0</v>
      </c>
      <c r="X292" s="40">
        <f>IF(W292=0,0,W292+V292-U292)</f>
        <v>0</v>
      </c>
      <c r="Y292" s="36">
        <f>IF(W292=0,0,N(R292)*MAX(0,X292-MAX(W292,YEAR(Cfg_Hoje)*12+MONTH(Cfg_Hoje)+IF(DAY(Cfg_Hoje)&gt;=INDEX(Cartoes_Fech,MATCH($F292,Cartoes_Nome,0)),1,0))+1))</f>
        <v>0</v>
      </c>
      <c r="Z292" s="40">
        <f>IF($A292="",0,DAY($A292))</f>
        <v>22</v>
      </c>
      <c r="AA292" s="40">
        <f>IF($A292="",0,WEEKDAY($A292))</f>
        <v>1</v>
      </c>
      <c r="AB292" s="36">
        <f>IF(AND($C292="Despesa",U292&gt;0,U292&lt;=Sel_Idx,V292&gt;=Sel_Idx),N(R292)+ROW()/1000000000,0)</f>
        <v>0</v>
      </c>
      <c r="AC292" s="40">
        <f>IF(AND($C292="Despesa",U292&gt;0,U292&lt;=Sel_Idx,V292&gt;=Sel_Idx),Z292*10000+ROW(),0)</f>
        <v>0</v>
      </c>
      <c r="AD292" s="40">
        <f>IF(AC292=0,0,COUNTIFS(L_CalChave,"&gt;0",L_CalChave,"&lt;"&amp;AC292)+1)</f>
        <v>0</v>
      </c>
    </row>
    <row r="293">
      <c r="A293" s="38" t="n">
        <v>46103</v>
      </c>
      <c r="B293" s="39" t="inlineStr">
        <is>
          <t>Parcela empréstimo pessoal</t>
        </is>
      </c>
      <c r="C293" s="34" t="inlineStr">
        <is>
          <t>Despesa</t>
        </is>
      </c>
      <c r="D293" s="34" t="inlineStr">
        <is>
          <t>Dívidas e Financiamentos</t>
        </is>
      </c>
      <c r="E293" s="34" t="inlineStr">
        <is>
          <t>Empréstimo</t>
        </is>
      </c>
      <c r="F293" s="34" t="inlineStr">
        <is>
          <t>Conta Corrente Banco Azul</t>
        </is>
      </c>
      <c r="G293" s="34" t="inlineStr">
        <is>
          <t>Débito automático</t>
        </is>
      </c>
      <c r="H293" s="37" t="n"/>
      <c r="I293" s="37" t="n"/>
      <c r="J293" s="34" t="inlineStr">
        <is>
          <t>Pago</t>
        </is>
      </c>
      <c r="K293" s="34" t="n"/>
      <c r="L293" s="34" t="n"/>
      <c r="M293" s="39" t="inlineStr">
        <is>
          <t>EXEMPLO</t>
        </is>
      </c>
      <c r="N293" s="35" t="n">
        <v>580</v>
      </c>
      <c r="O293" s="40">
        <f>IF($A293="","",MONTH($A293))</f>
        <v>3</v>
      </c>
      <c r="P293" s="40">
        <f>IF($A293="","",YEAR($A293))</f>
        <v>2026</v>
      </c>
      <c r="Q293" s="41">
        <f>IF($A293="","",DATE(P293,O293,1))</f>
        <v>46082.0</v>
      </c>
      <c r="R293" s="36">
        <f>IF(OR($A293="",$N293=""),"",IF(AND($C293&lt;&gt;"Transferência",N($I293)&gt;1),$N293/$I293,$N293))</f>
        <v>580</v>
      </c>
      <c r="S293" s="41" t="str">
        <f>IF(OR($A293="",$F293="",$C293&lt;&gt;"Despesa"),"",IF(COUNTIF(Cartoes_Nome,$F293)=0,"",DATE(P293,O293+IF(DAY($A293)&gt;=INDEX(Cartoes_Fech,MATCH($F293,Cartoes_Nome,0)),1,0),1)))</f>
        <v/>
      </c>
      <c r="T293" s="42" t="str">
        <f>IF($A293="","",IF(COUNTIFS(L_Data,$A293,L_Desc,$B293,L_Valor,$N293,L_Tipo,$C293)&gt;1,"⚠ Possível duplicidade",IF(OR(AND($C293="Despesa",COUNTIF(CatD_Nome,$D293)=0),AND($C293="Receita",COUNTIF(CatR_Nome,$D293)=0)),"⚠ Categoria não combina com o tipo",IF(OR($N293="",$C293=""),"⚠ Falta valor ou tipo",""))))</f>
        <v/>
      </c>
      <c r="U293" s="40">
        <f>IF($A293="",0,P293*12+O293)</f>
        <v>24315</v>
      </c>
      <c r="V293" s="40">
        <f>IF($A293="",0,U293+MAX(0,N($I293)-MAX(N($H293),1)))</f>
        <v>24315</v>
      </c>
      <c r="W293" s="40">
        <f>IF(S293="",0,YEAR(S293)*12+MONTH(S293))</f>
        <v>0</v>
      </c>
      <c r="X293" s="40">
        <f>IF(W293=0,0,W293+V293-U293)</f>
        <v>0</v>
      </c>
      <c r="Y293" s="36">
        <f>IF(W293=0,0,N(R293)*MAX(0,X293-MAX(W293,YEAR(Cfg_Hoje)*12+MONTH(Cfg_Hoje)+IF(DAY(Cfg_Hoje)&gt;=INDEX(Cartoes_Fech,MATCH($F293,Cartoes_Nome,0)),1,0))+1))</f>
        <v>0</v>
      </c>
      <c r="Z293" s="40">
        <f>IF($A293="",0,DAY($A293))</f>
        <v>22</v>
      </c>
      <c r="AA293" s="40">
        <f>IF($A293="",0,WEEKDAY($A293))</f>
        <v>1</v>
      </c>
      <c r="AB293" s="36">
        <f>IF(AND($C293="Despesa",U293&gt;0,U293&lt;=Sel_Idx,V293&gt;=Sel_Idx),N(R293)+ROW()/1000000000,0)</f>
        <v>0</v>
      </c>
      <c r="AC293" s="40">
        <f>IF(AND($C293="Despesa",U293&gt;0,U293&lt;=Sel_Idx,V293&gt;=Sel_Idx),Z293*10000+ROW(),0)</f>
        <v>0</v>
      </c>
      <c r="AD293" s="40">
        <f>IF(AC293=0,0,COUNTIFS(L_CalChave,"&gt;0",L_CalChave,"&lt;"&amp;AC293)+1)</f>
        <v>0</v>
      </c>
    </row>
    <row r="294">
      <c r="A294" s="38" t="n">
        <v>46106</v>
      </c>
      <c r="B294" s="39" t="inlineStr">
        <is>
          <t>Parcela renegociação da fatura</t>
        </is>
      </c>
      <c r="C294" s="34" t="inlineStr">
        <is>
          <t>Despesa</t>
        </is>
      </c>
      <c r="D294" s="34" t="inlineStr">
        <is>
          <t>Dívidas e Financiamentos</t>
        </is>
      </c>
      <c r="E294" s="34" t="n"/>
      <c r="F294" s="34" t="inlineStr">
        <is>
          <t>Conta Corrente Banco Azul</t>
        </is>
      </c>
      <c r="G294" s="34" t="inlineStr">
        <is>
          <t>Boleto</t>
        </is>
      </c>
      <c r="H294" s="37" t="n"/>
      <c r="I294" s="37" t="n"/>
      <c r="J294" s="34" t="inlineStr">
        <is>
          <t>Pago</t>
        </is>
      </c>
      <c r="K294" s="34" t="n"/>
      <c r="L294" s="34" t="n"/>
      <c r="M294" s="39" t="inlineStr">
        <is>
          <t>EXEMPLO</t>
        </is>
      </c>
      <c r="N294" s="35" t="n">
        <v>460</v>
      </c>
      <c r="O294" s="40">
        <f>IF($A294="","",MONTH($A294))</f>
        <v>3</v>
      </c>
      <c r="P294" s="40">
        <f>IF($A294="","",YEAR($A294))</f>
        <v>2026</v>
      </c>
      <c r="Q294" s="41">
        <f>IF($A294="","",DATE(P294,O294,1))</f>
        <v>46082.0</v>
      </c>
      <c r="R294" s="36">
        <f>IF(OR($A294="",$N294=""),"",IF(AND($C294&lt;&gt;"Transferência",N($I294)&gt;1),$N294/$I294,$N294))</f>
        <v>460</v>
      </c>
      <c r="S294" s="41" t="str">
        <f>IF(OR($A294="",$F294="",$C294&lt;&gt;"Despesa"),"",IF(COUNTIF(Cartoes_Nome,$F294)=0,"",DATE(P294,O294+IF(DAY($A294)&gt;=INDEX(Cartoes_Fech,MATCH($F294,Cartoes_Nome,0)),1,0),1)))</f>
        <v/>
      </c>
      <c r="T294" s="42" t="str">
        <f>IF($A294="","",IF(COUNTIFS(L_Data,$A294,L_Desc,$B294,L_Valor,$N294,L_Tipo,$C294)&gt;1,"⚠ Possível duplicidade",IF(OR(AND($C294="Despesa",COUNTIF(CatD_Nome,$D294)=0),AND($C294="Receita",COUNTIF(CatR_Nome,$D294)=0)),"⚠ Categoria não combina com o tipo",IF(OR($N294="",$C294=""),"⚠ Falta valor ou tipo",""))))</f>
        <v/>
      </c>
      <c r="U294" s="40">
        <f>IF($A294="",0,P294*12+O294)</f>
        <v>24315</v>
      </c>
      <c r="V294" s="40">
        <f>IF($A294="",0,U294+MAX(0,N($I294)-MAX(N($H294),1)))</f>
        <v>24315</v>
      </c>
      <c r="W294" s="40">
        <f>IF(S294="",0,YEAR(S294)*12+MONTH(S294))</f>
        <v>0</v>
      </c>
      <c r="X294" s="40">
        <f>IF(W294=0,0,W294+V294-U294)</f>
        <v>0</v>
      </c>
      <c r="Y294" s="36">
        <f>IF(W294=0,0,N(R294)*MAX(0,X294-MAX(W294,YEAR(Cfg_Hoje)*12+MONTH(Cfg_Hoje)+IF(DAY(Cfg_Hoje)&gt;=INDEX(Cartoes_Fech,MATCH($F294,Cartoes_Nome,0)),1,0))+1))</f>
        <v>0</v>
      </c>
      <c r="Z294" s="40">
        <f>IF($A294="",0,DAY($A294))</f>
        <v>25</v>
      </c>
      <c r="AA294" s="40">
        <f>IF($A294="",0,WEEKDAY($A294))</f>
        <v>4</v>
      </c>
      <c r="AB294" s="36">
        <f>IF(AND($C294="Despesa",U294&gt;0,U294&lt;=Sel_Idx,V294&gt;=Sel_Idx),N(R294)+ROW()/1000000000,0)</f>
        <v>0</v>
      </c>
      <c r="AC294" s="40">
        <f>IF(AND($C294="Despesa",U294&gt;0,U294&lt;=Sel_Idx,V294&gt;=Sel_Idx),Z294*10000+ROW(),0)</f>
        <v>0</v>
      </c>
      <c r="AD294" s="40">
        <f>IF(AC294=0,0,COUNTIFS(L_CalChave,"&gt;0",L_CalChave,"&lt;"&amp;AC294)+1)</f>
        <v>0</v>
      </c>
    </row>
    <row r="295">
      <c r="A295" s="38" t="n">
        <v>46108</v>
      </c>
      <c r="B295" s="39" t="inlineStr">
        <is>
          <t>Consulta médica</t>
        </is>
      </c>
      <c r="C295" s="34" t="inlineStr">
        <is>
          <t>Despesa</t>
        </is>
      </c>
      <c r="D295" s="34" t="inlineStr">
        <is>
          <t>Saúde</t>
        </is>
      </c>
      <c r="E295" s="34" t="inlineStr">
        <is>
          <t>Consultas</t>
        </is>
      </c>
      <c r="F295" s="34" t="inlineStr">
        <is>
          <t>Conta Corrente Banco Azul</t>
        </is>
      </c>
      <c r="G295" s="34" t="inlineStr">
        <is>
          <t>Pix</t>
        </is>
      </c>
      <c r="H295" s="37" t="n"/>
      <c r="I295" s="37" t="n"/>
      <c r="J295" s="34" t="inlineStr">
        <is>
          <t>Pago</t>
        </is>
      </c>
      <c r="K295" s="34" t="n"/>
      <c r="L295" s="34" t="n"/>
      <c r="M295" s="39" t="inlineStr">
        <is>
          <t>EXEMPLO</t>
        </is>
      </c>
      <c r="N295" s="35" t="n">
        <v>280</v>
      </c>
      <c r="O295" s="40">
        <f>IF($A295="","",MONTH($A295))</f>
        <v>3</v>
      </c>
      <c r="P295" s="40">
        <f>IF($A295="","",YEAR($A295))</f>
        <v>2026</v>
      </c>
      <c r="Q295" s="41">
        <f>IF($A295="","",DATE(P295,O295,1))</f>
        <v>46082.0</v>
      </c>
      <c r="R295" s="36">
        <f>IF(OR($A295="",$N295=""),"",IF(AND($C295&lt;&gt;"Transferência",N($I295)&gt;1),$N295/$I295,$N295))</f>
        <v>280</v>
      </c>
      <c r="S295" s="41" t="str">
        <f>IF(OR($A295="",$F295="",$C295&lt;&gt;"Despesa"),"",IF(COUNTIF(Cartoes_Nome,$F295)=0,"",DATE(P295,O295+IF(DAY($A295)&gt;=INDEX(Cartoes_Fech,MATCH($F295,Cartoes_Nome,0)),1,0),1)))</f>
        <v/>
      </c>
      <c r="T295" s="42" t="str">
        <f>IF($A295="","",IF(COUNTIFS(L_Data,$A295,L_Desc,$B295,L_Valor,$N295,L_Tipo,$C295)&gt;1,"⚠ Possível duplicidade",IF(OR(AND($C295="Despesa",COUNTIF(CatD_Nome,$D295)=0),AND($C295="Receita",COUNTIF(CatR_Nome,$D295)=0)),"⚠ Categoria não combina com o tipo",IF(OR($N295="",$C295=""),"⚠ Falta valor ou tipo",""))))</f>
        <v/>
      </c>
      <c r="U295" s="40">
        <f>IF($A295="",0,P295*12+O295)</f>
        <v>24315</v>
      </c>
      <c r="V295" s="40">
        <f>IF($A295="",0,U295+MAX(0,N($I295)-MAX(N($H295),1)))</f>
        <v>24315</v>
      </c>
      <c r="W295" s="40">
        <f>IF(S295="",0,YEAR(S295)*12+MONTH(S295))</f>
        <v>0</v>
      </c>
      <c r="X295" s="40">
        <f>IF(W295=0,0,W295+V295-U295)</f>
        <v>0</v>
      </c>
      <c r="Y295" s="36">
        <f>IF(W295=0,0,N(R295)*MAX(0,X295-MAX(W295,YEAR(Cfg_Hoje)*12+MONTH(Cfg_Hoje)+IF(DAY(Cfg_Hoje)&gt;=INDEX(Cartoes_Fech,MATCH($F295,Cartoes_Nome,0)),1,0))+1))</f>
        <v>0</v>
      </c>
      <c r="Z295" s="40">
        <f>IF($A295="",0,DAY($A295))</f>
        <v>27</v>
      </c>
      <c r="AA295" s="40">
        <f>IF($A295="",0,WEEKDAY($A295))</f>
        <v>6</v>
      </c>
      <c r="AB295" s="36">
        <f>IF(AND($C295="Despesa",U295&gt;0,U295&lt;=Sel_Idx,V295&gt;=Sel_Idx),N(R295)+ROW()/1000000000,0)</f>
        <v>0</v>
      </c>
      <c r="AC295" s="40">
        <f>IF(AND($C295="Despesa",U295&gt;0,U295&lt;=Sel_Idx,V295&gt;=Sel_Idx),Z295*10000+ROW(),0)</f>
        <v>0</v>
      </c>
      <c r="AD295" s="40">
        <f>IF(AC295=0,0,COUNTIFS(L_CalChave,"&gt;0",L_CalChave,"&lt;"&amp;AC295)+1)</f>
        <v>0</v>
      </c>
    </row>
    <row r="296">
      <c r="A296" s="38" t="n">
        <v>46109</v>
      </c>
      <c r="B296" s="39" t="inlineStr">
        <is>
          <t>Rendimento da poupança</t>
        </is>
      </c>
      <c r="C296" s="34" t="inlineStr">
        <is>
          <t>Receita</t>
        </is>
      </c>
      <c r="D296" s="34" t="inlineStr">
        <is>
          <t>Rendimentos</t>
        </is>
      </c>
      <c r="E296" s="34" t="n"/>
      <c r="F296" s="34" t="inlineStr">
        <is>
          <t>Poupança Banco Azul</t>
        </is>
      </c>
      <c r="G296" s="34" t="inlineStr">
        <is>
          <t>Transferência</t>
        </is>
      </c>
      <c r="H296" s="37" t="n"/>
      <c r="I296" s="37" t="n"/>
      <c r="J296" s="34" t="inlineStr">
        <is>
          <t>Pago</t>
        </is>
      </c>
      <c r="K296" s="34" t="n"/>
      <c r="L296" s="34" t="n"/>
      <c r="M296" s="39" t="inlineStr">
        <is>
          <t>EXEMPLO</t>
        </is>
      </c>
      <c r="N296" s="35" t="n">
        <v>71.56999999999999</v>
      </c>
      <c r="O296" s="40">
        <f>IF($A296="","",MONTH($A296))</f>
        <v>3</v>
      </c>
      <c r="P296" s="40">
        <f>IF($A296="","",YEAR($A296))</f>
        <v>2026</v>
      </c>
      <c r="Q296" s="41">
        <f>IF($A296="","",DATE(P296,O296,1))</f>
        <v>46082.0</v>
      </c>
      <c r="R296" s="36">
        <f>IF(OR($A296="",$N296=""),"",IF(AND($C296&lt;&gt;"Transferência",N($I296)&gt;1),$N296/$I296,$N296))</f>
        <v>71.57</v>
      </c>
      <c r="S296" s="41" t="str">
        <f>IF(OR($A296="",$F296="",$C296&lt;&gt;"Despesa"),"",IF(COUNTIF(Cartoes_Nome,$F296)=0,"",DATE(P296,O296+IF(DAY($A296)&gt;=INDEX(Cartoes_Fech,MATCH($F296,Cartoes_Nome,0)),1,0),1)))</f>
        <v/>
      </c>
      <c r="T296" s="42" t="str">
        <f>IF($A296="","",IF(COUNTIFS(L_Data,$A296,L_Desc,$B296,L_Valor,$N296,L_Tipo,$C296)&gt;1,"⚠ Possível duplicidade",IF(OR(AND($C296="Despesa",COUNTIF(CatD_Nome,$D296)=0),AND($C296="Receita",COUNTIF(CatR_Nome,$D296)=0)),"⚠ Categoria não combina com o tipo",IF(OR($N296="",$C296=""),"⚠ Falta valor ou tipo",""))))</f>
        <v/>
      </c>
      <c r="U296" s="40">
        <f>IF($A296="",0,P296*12+O296)</f>
        <v>24315</v>
      </c>
      <c r="V296" s="40">
        <f>IF($A296="",0,U296+MAX(0,N($I296)-MAX(N($H296),1)))</f>
        <v>24315</v>
      </c>
      <c r="W296" s="40">
        <f>IF(S296="",0,YEAR(S296)*12+MONTH(S296))</f>
        <v>0</v>
      </c>
      <c r="X296" s="40">
        <f>IF(W296=0,0,W296+V296-U296)</f>
        <v>0</v>
      </c>
      <c r="Y296" s="36">
        <f>IF(W296=0,0,N(R296)*MAX(0,X296-MAX(W296,YEAR(Cfg_Hoje)*12+MONTH(Cfg_Hoje)+IF(DAY(Cfg_Hoje)&gt;=INDEX(Cartoes_Fech,MATCH($F296,Cartoes_Nome,0)),1,0))+1))</f>
        <v>0</v>
      </c>
      <c r="Z296" s="40">
        <f>IF($A296="",0,DAY($A296))</f>
        <v>28</v>
      </c>
      <c r="AA296" s="40">
        <f>IF($A296="",0,WEEKDAY($A296))</f>
        <v>7</v>
      </c>
      <c r="AB296" s="36">
        <f>IF(AND($C296="Despesa",U296&gt;0,U296&lt;=Sel_Idx,V296&gt;=Sel_Idx),N(R296)+ROW()/1000000000,0)</f>
        <v>0</v>
      </c>
      <c r="AC296" s="40">
        <f>IF(AND($C296="Despesa",U296&gt;0,U296&lt;=Sel_Idx,V296&gt;=Sel_Idx),Z296*10000+ROW(),0)</f>
        <v>0</v>
      </c>
      <c r="AD296" s="40">
        <f>IF(AC296=0,0,COUNTIFS(L_CalChave,"&gt;0",L_CalChave,"&lt;"&amp;AC296)+1)</f>
        <v>0</v>
      </c>
    </row>
    <row r="297">
      <c r="A297" s="38" t="n">
        <v>46109</v>
      </c>
      <c r="B297" s="39" t="inlineStr">
        <is>
          <t>Supermercado</t>
        </is>
      </c>
      <c r="C297" s="34" t="inlineStr">
        <is>
          <t>Despesa</t>
        </is>
      </c>
      <c r="D297" s="34" t="inlineStr">
        <is>
          <t>Alimentação</t>
        </is>
      </c>
      <c r="E297" s="34" t="inlineStr">
        <is>
          <t>Mercado</t>
        </is>
      </c>
      <c r="F297" s="34" t="inlineStr">
        <is>
          <t>Cartão Azul Gold</t>
        </is>
      </c>
      <c r="G297" s="34" t="inlineStr">
        <is>
          <t>Crédito</t>
        </is>
      </c>
      <c r="H297" s="37" t="n"/>
      <c r="I297" s="37" t="n"/>
      <c r="J297" s="34" t="inlineStr">
        <is>
          <t>Pago</t>
        </is>
      </c>
      <c r="K297" s="34" t="n"/>
      <c r="L297" s="34" t="n"/>
      <c r="M297" s="39" t="inlineStr">
        <is>
          <t>EXEMPLO</t>
        </is>
      </c>
      <c r="N297" s="35" t="n">
        <v>419.46</v>
      </c>
      <c r="O297" s="40">
        <f>IF($A297="","",MONTH($A297))</f>
        <v>3</v>
      </c>
      <c r="P297" s="40">
        <f>IF($A297="","",YEAR($A297))</f>
        <v>2026</v>
      </c>
      <c r="Q297" s="41">
        <f>IF($A297="","",DATE(P297,O297,1))</f>
        <v>46082.0</v>
      </c>
      <c r="R297" s="36">
        <f>IF(OR($A297="",$N297=""),"",IF(AND($C297&lt;&gt;"Transferência",N($I297)&gt;1),$N297/$I297,$N297))</f>
        <v>419.46</v>
      </c>
      <c r="S297" s="41">
        <f>IF(OR($A297="",$F297="",$C297&lt;&gt;"Despesa"),"",IF(COUNTIF(Cartoes_Nome,$F297)=0,"",DATE(P297,O297+IF(DAY($A297)&gt;=INDEX(Cartoes_Fech,MATCH($F297,Cartoes_Nome,0)),1,0),1)))</f>
        <v>46113.0</v>
      </c>
      <c r="T297" s="42" t="str">
        <f>IF($A297="","",IF(COUNTIFS(L_Data,$A297,L_Desc,$B297,L_Valor,$N297,L_Tipo,$C297)&gt;1,"⚠ Possível duplicidade",IF(OR(AND($C297="Despesa",COUNTIF(CatD_Nome,$D297)=0),AND($C297="Receita",COUNTIF(CatR_Nome,$D297)=0)),"⚠ Categoria não combina com o tipo",IF(OR($N297="",$C297=""),"⚠ Falta valor ou tipo",""))))</f>
        <v/>
      </c>
      <c r="U297" s="40">
        <f>IF($A297="",0,P297*12+O297)</f>
        <v>24315</v>
      </c>
      <c r="V297" s="40">
        <f>IF($A297="",0,U297+MAX(0,N($I297)-MAX(N($H297),1)))</f>
        <v>24315</v>
      </c>
      <c r="W297" s="40">
        <f>IF(S297="",0,YEAR(S297)*12+MONTH(S297))</f>
        <v>24316</v>
      </c>
      <c r="X297" s="40">
        <f>IF(W297=0,0,W297+V297-U297)</f>
        <v>24316</v>
      </c>
      <c r="Y297" s="36">
        <f>IF(W297=0,0,N(R297)*MAX(0,X297-MAX(W297,YEAR(Cfg_Hoje)*12+MONTH(Cfg_Hoje)+IF(DAY(Cfg_Hoje)&gt;=INDEX(Cartoes_Fech,MATCH($F297,Cartoes_Nome,0)),1,0))+1))</f>
        <v>0</v>
      </c>
      <c r="Z297" s="40">
        <f>IF($A297="",0,DAY($A297))</f>
        <v>28</v>
      </c>
      <c r="AA297" s="40">
        <f>IF($A297="",0,WEEKDAY($A297))</f>
        <v>7</v>
      </c>
      <c r="AB297" s="36">
        <f>IF(AND($C297="Despesa",U297&gt;0,U297&lt;=Sel_Idx,V297&gt;=Sel_Idx),N(R297)+ROW()/1000000000,0)</f>
        <v>0</v>
      </c>
      <c r="AC297" s="40">
        <f>IF(AND($C297="Despesa",U297&gt;0,U297&lt;=Sel_Idx,V297&gt;=Sel_Idx),Z297*10000+ROW(),0)</f>
        <v>0</v>
      </c>
      <c r="AD297" s="40">
        <f>IF(AC297=0,0,COUNTIFS(L_CalChave,"&gt;0",L_CalChave,"&lt;"&amp;AC297)+1)</f>
        <v>0</v>
      </c>
    </row>
    <row r="298">
      <c r="A298" s="38" t="n">
        <v>46114</v>
      </c>
      <c r="B298" s="39" t="inlineStr">
        <is>
          <t>Farmácia</t>
        </is>
      </c>
      <c r="C298" s="34" t="inlineStr">
        <is>
          <t>Despesa</t>
        </is>
      </c>
      <c r="D298" s="34" t="inlineStr">
        <is>
          <t>Saúde</t>
        </is>
      </c>
      <c r="E298" s="34" t="inlineStr">
        <is>
          <t>Farmácia</t>
        </is>
      </c>
      <c r="F298" s="34" t="inlineStr">
        <is>
          <t>Cartão Azul Gold</t>
        </is>
      </c>
      <c r="G298" s="34" t="inlineStr">
        <is>
          <t>Crédito</t>
        </is>
      </c>
      <c r="H298" s="37" t="n"/>
      <c r="I298" s="37" t="n"/>
      <c r="J298" s="34" t="inlineStr">
        <is>
          <t>Pago</t>
        </is>
      </c>
      <c r="K298" s="34" t="n"/>
      <c r="L298" s="34" t="n"/>
      <c r="M298" s="39" t="inlineStr">
        <is>
          <t>EXEMPLO</t>
        </is>
      </c>
      <c r="N298" s="35" t="n">
        <v>145.79</v>
      </c>
      <c r="O298" s="40">
        <f>IF($A298="","",MONTH($A298))</f>
        <v>4</v>
      </c>
      <c r="P298" s="40">
        <f>IF($A298="","",YEAR($A298))</f>
        <v>2026</v>
      </c>
      <c r="Q298" s="41">
        <f>IF($A298="","",DATE(P298,O298,1))</f>
        <v>46113.0</v>
      </c>
      <c r="R298" s="36">
        <f>IF(OR($A298="",$N298=""),"",IF(AND($C298&lt;&gt;"Transferência",N($I298)&gt;1),$N298/$I298,$N298))</f>
        <v>145.79</v>
      </c>
      <c r="S298" s="41">
        <f>IF(OR($A298="",$F298="",$C298&lt;&gt;"Despesa"),"",IF(COUNTIF(Cartoes_Nome,$F298)=0,"",DATE(P298,O298+IF(DAY($A298)&gt;=INDEX(Cartoes_Fech,MATCH($F298,Cartoes_Nome,0)),1,0),1)))</f>
        <v>46113.0</v>
      </c>
      <c r="T298" s="42" t="str">
        <f>IF($A298="","",IF(COUNTIFS(L_Data,$A298,L_Desc,$B298,L_Valor,$N298,L_Tipo,$C298)&gt;1,"⚠ Possível duplicidade",IF(OR(AND($C298="Despesa",COUNTIF(CatD_Nome,$D298)=0),AND($C298="Receita",COUNTIF(CatR_Nome,$D298)=0)),"⚠ Categoria não combina com o tipo",IF(OR($N298="",$C298=""),"⚠ Falta valor ou tipo",""))))</f>
        <v/>
      </c>
      <c r="U298" s="40">
        <f>IF($A298="",0,P298*12+O298)</f>
        <v>24316</v>
      </c>
      <c r="V298" s="40">
        <f>IF($A298="",0,U298+MAX(0,N($I298)-MAX(N($H298),1)))</f>
        <v>24316</v>
      </c>
      <c r="W298" s="40">
        <f>IF(S298="",0,YEAR(S298)*12+MONTH(S298))</f>
        <v>24316</v>
      </c>
      <c r="X298" s="40">
        <f>IF(W298=0,0,W298+V298-U298)</f>
        <v>24316</v>
      </c>
      <c r="Y298" s="36">
        <f>IF(W298=0,0,N(R298)*MAX(0,X298-MAX(W298,YEAR(Cfg_Hoje)*12+MONTH(Cfg_Hoje)+IF(DAY(Cfg_Hoje)&gt;=INDEX(Cartoes_Fech,MATCH($F298,Cartoes_Nome,0)),1,0))+1))</f>
        <v>0</v>
      </c>
      <c r="Z298" s="40">
        <f>IF($A298="",0,DAY($A298))</f>
        <v>2</v>
      </c>
      <c r="AA298" s="40">
        <f>IF($A298="",0,WEEKDAY($A298))</f>
        <v>5</v>
      </c>
      <c r="AB298" s="36">
        <f>IF(AND($C298="Despesa",U298&gt;0,U298&lt;=Sel_Idx,V298&gt;=Sel_Idx),N(R298)+ROW()/1000000000,0)</f>
        <v>0</v>
      </c>
      <c r="AC298" s="40">
        <f>IF(AND($C298="Despesa",U298&gt;0,U298&lt;=Sel_Idx,V298&gt;=Sel_Idx),Z298*10000+ROW(),0)</f>
        <v>0</v>
      </c>
      <c r="AD298" s="40">
        <f>IF(AC298=0,0,COUNTIFS(L_CalChave,"&gt;0",L_CalChave,"&lt;"&amp;AC298)+1)</f>
        <v>0</v>
      </c>
    </row>
    <row r="299">
      <c r="A299" s="38" t="n">
        <v>46115</v>
      </c>
      <c r="B299" s="39" t="inlineStr">
        <is>
          <t>Academia</t>
        </is>
      </c>
      <c r="C299" s="34" t="inlineStr">
        <is>
          <t>Despesa</t>
        </is>
      </c>
      <c r="D299" s="34" t="inlineStr">
        <is>
          <t>Assinaturas</t>
        </is>
      </c>
      <c r="E299" s="34" t="inlineStr">
        <is>
          <t>Academia</t>
        </is>
      </c>
      <c r="F299" s="34" t="inlineStr">
        <is>
          <t>Conta Corrente Banco Azul</t>
        </is>
      </c>
      <c r="G299" s="34" t="inlineStr">
        <is>
          <t>Débito automático</t>
        </is>
      </c>
      <c r="H299" s="37" t="n"/>
      <c r="I299" s="37" t="n"/>
      <c r="J299" s="34" t="inlineStr">
        <is>
          <t>Pago</t>
        </is>
      </c>
      <c r="K299" s="34" t="n"/>
      <c r="L299" s="34" t="n"/>
      <c r="M299" s="39" t="inlineStr">
        <is>
          <t>EXEMPLO</t>
        </is>
      </c>
      <c r="N299" s="35" t="n">
        <v>129</v>
      </c>
      <c r="O299" s="40">
        <f>IF($A299="","",MONTH($A299))</f>
        <v>4</v>
      </c>
      <c r="P299" s="40">
        <f>IF($A299="","",YEAR($A299))</f>
        <v>2026</v>
      </c>
      <c r="Q299" s="41">
        <f>IF($A299="","",DATE(P299,O299,1))</f>
        <v>46113.0</v>
      </c>
      <c r="R299" s="36">
        <f>IF(OR($A299="",$N299=""),"",IF(AND($C299&lt;&gt;"Transferência",N($I299)&gt;1),$N299/$I299,$N299))</f>
        <v>129</v>
      </c>
      <c r="S299" s="41" t="str">
        <f>IF(OR($A299="",$F299="",$C299&lt;&gt;"Despesa"),"",IF(COUNTIF(Cartoes_Nome,$F299)=0,"",DATE(P299,O299+IF(DAY($A299)&gt;=INDEX(Cartoes_Fech,MATCH($F299,Cartoes_Nome,0)),1,0),1)))</f>
        <v/>
      </c>
      <c r="T299" s="42" t="str">
        <f>IF($A299="","",IF(COUNTIFS(L_Data,$A299,L_Desc,$B299,L_Valor,$N299,L_Tipo,$C299)&gt;1,"⚠ Possível duplicidade",IF(OR(AND($C299="Despesa",COUNTIF(CatD_Nome,$D299)=0),AND($C299="Receita",COUNTIF(CatR_Nome,$D299)=0)),"⚠ Categoria não combina com o tipo",IF(OR($N299="",$C299=""),"⚠ Falta valor ou tipo",""))))</f>
        <v/>
      </c>
      <c r="U299" s="40">
        <f>IF($A299="",0,P299*12+O299)</f>
        <v>24316</v>
      </c>
      <c r="V299" s="40">
        <f>IF($A299="",0,U299+MAX(0,N($I299)-MAX(N($H299),1)))</f>
        <v>24316</v>
      </c>
      <c r="W299" s="40">
        <f>IF(S299="",0,YEAR(S299)*12+MONTH(S299))</f>
        <v>0</v>
      </c>
      <c r="X299" s="40">
        <f>IF(W299=0,0,W299+V299-U299)</f>
        <v>0</v>
      </c>
      <c r="Y299" s="36">
        <f>IF(W299=0,0,N(R299)*MAX(0,X299-MAX(W299,YEAR(Cfg_Hoje)*12+MONTH(Cfg_Hoje)+IF(DAY(Cfg_Hoje)&gt;=INDEX(Cartoes_Fech,MATCH($F299,Cartoes_Nome,0)),1,0))+1))</f>
        <v>0</v>
      </c>
      <c r="Z299" s="40">
        <f>IF($A299="",0,DAY($A299))</f>
        <v>3</v>
      </c>
      <c r="AA299" s="40">
        <f>IF($A299="",0,WEEKDAY($A299))</f>
        <v>6</v>
      </c>
      <c r="AB299" s="36">
        <f>IF(AND($C299="Despesa",U299&gt;0,U299&lt;=Sel_Idx,V299&gt;=Sel_Idx),N(R299)+ROW()/1000000000,0)</f>
        <v>0</v>
      </c>
      <c r="AC299" s="40">
        <f>IF(AND($C299="Despesa",U299&gt;0,U299&lt;=Sel_Idx,V299&gt;=Sel_Idx),Z299*10000+ROW(),0)</f>
        <v>0</v>
      </c>
      <c r="AD299" s="40">
        <f>IF(AC299=0,0,COUNTIFS(L_CalChave,"&gt;0",L_CalChave,"&lt;"&amp;AC299)+1)</f>
        <v>0</v>
      </c>
    </row>
    <row r="300">
      <c r="A300" s="38" t="n">
        <v>46115</v>
      </c>
      <c r="B300" s="39" t="inlineStr">
        <is>
          <t>Show</t>
        </is>
      </c>
      <c r="C300" s="34" t="inlineStr">
        <is>
          <t>Despesa</t>
        </is>
      </c>
      <c r="D300" s="34" t="inlineStr">
        <is>
          <t>Lazer</t>
        </is>
      </c>
      <c r="E300" s="34" t="inlineStr">
        <is>
          <t>Bares</t>
        </is>
      </c>
      <c r="F300" s="34" t="inlineStr">
        <is>
          <t>Cartão Azul Gold</t>
        </is>
      </c>
      <c r="G300" s="34" t="inlineStr">
        <is>
          <t>Crédito</t>
        </is>
      </c>
      <c r="H300" s="37" t="n"/>
      <c r="I300" s="37" t="n"/>
      <c r="J300" s="34" t="inlineStr">
        <is>
          <t>Pago</t>
        </is>
      </c>
      <c r="K300" s="34" t="n"/>
      <c r="L300" s="34" t="n"/>
      <c r="M300" s="39" t="inlineStr">
        <is>
          <t>EXEMPLO</t>
        </is>
      </c>
      <c r="N300" s="35" t="n">
        <v>77.93000000000001</v>
      </c>
      <c r="O300" s="40">
        <f>IF($A300="","",MONTH($A300))</f>
        <v>4</v>
      </c>
      <c r="P300" s="40">
        <f>IF($A300="","",YEAR($A300))</f>
        <v>2026</v>
      </c>
      <c r="Q300" s="41">
        <f>IF($A300="","",DATE(P300,O300,1))</f>
        <v>46113.0</v>
      </c>
      <c r="R300" s="36">
        <f>IF(OR($A300="",$N300=""),"",IF(AND($C300&lt;&gt;"Transferência",N($I300)&gt;1),$N300/$I300,$N300))</f>
        <v>77.93</v>
      </c>
      <c r="S300" s="41">
        <f>IF(OR($A300="",$F300="",$C300&lt;&gt;"Despesa"),"",IF(COUNTIF(Cartoes_Nome,$F300)=0,"",DATE(P300,O300+IF(DAY($A300)&gt;=INDEX(Cartoes_Fech,MATCH($F300,Cartoes_Nome,0)),1,0),1)))</f>
        <v>46113.0</v>
      </c>
      <c r="T300" s="42" t="str">
        <f>IF($A300="","",IF(COUNTIFS(L_Data,$A300,L_Desc,$B300,L_Valor,$N300,L_Tipo,$C300)&gt;1,"⚠ Possível duplicidade",IF(OR(AND($C300="Despesa",COUNTIF(CatD_Nome,$D300)=0),AND($C300="Receita",COUNTIF(CatR_Nome,$D300)=0)),"⚠ Categoria não combina com o tipo",IF(OR($N300="",$C300=""),"⚠ Falta valor ou tipo",""))))</f>
        <v/>
      </c>
      <c r="U300" s="40">
        <f>IF($A300="",0,P300*12+O300)</f>
        <v>24316</v>
      </c>
      <c r="V300" s="40">
        <f>IF($A300="",0,U300+MAX(0,N($I300)-MAX(N($H300),1)))</f>
        <v>24316</v>
      </c>
      <c r="W300" s="40">
        <f>IF(S300="",0,YEAR(S300)*12+MONTH(S300))</f>
        <v>24316</v>
      </c>
      <c r="X300" s="40">
        <f>IF(W300=0,0,W300+V300-U300)</f>
        <v>24316</v>
      </c>
      <c r="Y300" s="36">
        <f>IF(W300=0,0,N(R300)*MAX(0,X300-MAX(W300,YEAR(Cfg_Hoje)*12+MONTH(Cfg_Hoje)+IF(DAY(Cfg_Hoje)&gt;=INDEX(Cartoes_Fech,MATCH($F300,Cartoes_Nome,0)),1,0))+1))</f>
        <v>0</v>
      </c>
      <c r="Z300" s="40">
        <f>IF($A300="",0,DAY($A300))</f>
        <v>3</v>
      </c>
      <c r="AA300" s="40">
        <f>IF($A300="",0,WEEKDAY($A300))</f>
        <v>6</v>
      </c>
      <c r="AB300" s="36">
        <f>IF(AND($C300="Despesa",U300&gt;0,U300&lt;=Sel_Idx,V300&gt;=Sel_Idx),N(R300)+ROW()/1000000000,0)</f>
        <v>0</v>
      </c>
      <c r="AC300" s="40">
        <f>IF(AND($C300="Despesa",U300&gt;0,U300&lt;=Sel_Idx,V300&gt;=Sel_Idx),Z300*10000+ROW(),0)</f>
        <v>0</v>
      </c>
      <c r="AD300" s="40">
        <f>IF(AC300=0,0,COUNTIFS(L_CalChave,"&gt;0",L_CalChave,"&lt;"&amp;AC300)+1)</f>
        <v>0</v>
      </c>
    </row>
    <row r="301">
      <c r="A301" s="38" t="n">
        <v>46117</v>
      </c>
      <c r="B301" s="39" t="inlineStr">
        <is>
          <t>Pagamento fatura Cartão Roxinho</t>
        </is>
      </c>
      <c r="C301" s="34" t="inlineStr">
        <is>
          <t>Transferência</t>
        </is>
      </c>
      <c r="D301" s="34" t="n"/>
      <c r="E301" s="34" t="n"/>
      <c r="F301" s="34" t="inlineStr">
        <is>
          <t>Conta Corrente Banco Azul</t>
        </is>
      </c>
      <c r="G301" s="34" t="inlineStr">
        <is>
          <t>Débito automático</t>
        </is>
      </c>
      <c r="H301" s="37" t="n"/>
      <c r="I301" s="37" t="n"/>
      <c r="J301" s="34" t="inlineStr">
        <is>
          <t>Pago</t>
        </is>
      </c>
      <c r="K301" s="34" t="n"/>
      <c r="L301" s="34" t="n"/>
      <c r="M301" s="39" t="inlineStr">
        <is>
          <t>EXEMPLO</t>
        </is>
      </c>
      <c r="N301" s="35" t="n">
        <v>-830.62</v>
      </c>
      <c r="O301" s="40">
        <f>IF($A301="","",MONTH($A301))</f>
        <v>4</v>
      </c>
      <c r="P301" s="40">
        <f>IF($A301="","",YEAR($A301))</f>
        <v>2026</v>
      </c>
      <c r="Q301" s="41">
        <f>IF($A301="","",DATE(P301,O301,1))</f>
        <v>46113.0</v>
      </c>
      <c r="R301" s="36">
        <f>IF(OR($A301="",$N301=""),"",IF(AND($C301&lt;&gt;"Transferência",N($I301)&gt;1),$N301/$I301,$N301))</f>
        <v>-830.62</v>
      </c>
      <c r="S301" s="41" t="str">
        <f>IF(OR($A301="",$F301="",$C301&lt;&gt;"Despesa"),"",IF(COUNTIF(Cartoes_Nome,$F301)=0,"",DATE(P301,O301+IF(DAY($A301)&gt;=INDEX(Cartoes_Fech,MATCH($F301,Cartoes_Nome,0)),1,0),1)))</f>
        <v/>
      </c>
      <c r="T301" s="42" t="str">
        <f>IF($A301="","",IF(COUNTIFS(L_Data,$A301,L_Desc,$B301,L_Valor,$N301,L_Tipo,$C301)&gt;1,"⚠ Possível duplicidade",IF(OR(AND($C301="Despesa",COUNTIF(CatD_Nome,$D301)=0),AND($C301="Receita",COUNTIF(CatR_Nome,$D301)=0)),"⚠ Categoria não combina com o tipo",IF(OR($N301="",$C301=""),"⚠ Falta valor ou tipo",""))))</f>
        <v/>
      </c>
      <c r="U301" s="40">
        <f>IF($A301="",0,P301*12+O301)</f>
        <v>24316</v>
      </c>
      <c r="V301" s="40">
        <f>IF($A301="",0,U301+MAX(0,N($I301)-MAX(N($H301),1)))</f>
        <v>24316</v>
      </c>
      <c r="W301" s="40">
        <f>IF(S301="",0,YEAR(S301)*12+MONTH(S301))</f>
        <v>0</v>
      </c>
      <c r="X301" s="40">
        <f>IF(W301=0,0,W301+V301-U301)</f>
        <v>0</v>
      </c>
      <c r="Y301" s="36">
        <f>IF(W301=0,0,N(R301)*MAX(0,X301-MAX(W301,YEAR(Cfg_Hoje)*12+MONTH(Cfg_Hoje)+IF(DAY(Cfg_Hoje)&gt;=INDEX(Cartoes_Fech,MATCH($F301,Cartoes_Nome,0)),1,0))+1))</f>
        <v>0</v>
      </c>
      <c r="Z301" s="40">
        <f>IF($A301="",0,DAY($A301))</f>
        <v>5</v>
      </c>
      <c r="AA301" s="40">
        <f>IF($A301="",0,WEEKDAY($A301))</f>
        <v>1</v>
      </c>
      <c r="AB301" s="36">
        <f>IF(AND($C301="Despesa",U301&gt;0,U301&lt;=Sel_Idx,V301&gt;=Sel_Idx),N(R301)+ROW()/1000000000,0)</f>
        <v>0</v>
      </c>
      <c r="AC301" s="40">
        <f>IF(AND($C301="Despesa",U301&gt;0,U301&lt;=Sel_Idx,V301&gt;=Sel_Idx),Z301*10000+ROW(),0)</f>
        <v>0</v>
      </c>
      <c r="AD301" s="40">
        <f>IF(AC301=0,0,COUNTIFS(L_CalChave,"&gt;0",L_CalChave,"&lt;"&amp;AC301)+1)</f>
        <v>0</v>
      </c>
    </row>
    <row r="302">
      <c r="A302" s="38" t="n">
        <v>46117</v>
      </c>
      <c r="B302" s="39" t="inlineStr">
        <is>
          <t>Plano de saúde</t>
        </is>
      </c>
      <c r="C302" s="34" t="inlineStr">
        <is>
          <t>Despesa</t>
        </is>
      </c>
      <c r="D302" s="34" t="inlineStr">
        <is>
          <t>Saúde</t>
        </is>
      </c>
      <c r="E302" s="34" t="inlineStr">
        <is>
          <t>Plano de saúde</t>
        </is>
      </c>
      <c r="F302" s="34" t="inlineStr">
        <is>
          <t>Conta Corrente Banco Azul</t>
        </is>
      </c>
      <c r="G302" s="34" t="inlineStr">
        <is>
          <t>Débito automático</t>
        </is>
      </c>
      <c r="H302" s="37" t="n"/>
      <c r="I302" s="37" t="n"/>
      <c r="J302" s="34" t="inlineStr">
        <is>
          <t>Pago</t>
        </is>
      </c>
      <c r="K302" s="34" t="n"/>
      <c r="L302" s="34" t="n"/>
      <c r="M302" s="39" t="inlineStr">
        <is>
          <t>EXEMPLO</t>
        </is>
      </c>
      <c r="N302" s="35" t="n">
        <v>780</v>
      </c>
      <c r="O302" s="40">
        <f>IF($A302="","",MONTH($A302))</f>
        <v>4</v>
      </c>
      <c r="P302" s="40">
        <f>IF($A302="","",YEAR($A302))</f>
        <v>2026</v>
      </c>
      <c r="Q302" s="41">
        <f>IF($A302="","",DATE(P302,O302,1))</f>
        <v>46113.0</v>
      </c>
      <c r="R302" s="36">
        <f>IF(OR($A302="",$N302=""),"",IF(AND($C302&lt;&gt;"Transferência",N($I302)&gt;1),$N302/$I302,$N302))</f>
        <v>780</v>
      </c>
      <c r="S302" s="41" t="str">
        <f>IF(OR($A302="",$F302="",$C302&lt;&gt;"Despesa"),"",IF(COUNTIF(Cartoes_Nome,$F302)=0,"",DATE(P302,O302+IF(DAY($A302)&gt;=INDEX(Cartoes_Fech,MATCH($F302,Cartoes_Nome,0)),1,0),1)))</f>
        <v/>
      </c>
      <c r="T302" s="42" t="str">
        <f>IF($A302="","",IF(COUNTIFS(L_Data,$A302,L_Desc,$B302,L_Valor,$N302,L_Tipo,$C302)&gt;1,"⚠ Possível duplicidade",IF(OR(AND($C302="Despesa",COUNTIF(CatD_Nome,$D302)=0),AND($C302="Receita",COUNTIF(CatR_Nome,$D302)=0)),"⚠ Categoria não combina com o tipo",IF(OR($N302="",$C302=""),"⚠ Falta valor ou tipo",""))))</f>
        <v/>
      </c>
      <c r="U302" s="40">
        <f>IF($A302="",0,P302*12+O302)</f>
        <v>24316</v>
      </c>
      <c r="V302" s="40">
        <f>IF($A302="",0,U302+MAX(0,N($I302)-MAX(N($H302),1)))</f>
        <v>24316</v>
      </c>
      <c r="W302" s="40">
        <f>IF(S302="",0,YEAR(S302)*12+MONTH(S302))</f>
        <v>0</v>
      </c>
      <c r="X302" s="40">
        <f>IF(W302=0,0,W302+V302-U302)</f>
        <v>0</v>
      </c>
      <c r="Y302" s="36">
        <f>IF(W302=0,0,N(R302)*MAX(0,X302-MAX(W302,YEAR(Cfg_Hoje)*12+MONTH(Cfg_Hoje)+IF(DAY(Cfg_Hoje)&gt;=INDEX(Cartoes_Fech,MATCH($F302,Cartoes_Nome,0)),1,0))+1))</f>
        <v>0</v>
      </c>
      <c r="Z302" s="40">
        <f>IF($A302="",0,DAY($A302))</f>
        <v>5</v>
      </c>
      <c r="AA302" s="40">
        <f>IF($A302="",0,WEEKDAY($A302))</f>
        <v>1</v>
      </c>
      <c r="AB302" s="36">
        <f>IF(AND($C302="Despesa",U302&gt;0,U302&lt;=Sel_Idx,V302&gt;=Sel_Idx),N(R302)+ROW()/1000000000,0)</f>
        <v>0</v>
      </c>
      <c r="AC302" s="40">
        <f>IF(AND($C302="Despesa",U302&gt;0,U302&lt;=Sel_Idx,V302&gt;=Sel_Idx),Z302*10000+ROW(),0)</f>
        <v>0</v>
      </c>
      <c r="AD302" s="40">
        <f>IF(AC302=0,0,COUNTIFS(L_CalChave,"&gt;0",L_CalChave,"&lt;"&amp;AC302)+1)</f>
        <v>0</v>
      </c>
    </row>
    <row r="303">
      <c r="A303" s="38" t="n">
        <v>46117</v>
      </c>
      <c r="B303" s="39" t="inlineStr">
        <is>
          <t>Salário</t>
        </is>
      </c>
      <c r="C303" s="34" t="inlineStr">
        <is>
          <t>Receita</t>
        </is>
      </c>
      <c r="D303" s="34" t="inlineStr">
        <is>
          <t>Salário</t>
        </is>
      </c>
      <c r="E303" s="34" t="n"/>
      <c r="F303" s="34" t="inlineStr">
        <is>
          <t>Conta Corrente Banco Azul</t>
        </is>
      </c>
      <c r="G303" s="34" t="inlineStr">
        <is>
          <t>Transferência</t>
        </is>
      </c>
      <c r="H303" s="37" t="n"/>
      <c r="I303" s="37" t="n"/>
      <c r="J303" s="34" t="inlineStr">
        <is>
          <t>Pago</t>
        </is>
      </c>
      <c r="K303" s="34" t="n"/>
      <c r="L303" s="34" t="n"/>
      <c r="M303" s="39" t="inlineStr">
        <is>
          <t>EXEMPLO</t>
        </is>
      </c>
      <c r="N303" s="35" t="n">
        <v>10800</v>
      </c>
      <c r="O303" s="40">
        <f>IF($A303="","",MONTH($A303))</f>
        <v>4</v>
      </c>
      <c r="P303" s="40">
        <f>IF($A303="","",YEAR($A303))</f>
        <v>2026</v>
      </c>
      <c r="Q303" s="41">
        <f>IF($A303="","",DATE(P303,O303,1))</f>
        <v>46113.0</v>
      </c>
      <c r="R303" s="36">
        <f>IF(OR($A303="",$N303=""),"",IF(AND($C303&lt;&gt;"Transferência",N($I303)&gt;1),$N303/$I303,$N303))</f>
        <v>10800</v>
      </c>
      <c r="S303" s="41" t="str">
        <f>IF(OR($A303="",$F303="",$C303&lt;&gt;"Despesa"),"",IF(COUNTIF(Cartoes_Nome,$F303)=0,"",DATE(P303,O303+IF(DAY($A303)&gt;=INDEX(Cartoes_Fech,MATCH($F303,Cartoes_Nome,0)),1,0),1)))</f>
        <v/>
      </c>
      <c r="T303" s="42" t="str">
        <f>IF($A303="","",IF(COUNTIFS(L_Data,$A303,L_Desc,$B303,L_Valor,$N303,L_Tipo,$C303)&gt;1,"⚠ Possível duplicidade",IF(OR(AND($C303="Despesa",COUNTIF(CatD_Nome,$D303)=0),AND($C303="Receita",COUNTIF(CatR_Nome,$D303)=0)),"⚠ Categoria não combina com o tipo",IF(OR($N303="",$C303=""),"⚠ Falta valor ou tipo",""))))</f>
        <v/>
      </c>
      <c r="U303" s="40">
        <f>IF($A303="",0,P303*12+O303)</f>
        <v>24316</v>
      </c>
      <c r="V303" s="40">
        <f>IF($A303="",0,U303+MAX(0,N($I303)-MAX(N($H303),1)))</f>
        <v>24316</v>
      </c>
      <c r="W303" s="40">
        <f>IF(S303="",0,YEAR(S303)*12+MONTH(S303))</f>
        <v>0</v>
      </c>
      <c r="X303" s="40">
        <f>IF(W303=0,0,W303+V303-U303)</f>
        <v>0</v>
      </c>
      <c r="Y303" s="36">
        <f>IF(W303=0,0,N(R303)*MAX(0,X303-MAX(W303,YEAR(Cfg_Hoje)*12+MONTH(Cfg_Hoje)+IF(DAY(Cfg_Hoje)&gt;=INDEX(Cartoes_Fech,MATCH($F303,Cartoes_Nome,0)),1,0))+1))</f>
        <v>0</v>
      </c>
      <c r="Z303" s="40">
        <f>IF($A303="",0,DAY($A303))</f>
        <v>5</v>
      </c>
      <c r="AA303" s="40">
        <f>IF($A303="",0,WEEKDAY($A303))</f>
        <v>1</v>
      </c>
      <c r="AB303" s="36">
        <f>IF(AND($C303="Despesa",U303&gt;0,U303&lt;=Sel_Idx,V303&gt;=Sel_Idx),N(R303)+ROW()/1000000000,0)</f>
        <v>0</v>
      </c>
      <c r="AC303" s="40">
        <f>IF(AND($C303="Despesa",U303&gt;0,U303&lt;=Sel_Idx,V303&gt;=Sel_Idx),Z303*10000+ROW(),0)</f>
        <v>0</v>
      </c>
      <c r="AD303" s="40">
        <f>IF(AC303=0,0,COUNTIFS(L_CalChave,"&gt;0",L_CalChave,"&lt;"&amp;AC303)+1)</f>
        <v>0</v>
      </c>
    </row>
    <row r="304">
      <c r="A304" s="38" t="n">
        <v>46117</v>
      </c>
      <c r="B304" s="39" t="inlineStr">
        <is>
          <t>Supermercado</t>
        </is>
      </c>
      <c r="C304" s="34" t="inlineStr">
        <is>
          <t>Despesa</t>
        </is>
      </c>
      <c r="D304" s="34" t="inlineStr">
        <is>
          <t>Alimentação</t>
        </is>
      </c>
      <c r="E304" s="34" t="inlineStr">
        <is>
          <t>Mercado</t>
        </is>
      </c>
      <c r="F304" s="34" t="inlineStr">
        <is>
          <t>Cartão Azul Gold</t>
        </is>
      </c>
      <c r="G304" s="34" t="inlineStr">
        <is>
          <t>Crédito</t>
        </is>
      </c>
      <c r="H304" s="37" t="n"/>
      <c r="I304" s="37" t="n"/>
      <c r="J304" s="34" t="inlineStr">
        <is>
          <t>Pago</t>
        </is>
      </c>
      <c r="K304" s="34" t="n"/>
      <c r="L304" s="34" t="n"/>
      <c r="M304" s="39" t="inlineStr">
        <is>
          <t>EXEMPLO</t>
        </is>
      </c>
      <c r="N304" s="35" t="n">
        <v>350.27</v>
      </c>
      <c r="O304" s="40">
        <f>IF($A304="","",MONTH($A304))</f>
        <v>4</v>
      </c>
      <c r="P304" s="40">
        <f>IF($A304="","",YEAR($A304))</f>
        <v>2026</v>
      </c>
      <c r="Q304" s="41">
        <f>IF($A304="","",DATE(P304,O304,1))</f>
        <v>46113.0</v>
      </c>
      <c r="R304" s="36">
        <f>IF(OR($A304="",$N304=""),"",IF(AND($C304&lt;&gt;"Transferência",N($I304)&gt;1),$N304/$I304,$N304))</f>
        <v>350.27</v>
      </c>
      <c r="S304" s="41">
        <f>IF(OR($A304="",$F304="",$C304&lt;&gt;"Despesa"),"",IF(COUNTIF(Cartoes_Nome,$F304)=0,"",DATE(P304,O304+IF(DAY($A304)&gt;=INDEX(Cartoes_Fech,MATCH($F304,Cartoes_Nome,0)),1,0),1)))</f>
        <v>46113.0</v>
      </c>
      <c r="T304" s="42" t="str">
        <f>IF($A304="","",IF(COUNTIFS(L_Data,$A304,L_Desc,$B304,L_Valor,$N304,L_Tipo,$C304)&gt;1,"⚠ Possível duplicidade",IF(OR(AND($C304="Despesa",COUNTIF(CatD_Nome,$D304)=0),AND($C304="Receita",COUNTIF(CatR_Nome,$D304)=0)),"⚠ Categoria não combina com o tipo",IF(OR($N304="",$C304=""),"⚠ Falta valor ou tipo",""))))</f>
        <v/>
      </c>
      <c r="U304" s="40">
        <f>IF($A304="",0,P304*12+O304)</f>
        <v>24316</v>
      </c>
      <c r="V304" s="40">
        <f>IF($A304="",0,U304+MAX(0,N($I304)-MAX(N($H304),1)))</f>
        <v>24316</v>
      </c>
      <c r="W304" s="40">
        <f>IF(S304="",0,YEAR(S304)*12+MONTH(S304))</f>
        <v>24316</v>
      </c>
      <c r="X304" s="40">
        <f>IF(W304=0,0,W304+V304-U304)</f>
        <v>24316</v>
      </c>
      <c r="Y304" s="36">
        <f>IF(W304=0,0,N(R304)*MAX(0,X304-MAX(W304,YEAR(Cfg_Hoje)*12+MONTH(Cfg_Hoje)+IF(DAY(Cfg_Hoje)&gt;=INDEX(Cartoes_Fech,MATCH($F304,Cartoes_Nome,0)),1,0))+1))</f>
        <v>0</v>
      </c>
      <c r="Z304" s="40">
        <f>IF($A304="",0,DAY($A304))</f>
        <v>5</v>
      </c>
      <c r="AA304" s="40">
        <f>IF($A304="",0,WEEKDAY($A304))</f>
        <v>1</v>
      </c>
      <c r="AB304" s="36">
        <f>IF(AND($C304="Despesa",U304&gt;0,U304&lt;=Sel_Idx,V304&gt;=Sel_Idx),N(R304)+ROW()/1000000000,0)</f>
        <v>0</v>
      </c>
      <c r="AC304" s="40">
        <f>IF(AND($C304="Despesa",U304&gt;0,U304&lt;=Sel_Idx,V304&gt;=Sel_Idx),Z304*10000+ROW(),0)</f>
        <v>0</v>
      </c>
      <c r="AD304" s="40">
        <f>IF(AC304=0,0,COUNTIFS(L_CalChave,"&gt;0",L_CalChave,"&lt;"&amp;AC304)+1)</f>
        <v>0</v>
      </c>
    </row>
    <row r="305">
      <c r="A305" s="38" t="n">
        <v>46118</v>
      </c>
      <c r="B305" s="39" t="inlineStr">
        <is>
          <t>Aporte - MBA</t>
        </is>
      </c>
      <c r="C305" s="34" t="inlineStr">
        <is>
          <t>Investimento</t>
        </is>
      </c>
      <c r="D305" s="34" t="inlineStr">
        <is>
          <t>Investimento</t>
        </is>
      </c>
      <c r="E305" s="34" t="n"/>
      <c r="F305" s="34" t="inlineStr">
        <is>
          <t>Conta Corrente Banco Azul</t>
        </is>
      </c>
      <c r="G305" s="34" t="inlineStr">
        <is>
          <t>Transferência</t>
        </is>
      </c>
      <c r="H305" s="37" t="n"/>
      <c r="I305" s="37" t="n"/>
      <c r="J305" s="34" t="inlineStr">
        <is>
          <t>Pago</t>
        </is>
      </c>
      <c r="K305" s="34" t="n"/>
      <c r="L305" s="34" t="inlineStr">
        <is>
          <t>MBA</t>
        </is>
      </c>
      <c r="M305" s="39" t="inlineStr">
        <is>
          <t>EXEMPLO</t>
        </is>
      </c>
      <c r="N305" s="35" t="n">
        <v>150</v>
      </c>
      <c r="O305" s="40">
        <f>IF($A305="","",MONTH($A305))</f>
        <v>4</v>
      </c>
      <c r="P305" s="40">
        <f>IF($A305="","",YEAR($A305))</f>
        <v>2026</v>
      </c>
      <c r="Q305" s="41">
        <f>IF($A305="","",DATE(P305,O305,1))</f>
        <v>46113.0</v>
      </c>
      <c r="R305" s="36">
        <f>IF(OR($A305="",$N305=""),"",IF(AND($C305&lt;&gt;"Transferência",N($I305)&gt;1),$N305/$I305,$N305))</f>
        <v>150</v>
      </c>
      <c r="S305" s="41" t="str">
        <f>IF(OR($A305="",$F305="",$C305&lt;&gt;"Despesa"),"",IF(COUNTIF(Cartoes_Nome,$F305)=0,"",DATE(P305,O305+IF(DAY($A305)&gt;=INDEX(Cartoes_Fech,MATCH($F305,Cartoes_Nome,0)),1,0),1)))</f>
        <v/>
      </c>
      <c r="T305" s="42" t="str">
        <f>IF($A305="","",IF(COUNTIFS(L_Data,$A305,L_Desc,$B305,L_Valor,$N305,L_Tipo,$C305)&gt;1,"⚠ Possível duplicidade",IF(OR(AND($C305="Despesa",COUNTIF(CatD_Nome,$D305)=0),AND($C305="Receita",COUNTIF(CatR_Nome,$D305)=0)),"⚠ Categoria não combina com o tipo",IF(OR($N305="",$C305=""),"⚠ Falta valor ou tipo",""))))</f>
        <v/>
      </c>
      <c r="U305" s="40">
        <f>IF($A305="",0,P305*12+O305)</f>
        <v>24316</v>
      </c>
      <c r="V305" s="40">
        <f>IF($A305="",0,U305+MAX(0,N($I305)-MAX(N($H305),1)))</f>
        <v>24316</v>
      </c>
      <c r="W305" s="40">
        <f>IF(S305="",0,YEAR(S305)*12+MONTH(S305))</f>
        <v>0</v>
      </c>
      <c r="X305" s="40">
        <f>IF(W305=0,0,W305+V305-U305)</f>
        <v>0</v>
      </c>
      <c r="Y305" s="36">
        <f>IF(W305=0,0,N(R305)*MAX(0,X305-MAX(W305,YEAR(Cfg_Hoje)*12+MONTH(Cfg_Hoje)+IF(DAY(Cfg_Hoje)&gt;=INDEX(Cartoes_Fech,MATCH($F305,Cartoes_Nome,0)),1,0))+1))</f>
        <v>0</v>
      </c>
      <c r="Z305" s="40">
        <f>IF($A305="",0,DAY($A305))</f>
        <v>6</v>
      </c>
      <c r="AA305" s="40">
        <f>IF($A305="",0,WEEKDAY($A305))</f>
        <v>2</v>
      </c>
      <c r="AB305" s="36">
        <f>IF(AND($C305="Despesa",U305&gt;0,U305&lt;=Sel_Idx,V305&gt;=Sel_Idx),N(R305)+ROW()/1000000000,0)</f>
        <v>0</v>
      </c>
      <c r="AC305" s="40">
        <f>IF(AND($C305="Despesa",U305&gt;0,U305&lt;=Sel_Idx,V305&gt;=Sel_Idx),Z305*10000+ROW(),0)</f>
        <v>0</v>
      </c>
      <c r="AD305" s="40">
        <f>IF(AC305=0,0,COUNTIFS(L_CalChave,"&gt;0",L_CalChave,"&lt;"&amp;AC305)+1)</f>
        <v>0</v>
      </c>
    </row>
    <row r="306">
      <c r="A306" s="38" t="n">
        <v>46118</v>
      </c>
      <c r="B306" s="39" t="inlineStr">
        <is>
          <t>Aporte - aposentadoria (PGBL)</t>
        </is>
      </c>
      <c r="C306" s="34" t="inlineStr">
        <is>
          <t>Investimento</t>
        </is>
      </c>
      <c r="D306" s="34" t="inlineStr">
        <is>
          <t>Investimento</t>
        </is>
      </c>
      <c r="E306" s="34" t="n"/>
      <c r="F306" s="34" t="inlineStr">
        <is>
          <t>Conta Corrente Banco Azul</t>
        </is>
      </c>
      <c r="G306" s="34" t="inlineStr">
        <is>
          <t>Transferência</t>
        </is>
      </c>
      <c r="H306" s="37" t="n"/>
      <c r="I306" s="37" t="n"/>
      <c r="J306" s="34" t="inlineStr">
        <is>
          <t>Pago</t>
        </is>
      </c>
      <c r="K306" s="34" t="n"/>
      <c r="L306" s="34" t="inlineStr">
        <is>
          <t>Aposentadoria</t>
        </is>
      </c>
      <c r="M306" s="39" t="inlineStr">
        <is>
          <t>EXEMPLO</t>
        </is>
      </c>
      <c r="N306" s="35" t="n">
        <v>300</v>
      </c>
      <c r="O306" s="40">
        <f>IF($A306="","",MONTH($A306))</f>
        <v>4</v>
      </c>
      <c r="P306" s="40">
        <f>IF($A306="","",YEAR($A306))</f>
        <v>2026</v>
      </c>
      <c r="Q306" s="41">
        <f>IF($A306="","",DATE(P306,O306,1))</f>
        <v>46113.0</v>
      </c>
      <c r="R306" s="36">
        <f>IF(OR($A306="",$N306=""),"",IF(AND($C306&lt;&gt;"Transferência",N($I306)&gt;1),$N306/$I306,$N306))</f>
        <v>300</v>
      </c>
      <c r="S306" s="41" t="str">
        <f>IF(OR($A306="",$F306="",$C306&lt;&gt;"Despesa"),"",IF(COUNTIF(Cartoes_Nome,$F306)=0,"",DATE(P306,O306+IF(DAY($A306)&gt;=INDEX(Cartoes_Fech,MATCH($F306,Cartoes_Nome,0)),1,0),1)))</f>
        <v/>
      </c>
      <c r="T306" s="42" t="str">
        <f>IF($A306="","",IF(COUNTIFS(L_Data,$A306,L_Desc,$B306,L_Valor,$N306,L_Tipo,$C306)&gt;1,"⚠ Possível duplicidade",IF(OR(AND($C306="Despesa",COUNTIF(CatD_Nome,$D306)=0),AND($C306="Receita",COUNTIF(CatR_Nome,$D306)=0)),"⚠ Categoria não combina com o tipo",IF(OR($N306="",$C306=""),"⚠ Falta valor ou tipo",""))))</f>
        <v/>
      </c>
      <c r="U306" s="40">
        <f>IF($A306="",0,P306*12+O306)</f>
        <v>24316</v>
      </c>
      <c r="V306" s="40">
        <f>IF($A306="",0,U306+MAX(0,N($I306)-MAX(N($H306),1)))</f>
        <v>24316</v>
      </c>
      <c r="W306" s="40">
        <f>IF(S306="",0,YEAR(S306)*12+MONTH(S306))</f>
        <v>0</v>
      </c>
      <c r="X306" s="40">
        <f>IF(W306=0,0,W306+V306-U306)</f>
        <v>0</v>
      </c>
      <c r="Y306" s="36">
        <f>IF(W306=0,0,N(R306)*MAX(0,X306-MAX(W306,YEAR(Cfg_Hoje)*12+MONTH(Cfg_Hoje)+IF(DAY(Cfg_Hoje)&gt;=INDEX(Cartoes_Fech,MATCH($F306,Cartoes_Nome,0)),1,0))+1))</f>
        <v>0</v>
      </c>
      <c r="Z306" s="40">
        <f>IF($A306="",0,DAY($A306))</f>
        <v>6</v>
      </c>
      <c r="AA306" s="40">
        <f>IF($A306="",0,WEEKDAY($A306))</f>
        <v>2</v>
      </c>
      <c r="AB306" s="36">
        <f>IF(AND($C306="Despesa",U306&gt;0,U306&lt;=Sel_Idx,V306&gt;=Sel_Idx),N(R306)+ROW()/1000000000,0)</f>
        <v>0</v>
      </c>
      <c r="AC306" s="40">
        <f>IF(AND($C306="Despesa",U306&gt;0,U306&lt;=Sel_Idx,V306&gt;=Sel_Idx),Z306*10000+ROW(),0)</f>
        <v>0</v>
      </c>
      <c r="AD306" s="40">
        <f>IF(AC306=0,0,COUNTIFS(L_CalChave,"&gt;0",L_CalChave,"&lt;"&amp;AC306)+1)</f>
        <v>0</v>
      </c>
    </row>
    <row r="307">
      <c r="A307" s="38" t="n">
        <v>46118</v>
      </c>
      <c r="B307" s="39" t="inlineStr">
        <is>
          <t>Aporte - entrada do apartamento</t>
        </is>
      </c>
      <c r="C307" s="34" t="inlineStr">
        <is>
          <t>Investimento</t>
        </is>
      </c>
      <c r="D307" s="34" t="inlineStr">
        <is>
          <t>Investimento</t>
        </is>
      </c>
      <c r="E307" s="34" t="n"/>
      <c r="F307" s="34" t="inlineStr">
        <is>
          <t>Conta Corrente Banco Azul</t>
        </is>
      </c>
      <c r="G307" s="34" t="inlineStr">
        <is>
          <t>Transferência</t>
        </is>
      </c>
      <c r="H307" s="37" t="n"/>
      <c r="I307" s="37" t="n"/>
      <c r="J307" s="34" t="inlineStr">
        <is>
          <t>Pago</t>
        </is>
      </c>
      <c r="K307" s="34" t="n"/>
      <c r="L307" s="34" t="inlineStr">
        <is>
          <t>Entrada do apartamento</t>
        </is>
      </c>
      <c r="M307" s="39" t="inlineStr">
        <is>
          <t>EXEMPLO</t>
        </is>
      </c>
      <c r="N307" s="35" t="n">
        <v>250</v>
      </c>
      <c r="O307" s="40">
        <f>IF($A307="","",MONTH($A307))</f>
        <v>4</v>
      </c>
      <c r="P307" s="40">
        <f>IF($A307="","",YEAR($A307))</f>
        <v>2026</v>
      </c>
      <c r="Q307" s="41">
        <f>IF($A307="","",DATE(P307,O307,1))</f>
        <v>46113.0</v>
      </c>
      <c r="R307" s="36">
        <f>IF(OR($A307="",$N307=""),"",IF(AND($C307&lt;&gt;"Transferência",N($I307)&gt;1),$N307/$I307,$N307))</f>
        <v>250</v>
      </c>
      <c r="S307" s="41" t="str">
        <f>IF(OR($A307="",$F307="",$C307&lt;&gt;"Despesa"),"",IF(COUNTIF(Cartoes_Nome,$F307)=0,"",DATE(P307,O307+IF(DAY($A307)&gt;=INDEX(Cartoes_Fech,MATCH($F307,Cartoes_Nome,0)),1,0),1)))</f>
        <v/>
      </c>
      <c r="T307" s="42" t="str">
        <f>IF($A307="","",IF(COUNTIFS(L_Data,$A307,L_Desc,$B307,L_Valor,$N307,L_Tipo,$C307)&gt;1,"⚠ Possível duplicidade",IF(OR(AND($C307="Despesa",COUNTIF(CatD_Nome,$D307)=0),AND($C307="Receita",COUNTIF(CatR_Nome,$D307)=0)),"⚠ Categoria não combina com o tipo",IF(OR($N307="",$C307=""),"⚠ Falta valor ou tipo",""))))</f>
        <v/>
      </c>
      <c r="U307" s="40">
        <f>IF($A307="",0,P307*12+O307)</f>
        <v>24316</v>
      </c>
      <c r="V307" s="40">
        <f>IF($A307="",0,U307+MAX(0,N($I307)-MAX(N($H307),1)))</f>
        <v>24316</v>
      </c>
      <c r="W307" s="40">
        <f>IF(S307="",0,YEAR(S307)*12+MONTH(S307))</f>
        <v>0</v>
      </c>
      <c r="X307" s="40">
        <f>IF(W307=0,0,W307+V307-U307)</f>
        <v>0</v>
      </c>
      <c r="Y307" s="36">
        <f>IF(W307=0,0,N(R307)*MAX(0,X307-MAX(W307,YEAR(Cfg_Hoje)*12+MONTH(Cfg_Hoje)+IF(DAY(Cfg_Hoje)&gt;=INDEX(Cartoes_Fech,MATCH($F307,Cartoes_Nome,0)),1,0))+1))</f>
        <v>0</v>
      </c>
      <c r="Z307" s="40">
        <f>IF($A307="",0,DAY($A307))</f>
        <v>6</v>
      </c>
      <c r="AA307" s="40">
        <f>IF($A307="",0,WEEKDAY($A307))</f>
        <v>2</v>
      </c>
      <c r="AB307" s="36">
        <f>IF(AND($C307="Despesa",U307&gt;0,U307&lt;=Sel_Idx,V307&gt;=Sel_Idx),N(R307)+ROW()/1000000000,0)</f>
        <v>0</v>
      </c>
      <c r="AC307" s="40">
        <f>IF(AND($C307="Despesa",U307&gt;0,U307&lt;=Sel_Idx,V307&gt;=Sel_Idx),Z307*10000+ROW(),0)</f>
        <v>0</v>
      </c>
      <c r="AD307" s="40">
        <f>IF(AC307=0,0,COUNTIFS(L_CalChave,"&gt;0",L_CalChave,"&lt;"&amp;AC307)+1)</f>
        <v>0</v>
      </c>
    </row>
    <row r="308">
      <c r="A308" s="38" t="n">
        <v>46118</v>
      </c>
      <c r="B308" s="39" t="inlineStr">
        <is>
          <t>Aporte - quitar empréstimo</t>
        </is>
      </c>
      <c r="C308" s="34" t="inlineStr">
        <is>
          <t>Investimento</t>
        </is>
      </c>
      <c r="D308" s="34" t="inlineStr">
        <is>
          <t>Investimento</t>
        </is>
      </c>
      <c r="E308" s="34" t="n"/>
      <c r="F308" s="34" t="inlineStr">
        <is>
          <t>Conta Corrente Banco Azul</t>
        </is>
      </c>
      <c r="G308" s="34" t="inlineStr">
        <is>
          <t>Transferência</t>
        </is>
      </c>
      <c r="H308" s="37" t="n"/>
      <c r="I308" s="37" t="n"/>
      <c r="J308" s="34" t="inlineStr">
        <is>
          <t>Pago</t>
        </is>
      </c>
      <c r="K308" s="34" t="n"/>
      <c r="L308" s="34" t="inlineStr">
        <is>
          <t>Quitar empréstimo pessoal</t>
        </is>
      </c>
      <c r="M308" s="39" t="inlineStr">
        <is>
          <t>EXEMPLO</t>
        </is>
      </c>
      <c r="N308" s="35" t="n">
        <v>150</v>
      </c>
      <c r="O308" s="40">
        <f>IF($A308="","",MONTH($A308))</f>
        <v>4</v>
      </c>
      <c r="P308" s="40">
        <f>IF($A308="","",YEAR($A308))</f>
        <v>2026</v>
      </c>
      <c r="Q308" s="41">
        <f>IF($A308="","",DATE(P308,O308,1))</f>
        <v>46113.0</v>
      </c>
      <c r="R308" s="36">
        <f>IF(OR($A308="",$N308=""),"",IF(AND($C308&lt;&gt;"Transferência",N($I308)&gt;1),$N308/$I308,$N308))</f>
        <v>150</v>
      </c>
      <c r="S308" s="41" t="str">
        <f>IF(OR($A308="",$F308="",$C308&lt;&gt;"Despesa"),"",IF(COUNTIF(Cartoes_Nome,$F308)=0,"",DATE(P308,O308+IF(DAY($A308)&gt;=INDEX(Cartoes_Fech,MATCH($F308,Cartoes_Nome,0)),1,0),1)))</f>
        <v/>
      </c>
      <c r="T308" s="42" t="str">
        <f>IF($A308="","",IF(COUNTIFS(L_Data,$A308,L_Desc,$B308,L_Valor,$N308,L_Tipo,$C308)&gt;1,"⚠ Possível duplicidade",IF(OR(AND($C308="Despesa",COUNTIF(CatD_Nome,$D308)=0),AND($C308="Receita",COUNTIF(CatR_Nome,$D308)=0)),"⚠ Categoria não combina com o tipo",IF(OR($N308="",$C308=""),"⚠ Falta valor ou tipo",""))))</f>
        <v/>
      </c>
      <c r="U308" s="40">
        <f>IF($A308="",0,P308*12+O308)</f>
        <v>24316</v>
      </c>
      <c r="V308" s="40">
        <f>IF($A308="",0,U308+MAX(0,N($I308)-MAX(N($H308),1)))</f>
        <v>24316</v>
      </c>
      <c r="W308" s="40">
        <f>IF(S308="",0,YEAR(S308)*12+MONTH(S308))</f>
        <v>0</v>
      </c>
      <c r="X308" s="40">
        <f>IF(W308=0,0,W308+V308-U308)</f>
        <v>0</v>
      </c>
      <c r="Y308" s="36">
        <f>IF(W308=0,0,N(R308)*MAX(0,X308-MAX(W308,YEAR(Cfg_Hoje)*12+MONTH(Cfg_Hoje)+IF(DAY(Cfg_Hoje)&gt;=INDEX(Cartoes_Fech,MATCH($F308,Cartoes_Nome,0)),1,0))+1))</f>
        <v>0</v>
      </c>
      <c r="Z308" s="40">
        <f>IF($A308="",0,DAY($A308))</f>
        <v>6</v>
      </c>
      <c r="AA308" s="40">
        <f>IF($A308="",0,WEEKDAY($A308))</f>
        <v>2</v>
      </c>
      <c r="AB308" s="36">
        <f>IF(AND($C308="Despesa",U308&gt;0,U308&lt;=Sel_Idx,V308&gt;=Sel_Idx),N(R308)+ROW()/1000000000,0)</f>
        <v>0</v>
      </c>
      <c r="AC308" s="40">
        <f>IF(AND($C308="Despesa",U308&gt;0,U308&lt;=Sel_Idx,V308&gt;=Sel_Idx),Z308*10000+ROW(),0)</f>
        <v>0</v>
      </c>
      <c r="AD308" s="40">
        <f>IF(AC308=0,0,COUNTIFS(L_CalChave,"&gt;0",L_CalChave,"&lt;"&amp;AC308)+1)</f>
        <v>0</v>
      </c>
    </row>
    <row r="309">
      <c r="A309" s="38" t="n">
        <v>46118</v>
      </c>
      <c r="B309" s="39" t="inlineStr">
        <is>
          <t>Aporte - reserva de emergência</t>
        </is>
      </c>
      <c r="C309" s="34" t="inlineStr">
        <is>
          <t>Investimento</t>
        </is>
      </c>
      <c r="D309" s="34" t="inlineStr">
        <is>
          <t>Investimento</t>
        </is>
      </c>
      <c r="E309" s="34" t="n"/>
      <c r="F309" s="34" t="inlineStr">
        <is>
          <t>Conta Corrente Banco Azul</t>
        </is>
      </c>
      <c r="G309" s="34" t="inlineStr">
        <is>
          <t>Transferência</t>
        </is>
      </c>
      <c r="H309" s="37" t="n"/>
      <c r="I309" s="37" t="n"/>
      <c r="J309" s="34" t="inlineStr">
        <is>
          <t>Pago</t>
        </is>
      </c>
      <c r="K309" s="34" t="n"/>
      <c r="L309" s="34" t="inlineStr">
        <is>
          <t>Reserva de emergência</t>
        </is>
      </c>
      <c r="M309" s="39" t="inlineStr">
        <is>
          <t>EXEMPLO</t>
        </is>
      </c>
      <c r="N309" s="35" t="n">
        <v>700</v>
      </c>
      <c r="O309" s="40">
        <f>IF($A309="","",MONTH($A309))</f>
        <v>4</v>
      </c>
      <c r="P309" s="40">
        <f>IF($A309="","",YEAR($A309))</f>
        <v>2026</v>
      </c>
      <c r="Q309" s="41">
        <f>IF($A309="","",DATE(P309,O309,1))</f>
        <v>46113.0</v>
      </c>
      <c r="R309" s="36">
        <f>IF(OR($A309="",$N309=""),"",IF(AND($C309&lt;&gt;"Transferência",N($I309)&gt;1),$N309/$I309,$N309))</f>
        <v>700</v>
      </c>
      <c r="S309" s="41" t="str">
        <f>IF(OR($A309="",$F309="",$C309&lt;&gt;"Despesa"),"",IF(COUNTIF(Cartoes_Nome,$F309)=0,"",DATE(P309,O309+IF(DAY($A309)&gt;=INDEX(Cartoes_Fech,MATCH($F309,Cartoes_Nome,0)),1,0),1)))</f>
        <v/>
      </c>
      <c r="T309" s="42" t="str">
        <f>IF($A309="","",IF(COUNTIFS(L_Data,$A309,L_Desc,$B309,L_Valor,$N309,L_Tipo,$C309)&gt;1,"⚠ Possível duplicidade",IF(OR(AND($C309="Despesa",COUNTIF(CatD_Nome,$D309)=0),AND($C309="Receita",COUNTIF(CatR_Nome,$D309)=0)),"⚠ Categoria não combina com o tipo",IF(OR($N309="",$C309=""),"⚠ Falta valor ou tipo",""))))</f>
        <v/>
      </c>
      <c r="U309" s="40">
        <f>IF($A309="",0,P309*12+O309)</f>
        <v>24316</v>
      </c>
      <c r="V309" s="40">
        <f>IF($A309="",0,U309+MAX(0,N($I309)-MAX(N($H309),1)))</f>
        <v>24316</v>
      </c>
      <c r="W309" s="40">
        <f>IF(S309="",0,YEAR(S309)*12+MONTH(S309))</f>
        <v>0</v>
      </c>
      <c r="X309" s="40">
        <f>IF(W309=0,0,W309+V309-U309)</f>
        <v>0</v>
      </c>
      <c r="Y309" s="36">
        <f>IF(W309=0,0,N(R309)*MAX(0,X309-MAX(W309,YEAR(Cfg_Hoje)*12+MONTH(Cfg_Hoje)+IF(DAY(Cfg_Hoje)&gt;=INDEX(Cartoes_Fech,MATCH($F309,Cartoes_Nome,0)),1,0))+1))</f>
        <v>0</v>
      </c>
      <c r="Z309" s="40">
        <f>IF($A309="",0,DAY($A309))</f>
        <v>6</v>
      </c>
      <c r="AA309" s="40">
        <f>IF($A309="",0,WEEKDAY($A309))</f>
        <v>2</v>
      </c>
      <c r="AB309" s="36">
        <f>IF(AND($C309="Despesa",U309&gt;0,U309&lt;=Sel_Idx,V309&gt;=Sel_Idx),N(R309)+ROW()/1000000000,0)</f>
        <v>0</v>
      </c>
      <c r="AC309" s="40">
        <f>IF(AND($C309="Despesa",U309&gt;0,U309&lt;=Sel_Idx,V309&gt;=Sel_Idx),Z309*10000+ROW(),0)</f>
        <v>0</v>
      </c>
      <c r="AD309" s="40">
        <f>IF(AC309=0,0,COUNTIFS(L_CalChave,"&gt;0",L_CalChave,"&lt;"&amp;AC309)+1)</f>
        <v>0</v>
      </c>
    </row>
    <row r="310">
      <c r="A310" s="38" t="n">
        <v>46118</v>
      </c>
      <c r="B310" s="39" t="inlineStr">
        <is>
          <t>Aporte - troca de carro</t>
        </is>
      </c>
      <c r="C310" s="34" t="inlineStr">
        <is>
          <t>Investimento</t>
        </is>
      </c>
      <c r="D310" s="34" t="inlineStr">
        <is>
          <t>Investimento</t>
        </is>
      </c>
      <c r="E310" s="34" t="n"/>
      <c r="F310" s="34" t="inlineStr">
        <is>
          <t>Conta Corrente Banco Azul</t>
        </is>
      </c>
      <c r="G310" s="34" t="inlineStr">
        <is>
          <t>Transferência</t>
        </is>
      </c>
      <c r="H310" s="37" t="n"/>
      <c r="I310" s="37" t="n"/>
      <c r="J310" s="34" t="inlineStr">
        <is>
          <t>Pago</t>
        </is>
      </c>
      <c r="K310" s="34" t="n"/>
      <c r="L310" s="34" t="inlineStr">
        <is>
          <t>Troca de carro</t>
        </is>
      </c>
      <c r="M310" s="39" t="inlineStr">
        <is>
          <t>EXEMPLO</t>
        </is>
      </c>
      <c r="N310" s="35" t="n">
        <v>200</v>
      </c>
      <c r="O310" s="40">
        <f>IF($A310="","",MONTH($A310))</f>
        <v>4</v>
      </c>
      <c r="P310" s="40">
        <f>IF($A310="","",YEAR($A310))</f>
        <v>2026</v>
      </c>
      <c r="Q310" s="41">
        <f>IF($A310="","",DATE(P310,O310,1))</f>
        <v>46113.0</v>
      </c>
      <c r="R310" s="36">
        <f>IF(OR($A310="",$N310=""),"",IF(AND($C310&lt;&gt;"Transferência",N($I310)&gt;1),$N310/$I310,$N310))</f>
        <v>200</v>
      </c>
      <c r="S310" s="41" t="str">
        <f>IF(OR($A310="",$F310="",$C310&lt;&gt;"Despesa"),"",IF(COUNTIF(Cartoes_Nome,$F310)=0,"",DATE(P310,O310+IF(DAY($A310)&gt;=INDEX(Cartoes_Fech,MATCH($F310,Cartoes_Nome,0)),1,0),1)))</f>
        <v/>
      </c>
      <c r="T310" s="42" t="str">
        <f>IF($A310="","",IF(COUNTIFS(L_Data,$A310,L_Desc,$B310,L_Valor,$N310,L_Tipo,$C310)&gt;1,"⚠ Possível duplicidade",IF(OR(AND($C310="Despesa",COUNTIF(CatD_Nome,$D310)=0),AND($C310="Receita",COUNTIF(CatR_Nome,$D310)=0)),"⚠ Categoria não combina com o tipo",IF(OR($N310="",$C310=""),"⚠ Falta valor ou tipo",""))))</f>
        <v/>
      </c>
      <c r="U310" s="40">
        <f>IF($A310="",0,P310*12+O310)</f>
        <v>24316</v>
      </c>
      <c r="V310" s="40">
        <f>IF($A310="",0,U310+MAX(0,N($I310)-MAX(N($H310),1)))</f>
        <v>24316</v>
      </c>
      <c r="W310" s="40">
        <f>IF(S310="",0,YEAR(S310)*12+MONTH(S310))</f>
        <v>0</v>
      </c>
      <c r="X310" s="40">
        <f>IF(W310=0,0,W310+V310-U310)</f>
        <v>0</v>
      </c>
      <c r="Y310" s="36">
        <f>IF(W310=0,0,N(R310)*MAX(0,X310-MAX(W310,YEAR(Cfg_Hoje)*12+MONTH(Cfg_Hoje)+IF(DAY(Cfg_Hoje)&gt;=INDEX(Cartoes_Fech,MATCH($F310,Cartoes_Nome,0)),1,0))+1))</f>
        <v>0</v>
      </c>
      <c r="Z310" s="40">
        <f>IF($A310="",0,DAY($A310))</f>
        <v>6</v>
      </c>
      <c r="AA310" s="40">
        <f>IF($A310="",0,WEEKDAY($A310))</f>
        <v>2</v>
      </c>
      <c r="AB310" s="36">
        <f>IF(AND($C310="Despesa",U310&gt;0,U310&lt;=Sel_Idx,V310&gt;=Sel_Idx),N(R310)+ROW()/1000000000,0)</f>
        <v>0</v>
      </c>
      <c r="AC310" s="40">
        <f>IF(AND($C310="Despesa",U310&gt;0,U310&lt;=Sel_Idx,V310&gt;=Sel_Idx),Z310*10000+ROW(),0)</f>
        <v>0</v>
      </c>
      <c r="AD310" s="40">
        <f>IF(AC310=0,0,COUNTIFS(L_CalChave,"&gt;0",L_CalChave,"&lt;"&amp;AC310)+1)</f>
        <v>0</v>
      </c>
    </row>
    <row r="311">
      <c r="A311" s="38" t="n">
        <v>46118</v>
      </c>
      <c r="B311" s="39" t="inlineStr">
        <is>
          <t>Aporte - viagem</t>
        </is>
      </c>
      <c r="C311" s="34" t="inlineStr">
        <is>
          <t>Investimento</t>
        </is>
      </c>
      <c r="D311" s="34" t="inlineStr">
        <is>
          <t>Investimento</t>
        </is>
      </c>
      <c r="E311" s="34" t="n"/>
      <c r="F311" s="34" t="inlineStr">
        <is>
          <t>Conta Corrente Banco Azul</t>
        </is>
      </c>
      <c r="G311" s="34" t="inlineStr">
        <is>
          <t>Transferência</t>
        </is>
      </c>
      <c r="H311" s="37" t="n"/>
      <c r="I311" s="37" t="n"/>
      <c r="J311" s="34" t="inlineStr">
        <is>
          <t>Pago</t>
        </is>
      </c>
      <c r="K311" s="34" t="n"/>
      <c r="L311" s="34" t="inlineStr">
        <is>
          <t>Viagem Europa</t>
        </is>
      </c>
      <c r="M311" s="39" t="inlineStr">
        <is>
          <t>EXEMPLO</t>
        </is>
      </c>
      <c r="N311" s="35" t="n">
        <v>300</v>
      </c>
      <c r="O311" s="40">
        <f>IF($A311="","",MONTH($A311))</f>
        <v>4</v>
      </c>
      <c r="P311" s="40">
        <f>IF($A311="","",YEAR($A311))</f>
        <v>2026</v>
      </c>
      <c r="Q311" s="41">
        <f>IF($A311="","",DATE(P311,O311,1))</f>
        <v>46113.0</v>
      </c>
      <c r="R311" s="36">
        <f>IF(OR($A311="",$N311=""),"",IF(AND($C311&lt;&gt;"Transferência",N($I311)&gt;1),$N311/$I311,$N311))</f>
        <v>300</v>
      </c>
      <c r="S311" s="41" t="str">
        <f>IF(OR($A311="",$F311="",$C311&lt;&gt;"Despesa"),"",IF(COUNTIF(Cartoes_Nome,$F311)=0,"",DATE(P311,O311+IF(DAY($A311)&gt;=INDEX(Cartoes_Fech,MATCH($F311,Cartoes_Nome,0)),1,0),1)))</f>
        <v/>
      </c>
      <c r="T311" s="42" t="str">
        <f>IF($A311="","",IF(COUNTIFS(L_Data,$A311,L_Desc,$B311,L_Valor,$N311,L_Tipo,$C311)&gt;1,"⚠ Possível duplicidade",IF(OR(AND($C311="Despesa",COUNTIF(CatD_Nome,$D311)=0),AND($C311="Receita",COUNTIF(CatR_Nome,$D311)=0)),"⚠ Categoria não combina com o tipo",IF(OR($N311="",$C311=""),"⚠ Falta valor ou tipo",""))))</f>
        <v/>
      </c>
      <c r="U311" s="40">
        <f>IF($A311="",0,P311*12+O311)</f>
        <v>24316</v>
      </c>
      <c r="V311" s="40">
        <f>IF($A311="",0,U311+MAX(0,N($I311)-MAX(N($H311),1)))</f>
        <v>24316</v>
      </c>
      <c r="W311" s="40">
        <f>IF(S311="",0,YEAR(S311)*12+MONTH(S311))</f>
        <v>0</v>
      </c>
      <c r="X311" s="40">
        <f>IF(W311=0,0,W311+V311-U311)</f>
        <v>0</v>
      </c>
      <c r="Y311" s="36">
        <f>IF(W311=0,0,N(R311)*MAX(0,X311-MAX(W311,YEAR(Cfg_Hoje)*12+MONTH(Cfg_Hoje)+IF(DAY(Cfg_Hoje)&gt;=INDEX(Cartoes_Fech,MATCH($F311,Cartoes_Nome,0)),1,0))+1))</f>
        <v>0</v>
      </c>
      <c r="Z311" s="40">
        <f>IF($A311="",0,DAY($A311))</f>
        <v>6</v>
      </c>
      <c r="AA311" s="40">
        <f>IF($A311="",0,WEEKDAY($A311))</f>
        <v>2</v>
      </c>
      <c r="AB311" s="36">
        <f>IF(AND($C311="Despesa",U311&gt;0,U311&lt;=Sel_Idx,V311&gt;=Sel_Idx),N(R311)+ROW()/1000000000,0)</f>
        <v>0</v>
      </c>
      <c r="AC311" s="40">
        <f>IF(AND($C311="Despesa",U311&gt;0,U311&lt;=Sel_Idx,V311&gt;=Sel_Idx),Z311*10000+ROW(),0)</f>
        <v>0</v>
      </c>
      <c r="AD311" s="40">
        <f>IF(AC311=0,0,COUNTIFS(L_CalChave,"&gt;0",L_CalChave,"&lt;"&amp;AC311)+1)</f>
        <v>0</v>
      </c>
    </row>
    <row r="312">
      <c r="A312" s="38" t="n">
        <v>46119</v>
      </c>
      <c r="B312" s="39" t="inlineStr">
        <is>
          <t>Corrida de aplicativo</t>
        </is>
      </c>
      <c r="C312" s="34" t="inlineStr">
        <is>
          <t>Despesa</t>
        </is>
      </c>
      <c r="D312" s="34" t="inlineStr">
        <is>
          <t>Transporte</t>
        </is>
      </c>
      <c r="E312" s="34" t="inlineStr">
        <is>
          <t>App de transporte</t>
        </is>
      </c>
      <c r="F312" s="34" t="inlineStr">
        <is>
          <t>Conta Corrente Banco Azul</t>
        </is>
      </c>
      <c r="G312" s="34" t="inlineStr">
        <is>
          <t>Pix</t>
        </is>
      </c>
      <c r="H312" s="37" t="n"/>
      <c r="I312" s="37" t="n"/>
      <c r="J312" s="34" t="inlineStr">
        <is>
          <t>Pago</t>
        </is>
      </c>
      <c r="K312" s="34" t="n"/>
      <c r="L312" s="34" t="n"/>
      <c r="M312" s="39" t="inlineStr">
        <is>
          <t>EXEMPLO</t>
        </is>
      </c>
      <c r="N312" s="35" t="n">
        <v>22.75</v>
      </c>
      <c r="O312" s="40">
        <f>IF($A312="","",MONTH($A312))</f>
        <v>4</v>
      </c>
      <c r="P312" s="40">
        <f>IF($A312="","",YEAR($A312))</f>
        <v>2026</v>
      </c>
      <c r="Q312" s="41">
        <f>IF($A312="","",DATE(P312,O312,1))</f>
        <v>46113.0</v>
      </c>
      <c r="R312" s="36">
        <f>IF(OR($A312="",$N312=""),"",IF(AND($C312&lt;&gt;"Transferência",N($I312)&gt;1),$N312/$I312,$N312))</f>
        <v>22.75</v>
      </c>
      <c r="S312" s="41" t="str">
        <f>IF(OR($A312="",$F312="",$C312&lt;&gt;"Despesa"),"",IF(COUNTIF(Cartoes_Nome,$F312)=0,"",DATE(P312,O312+IF(DAY($A312)&gt;=INDEX(Cartoes_Fech,MATCH($F312,Cartoes_Nome,0)),1,0),1)))</f>
        <v/>
      </c>
      <c r="T312" s="42" t="str">
        <f>IF($A312="","",IF(COUNTIFS(L_Data,$A312,L_Desc,$B312,L_Valor,$N312,L_Tipo,$C312)&gt;1,"⚠ Possível duplicidade",IF(OR(AND($C312="Despesa",COUNTIF(CatD_Nome,$D312)=0),AND($C312="Receita",COUNTIF(CatR_Nome,$D312)=0)),"⚠ Categoria não combina com o tipo",IF(OR($N312="",$C312=""),"⚠ Falta valor ou tipo",""))))</f>
        <v/>
      </c>
      <c r="U312" s="40">
        <f>IF($A312="",0,P312*12+O312)</f>
        <v>24316</v>
      </c>
      <c r="V312" s="40">
        <f>IF($A312="",0,U312+MAX(0,N($I312)-MAX(N($H312),1)))</f>
        <v>24316</v>
      </c>
      <c r="W312" s="40">
        <f>IF(S312="",0,YEAR(S312)*12+MONTH(S312))</f>
        <v>0</v>
      </c>
      <c r="X312" s="40">
        <f>IF(W312=0,0,W312+V312-U312)</f>
        <v>0</v>
      </c>
      <c r="Y312" s="36">
        <f>IF(W312=0,0,N(R312)*MAX(0,X312-MAX(W312,YEAR(Cfg_Hoje)*12+MONTH(Cfg_Hoje)+IF(DAY(Cfg_Hoje)&gt;=INDEX(Cartoes_Fech,MATCH($F312,Cartoes_Nome,0)),1,0))+1))</f>
        <v>0</v>
      </c>
      <c r="Z312" s="40">
        <f>IF($A312="",0,DAY($A312))</f>
        <v>7</v>
      </c>
      <c r="AA312" s="40">
        <f>IF($A312="",0,WEEKDAY($A312))</f>
        <v>3</v>
      </c>
      <c r="AB312" s="36">
        <f>IF(AND($C312="Despesa",U312&gt;0,U312&lt;=Sel_Idx,V312&gt;=Sel_Idx),N(R312)+ROW()/1000000000,0)</f>
        <v>0</v>
      </c>
      <c r="AC312" s="40">
        <f>IF(AND($C312="Despesa",U312&gt;0,U312&lt;=Sel_Idx,V312&gt;=Sel_Idx),Z312*10000+ROW(),0)</f>
        <v>0</v>
      </c>
      <c r="AD312" s="40">
        <f>IF(AC312=0,0,COUNTIFS(L_CalChave,"&gt;0",L_CalChave,"&lt;"&amp;AC312)+1)</f>
        <v>0</v>
      </c>
    </row>
    <row r="313">
      <c r="A313" s="38" t="n">
        <v>46119</v>
      </c>
      <c r="B313" s="39" t="inlineStr">
        <is>
          <t>Doação mensal</t>
        </is>
      </c>
      <c r="C313" s="34" t="inlineStr">
        <is>
          <t>Despesa</t>
        </is>
      </c>
      <c r="D313" s="34" t="inlineStr">
        <is>
          <t>Doações</t>
        </is>
      </c>
      <c r="E313" s="34" t="inlineStr">
        <is>
          <t>ONG</t>
        </is>
      </c>
      <c r="F313" s="34" t="inlineStr">
        <is>
          <t>Conta Corrente Banco Azul</t>
        </is>
      </c>
      <c r="G313" s="34" t="inlineStr">
        <is>
          <t>Pix</t>
        </is>
      </c>
      <c r="H313" s="37" t="n"/>
      <c r="I313" s="37" t="n"/>
      <c r="J313" s="34" t="inlineStr">
        <is>
          <t>Pago</t>
        </is>
      </c>
      <c r="K313" s="34" t="n"/>
      <c r="L313" s="34" t="n"/>
      <c r="M313" s="39" t="inlineStr">
        <is>
          <t>EXEMPLO</t>
        </is>
      </c>
      <c r="N313" s="35" t="n">
        <v>100</v>
      </c>
      <c r="O313" s="40">
        <f>IF($A313="","",MONTH($A313))</f>
        <v>4</v>
      </c>
      <c r="P313" s="40">
        <f>IF($A313="","",YEAR($A313))</f>
        <v>2026</v>
      </c>
      <c r="Q313" s="41">
        <f>IF($A313="","",DATE(P313,O313,1))</f>
        <v>46113.0</v>
      </c>
      <c r="R313" s="36">
        <f>IF(OR($A313="",$N313=""),"",IF(AND($C313&lt;&gt;"Transferência",N($I313)&gt;1),$N313/$I313,$N313))</f>
        <v>100</v>
      </c>
      <c r="S313" s="41" t="str">
        <f>IF(OR($A313="",$F313="",$C313&lt;&gt;"Despesa"),"",IF(COUNTIF(Cartoes_Nome,$F313)=0,"",DATE(P313,O313+IF(DAY($A313)&gt;=INDEX(Cartoes_Fech,MATCH($F313,Cartoes_Nome,0)),1,0),1)))</f>
        <v/>
      </c>
      <c r="T313" s="42" t="str">
        <f>IF($A313="","",IF(COUNTIFS(L_Data,$A313,L_Desc,$B313,L_Valor,$N313,L_Tipo,$C313)&gt;1,"⚠ Possível duplicidade",IF(OR(AND($C313="Despesa",COUNTIF(CatD_Nome,$D313)=0),AND($C313="Receita",COUNTIF(CatR_Nome,$D313)=0)),"⚠ Categoria não combina com o tipo",IF(OR($N313="",$C313=""),"⚠ Falta valor ou tipo",""))))</f>
        <v/>
      </c>
      <c r="U313" s="40">
        <f>IF($A313="",0,P313*12+O313)</f>
        <v>24316</v>
      </c>
      <c r="V313" s="40">
        <f>IF($A313="",0,U313+MAX(0,N($I313)-MAX(N($H313),1)))</f>
        <v>24316</v>
      </c>
      <c r="W313" s="40">
        <f>IF(S313="",0,YEAR(S313)*12+MONTH(S313))</f>
        <v>0</v>
      </c>
      <c r="X313" s="40">
        <f>IF(W313=0,0,W313+V313-U313)</f>
        <v>0</v>
      </c>
      <c r="Y313" s="36">
        <f>IF(W313=0,0,N(R313)*MAX(0,X313-MAX(W313,YEAR(Cfg_Hoje)*12+MONTH(Cfg_Hoje)+IF(DAY(Cfg_Hoje)&gt;=INDEX(Cartoes_Fech,MATCH($F313,Cartoes_Nome,0)),1,0))+1))</f>
        <v>0</v>
      </c>
      <c r="Z313" s="40">
        <f>IF($A313="",0,DAY($A313))</f>
        <v>7</v>
      </c>
      <c r="AA313" s="40">
        <f>IF($A313="",0,WEEKDAY($A313))</f>
        <v>3</v>
      </c>
      <c r="AB313" s="36">
        <f>IF(AND($C313="Despesa",U313&gt;0,U313&lt;=Sel_Idx,V313&gt;=Sel_Idx),N(R313)+ROW()/1000000000,0)</f>
        <v>0</v>
      </c>
      <c r="AC313" s="40">
        <f>IF(AND($C313="Despesa",U313&gt;0,U313&lt;=Sel_Idx,V313&gt;=Sel_Idx),Z313*10000+ROW(),0)</f>
        <v>0</v>
      </c>
      <c r="AD313" s="40">
        <f>IF(AC313=0,0,COUNTIFS(L_CalChave,"&gt;0",L_CalChave,"&lt;"&amp;AC313)+1)</f>
        <v>0</v>
      </c>
    </row>
    <row r="314">
      <c r="A314" s="38" t="n">
        <v>46120</v>
      </c>
      <c r="B314" s="39" t="inlineStr">
        <is>
          <t>Curso de inglês</t>
        </is>
      </c>
      <c r="C314" s="34" t="inlineStr">
        <is>
          <t>Despesa</t>
        </is>
      </c>
      <c r="D314" s="34" t="inlineStr">
        <is>
          <t>Educação</t>
        </is>
      </c>
      <c r="E314" s="34" t="inlineStr">
        <is>
          <t>Cursos</t>
        </is>
      </c>
      <c r="F314" s="34" t="inlineStr">
        <is>
          <t>Conta Corrente Banco Azul</t>
        </is>
      </c>
      <c r="G314" s="34" t="inlineStr">
        <is>
          <t>Boleto</t>
        </is>
      </c>
      <c r="H314" s="37" t="n"/>
      <c r="I314" s="37" t="n"/>
      <c r="J314" s="34" t="inlineStr">
        <is>
          <t>Pago</t>
        </is>
      </c>
      <c r="K314" s="34" t="n"/>
      <c r="L314" s="34" t="n"/>
      <c r="M314" s="39" t="inlineStr">
        <is>
          <t>EXEMPLO</t>
        </is>
      </c>
      <c r="N314" s="35" t="n">
        <v>390</v>
      </c>
      <c r="O314" s="40">
        <f>IF($A314="","",MONTH($A314))</f>
        <v>4</v>
      </c>
      <c r="P314" s="40">
        <f>IF($A314="","",YEAR($A314))</f>
        <v>2026</v>
      </c>
      <c r="Q314" s="41">
        <f>IF($A314="","",DATE(P314,O314,1))</f>
        <v>46113.0</v>
      </c>
      <c r="R314" s="36">
        <f>IF(OR($A314="",$N314=""),"",IF(AND($C314&lt;&gt;"Transferência",N($I314)&gt;1),$N314/$I314,$N314))</f>
        <v>390</v>
      </c>
      <c r="S314" s="41" t="str">
        <f>IF(OR($A314="",$F314="",$C314&lt;&gt;"Despesa"),"",IF(COUNTIF(Cartoes_Nome,$F314)=0,"",DATE(P314,O314+IF(DAY($A314)&gt;=INDEX(Cartoes_Fech,MATCH($F314,Cartoes_Nome,0)),1,0),1)))</f>
        <v/>
      </c>
      <c r="T314" s="42" t="str">
        <f>IF($A314="","",IF(COUNTIFS(L_Data,$A314,L_Desc,$B314,L_Valor,$N314,L_Tipo,$C314)&gt;1,"⚠ Possível duplicidade",IF(OR(AND($C314="Despesa",COUNTIF(CatD_Nome,$D314)=0),AND($C314="Receita",COUNTIF(CatR_Nome,$D314)=0)),"⚠ Categoria não combina com o tipo",IF(OR($N314="",$C314=""),"⚠ Falta valor ou tipo",""))))</f>
        <v/>
      </c>
      <c r="U314" s="40">
        <f>IF($A314="",0,P314*12+O314)</f>
        <v>24316</v>
      </c>
      <c r="V314" s="40">
        <f>IF($A314="",0,U314+MAX(0,N($I314)-MAX(N($H314),1)))</f>
        <v>24316</v>
      </c>
      <c r="W314" s="40">
        <f>IF(S314="",0,YEAR(S314)*12+MONTH(S314))</f>
        <v>0</v>
      </c>
      <c r="X314" s="40">
        <f>IF(W314=0,0,W314+V314-U314)</f>
        <v>0</v>
      </c>
      <c r="Y314" s="36">
        <f>IF(W314=0,0,N(R314)*MAX(0,X314-MAX(W314,YEAR(Cfg_Hoje)*12+MONTH(Cfg_Hoje)+IF(DAY(Cfg_Hoje)&gt;=INDEX(Cartoes_Fech,MATCH($F314,Cartoes_Nome,0)),1,0))+1))</f>
        <v>0</v>
      </c>
      <c r="Z314" s="40">
        <f>IF($A314="",0,DAY($A314))</f>
        <v>8</v>
      </c>
      <c r="AA314" s="40">
        <f>IF($A314="",0,WEEKDAY($A314))</f>
        <v>4</v>
      </c>
      <c r="AB314" s="36">
        <f>IF(AND($C314="Despesa",U314&gt;0,U314&lt;=Sel_Idx,V314&gt;=Sel_Idx),N(R314)+ROW()/1000000000,0)</f>
        <v>0</v>
      </c>
      <c r="AC314" s="40">
        <f>IF(AND($C314="Despesa",U314&gt;0,U314&lt;=Sel_Idx,V314&gt;=Sel_Idx),Z314*10000+ROW(),0)</f>
        <v>0</v>
      </c>
      <c r="AD314" s="40">
        <f>IF(AC314=0,0,COUNTIFS(L_CalChave,"&gt;0",L_CalChave,"&lt;"&amp;AC314)+1)</f>
        <v>0</v>
      </c>
    </row>
    <row r="315">
      <c r="A315" s="38" t="n">
        <v>46120</v>
      </c>
      <c r="B315" s="39" t="inlineStr">
        <is>
          <t>Despesa diversa</t>
        </is>
      </c>
      <c r="C315" s="34" t="inlineStr">
        <is>
          <t>Despesa</t>
        </is>
      </c>
      <c r="D315" s="34" t="inlineStr">
        <is>
          <t>Outros</t>
        </is>
      </c>
      <c r="E315" s="34" t="n"/>
      <c r="F315" s="34" t="inlineStr">
        <is>
          <t>Conta Corrente Banco Azul</t>
        </is>
      </c>
      <c r="G315" s="34" t="inlineStr">
        <is>
          <t>Pix</t>
        </is>
      </c>
      <c r="H315" s="37" t="n"/>
      <c r="I315" s="37" t="n"/>
      <c r="J315" s="34" t="inlineStr">
        <is>
          <t>Pago</t>
        </is>
      </c>
      <c r="K315" s="34" t="n"/>
      <c r="L315" s="34" t="n"/>
      <c r="M315" s="39" t="inlineStr">
        <is>
          <t>EXEMPLO</t>
        </is>
      </c>
      <c r="N315" s="35" t="n">
        <v>185.97</v>
      </c>
      <c r="O315" s="40">
        <f>IF($A315="","",MONTH($A315))</f>
        <v>4</v>
      </c>
      <c r="P315" s="40">
        <f>IF($A315="","",YEAR($A315))</f>
        <v>2026</v>
      </c>
      <c r="Q315" s="41">
        <f>IF($A315="","",DATE(P315,O315,1))</f>
        <v>46113.0</v>
      </c>
      <c r="R315" s="36">
        <f>IF(OR($A315="",$N315=""),"",IF(AND($C315&lt;&gt;"Transferência",N($I315)&gt;1),$N315/$I315,$N315))</f>
        <v>185.97</v>
      </c>
      <c r="S315" s="41" t="str">
        <f>IF(OR($A315="",$F315="",$C315&lt;&gt;"Despesa"),"",IF(COUNTIF(Cartoes_Nome,$F315)=0,"",DATE(P315,O315+IF(DAY($A315)&gt;=INDEX(Cartoes_Fech,MATCH($F315,Cartoes_Nome,0)),1,0),1)))</f>
        <v/>
      </c>
      <c r="T315" s="42" t="str">
        <f>IF($A315="","",IF(COUNTIFS(L_Data,$A315,L_Desc,$B315,L_Valor,$N315,L_Tipo,$C315)&gt;1,"⚠ Possível duplicidade",IF(OR(AND($C315="Despesa",COUNTIF(CatD_Nome,$D315)=0),AND($C315="Receita",COUNTIF(CatR_Nome,$D315)=0)),"⚠ Categoria não combina com o tipo",IF(OR($N315="",$C315=""),"⚠ Falta valor ou tipo",""))))</f>
        <v/>
      </c>
      <c r="U315" s="40">
        <f>IF($A315="",0,P315*12+O315)</f>
        <v>24316</v>
      </c>
      <c r="V315" s="40">
        <f>IF($A315="",0,U315+MAX(0,N($I315)-MAX(N($H315),1)))</f>
        <v>24316</v>
      </c>
      <c r="W315" s="40">
        <f>IF(S315="",0,YEAR(S315)*12+MONTH(S315))</f>
        <v>0</v>
      </c>
      <c r="X315" s="40">
        <f>IF(W315=0,0,W315+V315-U315)</f>
        <v>0</v>
      </c>
      <c r="Y315" s="36">
        <f>IF(W315=0,0,N(R315)*MAX(0,X315-MAX(W315,YEAR(Cfg_Hoje)*12+MONTH(Cfg_Hoje)+IF(DAY(Cfg_Hoje)&gt;=INDEX(Cartoes_Fech,MATCH($F315,Cartoes_Nome,0)),1,0))+1))</f>
        <v>0</v>
      </c>
      <c r="Z315" s="40">
        <f>IF($A315="",0,DAY($A315))</f>
        <v>8</v>
      </c>
      <c r="AA315" s="40">
        <f>IF($A315="",0,WEEKDAY($A315))</f>
        <v>4</v>
      </c>
      <c r="AB315" s="36">
        <f>IF(AND($C315="Despesa",U315&gt;0,U315&lt;=Sel_Idx,V315&gt;=Sel_Idx),N(R315)+ROW()/1000000000,0)</f>
        <v>0</v>
      </c>
      <c r="AC315" s="40">
        <f>IF(AND($C315="Despesa",U315&gt;0,U315&lt;=Sel_Idx,V315&gt;=Sel_Idx),Z315*10000+ROW(),0)</f>
        <v>0</v>
      </c>
      <c r="AD315" s="40">
        <f>IF(AC315=0,0,COUNTIFS(L_CalChave,"&gt;0",L_CalChave,"&lt;"&amp;AC315)+1)</f>
        <v>0</v>
      </c>
    </row>
    <row r="316">
      <c r="A316" s="38" t="n">
        <v>46121</v>
      </c>
      <c r="B316" s="39" t="inlineStr">
        <is>
          <t>Ração e petiscos</t>
        </is>
      </c>
      <c r="C316" s="34" t="inlineStr">
        <is>
          <t>Despesa</t>
        </is>
      </c>
      <c r="D316" s="34" t="inlineStr">
        <is>
          <t>Família/Pets</t>
        </is>
      </c>
      <c r="E316" s="34" t="inlineStr">
        <is>
          <t>Ração</t>
        </is>
      </c>
      <c r="F316" s="34" t="inlineStr">
        <is>
          <t>Cartão Azul Gold</t>
        </is>
      </c>
      <c r="G316" s="34" t="inlineStr">
        <is>
          <t>Crédito</t>
        </is>
      </c>
      <c r="H316" s="37" t="n"/>
      <c r="I316" s="37" t="n"/>
      <c r="J316" s="34" t="inlineStr">
        <is>
          <t>Pago</t>
        </is>
      </c>
      <c r="K316" s="34" t="n"/>
      <c r="L316" s="34" t="n"/>
      <c r="M316" s="39" t="inlineStr">
        <is>
          <t>EXEMPLO</t>
        </is>
      </c>
      <c r="N316" s="35" t="n">
        <v>191.1</v>
      </c>
      <c r="O316" s="40">
        <f>IF($A316="","",MONTH($A316))</f>
        <v>4</v>
      </c>
      <c r="P316" s="40">
        <f>IF($A316="","",YEAR($A316))</f>
        <v>2026</v>
      </c>
      <c r="Q316" s="41">
        <f>IF($A316="","",DATE(P316,O316,1))</f>
        <v>46113.0</v>
      </c>
      <c r="R316" s="36">
        <f>IF(OR($A316="",$N316=""),"",IF(AND($C316&lt;&gt;"Transferência",N($I316)&gt;1),$N316/$I316,$N316))</f>
        <v>191.1</v>
      </c>
      <c r="S316" s="41">
        <f>IF(OR($A316="",$F316="",$C316&lt;&gt;"Despesa"),"",IF(COUNTIF(Cartoes_Nome,$F316)=0,"",DATE(P316,O316+IF(DAY($A316)&gt;=INDEX(Cartoes_Fech,MATCH($F316,Cartoes_Nome,0)),1,0),1)))</f>
        <v>46113.0</v>
      </c>
      <c r="T316" s="42" t="str">
        <f>IF($A316="","",IF(COUNTIFS(L_Data,$A316,L_Desc,$B316,L_Valor,$N316,L_Tipo,$C316)&gt;1,"⚠ Possível duplicidade",IF(OR(AND($C316="Despesa",COUNTIF(CatD_Nome,$D316)=0),AND($C316="Receita",COUNTIF(CatR_Nome,$D316)=0)),"⚠ Categoria não combina com o tipo",IF(OR($N316="",$C316=""),"⚠ Falta valor ou tipo",""))))</f>
        <v/>
      </c>
      <c r="U316" s="40">
        <f>IF($A316="",0,P316*12+O316)</f>
        <v>24316</v>
      </c>
      <c r="V316" s="40">
        <f>IF($A316="",0,U316+MAX(0,N($I316)-MAX(N($H316),1)))</f>
        <v>24316</v>
      </c>
      <c r="W316" s="40">
        <f>IF(S316="",0,YEAR(S316)*12+MONTH(S316))</f>
        <v>24316</v>
      </c>
      <c r="X316" s="40">
        <f>IF(W316=0,0,W316+V316-U316)</f>
        <v>24316</v>
      </c>
      <c r="Y316" s="36">
        <f>IF(W316=0,0,N(R316)*MAX(0,X316-MAX(W316,YEAR(Cfg_Hoje)*12+MONTH(Cfg_Hoje)+IF(DAY(Cfg_Hoje)&gt;=INDEX(Cartoes_Fech,MATCH($F316,Cartoes_Nome,0)),1,0))+1))</f>
        <v>0</v>
      </c>
      <c r="Z316" s="40">
        <f>IF($A316="",0,DAY($A316))</f>
        <v>9</v>
      </c>
      <c r="AA316" s="40">
        <f>IF($A316="",0,WEEKDAY($A316))</f>
        <v>5</v>
      </c>
      <c r="AB316" s="36">
        <f>IF(AND($C316="Despesa",U316&gt;0,U316&lt;=Sel_Idx,V316&gt;=Sel_Idx),N(R316)+ROW()/1000000000,0)</f>
        <v>0</v>
      </c>
      <c r="AC316" s="40">
        <f>IF(AND($C316="Despesa",U316&gt;0,U316&lt;=Sel_Idx,V316&gt;=Sel_Idx),Z316*10000+ROW(),0)</f>
        <v>0</v>
      </c>
      <c r="AD316" s="40">
        <f>IF(AC316=0,0,COUNTIFS(L_CalChave,"&gt;0",L_CalChave,"&lt;"&amp;AC316)+1)</f>
        <v>0</v>
      </c>
    </row>
    <row r="317">
      <c r="A317" s="38" t="n">
        <v>46122</v>
      </c>
      <c r="B317" s="39" t="inlineStr">
        <is>
          <t>Aluguel recebido - apto 12</t>
        </is>
      </c>
      <c r="C317" s="34" t="inlineStr">
        <is>
          <t>Receita</t>
        </is>
      </c>
      <c r="D317" s="34" t="inlineStr">
        <is>
          <t>Aluguel recebido</t>
        </is>
      </c>
      <c r="E317" s="34" t="n"/>
      <c r="F317" s="34" t="inlineStr">
        <is>
          <t>Conta Corrente Banco Azul</t>
        </is>
      </c>
      <c r="G317" s="34" t="inlineStr">
        <is>
          <t>Pix</t>
        </is>
      </c>
      <c r="H317" s="37" t="n"/>
      <c r="I317" s="37" t="n"/>
      <c r="J317" s="34" t="inlineStr">
        <is>
          <t>Pago</t>
        </is>
      </c>
      <c r="K317" s="34" t="n"/>
      <c r="L317" s="34" t="n"/>
      <c r="M317" s="39" t="inlineStr">
        <is>
          <t>EXEMPLO</t>
        </is>
      </c>
      <c r="N317" s="35" t="n">
        <v>1900</v>
      </c>
      <c r="O317" s="40">
        <f>IF($A317="","",MONTH($A317))</f>
        <v>4</v>
      </c>
      <c r="P317" s="40">
        <f>IF($A317="","",YEAR($A317))</f>
        <v>2026</v>
      </c>
      <c r="Q317" s="41">
        <f>IF($A317="","",DATE(P317,O317,1))</f>
        <v>46113.0</v>
      </c>
      <c r="R317" s="36">
        <f>IF(OR($A317="",$N317=""),"",IF(AND($C317&lt;&gt;"Transferência",N($I317)&gt;1),$N317/$I317,$N317))</f>
        <v>1900</v>
      </c>
      <c r="S317" s="41" t="str">
        <f>IF(OR($A317="",$F317="",$C317&lt;&gt;"Despesa"),"",IF(COUNTIF(Cartoes_Nome,$F317)=0,"",DATE(P317,O317+IF(DAY($A317)&gt;=INDEX(Cartoes_Fech,MATCH($F317,Cartoes_Nome,0)),1,0),1)))</f>
        <v/>
      </c>
      <c r="T317" s="42" t="str">
        <f>IF($A317="","",IF(COUNTIFS(L_Data,$A317,L_Desc,$B317,L_Valor,$N317,L_Tipo,$C317)&gt;1,"⚠ Possível duplicidade",IF(OR(AND($C317="Despesa",COUNTIF(CatD_Nome,$D317)=0),AND($C317="Receita",COUNTIF(CatR_Nome,$D317)=0)),"⚠ Categoria não combina com o tipo",IF(OR($N317="",$C317=""),"⚠ Falta valor ou tipo",""))))</f>
        <v/>
      </c>
      <c r="U317" s="40">
        <f>IF($A317="",0,P317*12+O317)</f>
        <v>24316</v>
      </c>
      <c r="V317" s="40">
        <f>IF($A317="",0,U317+MAX(0,N($I317)-MAX(N($H317),1)))</f>
        <v>24316</v>
      </c>
      <c r="W317" s="40">
        <f>IF(S317="",0,YEAR(S317)*12+MONTH(S317))</f>
        <v>0</v>
      </c>
      <c r="X317" s="40">
        <f>IF(W317=0,0,W317+V317-U317)</f>
        <v>0</v>
      </c>
      <c r="Y317" s="36">
        <f>IF(W317=0,0,N(R317)*MAX(0,X317-MAX(W317,YEAR(Cfg_Hoje)*12+MONTH(Cfg_Hoje)+IF(DAY(Cfg_Hoje)&gt;=INDEX(Cartoes_Fech,MATCH($F317,Cartoes_Nome,0)),1,0))+1))</f>
        <v>0</v>
      </c>
      <c r="Z317" s="40">
        <f>IF($A317="",0,DAY($A317))</f>
        <v>10</v>
      </c>
      <c r="AA317" s="40">
        <f>IF($A317="",0,WEEKDAY($A317))</f>
        <v>6</v>
      </c>
      <c r="AB317" s="36">
        <f>IF(AND($C317="Despesa",U317&gt;0,U317&lt;=Sel_Idx,V317&gt;=Sel_Idx),N(R317)+ROW()/1000000000,0)</f>
        <v>0</v>
      </c>
      <c r="AC317" s="40">
        <f>IF(AND($C317="Despesa",U317&gt;0,U317&lt;=Sel_Idx,V317&gt;=Sel_Idx),Z317*10000+ROW(),0)</f>
        <v>0</v>
      </c>
      <c r="AD317" s="40">
        <f>IF(AC317=0,0,COUNTIFS(L_CalChave,"&gt;0",L_CalChave,"&lt;"&amp;AC317)+1)</f>
        <v>0</v>
      </c>
    </row>
    <row r="318">
      <c r="A318" s="38" t="n">
        <v>46122</v>
      </c>
      <c r="B318" s="39" t="inlineStr">
        <is>
          <t>Aluguel residencial</t>
        </is>
      </c>
      <c r="C318" s="34" t="inlineStr">
        <is>
          <t>Despesa</t>
        </is>
      </c>
      <c r="D318" s="34" t="inlineStr">
        <is>
          <t>Moradia</t>
        </is>
      </c>
      <c r="E318" s="34" t="inlineStr">
        <is>
          <t>Aluguel</t>
        </is>
      </c>
      <c r="F318" s="34" t="inlineStr">
        <is>
          <t>Conta Corrente Banco Azul</t>
        </is>
      </c>
      <c r="G318" s="34" t="inlineStr">
        <is>
          <t>Boleto</t>
        </is>
      </c>
      <c r="H318" s="37" t="n"/>
      <c r="I318" s="37" t="n"/>
      <c r="J318" s="34" t="inlineStr">
        <is>
          <t>Pago</t>
        </is>
      </c>
      <c r="K318" s="34" t="n"/>
      <c r="L318" s="34" t="n"/>
      <c r="M318" s="39" t="inlineStr">
        <is>
          <t>EXEMPLO</t>
        </is>
      </c>
      <c r="N318" s="35" t="n">
        <v>2400</v>
      </c>
      <c r="O318" s="40">
        <f>IF($A318="","",MONTH($A318))</f>
        <v>4</v>
      </c>
      <c r="P318" s="40">
        <f>IF($A318="","",YEAR($A318))</f>
        <v>2026</v>
      </c>
      <c r="Q318" s="41">
        <f>IF($A318="","",DATE(P318,O318,1))</f>
        <v>46113.0</v>
      </c>
      <c r="R318" s="36">
        <f>IF(OR($A318="",$N318=""),"",IF(AND($C318&lt;&gt;"Transferência",N($I318)&gt;1),$N318/$I318,$N318))</f>
        <v>2400</v>
      </c>
      <c r="S318" s="41" t="str">
        <f>IF(OR($A318="",$F318="",$C318&lt;&gt;"Despesa"),"",IF(COUNTIF(Cartoes_Nome,$F318)=0,"",DATE(P318,O318+IF(DAY($A318)&gt;=INDEX(Cartoes_Fech,MATCH($F318,Cartoes_Nome,0)),1,0),1)))</f>
        <v/>
      </c>
      <c r="T318" s="42" t="str">
        <f>IF($A318="","",IF(COUNTIFS(L_Data,$A318,L_Desc,$B318,L_Valor,$N318,L_Tipo,$C318)&gt;1,"⚠ Possível duplicidade",IF(OR(AND($C318="Despesa",COUNTIF(CatD_Nome,$D318)=0),AND($C318="Receita",COUNTIF(CatR_Nome,$D318)=0)),"⚠ Categoria não combina com o tipo",IF(OR($N318="",$C318=""),"⚠ Falta valor ou tipo",""))))</f>
        <v/>
      </c>
      <c r="U318" s="40">
        <f>IF($A318="",0,P318*12+O318)</f>
        <v>24316</v>
      </c>
      <c r="V318" s="40">
        <f>IF($A318="",0,U318+MAX(0,N($I318)-MAX(N($H318),1)))</f>
        <v>24316</v>
      </c>
      <c r="W318" s="40">
        <f>IF(S318="",0,YEAR(S318)*12+MONTH(S318))</f>
        <v>0</v>
      </c>
      <c r="X318" s="40">
        <f>IF(W318=0,0,W318+V318-U318)</f>
        <v>0</v>
      </c>
      <c r="Y318" s="36">
        <f>IF(W318=0,0,N(R318)*MAX(0,X318-MAX(W318,YEAR(Cfg_Hoje)*12+MONTH(Cfg_Hoje)+IF(DAY(Cfg_Hoje)&gt;=INDEX(Cartoes_Fech,MATCH($F318,Cartoes_Nome,0)),1,0))+1))</f>
        <v>0</v>
      </c>
      <c r="Z318" s="40">
        <f>IF($A318="",0,DAY($A318))</f>
        <v>10</v>
      </c>
      <c r="AA318" s="40">
        <f>IF($A318="",0,WEEKDAY($A318))</f>
        <v>6</v>
      </c>
      <c r="AB318" s="36">
        <f>IF(AND($C318="Despesa",U318&gt;0,U318&lt;=Sel_Idx,V318&gt;=Sel_Idx),N(R318)+ROW()/1000000000,0)</f>
        <v>0</v>
      </c>
      <c r="AC318" s="40">
        <f>IF(AND($C318="Despesa",U318&gt;0,U318&lt;=Sel_Idx,V318&gt;=Sel_Idx),Z318*10000+ROW(),0)</f>
        <v>0</v>
      </c>
      <c r="AD318" s="40">
        <f>IF(AC318=0,0,COUNTIFS(L_CalChave,"&gt;0",L_CalChave,"&lt;"&amp;AC318)+1)</f>
        <v>0</v>
      </c>
    </row>
    <row r="319">
      <c r="A319" s="38" t="n">
        <v>46122</v>
      </c>
      <c r="B319" s="39" t="inlineStr">
        <is>
          <t>Condomínio</t>
        </is>
      </c>
      <c r="C319" s="34" t="inlineStr">
        <is>
          <t>Despesa</t>
        </is>
      </c>
      <c r="D319" s="34" t="inlineStr">
        <is>
          <t>Moradia</t>
        </is>
      </c>
      <c r="E319" s="34" t="inlineStr">
        <is>
          <t>Condomínio</t>
        </is>
      </c>
      <c r="F319" s="34" t="inlineStr">
        <is>
          <t>Conta Corrente Banco Azul</t>
        </is>
      </c>
      <c r="G319" s="34" t="inlineStr">
        <is>
          <t>Boleto</t>
        </is>
      </c>
      <c r="H319" s="37" t="n"/>
      <c r="I319" s="37" t="n"/>
      <c r="J319" s="34" t="inlineStr">
        <is>
          <t>Pago</t>
        </is>
      </c>
      <c r="K319" s="34" t="n"/>
      <c r="L319" s="34" t="n"/>
      <c r="M319" s="39" t="inlineStr">
        <is>
          <t>EXEMPLO</t>
        </is>
      </c>
      <c r="N319" s="35" t="n">
        <v>650</v>
      </c>
      <c r="O319" s="40">
        <f>IF($A319="","",MONTH($A319))</f>
        <v>4</v>
      </c>
      <c r="P319" s="40">
        <f>IF($A319="","",YEAR($A319))</f>
        <v>2026</v>
      </c>
      <c r="Q319" s="41">
        <f>IF($A319="","",DATE(P319,O319,1))</f>
        <v>46113.0</v>
      </c>
      <c r="R319" s="36">
        <f>IF(OR($A319="",$N319=""),"",IF(AND($C319&lt;&gt;"Transferência",N($I319)&gt;1),$N319/$I319,$N319))</f>
        <v>650</v>
      </c>
      <c r="S319" s="41" t="str">
        <f>IF(OR($A319="",$F319="",$C319&lt;&gt;"Despesa"),"",IF(COUNTIF(Cartoes_Nome,$F319)=0,"",DATE(P319,O319+IF(DAY($A319)&gt;=INDEX(Cartoes_Fech,MATCH($F319,Cartoes_Nome,0)),1,0),1)))</f>
        <v/>
      </c>
      <c r="T319" s="42" t="str">
        <f>IF($A319="","",IF(COUNTIFS(L_Data,$A319,L_Desc,$B319,L_Valor,$N319,L_Tipo,$C319)&gt;1,"⚠ Possível duplicidade",IF(OR(AND($C319="Despesa",COUNTIF(CatD_Nome,$D319)=0),AND($C319="Receita",COUNTIF(CatR_Nome,$D319)=0)),"⚠ Categoria não combina com o tipo",IF(OR($N319="",$C319=""),"⚠ Falta valor ou tipo",""))))</f>
        <v/>
      </c>
      <c r="U319" s="40">
        <f>IF($A319="",0,P319*12+O319)</f>
        <v>24316</v>
      </c>
      <c r="V319" s="40">
        <f>IF($A319="",0,U319+MAX(0,N($I319)-MAX(N($H319),1)))</f>
        <v>24316</v>
      </c>
      <c r="W319" s="40">
        <f>IF(S319="",0,YEAR(S319)*12+MONTH(S319))</f>
        <v>0</v>
      </c>
      <c r="X319" s="40">
        <f>IF(W319=0,0,W319+V319-U319)</f>
        <v>0</v>
      </c>
      <c r="Y319" s="36">
        <f>IF(W319=0,0,N(R319)*MAX(0,X319-MAX(W319,YEAR(Cfg_Hoje)*12+MONTH(Cfg_Hoje)+IF(DAY(Cfg_Hoje)&gt;=INDEX(Cartoes_Fech,MATCH($F319,Cartoes_Nome,0)),1,0))+1))</f>
        <v>0</v>
      </c>
      <c r="Z319" s="40">
        <f>IF($A319="",0,DAY($A319))</f>
        <v>10</v>
      </c>
      <c r="AA319" s="40">
        <f>IF($A319="",0,WEEKDAY($A319))</f>
        <v>6</v>
      </c>
      <c r="AB319" s="36">
        <f>IF(AND($C319="Despesa",U319&gt;0,U319&lt;=Sel_Idx,V319&gt;=Sel_Idx),N(R319)+ROW()/1000000000,0)</f>
        <v>0</v>
      </c>
      <c r="AC319" s="40">
        <f>IF(AND($C319="Despesa",U319&gt;0,U319&lt;=Sel_Idx,V319&gt;=Sel_Idx),Z319*10000+ROW(),0)</f>
        <v>0</v>
      </c>
      <c r="AD319" s="40">
        <f>IF(AC319=0,0,COUNTIFS(L_CalChave,"&gt;0",L_CalChave,"&lt;"&amp;AC319)+1)</f>
        <v>0</v>
      </c>
    </row>
    <row r="320">
      <c r="A320" s="38" t="n">
        <v>46124</v>
      </c>
      <c r="B320" s="39" t="inlineStr">
        <is>
          <t>Combustível</t>
        </is>
      </c>
      <c r="C320" s="34" t="inlineStr">
        <is>
          <t>Despesa</t>
        </is>
      </c>
      <c r="D320" s="34" t="inlineStr">
        <is>
          <t>Transporte</t>
        </is>
      </c>
      <c r="E320" s="34" t="inlineStr">
        <is>
          <t>Combustível</t>
        </is>
      </c>
      <c r="F320" s="34" t="inlineStr">
        <is>
          <t>Cartão Azul Gold</t>
        </is>
      </c>
      <c r="G320" s="34" t="inlineStr">
        <is>
          <t>Crédito</t>
        </is>
      </c>
      <c r="H320" s="37" t="n"/>
      <c r="I320" s="37" t="n"/>
      <c r="J320" s="34" t="inlineStr">
        <is>
          <t>Pago</t>
        </is>
      </c>
      <c r="K320" s="34" t="n"/>
      <c r="L320" s="34" t="n"/>
      <c r="M320" s="39" t="inlineStr">
        <is>
          <t>EXEMPLO</t>
        </is>
      </c>
      <c r="N320" s="35" t="n">
        <v>179.85</v>
      </c>
      <c r="O320" s="40">
        <f>IF($A320="","",MONTH($A320))</f>
        <v>4</v>
      </c>
      <c r="P320" s="40">
        <f>IF($A320="","",YEAR($A320))</f>
        <v>2026</v>
      </c>
      <c r="Q320" s="41">
        <f>IF($A320="","",DATE(P320,O320,1))</f>
        <v>46113.0</v>
      </c>
      <c r="R320" s="36">
        <f>IF(OR($A320="",$N320=""),"",IF(AND($C320&lt;&gt;"Transferência",N($I320)&gt;1),$N320/$I320,$N320))</f>
        <v>179.85</v>
      </c>
      <c r="S320" s="41">
        <f>IF(OR($A320="",$F320="",$C320&lt;&gt;"Despesa"),"",IF(COUNTIF(Cartoes_Nome,$F320)=0,"",DATE(P320,O320+IF(DAY($A320)&gt;=INDEX(Cartoes_Fech,MATCH($F320,Cartoes_Nome,0)),1,0),1)))</f>
        <v>46143.0</v>
      </c>
      <c r="T320" s="42" t="str">
        <f>IF($A320="","",IF(COUNTIFS(L_Data,$A320,L_Desc,$B320,L_Valor,$N320,L_Tipo,$C320)&gt;1,"⚠ Possível duplicidade",IF(OR(AND($C320="Despesa",COUNTIF(CatD_Nome,$D320)=0),AND($C320="Receita",COUNTIF(CatR_Nome,$D320)=0)),"⚠ Categoria não combina com o tipo",IF(OR($N320="",$C320=""),"⚠ Falta valor ou tipo",""))))</f>
        <v/>
      </c>
      <c r="U320" s="40">
        <f>IF($A320="",0,P320*12+O320)</f>
        <v>24316</v>
      </c>
      <c r="V320" s="40">
        <f>IF($A320="",0,U320+MAX(0,N($I320)-MAX(N($H320),1)))</f>
        <v>24316</v>
      </c>
      <c r="W320" s="40">
        <f>IF(S320="",0,YEAR(S320)*12+MONTH(S320))</f>
        <v>24317</v>
      </c>
      <c r="X320" s="40">
        <f>IF(W320=0,0,W320+V320-U320)</f>
        <v>24317</v>
      </c>
      <c r="Y320" s="36">
        <f>IF(W320=0,0,N(R320)*MAX(0,X320-MAX(W320,YEAR(Cfg_Hoje)*12+MONTH(Cfg_Hoje)+IF(DAY(Cfg_Hoje)&gt;=INDEX(Cartoes_Fech,MATCH($F320,Cartoes_Nome,0)),1,0))+1))</f>
        <v>0</v>
      </c>
      <c r="Z320" s="40">
        <f>IF($A320="",0,DAY($A320))</f>
        <v>12</v>
      </c>
      <c r="AA320" s="40">
        <f>IF($A320="",0,WEEKDAY($A320))</f>
        <v>1</v>
      </c>
      <c r="AB320" s="36">
        <f>IF(AND($C320="Despesa",U320&gt;0,U320&lt;=Sel_Idx,V320&gt;=Sel_Idx),N(R320)+ROW()/1000000000,0)</f>
        <v>0</v>
      </c>
      <c r="AC320" s="40">
        <f>IF(AND($C320="Despesa",U320&gt;0,U320&lt;=Sel_Idx,V320&gt;=Sel_Idx),Z320*10000+ROW(),0)</f>
        <v>0</v>
      </c>
      <c r="AD320" s="40">
        <f>IF(AC320=0,0,COUNTIFS(L_CalChave,"&gt;0",L_CalChave,"&lt;"&amp;AC320)+1)</f>
        <v>0</v>
      </c>
    </row>
    <row r="321">
      <c r="A321" s="38" t="n">
        <v>46124</v>
      </c>
      <c r="B321" s="39" t="inlineStr">
        <is>
          <t>Restaurante</t>
        </is>
      </c>
      <c r="C321" s="34" t="inlineStr">
        <is>
          <t>Despesa</t>
        </is>
      </c>
      <c r="D321" s="34" t="inlineStr">
        <is>
          <t>Alimentação</t>
        </is>
      </c>
      <c r="E321" s="34" t="inlineStr">
        <is>
          <t>Delivery</t>
        </is>
      </c>
      <c r="F321" s="34" t="inlineStr">
        <is>
          <t>Cartão Azul Gold</t>
        </is>
      </c>
      <c r="G321" s="34" t="inlineStr">
        <is>
          <t>Crédito</t>
        </is>
      </c>
      <c r="H321" s="37" t="n"/>
      <c r="I321" s="37" t="n"/>
      <c r="J321" s="34" t="inlineStr">
        <is>
          <t>Pago</t>
        </is>
      </c>
      <c r="K321" s="34" t="n"/>
      <c r="L321" s="34" t="n"/>
      <c r="M321" s="39" t="inlineStr">
        <is>
          <t>EXEMPLO</t>
        </is>
      </c>
      <c r="N321" s="35" t="n">
        <v>100.28</v>
      </c>
      <c r="O321" s="40">
        <f>IF($A321="","",MONTH($A321))</f>
        <v>4</v>
      </c>
      <c r="P321" s="40">
        <f>IF($A321="","",YEAR($A321))</f>
        <v>2026</v>
      </c>
      <c r="Q321" s="41">
        <f>IF($A321="","",DATE(P321,O321,1))</f>
        <v>46113.0</v>
      </c>
      <c r="R321" s="36">
        <f>IF(OR($A321="",$N321=""),"",IF(AND($C321&lt;&gt;"Transferência",N($I321)&gt;1),$N321/$I321,$N321))</f>
        <v>100.28</v>
      </c>
      <c r="S321" s="41">
        <f>IF(OR($A321="",$F321="",$C321&lt;&gt;"Despesa"),"",IF(COUNTIF(Cartoes_Nome,$F321)=0,"",DATE(P321,O321+IF(DAY($A321)&gt;=INDEX(Cartoes_Fech,MATCH($F321,Cartoes_Nome,0)),1,0),1)))</f>
        <v>46143.0</v>
      </c>
      <c r="T321" s="42" t="str">
        <f>IF($A321="","",IF(COUNTIFS(L_Data,$A321,L_Desc,$B321,L_Valor,$N321,L_Tipo,$C321)&gt;1,"⚠ Possível duplicidade",IF(OR(AND($C321="Despesa",COUNTIF(CatD_Nome,$D321)=0),AND($C321="Receita",COUNTIF(CatR_Nome,$D321)=0)),"⚠ Categoria não combina com o tipo",IF(OR($N321="",$C321=""),"⚠ Falta valor ou tipo",""))))</f>
        <v/>
      </c>
      <c r="U321" s="40">
        <f>IF($A321="",0,P321*12+O321)</f>
        <v>24316</v>
      </c>
      <c r="V321" s="40">
        <f>IF($A321="",0,U321+MAX(0,N($I321)-MAX(N($H321),1)))</f>
        <v>24316</v>
      </c>
      <c r="W321" s="40">
        <f>IF(S321="",0,YEAR(S321)*12+MONTH(S321))</f>
        <v>24317</v>
      </c>
      <c r="X321" s="40">
        <f>IF(W321=0,0,W321+V321-U321)</f>
        <v>24317</v>
      </c>
      <c r="Y321" s="36">
        <f>IF(W321=0,0,N(R321)*MAX(0,X321-MAX(W321,YEAR(Cfg_Hoje)*12+MONTH(Cfg_Hoje)+IF(DAY(Cfg_Hoje)&gt;=INDEX(Cartoes_Fech,MATCH($F321,Cartoes_Nome,0)),1,0))+1))</f>
        <v>0</v>
      </c>
      <c r="Z321" s="40">
        <f>IF($A321="",0,DAY($A321))</f>
        <v>12</v>
      </c>
      <c r="AA321" s="40">
        <f>IF($A321="",0,WEEKDAY($A321))</f>
        <v>1</v>
      </c>
      <c r="AB321" s="36">
        <f>IF(AND($C321="Despesa",U321&gt;0,U321&lt;=Sel_Idx,V321&gt;=Sel_Idx),N(R321)+ROW()/1000000000,0)</f>
        <v>0</v>
      </c>
      <c r="AC321" s="40">
        <f>IF(AND($C321="Despesa",U321&gt;0,U321&lt;=Sel_Idx,V321&gt;=Sel_Idx),Z321*10000+ROW(),0)</f>
        <v>0</v>
      </c>
      <c r="AD321" s="40">
        <f>IF(AC321=0,0,COUNTIFS(L_CalChave,"&gt;0",L_CalChave,"&lt;"&amp;AC321)+1)</f>
        <v>0</v>
      </c>
    </row>
    <row r="322">
      <c r="A322" s="38" t="n">
        <v>46124</v>
      </c>
      <c r="B322" s="39" t="inlineStr">
        <is>
          <t>Streaming de música</t>
        </is>
      </c>
      <c r="C322" s="34" t="inlineStr">
        <is>
          <t>Despesa</t>
        </is>
      </c>
      <c r="D322" s="34" t="inlineStr">
        <is>
          <t>Assinaturas</t>
        </is>
      </c>
      <c r="E322" s="34" t="inlineStr">
        <is>
          <t>Música</t>
        </is>
      </c>
      <c r="F322" s="34" t="inlineStr">
        <is>
          <t>Cartão Roxinho</t>
        </is>
      </c>
      <c r="G322" s="34" t="inlineStr">
        <is>
          <t>Crédito</t>
        </is>
      </c>
      <c r="H322" s="37" t="n"/>
      <c r="I322" s="37" t="n"/>
      <c r="J322" s="34" t="inlineStr">
        <is>
          <t>Pago</t>
        </is>
      </c>
      <c r="K322" s="34" t="n"/>
      <c r="L322" s="34" t="n"/>
      <c r="M322" s="39" t="inlineStr">
        <is>
          <t>EXEMPLO</t>
        </is>
      </c>
      <c r="N322" s="35" t="n">
        <v>21.9</v>
      </c>
      <c r="O322" s="40">
        <f>IF($A322="","",MONTH($A322))</f>
        <v>4</v>
      </c>
      <c r="P322" s="40">
        <f>IF($A322="","",YEAR($A322))</f>
        <v>2026</v>
      </c>
      <c r="Q322" s="41">
        <f>IF($A322="","",DATE(P322,O322,1))</f>
        <v>46113.0</v>
      </c>
      <c r="R322" s="36">
        <f>IF(OR($A322="",$N322=""),"",IF(AND($C322&lt;&gt;"Transferência",N($I322)&gt;1),$N322/$I322,$N322))</f>
        <v>21.9</v>
      </c>
      <c r="S322" s="41">
        <f>IF(OR($A322="",$F322="",$C322&lt;&gt;"Despesa"),"",IF(COUNTIF(Cartoes_Nome,$F322)=0,"",DATE(P322,O322+IF(DAY($A322)&gt;=INDEX(Cartoes_Fech,MATCH($F322,Cartoes_Nome,0)),1,0),1)))</f>
        <v>46113.0</v>
      </c>
      <c r="T322" s="42" t="str">
        <f>IF($A322="","",IF(COUNTIFS(L_Data,$A322,L_Desc,$B322,L_Valor,$N322,L_Tipo,$C322)&gt;1,"⚠ Possível duplicidade",IF(OR(AND($C322="Despesa",COUNTIF(CatD_Nome,$D322)=0),AND($C322="Receita",COUNTIF(CatR_Nome,$D322)=0)),"⚠ Categoria não combina com o tipo",IF(OR($N322="",$C322=""),"⚠ Falta valor ou tipo",""))))</f>
        <v/>
      </c>
      <c r="U322" s="40">
        <f>IF($A322="",0,P322*12+O322)</f>
        <v>24316</v>
      </c>
      <c r="V322" s="40">
        <f>IF($A322="",0,U322+MAX(0,N($I322)-MAX(N($H322),1)))</f>
        <v>24316</v>
      </c>
      <c r="W322" s="40">
        <f>IF(S322="",0,YEAR(S322)*12+MONTH(S322))</f>
        <v>24316</v>
      </c>
      <c r="X322" s="40">
        <f>IF(W322=0,0,W322+V322-U322)</f>
        <v>24316</v>
      </c>
      <c r="Y322" s="36">
        <f>IF(W322=0,0,N(R322)*MAX(0,X322-MAX(W322,YEAR(Cfg_Hoje)*12+MONTH(Cfg_Hoje)+IF(DAY(Cfg_Hoje)&gt;=INDEX(Cartoes_Fech,MATCH($F322,Cartoes_Nome,0)),1,0))+1))</f>
        <v>0</v>
      </c>
      <c r="Z322" s="40">
        <f>IF($A322="",0,DAY($A322))</f>
        <v>12</v>
      </c>
      <c r="AA322" s="40">
        <f>IF($A322="",0,WEEKDAY($A322))</f>
        <v>1</v>
      </c>
      <c r="AB322" s="36">
        <f>IF(AND($C322="Despesa",U322&gt;0,U322&lt;=Sel_Idx,V322&gt;=Sel_Idx),N(R322)+ROW()/1000000000,0)</f>
        <v>0</v>
      </c>
      <c r="AC322" s="40">
        <f>IF(AND($C322="Despesa",U322&gt;0,U322&lt;=Sel_Idx,V322&gt;=Sel_Idx),Z322*10000+ROW(),0)</f>
        <v>0</v>
      </c>
      <c r="AD322" s="40">
        <f>IF(AC322=0,0,COUNTIFS(L_CalChave,"&gt;0",L_CalChave,"&lt;"&amp;AC322)+1)</f>
        <v>0</v>
      </c>
    </row>
    <row r="323">
      <c r="A323" s="38" t="n">
        <v>46124</v>
      </c>
      <c r="B323" s="39" t="inlineStr">
        <is>
          <t>Streaming de vídeo</t>
        </is>
      </c>
      <c r="C323" s="34" t="inlineStr">
        <is>
          <t>Despesa</t>
        </is>
      </c>
      <c r="D323" s="34" t="inlineStr">
        <is>
          <t>Assinaturas</t>
        </is>
      </c>
      <c r="E323" s="34" t="inlineStr">
        <is>
          <t>Streaming</t>
        </is>
      </c>
      <c r="F323" s="34" t="inlineStr">
        <is>
          <t>Cartão Roxinho</t>
        </is>
      </c>
      <c r="G323" s="34" t="inlineStr">
        <is>
          <t>Crédito</t>
        </is>
      </c>
      <c r="H323" s="37" t="n"/>
      <c r="I323" s="37" t="n"/>
      <c r="J323" s="34" t="inlineStr">
        <is>
          <t>Pago</t>
        </is>
      </c>
      <c r="K323" s="34" t="n"/>
      <c r="L323" s="34" t="n"/>
      <c r="M323" s="39" t="inlineStr">
        <is>
          <t>EXEMPLO</t>
        </is>
      </c>
      <c r="N323" s="35" t="n">
        <v>55.9</v>
      </c>
      <c r="O323" s="40">
        <f>IF($A323="","",MONTH($A323))</f>
        <v>4</v>
      </c>
      <c r="P323" s="40">
        <f>IF($A323="","",YEAR($A323))</f>
        <v>2026</v>
      </c>
      <c r="Q323" s="41">
        <f>IF($A323="","",DATE(P323,O323,1))</f>
        <v>46113.0</v>
      </c>
      <c r="R323" s="36">
        <f>IF(OR($A323="",$N323=""),"",IF(AND($C323&lt;&gt;"Transferência",N($I323)&gt;1),$N323/$I323,$N323))</f>
        <v>55.9</v>
      </c>
      <c r="S323" s="41">
        <f>IF(OR($A323="",$F323="",$C323&lt;&gt;"Despesa"),"",IF(COUNTIF(Cartoes_Nome,$F323)=0,"",DATE(P323,O323+IF(DAY($A323)&gt;=INDEX(Cartoes_Fech,MATCH($F323,Cartoes_Nome,0)),1,0),1)))</f>
        <v>46113.0</v>
      </c>
      <c r="T323" s="42" t="str">
        <f>IF($A323="","",IF(COUNTIFS(L_Data,$A323,L_Desc,$B323,L_Valor,$N323,L_Tipo,$C323)&gt;1,"⚠ Possível duplicidade",IF(OR(AND($C323="Despesa",COUNTIF(CatD_Nome,$D323)=0),AND($C323="Receita",COUNTIF(CatR_Nome,$D323)=0)),"⚠ Categoria não combina com o tipo",IF(OR($N323="",$C323=""),"⚠ Falta valor ou tipo",""))))</f>
        <v/>
      </c>
      <c r="U323" s="40">
        <f>IF($A323="",0,P323*12+O323)</f>
        <v>24316</v>
      </c>
      <c r="V323" s="40">
        <f>IF($A323="",0,U323+MAX(0,N($I323)-MAX(N($H323),1)))</f>
        <v>24316</v>
      </c>
      <c r="W323" s="40">
        <f>IF(S323="",0,YEAR(S323)*12+MONTH(S323))</f>
        <v>24316</v>
      </c>
      <c r="X323" s="40">
        <f>IF(W323=0,0,W323+V323-U323)</f>
        <v>24316</v>
      </c>
      <c r="Y323" s="36">
        <f>IF(W323=0,0,N(R323)*MAX(0,X323-MAX(W323,YEAR(Cfg_Hoje)*12+MONTH(Cfg_Hoje)+IF(DAY(Cfg_Hoje)&gt;=INDEX(Cartoes_Fech,MATCH($F323,Cartoes_Nome,0)),1,0))+1))</f>
        <v>0</v>
      </c>
      <c r="Z323" s="40">
        <f>IF($A323="",0,DAY($A323))</f>
        <v>12</v>
      </c>
      <c r="AA323" s="40">
        <f>IF($A323="",0,WEEKDAY($A323))</f>
        <v>1</v>
      </c>
      <c r="AB323" s="36">
        <f>IF(AND($C323="Despesa",U323&gt;0,U323&lt;=Sel_Idx,V323&gt;=Sel_Idx),N(R323)+ROW()/1000000000,0)</f>
        <v>0</v>
      </c>
      <c r="AC323" s="40">
        <f>IF(AND($C323="Despesa",U323&gt;0,U323&lt;=Sel_Idx,V323&gt;=Sel_Idx),Z323*10000+ROW(),0)</f>
        <v>0</v>
      </c>
      <c r="AD323" s="40">
        <f>IF(AC323=0,0,COUNTIFS(L_CalChave,"&gt;0",L_CalChave,"&lt;"&amp;AC323)+1)</f>
        <v>0</v>
      </c>
    </row>
    <row r="324">
      <c r="A324" s="38" t="n">
        <v>46124</v>
      </c>
      <c r="B324" s="39" t="inlineStr">
        <is>
          <t>Supermercado</t>
        </is>
      </c>
      <c r="C324" s="34" t="inlineStr">
        <is>
          <t>Despesa</t>
        </is>
      </c>
      <c r="D324" s="34" t="inlineStr">
        <is>
          <t>Alimentação</t>
        </is>
      </c>
      <c r="E324" s="34" t="inlineStr">
        <is>
          <t>Mercado</t>
        </is>
      </c>
      <c r="F324" s="34" t="inlineStr">
        <is>
          <t>Conta Corrente Banco Azul</t>
        </is>
      </c>
      <c r="G324" s="34" t="inlineStr">
        <is>
          <t>Débito</t>
        </is>
      </c>
      <c r="H324" s="37" t="n"/>
      <c r="I324" s="37" t="n"/>
      <c r="J324" s="34" t="inlineStr">
        <is>
          <t>Pago</t>
        </is>
      </c>
      <c r="K324" s="34" t="n"/>
      <c r="L324" s="34" t="n"/>
      <c r="M324" s="39" t="inlineStr">
        <is>
          <t>EXEMPLO</t>
        </is>
      </c>
      <c r="N324" s="35" t="n">
        <v>240.69</v>
      </c>
      <c r="O324" s="40">
        <f>IF($A324="","",MONTH($A324))</f>
        <v>4</v>
      </c>
      <c r="P324" s="40">
        <f>IF($A324="","",YEAR($A324))</f>
        <v>2026</v>
      </c>
      <c r="Q324" s="41">
        <f>IF($A324="","",DATE(P324,O324,1))</f>
        <v>46113.0</v>
      </c>
      <c r="R324" s="36">
        <f>IF(OR($A324="",$N324=""),"",IF(AND($C324&lt;&gt;"Transferência",N($I324)&gt;1),$N324/$I324,$N324))</f>
        <v>240.69</v>
      </c>
      <c r="S324" s="41" t="str">
        <f>IF(OR($A324="",$F324="",$C324&lt;&gt;"Despesa"),"",IF(COUNTIF(Cartoes_Nome,$F324)=0,"",DATE(P324,O324+IF(DAY($A324)&gt;=INDEX(Cartoes_Fech,MATCH($F324,Cartoes_Nome,0)),1,0),1)))</f>
        <v/>
      </c>
      <c r="T324" s="42" t="str">
        <f>IF($A324="","",IF(COUNTIFS(L_Data,$A324,L_Desc,$B324,L_Valor,$N324,L_Tipo,$C324)&gt;1,"⚠ Possível duplicidade",IF(OR(AND($C324="Despesa",COUNTIF(CatD_Nome,$D324)=0),AND($C324="Receita",COUNTIF(CatR_Nome,$D324)=0)),"⚠ Categoria não combina com o tipo",IF(OR($N324="",$C324=""),"⚠ Falta valor ou tipo",""))))</f>
        <v/>
      </c>
      <c r="U324" s="40">
        <f>IF($A324="",0,P324*12+O324)</f>
        <v>24316</v>
      </c>
      <c r="V324" s="40">
        <f>IF($A324="",0,U324+MAX(0,N($I324)-MAX(N($H324),1)))</f>
        <v>24316</v>
      </c>
      <c r="W324" s="40">
        <f>IF(S324="",0,YEAR(S324)*12+MONTH(S324))</f>
        <v>0</v>
      </c>
      <c r="X324" s="40">
        <f>IF(W324=0,0,W324+V324-U324)</f>
        <v>0</v>
      </c>
      <c r="Y324" s="36">
        <f>IF(W324=0,0,N(R324)*MAX(0,X324-MAX(W324,YEAR(Cfg_Hoje)*12+MONTH(Cfg_Hoje)+IF(DAY(Cfg_Hoje)&gt;=INDEX(Cartoes_Fech,MATCH($F324,Cartoes_Nome,0)),1,0))+1))</f>
        <v>0</v>
      </c>
      <c r="Z324" s="40">
        <f>IF($A324="",0,DAY($A324))</f>
        <v>12</v>
      </c>
      <c r="AA324" s="40">
        <f>IF($A324="",0,WEEKDAY($A324))</f>
        <v>1</v>
      </c>
      <c r="AB324" s="36">
        <f>IF(AND($C324="Despesa",U324&gt;0,U324&lt;=Sel_Idx,V324&gt;=Sel_Idx),N(R324)+ROW()/1000000000,0)</f>
        <v>0</v>
      </c>
      <c r="AC324" s="40">
        <f>IF(AND($C324="Despesa",U324&gt;0,U324&lt;=Sel_Idx,V324&gt;=Sel_Idx),Z324*10000+ROW(),0)</f>
        <v>0</v>
      </c>
      <c r="AD324" s="40">
        <f>IF(AC324=0,0,COUNTIFS(L_CalChave,"&gt;0",L_CalChave,"&lt;"&amp;AC324)+1)</f>
        <v>0</v>
      </c>
    </row>
    <row r="325">
      <c r="A325" s="38" t="n">
        <v>46126</v>
      </c>
      <c r="B325" s="39" t="inlineStr">
        <is>
          <t>Armazenamento em nuvem</t>
        </is>
      </c>
      <c r="C325" s="34" t="inlineStr">
        <is>
          <t>Despesa</t>
        </is>
      </c>
      <c r="D325" s="34" t="inlineStr">
        <is>
          <t>Assinaturas</t>
        </is>
      </c>
      <c r="E325" s="34" t="inlineStr">
        <is>
          <t>Nuvem</t>
        </is>
      </c>
      <c r="F325" s="34" t="inlineStr">
        <is>
          <t>Cartão Azul Gold</t>
        </is>
      </c>
      <c r="G325" s="34" t="inlineStr">
        <is>
          <t>Crédito</t>
        </is>
      </c>
      <c r="H325" s="37" t="n"/>
      <c r="I325" s="37" t="n"/>
      <c r="J325" s="34" t="inlineStr">
        <is>
          <t>Pago</t>
        </is>
      </c>
      <c r="K325" s="34" t="n"/>
      <c r="L325" s="34" t="n"/>
      <c r="M325" s="39" t="inlineStr">
        <is>
          <t>EXEMPLO</t>
        </is>
      </c>
      <c r="N325" s="35" t="n">
        <v>14.9</v>
      </c>
      <c r="O325" s="40">
        <f>IF($A325="","",MONTH($A325))</f>
        <v>4</v>
      </c>
      <c r="P325" s="40">
        <f>IF($A325="","",YEAR($A325))</f>
        <v>2026</v>
      </c>
      <c r="Q325" s="41">
        <f>IF($A325="","",DATE(P325,O325,1))</f>
        <v>46113.0</v>
      </c>
      <c r="R325" s="36">
        <f>IF(OR($A325="",$N325=""),"",IF(AND($C325&lt;&gt;"Transferência",N($I325)&gt;1),$N325/$I325,$N325))</f>
        <v>14.9</v>
      </c>
      <c r="S325" s="41">
        <f>IF(OR($A325="",$F325="",$C325&lt;&gt;"Despesa"),"",IF(COUNTIF(Cartoes_Nome,$F325)=0,"",DATE(P325,O325+IF(DAY($A325)&gt;=INDEX(Cartoes_Fech,MATCH($F325,Cartoes_Nome,0)),1,0),1)))</f>
        <v>46143.0</v>
      </c>
      <c r="T325" s="42" t="str">
        <f>IF($A325="","",IF(COUNTIFS(L_Data,$A325,L_Desc,$B325,L_Valor,$N325,L_Tipo,$C325)&gt;1,"⚠ Possível duplicidade",IF(OR(AND($C325="Despesa",COUNTIF(CatD_Nome,$D325)=0),AND($C325="Receita",COUNTIF(CatR_Nome,$D325)=0)),"⚠ Categoria não combina com o tipo",IF(OR($N325="",$C325=""),"⚠ Falta valor ou tipo",""))))</f>
        <v/>
      </c>
      <c r="U325" s="40">
        <f>IF($A325="",0,P325*12+O325)</f>
        <v>24316</v>
      </c>
      <c r="V325" s="40">
        <f>IF($A325="",0,U325+MAX(0,N($I325)-MAX(N($H325),1)))</f>
        <v>24316</v>
      </c>
      <c r="W325" s="40">
        <f>IF(S325="",0,YEAR(S325)*12+MONTH(S325))</f>
        <v>24317</v>
      </c>
      <c r="X325" s="40">
        <f>IF(W325=0,0,W325+V325-U325)</f>
        <v>24317</v>
      </c>
      <c r="Y325" s="36">
        <f>IF(W325=0,0,N(R325)*MAX(0,X325-MAX(W325,YEAR(Cfg_Hoje)*12+MONTH(Cfg_Hoje)+IF(DAY(Cfg_Hoje)&gt;=INDEX(Cartoes_Fech,MATCH($F325,Cartoes_Nome,0)),1,0))+1))</f>
        <v>0</v>
      </c>
      <c r="Z325" s="40">
        <f>IF($A325="",0,DAY($A325))</f>
        <v>14</v>
      </c>
      <c r="AA325" s="40">
        <f>IF($A325="",0,WEEKDAY($A325))</f>
        <v>3</v>
      </c>
      <c r="AB325" s="36">
        <f>IF(AND($C325="Despesa",U325&gt;0,U325&lt;=Sel_Idx,V325&gt;=Sel_Idx),N(R325)+ROW()/1000000000,0)</f>
        <v>0</v>
      </c>
      <c r="AC325" s="40">
        <f>IF(AND($C325="Despesa",U325&gt;0,U325&lt;=Sel_Idx,V325&gt;=Sel_Idx),Z325*10000+ROW(),0)</f>
        <v>0</v>
      </c>
      <c r="AD325" s="40">
        <f>IF(AC325=0,0,COUNTIFS(L_CalChave,"&gt;0",L_CalChave,"&lt;"&amp;AC325)+1)</f>
        <v>0</v>
      </c>
    </row>
    <row r="326">
      <c r="A326" s="38" t="n">
        <v>46126</v>
      </c>
      <c r="B326" s="39" t="inlineStr">
        <is>
          <t>Corrida de aplicativo</t>
        </is>
      </c>
      <c r="C326" s="34" t="inlineStr">
        <is>
          <t>Despesa</t>
        </is>
      </c>
      <c r="D326" s="34" t="inlineStr">
        <is>
          <t>Transporte</t>
        </is>
      </c>
      <c r="E326" s="34" t="inlineStr">
        <is>
          <t>App de transporte</t>
        </is>
      </c>
      <c r="F326" s="34" t="inlineStr">
        <is>
          <t>Conta Corrente Banco Azul</t>
        </is>
      </c>
      <c r="G326" s="34" t="inlineStr">
        <is>
          <t>Pix</t>
        </is>
      </c>
      <c r="H326" s="37" t="n"/>
      <c r="I326" s="37" t="n"/>
      <c r="J326" s="34" t="inlineStr">
        <is>
          <t>Pago</t>
        </is>
      </c>
      <c r="K326" s="34" t="n"/>
      <c r="L326" s="34" t="n"/>
      <c r="M326" s="39" t="inlineStr">
        <is>
          <t>EXEMPLO</t>
        </is>
      </c>
      <c r="N326" s="35" t="n">
        <v>22.61</v>
      </c>
      <c r="O326" s="40">
        <f>IF($A326="","",MONTH($A326))</f>
        <v>4</v>
      </c>
      <c r="P326" s="40">
        <f>IF($A326="","",YEAR($A326))</f>
        <v>2026</v>
      </c>
      <c r="Q326" s="41">
        <f>IF($A326="","",DATE(P326,O326,1))</f>
        <v>46113.0</v>
      </c>
      <c r="R326" s="36">
        <f>IF(OR($A326="",$N326=""),"",IF(AND($C326&lt;&gt;"Transferência",N($I326)&gt;1),$N326/$I326,$N326))</f>
        <v>22.61</v>
      </c>
      <c r="S326" s="41" t="str">
        <f>IF(OR($A326="",$F326="",$C326&lt;&gt;"Despesa"),"",IF(COUNTIF(Cartoes_Nome,$F326)=0,"",DATE(P326,O326+IF(DAY($A326)&gt;=INDEX(Cartoes_Fech,MATCH($F326,Cartoes_Nome,0)),1,0),1)))</f>
        <v/>
      </c>
      <c r="T326" s="42" t="str">
        <f>IF($A326="","",IF(COUNTIFS(L_Data,$A326,L_Desc,$B326,L_Valor,$N326,L_Tipo,$C326)&gt;1,"⚠ Possível duplicidade",IF(OR(AND($C326="Despesa",COUNTIF(CatD_Nome,$D326)=0),AND($C326="Receita",COUNTIF(CatR_Nome,$D326)=0)),"⚠ Categoria não combina com o tipo",IF(OR($N326="",$C326=""),"⚠ Falta valor ou tipo",""))))</f>
        <v/>
      </c>
      <c r="U326" s="40">
        <f>IF($A326="",0,P326*12+O326)</f>
        <v>24316</v>
      </c>
      <c r="V326" s="40">
        <f>IF($A326="",0,U326+MAX(0,N($I326)-MAX(N($H326),1)))</f>
        <v>24316</v>
      </c>
      <c r="W326" s="40">
        <f>IF(S326="",0,YEAR(S326)*12+MONTH(S326))</f>
        <v>0</v>
      </c>
      <c r="X326" s="40">
        <f>IF(W326=0,0,W326+V326-U326)</f>
        <v>0</v>
      </c>
      <c r="Y326" s="36">
        <f>IF(W326=0,0,N(R326)*MAX(0,X326-MAX(W326,YEAR(Cfg_Hoje)*12+MONTH(Cfg_Hoje)+IF(DAY(Cfg_Hoje)&gt;=INDEX(Cartoes_Fech,MATCH($F326,Cartoes_Nome,0)),1,0))+1))</f>
        <v>0</v>
      </c>
      <c r="Z326" s="40">
        <f>IF($A326="",0,DAY($A326))</f>
        <v>14</v>
      </c>
      <c r="AA326" s="40">
        <f>IF($A326="",0,WEEKDAY($A326))</f>
        <v>3</v>
      </c>
      <c r="AB326" s="36">
        <f>IF(AND($C326="Despesa",U326&gt;0,U326&lt;=Sel_Idx,V326&gt;=Sel_Idx),N(R326)+ROW()/1000000000,0)</f>
        <v>0</v>
      </c>
      <c r="AC326" s="40">
        <f>IF(AND($C326="Despesa",U326&gt;0,U326&lt;=Sel_Idx,V326&gt;=Sel_Idx),Z326*10000+ROW(),0)</f>
        <v>0</v>
      </c>
      <c r="AD326" s="40">
        <f>IF(AC326=0,0,COUNTIFS(L_CalChave,"&gt;0",L_CalChave,"&lt;"&amp;AC326)+1)</f>
        <v>0</v>
      </c>
    </row>
    <row r="327">
      <c r="A327" s="38" t="n">
        <v>46127</v>
      </c>
      <c r="B327" s="39" t="inlineStr">
        <is>
          <t>Combustível</t>
        </is>
      </c>
      <c r="C327" s="34" t="inlineStr">
        <is>
          <t>Despesa</t>
        </is>
      </c>
      <c r="D327" s="34" t="inlineStr">
        <is>
          <t>Transporte</t>
        </is>
      </c>
      <c r="E327" s="34" t="inlineStr">
        <is>
          <t>Combustível</t>
        </is>
      </c>
      <c r="F327" s="34" t="inlineStr">
        <is>
          <t>Cartão Azul Gold</t>
        </is>
      </c>
      <c r="G327" s="34" t="inlineStr">
        <is>
          <t>Crédito</t>
        </is>
      </c>
      <c r="H327" s="37" t="n"/>
      <c r="I327" s="37" t="n"/>
      <c r="J327" s="34" t="inlineStr">
        <is>
          <t>Pago</t>
        </is>
      </c>
      <c r="K327" s="34" t="n"/>
      <c r="L327" s="34" t="n"/>
      <c r="M327" s="39" t="inlineStr">
        <is>
          <t>EXEMPLO</t>
        </is>
      </c>
      <c r="N327" s="35" t="n">
        <v>208.31</v>
      </c>
      <c r="O327" s="40">
        <f>IF($A327="","",MONTH($A327))</f>
        <v>4</v>
      </c>
      <c r="P327" s="40">
        <f>IF($A327="","",YEAR($A327))</f>
        <v>2026</v>
      </c>
      <c r="Q327" s="41">
        <f>IF($A327="","",DATE(P327,O327,1))</f>
        <v>46113.0</v>
      </c>
      <c r="R327" s="36">
        <f>IF(OR($A327="",$N327=""),"",IF(AND($C327&lt;&gt;"Transferência",N($I327)&gt;1),$N327/$I327,$N327))</f>
        <v>208.31</v>
      </c>
      <c r="S327" s="41">
        <f>IF(OR($A327="",$F327="",$C327&lt;&gt;"Despesa"),"",IF(COUNTIF(Cartoes_Nome,$F327)=0,"",DATE(P327,O327+IF(DAY($A327)&gt;=INDEX(Cartoes_Fech,MATCH($F327,Cartoes_Nome,0)),1,0),1)))</f>
        <v>46143.0</v>
      </c>
      <c r="T327" s="42" t="str">
        <f>IF($A327="","",IF(COUNTIFS(L_Data,$A327,L_Desc,$B327,L_Valor,$N327,L_Tipo,$C327)&gt;1,"⚠ Possível duplicidade",IF(OR(AND($C327="Despesa",COUNTIF(CatD_Nome,$D327)=0),AND($C327="Receita",COUNTIF(CatR_Nome,$D327)=0)),"⚠ Categoria não combina com o tipo",IF(OR($N327="",$C327=""),"⚠ Falta valor ou tipo",""))))</f>
        <v/>
      </c>
      <c r="U327" s="40">
        <f>IF($A327="",0,P327*12+O327)</f>
        <v>24316</v>
      </c>
      <c r="V327" s="40">
        <f>IF($A327="",0,U327+MAX(0,N($I327)-MAX(N($H327),1)))</f>
        <v>24316</v>
      </c>
      <c r="W327" s="40">
        <f>IF(S327="",0,YEAR(S327)*12+MONTH(S327))</f>
        <v>24317</v>
      </c>
      <c r="X327" s="40">
        <f>IF(W327=0,0,W327+V327-U327)</f>
        <v>24317</v>
      </c>
      <c r="Y327" s="36">
        <f>IF(W327=0,0,N(R327)*MAX(0,X327-MAX(W327,YEAR(Cfg_Hoje)*12+MONTH(Cfg_Hoje)+IF(DAY(Cfg_Hoje)&gt;=INDEX(Cartoes_Fech,MATCH($F327,Cartoes_Nome,0)),1,0))+1))</f>
        <v>0</v>
      </c>
      <c r="Z327" s="40">
        <f>IF($A327="",0,DAY($A327))</f>
        <v>15</v>
      </c>
      <c r="AA327" s="40">
        <f>IF($A327="",0,WEEKDAY($A327))</f>
        <v>4</v>
      </c>
      <c r="AB327" s="36">
        <f>IF(AND($C327="Despesa",U327&gt;0,U327&lt;=Sel_Idx,V327&gt;=Sel_Idx),N(R327)+ROW()/1000000000,0)</f>
        <v>0</v>
      </c>
      <c r="AC327" s="40">
        <f>IF(AND($C327="Despesa",U327&gt;0,U327&lt;=Sel_Idx,V327&gt;=Sel_Idx),Z327*10000+ROW(),0)</f>
        <v>0</v>
      </c>
      <c r="AD327" s="40">
        <f>IF(AC327=0,0,COUNTIFS(L_CalChave,"&gt;0",L_CalChave,"&lt;"&amp;AC327)+1)</f>
        <v>0</v>
      </c>
    </row>
    <row r="328">
      <c r="A328" s="38" t="n">
        <v>46127</v>
      </c>
      <c r="B328" s="39" t="inlineStr">
        <is>
          <t>Conta de energia</t>
        </is>
      </c>
      <c r="C328" s="34" t="inlineStr">
        <is>
          <t>Despesa</t>
        </is>
      </c>
      <c r="D328" s="34" t="inlineStr">
        <is>
          <t>Moradia</t>
        </is>
      </c>
      <c r="E328" s="34" t="inlineStr">
        <is>
          <t>Energia</t>
        </is>
      </c>
      <c r="F328" s="34" t="inlineStr">
        <is>
          <t>Conta Corrente Banco Azul</t>
        </is>
      </c>
      <c r="G328" s="34" t="inlineStr">
        <is>
          <t>Débito automático</t>
        </is>
      </c>
      <c r="H328" s="37" t="n"/>
      <c r="I328" s="37" t="n"/>
      <c r="J328" s="34" t="inlineStr">
        <is>
          <t>Pago</t>
        </is>
      </c>
      <c r="K328" s="34" t="n"/>
      <c r="L328" s="34" t="n"/>
      <c r="M328" s="39" t="inlineStr">
        <is>
          <t>EXEMPLO</t>
        </is>
      </c>
      <c r="N328" s="35" t="n">
        <v>217.95</v>
      </c>
      <c r="O328" s="40">
        <f>IF($A328="","",MONTH($A328))</f>
        <v>4</v>
      </c>
      <c r="P328" s="40">
        <f>IF($A328="","",YEAR($A328))</f>
        <v>2026</v>
      </c>
      <c r="Q328" s="41">
        <f>IF($A328="","",DATE(P328,O328,1))</f>
        <v>46113.0</v>
      </c>
      <c r="R328" s="36">
        <f>IF(OR($A328="",$N328=""),"",IF(AND($C328&lt;&gt;"Transferência",N($I328)&gt;1),$N328/$I328,$N328))</f>
        <v>217.95</v>
      </c>
      <c r="S328" s="41" t="str">
        <f>IF(OR($A328="",$F328="",$C328&lt;&gt;"Despesa"),"",IF(COUNTIF(Cartoes_Nome,$F328)=0,"",DATE(P328,O328+IF(DAY($A328)&gt;=INDEX(Cartoes_Fech,MATCH($F328,Cartoes_Nome,0)),1,0),1)))</f>
        <v/>
      </c>
      <c r="T328" s="42" t="str">
        <f>IF($A328="","",IF(COUNTIFS(L_Data,$A328,L_Desc,$B328,L_Valor,$N328,L_Tipo,$C328)&gt;1,"⚠ Possível duplicidade",IF(OR(AND($C328="Despesa",COUNTIF(CatD_Nome,$D328)=0),AND($C328="Receita",COUNTIF(CatR_Nome,$D328)=0)),"⚠ Categoria não combina com o tipo",IF(OR($N328="",$C328=""),"⚠ Falta valor ou tipo",""))))</f>
        <v/>
      </c>
      <c r="U328" s="40">
        <f>IF($A328="",0,P328*12+O328)</f>
        <v>24316</v>
      </c>
      <c r="V328" s="40">
        <f>IF($A328="",0,U328+MAX(0,N($I328)-MAX(N($H328),1)))</f>
        <v>24316</v>
      </c>
      <c r="W328" s="40">
        <f>IF(S328="",0,YEAR(S328)*12+MONTH(S328))</f>
        <v>0</v>
      </c>
      <c r="X328" s="40">
        <f>IF(W328=0,0,W328+V328-U328)</f>
        <v>0</v>
      </c>
      <c r="Y328" s="36">
        <f>IF(W328=0,0,N(R328)*MAX(0,X328-MAX(W328,YEAR(Cfg_Hoje)*12+MONTH(Cfg_Hoje)+IF(DAY(Cfg_Hoje)&gt;=INDEX(Cartoes_Fech,MATCH($F328,Cartoes_Nome,0)),1,0))+1))</f>
        <v>0</v>
      </c>
      <c r="Z328" s="40">
        <f>IF($A328="",0,DAY($A328))</f>
        <v>15</v>
      </c>
      <c r="AA328" s="40">
        <f>IF($A328="",0,WEEKDAY($A328))</f>
        <v>4</v>
      </c>
      <c r="AB328" s="36">
        <f>IF(AND($C328="Despesa",U328&gt;0,U328&lt;=Sel_Idx,V328&gt;=Sel_Idx),N(R328)+ROW()/1000000000,0)</f>
        <v>0</v>
      </c>
      <c r="AC328" s="40">
        <f>IF(AND($C328="Despesa",U328&gt;0,U328&lt;=Sel_Idx,V328&gt;=Sel_Idx),Z328*10000+ROW(),0)</f>
        <v>0</v>
      </c>
      <c r="AD328" s="40">
        <f>IF(AC328=0,0,COUNTIFS(L_CalChave,"&gt;0",L_CalChave,"&lt;"&amp;AC328)+1)</f>
        <v>0</v>
      </c>
    </row>
    <row r="329">
      <c r="A329" s="38" t="n">
        <v>46127</v>
      </c>
      <c r="B329" s="39" t="inlineStr">
        <is>
          <t>Conta de água</t>
        </is>
      </c>
      <c r="C329" s="34" t="inlineStr">
        <is>
          <t>Despesa</t>
        </is>
      </c>
      <c r="D329" s="34" t="inlineStr">
        <is>
          <t>Moradia</t>
        </is>
      </c>
      <c r="E329" s="34" t="inlineStr">
        <is>
          <t>Água</t>
        </is>
      </c>
      <c r="F329" s="34" t="inlineStr">
        <is>
          <t>Conta Corrente Banco Azul</t>
        </is>
      </c>
      <c r="G329" s="34" t="inlineStr">
        <is>
          <t>Débito automático</t>
        </is>
      </c>
      <c r="H329" s="37" t="n"/>
      <c r="I329" s="37" t="n"/>
      <c r="J329" s="34" t="inlineStr">
        <is>
          <t>Pago</t>
        </is>
      </c>
      <c r="K329" s="34" t="n"/>
      <c r="L329" s="34" t="n"/>
      <c r="M329" s="39" t="inlineStr">
        <is>
          <t>EXEMPLO</t>
        </is>
      </c>
      <c r="N329" s="35" t="n">
        <v>102.95</v>
      </c>
      <c r="O329" s="40">
        <f>IF($A329="","",MONTH($A329))</f>
        <v>4</v>
      </c>
      <c r="P329" s="40">
        <f>IF($A329="","",YEAR($A329))</f>
        <v>2026</v>
      </c>
      <c r="Q329" s="41">
        <f>IF($A329="","",DATE(P329,O329,1))</f>
        <v>46113.0</v>
      </c>
      <c r="R329" s="36">
        <f>IF(OR($A329="",$N329=""),"",IF(AND($C329&lt;&gt;"Transferência",N($I329)&gt;1),$N329/$I329,$N329))</f>
        <v>102.95</v>
      </c>
      <c r="S329" s="41" t="str">
        <f>IF(OR($A329="",$F329="",$C329&lt;&gt;"Despesa"),"",IF(COUNTIF(Cartoes_Nome,$F329)=0,"",DATE(P329,O329+IF(DAY($A329)&gt;=INDEX(Cartoes_Fech,MATCH($F329,Cartoes_Nome,0)),1,0),1)))</f>
        <v/>
      </c>
      <c r="T329" s="42" t="str">
        <f>IF($A329="","",IF(COUNTIFS(L_Data,$A329,L_Desc,$B329,L_Valor,$N329,L_Tipo,$C329)&gt;1,"⚠ Possível duplicidade",IF(OR(AND($C329="Despesa",COUNTIF(CatD_Nome,$D329)=0),AND($C329="Receita",COUNTIF(CatR_Nome,$D329)=0)),"⚠ Categoria não combina com o tipo",IF(OR($N329="",$C329=""),"⚠ Falta valor ou tipo",""))))</f>
        <v/>
      </c>
      <c r="U329" s="40">
        <f>IF($A329="",0,P329*12+O329)</f>
        <v>24316</v>
      </c>
      <c r="V329" s="40">
        <f>IF($A329="",0,U329+MAX(0,N($I329)-MAX(N($H329),1)))</f>
        <v>24316</v>
      </c>
      <c r="W329" s="40">
        <f>IF(S329="",0,YEAR(S329)*12+MONTH(S329))</f>
        <v>0</v>
      </c>
      <c r="X329" s="40">
        <f>IF(W329=0,0,W329+V329-U329)</f>
        <v>0</v>
      </c>
      <c r="Y329" s="36">
        <f>IF(W329=0,0,N(R329)*MAX(0,X329-MAX(W329,YEAR(Cfg_Hoje)*12+MONTH(Cfg_Hoje)+IF(DAY(Cfg_Hoje)&gt;=INDEX(Cartoes_Fech,MATCH($F329,Cartoes_Nome,0)),1,0))+1))</f>
        <v>0</v>
      </c>
      <c r="Z329" s="40">
        <f>IF($A329="",0,DAY($A329))</f>
        <v>15</v>
      </c>
      <c r="AA329" s="40">
        <f>IF($A329="",0,WEEKDAY($A329))</f>
        <v>4</v>
      </c>
      <c r="AB329" s="36">
        <f>IF(AND($C329="Despesa",U329&gt;0,U329&lt;=Sel_Idx,V329&gt;=Sel_Idx),N(R329)+ROW()/1000000000,0)</f>
        <v>0</v>
      </c>
      <c r="AC329" s="40">
        <f>IF(AND($C329="Despesa",U329&gt;0,U329&lt;=Sel_Idx,V329&gt;=Sel_Idx),Z329*10000+ROW(),0)</f>
        <v>0</v>
      </c>
      <c r="AD329" s="40">
        <f>IF(AC329=0,0,COUNTIFS(L_CalChave,"&gt;0",L_CalChave,"&lt;"&amp;AC329)+1)</f>
        <v>0</v>
      </c>
    </row>
    <row r="330">
      <c r="A330" s="38" t="n">
        <v>46128</v>
      </c>
      <c r="B330" s="39" t="inlineStr">
        <is>
          <t>Veterinário</t>
        </is>
      </c>
      <c r="C330" s="34" t="inlineStr">
        <is>
          <t>Despesa</t>
        </is>
      </c>
      <c r="D330" s="34" t="inlineStr">
        <is>
          <t>Família/Pets</t>
        </is>
      </c>
      <c r="E330" s="34" t="inlineStr">
        <is>
          <t>Veterinário</t>
        </is>
      </c>
      <c r="F330" s="34" t="inlineStr">
        <is>
          <t>Conta Corrente Banco Azul</t>
        </is>
      </c>
      <c r="G330" s="34" t="inlineStr">
        <is>
          <t>Pix</t>
        </is>
      </c>
      <c r="H330" s="37" t="n"/>
      <c r="I330" s="37" t="n"/>
      <c r="J330" s="34" t="inlineStr">
        <is>
          <t>Pago</t>
        </is>
      </c>
      <c r="K330" s="34" t="n"/>
      <c r="L330" s="34" t="n"/>
      <c r="M330" s="39" t="inlineStr">
        <is>
          <t>EXEMPLO</t>
        </is>
      </c>
      <c r="N330" s="35" t="n">
        <v>320</v>
      </c>
      <c r="O330" s="40">
        <f>IF($A330="","",MONTH($A330))</f>
        <v>4</v>
      </c>
      <c r="P330" s="40">
        <f>IF($A330="","",YEAR($A330))</f>
        <v>2026</v>
      </c>
      <c r="Q330" s="41">
        <f>IF($A330="","",DATE(P330,O330,1))</f>
        <v>46113.0</v>
      </c>
      <c r="R330" s="36">
        <f>IF(OR($A330="",$N330=""),"",IF(AND($C330&lt;&gt;"Transferência",N($I330)&gt;1),$N330/$I330,$N330))</f>
        <v>320</v>
      </c>
      <c r="S330" s="41" t="str">
        <f>IF(OR($A330="",$F330="",$C330&lt;&gt;"Despesa"),"",IF(COUNTIF(Cartoes_Nome,$F330)=0,"",DATE(P330,O330+IF(DAY($A330)&gt;=INDEX(Cartoes_Fech,MATCH($F330,Cartoes_Nome,0)),1,0),1)))</f>
        <v/>
      </c>
      <c r="T330" s="42" t="str">
        <f>IF($A330="","",IF(COUNTIFS(L_Data,$A330,L_Desc,$B330,L_Valor,$N330,L_Tipo,$C330)&gt;1,"⚠ Possível duplicidade",IF(OR(AND($C330="Despesa",COUNTIF(CatD_Nome,$D330)=0),AND($C330="Receita",COUNTIF(CatR_Nome,$D330)=0)),"⚠ Categoria não combina com o tipo",IF(OR($N330="",$C330=""),"⚠ Falta valor ou tipo",""))))</f>
        <v/>
      </c>
      <c r="U330" s="40">
        <f>IF($A330="",0,P330*12+O330)</f>
        <v>24316</v>
      </c>
      <c r="V330" s="40">
        <f>IF($A330="",0,U330+MAX(0,N($I330)-MAX(N($H330),1)))</f>
        <v>24316</v>
      </c>
      <c r="W330" s="40">
        <f>IF(S330="",0,YEAR(S330)*12+MONTH(S330))</f>
        <v>0</v>
      </c>
      <c r="X330" s="40">
        <f>IF(W330=0,0,W330+V330-U330)</f>
        <v>0</v>
      </c>
      <c r="Y330" s="36">
        <f>IF(W330=0,0,N(R330)*MAX(0,X330-MAX(W330,YEAR(Cfg_Hoje)*12+MONTH(Cfg_Hoje)+IF(DAY(Cfg_Hoje)&gt;=INDEX(Cartoes_Fech,MATCH($F330,Cartoes_Nome,0)),1,0))+1))</f>
        <v>0</v>
      </c>
      <c r="Z330" s="40">
        <f>IF($A330="",0,DAY($A330))</f>
        <v>16</v>
      </c>
      <c r="AA330" s="40">
        <f>IF($A330="",0,WEEKDAY($A330))</f>
        <v>5</v>
      </c>
      <c r="AB330" s="36">
        <f>IF(AND($C330="Despesa",U330&gt;0,U330&lt;=Sel_Idx,V330&gt;=Sel_Idx),N(R330)+ROW()/1000000000,0)</f>
        <v>0</v>
      </c>
      <c r="AC330" s="40">
        <f>IF(AND($C330="Despesa",U330&gt;0,U330&lt;=Sel_Idx,V330&gt;=Sel_Idx),Z330*10000+ROW(),0)</f>
        <v>0</v>
      </c>
      <c r="AD330" s="40">
        <f>IF(AC330=0,0,COUNTIFS(L_CalChave,"&gt;0",L_CalChave,"&lt;"&amp;AC330)+1)</f>
        <v>0</v>
      </c>
    </row>
    <row r="331">
      <c r="A331" s="38" t="n">
        <v>46129</v>
      </c>
      <c r="B331" s="39" t="inlineStr">
        <is>
          <t>Pagamento fatura Cartão Azul Gold</t>
        </is>
      </c>
      <c r="C331" s="34" t="inlineStr">
        <is>
          <t>Transferência</t>
        </is>
      </c>
      <c r="D331" s="34" t="n"/>
      <c r="E331" s="34" t="n"/>
      <c r="F331" s="34" t="inlineStr">
        <is>
          <t>Conta Corrente Banco Azul</t>
        </is>
      </c>
      <c r="G331" s="34" t="inlineStr">
        <is>
          <t>Débito automático</t>
        </is>
      </c>
      <c r="H331" s="37" t="n"/>
      <c r="I331" s="37" t="n"/>
      <c r="J331" s="34" t="inlineStr">
        <is>
          <t>Pago</t>
        </is>
      </c>
      <c r="K331" s="34" t="n"/>
      <c r="L331" s="34" t="n"/>
      <c r="M331" s="39" t="inlineStr">
        <is>
          <t>EXEMPLO</t>
        </is>
      </c>
      <c r="N331" s="35" t="n">
        <v>-1834.63</v>
      </c>
      <c r="O331" s="40">
        <f>IF($A331="","",MONTH($A331))</f>
        <v>4</v>
      </c>
      <c r="P331" s="40">
        <f>IF($A331="","",YEAR($A331))</f>
        <v>2026</v>
      </c>
      <c r="Q331" s="41">
        <f>IF($A331="","",DATE(P331,O331,1))</f>
        <v>46113.0</v>
      </c>
      <c r="R331" s="36">
        <f>IF(OR($A331="",$N331=""),"",IF(AND($C331&lt;&gt;"Transferência",N($I331)&gt;1),$N331/$I331,$N331))</f>
        <v>-1834.63</v>
      </c>
      <c r="S331" s="41" t="str">
        <f>IF(OR($A331="",$F331="",$C331&lt;&gt;"Despesa"),"",IF(COUNTIF(Cartoes_Nome,$F331)=0,"",DATE(P331,O331+IF(DAY($A331)&gt;=INDEX(Cartoes_Fech,MATCH($F331,Cartoes_Nome,0)),1,0),1)))</f>
        <v/>
      </c>
      <c r="T331" s="42" t="str">
        <f>IF($A331="","",IF(COUNTIFS(L_Data,$A331,L_Desc,$B331,L_Valor,$N331,L_Tipo,$C331)&gt;1,"⚠ Possível duplicidade",IF(OR(AND($C331="Despesa",COUNTIF(CatD_Nome,$D331)=0),AND($C331="Receita",COUNTIF(CatR_Nome,$D331)=0)),"⚠ Categoria não combina com o tipo",IF(OR($N331="",$C331=""),"⚠ Falta valor ou tipo",""))))</f>
        <v/>
      </c>
      <c r="U331" s="40">
        <f>IF($A331="",0,P331*12+O331)</f>
        <v>24316</v>
      </c>
      <c r="V331" s="40">
        <f>IF($A331="",0,U331+MAX(0,N($I331)-MAX(N($H331),1)))</f>
        <v>24316</v>
      </c>
      <c r="W331" s="40">
        <f>IF(S331="",0,YEAR(S331)*12+MONTH(S331))</f>
        <v>0</v>
      </c>
      <c r="X331" s="40">
        <f>IF(W331=0,0,W331+V331-U331)</f>
        <v>0</v>
      </c>
      <c r="Y331" s="36">
        <f>IF(W331=0,0,N(R331)*MAX(0,X331-MAX(W331,YEAR(Cfg_Hoje)*12+MONTH(Cfg_Hoje)+IF(DAY(Cfg_Hoje)&gt;=INDEX(Cartoes_Fech,MATCH($F331,Cartoes_Nome,0)),1,0))+1))</f>
        <v>0</v>
      </c>
      <c r="Z331" s="40">
        <f>IF($A331="",0,DAY($A331))</f>
        <v>17</v>
      </c>
      <c r="AA331" s="40">
        <f>IF($A331="",0,WEEKDAY($A331))</f>
        <v>6</v>
      </c>
      <c r="AB331" s="36">
        <f>IF(AND($C331="Despesa",U331&gt;0,U331&lt;=Sel_Idx,V331&gt;=Sel_Idx),N(R331)+ROW()/1000000000,0)</f>
        <v>0</v>
      </c>
      <c r="AC331" s="40">
        <f>IF(AND($C331="Despesa",U331&gt;0,U331&lt;=Sel_Idx,V331&gt;=Sel_Idx),Z331*10000+ROW(),0)</f>
        <v>0</v>
      </c>
      <c r="AD331" s="40">
        <f>IF(AC331=0,0,COUNTIFS(L_CalChave,"&gt;0",L_CalChave,"&lt;"&amp;AC331)+1)</f>
        <v>0</v>
      </c>
    </row>
    <row r="332">
      <c r="A332" s="38" t="n">
        <v>46130</v>
      </c>
      <c r="B332" s="39" t="inlineStr">
        <is>
          <t>Projeto freelance</t>
        </is>
      </c>
      <c r="C332" s="34" t="inlineStr">
        <is>
          <t>Receita</t>
        </is>
      </c>
      <c r="D332" s="34" t="inlineStr">
        <is>
          <t>Freelance/Extra</t>
        </is>
      </c>
      <c r="E332" s="34" t="n"/>
      <c r="F332" s="34" t="inlineStr">
        <is>
          <t>Conta Corrente Banco Azul</t>
        </is>
      </c>
      <c r="G332" s="34" t="inlineStr">
        <is>
          <t>Pix</t>
        </is>
      </c>
      <c r="H332" s="37" t="n"/>
      <c r="I332" s="37" t="n"/>
      <c r="J332" s="34" t="inlineStr">
        <is>
          <t>Pago</t>
        </is>
      </c>
      <c r="K332" s="34" t="n"/>
      <c r="L332" s="34" t="n"/>
      <c r="M332" s="39" t="inlineStr">
        <is>
          <t>EXEMPLO</t>
        </is>
      </c>
      <c r="N332" s="35" t="n">
        <v>2400</v>
      </c>
      <c r="O332" s="40">
        <f>IF($A332="","",MONTH($A332))</f>
        <v>4</v>
      </c>
      <c r="P332" s="40">
        <f>IF($A332="","",YEAR($A332))</f>
        <v>2026</v>
      </c>
      <c r="Q332" s="41">
        <f>IF($A332="","",DATE(P332,O332,1))</f>
        <v>46113.0</v>
      </c>
      <c r="R332" s="36">
        <f>IF(OR($A332="",$N332=""),"",IF(AND($C332&lt;&gt;"Transferência",N($I332)&gt;1),$N332/$I332,$N332))</f>
        <v>2400</v>
      </c>
      <c r="S332" s="41" t="str">
        <f>IF(OR($A332="",$F332="",$C332&lt;&gt;"Despesa"),"",IF(COUNTIF(Cartoes_Nome,$F332)=0,"",DATE(P332,O332+IF(DAY($A332)&gt;=INDEX(Cartoes_Fech,MATCH($F332,Cartoes_Nome,0)),1,0),1)))</f>
        <v/>
      </c>
      <c r="T332" s="42" t="str">
        <f>IF($A332="","",IF(COUNTIFS(L_Data,$A332,L_Desc,$B332,L_Valor,$N332,L_Tipo,$C332)&gt;1,"⚠ Possível duplicidade",IF(OR(AND($C332="Despesa",COUNTIF(CatD_Nome,$D332)=0),AND($C332="Receita",COUNTIF(CatR_Nome,$D332)=0)),"⚠ Categoria não combina com o tipo",IF(OR($N332="",$C332=""),"⚠ Falta valor ou tipo",""))))</f>
        <v/>
      </c>
      <c r="U332" s="40">
        <f>IF($A332="",0,P332*12+O332)</f>
        <v>24316</v>
      </c>
      <c r="V332" s="40">
        <f>IF($A332="",0,U332+MAX(0,N($I332)-MAX(N($H332),1)))</f>
        <v>24316</v>
      </c>
      <c r="W332" s="40">
        <f>IF(S332="",0,YEAR(S332)*12+MONTH(S332))</f>
        <v>0</v>
      </c>
      <c r="X332" s="40">
        <f>IF(W332=0,0,W332+V332-U332)</f>
        <v>0</v>
      </c>
      <c r="Y332" s="36">
        <f>IF(W332=0,0,N(R332)*MAX(0,X332-MAX(W332,YEAR(Cfg_Hoje)*12+MONTH(Cfg_Hoje)+IF(DAY(Cfg_Hoje)&gt;=INDEX(Cartoes_Fech,MATCH($F332,Cartoes_Nome,0)),1,0))+1))</f>
        <v>0</v>
      </c>
      <c r="Z332" s="40">
        <f>IF($A332="",0,DAY($A332))</f>
        <v>18</v>
      </c>
      <c r="AA332" s="40">
        <f>IF($A332="",0,WEEKDAY($A332))</f>
        <v>7</v>
      </c>
      <c r="AB332" s="36">
        <f>IF(AND($C332="Despesa",U332&gt;0,U332&lt;=Sel_Idx,V332&gt;=Sel_Idx),N(R332)+ROW()/1000000000,0)</f>
        <v>0</v>
      </c>
      <c r="AC332" s="40">
        <f>IF(AND($C332="Despesa",U332&gt;0,U332&lt;=Sel_Idx,V332&gt;=Sel_Idx),Z332*10000+ROW(),0)</f>
        <v>0</v>
      </c>
      <c r="AD332" s="40">
        <f>IF(AC332=0,0,COUNTIFS(L_CalChave,"&gt;0",L_CalChave,"&lt;"&amp;AC332)+1)</f>
        <v>0</v>
      </c>
    </row>
    <row r="333">
      <c r="A333" s="38" t="n">
        <v>46132</v>
      </c>
      <c r="B333" s="39" t="inlineStr">
        <is>
          <t>Internet fibra</t>
        </is>
      </c>
      <c r="C333" s="34" t="inlineStr">
        <is>
          <t>Despesa</t>
        </is>
      </c>
      <c r="D333" s="34" t="inlineStr">
        <is>
          <t>Moradia</t>
        </is>
      </c>
      <c r="E333" s="34" t="inlineStr">
        <is>
          <t>Internet</t>
        </is>
      </c>
      <c r="F333" s="34" t="inlineStr">
        <is>
          <t>Conta Corrente Banco Azul</t>
        </is>
      </c>
      <c r="G333" s="34" t="inlineStr">
        <is>
          <t>Débito automático</t>
        </is>
      </c>
      <c r="H333" s="37" t="n"/>
      <c r="I333" s="37" t="n"/>
      <c r="J333" s="34" t="inlineStr">
        <is>
          <t>Pago</t>
        </is>
      </c>
      <c r="K333" s="34" t="n"/>
      <c r="L333" s="34" t="n"/>
      <c r="M333" s="39" t="inlineStr">
        <is>
          <t>EXEMPLO</t>
        </is>
      </c>
      <c r="N333" s="35" t="n">
        <v>129.9</v>
      </c>
      <c r="O333" s="40">
        <f>IF($A333="","",MONTH($A333))</f>
        <v>4</v>
      </c>
      <c r="P333" s="40">
        <f>IF($A333="","",YEAR($A333))</f>
        <v>2026</v>
      </c>
      <c r="Q333" s="41">
        <f>IF($A333="","",DATE(P333,O333,1))</f>
        <v>46113.0</v>
      </c>
      <c r="R333" s="36">
        <f>IF(OR($A333="",$N333=""),"",IF(AND($C333&lt;&gt;"Transferência",N($I333)&gt;1),$N333/$I333,$N333))</f>
        <v>129.9</v>
      </c>
      <c r="S333" s="41" t="str">
        <f>IF(OR($A333="",$F333="",$C333&lt;&gt;"Despesa"),"",IF(COUNTIF(Cartoes_Nome,$F333)=0,"",DATE(P333,O333+IF(DAY($A333)&gt;=INDEX(Cartoes_Fech,MATCH($F333,Cartoes_Nome,0)),1,0),1)))</f>
        <v/>
      </c>
      <c r="T333" s="42" t="str">
        <f>IF($A333="","",IF(COUNTIFS(L_Data,$A333,L_Desc,$B333,L_Valor,$N333,L_Tipo,$C333)&gt;1,"⚠ Possível duplicidade",IF(OR(AND($C333="Despesa",COUNTIF(CatD_Nome,$D333)=0),AND($C333="Receita",COUNTIF(CatR_Nome,$D333)=0)),"⚠ Categoria não combina com o tipo",IF(OR($N333="",$C333=""),"⚠ Falta valor ou tipo",""))))</f>
        <v/>
      </c>
      <c r="U333" s="40">
        <f>IF($A333="",0,P333*12+O333)</f>
        <v>24316</v>
      </c>
      <c r="V333" s="40">
        <f>IF($A333="",0,U333+MAX(0,N($I333)-MAX(N($H333),1)))</f>
        <v>24316</v>
      </c>
      <c r="W333" s="40">
        <f>IF(S333="",0,YEAR(S333)*12+MONTH(S333))</f>
        <v>0</v>
      </c>
      <c r="X333" s="40">
        <f>IF(W333=0,0,W333+V333-U333)</f>
        <v>0</v>
      </c>
      <c r="Y333" s="36">
        <f>IF(W333=0,0,N(R333)*MAX(0,X333-MAX(W333,YEAR(Cfg_Hoje)*12+MONTH(Cfg_Hoje)+IF(DAY(Cfg_Hoje)&gt;=INDEX(Cartoes_Fech,MATCH($F333,Cartoes_Nome,0)),1,0))+1))</f>
        <v>0</v>
      </c>
      <c r="Z333" s="40">
        <f>IF($A333="",0,DAY($A333))</f>
        <v>20</v>
      </c>
      <c r="AA333" s="40">
        <f>IF($A333="",0,WEEKDAY($A333))</f>
        <v>2</v>
      </c>
      <c r="AB333" s="36">
        <f>IF(AND($C333="Despesa",U333&gt;0,U333&lt;=Sel_Idx,V333&gt;=Sel_Idx),N(R333)+ROW()/1000000000,0)</f>
        <v>0</v>
      </c>
      <c r="AC333" s="40">
        <f>IF(AND($C333="Despesa",U333&gt;0,U333&lt;=Sel_Idx,V333&gt;=Sel_Idx),Z333*10000+ROW(),0)</f>
        <v>0</v>
      </c>
      <c r="AD333" s="40">
        <f>IF(AC333=0,0,COUNTIFS(L_CalChave,"&gt;0",L_CalChave,"&lt;"&amp;AC333)+1)</f>
        <v>0</v>
      </c>
    </row>
    <row r="334">
      <c r="A334" s="38" t="n">
        <v>46132</v>
      </c>
      <c r="B334" s="39" t="inlineStr">
        <is>
          <t>Parcela financiamento do carro</t>
        </is>
      </c>
      <c r="C334" s="34" t="inlineStr">
        <is>
          <t>Despesa</t>
        </is>
      </c>
      <c r="D334" s="34" t="inlineStr">
        <is>
          <t>Dívidas e Financiamentos</t>
        </is>
      </c>
      <c r="E334" s="34" t="inlineStr">
        <is>
          <t>Financiamento</t>
        </is>
      </c>
      <c r="F334" s="34" t="inlineStr">
        <is>
          <t>Conta Corrente Banco Azul</t>
        </is>
      </c>
      <c r="G334" s="34" t="inlineStr">
        <is>
          <t>Débito automático</t>
        </is>
      </c>
      <c r="H334" s="37" t="n"/>
      <c r="I334" s="37" t="n"/>
      <c r="J334" s="34" t="inlineStr">
        <is>
          <t>Pago</t>
        </is>
      </c>
      <c r="K334" s="34" t="n"/>
      <c r="L334" s="34" t="n"/>
      <c r="M334" s="39" t="inlineStr">
        <is>
          <t>EXEMPLO</t>
        </is>
      </c>
      <c r="N334" s="35" t="n">
        <v>1150</v>
      </c>
      <c r="O334" s="40">
        <f>IF($A334="","",MONTH($A334))</f>
        <v>4</v>
      </c>
      <c r="P334" s="40">
        <f>IF($A334="","",YEAR($A334))</f>
        <v>2026</v>
      </c>
      <c r="Q334" s="41">
        <f>IF($A334="","",DATE(P334,O334,1))</f>
        <v>46113.0</v>
      </c>
      <c r="R334" s="36">
        <f>IF(OR($A334="",$N334=""),"",IF(AND($C334&lt;&gt;"Transferência",N($I334)&gt;1),$N334/$I334,$N334))</f>
        <v>1150</v>
      </c>
      <c r="S334" s="41" t="str">
        <f>IF(OR($A334="",$F334="",$C334&lt;&gt;"Despesa"),"",IF(COUNTIF(Cartoes_Nome,$F334)=0,"",DATE(P334,O334+IF(DAY($A334)&gt;=INDEX(Cartoes_Fech,MATCH($F334,Cartoes_Nome,0)),1,0),1)))</f>
        <v/>
      </c>
      <c r="T334" s="42" t="str">
        <f>IF($A334="","",IF(COUNTIFS(L_Data,$A334,L_Desc,$B334,L_Valor,$N334,L_Tipo,$C334)&gt;1,"⚠ Possível duplicidade",IF(OR(AND($C334="Despesa",COUNTIF(CatD_Nome,$D334)=0),AND($C334="Receita",COUNTIF(CatR_Nome,$D334)=0)),"⚠ Categoria não combina com o tipo",IF(OR($N334="",$C334=""),"⚠ Falta valor ou tipo",""))))</f>
        <v/>
      </c>
      <c r="U334" s="40">
        <f>IF($A334="",0,P334*12+O334)</f>
        <v>24316</v>
      </c>
      <c r="V334" s="40">
        <f>IF($A334="",0,U334+MAX(0,N($I334)-MAX(N($H334),1)))</f>
        <v>24316</v>
      </c>
      <c r="W334" s="40">
        <f>IF(S334="",0,YEAR(S334)*12+MONTH(S334))</f>
        <v>0</v>
      </c>
      <c r="X334" s="40">
        <f>IF(W334=0,0,W334+V334-U334)</f>
        <v>0</v>
      </c>
      <c r="Y334" s="36">
        <f>IF(W334=0,0,N(R334)*MAX(0,X334-MAX(W334,YEAR(Cfg_Hoje)*12+MONTH(Cfg_Hoje)+IF(DAY(Cfg_Hoje)&gt;=INDEX(Cartoes_Fech,MATCH($F334,Cartoes_Nome,0)),1,0))+1))</f>
        <v>0</v>
      </c>
      <c r="Z334" s="40">
        <f>IF($A334="",0,DAY($A334))</f>
        <v>20</v>
      </c>
      <c r="AA334" s="40">
        <f>IF($A334="",0,WEEKDAY($A334))</f>
        <v>2</v>
      </c>
      <c r="AB334" s="36">
        <f>IF(AND($C334="Despesa",U334&gt;0,U334&lt;=Sel_Idx,V334&gt;=Sel_Idx),N(R334)+ROW()/1000000000,0)</f>
        <v>0</v>
      </c>
      <c r="AC334" s="40">
        <f>IF(AND($C334="Despesa",U334&gt;0,U334&lt;=Sel_Idx,V334&gt;=Sel_Idx),Z334*10000+ROW(),0)</f>
        <v>0</v>
      </c>
      <c r="AD334" s="40">
        <f>IF(AC334=0,0,COUNTIFS(L_CalChave,"&gt;0",L_CalChave,"&lt;"&amp;AC334)+1)</f>
        <v>0</v>
      </c>
    </row>
    <row r="335">
      <c r="A335" s="38" t="n">
        <v>46132</v>
      </c>
      <c r="B335" s="39" t="inlineStr">
        <is>
          <t>Supermercado</t>
        </is>
      </c>
      <c r="C335" s="34" t="inlineStr">
        <is>
          <t>Despesa</t>
        </is>
      </c>
      <c r="D335" s="34" t="inlineStr">
        <is>
          <t>Alimentação</t>
        </is>
      </c>
      <c r="E335" s="34" t="inlineStr">
        <is>
          <t>Mercado</t>
        </is>
      </c>
      <c r="F335" s="34" t="inlineStr">
        <is>
          <t>Cartão Azul Gold</t>
        </is>
      </c>
      <c r="G335" s="34" t="inlineStr">
        <is>
          <t>Crédito</t>
        </is>
      </c>
      <c r="H335" s="37" t="n"/>
      <c r="I335" s="37" t="n"/>
      <c r="J335" s="34" t="inlineStr">
        <is>
          <t>Pago</t>
        </is>
      </c>
      <c r="K335" s="34" t="n"/>
      <c r="L335" s="34" t="n"/>
      <c r="M335" s="39" t="inlineStr">
        <is>
          <t>EXEMPLO</t>
        </is>
      </c>
      <c r="N335" s="35" t="n">
        <v>415.84</v>
      </c>
      <c r="O335" s="40">
        <f>IF($A335="","",MONTH($A335))</f>
        <v>4</v>
      </c>
      <c r="P335" s="40">
        <f>IF($A335="","",YEAR($A335))</f>
        <v>2026</v>
      </c>
      <c r="Q335" s="41">
        <f>IF($A335="","",DATE(P335,O335,1))</f>
        <v>46113.0</v>
      </c>
      <c r="R335" s="36">
        <f>IF(OR($A335="",$N335=""),"",IF(AND($C335&lt;&gt;"Transferência",N($I335)&gt;1),$N335/$I335,$N335))</f>
        <v>415.84</v>
      </c>
      <c r="S335" s="41">
        <f>IF(OR($A335="",$F335="",$C335&lt;&gt;"Despesa"),"",IF(COUNTIF(Cartoes_Nome,$F335)=0,"",DATE(P335,O335+IF(DAY($A335)&gt;=INDEX(Cartoes_Fech,MATCH($F335,Cartoes_Nome,0)),1,0),1)))</f>
        <v>46143.0</v>
      </c>
      <c r="T335" s="42" t="str">
        <f>IF($A335="","",IF(COUNTIFS(L_Data,$A335,L_Desc,$B335,L_Valor,$N335,L_Tipo,$C335)&gt;1,"⚠ Possível duplicidade",IF(OR(AND($C335="Despesa",COUNTIF(CatD_Nome,$D335)=0),AND($C335="Receita",COUNTIF(CatR_Nome,$D335)=0)),"⚠ Categoria não combina com o tipo",IF(OR($N335="",$C335=""),"⚠ Falta valor ou tipo",""))))</f>
        <v/>
      </c>
      <c r="U335" s="40">
        <f>IF($A335="",0,P335*12+O335)</f>
        <v>24316</v>
      </c>
      <c r="V335" s="40">
        <f>IF($A335="",0,U335+MAX(0,N($I335)-MAX(N($H335),1)))</f>
        <v>24316</v>
      </c>
      <c r="W335" s="40">
        <f>IF(S335="",0,YEAR(S335)*12+MONTH(S335))</f>
        <v>24317</v>
      </c>
      <c r="X335" s="40">
        <f>IF(W335=0,0,W335+V335-U335)</f>
        <v>24317</v>
      </c>
      <c r="Y335" s="36">
        <f>IF(W335=0,0,N(R335)*MAX(0,X335-MAX(W335,YEAR(Cfg_Hoje)*12+MONTH(Cfg_Hoje)+IF(DAY(Cfg_Hoje)&gt;=INDEX(Cartoes_Fech,MATCH($F335,Cartoes_Nome,0)),1,0))+1))</f>
        <v>0</v>
      </c>
      <c r="Z335" s="40">
        <f>IF($A335="",0,DAY($A335))</f>
        <v>20</v>
      </c>
      <c r="AA335" s="40">
        <f>IF($A335="",0,WEEKDAY($A335))</f>
        <v>2</v>
      </c>
      <c r="AB335" s="36">
        <f>IF(AND($C335="Despesa",U335&gt;0,U335&lt;=Sel_Idx,V335&gt;=Sel_Idx),N(R335)+ROW()/1000000000,0)</f>
        <v>0</v>
      </c>
      <c r="AC335" s="40">
        <f>IF(AND($C335="Despesa",U335&gt;0,U335&lt;=Sel_Idx,V335&gt;=Sel_Idx),Z335*10000+ROW(),0)</f>
        <v>0</v>
      </c>
      <c r="AD335" s="40">
        <f>IF(AC335=0,0,COUNTIFS(L_CalChave,"&gt;0",L_CalChave,"&lt;"&amp;AC335)+1)</f>
        <v>0</v>
      </c>
    </row>
    <row r="336">
      <c r="A336" s="38" t="n">
        <v>46134</v>
      </c>
      <c r="B336" s="39" t="inlineStr">
        <is>
          <t>Corrida de aplicativo</t>
        </is>
      </c>
      <c r="C336" s="34" t="inlineStr">
        <is>
          <t>Despesa</t>
        </is>
      </c>
      <c r="D336" s="34" t="inlineStr">
        <is>
          <t>Transporte</t>
        </is>
      </c>
      <c r="E336" s="34" t="inlineStr">
        <is>
          <t>App de transporte</t>
        </is>
      </c>
      <c r="F336" s="34" t="inlineStr">
        <is>
          <t>Conta Corrente Banco Azul</t>
        </is>
      </c>
      <c r="G336" s="34" t="inlineStr">
        <is>
          <t>Pix</t>
        </is>
      </c>
      <c r="H336" s="37" t="n"/>
      <c r="I336" s="37" t="n"/>
      <c r="J336" s="34" t="inlineStr">
        <is>
          <t>Pago</t>
        </is>
      </c>
      <c r="K336" s="34" t="n"/>
      <c r="L336" s="34" t="n"/>
      <c r="M336" s="39" t="inlineStr">
        <is>
          <t>EXEMPLO</t>
        </is>
      </c>
      <c r="N336" s="35" t="n">
        <v>35.42</v>
      </c>
      <c r="O336" s="40">
        <f>IF($A336="","",MONTH($A336))</f>
        <v>4</v>
      </c>
      <c r="P336" s="40">
        <f>IF($A336="","",YEAR($A336))</f>
        <v>2026</v>
      </c>
      <c r="Q336" s="41">
        <f>IF($A336="","",DATE(P336,O336,1))</f>
        <v>46113.0</v>
      </c>
      <c r="R336" s="36">
        <f>IF(OR($A336="",$N336=""),"",IF(AND($C336&lt;&gt;"Transferência",N($I336)&gt;1),$N336/$I336,$N336))</f>
        <v>35.42</v>
      </c>
      <c r="S336" s="41" t="str">
        <f>IF(OR($A336="",$F336="",$C336&lt;&gt;"Despesa"),"",IF(COUNTIF(Cartoes_Nome,$F336)=0,"",DATE(P336,O336+IF(DAY($A336)&gt;=INDEX(Cartoes_Fech,MATCH($F336,Cartoes_Nome,0)),1,0),1)))</f>
        <v/>
      </c>
      <c r="T336" s="42" t="str">
        <f>IF($A336="","",IF(COUNTIFS(L_Data,$A336,L_Desc,$B336,L_Valor,$N336,L_Tipo,$C336)&gt;1,"⚠ Possível duplicidade",IF(OR(AND($C336="Despesa",COUNTIF(CatD_Nome,$D336)=0),AND($C336="Receita",COUNTIF(CatR_Nome,$D336)=0)),"⚠ Categoria não combina com o tipo",IF(OR($N336="",$C336=""),"⚠ Falta valor ou tipo",""))))</f>
        <v/>
      </c>
      <c r="U336" s="40">
        <f>IF($A336="",0,P336*12+O336)</f>
        <v>24316</v>
      </c>
      <c r="V336" s="40">
        <f>IF($A336="",0,U336+MAX(0,N($I336)-MAX(N($H336),1)))</f>
        <v>24316</v>
      </c>
      <c r="W336" s="40">
        <f>IF(S336="",0,YEAR(S336)*12+MONTH(S336))</f>
        <v>0</v>
      </c>
      <c r="X336" s="40">
        <f>IF(W336=0,0,W336+V336-U336)</f>
        <v>0</v>
      </c>
      <c r="Y336" s="36">
        <f>IF(W336=0,0,N(R336)*MAX(0,X336-MAX(W336,YEAR(Cfg_Hoje)*12+MONTH(Cfg_Hoje)+IF(DAY(Cfg_Hoje)&gt;=INDEX(Cartoes_Fech,MATCH($F336,Cartoes_Nome,0)),1,0))+1))</f>
        <v>0</v>
      </c>
      <c r="Z336" s="40">
        <f>IF($A336="",0,DAY($A336))</f>
        <v>22</v>
      </c>
      <c r="AA336" s="40">
        <f>IF($A336="",0,WEEKDAY($A336))</f>
        <v>4</v>
      </c>
      <c r="AB336" s="36">
        <f>IF(AND($C336="Despesa",U336&gt;0,U336&lt;=Sel_Idx,V336&gt;=Sel_Idx),N(R336)+ROW()/1000000000,0)</f>
        <v>0</v>
      </c>
      <c r="AC336" s="40">
        <f>IF(AND($C336="Despesa",U336&gt;0,U336&lt;=Sel_Idx,V336&gt;=Sel_Idx),Z336*10000+ROW(),0)</f>
        <v>0</v>
      </c>
      <c r="AD336" s="40">
        <f>IF(AC336=0,0,COUNTIFS(L_CalChave,"&gt;0",L_CalChave,"&lt;"&amp;AC336)+1)</f>
        <v>0</v>
      </c>
    </row>
    <row r="337">
      <c r="A337" s="38" t="n">
        <v>46134</v>
      </c>
      <c r="B337" s="39" t="inlineStr">
        <is>
          <t>Padaria e café</t>
        </is>
      </c>
      <c r="C337" s="34" t="inlineStr">
        <is>
          <t>Despesa</t>
        </is>
      </c>
      <c r="D337" s="34" t="inlineStr">
        <is>
          <t>Alimentação</t>
        </is>
      </c>
      <c r="E337" s="34" t="inlineStr">
        <is>
          <t>Restaurantes</t>
        </is>
      </c>
      <c r="F337" s="34" t="inlineStr">
        <is>
          <t>Cartão Azul Gold</t>
        </is>
      </c>
      <c r="G337" s="34" t="inlineStr">
        <is>
          <t>Crédito</t>
        </is>
      </c>
      <c r="H337" s="37" t="n"/>
      <c r="I337" s="37" t="n"/>
      <c r="J337" s="34" t="inlineStr">
        <is>
          <t>Pago</t>
        </is>
      </c>
      <c r="K337" s="34" t="n"/>
      <c r="L337" s="34" t="n"/>
      <c r="M337" s="39" t="inlineStr">
        <is>
          <t>EXEMPLO</t>
        </is>
      </c>
      <c r="N337" s="35" t="n">
        <v>89.51000000000001</v>
      </c>
      <c r="O337" s="40">
        <f>IF($A337="","",MONTH($A337))</f>
        <v>4</v>
      </c>
      <c r="P337" s="40">
        <f>IF($A337="","",YEAR($A337))</f>
        <v>2026</v>
      </c>
      <c r="Q337" s="41">
        <f>IF($A337="","",DATE(P337,O337,1))</f>
        <v>46113.0</v>
      </c>
      <c r="R337" s="36">
        <f>IF(OR($A337="",$N337=""),"",IF(AND($C337&lt;&gt;"Transferência",N($I337)&gt;1),$N337/$I337,$N337))</f>
        <v>89.51</v>
      </c>
      <c r="S337" s="41">
        <f>IF(OR($A337="",$F337="",$C337&lt;&gt;"Despesa"),"",IF(COUNTIF(Cartoes_Nome,$F337)=0,"",DATE(P337,O337+IF(DAY($A337)&gt;=INDEX(Cartoes_Fech,MATCH($F337,Cartoes_Nome,0)),1,0),1)))</f>
        <v>46143.0</v>
      </c>
      <c r="T337" s="42" t="str">
        <f>IF($A337="","",IF(COUNTIFS(L_Data,$A337,L_Desc,$B337,L_Valor,$N337,L_Tipo,$C337)&gt;1,"⚠ Possível duplicidade",IF(OR(AND($C337="Despesa",COUNTIF(CatD_Nome,$D337)=0),AND($C337="Receita",COUNTIF(CatR_Nome,$D337)=0)),"⚠ Categoria não combina com o tipo",IF(OR($N337="",$C337=""),"⚠ Falta valor ou tipo",""))))</f>
        <v/>
      </c>
      <c r="U337" s="40">
        <f>IF($A337="",0,P337*12+O337)</f>
        <v>24316</v>
      </c>
      <c r="V337" s="40">
        <f>IF($A337="",0,U337+MAX(0,N($I337)-MAX(N($H337),1)))</f>
        <v>24316</v>
      </c>
      <c r="W337" s="40">
        <f>IF(S337="",0,YEAR(S337)*12+MONTH(S337))</f>
        <v>24317</v>
      </c>
      <c r="X337" s="40">
        <f>IF(W337=0,0,W337+V337-U337)</f>
        <v>24317</v>
      </c>
      <c r="Y337" s="36">
        <f>IF(W337=0,0,N(R337)*MAX(0,X337-MAX(W337,YEAR(Cfg_Hoje)*12+MONTH(Cfg_Hoje)+IF(DAY(Cfg_Hoje)&gt;=INDEX(Cartoes_Fech,MATCH($F337,Cartoes_Nome,0)),1,0))+1))</f>
        <v>0</v>
      </c>
      <c r="Z337" s="40">
        <f>IF($A337="",0,DAY($A337))</f>
        <v>22</v>
      </c>
      <c r="AA337" s="40">
        <f>IF($A337="",0,WEEKDAY($A337))</f>
        <v>4</v>
      </c>
      <c r="AB337" s="36">
        <f>IF(AND($C337="Despesa",U337&gt;0,U337&lt;=Sel_Idx,V337&gt;=Sel_Idx),N(R337)+ROW()/1000000000,0)</f>
        <v>0</v>
      </c>
      <c r="AC337" s="40">
        <f>IF(AND($C337="Despesa",U337&gt;0,U337&lt;=Sel_Idx,V337&gt;=Sel_Idx),Z337*10000+ROW(),0)</f>
        <v>0</v>
      </c>
      <c r="AD337" s="40">
        <f>IF(AC337=0,0,COUNTIFS(L_CalChave,"&gt;0",L_CalChave,"&lt;"&amp;AC337)+1)</f>
        <v>0</v>
      </c>
    </row>
    <row r="338">
      <c r="A338" s="38" t="n">
        <v>46134</v>
      </c>
      <c r="B338" s="39" t="inlineStr">
        <is>
          <t>Parcela empréstimo pessoal</t>
        </is>
      </c>
      <c r="C338" s="34" t="inlineStr">
        <is>
          <t>Despesa</t>
        </is>
      </c>
      <c r="D338" s="34" t="inlineStr">
        <is>
          <t>Dívidas e Financiamentos</t>
        </is>
      </c>
      <c r="E338" s="34" t="inlineStr">
        <is>
          <t>Empréstimo</t>
        </is>
      </c>
      <c r="F338" s="34" t="inlineStr">
        <is>
          <t>Conta Corrente Banco Azul</t>
        </is>
      </c>
      <c r="G338" s="34" t="inlineStr">
        <is>
          <t>Débito automático</t>
        </is>
      </c>
      <c r="H338" s="37" t="n"/>
      <c r="I338" s="37" t="n"/>
      <c r="J338" s="34" t="inlineStr">
        <is>
          <t>Pago</t>
        </is>
      </c>
      <c r="K338" s="34" t="n"/>
      <c r="L338" s="34" t="n"/>
      <c r="M338" s="39" t="inlineStr">
        <is>
          <t>EXEMPLO</t>
        </is>
      </c>
      <c r="N338" s="35" t="n">
        <v>580</v>
      </c>
      <c r="O338" s="40">
        <f>IF($A338="","",MONTH($A338))</f>
        <v>4</v>
      </c>
      <c r="P338" s="40">
        <f>IF($A338="","",YEAR($A338))</f>
        <v>2026</v>
      </c>
      <c r="Q338" s="41">
        <f>IF($A338="","",DATE(P338,O338,1))</f>
        <v>46113.0</v>
      </c>
      <c r="R338" s="36">
        <f>IF(OR($A338="",$N338=""),"",IF(AND($C338&lt;&gt;"Transferência",N($I338)&gt;1),$N338/$I338,$N338))</f>
        <v>580</v>
      </c>
      <c r="S338" s="41" t="str">
        <f>IF(OR($A338="",$F338="",$C338&lt;&gt;"Despesa"),"",IF(COUNTIF(Cartoes_Nome,$F338)=0,"",DATE(P338,O338+IF(DAY($A338)&gt;=INDEX(Cartoes_Fech,MATCH($F338,Cartoes_Nome,0)),1,0),1)))</f>
        <v/>
      </c>
      <c r="T338" s="42" t="str">
        <f>IF($A338="","",IF(COUNTIFS(L_Data,$A338,L_Desc,$B338,L_Valor,$N338,L_Tipo,$C338)&gt;1,"⚠ Possível duplicidade",IF(OR(AND($C338="Despesa",COUNTIF(CatD_Nome,$D338)=0),AND($C338="Receita",COUNTIF(CatR_Nome,$D338)=0)),"⚠ Categoria não combina com o tipo",IF(OR($N338="",$C338=""),"⚠ Falta valor ou tipo",""))))</f>
        <v/>
      </c>
      <c r="U338" s="40">
        <f>IF($A338="",0,P338*12+O338)</f>
        <v>24316</v>
      </c>
      <c r="V338" s="40">
        <f>IF($A338="",0,U338+MAX(0,N($I338)-MAX(N($H338),1)))</f>
        <v>24316</v>
      </c>
      <c r="W338" s="40">
        <f>IF(S338="",0,YEAR(S338)*12+MONTH(S338))</f>
        <v>0</v>
      </c>
      <c r="X338" s="40">
        <f>IF(W338=0,0,W338+V338-U338)</f>
        <v>0</v>
      </c>
      <c r="Y338" s="36">
        <f>IF(W338=0,0,N(R338)*MAX(0,X338-MAX(W338,YEAR(Cfg_Hoje)*12+MONTH(Cfg_Hoje)+IF(DAY(Cfg_Hoje)&gt;=INDEX(Cartoes_Fech,MATCH($F338,Cartoes_Nome,0)),1,0))+1))</f>
        <v>0</v>
      </c>
      <c r="Z338" s="40">
        <f>IF($A338="",0,DAY($A338))</f>
        <v>22</v>
      </c>
      <c r="AA338" s="40">
        <f>IF($A338="",0,WEEKDAY($A338))</f>
        <v>4</v>
      </c>
      <c r="AB338" s="36">
        <f>IF(AND($C338="Despesa",U338&gt;0,U338&lt;=Sel_Idx,V338&gt;=Sel_Idx),N(R338)+ROW()/1000000000,0)</f>
        <v>0</v>
      </c>
      <c r="AC338" s="40">
        <f>IF(AND($C338="Despesa",U338&gt;0,U338&lt;=Sel_Idx,V338&gt;=Sel_Idx),Z338*10000+ROW(),0)</f>
        <v>0</v>
      </c>
      <c r="AD338" s="40">
        <f>IF(AC338=0,0,COUNTIFS(L_CalChave,"&gt;0",L_CalChave,"&lt;"&amp;AC338)+1)</f>
        <v>0</v>
      </c>
    </row>
    <row r="339">
      <c r="A339" s="38" t="n">
        <v>46136</v>
      </c>
      <c r="B339" s="39" t="inlineStr">
        <is>
          <t>Roupas</t>
        </is>
      </c>
      <c r="C339" s="34" t="inlineStr">
        <is>
          <t>Despesa</t>
        </is>
      </c>
      <c r="D339" s="34" t="inlineStr">
        <is>
          <t>Vestuário</t>
        </is>
      </c>
      <c r="E339" s="34" t="inlineStr">
        <is>
          <t>Roupas</t>
        </is>
      </c>
      <c r="F339" s="34" t="inlineStr">
        <is>
          <t>Cartão Roxinho</t>
        </is>
      </c>
      <c r="G339" s="34" t="inlineStr">
        <is>
          <t>Crédito</t>
        </is>
      </c>
      <c r="H339" s="37" t="n"/>
      <c r="I339" s="37" t="n"/>
      <c r="J339" s="34" t="inlineStr">
        <is>
          <t>Pago</t>
        </is>
      </c>
      <c r="K339" s="34" t="n"/>
      <c r="L339" s="34" t="n"/>
      <c r="M339" s="39" t="inlineStr">
        <is>
          <t>EXEMPLO</t>
        </is>
      </c>
      <c r="N339" s="35" t="n">
        <v>449.64</v>
      </c>
      <c r="O339" s="40">
        <f>IF($A339="","",MONTH($A339))</f>
        <v>4</v>
      </c>
      <c r="P339" s="40">
        <f>IF($A339="","",YEAR($A339))</f>
        <v>2026</v>
      </c>
      <c r="Q339" s="41">
        <f>IF($A339="","",DATE(P339,O339,1))</f>
        <v>46113.0</v>
      </c>
      <c r="R339" s="36">
        <f>IF(OR($A339="",$N339=""),"",IF(AND($C339&lt;&gt;"Transferência",N($I339)&gt;1),$N339/$I339,$N339))</f>
        <v>449.64</v>
      </c>
      <c r="S339" s="41">
        <f>IF(OR($A339="",$F339="",$C339&lt;&gt;"Despesa"),"",IF(COUNTIF(Cartoes_Nome,$F339)=0,"",DATE(P339,O339+IF(DAY($A339)&gt;=INDEX(Cartoes_Fech,MATCH($F339,Cartoes_Nome,0)),1,0),1)))</f>
        <v>46113.0</v>
      </c>
      <c r="T339" s="42" t="str">
        <f>IF($A339="","",IF(COUNTIFS(L_Data,$A339,L_Desc,$B339,L_Valor,$N339,L_Tipo,$C339)&gt;1,"⚠ Possível duplicidade",IF(OR(AND($C339="Despesa",COUNTIF(CatD_Nome,$D339)=0),AND($C339="Receita",COUNTIF(CatR_Nome,$D339)=0)),"⚠ Categoria não combina com o tipo",IF(OR($N339="",$C339=""),"⚠ Falta valor ou tipo",""))))</f>
        <v/>
      </c>
      <c r="U339" s="40">
        <f>IF($A339="",0,P339*12+O339)</f>
        <v>24316</v>
      </c>
      <c r="V339" s="40">
        <f>IF($A339="",0,U339+MAX(0,N($I339)-MAX(N($H339),1)))</f>
        <v>24316</v>
      </c>
      <c r="W339" s="40">
        <f>IF(S339="",0,YEAR(S339)*12+MONTH(S339))</f>
        <v>24316</v>
      </c>
      <c r="X339" s="40">
        <f>IF(W339=0,0,W339+V339-U339)</f>
        <v>24316</v>
      </c>
      <c r="Y339" s="36">
        <f>IF(W339=0,0,N(R339)*MAX(0,X339-MAX(W339,YEAR(Cfg_Hoje)*12+MONTH(Cfg_Hoje)+IF(DAY(Cfg_Hoje)&gt;=INDEX(Cartoes_Fech,MATCH($F339,Cartoes_Nome,0)),1,0))+1))</f>
        <v>0</v>
      </c>
      <c r="Z339" s="40">
        <f>IF($A339="",0,DAY($A339))</f>
        <v>24</v>
      </c>
      <c r="AA339" s="40">
        <f>IF($A339="",0,WEEKDAY($A339))</f>
        <v>6</v>
      </c>
      <c r="AB339" s="36">
        <f>IF(AND($C339="Despesa",U339&gt;0,U339&lt;=Sel_Idx,V339&gt;=Sel_Idx),N(R339)+ROW()/1000000000,0)</f>
        <v>0</v>
      </c>
      <c r="AC339" s="40">
        <f>IF(AND($C339="Despesa",U339&gt;0,U339&lt;=Sel_Idx,V339&gt;=Sel_Idx),Z339*10000+ROW(),0)</f>
        <v>0</v>
      </c>
      <c r="AD339" s="40">
        <f>IF(AC339=0,0,COUNTIFS(L_CalChave,"&gt;0",L_CalChave,"&lt;"&amp;AC339)+1)</f>
        <v>0</v>
      </c>
    </row>
    <row r="340">
      <c r="A340" s="38" t="n">
        <v>46137</v>
      </c>
      <c r="B340" s="39" t="inlineStr">
        <is>
          <t>Parcela renegociação da fatura</t>
        </is>
      </c>
      <c r="C340" s="34" t="inlineStr">
        <is>
          <t>Despesa</t>
        </is>
      </c>
      <c r="D340" s="34" t="inlineStr">
        <is>
          <t>Dívidas e Financiamentos</t>
        </is>
      </c>
      <c r="E340" s="34" t="n"/>
      <c r="F340" s="34" t="inlineStr">
        <is>
          <t>Conta Corrente Banco Azul</t>
        </is>
      </c>
      <c r="G340" s="34" t="inlineStr">
        <is>
          <t>Boleto</t>
        </is>
      </c>
      <c r="H340" s="37" t="n"/>
      <c r="I340" s="37" t="n"/>
      <c r="J340" s="34" t="inlineStr">
        <is>
          <t>Pago</t>
        </is>
      </c>
      <c r="K340" s="34" t="n"/>
      <c r="L340" s="34" t="n"/>
      <c r="M340" s="39" t="inlineStr">
        <is>
          <t>EXEMPLO</t>
        </is>
      </c>
      <c r="N340" s="35" t="n">
        <v>460</v>
      </c>
      <c r="O340" s="40">
        <f>IF($A340="","",MONTH($A340))</f>
        <v>4</v>
      </c>
      <c r="P340" s="40">
        <f>IF($A340="","",YEAR($A340))</f>
        <v>2026</v>
      </c>
      <c r="Q340" s="41">
        <f>IF($A340="","",DATE(P340,O340,1))</f>
        <v>46113.0</v>
      </c>
      <c r="R340" s="36">
        <f>IF(OR($A340="",$N340=""),"",IF(AND($C340&lt;&gt;"Transferência",N($I340)&gt;1),$N340/$I340,$N340))</f>
        <v>460</v>
      </c>
      <c r="S340" s="41" t="str">
        <f>IF(OR($A340="",$F340="",$C340&lt;&gt;"Despesa"),"",IF(COUNTIF(Cartoes_Nome,$F340)=0,"",DATE(P340,O340+IF(DAY($A340)&gt;=INDEX(Cartoes_Fech,MATCH($F340,Cartoes_Nome,0)),1,0),1)))</f>
        <v/>
      </c>
      <c r="T340" s="42" t="str">
        <f>IF($A340="","",IF(COUNTIFS(L_Data,$A340,L_Desc,$B340,L_Valor,$N340,L_Tipo,$C340)&gt;1,"⚠ Possível duplicidade",IF(OR(AND($C340="Despesa",COUNTIF(CatD_Nome,$D340)=0),AND($C340="Receita",COUNTIF(CatR_Nome,$D340)=0)),"⚠ Categoria não combina com o tipo",IF(OR($N340="",$C340=""),"⚠ Falta valor ou tipo",""))))</f>
        <v/>
      </c>
      <c r="U340" s="40">
        <f>IF($A340="",0,P340*12+O340)</f>
        <v>24316</v>
      </c>
      <c r="V340" s="40">
        <f>IF($A340="",0,U340+MAX(0,N($I340)-MAX(N($H340),1)))</f>
        <v>24316</v>
      </c>
      <c r="W340" s="40">
        <f>IF(S340="",0,YEAR(S340)*12+MONTH(S340))</f>
        <v>0</v>
      </c>
      <c r="X340" s="40">
        <f>IF(W340=0,0,W340+V340-U340)</f>
        <v>0</v>
      </c>
      <c r="Y340" s="36">
        <f>IF(W340=0,0,N(R340)*MAX(0,X340-MAX(W340,YEAR(Cfg_Hoje)*12+MONTH(Cfg_Hoje)+IF(DAY(Cfg_Hoje)&gt;=INDEX(Cartoes_Fech,MATCH($F340,Cartoes_Nome,0)),1,0))+1))</f>
        <v>0</v>
      </c>
      <c r="Z340" s="40">
        <f>IF($A340="",0,DAY($A340))</f>
        <v>25</v>
      </c>
      <c r="AA340" s="40">
        <f>IF($A340="",0,WEEKDAY($A340))</f>
        <v>7</v>
      </c>
      <c r="AB340" s="36">
        <f>IF(AND($C340="Despesa",U340&gt;0,U340&lt;=Sel_Idx,V340&gt;=Sel_Idx),N(R340)+ROW()/1000000000,0)</f>
        <v>0</v>
      </c>
      <c r="AC340" s="40">
        <f>IF(AND($C340="Despesa",U340&gt;0,U340&lt;=Sel_Idx,V340&gt;=Sel_Idx),Z340*10000+ROW(),0)</f>
        <v>0</v>
      </c>
      <c r="AD340" s="40">
        <f>IF(AC340=0,0,COUNTIFS(L_CalChave,"&gt;0",L_CalChave,"&lt;"&amp;AC340)+1)</f>
        <v>0</v>
      </c>
    </row>
    <row r="341">
      <c r="A341" s="38" t="n">
        <v>46138</v>
      </c>
      <c r="B341" s="39" t="inlineStr">
        <is>
          <t>Supermercado</t>
        </is>
      </c>
      <c r="C341" s="34" t="inlineStr">
        <is>
          <t>Despesa</t>
        </is>
      </c>
      <c r="D341" s="34" t="inlineStr">
        <is>
          <t>Alimentação</t>
        </is>
      </c>
      <c r="E341" s="34" t="inlineStr">
        <is>
          <t>Mercado</t>
        </is>
      </c>
      <c r="F341" s="34" t="inlineStr">
        <is>
          <t>Cartão Azul Gold</t>
        </is>
      </c>
      <c r="G341" s="34" t="inlineStr">
        <is>
          <t>Crédito</t>
        </is>
      </c>
      <c r="H341" s="37" t="n"/>
      <c r="I341" s="37" t="n"/>
      <c r="J341" s="34" t="inlineStr">
        <is>
          <t>Pago</t>
        </is>
      </c>
      <c r="K341" s="34" t="n"/>
      <c r="L341" s="34" t="n"/>
      <c r="M341" s="39" t="inlineStr">
        <is>
          <t>EXEMPLO</t>
        </is>
      </c>
      <c r="N341" s="35" t="n">
        <v>414.34</v>
      </c>
      <c r="O341" s="40">
        <f>IF($A341="","",MONTH($A341))</f>
        <v>4</v>
      </c>
      <c r="P341" s="40">
        <f>IF($A341="","",YEAR($A341))</f>
        <v>2026</v>
      </c>
      <c r="Q341" s="41">
        <f>IF($A341="","",DATE(P341,O341,1))</f>
        <v>46113.0</v>
      </c>
      <c r="R341" s="36">
        <f>IF(OR($A341="",$N341=""),"",IF(AND($C341&lt;&gt;"Transferência",N($I341)&gt;1),$N341/$I341,$N341))</f>
        <v>414.34</v>
      </c>
      <c r="S341" s="41">
        <f>IF(OR($A341="",$F341="",$C341&lt;&gt;"Despesa"),"",IF(COUNTIF(Cartoes_Nome,$F341)=0,"",DATE(P341,O341+IF(DAY($A341)&gt;=INDEX(Cartoes_Fech,MATCH($F341,Cartoes_Nome,0)),1,0),1)))</f>
        <v>46143.0</v>
      </c>
      <c r="T341" s="42" t="str">
        <f>IF($A341="","",IF(COUNTIFS(L_Data,$A341,L_Desc,$B341,L_Valor,$N341,L_Tipo,$C341)&gt;1,"⚠ Possível duplicidade",IF(OR(AND($C341="Despesa",COUNTIF(CatD_Nome,$D341)=0),AND($C341="Receita",COUNTIF(CatR_Nome,$D341)=0)),"⚠ Categoria não combina com o tipo",IF(OR($N341="",$C341=""),"⚠ Falta valor ou tipo",""))))</f>
        <v/>
      </c>
      <c r="U341" s="40">
        <f>IF($A341="",0,P341*12+O341)</f>
        <v>24316</v>
      </c>
      <c r="V341" s="40">
        <f>IF($A341="",0,U341+MAX(0,N($I341)-MAX(N($H341),1)))</f>
        <v>24316</v>
      </c>
      <c r="W341" s="40">
        <f>IF(S341="",0,YEAR(S341)*12+MONTH(S341))</f>
        <v>24317</v>
      </c>
      <c r="X341" s="40">
        <f>IF(W341=0,0,W341+V341-U341)</f>
        <v>24317</v>
      </c>
      <c r="Y341" s="36">
        <f>IF(W341=0,0,N(R341)*MAX(0,X341-MAX(W341,YEAR(Cfg_Hoje)*12+MONTH(Cfg_Hoje)+IF(DAY(Cfg_Hoje)&gt;=INDEX(Cartoes_Fech,MATCH($F341,Cartoes_Nome,0)),1,0))+1))</f>
        <v>0</v>
      </c>
      <c r="Z341" s="40">
        <f>IF($A341="",0,DAY($A341))</f>
        <v>26</v>
      </c>
      <c r="AA341" s="40">
        <f>IF($A341="",0,WEEKDAY($A341))</f>
        <v>1</v>
      </c>
      <c r="AB341" s="36">
        <f>IF(AND($C341="Despesa",U341&gt;0,U341&lt;=Sel_Idx,V341&gt;=Sel_Idx),N(R341)+ROW()/1000000000,0)</f>
        <v>0</v>
      </c>
      <c r="AC341" s="40">
        <f>IF(AND($C341="Despesa",U341&gt;0,U341&lt;=Sel_Idx,V341&gt;=Sel_Idx),Z341*10000+ROW(),0)</f>
        <v>0</v>
      </c>
      <c r="AD341" s="40">
        <f>IF(AC341=0,0,COUNTIFS(L_CalChave,"&gt;0",L_CalChave,"&lt;"&amp;AC341)+1)</f>
        <v>0</v>
      </c>
    </row>
    <row r="342">
      <c r="A342" s="38" t="n">
        <v>46139</v>
      </c>
      <c r="B342" s="39" t="inlineStr">
        <is>
          <t>Bar com amigos</t>
        </is>
      </c>
      <c r="C342" s="34" t="inlineStr">
        <is>
          <t>Despesa</t>
        </is>
      </c>
      <c r="D342" s="34" t="inlineStr">
        <is>
          <t>Lazer</t>
        </is>
      </c>
      <c r="E342" s="34" t="inlineStr">
        <is>
          <t>Bares</t>
        </is>
      </c>
      <c r="F342" s="34" t="inlineStr">
        <is>
          <t>Cartão Roxinho</t>
        </is>
      </c>
      <c r="G342" s="34" t="inlineStr">
        <is>
          <t>Crédito</t>
        </is>
      </c>
      <c r="H342" s="37" t="n"/>
      <c r="I342" s="37" t="n"/>
      <c r="J342" s="34" t="inlineStr">
        <is>
          <t>Pago</t>
        </is>
      </c>
      <c r="K342" s="34" t="n"/>
      <c r="L342" s="34" t="n"/>
      <c r="M342" s="39" t="inlineStr">
        <is>
          <t>EXEMPLO</t>
        </is>
      </c>
      <c r="N342" s="35" t="n">
        <v>143.09</v>
      </c>
      <c r="O342" s="40">
        <f>IF($A342="","",MONTH($A342))</f>
        <v>4</v>
      </c>
      <c r="P342" s="40">
        <f>IF($A342="","",YEAR($A342))</f>
        <v>2026</v>
      </c>
      <c r="Q342" s="41">
        <f>IF($A342="","",DATE(P342,O342,1))</f>
        <v>46113.0</v>
      </c>
      <c r="R342" s="36">
        <f>IF(OR($A342="",$N342=""),"",IF(AND($C342&lt;&gt;"Transferência",N($I342)&gt;1),$N342/$I342,$N342))</f>
        <v>143.09</v>
      </c>
      <c r="S342" s="41">
        <f>IF(OR($A342="",$F342="",$C342&lt;&gt;"Despesa"),"",IF(COUNTIF(Cartoes_Nome,$F342)=0,"",DATE(P342,O342+IF(DAY($A342)&gt;=INDEX(Cartoes_Fech,MATCH($F342,Cartoes_Nome,0)),1,0),1)))</f>
        <v>46143.0</v>
      </c>
      <c r="T342" s="42" t="str">
        <f>IF($A342="","",IF(COUNTIFS(L_Data,$A342,L_Desc,$B342,L_Valor,$N342,L_Tipo,$C342)&gt;1,"⚠ Possível duplicidade",IF(OR(AND($C342="Despesa",COUNTIF(CatD_Nome,$D342)=0),AND($C342="Receita",COUNTIF(CatR_Nome,$D342)=0)),"⚠ Categoria não combina com o tipo",IF(OR($N342="",$C342=""),"⚠ Falta valor ou tipo",""))))</f>
        <v/>
      </c>
      <c r="U342" s="40">
        <f>IF($A342="",0,P342*12+O342)</f>
        <v>24316</v>
      </c>
      <c r="V342" s="40">
        <f>IF($A342="",0,U342+MAX(0,N($I342)-MAX(N($H342),1)))</f>
        <v>24316</v>
      </c>
      <c r="W342" s="40">
        <f>IF(S342="",0,YEAR(S342)*12+MONTH(S342))</f>
        <v>24317</v>
      </c>
      <c r="X342" s="40">
        <f>IF(W342=0,0,W342+V342-U342)</f>
        <v>24317</v>
      </c>
      <c r="Y342" s="36">
        <f>IF(W342=0,0,N(R342)*MAX(0,X342-MAX(W342,YEAR(Cfg_Hoje)*12+MONTH(Cfg_Hoje)+IF(DAY(Cfg_Hoje)&gt;=INDEX(Cartoes_Fech,MATCH($F342,Cartoes_Nome,0)),1,0))+1))</f>
        <v>0</v>
      </c>
      <c r="Z342" s="40">
        <f>IF($A342="",0,DAY($A342))</f>
        <v>27</v>
      </c>
      <c r="AA342" s="40">
        <f>IF($A342="",0,WEEKDAY($A342))</f>
        <v>2</v>
      </c>
      <c r="AB342" s="36">
        <f>IF(AND($C342="Despesa",U342&gt;0,U342&lt;=Sel_Idx,V342&gt;=Sel_Idx),N(R342)+ROW()/1000000000,0)</f>
        <v>0</v>
      </c>
      <c r="AC342" s="40">
        <f>IF(AND($C342="Despesa",U342&gt;0,U342&lt;=Sel_Idx,V342&gt;=Sel_Idx),Z342*10000+ROW(),0)</f>
        <v>0</v>
      </c>
      <c r="AD342" s="40">
        <f>IF(AC342=0,0,COUNTIFS(L_CalChave,"&gt;0",L_CalChave,"&lt;"&amp;AC342)+1)</f>
        <v>0</v>
      </c>
    </row>
    <row r="343">
      <c r="A343" s="38" t="n">
        <v>46140</v>
      </c>
      <c r="B343" s="39" t="inlineStr">
        <is>
          <t>Rendimento da poupança</t>
        </is>
      </c>
      <c r="C343" s="34" t="inlineStr">
        <is>
          <t>Receita</t>
        </is>
      </c>
      <c r="D343" s="34" t="inlineStr">
        <is>
          <t>Rendimentos</t>
        </is>
      </c>
      <c r="E343" s="34" t="n"/>
      <c r="F343" s="34" t="inlineStr">
        <is>
          <t>Poupança Banco Azul</t>
        </is>
      </c>
      <c r="G343" s="34" t="inlineStr">
        <is>
          <t>Transferência</t>
        </is>
      </c>
      <c r="H343" s="37" t="n"/>
      <c r="I343" s="37" t="n"/>
      <c r="J343" s="34" t="inlineStr">
        <is>
          <t>Pago</t>
        </is>
      </c>
      <c r="K343" s="34" t="n"/>
      <c r="L343" s="34" t="n"/>
      <c r="M343" s="39" t="inlineStr">
        <is>
          <t>EXEMPLO</t>
        </is>
      </c>
      <c r="N343" s="35" t="n">
        <v>61.33</v>
      </c>
      <c r="O343" s="40">
        <f>IF($A343="","",MONTH($A343))</f>
        <v>4</v>
      </c>
      <c r="P343" s="40">
        <f>IF($A343="","",YEAR($A343))</f>
        <v>2026</v>
      </c>
      <c r="Q343" s="41">
        <f>IF($A343="","",DATE(P343,O343,1))</f>
        <v>46113.0</v>
      </c>
      <c r="R343" s="36">
        <f>IF(OR($A343="",$N343=""),"",IF(AND($C343&lt;&gt;"Transferência",N($I343)&gt;1),$N343/$I343,$N343))</f>
        <v>61.33</v>
      </c>
      <c r="S343" s="41" t="str">
        <f>IF(OR($A343="",$F343="",$C343&lt;&gt;"Despesa"),"",IF(COUNTIF(Cartoes_Nome,$F343)=0,"",DATE(P343,O343+IF(DAY($A343)&gt;=INDEX(Cartoes_Fech,MATCH($F343,Cartoes_Nome,0)),1,0),1)))</f>
        <v/>
      </c>
      <c r="T343" s="42" t="str">
        <f>IF($A343="","",IF(COUNTIFS(L_Data,$A343,L_Desc,$B343,L_Valor,$N343,L_Tipo,$C343)&gt;1,"⚠ Possível duplicidade",IF(OR(AND($C343="Despesa",COUNTIF(CatD_Nome,$D343)=0),AND($C343="Receita",COUNTIF(CatR_Nome,$D343)=0)),"⚠ Categoria não combina com o tipo",IF(OR($N343="",$C343=""),"⚠ Falta valor ou tipo",""))))</f>
        <v/>
      </c>
      <c r="U343" s="40">
        <f>IF($A343="",0,P343*12+O343)</f>
        <v>24316</v>
      </c>
      <c r="V343" s="40">
        <f>IF($A343="",0,U343+MAX(0,N($I343)-MAX(N($H343),1)))</f>
        <v>24316</v>
      </c>
      <c r="W343" s="40">
        <f>IF(S343="",0,YEAR(S343)*12+MONTH(S343))</f>
        <v>0</v>
      </c>
      <c r="X343" s="40">
        <f>IF(W343=0,0,W343+V343-U343)</f>
        <v>0</v>
      </c>
      <c r="Y343" s="36">
        <f>IF(W343=0,0,N(R343)*MAX(0,X343-MAX(W343,YEAR(Cfg_Hoje)*12+MONTH(Cfg_Hoje)+IF(DAY(Cfg_Hoje)&gt;=INDEX(Cartoes_Fech,MATCH($F343,Cartoes_Nome,0)),1,0))+1))</f>
        <v>0</v>
      </c>
      <c r="Z343" s="40">
        <f>IF($A343="",0,DAY($A343))</f>
        <v>28</v>
      </c>
      <c r="AA343" s="40">
        <f>IF($A343="",0,WEEKDAY($A343))</f>
        <v>3</v>
      </c>
      <c r="AB343" s="36">
        <f>IF(AND($C343="Despesa",U343&gt;0,U343&lt;=Sel_Idx,V343&gt;=Sel_Idx),N(R343)+ROW()/1000000000,0)</f>
        <v>0</v>
      </c>
      <c r="AC343" s="40">
        <f>IF(AND($C343="Despesa",U343&gt;0,U343&lt;=Sel_Idx,V343&gt;=Sel_Idx),Z343*10000+ROW(),0)</f>
        <v>0</v>
      </c>
      <c r="AD343" s="40">
        <f>IF(AC343=0,0,COUNTIFS(L_CalChave,"&gt;0",L_CalChave,"&lt;"&amp;AC343)+1)</f>
        <v>0</v>
      </c>
    </row>
    <row r="344">
      <c r="A344" s="38" t="n">
        <v>46143</v>
      </c>
      <c r="B344" s="39" t="inlineStr">
        <is>
          <t>Cinema</t>
        </is>
      </c>
      <c r="C344" s="34" t="inlineStr">
        <is>
          <t>Despesa</t>
        </is>
      </c>
      <c r="D344" s="34" t="inlineStr">
        <is>
          <t>Lazer</t>
        </is>
      </c>
      <c r="E344" s="34" t="inlineStr">
        <is>
          <t>Bares</t>
        </is>
      </c>
      <c r="F344" s="34" t="inlineStr">
        <is>
          <t>Cartão Roxinho</t>
        </is>
      </c>
      <c r="G344" s="34" t="inlineStr">
        <is>
          <t>Crédito</t>
        </is>
      </c>
      <c r="H344" s="37" t="n"/>
      <c r="I344" s="37" t="n"/>
      <c r="J344" s="34" t="inlineStr">
        <is>
          <t>Pago</t>
        </is>
      </c>
      <c r="K344" s="34" t="n"/>
      <c r="L344" s="34" t="n"/>
      <c r="M344" s="39" t="inlineStr">
        <is>
          <t>EXEMPLO</t>
        </is>
      </c>
      <c r="N344" s="35" t="n">
        <v>81.31</v>
      </c>
      <c r="O344" s="40">
        <f>IF($A344="","",MONTH($A344))</f>
        <v>5</v>
      </c>
      <c r="P344" s="40">
        <f>IF($A344="","",YEAR($A344))</f>
        <v>2026</v>
      </c>
      <c r="Q344" s="41">
        <f>IF($A344="","",DATE(P344,O344,1))</f>
        <v>46143.0</v>
      </c>
      <c r="R344" s="36">
        <f>IF(OR($A344="",$N344=""),"",IF(AND($C344&lt;&gt;"Transferência",N($I344)&gt;1),$N344/$I344,$N344))</f>
        <v>81.31</v>
      </c>
      <c r="S344" s="41">
        <f>IF(OR($A344="",$F344="",$C344&lt;&gt;"Despesa"),"",IF(COUNTIF(Cartoes_Nome,$F344)=0,"",DATE(P344,O344+IF(DAY($A344)&gt;=INDEX(Cartoes_Fech,MATCH($F344,Cartoes_Nome,0)),1,0),1)))</f>
        <v>46143.0</v>
      </c>
      <c r="T344" s="42" t="str">
        <f>IF($A344="","",IF(COUNTIFS(L_Data,$A344,L_Desc,$B344,L_Valor,$N344,L_Tipo,$C344)&gt;1,"⚠ Possível duplicidade",IF(OR(AND($C344="Despesa",COUNTIF(CatD_Nome,$D344)=0),AND($C344="Receita",COUNTIF(CatR_Nome,$D344)=0)),"⚠ Categoria não combina com o tipo",IF(OR($N344="",$C344=""),"⚠ Falta valor ou tipo",""))))</f>
        <v/>
      </c>
      <c r="U344" s="40">
        <f>IF($A344="",0,P344*12+O344)</f>
        <v>24317</v>
      </c>
      <c r="V344" s="40">
        <f>IF($A344="",0,U344+MAX(0,N($I344)-MAX(N($H344),1)))</f>
        <v>24317</v>
      </c>
      <c r="W344" s="40">
        <f>IF(S344="",0,YEAR(S344)*12+MONTH(S344))</f>
        <v>24317</v>
      </c>
      <c r="X344" s="40">
        <f>IF(W344=0,0,W344+V344-U344)</f>
        <v>24317</v>
      </c>
      <c r="Y344" s="36">
        <f>IF(W344=0,0,N(R344)*MAX(0,X344-MAX(W344,YEAR(Cfg_Hoje)*12+MONTH(Cfg_Hoje)+IF(DAY(Cfg_Hoje)&gt;=INDEX(Cartoes_Fech,MATCH($F344,Cartoes_Nome,0)),1,0))+1))</f>
        <v>0</v>
      </c>
      <c r="Z344" s="40">
        <f>IF($A344="",0,DAY($A344))</f>
        <v>1</v>
      </c>
      <c r="AA344" s="40">
        <f>IF($A344="",0,WEEKDAY($A344))</f>
        <v>6</v>
      </c>
      <c r="AB344" s="36">
        <f>IF(AND($C344="Despesa",U344&gt;0,U344&lt;=Sel_Idx,V344&gt;=Sel_Idx),N(R344)+ROW()/1000000000,0)</f>
        <v>0</v>
      </c>
      <c r="AC344" s="40">
        <f>IF(AND($C344="Despesa",U344&gt;0,U344&lt;=Sel_Idx,V344&gt;=Sel_Idx),Z344*10000+ROW(),0)</f>
        <v>0</v>
      </c>
      <c r="AD344" s="40">
        <f>IF(AC344=0,0,COUNTIFS(L_CalChave,"&gt;0",L_CalChave,"&lt;"&amp;AC344)+1)</f>
        <v>0</v>
      </c>
    </row>
    <row r="345">
      <c r="A345" s="38" t="n">
        <v>46145</v>
      </c>
      <c r="B345" s="39" t="inlineStr">
        <is>
          <t>Academia</t>
        </is>
      </c>
      <c r="C345" s="34" t="inlineStr">
        <is>
          <t>Despesa</t>
        </is>
      </c>
      <c r="D345" s="34" t="inlineStr">
        <is>
          <t>Assinaturas</t>
        </is>
      </c>
      <c r="E345" s="34" t="inlineStr">
        <is>
          <t>Academia</t>
        </is>
      </c>
      <c r="F345" s="34" t="inlineStr">
        <is>
          <t>Conta Corrente Banco Azul</t>
        </is>
      </c>
      <c r="G345" s="34" t="inlineStr">
        <is>
          <t>Débito automático</t>
        </is>
      </c>
      <c r="H345" s="37" t="n"/>
      <c r="I345" s="37" t="n"/>
      <c r="J345" s="34" t="inlineStr">
        <is>
          <t>Pago</t>
        </is>
      </c>
      <c r="K345" s="34" t="n"/>
      <c r="L345" s="34" t="n"/>
      <c r="M345" s="39" t="inlineStr">
        <is>
          <t>EXEMPLO</t>
        </is>
      </c>
      <c r="N345" s="35" t="n">
        <v>129</v>
      </c>
      <c r="O345" s="40">
        <f>IF($A345="","",MONTH($A345))</f>
        <v>5</v>
      </c>
      <c r="P345" s="40">
        <f>IF($A345="","",YEAR($A345))</f>
        <v>2026</v>
      </c>
      <c r="Q345" s="41">
        <f>IF($A345="","",DATE(P345,O345,1))</f>
        <v>46143.0</v>
      </c>
      <c r="R345" s="36">
        <f>IF(OR($A345="",$N345=""),"",IF(AND($C345&lt;&gt;"Transferência",N($I345)&gt;1),$N345/$I345,$N345))</f>
        <v>129</v>
      </c>
      <c r="S345" s="41" t="str">
        <f>IF(OR($A345="",$F345="",$C345&lt;&gt;"Despesa"),"",IF(COUNTIF(Cartoes_Nome,$F345)=0,"",DATE(P345,O345+IF(DAY($A345)&gt;=INDEX(Cartoes_Fech,MATCH($F345,Cartoes_Nome,0)),1,0),1)))</f>
        <v/>
      </c>
      <c r="T345" s="42" t="str">
        <f>IF($A345="","",IF(COUNTIFS(L_Data,$A345,L_Desc,$B345,L_Valor,$N345,L_Tipo,$C345)&gt;1,"⚠ Possível duplicidade",IF(OR(AND($C345="Despesa",COUNTIF(CatD_Nome,$D345)=0),AND($C345="Receita",COUNTIF(CatR_Nome,$D345)=0)),"⚠ Categoria não combina com o tipo",IF(OR($N345="",$C345=""),"⚠ Falta valor ou tipo",""))))</f>
        <v/>
      </c>
      <c r="U345" s="40">
        <f>IF($A345="",0,P345*12+O345)</f>
        <v>24317</v>
      </c>
      <c r="V345" s="40">
        <f>IF($A345="",0,U345+MAX(0,N($I345)-MAX(N($H345),1)))</f>
        <v>24317</v>
      </c>
      <c r="W345" s="40">
        <f>IF(S345="",0,YEAR(S345)*12+MONTH(S345))</f>
        <v>0</v>
      </c>
      <c r="X345" s="40">
        <f>IF(W345=0,0,W345+V345-U345)</f>
        <v>0</v>
      </c>
      <c r="Y345" s="36">
        <f>IF(W345=0,0,N(R345)*MAX(0,X345-MAX(W345,YEAR(Cfg_Hoje)*12+MONTH(Cfg_Hoje)+IF(DAY(Cfg_Hoje)&gt;=INDEX(Cartoes_Fech,MATCH($F345,Cartoes_Nome,0)),1,0))+1))</f>
        <v>0</v>
      </c>
      <c r="Z345" s="40">
        <f>IF($A345="",0,DAY($A345))</f>
        <v>3</v>
      </c>
      <c r="AA345" s="40">
        <f>IF($A345="",0,WEEKDAY($A345))</f>
        <v>1</v>
      </c>
      <c r="AB345" s="36">
        <f>IF(AND($C345="Despesa",U345&gt;0,U345&lt;=Sel_Idx,V345&gt;=Sel_Idx),N(R345)+ROW()/1000000000,0)</f>
        <v>0</v>
      </c>
      <c r="AC345" s="40">
        <f>IF(AND($C345="Despesa",U345&gt;0,U345&lt;=Sel_Idx,V345&gt;=Sel_Idx),Z345*10000+ROW(),0)</f>
        <v>0</v>
      </c>
      <c r="AD345" s="40">
        <f>IF(AC345=0,0,COUNTIFS(L_CalChave,"&gt;0",L_CalChave,"&lt;"&amp;AC345)+1)</f>
        <v>0</v>
      </c>
    </row>
    <row r="346">
      <c r="A346" s="38" t="n">
        <v>46146</v>
      </c>
      <c r="B346" s="39" t="inlineStr">
        <is>
          <t>Bar com amigos</t>
        </is>
      </c>
      <c r="C346" s="34" t="inlineStr">
        <is>
          <t>Despesa</t>
        </is>
      </c>
      <c r="D346" s="34" t="inlineStr">
        <is>
          <t>Lazer</t>
        </is>
      </c>
      <c r="E346" s="34" t="inlineStr">
        <is>
          <t>Cinema</t>
        </is>
      </c>
      <c r="F346" s="34" t="inlineStr">
        <is>
          <t>Cartão Azul Gold</t>
        </is>
      </c>
      <c r="G346" s="34" t="inlineStr">
        <is>
          <t>Crédito</t>
        </is>
      </c>
      <c r="H346" s="37" t="n"/>
      <c r="I346" s="37" t="n"/>
      <c r="J346" s="34" t="inlineStr">
        <is>
          <t>Pago</t>
        </is>
      </c>
      <c r="K346" s="34" t="n"/>
      <c r="L346" s="34" t="n"/>
      <c r="M346" s="39" t="inlineStr">
        <is>
          <t>EXEMPLO</t>
        </is>
      </c>
      <c r="N346" s="35" t="n">
        <v>68.27</v>
      </c>
      <c r="O346" s="40">
        <f>IF($A346="","",MONTH($A346))</f>
        <v>5</v>
      </c>
      <c r="P346" s="40">
        <f>IF($A346="","",YEAR($A346))</f>
        <v>2026</v>
      </c>
      <c r="Q346" s="41">
        <f>IF($A346="","",DATE(P346,O346,1))</f>
        <v>46143.0</v>
      </c>
      <c r="R346" s="36">
        <f>IF(OR($A346="",$N346=""),"",IF(AND($C346&lt;&gt;"Transferência",N($I346)&gt;1),$N346/$I346,$N346))</f>
        <v>68.27</v>
      </c>
      <c r="S346" s="41">
        <f>IF(OR($A346="",$F346="",$C346&lt;&gt;"Despesa"),"",IF(COUNTIF(Cartoes_Nome,$F346)=0,"",DATE(P346,O346+IF(DAY($A346)&gt;=INDEX(Cartoes_Fech,MATCH($F346,Cartoes_Nome,0)),1,0),1)))</f>
        <v>46143.0</v>
      </c>
      <c r="T346" s="42" t="str">
        <f>IF($A346="","",IF(COUNTIFS(L_Data,$A346,L_Desc,$B346,L_Valor,$N346,L_Tipo,$C346)&gt;1,"⚠ Possível duplicidade",IF(OR(AND($C346="Despesa",COUNTIF(CatD_Nome,$D346)=0),AND($C346="Receita",COUNTIF(CatR_Nome,$D346)=0)),"⚠ Categoria não combina com o tipo",IF(OR($N346="",$C346=""),"⚠ Falta valor ou tipo",""))))</f>
        <v/>
      </c>
      <c r="U346" s="40">
        <f>IF($A346="",0,P346*12+O346)</f>
        <v>24317</v>
      </c>
      <c r="V346" s="40">
        <f>IF($A346="",0,U346+MAX(0,N($I346)-MAX(N($H346),1)))</f>
        <v>24317</v>
      </c>
      <c r="W346" s="40">
        <f>IF(S346="",0,YEAR(S346)*12+MONTH(S346))</f>
        <v>24317</v>
      </c>
      <c r="X346" s="40">
        <f>IF(W346=0,0,W346+V346-U346)</f>
        <v>24317</v>
      </c>
      <c r="Y346" s="36">
        <f>IF(W346=0,0,N(R346)*MAX(0,X346-MAX(W346,YEAR(Cfg_Hoje)*12+MONTH(Cfg_Hoje)+IF(DAY(Cfg_Hoje)&gt;=INDEX(Cartoes_Fech,MATCH($F346,Cartoes_Nome,0)),1,0))+1))</f>
        <v>0</v>
      </c>
      <c r="Z346" s="40">
        <f>IF($A346="",0,DAY($A346))</f>
        <v>4</v>
      </c>
      <c r="AA346" s="40">
        <f>IF($A346="",0,WEEKDAY($A346))</f>
        <v>2</v>
      </c>
      <c r="AB346" s="36">
        <f>IF(AND($C346="Despesa",U346&gt;0,U346&lt;=Sel_Idx,V346&gt;=Sel_Idx),N(R346)+ROW()/1000000000,0)</f>
        <v>0</v>
      </c>
      <c r="AC346" s="40">
        <f>IF(AND($C346="Despesa",U346&gt;0,U346&lt;=Sel_Idx,V346&gt;=Sel_Idx),Z346*10000+ROW(),0)</f>
        <v>0</v>
      </c>
      <c r="AD346" s="40">
        <f>IF(AC346=0,0,COUNTIFS(L_CalChave,"&gt;0",L_CalChave,"&lt;"&amp;AC346)+1)</f>
        <v>0</v>
      </c>
    </row>
    <row r="347">
      <c r="A347" s="38" t="n">
        <v>46147</v>
      </c>
      <c r="B347" s="39" t="inlineStr">
        <is>
          <t>Pagamento fatura Cartão Roxinho</t>
        </is>
      </c>
      <c r="C347" s="34" t="inlineStr">
        <is>
          <t>Transferência</t>
        </is>
      </c>
      <c r="D347" s="34" t="n"/>
      <c r="E347" s="34" t="n"/>
      <c r="F347" s="34" t="inlineStr">
        <is>
          <t>Conta Corrente Banco Azul</t>
        </is>
      </c>
      <c r="G347" s="34" t="inlineStr">
        <is>
          <t>Débito automático</t>
        </is>
      </c>
      <c r="H347" s="37" t="n"/>
      <c r="I347" s="37" t="n"/>
      <c r="J347" s="34" t="inlineStr">
        <is>
          <t>Pago</t>
        </is>
      </c>
      <c r="K347" s="34" t="n"/>
      <c r="L347" s="34" t="n"/>
      <c r="M347" s="39" t="inlineStr">
        <is>
          <t>EXEMPLO</t>
        </is>
      </c>
      <c r="N347" s="35" t="n">
        <v>-827.4400000000001</v>
      </c>
      <c r="O347" s="40">
        <f>IF($A347="","",MONTH($A347))</f>
        <v>5</v>
      </c>
      <c r="P347" s="40">
        <f>IF($A347="","",YEAR($A347))</f>
        <v>2026</v>
      </c>
      <c r="Q347" s="41">
        <f>IF($A347="","",DATE(P347,O347,1))</f>
        <v>46143.0</v>
      </c>
      <c r="R347" s="36">
        <f>IF(OR($A347="",$N347=""),"",IF(AND($C347&lt;&gt;"Transferência",N($I347)&gt;1),$N347/$I347,$N347))</f>
        <v>-827.44</v>
      </c>
      <c r="S347" s="41" t="str">
        <f>IF(OR($A347="",$F347="",$C347&lt;&gt;"Despesa"),"",IF(COUNTIF(Cartoes_Nome,$F347)=0,"",DATE(P347,O347+IF(DAY($A347)&gt;=INDEX(Cartoes_Fech,MATCH($F347,Cartoes_Nome,0)),1,0),1)))</f>
        <v/>
      </c>
      <c r="T347" s="42" t="str">
        <f>IF($A347="","",IF(COUNTIFS(L_Data,$A347,L_Desc,$B347,L_Valor,$N347,L_Tipo,$C347)&gt;1,"⚠ Possível duplicidade",IF(OR(AND($C347="Despesa",COUNTIF(CatD_Nome,$D347)=0),AND($C347="Receita",COUNTIF(CatR_Nome,$D347)=0)),"⚠ Categoria não combina com o tipo",IF(OR($N347="",$C347=""),"⚠ Falta valor ou tipo",""))))</f>
        <v/>
      </c>
      <c r="U347" s="40">
        <f>IF($A347="",0,P347*12+O347)</f>
        <v>24317</v>
      </c>
      <c r="V347" s="40">
        <f>IF($A347="",0,U347+MAX(0,N($I347)-MAX(N($H347),1)))</f>
        <v>24317</v>
      </c>
      <c r="W347" s="40">
        <f>IF(S347="",0,YEAR(S347)*12+MONTH(S347))</f>
        <v>0</v>
      </c>
      <c r="X347" s="40">
        <f>IF(W347=0,0,W347+V347-U347)</f>
        <v>0</v>
      </c>
      <c r="Y347" s="36">
        <f>IF(W347=0,0,N(R347)*MAX(0,X347-MAX(W347,YEAR(Cfg_Hoje)*12+MONTH(Cfg_Hoje)+IF(DAY(Cfg_Hoje)&gt;=INDEX(Cartoes_Fech,MATCH($F347,Cartoes_Nome,0)),1,0))+1))</f>
        <v>0</v>
      </c>
      <c r="Z347" s="40">
        <f>IF($A347="",0,DAY($A347))</f>
        <v>5</v>
      </c>
      <c r="AA347" s="40">
        <f>IF($A347="",0,WEEKDAY($A347))</f>
        <v>3</v>
      </c>
      <c r="AB347" s="36">
        <f>IF(AND($C347="Despesa",U347&gt;0,U347&lt;=Sel_Idx,V347&gt;=Sel_Idx),N(R347)+ROW()/1000000000,0)</f>
        <v>0</v>
      </c>
      <c r="AC347" s="40">
        <f>IF(AND($C347="Despesa",U347&gt;0,U347&lt;=Sel_Idx,V347&gt;=Sel_Idx),Z347*10000+ROW(),0)</f>
        <v>0</v>
      </c>
      <c r="AD347" s="40">
        <f>IF(AC347=0,0,COUNTIFS(L_CalChave,"&gt;0",L_CalChave,"&lt;"&amp;AC347)+1)</f>
        <v>0</v>
      </c>
    </row>
    <row r="348">
      <c r="A348" s="38" t="n">
        <v>46147</v>
      </c>
      <c r="B348" s="39" t="inlineStr">
        <is>
          <t>Plano de saúde</t>
        </is>
      </c>
      <c r="C348" s="34" t="inlineStr">
        <is>
          <t>Despesa</t>
        </is>
      </c>
      <c r="D348" s="34" t="inlineStr">
        <is>
          <t>Saúde</t>
        </is>
      </c>
      <c r="E348" s="34" t="inlineStr">
        <is>
          <t>Plano de saúde</t>
        </is>
      </c>
      <c r="F348" s="34" t="inlineStr">
        <is>
          <t>Conta Corrente Banco Azul</t>
        </is>
      </c>
      <c r="G348" s="34" t="inlineStr">
        <is>
          <t>Débito automático</t>
        </is>
      </c>
      <c r="H348" s="37" t="n"/>
      <c r="I348" s="37" t="n"/>
      <c r="J348" s="34" t="inlineStr">
        <is>
          <t>Pago</t>
        </is>
      </c>
      <c r="K348" s="34" t="n"/>
      <c r="L348" s="34" t="n"/>
      <c r="M348" s="39" t="inlineStr">
        <is>
          <t>EXEMPLO</t>
        </is>
      </c>
      <c r="N348" s="35" t="n">
        <v>780</v>
      </c>
      <c r="O348" s="40">
        <f>IF($A348="","",MONTH($A348))</f>
        <v>5</v>
      </c>
      <c r="P348" s="40">
        <f>IF($A348="","",YEAR($A348))</f>
        <v>2026</v>
      </c>
      <c r="Q348" s="41">
        <f>IF($A348="","",DATE(P348,O348,1))</f>
        <v>46143.0</v>
      </c>
      <c r="R348" s="36">
        <f>IF(OR($A348="",$N348=""),"",IF(AND($C348&lt;&gt;"Transferência",N($I348)&gt;1),$N348/$I348,$N348))</f>
        <v>780</v>
      </c>
      <c r="S348" s="41" t="str">
        <f>IF(OR($A348="",$F348="",$C348&lt;&gt;"Despesa"),"",IF(COUNTIF(Cartoes_Nome,$F348)=0,"",DATE(P348,O348+IF(DAY($A348)&gt;=INDEX(Cartoes_Fech,MATCH($F348,Cartoes_Nome,0)),1,0),1)))</f>
        <v/>
      </c>
      <c r="T348" s="42" t="str">
        <f>IF($A348="","",IF(COUNTIFS(L_Data,$A348,L_Desc,$B348,L_Valor,$N348,L_Tipo,$C348)&gt;1,"⚠ Possível duplicidade",IF(OR(AND($C348="Despesa",COUNTIF(CatD_Nome,$D348)=0),AND($C348="Receita",COUNTIF(CatR_Nome,$D348)=0)),"⚠ Categoria não combina com o tipo",IF(OR($N348="",$C348=""),"⚠ Falta valor ou tipo",""))))</f>
        <v/>
      </c>
      <c r="U348" s="40">
        <f>IF($A348="",0,P348*12+O348)</f>
        <v>24317</v>
      </c>
      <c r="V348" s="40">
        <f>IF($A348="",0,U348+MAX(0,N($I348)-MAX(N($H348),1)))</f>
        <v>24317</v>
      </c>
      <c r="W348" s="40">
        <f>IF(S348="",0,YEAR(S348)*12+MONTH(S348))</f>
        <v>0</v>
      </c>
      <c r="X348" s="40">
        <f>IF(W348=0,0,W348+V348-U348)</f>
        <v>0</v>
      </c>
      <c r="Y348" s="36">
        <f>IF(W348=0,0,N(R348)*MAX(0,X348-MAX(W348,YEAR(Cfg_Hoje)*12+MONTH(Cfg_Hoje)+IF(DAY(Cfg_Hoje)&gt;=INDEX(Cartoes_Fech,MATCH($F348,Cartoes_Nome,0)),1,0))+1))</f>
        <v>0</v>
      </c>
      <c r="Z348" s="40">
        <f>IF($A348="",0,DAY($A348))</f>
        <v>5</v>
      </c>
      <c r="AA348" s="40">
        <f>IF($A348="",0,WEEKDAY($A348))</f>
        <v>3</v>
      </c>
      <c r="AB348" s="36">
        <f>IF(AND($C348="Despesa",U348&gt;0,U348&lt;=Sel_Idx,V348&gt;=Sel_Idx),N(R348)+ROW()/1000000000,0)</f>
        <v>0</v>
      </c>
      <c r="AC348" s="40">
        <f>IF(AND($C348="Despesa",U348&gt;0,U348&lt;=Sel_Idx,V348&gt;=Sel_Idx),Z348*10000+ROW(),0)</f>
        <v>0</v>
      </c>
      <c r="AD348" s="40">
        <f>IF(AC348=0,0,COUNTIFS(L_CalChave,"&gt;0",L_CalChave,"&lt;"&amp;AC348)+1)</f>
        <v>0</v>
      </c>
    </row>
    <row r="349">
      <c r="A349" s="38" t="n">
        <v>46147</v>
      </c>
      <c r="B349" s="39" t="inlineStr">
        <is>
          <t>Salário</t>
        </is>
      </c>
      <c r="C349" s="34" t="inlineStr">
        <is>
          <t>Receita</t>
        </is>
      </c>
      <c r="D349" s="34" t="inlineStr">
        <is>
          <t>Salário</t>
        </is>
      </c>
      <c r="E349" s="34" t="n"/>
      <c r="F349" s="34" t="inlineStr">
        <is>
          <t>Conta Corrente Banco Azul</t>
        </is>
      </c>
      <c r="G349" s="34" t="inlineStr">
        <is>
          <t>Transferência</t>
        </is>
      </c>
      <c r="H349" s="37" t="n"/>
      <c r="I349" s="37" t="n"/>
      <c r="J349" s="34" t="inlineStr">
        <is>
          <t>Pago</t>
        </is>
      </c>
      <c r="K349" s="34" t="n"/>
      <c r="L349" s="34" t="n"/>
      <c r="M349" s="39" t="inlineStr">
        <is>
          <t>EXEMPLO</t>
        </is>
      </c>
      <c r="N349" s="35" t="n">
        <v>10800</v>
      </c>
      <c r="O349" s="40">
        <f>IF($A349="","",MONTH($A349))</f>
        <v>5</v>
      </c>
      <c r="P349" s="40">
        <f>IF($A349="","",YEAR($A349))</f>
        <v>2026</v>
      </c>
      <c r="Q349" s="41">
        <f>IF($A349="","",DATE(P349,O349,1))</f>
        <v>46143.0</v>
      </c>
      <c r="R349" s="36">
        <f>IF(OR($A349="",$N349=""),"",IF(AND($C349&lt;&gt;"Transferência",N($I349)&gt;1),$N349/$I349,$N349))</f>
        <v>10800</v>
      </c>
      <c r="S349" s="41" t="str">
        <f>IF(OR($A349="",$F349="",$C349&lt;&gt;"Despesa"),"",IF(COUNTIF(Cartoes_Nome,$F349)=0,"",DATE(P349,O349+IF(DAY($A349)&gt;=INDEX(Cartoes_Fech,MATCH($F349,Cartoes_Nome,0)),1,0),1)))</f>
        <v/>
      </c>
      <c r="T349" s="42" t="str">
        <f>IF($A349="","",IF(COUNTIFS(L_Data,$A349,L_Desc,$B349,L_Valor,$N349,L_Tipo,$C349)&gt;1,"⚠ Possível duplicidade",IF(OR(AND($C349="Despesa",COUNTIF(CatD_Nome,$D349)=0),AND($C349="Receita",COUNTIF(CatR_Nome,$D349)=0)),"⚠ Categoria não combina com o tipo",IF(OR($N349="",$C349=""),"⚠ Falta valor ou tipo",""))))</f>
        <v/>
      </c>
      <c r="U349" s="40">
        <f>IF($A349="",0,P349*12+O349)</f>
        <v>24317</v>
      </c>
      <c r="V349" s="40">
        <f>IF($A349="",0,U349+MAX(0,N($I349)-MAX(N($H349),1)))</f>
        <v>24317</v>
      </c>
      <c r="W349" s="40">
        <f>IF(S349="",0,YEAR(S349)*12+MONTH(S349))</f>
        <v>0</v>
      </c>
      <c r="X349" s="40">
        <f>IF(W349=0,0,W349+V349-U349)</f>
        <v>0</v>
      </c>
      <c r="Y349" s="36">
        <f>IF(W349=0,0,N(R349)*MAX(0,X349-MAX(W349,YEAR(Cfg_Hoje)*12+MONTH(Cfg_Hoje)+IF(DAY(Cfg_Hoje)&gt;=INDEX(Cartoes_Fech,MATCH($F349,Cartoes_Nome,0)),1,0))+1))</f>
        <v>0</v>
      </c>
      <c r="Z349" s="40">
        <f>IF($A349="",0,DAY($A349))</f>
        <v>5</v>
      </c>
      <c r="AA349" s="40">
        <f>IF($A349="",0,WEEKDAY($A349))</f>
        <v>3</v>
      </c>
      <c r="AB349" s="36">
        <f>IF(AND($C349="Despesa",U349&gt;0,U349&lt;=Sel_Idx,V349&gt;=Sel_Idx),N(R349)+ROW()/1000000000,0)</f>
        <v>0</v>
      </c>
      <c r="AC349" s="40">
        <f>IF(AND($C349="Despesa",U349&gt;0,U349&lt;=Sel_Idx,V349&gt;=Sel_Idx),Z349*10000+ROW(),0)</f>
        <v>0</v>
      </c>
      <c r="AD349" s="40">
        <f>IF(AC349=0,0,COUNTIFS(L_CalChave,"&gt;0",L_CalChave,"&lt;"&amp;AC349)+1)</f>
        <v>0</v>
      </c>
    </row>
    <row r="350">
      <c r="A350" s="38" t="n">
        <v>46147</v>
      </c>
      <c r="B350" s="39" t="inlineStr">
        <is>
          <t>Supermercado</t>
        </is>
      </c>
      <c r="C350" s="34" t="inlineStr">
        <is>
          <t>Despesa</t>
        </is>
      </c>
      <c r="D350" s="34" t="inlineStr">
        <is>
          <t>Alimentação</t>
        </is>
      </c>
      <c r="E350" s="34" t="inlineStr">
        <is>
          <t>Mercado</t>
        </is>
      </c>
      <c r="F350" s="34" t="inlineStr">
        <is>
          <t>Cartão Azul Gold</t>
        </is>
      </c>
      <c r="G350" s="34" t="inlineStr">
        <is>
          <t>Crédito</t>
        </is>
      </c>
      <c r="H350" s="37" t="n"/>
      <c r="I350" s="37" t="n"/>
      <c r="J350" s="34" t="inlineStr">
        <is>
          <t>Pago</t>
        </is>
      </c>
      <c r="K350" s="34" t="n"/>
      <c r="L350" s="34" t="n"/>
      <c r="M350" s="39" t="inlineStr">
        <is>
          <t>EXEMPLO</t>
        </is>
      </c>
      <c r="N350" s="35" t="n">
        <v>332.41</v>
      </c>
      <c r="O350" s="40">
        <f>IF($A350="","",MONTH($A350))</f>
        <v>5</v>
      </c>
      <c r="P350" s="40">
        <f>IF($A350="","",YEAR($A350))</f>
        <v>2026</v>
      </c>
      <c r="Q350" s="41">
        <f>IF($A350="","",DATE(P350,O350,1))</f>
        <v>46143.0</v>
      </c>
      <c r="R350" s="36">
        <f>IF(OR($A350="",$N350=""),"",IF(AND($C350&lt;&gt;"Transferência",N($I350)&gt;1),$N350/$I350,$N350))</f>
        <v>332.41</v>
      </c>
      <c r="S350" s="41">
        <f>IF(OR($A350="",$F350="",$C350&lt;&gt;"Despesa"),"",IF(COUNTIF(Cartoes_Nome,$F350)=0,"",DATE(P350,O350+IF(DAY($A350)&gt;=INDEX(Cartoes_Fech,MATCH($F350,Cartoes_Nome,0)),1,0),1)))</f>
        <v>46143.0</v>
      </c>
      <c r="T350" s="42" t="str">
        <f>IF($A350="","",IF(COUNTIFS(L_Data,$A350,L_Desc,$B350,L_Valor,$N350,L_Tipo,$C350)&gt;1,"⚠ Possível duplicidade",IF(OR(AND($C350="Despesa",COUNTIF(CatD_Nome,$D350)=0),AND($C350="Receita",COUNTIF(CatR_Nome,$D350)=0)),"⚠ Categoria não combina com o tipo",IF(OR($N350="",$C350=""),"⚠ Falta valor ou tipo",""))))</f>
        <v/>
      </c>
      <c r="U350" s="40">
        <f>IF($A350="",0,P350*12+O350)</f>
        <v>24317</v>
      </c>
      <c r="V350" s="40">
        <f>IF($A350="",0,U350+MAX(0,N($I350)-MAX(N($H350),1)))</f>
        <v>24317</v>
      </c>
      <c r="W350" s="40">
        <f>IF(S350="",0,YEAR(S350)*12+MONTH(S350))</f>
        <v>24317</v>
      </c>
      <c r="X350" s="40">
        <f>IF(W350=0,0,W350+V350-U350)</f>
        <v>24317</v>
      </c>
      <c r="Y350" s="36">
        <f>IF(W350=0,0,N(R350)*MAX(0,X350-MAX(W350,YEAR(Cfg_Hoje)*12+MONTH(Cfg_Hoje)+IF(DAY(Cfg_Hoje)&gt;=INDEX(Cartoes_Fech,MATCH($F350,Cartoes_Nome,0)),1,0))+1))</f>
        <v>0</v>
      </c>
      <c r="Z350" s="40">
        <f>IF($A350="",0,DAY($A350))</f>
        <v>5</v>
      </c>
      <c r="AA350" s="40">
        <f>IF($A350="",0,WEEKDAY($A350))</f>
        <v>3</v>
      </c>
      <c r="AB350" s="36">
        <f>IF(AND($C350="Despesa",U350&gt;0,U350&lt;=Sel_Idx,V350&gt;=Sel_Idx),N(R350)+ROW()/1000000000,0)</f>
        <v>0</v>
      </c>
      <c r="AC350" s="40">
        <f>IF(AND($C350="Despesa",U350&gt;0,U350&lt;=Sel_Idx,V350&gt;=Sel_Idx),Z350*10000+ROW(),0)</f>
        <v>0</v>
      </c>
      <c r="AD350" s="40">
        <f>IF(AC350=0,0,COUNTIFS(L_CalChave,"&gt;0",L_CalChave,"&lt;"&amp;AC350)+1)</f>
        <v>0</v>
      </c>
    </row>
    <row r="351">
      <c r="A351" s="38" t="n">
        <v>46148</v>
      </c>
      <c r="B351" s="39" t="inlineStr">
        <is>
          <t>Aporte - MBA</t>
        </is>
      </c>
      <c r="C351" s="34" t="inlineStr">
        <is>
          <t>Investimento</t>
        </is>
      </c>
      <c r="D351" s="34" t="inlineStr">
        <is>
          <t>Investimento</t>
        </is>
      </c>
      <c r="E351" s="34" t="n"/>
      <c r="F351" s="34" t="inlineStr">
        <is>
          <t>Conta Corrente Banco Azul</t>
        </is>
      </c>
      <c r="G351" s="34" t="inlineStr">
        <is>
          <t>Transferência</t>
        </is>
      </c>
      <c r="H351" s="37" t="n"/>
      <c r="I351" s="37" t="n"/>
      <c r="J351" s="34" t="inlineStr">
        <is>
          <t>Pago</t>
        </is>
      </c>
      <c r="K351" s="34" t="n"/>
      <c r="L351" s="34" t="inlineStr">
        <is>
          <t>MBA</t>
        </is>
      </c>
      <c r="M351" s="39" t="inlineStr">
        <is>
          <t>EXEMPLO</t>
        </is>
      </c>
      <c r="N351" s="35" t="n">
        <v>150</v>
      </c>
      <c r="O351" s="40">
        <f>IF($A351="","",MONTH($A351))</f>
        <v>5</v>
      </c>
      <c r="P351" s="40">
        <f>IF($A351="","",YEAR($A351))</f>
        <v>2026</v>
      </c>
      <c r="Q351" s="41">
        <f>IF($A351="","",DATE(P351,O351,1))</f>
        <v>46143.0</v>
      </c>
      <c r="R351" s="36">
        <f>IF(OR($A351="",$N351=""),"",IF(AND($C351&lt;&gt;"Transferência",N($I351)&gt;1),$N351/$I351,$N351))</f>
        <v>150</v>
      </c>
      <c r="S351" s="41" t="str">
        <f>IF(OR($A351="",$F351="",$C351&lt;&gt;"Despesa"),"",IF(COUNTIF(Cartoes_Nome,$F351)=0,"",DATE(P351,O351+IF(DAY($A351)&gt;=INDEX(Cartoes_Fech,MATCH($F351,Cartoes_Nome,0)),1,0),1)))</f>
        <v/>
      </c>
      <c r="T351" s="42" t="str">
        <f>IF($A351="","",IF(COUNTIFS(L_Data,$A351,L_Desc,$B351,L_Valor,$N351,L_Tipo,$C351)&gt;1,"⚠ Possível duplicidade",IF(OR(AND($C351="Despesa",COUNTIF(CatD_Nome,$D351)=0),AND($C351="Receita",COUNTIF(CatR_Nome,$D351)=0)),"⚠ Categoria não combina com o tipo",IF(OR($N351="",$C351=""),"⚠ Falta valor ou tipo",""))))</f>
        <v/>
      </c>
      <c r="U351" s="40">
        <f>IF($A351="",0,P351*12+O351)</f>
        <v>24317</v>
      </c>
      <c r="V351" s="40">
        <f>IF($A351="",0,U351+MAX(0,N($I351)-MAX(N($H351),1)))</f>
        <v>24317</v>
      </c>
      <c r="W351" s="40">
        <f>IF(S351="",0,YEAR(S351)*12+MONTH(S351))</f>
        <v>0</v>
      </c>
      <c r="X351" s="40">
        <f>IF(W351=0,0,W351+V351-U351)</f>
        <v>0</v>
      </c>
      <c r="Y351" s="36">
        <f>IF(W351=0,0,N(R351)*MAX(0,X351-MAX(W351,YEAR(Cfg_Hoje)*12+MONTH(Cfg_Hoje)+IF(DAY(Cfg_Hoje)&gt;=INDEX(Cartoes_Fech,MATCH($F351,Cartoes_Nome,0)),1,0))+1))</f>
        <v>0</v>
      </c>
      <c r="Z351" s="40">
        <f>IF($A351="",0,DAY($A351))</f>
        <v>6</v>
      </c>
      <c r="AA351" s="40">
        <f>IF($A351="",0,WEEKDAY($A351))</f>
        <v>4</v>
      </c>
      <c r="AB351" s="36">
        <f>IF(AND($C351="Despesa",U351&gt;0,U351&lt;=Sel_Idx,V351&gt;=Sel_Idx),N(R351)+ROW()/1000000000,0)</f>
        <v>0</v>
      </c>
      <c r="AC351" s="40">
        <f>IF(AND($C351="Despesa",U351&gt;0,U351&lt;=Sel_Idx,V351&gt;=Sel_Idx),Z351*10000+ROW(),0)</f>
        <v>0</v>
      </c>
      <c r="AD351" s="40">
        <f>IF(AC351=0,0,COUNTIFS(L_CalChave,"&gt;0",L_CalChave,"&lt;"&amp;AC351)+1)</f>
        <v>0</v>
      </c>
    </row>
    <row r="352">
      <c r="A352" s="38" t="n">
        <v>46148</v>
      </c>
      <c r="B352" s="39" t="inlineStr">
        <is>
          <t>Aporte - aposentadoria (PGBL)</t>
        </is>
      </c>
      <c r="C352" s="34" t="inlineStr">
        <is>
          <t>Investimento</t>
        </is>
      </c>
      <c r="D352" s="34" t="inlineStr">
        <is>
          <t>Investimento</t>
        </is>
      </c>
      <c r="E352" s="34" t="n"/>
      <c r="F352" s="34" t="inlineStr">
        <is>
          <t>Conta Corrente Banco Azul</t>
        </is>
      </c>
      <c r="G352" s="34" t="inlineStr">
        <is>
          <t>Transferência</t>
        </is>
      </c>
      <c r="H352" s="37" t="n"/>
      <c r="I352" s="37" t="n"/>
      <c r="J352" s="34" t="inlineStr">
        <is>
          <t>Pago</t>
        </is>
      </c>
      <c r="K352" s="34" t="n"/>
      <c r="L352" s="34" t="inlineStr">
        <is>
          <t>Aposentadoria</t>
        </is>
      </c>
      <c r="M352" s="39" t="inlineStr">
        <is>
          <t>EXEMPLO</t>
        </is>
      </c>
      <c r="N352" s="35" t="n">
        <v>300</v>
      </c>
      <c r="O352" s="40">
        <f>IF($A352="","",MONTH($A352))</f>
        <v>5</v>
      </c>
      <c r="P352" s="40">
        <f>IF($A352="","",YEAR($A352))</f>
        <v>2026</v>
      </c>
      <c r="Q352" s="41">
        <f>IF($A352="","",DATE(P352,O352,1))</f>
        <v>46143.0</v>
      </c>
      <c r="R352" s="36">
        <f>IF(OR($A352="",$N352=""),"",IF(AND($C352&lt;&gt;"Transferência",N($I352)&gt;1),$N352/$I352,$N352))</f>
        <v>300</v>
      </c>
      <c r="S352" s="41" t="str">
        <f>IF(OR($A352="",$F352="",$C352&lt;&gt;"Despesa"),"",IF(COUNTIF(Cartoes_Nome,$F352)=0,"",DATE(P352,O352+IF(DAY($A352)&gt;=INDEX(Cartoes_Fech,MATCH($F352,Cartoes_Nome,0)),1,0),1)))</f>
        <v/>
      </c>
      <c r="T352" s="42" t="str">
        <f>IF($A352="","",IF(COUNTIFS(L_Data,$A352,L_Desc,$B352,L_Valor,$N352,L_Tipo,$C352)&gt;1,"⚠ Possível duplicidade",IF(OR(AND($C352="Despesa",COUNTIF(CatD_Nome,$D352)=0),AND($C352="Receita",COUNTIF(CatR_Nome,$D352)=0)),"⚠ Categoria não combina com o tipo",IF(OR($N352="",$C352=""),"⚠ Falta valor ou tipo",""))))</f>
        <v/>
      </c>
      <c r="U352" s="40">
        <f>IF($A352="",0,P352*12+O352)</f>
        <v>24317</v>
      </c>
      <c r="V352" s="40">
        <f>IF($A352="",0,U352+MAX(0,N($I352)-MAX(N($H352),1)))</f>
        <v>24317</v>
      </c>
      <c r="W352" s="40">
        <f>IF(S352="",0,YEAR(S352)*12+MONTH(S352))</f>
        <v>0</v>
      </c>
      <c r="X352" s="40">
        <f>IF(W352=0,0,W352+V352-U352)</f>
        <v>0</v>
      </c>
      <c r="Y352" s="36">
        <f>IF(W352=0,0,N(R352)*MAX(0,X352-MAX(W352,YEAR(Cfg_Hoje)*12+MONTH(Cfg_Hoje)+IF(DAY(Cfg_Hoje)&gt;=INDEX(Cartoes_Fech,MATCH($F352,Cartoes_Nome,0)),1,0))+1))</f>
        <v>0</v>
      </c>
      <c r="Z352" s="40">
        <f>IF($A352="",0,DAY($A352))</f>
        <v>6</v>
      </c>
      <c r="AA352" s="40">
        <f>IF($A352="",0,WEEKDAY($A352))</f>
        <v>4</v>
      </c>
      <c r="AB352" s="36">
        <f>IF(AND($C352="Despesa",U352&gt;0,U352&lt;=Sel_Idx,V352&gt;=Sel_Idx),N(R352)+ROW()/1000000000,0)</f>
        <v>0</v>
      </c>
      <c r="AC352" s="40">
        <f>IF(AND($C352="Despesa",U352&gt;0,U352&lt;=Sel_Idx,V352&gt;=Sel_Idx),Z352*10000+ROW(),0)</f>
        <v>0</v>
      </c>
      <c r="AD352" s="40">
        <f>IF(AC352=0,0,COUNTIFS(L_CalChave,"&gt;0",L_CalChave,"&lt;"&amp;AC352)+1)</f>
        <v>0</v>
      </c>
    </row>
    <row r="353">
      <c r="A353" s="38" t="n">
        <v>46148</v>
      </c>
      <c r="B353" s="39" t="inlineStr">
        <is>
          <t>Aporte - entrada do apartamento</t>
        </is>
      </c>
      <c r="C353" s="34" t="inlineStr">
        <is>
          <t>Investimento</t>
        </is>
      </c>
      <c r="D353" s="34" t="inlineStr">
        <is>
          <t>Investimento</t>
        </is>
      </c>
      <c r="E353" s="34" t="n"/>
      <c r="F353" s="34" t="inlineStr">
        <is>
          <t>Conta Corrente Banco Azul</t>
        </is>
      </c>
      <c r="G353" s="34" t="inlineStr">
        <is>
          <t>Transferência</t>
        </is>
      </c>
      <c r="H353" s="37" t="n"/>
      <c r="I353" s="37" t="n"/>
      <c r="J353" s="34" t="inlineStr">
        <is>
          <t>Pago</t>
        </is>
      </c>
      <c r="K353" s="34" t="n"/>
      <c r="L353" s="34" t="inlineStr">
        <is>
          <t>Entrada do apartamento</t>
        </is>
      </c>
      <c r="M353" s="39" t="inlineStr">
        <is>
          <t>EXEMPLO</t>
        </is>
      </c>
      <c r="N353" s="35" t="n">
        <v>250</v>
      </c>
      <c r="O353" s="40">
        <f>IF($A353="","",MONTH($A353))</f>
        <v>5</v>
      </c>
      <c r="P353" s="40">
        <f>IF($A353="","",YEAR($A353))</f>
        <v>2026</v>
      </c>
      <c r="Q353" s="41">
        <f>IF($A353="","",DATE(P353,O353,1))</f>
        <v>46143.0</v>
      </c>
      <c r="R353" s="36">
        <f>IF(OR($A353="",$N353=""),"",IF(AND($C353&lt;&gt;"Transferência",N($I353)&gt;1),$N353/$I353,$N353))</f>
        <v>250</v>
      </c>
      <c r="S353" s="41" t="str">
        <f>IF(OR($A353="",$F353="",$C353&lt;&gt;"Despesa"),"",IF(COUNTIF(Cartoes_Nome,$F353)=0,"",DATE(P353,O353+IF(DAY($A353)&gt;=INDEX(Cartoes_Fech,MATCH($F353,Cartoes_Nome,0)),1,0),1)))</f>
        <v/>
      </c>
      <c r="T353" s="42" t="str">
        <f>IF($A353="","",IF(COUNTIFS(L_Data,$A353,L_Desc,$B353,L_Valor,$N353,L_Tipo,$C353)&gt;1,"⚠ Possível duplicidade",IF(OR(AND($C353="Despesa",COUNTIF(CatD_Nome,$D353)=0),AND($C353="Receita",COUNTIF(CatR_Nome,$D353)=0)),"⚠ Categoria não combina com o tipo",IF(OR($N353="",$C353=""),"⚠ Falta valor ou tipo",""))))</f>
        <v/>
      </c>
      <c r="U353" s="40">
        <f>IF($A353="",0,P353*12+O353)</f>
        <v>24317</v>
      </c>
      <c r="V353" s="40">
        <f>IF($A353="",0,U353+MAX(0,N($I353)-MAX(N($H353),1)))</f>
        <v>24317</v>
      </c>
      <c r="W353" s="40">
        <f>IF(S353="",0,YEAR(S353)*12+MONTH(S353))</f>
        <v>0</v>
      </c>
      <c r="X353" s="40">
        <f>IF(W353=0,0,W353+V353-U353)</f>
        <v>0</v>
      </c>
      <c r="Y353" s="36">
        <f>IF(W353=0,0,N(R353)*MAX(0,X353-MAX(W353,YEAR(Cfg_Hoje)*12+MONTH(Cfg_Hoje)+IF(DAY(Cfg_Hoje)&gt;=INDEX(Cartoes_Fech,MATCH($F353,Cartoes_Nome,0)),1,0))+1))</f>
        <v>0</v>
      </c>
      <c r="Z353" s="40">
        <f>IF($A353="",0,DAY($A353))</f>
        <v>6</v>
      </c>
      <c r="AA353" s="40">
        <f>IF($A353="",0,WEEKDAY($A353))</f>
        <v>4</v>
      </c>
      <c r="AB353" s="36">
        <f>IF(AND($C353="Despesa",U353&gt;0,U353&lt;=Sel_Idx,V353&gt;=Sel_Idx),N(R353)+ROW()/1000000000,0)</f>
        <v>0</v>
      </c>
      <c r="AC353" s="40">
        <f>IF(AND($C353="Despesa",U353&gt;0,U353&lt;=Sel_Idx,V353&gt;=Sel_Idx),Z353*10000+ROW(),0)</f>
        <v>0</v>
      </c>
      <c r="AD353" s="40">
        <f>IF(AC353=0,0,COUNTIFS(L_CalChave,"&gt;0",L_CalChave,"&lt;"&amp;AC353)+1)</f>
        <v>0</v>
      </c>
    </row>
    <row r="354">
      <c r="A354" s="38" t="n">
        <v>46148</v>
      </c>
      <c r="B354" s="39" t="inlineStr">
        <is>
          <t>Aporte - quitar empréstimo</t>
        </is>
      </c>
      <c r="C354" s="34" t="inlineStr">
        <is>
          <t>Investimento</t>
        </is>
      </c>
      <c r="D354" s="34" t="inlineStr">
        <is>
          <t>Investimento</t>
        </is>
      </c>
      <c r="E354" s="34" t="n"/>
      <c r="F354" s="34" t="inlineStr">
        <is>
          <t>Conta Corrente Banco Azul</t>
        </is>
      </c>
      <c r="G354" s="34" t="inlineStr">
        <is>
          <t>Transferência</t>
        </is>
      </c>
      <c r="H354" s="37" t="n"/>
      <c r="I354" s="37" t="n"/>
      <c r="J354" s="34" t="inlineStr">
        <is>
          <t>Pago</t>
        </is>
      </c>
      <c r="K354" s="34" t="n"/>
      <c r="L354" s="34" t="inlineStr">
        <is>
          <t>Quitar empréstimo pessoal</t>
        </is>
      </c>
      <c r="M354" s="39" t="inlineStr">
        <is>
          <t>EXEMPLO</t>
        </is>
      </c>
      <c r="N354" s="35" t="n">
        <v>150</v>
      </c>
      <c r="O354" s="40">
        <f>IF($A354="","",MONTH($A354))</f>
        <v>5</v>
      </c>
      <c r="P354" s="40">
        <f>IF($A354="","",YEAR($A354))</f>
        <v>2026</v>
      </c>
      <c r="Q354" s="41">
        <f>IF($A354="","",DATE(P354,O354,1))</f>
        <v>46143.0</v>
      </c>
      <c r="R354" s="36">
        <f>IF(OR($A354="",$N354=""),"",IF(AND($C354&lt;&gt;"Transferência",N($I354)&gt;1),$N354/$I354,$N354))</f>
        <v>150</v>
      </c>
      <c r="S354" s="41" t="str">
        <f>IF(OR($A354="",$F354="",$C354&lt;&gt;"Despesa"),"",IF(COUNTIF(Cartoes_Nome,$F354)=0,"",DATE(P354,O354+IF(DAY($A354)&gt;=INDEX(Cartoes_Fech,MATCH($F354,Cartoes_Nome,0)),1,0),1)))</f>
        <v/>
      </c>
      <c r="T354" s="42" t="str">
        <f>IF($A354="","",IF(COUNTIFS(L_Data,$A354,L_Desc,$B354,L_Valor,$N354,L_Tipo,$C354)&gt;1,"⚠ Possível duplicidade",IF(OR(AND($C354="Despesa",COUNTIF(CatD_Nome,$D354)=0),AND($C354="Receita",COUNTIF(CatR_Nome,$D354)=0)),"⚠ Categoria não combina com o tipo",IF(OR($N354="",$C354=""),"⚠ Falta valor ou tipo",""))))</f>
        <v/>
      </c>
      <c r="U354" s="40">
        <f>IF($A354="",0,P354*12+O354)</f>
        <v>24317</v>
      </c>
      <c r="V354" s="40">
        <f>IF($A354="",0,U354+MAX(0,N($I354)-MAX(N($H354),1)))</f>
        <v>24317</v>
      </c>
      <c r="W354" s="40">
        <f>IF(S354="",0,YEAR(S354)*12+MONTH(S354))</f>
        <v>0</v>
      </c>
      <c r="X354" s="40">
        <f>IF(W354=0,0,W354+V354-U354)</f>
        <v>0</v>
      </c>
      <c r="Y354" s="36">
        <f>IF(W354=0,0,N(R354)*MAX(0,X354-MAX(W354,YEAR(Cfg_Hoje)*12+MONTH(Cfg_Hoje)+IF(DAY(Cfg_Hoje)&gt;=INDEX(Cartoes_Fech,MATCH($F354,Cartoes_Nome,0)),1,0))+1))</f>
        <v>0</v>
      </c>
      <c r="Z354" s="40">
        <f>IF($A354="",0,DAY($A354))</f>
        <v>6</v>
      </c>
      <c r="AA354" s="40">
        <f>IF($A354="",0,WEEKDAY($A354))</f>
        <v>4</v>
      </c>
      <c r="AB354" s="36">
        <f>IF(AND($C354="Despesa",U354&gt;0,U354&lt;=Sel_Idx,V354&gt;=Sel_Idx),N(R354)+ROW()/1000000000,0)</f>
        <v>0</v>
      </c>
      <c r="AC354" s="40">
        <f>IF(AND($C354="Despesa",U354&gt;0,U354&lt;=Sel_Idx,V354&gt;=Sel_Idx),Z354*10000+ROW(),0)</f>
        <v>0</v>
      </c>
      <c r="AD354" s="40">
        <f>IF(AC354=0,0,COUNTIFS(L_CalChave,"&gt;0",L_CalChave,"&lt;"&amp;AC354)+1)</f>
        <v>0</v>
      </c>
    </row>
    <row r="355">
      <c r="A355" s="38" t="n">
        <v>46148</v>
      </c>
      <c r="B355" s="39" t="inlineStr">
        <is>
          <t>Aporte - reserva de emergência</t>
        </is>
      </c>
      <c r="C355" s="34" t="inlineStr">
        <is>
          <t>Investimento</t>
        </is>
      </c>
      <c r="D355" s="34" t="inlineStr">
        <is>
          <t>Investimento</t>
        </is>
      </c>
      <c r="E355" s="34" t="n"/>
      <c r="F355" s="34" t="inlineStr">
        <is>
          <t>Conta Corrente Banco Azul</t>
        </is>
      </c>
      <c r="G355" s="34" t="inlineStr">
        <is>
          <t>Transferência</t>
        </is>
      </c>
      <c r="H355" s="37" t="n"/>
      <c r="I355" s="37" t="n"/>
      <c r="J355" s="34" t="inlineStr">
        <is>
          <t>Pago</t>
        </is>
      </c>
      <c r="K355" s="34" t="n"/>
      <c r="L355" s="34" t="inlineStr">
        <is>
          <t>Reserva de emergência</t>
        </is>
      </c>
      <c r="M355" s="39" t="inlineStr">
        <is>
          <t>EXEMPLO</t>
        </is>
      </c>
      <c r="N355" s="35" t="n">
        <v>700</v>
      </c>
      <c r="O355" s="40">
        <f>IF($A355="","",MONTH($A355))</f>
        <v>5</v>
      </c>
      <c r="P355" s="40">
        <f>IF($A355="","",YEAR($A355))</f>
        <v>2026</v>
      </c>
      <c r="Q355" s="41">
        <f>IF($A355="","",DATE(P355,O355,1))</f>
        <v>46143.0</v>
      </c>
      <c r="R355" s="36">
        <f>IF(OR($A355="",$N355=""),"",IF(AND($C355&lt;&gt;"Transferência",N($I355)&gt;1),$N355/$I355,$N355))</f>
        <v>700</v>
      </c>
      <c r="S355" s="41" t="str">
        <f>IF(OR($A355="",$F355="",$C355&lt;&gt;"Despesa"),"",IF(COUNTIF(Cartoes_Nome,$F355)=0,"",DATE(P355,O355+IF(DAY($A355)&gt;=INDEX(Cartoes_Fech,MATCH($F355,Cartoes_Nome,0)),1,0),1)))</f>
        <v/>
      </c>
      <c r="T355" s="42" t="str">
        <f>IF($A355="","",IF(COUNTIFS(L_Data,$A355,L_Desc,$B355,L_Valor,$N355,L_Tipo,$C355)&gt;1,"⚠ Possível duplicidade",IF(OR(AND($C355="Despesa",COUNTIF(CatD_Nome,$D355)=0),AND($C355="Receita",COUNTIF(CatR_Nome,$D355)=0)),"⚠ Categoria não combina com o tipo",IF(OR($N355="",$C355=""),"⚠ Falta valor ou tipo",""))))</f>
        <v/>
      </c>
      <c r="U355" s="40">
        <f>IF($A355="",0,P355*12+O355)</f>
        <v>24317</v>
      </c>
      <c r="V355" s="40">
        <f>IF($A355="",0,U355+MAX(0,N($I355)-MAX(N($H355),1)))</f>
        <v>24317</v>
      </c>
      <c r="W355" s="40">
        <f>IF(S355="",0,YEAR(S355)*12+MONTH(S355))</f>
        <v>0</v>
      </c>
      <c r="X355" s="40">
        <f>IF(W355=0,0,W355+V355-U355)</f>
        <v>0</v>
      </c>
      <c r="Y355" s="36">
        <f>IF(W355=0,0,N(R355)*MAX(0,X355-MAX(W355,YEAR(Cfg_Hoje)*12+MONTH(Cfg_Hoje)+IF(DAY(Cfg_Hoje)&gt;=INDEX(Cartoes_Fech,MATCH($F355,Cartoes_Nome,0)),1,0))+1))</f>
        <v>0</v>
      </c>
      <c r="Z355" s="40">
        <f>IF($A355="",0,DAY($A355))</f>
        <v>6</v>
      </c>
      <c r="AA355" s="40">
        <f>IF($A355="",0,WEEKDAY($A355))</f>
        <v>4</v>
      </c>
      <c r="AB355" s="36">
        <f>IF(AND($C355="Despesa",U355&gt;0,U355&lt;=Sel_Idx,V355&gt;=Sel_Idx),N(R355)+ROW()/1000000000,0)</f>
        <v>0</v>
      </c>
      <c r="AC355" s="40">
        <f>IF(AND($C355="Despesa",U355&gt;0,U355&lt;=Sel_Idx,V355&gt;=Sel_Idx),Z355*10000+ROW(),0)</f>
        <v>0</v>
      </c>
      <c r="AD355" s="40">
        <f>IF(AC355=0,0,COUNTIFS(L_CalChave,"&gt;0",L_CalChave,"&lt;"&amp;AC355)+1)</f>
        <v>0</v>
      </c>
    </row>
    <row r="356">
      <c r="A356" s="38" t="n">
        <v>46148</v>
      </c>
      <c r="B356" s="39" t="inlineStr">
        <is>
          <t>Aporte - troca de carro</t>
        </is>
      </c>
      <c r="C356" s="34" t="inlineStr">
        <is>
          <t>Investimento</t>
        </is>
      </c>
      <c r="D356" s="34" t="inlineStr">
        <is>
          <t>Investimento</t>
        </is>
      </c>
      <c r="E356" s="34" t="n"/>
      <c r="F356" s="34" t="inlineStr">
        <is>
          <t>Conta Corrente Banco Azul</t>
        </is>
      </c>
      <c r="G356" s="34" t="inlineStr">
        <is>
          <t>Transferência</t>
        </is>
      </c>
      <c r="H356" s="37" t="n"/>
      <c r="I356" s="37" t="n"/>
      <c r="J356" s="34" t="inlineStr">
        <is>
          <t>Pago</t>
        </is>
      </c>
      <c r="K356" s="34" t="n"/>
      <c r="L356" s="34" t="inlineStr">
        <is>
          <t>Troca de carro</t>
        </is>
      </c>
      <c r="M356" s="39" t="inlineStr">
        <is>
          <t>EXEMPLO</t>
        </is>
      </c>
      <c r="N356" s="35" t="n">
        <v>200</v>
      </c>
      <c r="O356" s="40">
        <f>IF($A356="","",MONTH($A356))</f>
        <v>5</v>
      </c>
      <c r="P356" s="40">
        <f>IF($A356="","",YEAR($A356))</f>
        <v>2026</v>
      </c>
      <c r="Q356" s="41">
        <f>IF($A356="","",DATE(P356,O356,1))</f>
        <v>46143.0</v>
      </c>
      <c r="R356" s="36">
        <f>IF(OR($A356="",$N356=""),"",IF(AND($C356&lt;&gt;"Transferência",N($I356)&gt;1),$N356/$I356,$N356))</f>
        <v>200</v>
      </c>
      <c r="S356" s="41" t="str">
        <f>IF(OR($A356="",$F356="",$C356&lt;&gt;"Despesa"),"",IF(COUNTIF(Cartoes_Nome,$F356)=0,"",DATE(P356,O356+IF(DAY($A356)&gt;=INDEX(Cartoes_Fech,MATCH($F356,Cartoes_Nome,0)),1,0),1)))</f>
        <v/>
      </c>
      <c r="T356" s="42" t="str">
        <f>IF($A356="","",IF(COUNTIFS(L_Data,$A356,L_Desc,$B356,L_Valor,$N356,L_Tipo,$C356)&gt;1,"⚠ Possível duplicidade",IF(OR(AND($C356="Despesa",COUNTIF(CatD_Nome,$D356)=0),AND($C356="Receita",COUNTIF(CatR_Nome,$D356)=0)),"⚠ Categoria não combina com o tipo",IF(OR($N356="",$C356=""),"⚠ Falta valor ou tipo",""))))</f>
        <v/>
      </c>
      <c r="U356" s="40">
        <f>IF($A356="",0,P356*12+O356)</f>
        <v>24317</v>
      </c>
      <c r="V356" s="40">
        <f>IF($A356="",0,U356+MAX(0,N($I356)-MAX(N($H356),1)))</f>
        <v>24317</v>
      </c>
      <c r="W356" s="40">
        <f>IF(S356="",0,YEAR(S356)*12+MONTH(S356))</f>
        <v>0</v>
      </c>
      <c r="X356" s="40">
        <f>IF(W356=0,0,W356+V356-U356)</f>
        <v>0</v>
      </c>
      <c r="Y356" s="36">
        <f>IF(W356=0,0,N(R356)*MAX(0,X356-MAX(W356,YEAR(Cfg_Hoje)*12+MONTH(Cfg_Hoje)+IF(DAY(Cfg_Hoje)&gt;=INDEX(Cartoes_Fech,MATCH($F356,Cartoes_Nome,0)),1,0))+1))</f>
        <v>0</v>
      </c>
      <c r="Z356" s="40">
        <f>IF($A356="",0,DAY($A356))</f>
        <v>6</v>
      </c>
      <c r="AA356" s="40">
        <f>IF($A356="",0,WEEKDAY($A356))</f>
        <v>4</v>
      </c>
      <c r="AB356" s="36">
        <f>IF(AND($C356="Despesa",U356&gt;0,U356&lt;=Sel_Idx,V356&gt;=Sel_Idx),N(R356)+ROW()/1000000000,0)</f>
        <v>0</v>
      </c>
      <c r="AC356" s="40">
        <f>IF(AND($C356="Despesa",U356&gt;0,U356&lt;=Sel_Idx,V356&gt;=Sel_Idx),Z356*10000+ROW(),0)</f>
        <v>0</v>
      </c>
      <c r="AD356" s="40">
        <f>IF(AC356=0,0,COUNTIFS(L_CalChave,"&gt;0",L_CalChave,"&lt;"&amp;AC356)+1)</f>
        <v>0</v>
      </c>
    </row>
    <row r="357">
      <c r="A357" s="38" t="n">
        <v>46148</v>
      </c>
      <c r="B357" s="39" t="inlineStr">
        <is>
          <t>Aporte - viagem</t>
        </is>
      </c>
      <c r="C357" s="34" t="inlineStr">
        <is>
          <t>Investimento</t>
        </is>
      </c>
      <c r="D357" s="34" t="inlineStr">
        <is>
          <t>Investimento</t>
        </is>
      </c>
      <c r="E357" s="34" t="n"/>
      <c r="F357" s="34" t="inlineStr">
        <is>
          <t>Conta Corrente Banco Azul</t>
        </is>
      </c>
      <c r="G357" s="34" t="inlineStr">
        <is>
          <t>Transferência</t>
        </is>
      </c>
      <c r="H357" s="37" t="n"/>
      <c r="I357" s="37" t="n"/>
      <c r="J357" s="34" t="inlineStr">
        <is>
          <t>Pago</t>
        </is>
      </c>
      <c r="K357" s="34" t="n"/>
      <c r="L357" s="34" t="inlineStr">
        <is>
          <t>Viagem Europa</t>
        </is>
      </c>
      <c r="M357" s="39" t="inlineStr">
        <is>
          <t>EXEMPLO</t>
        </is>
      </c>
      <c r="N357" s="35" t="n">
        <v>300</v>
      </c>
      <c r="O357" s="40">
        <f>IF($A357="","",MONTH($A357))</f>
        <v>5</v>
      </c>
      <c r="P357" s="40">
        <f>IF($A357="","",YEAR($A357))</f>
        <v>2026</v>
      </c>
      <c r="Q357" s="41">
        <f>IF($A357="","",DATE(P357,O357,1))</f>
        <v>46143.0</v>
      </c>
      <c r="R357" s="36">
        <f>IF(OR($A357="",$N357=""),"",IF(AND($C357&lt;&gt;"Transferência",N($I357)&gt;1),$N357/$I357,$N357))</f>
        <v>300</v>
      </c>
      <c r="S357" s="41" t="str">
        <f>IF(OR($A357="",$F357="",$C357&lt;&gt;"Despesa"),"",IF(COUNTIF(Cartoes_Nome,$F357)=0,"",DATE(P357,O357+IF(DAY($A357)&gt;=INDEX(Cartoes_Fech,MATCH($F357,Cartoes_Nome,0)),1,0),1)))</f>
        <v/>
      </c>
      <c r="T357" s="42" t="str">
        <f>IF($A357="","",IF(COUNTIFS(L_Data,$A357,L_Desc,$B357,L_Valor,$N357,L_Tipo,$C357)&gt;1,"⚠ Possível duplicidade",IF(OR(AND($C357="Despesa",COUNTIF(CatD_Nome,$D357)=0),AND($C357="Receita",COUNTIF(CatR_Nome,$D357)=0)),"⚠ Categoria não combina com o tipo",IF(OR($N357="",$C357=""),"⚠ Falta valor ou tipo",""))))</f>
        <v/>
      </c>
      <c r="U357" s="40">
        <f>IF($A357="",0,P357*12+O357)</f>
        <v>24317</v>
      </c>
      <c r="V357" s="40">
        <f>IF($A357="",0,U357+MAX(0,N($I357)-MAX(N($H357),1)))</f>
        <v>24317</v>
      </c>
      <c r="W357" s="40">
        <f>IF(S357="",0,YEAR(S357)*12+MONTH(S357))</f>
        <v>0</v>
      </c>
      <c r="X357" s="40">
        <f>IF(W357=0,0,W357+V357-U357)</f>
        <v>0</v>
      </c>
      <c r="Y357" s="36">
        <f>IF(W357=0,0,N(R357)*MAX(0,X357-MAX(W357,YEAR(Cfg_Hoje)*12+MONTH(Cfg_Hoje)+IF(DAY(Cfg_Hoje)&gt;=INDEX(Cartoes_Fech,MATCH($F357,Cartoes_Nome,0)),1,0))+1))</f>
        <v>0</v>
      </c>
      <c r="Z357" s="40">
        <f>IF($A357="",0,DAY($A357))</f>
        <v>6</v>
      </c>
      <c r="AA357" s="40">
        <f>IF($A357="",0,WEEKDAY($A357))</f>
        <v>4</v>
      </c>
      <c r="AB357" s="36">
        <f>IF(AND($C357="Despesa",U357&gt;0,U357&lt;=Sel_Idx,V357&gt;=Sel_Idx),N(R357)+ROW()/1000000000,0)</f>
        <v>0</v>
      </c>
      <c r="AC357" s="40">
        <f>IF(AND($C357="Despesa",U357&gt;0,U357&lt;=Sel_Idx,V357&gt;=Sel_Idx),Z357*10000+ROW(),0)</f>
        <v>0</v>
      </c>
      <c r="AD357" s="40">
        <f>IF(AC357=0,0,COUNTIFS(L_CalChave,"&gt;0",L_CalChave,"&lt;"&amp;AC357)+1)</f>
        <v>0</v>
      </c>
    </row>
    <row r="358">
      <c r="A358" s="38" t="n">
        <v>46149</v>
      </c>
      <c r="B358" s="39" t="inlineStr">
        <is>
          <t>Doação mensal</t>
        </is>
      </c>
      <c r="C358" s="34" t="inlineStr">
        <is>
          <t>Despesa</t>
        </is>
      </c>
      <c r="D358" s="34" t="inlineStr">
        <is>
          <t>Doações</t>
        </is>
      </c>
      <c r="E358" s="34" t="inlineStr">
        <is>
          <t>ONG</t>
        </is>
      </c>
      <c r="F358" s="34" t="inlineStr">
        <is>
          <t>Conta Corrente Banco Azul</t>
        </is>
      </c>
      <c r="G358" s="34" t="inlineStr">
        <is>
          <t>Pix</t>
        </is>
      </c>
      <c r="H358" s="37" t="n"/>
      <c r="I358" s="37" t="n"/>
      <c r="J358" s="34" t="inlineStr">
        <is>
          <t>Pago</t>
        </is>
      </c>
      <c r="K358" s="34" t="n"/>
      <c r="L358" s="34" t="n"/>
      <c r="M358" s="39" t="inlineStr">
        <is>
          <t>EXEMPLO</t>
        </is>
      </c>
      <c r="N358" s="35" t="n">
        <v>100</v>
      </c>
      <c r="O358" s="40">
        <f>IF($A358="","",MONTH($A358))</f>
        <v>5</v>
      </c>
      <c r="P358" s="40">
        <f>IF($A358="","",YEAR($A358))</f>
        <v>2026</v>
      </c>
      <c r="Q358" s="41">
        <f>IF($A358="","",DATE(P358,O358,1))</f>
        <v>46143.0</v>
      </c>
      <c r="R358" s="36">
        <f>IF(OR($A358="",$N358=""),"",IF(AND($C358&lt;&gt;"Transferência",N($I358)&gt;1),$N358/$I358,$N358))</f>
        <v>100</v>
      </c>
      <c r="S358" s="41" t="str">
        <f>IF(OR($A358="",$F358="",$C358&lt;&gt;"Despesa"),"",IF(COUNTIF(Cartoes_Nome,$F358)=0,"",DATE(P358,O358+IF(DAY($A358)&gt;=INDEX(Cartoes_Fech,MATCH($F358,Cartoes_Nome,0)),1,0),1)))</f>
        <v/>
      </c>
      <c r="T358" s="42" t="str">
        <f>IF($A358="","",IF(COUNTIFS(L_Data,$A358,L_Desc,$B358,L_Valor,$N358,L_Tipo,$C358)&gt;1,"⚠ Possível duplicidade",IF(OR(AND($C358="Despesa",COUNTIF(CatD_Nome,$D358)=0),AND($C358="Receita",COUNTIF(CatR_Nome,$D358)=0)),"⚠ Categoria não combina com o tipo",IF(OR($N358="",$C358=""),"⚠ Falta valor ou tipo",""))))</f>
        <v/>
      </c>
      <c r="U358" s="40">
        <f>IF($A358="",0,P358*12+O358)</f>
        <v>24317</v>
      </c>
      <c r="V358" s="40">
        <f>IF($A358="",0,U358+MAX(0,N($I358)-MAX(N($H358),1)))</f>
        <v>24317</v>
      </c>
      <c r="W358" s="40">
        <f>IF(S358="",0,YEAR(S358)*12+MONTH(S358))</f>
        <v>0</v>
      </c>
      <c r="X358" s="40">
        <f>IF(W358=0,0,W358+V358-U358)</f>
        <v>0</v>
      </c>
      <c r="Y358" s="36">
        <f>IF(W358=0,0,N(R358)*MAX(0,X358-MAX(W358,YEAR(Cfg_Hoje)*12+MONTH(Cfg_Hoje)+IF(DAY(Cfg_Hoje)&gt;=INDEX(Cartoes_Fech,MATCH($F358,Cartoes_Nome,0)),1,0))+1))</f>
        <v>0</v>
      </c>
      <c r="Z358" s="40">
        <f>IF($A358="",0,DAY($A358))</f>
        <v>7</v>
      </c>
      <c r="AA358" s="40">
        <f>IF($A358="",0,WEEKDAY($A358))</f>
        <v>5</v>
      </c>
      <c r="AB358" s="36">
        <f>IF(AND($C358="Despesa",U358&gt;0,U358&lt;=Sel_Idx,V358&gt;=Sel_Idx),N(R358)+ROW()/1000000000,0)</f>
        <v>0</v>
      </c>
      <c r="AC358" s="40">
        <f>IF(AND($C358="Despesa",U358&gt;0,U358&lt;=Sel_Idx,V358&gt;=Sel_Idx),Z358*10000+ROW(),0)</f>
        <v>0</v>
      </c>
      <c r="AD358" s="40">
        <f>IF(AC358=0,0,COUNTIFS(L_CalChave,"&gt;0",L_CalChave,"&lt;"&amp;AC358)+1)</f>
        <v>0</v>
      </c>
    </row>
    <row r="359">
      <c r="A359" s="38" t="n">
        <v>46150</v>
      </c>
      <c r="B359" s="39" t="inlineStr">
        <is>
          <t>Curso de inglês</t>
        </is>
      </c>
      <c r="C359" s="34" t="inlineStr">
        <is>
          <t>Despesa</t>
        </is>
      </c>
      <c r="D359" s="34" t="inlineStr">
        <is>
          <t>Educação</t>
        </is>
      </c>
      <c r="E359" s="34" t="inlineStr">
        <is>
          <t>Cursos</t>
        </is>
      </c>
      <c r="F359" s="34" t="inlineStr">
        <is>
          <t>Conta Corrente Banco Azul</t>
        </is>
      </c>
      <c r="G359" s="34" t="inlineStr">
        <is>
          <t>Boleto</t>
        </is>
      </c>
      <c r="H359" s="37" t="n"/>
      <c r="I359" s="37" t="n"/>
      <c r="J359" s="34" t="inlineStr">
        <is>
          <t>Pago</t>
        </is>
      </c>
      <c r="K359" s="34" t="n"/>
      <c r="L359" s="34" t="n"/>
      <c r="M359" s="39" t="inlineStr">
        <is>
          <t>EXEMPLO</t>
        </is>
      </c>
      <c r="N359" s="35" t="n">
        <v>390</v>
      </c>
      <c r="O359" s="40">
        <f>IF($A359="","",MONTH($A359))</f>
        <v>5</v>
      </c>
      <c r="P359" s="40">
        <f>IF($A359="","",YEAR($A359))</f>
        <v>2026</v>
      </c>
      <c r="Q359" s="41">
        <f>IF($A359="","",DATE(P359,O359,1))</f>
        <v>46143.0</v>
      </c>
      <c r="R359" s="36">
        <f>IF(OR($A359="",$N359=""),"",IF(AND($C359&lt;&gt;"Transferência",N($I359)&gt;1),$N359/$I359,$N359))</f>
        <v>390</v>
      </c>
      <c r="S359" s="41" t="str">
        <f>IF(OR($A359="",$F359="",$C359&lt;&gt;"Despesa"),"",IF(COUNTIF(Cartoes_Nome,$F359)=0,"",DATE(P359,O359+IF(DAY($A359)&gt;=INDEX(Cartoes_Fech,MATCH($F359,Cartoes_Nome,0)),1,0),1)))</f>
        <v/>
      </c>
      <c r="T359" s="42" t="str">
        <f>IF($A359="","",IF(COUNTIFS(L_Data,$A359,L_Desc,$B359,L_Valor,$N359,L_Tipo,$C359)&gt;1,"⚠ Possível duplicidade",IF(OR(AND($C359="Despesa",COUNTIF(CatD_Nome,$D359)=0),AND($C359="Receita",COUNTIF(CatR_Nome,$D359)=0)),"⚠ Categoria não combina com o tipo",IF(OR($N359="",$C359=""),"⚠ Falta valor ou tipo",""))))</f>
        <v/>
      </c>
      <c r="U359" s="40">
        <f>IF($A359="",0,P359*12+O359)</f>
        <v>24317</v>
      </c>
      <c r="V359" s="40">
        <f>IF($A359="",0,U359+MAX(0,N($I359)-MAX(N($H359),1)))</f>
        <v>24317</v>
      </c>
      <c r="W359" s="40">
        <f>IF(S359="",0,YEAR(S359)*12+MONTH(S359))</f>
        <v>0</v>
      </c>
      <c r="X359" s="40">
        <f>IF(W359=0,0,W359+V359-U359)</f>
        <v>0</v>
      </c>
      <c r="Y359" s="36">
        <f>IF(W359=0,0,N(R359)*MAX(0,X359-MAX(W359,YEAR(Cfg_Hoje)*12+MONTH(Cfg_Hoje)+IF(DAY(Cfg_Hoje)&gt;=INDEX(Cartoes_Fech,MATCH($F359,Cartoes_Nome,0)),1,0))+1))</f>
        <v>0</v>
      </c>
      <c r="Z359" s="40">
        <f>IF($A359="",0,DAY($A359))</f>
        <v>8</v>
      </c>
      <c r="AA359" s="40">
        <f>IF($A359="",0,WEEKDAY($A359))</f>
        <v>6</v>
      </c>
      <c r="AB359" s="36">
        <f>IF(AND($C359="Despesa",U359&gt;0,U359&lt;=Sel_Idx,V359&gt;=Sel_Idx),N(R359)+ROW()/1000000000,0)</f>
        <v>0</v>
      </c>
      <c r="AC359" s="40">
        <f>IF(AND($C359="Despesa",U359&gt;0,U359&lt;=Sel_Idx,V359&gt;=Sel_Idx),Z359*10000+ROW(),0)</f>
        <v>0</v>
      </c>
      <c r="AD359" s="40">
        <f>IF(AC359=0,0,COUNTIFS(L_CalChave,"&gt;0",L_CalChave,"&lt;"&amp;AC359)+1)</f>
        <v>0</v>
      </c>
    </row>
    <row r="360">
      <c r="A360" s="38" t="n">
        <v>46151</v>
      </c>
      <c r="B360" s="39" t="inlineStr">
        <is>
          <t>Delivery de comida</t>
        </is>
      </c>
      <c r="C360" s="34" t="inlineStr">
        <is>
          <t>Despesa</t>
        </is>
      </c>
      <c r="D360" s="34" t="inlineStr">
        <is>
          <t>Alimentação</t>
        </is>
      </c>
      <c r="E360" s="34" t="inlineStr">
        <is>
          <t>Restaurantes</t>
        </is>
      </c>
      <c r="F360" s="34" t="inlineStr">
        <is>
          <t>Cartão Roxinho</t>
        </is>
      </c>
      <c r="G360" s="34" t="inlineStr">
        <is>
          <t>Crédito</t>
        </is>
      </c>
      <c r="H360" s="37" t="n"/>
      <c r="I360" s="37" t="n"/>
      <c r="J360" s="34" t="inlineStr">
        <is>
          <t>Pago</t>
        </is>
      </c>
      <c r="K360" s="34" t="n"/>
      <c r="L360" s="34" t="n"/>
      <c r="M360" s="39" t="inlineStr">
        <is>
          <t>EXEMPLO</t>
        </is>
      </c>
      <c r="N360" s="35" t="n">
        <v>51.35</v>
      </c>
      <c r="O360" s="40">
        <f>IF($A360="","",MONTH($A360))</f>
        <v>5</v>
      </c>
      <c r="P360" s="40">
        <f>IF($A360="","",YEAR($A360))</f>
        <v>2026</v>
      </c>
      <c r="Q360" s="41">
        <f>IF($A360="","",DATE(P360,O360,1))</f>
        <v>46143.0</v>
      </c>
      <c r="R360" s="36">
        <f>IF(OR($A360="",$N360=""),"",IF(AND($C360&lt;&gt;"Transferência",N($I360)&gt;1),$N360/$I360,$N360))</f>
        <v>51.35</v>
      </c>
      <c r="S360" s="41">
        <f>IF(OR($A360="",$F360="",$C360&lt;&gt;"Despesa"),"",IF(COUNTIF(Cartoes_Nome,$F360)=0,"",DATE(P360,O360+IF(DAY($A360)&gt;=INDEX(Cartoes_Fech,MATCH($F360,Cartoes_Nome,0)),1,0),1)))</f>
        <v>46143.0</v>
      </c>
      <c r="T360" s="42" t="str">
        <f>IF($A360="","",IF(COUNTIFS(L_Data,$A360,L_Desc,$B360,L_Valor,$N360,L_Tipo,$C360)&gt;1,"⚠ Possível duplicidade",IF(OR(AND($C360="Despesa",COUNTIF(CatD_Nome,$D360)=0),AND($C360="Receita",COUNTIF(CatR_Nome,$D360)=0)),"⚠ Categoria não combina com o tipo",IF(OR($N360="",$C360=""),"⚠ Falta valor ou tipo",""))))</f>
        <v/>
      </c>
      <c r="U360" s="40">
        <f>IF($A360="",0,P360*12+O360)</f>
        <v>24317</v>
      </c>
      <c r="V360" s="40">
        <f>IF($A360="",0,U360+MAX(0,N($I360)-MAX(N($H360),1)))</f>
        <v>24317</v>
      </c>
      <c r="W360" s="40">
        <f>IF(S360="",0,YEAR(S360)*12+MONTH(S360))</f>
        <v>24317</v>
      </c>
      <c r="X360" s="40">
        <f>IF(W360=0,0,W360+V360-U360)</f>
        <v>24317</v>
      </c>
      <c r="Y360" s="36">
        <f>IF(W360=0,0,N(R360)*MAX(0,X360-MAX(W360,YEAR(Cfg_Hoje)*12+MONTH(Cfg_Hoje)+IF(DAY(Cfg_Hoje)&gt;=INDEX(Cartoes_Fech,MATCH($F360,Cartoes_Nome,0)),1,0))+1))</f>
        <v>0</v>
      </c>
      <c r="Z360" s="40">
        <f>IF($A360="",0,DAY($A360))</f>
        <v>9</v>
      </c>
      <c r="AA360" s="40">
        <f>IF($A360="",0,WEEKDAY($A360))</f>
        <v>7</v>
      </c>
      <c r="AB360" s="36">
        <f>IF(AND($C360="Despesa",U360&gt;0,U360&lt;=Sel_Idx,V360&gt;=Sel_Idx),N(R360)+ROW()/1000000000,0)</f>
        <v>0</v>
      </c>
      <c r="AC360" s="40">
        <f>IF(AND($C360="Despesa",U360&gt;0,U360&lt;=Sel_Idx,V360&gt;=Sel_Idx),Z360*10000+ROW(),0)</f>
        <v>0</v>
      </c>
      <c r="AD360" s="40">
        <f>IF(AC360=0,0,COUNTIFS(L_CalChave,"&gt;0",L_CalChave,"&lt;"&amp;AC360)+1)</f>
        <v>0</v>
      </c>
    </row>
    <row r="361">
      <c r="A361" s="38" t="n">
        <v>46151</v>
      </c>
      <c r="B361" s="39" t="inlineStr">
        <is>
          <t>Ração e petiscos</t>
        </is>
      </c>
      <c r="C361" s="34" t="inlineStr">
        <is>
          <t>Despesa</t>
        </is>
      </c>
      <c r="D361" s="34" t="inlineStr">
        <is>
          <t>Família/Pets</t>
        </is>
      </c>
      <c r="E361" s="34" t="inlineStr">
        <is>
          <t>Ração</t>
        </is>
      </c>
      <c r="F361" s="34" t="inlineStr">
        <is>
          <t>Cartão Azul Gold</t>
        </is>
      </c>
      <c r="G361" s="34" t="inlineStr">
        <is>
          <t>Crédito</t>
        </is>
      </c>
      <c r="H361" s="37" t="n"/>
      <c r="I361" s="37" t="n"/>
      <c r="J361" s="34" t="inlineStr">
        <is>
          <t>Pago</t>
        </is>
      </c>
      <c r="K361" s="34" t="n"/>
      <c r="L361" s="34" t="n"/>
      <c r="M361" s="39" t="inlineStr">
        <is>
          <t>EXEMPLO</t>
        </is>
      </c>
      <c r="N361" s="35" t="n">
        <v>208.16</v>
      </c>
      <c r="O361" s="40">
        <f>IF($A361="","",MONTH($A361))</f>
        <v>5</v>
      </c>
      <c r="P361" s="40">
        <f>IF($A361="","",YEAR($A361))</f>
        <v>2026</v>
      </c>
      <c r="Q361" s="41">
        <f>IF($A361="","",DATE(P361,O361,1))</f>
        <v>46143.0</v>
      </c>
      <c r="R361" s="36">
        <f>IF(OR($A361="",$N361=""),"",IF(AND($C361&lt;&gt;"Transferência",N($I361)&gt;1),$N361/$I361,$N361))</f>
        <v>208.16</v>
      </c>
      <c r="S361" s="41">
        <f>IF(OR($A361="",$F361="",$C361&lt;&gt;"Despesa"),"",IF(COUNTIF(Cartoes_Nome,$F361)=0,"",DATE(P361,O361+IF(DAY($A361)&gt;=INDEX(Cartoes_Fech,MATCH($F361,Cartoes_Nome,0)),1,0),1)))</f>
        <v>46143.0</v>
      </c>
      <c r="T361" s="42" t="str">
        <f>IF($A361="","",IF(COUNTIFS(L_Data,$A361,L_Desc,$B361,L_Valor,$N361,L_Tipo,$C361)&gt;1,"⚠ Possível duplicidade",IF(OR(AND($C361="Despesa",COUNTIF(CatD_Nome,$D361)=0),AND($C361="Receita",COUNTIF(CatR_Nome,$D361)=0)),"⚠ Categoria não combina com o tipo",IF(OR($N361="",$C361=""),"⚠ Falta valor ou tipo",""))))</f>
        <v/>
      </c>
      <c r="U361" s="40">
        <f>IF($A361="",0,P361*12+O361)</f>
        <v>24317</v>
      </c>
      <c r="V361" s="40">
        <f>IF($A361="",0,U361+MAX(0,N($I361)-MAX(N($H361),1)))</f>
        <v>24317</v>
      </c>
      <c r="W361" s="40">
        <f>IF(S361="",0,YEAR(S361)*12+MONTH(S361))</f>
        <v>24317</v>
      </c>
      <c r="X361" s="40">
        <f>IF(W361=0,0,W361+V361-U361)</f>
        <v>24317</v>
      </c>
      <c r="Y361" s="36">
        <f>IF(W361=0,0,N(R361)*MAX(0,X361-MAX(W361,YEAR(Cfg_Hoje)*12+MONTH(Cfg_Hoje)+IF(DAY(Cfg_Hoje)&gt;=INDEX(Cartoes_Fech,MATCH($F361,Cartoes_Nome,0)),1,0))+1))</f>
        <v>0</v>
      </c>
      <c r="Z361" s="40">
        <f>IF($A361="",0,DAY($A361))</f>
        <v>9</v>
      </c>
      <c r="AA361" s="40">
        <f>IF($A361="",0,WEEKDAY($A361))</f>
        <v>7</v>
      </c>
      <c r="AB361" s="36">
        <f>IF(AND($C361="Despesa",U361&gt;0,U361&lt;=Sel_Idx,V361&gt;=Sel_Idx),N(R361)+ROW()/1000000000,0)</f>
        <v>0</v>
      </c>
      <c r="AC361" s="40">
        <f>IF(AND($C361="Despesa",U361&gt;0,U361&lt;=Sel_Idx,V361&gt;=Sel_Idx),Z361*10000+ROW(),0)</f>
        <v>0</v>
      </c>
      <c r="AD361" s="40">
        <f>IF(AC361=0,0,COUNTIFS(L_CalChave,"&gt;0",L_CalChave,"&lt;"&amp;AC361)+1)</f>
        <v>0</v>
      </c>
    </row>
    <row r="362">
      <c r="A362" s="38" t="n">
        <v>46152</v>
      </c>
      <c r="B362" s="39" t="inlineStr">
        <is>
          <t>Aluguel recebido - apto 12</t>
        </is>
      </c>
      <c r="C362" s="34" t="inlineStr">
        <is>
          <t>Receita</t>
        </is>
      </c>
      <c r="D362" s="34" t="inlineStr">
        <is>
          <t>Aluguel recebido</t>
        </is>
      </c>
      <c r="E362" s="34" t="n"/>
      <c r="F362" s="34" t="inlineStr">
        <is>
          <t>Conta Corrente Banco Azul</t>
        </is>
      </c>
      <c r="G362" s="34" t="inlineStr">
        <is>
          <t>Pix</t>
        </is>
      </c>
      <c r="H362" s="37" t="n"/>
      <c r="I362" s="37" t="n"/>
      <c r="J362" s="34" t="inlineStr">
        <is>
          <t>Pago</t>
        </is>
      </c>
      <c r="K362" s="34" t="n"/>
      <c r="L362" s="34" t="n"/>
      <c r="M362" s="39" t="inlineStr">
        <is>
          <t>EXEMPLO</t>
        </is>
      </c>
      <c r="N362" s="35" t="n">
        <v>1900</v>
      </c>
      <c r="O362" s="40">
        <f>IF($A362="","",MONTH($A362))</f>
        <v>5</v>
      </c>
      <c r="P362" s="40">
        <f>IF($A362="","",YEAR($A362))</f>
        <v>2026</v>
      </c>
      <c r="Q362" s="41">
        <f>IF($A362="","",DATE(P362,O362,1))</f>
        <v>46143.0</v>
      </c>
      <c r="R362" s="36">
        <f>IF(OR($A362="",$N362=""),"",IF(AND($C362&lt;&gt;"Transferência",N($I362)&gt;1),$N362/$I362,$N362))</f>
        <v>1900</v>
      </c>
      <c r="S362" s="41" t="str">
        <f>IF(OR($A362="",$F362="",$C362&lt;&gt;"Despesa"),"",IF(COUNTIF(Cartoes_Nome,$F362)=0,"",DATE(P362,O362+IF(DAY($A362)&gt;=INDEX(Cartoes_Fech,MATCH($F362,Cartoes_Nome,0)),1,0),1)))</f>
        <v/>
      </c>
      <c r="T362" s="42" t="str">
        <f>IF($A362="","",IF(COUNTIFS(L_Data,$A362,L_Desc,$B362,L_Valor,$N362,L_Tipo,$C362)&gt;1,"⚠ Possível duplicidade",IF(OR(AND($C362="Despesa",COUNTIF(CatD_Nome,$D362)=0),AND($C362="Receita",COUNTIF(CatR_Nome,$D362)=0)),"⚠ Categoria não combina com o tipo",IF(OR($N362="",$C362=""),"⚠ Falta valor ou tipo",""))))</f>
        <v/>
      </c>
      <c r="U362" s="40">
        <f>IF($A362="",0,P362*12+O362)</f>
        <v>24317</v>
      </c>
      <c r="V362" s="40">
        <f>IF($A362="",0,U362+MAX(0,N($I362)-MAX(N($H362),1)))</f>
        <v>24317</v>
      </c>
      <c r="W362" s="40">
        <f>IF(S362="",0,YEAR(S362)*12+MONTH(S362))</f>
        <v>0</v>
      </c>
      <c r="X362" s="40">
        <f>IF(W362=0,0,W362+V362-U362)</f>
        <v>0</v>
      </c>
      <c r="Y362" s="36">
        <f>IF(W362=0,0,N(R362)*MAX(0,X362-MAX(W362,YEAR(Cfg_Hoje)*12+MONTH(Cfg_Hoje)+IF(DAY(Cfg_Hoje)&gt;=INDEX(Cartoes_Fech,MATCH($F362,Cartoes_Nome,0)),1,0))+1))</f>
        <v>0</v>
      </c>
      <c r="Z362" s="40">
        <f>IF($A362="",0,DAY($A362))</f>
        <v>10</v>
      </c>
      <c r="AA362" s="40">
        <f>IF($A362="",0,WEEKDAY($A362))</f>
        <v>1</v>
      </c>
      <c r="AB362" s="36">
        <f>IF(AND($C362="Despesa",U362&gt;0,U362&lt;=Sel_Idx,V362&gt;=Sel_Idx),N(R362)+ROW()/1000000000,0)</f>
        <v>0</v>
      </c>
      <c r="AC362" s="40">
        <f>IF(AND($C362="Despesa",U362&gt;0,U362&lt;=Sel_Idx,V362&gt;=Sel_Idx),Z362*10000+ROW(),0)</f>
        <v>0</v>
      </c>
      <c r="AD362" s="40">
        <f>IF(AC362=0,0,COUNTIFS(L_CalChave,"&gt;0",L_CalChave,"&lt;"&amp;AC362)+1)</f>
        <v>0</v>
      </c>
    </row>
    <row r="363">
      <c r="A363" s="38" t="n">
        <v>46152</v>
      </c>
      <c r="B363" s="39" t="inlineStr">
        <is>
          <t>Aluguel residencial</t>
        </is>
      </c>
      <c r="C363" s="34" t="inlineStr">
        <is>
          <t>Despesa</t>
        </is>
      </c>
      <c r="D363" s="34" t="inlineStr">
        <is>
          <t>Moradia</t>
        </is>
      </c>
      <c r="E363" s="34" t="inlineStr">
        <is>
          <t>Aluguel</t>
        </is>
      </c>
      <c r="F363" s="34" t="inlineStr">
        <is>
          <t>Conta Corrente Banco Azul</t>
        </is>
      </c>
      <c r="G363" s="34" t="inlineStr">
        <is>
          <t>Boleto</t>
        </is>
      </c>
      <c r="H363" s="37" t="n"/>
      <c r="I363" s="37" t="n"/>
      <c r="J363" s="34" t="inlineStr">
        <is>
          <t>Pago</t>
        </is>
      </c>
      <c r="K363" s="34" t="n"/>
      <c r="L363" s="34" t="n"/>
      <c r="M363" s="39" t="inlineStr">
        <is>
          <t>EXEMPLO</t>
        </is>
      </c>
      <c r="N363" s="35" t="n">
        <v>2400</v>
      </c>
      <c r="O363" s="40">
        <f>IF($A363="","",MONTH($A363))</f>
        <v>5</v>
      </c>
      <c r="P363" s="40">
        <f>IF($A363="","",YEAR($A363))</f>
        <v>2026</v>
      </c>
      <c r="Q363" s="41">
        <f>IF($A363="","",DATE(P363,O363,1))</f>
        <v>46143.0</v>
      </c>
      <c r="R363" s="36">
        <f>IF(OR($A363="",$N363=""),"",IF(AND($C363&lt;&gt;"Transferência",N($I363)&gt;1),$N363/$I363,$N363))</f>
        <v>2400</v>
      </c>
      <c r="S363" s="41" t="str">
        <f>IF(OR($A363="",$F363="",$C363&lt;&gt;"Despesa"),"",IF(COUNTIF(Cartoes_Nome,$F363)=0,"",DATE(P363,O363+IF(DAY($A363)&gt;=INDEX(Cartoes_Fech,MATCH($F363,Cartoes_Nome,0)),1,0),1)))</f>
        <v/>
      </c>
      <c r="T363" s="42" t="str">
        <f>IF($A363="","",IF(COUNTIFS(L_Data,$A363,L_Desc,$B363,L_Valor,$N363,L_Tipo,$C363)&gt;1,"⚠ Possível duplicidade",IF(OR(AND($C363="Despesa",COUNTIF(CatD_Nome,$D363)=0),AND($C363="Receita",COUNTIF(CatR_Nome,$D363)=0)),"⚠ Categoria não combina com o tipo",IF(OR($N363="",$C363=""),"⚠ Falta valor ou tipo",""))))</f>
        <v/>
      </c>
      <c r="U363" s="40">
        <f>IF($A363="",0,P363*12+O363)</f>
        <v>24317</v>
      </c>
      <c r="V363" s="40">
        <f>IF($A363="",0,U363+MAX(0,N($I363)-MAX(N($H363),1)))</f>
        <v>24317</v>
      </c>
      <c r="W363" s="40">
        <f>IF(S363="",0,YEAR(S363)*12+MONTH(S363))</f>
        <v>0</v>
      </c>
      <c r="X363" s="40">
        <f>IF(W363=0,0,W363+V363-U363)</f>
        <v>0</v>
      </c>
      <c r="Y363" s="36">
        <f>IF(W363=0,0,N(R363)*MAX(0,X363-MAX(W363,YEAR(Cfg_Hoje)*12+MONTH(Cfg_Hoje)+IF(DAY(Cfg_Hoje)&gt;=INDEX(Cartoes_Fech,MATCH($F363,Cartoes_Nome,0)),1,0))+1))</f>
        <v>0</v>
      </c>
      <c r="Z363" s="40">
        <f>IF($A363="",0,DAY($A363))</f>
        <v>10</v>
      </c>
      <c r="AA363" s="40">
        <f>IF($A363="",0,WEEKDAY($A363))</f>
        <v>1</v>
      </c>
      <c r="AB363" s="36">
        <f>IF(AND($C363="Despesa",U363&gt;0,U363&lt;=Sel_Idx,V363&gt;=Sel_Idx),N(R363)+ROW()/1000000000,0)</f>
        <v>0</v>
      </c>
      <c r="AC363" s="40">
        <f>IF(AND($C363="Despesa",U363&gt;0,U363&lt;=Sel_Idx,V363&gt;=Sel_Idx),Z363*10000+ROW(),0)</f>
        <v>0</v>
      </c>
      <c r="AD363" s="40">
        <f>IF(AC363=0,0,COUNTIFS(L_CalChave,"&gt;0",L_CalChave,"&lt;"&amp;AC363)+1)</f>
        <v>0</v>
      </c>
    </row>
    <row r="364">
      <c r="A364" s="38" t="n">
        <v>46152</v>
      </c>
      <c r="B364" s="39" t="inlineStr">
        <is>
          <t>Condomínio</t>
        </is>
      </c>
      <c r="C364" s="34" t="inlineStr">
        <is>
          <t>Despesa</t>
        </is>
      </c>
      <c r="D364" s="34" t="inlineStr">
        <is>
          <t>Moradia</t>
        </is>
      </c>
      <c r="E364" s="34" t="inlineStr">
        <is>
          <t>Condomínio</t>
        </is>
      </c>
      <c r="F364" s="34" t="inlineStr">
        <is>
          <t>Conta Corrente Banco Azul</t>
        </is>
      </c>
      <c r="G364" s="34" t="inlineStr">
        <is>
          <t>Boleto</t>
        </is>
      </c>
      <c r="H364" s="37" t="n"/>
      <c r="I364" s="37" t="n"/>
      <c r="J364" s="34" t="inlineStr">
        <is>
          <t>Pago</t>
        </is>
      </c>
      <c r="K364" s="34" t="n"/>
      <c r="L364" s="34" t="n"/>
      <c r="M364" s="39" t="inlineStr">
        <is>
          <t>EXEMPLO</t>
        </is>
      </c>
      <c r="N364" s="35" t="n">
        <v>650</v>
      </c>
      <c r="O364" s="40">
        <f>IF($A364="","",MONTH($A364))</f>
        <v>5</v>
      </c>
      <c r="P364" s="40">
        <f>IF($A364="","",YEAR($A364))</f>
        <v>2026</v>
      </c>
      <c r="Q364" s="41">
        <f>IF($A364="","",DATE(P364,O364,1))</f>
        <v>46143.0</v>
      </c>
      <c r="R364" s="36">
        <f>IF(OR($A364="",$N364=""),"",IF(AND($C364&lt;&gt;"Transferência",N($I364)&gt;1),$N364/$I364,$N364))</f>
        <v>650</v>
      </c>
      <c r="S364" s="41" t="str">
        <f>IF(OR($A364="",$F364="",$C364&lt;&gt;"Despesa"),"",IF(COUNTIF(Cartoes_Nome,$F364)=0,"",DATE(P364,O364+IF(DAY($A364)&gt;=INDEX(Cartoes_Fech,MATCH($F364,Cartoes_Nome,0)),1,0),1)))</f>
        <v/>
      </c>
      <c r="T364" s="42" t="str">
        <f>IF($A364="","",IF(COUNTIFS(L_Data,$A364,L_Desc,$B364,L_Valor,$N364,L_Tipo,$C364)&gt;1,"⚠ Possível duplicidade",IF(OR(AND($C364="Despesa",COUNTIF(CatD_Nome,$D364)=0),AND($C364="Receita",COUNTIF(CatR_Nome,$D364)=0)),"⚠ Categoria não combina com o tipo",IF(OR($N364="",$C364=""),"⚠ Falta valor ou tipo",""))))</f>
        <v/>
      </c>
      <c r="U364" s="40">
        <f>IF($A364="",0,P364*12+O364)</f>
        <v>24317</v>
      </c>
      <c r="V364" s="40">
        <f>IF($A364="",0,U364+MAX(0,N($I364)-MAX(N($H364),1)))</f>
        <v>24317</v>
      </c>
      <c r="W364" s="40">
        <f>IF(S364="",0,YEAR(S364)*12+MONTH(S364))</f>
        <v>0</v>
      </c>
      <c r="X364" s="40">
        <f>IF(W364=0,0,W364+V364-U364)</f>
        <v>0</v>
      </c>
      <c r="Y364" s="36">
        <f>IF(W364=0,0,N(R364)*MAX(0,X364-MAX(W364,YEAR(Cfg_Hoje)*12+MONTH(Cfg_Hoje)+IF(DAY(Cfg_Hoje)&gt;=INDEX(Cartoes_Fech,MATCH($F364,Cartoes_Nome,0)),1,0))+1))</f>
        <v>0</v>
      </c>
      <c r="Z364" s="40">
        <f>IF($A364="",0,DAY($A364))</f>
        <v>10</v>
      </c>
      <c r="AA364" s="40">
        <f>IF($A364="",0,WEEKDAY($A364))</f>
        <v>1</v>
      </c>
      <c r="AB364" s="36">
        <f>IF(AND($C364="Despesa",U364&gt;0,U364&lt;=Sel_Idx,V364&gt;=Sel_Idx),N(R364)+ROW()/1000000000,0)</f>
        <v>0</v>
      </c>
      <c r="AC364" s="40">
        <f>IF(AND($C364="Despesa",U364&gt;0,U364&lt;=Sel_Idx,V364&gt;=Sel_Idx),Z364*10000+ROW(),0)</f>
        <v>0</v>
      </c>
      <c r="AD364" s="40">
        <f>IF(AC364=0,0,COUNTIFS(L_CalChave,"&gt;0",L_CalChave,"&lt;"&amp;AC364)+1)</f>
        <v>0</v>
      </c>
    </row>
    <row r="365">
      <c r="A365" s="38" t="n">
        <v>46152</v>
      </c>
      <c r="B365" s="39" t="inlineStr">
        <is>
          <t>Delivery de comida</t>
        </is>
      </c>
      <c r="C365" s="34" t="inlineStr">
        <is>
          <t>Despesa</t>
        </is>
      </c>
      <c r="D365" s="34" t="inlineStr">
        <is>
          <t>Alimentação</t>
        </is>
      </c>
      <c r="E365" s="34" t="inlineStr">
        <is>
          <t>Delivery</t>
        </is>
      </c>
      <c r="F365" s="34" t="inlineStr">
        <is>
          <t>Cartão Azul Gold</t>
        </is>
      </c>
      <c r="G365" s="34" t="inlineStr">
        <is>
          <t>Crédito</t>
        </is>
      </c>
      <c r="H365" s="37" t="n"/>
      <c r="I365" s="37" t="n"/>
      <c r="J365" s="34" t="inlineStr">
        <is>
          <t>Pago</t>
        </is>
      </c>
      <c r="K365" s="34" t="n"/>
      <c r="L365" s="34" t="n"/>
      <c r="M365" s="39" t="inlineStr">
        <is>
          <t>EXEMPLO</t>
        </is>
      </c>
      <c r="N365" s="35" t="n">
        <v>49.38</v>
      </c>
      <c r="O365" s="40">
        <f>IF($A365="","",MONTH($A365))</f>
        <v>5</v>
      </c>
      <c r="P365" s="40">
        <f>IF($A365="","",YEAR($A365))</f>
        <v>2026</v>
      </c>
      <c r="Q365" s="41">
        <f>IF($A365="","",DATE(P365,O365,1))</f>
        <v>46143.0</v>
      </c>
      <c r="R365" s="36">
        <f>IF(OR($A365="",$N365=""),"",IF(AND($C365&lt;&gt;"Transferência",N($I365)&gt;1),$N365/$I365,$N365))</f>
        <v>49.38</v>
      </c>
      <c r="S365" s="41">
        <f>IF(OR($A365="",$F365="",$C365&lt;&gt;"Despesa"),"",IF(COUNTIF(Cartoes_Nome,$F365)=0,"",DATE(P365,O365+IF(DAY($A365)&gt;=INDEX(Cartoes_Fech,MATCH($F365,Cartoes_Nome,0)),1,0),1)))</f>
        <v>46174.0</v>
      </c>
      <c r="T365" s="42" t="str">
        <f>IF($A365="","",IF(COUNTIFS(L_Data,$A365,L_Desc,$B365,L_Valor,$N365,L_Tipo,$C365)&gt;1,"⚠ Possível duplicidade",IF(OR(AND($C365="Despesa",COUNTIF(CatD_Nome,$D365)=0),AND($C365="Receita",COUNTIF(CatR_Nome,$D365)=0)),"⚠ Categoria não combina com o tipo",IF(OR($N365="",$C365=""),"⚠ Falta valor ou tipo",""))))</f>
        <v/>
      </c>
      <c r="U365" s="40">
        <f>IF($A365="",0,P365*12+O365)</f>
        <v>24317</v>
      </c>
      <c r="V365" s="40">
        <f>IF($A365="",0,U365+MAX(0,N($I365)-MAX(N($H365),1)))</f>
        <v>24317</v>
      </c>
      <c r="W365" s="40">
        <f>IF(S365="",0,YEAR(S365)*12+MONTH(S365))</f>
        <v>24318</v>
      </c>
      <c r="X365" s="40">
        <f>IF(W365=0,0,W365+V365-U365)</f>
        <v>24318</v>
      </c>
      <c r="Y365" s="36">
        <f>IF(W365=0,0,N(R365)*MAX(0,X365-MAX(W365,YEAR(Cfg_Hoje)*12+MONTH(Cfg_Hoje)+IF(DAY(Cfg_Hoje)&gt;=INDEX(Cartoes_Fech,MATCH($F365,Cartoes_Nome,0)),1,0))+1))</f>
        <v>0</v>
      </c>
      <c r="Z365" s="40">
        <f>IF($A365="",0,DAY($A365))</f>
        <v>10</v>
      </c>
      <c r="AA365" s="40">
        <f>IF($A365="",0,WEEKDAY($A365))</f>
        <v>1</v>
      </c>
      <c r="AB365" s="36">
        <f>IF(AND($C365="Despesa",U365&gt;0,U365&lt;=Sel_Idx,V365&gt;=Sel_Idx),N(R365)+ROW()/1000000000,0)</f>
        <v>0</v>
      </c>
      <c r="AC365" s="40">
        <f>IF(AND($C365="Despesa",U365&gt;0,U365&lt;=Sel_Idx,V365&gt;=Sel_Idx),Z365*10000+ROW(),0)</f>
        <v>0</v>
      </c>
      <c r="AD365" s="40">
        <f>IF(AC365=0,0,COUNTIFS(L_CalChave,"&gt;0",L_CalChave,"&lt;"&amp;AC365)+1)</f>
        <v>0</v>
      </c>
    </row>
    <row r="366">
      <c r="A366" s="38" t="n">
        <v>46154</v>
      </c>
      <c r="B366" s="39" t="inlineStr">
        <is>
          <t>Streaming de música</t>
        </is>
      </c>
      <c r="C366" s="34" t="inlineStr">
        <is>
          <t>Despesa</t>
        </is>
      </c>
      <c r="D366" s="34" t="inlineStr">
        <is>
          <t>Assinaturas</t>
        </is>
      </c>
      <c r="E366" s="34" t="inlineStr">
        <is>
          <t>Música</t>
        </is>
      </c>
      <c r="F366" s="34" t="inlineStr">
        <is>
          <t>Cartão Roxinho</t>
        </is>
      </c>
      <c r="G366" s="34" t="inlineStr">
        <is>
          <t>Crédito</t>
        </is>
      </c>
      <c r="H366" s="37" t="n"/>
      <c r="I366" s="37" t="n"/>
      <c r="J366" s="34" t="inlineStr">
        <is>
          <t>Pago</t>
        </is>
      </c>
      <c r="K366" s="34" t="n"/>
      <c r="L366" s="34" t="n"/>
      <c r="M366" s="39" t="inlineStr">
        <is>
          <t>EXEMPLO</t>
        </is>
      </c>
      <c r="N366" s="35" t="n">
        <v>21.9</v>
      </c>
      <c r="O366" s="40">
        <f>IF($A366="","",MONTH($A366))</f>
        <v>5</v>
      </c>
      <c r="P366" s="40">
        <f>IF($A366="","",YEAR($A366))</f>
        <v>2026</v>
      </c>
      <c r="Q366" s="41">
        <f>IF($A366="","",DATE(P366,O366,1))</f>
        <v>46143.0</v>
      </c>
      <c r="R366" s="36">
        <f>IF(OR($A366="",$N366=""),"",IF(AND($C366&lt;&gt;"Transferência",N($I366)&gt;1),$N366/$I366,$N366))</f>
        <v>21.9</v>
      </c>
      <c r="S366" s="41">
        <f>IF(OR($A366="",$F366="",$C366&lt;&gt;"Despesa"),"",IF(COUNTIF(Cartoes_Nome,$F366)=0,"",DATE(P366,O366+IF(DAY($A366)&gt;=INDEX(Cartoes_Fech,MATCH($F366,Cartoes_Nome,0)),1,0),1)))</f>
        <v>46143.0</v>
      </c>
      <c r="T366" s="42" t="str">
        <f>IF($A366="","",IF(COUNTIFS(L_Data,$A366,L_Desc,$B366,L_Valor,$N366,L_Tipo,$C366)&gt;1,"⚠ Possível duplicidade",IF(OR(AND($C366="Despesa",COUNTIF(CatD_Nome,$D366)=0),AND($C366="Receita",COUNTIF(CatR_Nome,$D366)=0)),"⚠ Categoria não combina com o tipo",IF(OR($N366="",$C366=""),"⚠ Falta valor ou tipo",""))))</f>
        <v/>
      </c>
      <c r="U366" s="40">
        <f>IF($A366="",0,P366*12+O366)</f>
        <v>24317</v>
      </c>
      <c r="V366" s="40">
        <f>IF($A366="",0,U366+MAX(0,N($I366)-MAX(N($H366),1)))</f>
        <v>24317</v>
      </c>
      <c r="W366" s="40">
        <f>IF(S366="",0,YEAR(S366)*12+MONTH(S366))</f>
        <v>24317</v>
      </c>
      <c r="X366" s="40">
        <f>IF(W366=0,0,W366+V366-U366)</f>
        <v>24317</v>
      </c>
      <c r="Y366" s="36">
        <f>IF(W366=0,0,N(R366)*MAX(0,X366-MAX(W366,YEAR(Cfg_Hoje)*12+MONTH(Cfg_Hoje)+IF(DAY(Cfg_Hoje)&gt;=INDEX(Cartoes_Fech,MATCH($F366,Cartoes_Nome,0)),1,0))+1))</f>
        <v>0</v>
      </c>
      <c r="Z366" s="40">
        <f>IF($A366="",0,DAY($A366))</f>
        <v>12</v>
      </c>
      <c r="AA366" s="40">
        <f>IF($A366="",0,WEEKDAY($A366))</f>
        <v>3</v>
      </c>
      <c r="AB366" s="36">
        <f>IF(AND($C366="Despesa",U366&gt;0,U366&lt;=Sel_Idx,V366&gt;=Sel_Idx),N(R366)+ROW()/1000000000,0)</f>
        <v>0</v>
      </c>
      <c r="AC366" s="40">
        <f>IF(AND($C366="Despesa",U366&gt;0,U366&lt;=Sel_Idx,V366&gt;=Sel_Idx),Z366*10000+ROW(),0)</f>
        <v>0</v>
      </c>
      <c r="AD366" s="40">
        <f>IF(AC366=0,0,COUNTIFS(L_CalChave,"&gt;0",L_CalChave,"&lt;"&amp;AC366)+1)</f>
        <v>0</v>
      </c>
    </row>
    <row r="367">
      <c r="A367" s="38" t="n">
        <v>46154</v>
      </c>
      <c r="B367" s="39" t="inlineStr">
        <is>
          <t>Streaming de vídeo</t>
        </is>
      </c>
      <c r="C367" s="34" t="inlineStr">
        <is>
          <t>Despesa</t>
        </is>
      </c>
      <c r="D367" s="34" t="inlineStr">
        <is>
          <t>Assinaturas</t>
        </is>
      </c>
      <c r="E367" s="34" t="inlineStr">
        <is>
          <t>Streaming</t>
        </is>
      </c>
      <c r="F367" s="34" t="inlineStr">
        <is>
          <t>Cartão Roxinho</t>
        </is>
      </c>
      <c r="G367" s="34" t="inlineStr">
        <is>
          <t>Crédito</t>
        </is>
      </c>
      <c r="H367" s="37" t="n"/>
      <c r="I367" s="37" t="n"/>
      <c r="J367" s="34" t="inlineStr">
        <is>
          <t>Pago</t>
        </is>
      </c>
      <c r="K367" s="34" t="n"/>
      <c r="L367" s="34" t="n"/>
      <c r="M367" s="39" t="inlineStr">
        <is>
          <t>EXEMPLO</t>
        </is>
      </c>
      <c r="N367" s="35" t="n">
        <v>55.9</v>
      </c>
      <c r="O367" s="40">
        <f>IF($A367="","",MONTH($A367))</f>
        <v>5</v>
      </c>
      <c r="P367" s="40">
        <f>IF($A367="","",YEAR($A367))</f>
        <v>2026</v>
      </c>
      <c r="Q367" s="41">
        <f>IF($A367="","",DATE(P367,O367,1))</f>
        <v>46143.0</v>
      </c>
      <c r="R367" s="36">
        <f>IF(OR($A367="",$N367=""),"",IF(AND($C367&lt;&gt;"Transferência",N($I367)&gt;1),$N367/$I367,$N367))</f>
        <v>55.9</v>
      </c>
      <c r="S367" s="41">
        <f>IF(OR($A367="",$F367="",$C367&lt;&gt;"Despesa"),"",IF(COUNTIF(Cartoes_Nome,$F367)=0,"",DATE(P367,O367+IF(DAY($A367)&gt;=INDEX(Cartoes_Fech,MATCH($F367,Cartoes_Nome,0)),1,0),1)))</f>
        <v>46143.0</v>
      </c>
      <c r="T367" s="42" t="str">
        <f>IF($A367="","",IF(COUNTIFS(L_Data,$A367,L_Desc,$B367,L_Valor,$N367,L_Tipo,$C367)&gt;1,"⚠ Possível duplicidade",IF(OR(AND($C367="Despesa",COUNTIF(CatD_Nome,$D367)=0),AND($C367="Receita",COUNTIF(CatR_Nome,$D367)=0)),"⚠ Categoria não combina com o tipo",IF(OR($N367="",$C367=""),"⚠ Falta valor ou tipo",""))))</f>
        <v/>
      </c>
      <c r="U367" s="40">
        <f>IF($A367="",0,P367*12+O367)</f>
        <v>24317</v>
      </c>
      <c r="V367" s="40">
        <f>IF($A367="",0,U367+MAX(0,N($I367)-MAX(N($H367),1)))</f>
        <v>24317</v>
      </c>
      <c r="W367" s="40">
        <f>IF(S367="",0,YEAR(S367)*12+MONTH(S367))</f>
        <v>24317</v>
      </c>
      <c r="X367" s="40">
        <f>IF(W367=0,0,W367+V367-U367)</f>
        <v>24317</v>
      </c>
      <c r="Y367" s="36">
        <f>IF(W367=0,0,N(R367)*MAX(0,X367-MAX(W367,YEAR(Cfg_Hoje)*12+MONTH(Cfg_Hoje)+IF(DAY(Cfg_Hoje)&gt;=INDEX(Cartoes_Fech,MATCH($F367,Cartoes_Nome,0)),1,0))+1))</f>
        <v>0</v>
      </c>
      <c r="Z367" s="40">
        <f>IF($A367="",0,DAY($A367))</f>
        <v>12</v>
      </c>
      <c r="AA367" s="40">
        <f>IF($A367="",0,WEEKDAY($A367))</f>
        <v>3</v>
      </c>
      <c r="AB367" s="36">
        <f>IF(AND($C367="Despesa",U367&gt;0,U367&lt;=Sel_Idx,V367&gt;=Sel_Idx),N(R367)+ROW()/1000000000,0)</f>
        <v>0</v>
      </c>
      <c r="AC367" s="40">
        <f>IF(AND($C367="Despesa",U367&gt;0,U367&lt;=Sel_Idx,V367&gt;=Sel_Idx),Z367*10000+ROW(),0)</f>
        <v>0</v>
      </c>
      <c r="AD367" s="40">
        <f>IF(AC367=0,0,COUNTIFS(L_CalChave,"&gt;0",L_CalChave,"&lt;"&amp;AC367)+1)</f>
        <v>0</v>
      </c>
    </row>
    <row r="368">
      <c r="A368" s="38" t="n">
        <v>46155</v>
      </c>
      <c r="B368" s="39" t="inlineStr">
        <is>
          <t>Combustível</t>
        </is>
      </c>
      <c r="C368" s="34" t="inlineStr">
        <is>
          <t>Despesa</t>
        </is>
      </c>
      <c r="D368" s="34" t="inlineStr">
        <is>
          <t>Transporte</t>
        </is>
      </c>
      <c r="E368" s="34" t="inlineStr">
        <is>
          <t>Combustível</t>
        </is>
      </c>
      <c r="F368" s="34" t="inlineStr">
        <is>
          <t>Cartão Roxinho</t>
        </is>
      </c>
      <c r="G368" s="34" t="inlineStr">
        <is>
          <t>Crédito</t>
        </is>
      </c>
      <c r="H368" s="37" t="n"/>
      <c r="I368" s="37" t="n"/>
      <c r="J368" s="34" t="inlineStr">
        <is>
          <t>Pago</t>
        </is>
      </c>
      <c r="K368" s="34" t="n"/>
      <c r="L368" s="34" t="n"/>
      <c r="M368" s="39" t="inlineStr">
        <is>
          <t>EXEMPLO</t>
        </is>
      </c>
      <c r="N368" s="35" t="n">
        <v>213.45</v>
      </c>
      <c r="O368" s="40">
        <f>IF($A368="","",MONTH($A368))</f>
        <v>5</v>
      </c>
      <c r="P368" s="40">
        <f>IF($A368="","",YEAR($A368))</f>
        <v>2026</v>
      </c>
      <c r="Q368" s="41">
        <f>IF($A368="","",DATE(P368,O368,1))</f>
        <v>46143.0</v>
      </c>
      <c r="R368" s="36">
        <f>IF(OR($A368="",$N368=""),"",IF(AND($C368&lt;&gt;"Transferência",N($I368)&gt;1),$N368/$I368,$N368))</f>
        <v>213.45</v>
      </c>
      <c r="S368" s="41">
        <f>IF(OR($A368="",$F368="",$C368&lt;&gt;"Despesa"),"",IF(COUNTIF(Cartoes_Nome,$F368)=0,"",DATE(P368,O368+IF(DAY($A368)&gt;=INDEX(Cartoes_Fech,MATCH($F368,Cartoes_Nome,0)),1,0),1)))</f>
        <v>46143.0</v>
      </c>
      <c r="T368" s="42" t="str">
        <f>IF($A368="","",IF(COUNTIFS(L_Data,$A368,L_Desc,$B368,L_Valor,$N368,L_Tipo,$C368)&gt;1,"⚠ Possível duplicidade",IF(OR(AND($C368="Despesa",COUNTIF(CatD_Nome,$D368)=0),AND($C368="Receita",COUNTIF(CatR_Nome,$D368)=0)),"⚠ Categoria não combina com o tipo",IF(OR($N368="",$C368=""),"⚠ Falta valor ou tipo",""))))</f>
        <v/>
      </c>
      <c r="U368" s="40">
        <f>IF($A368="",0,P368*12+O368)</f>
        <v>24317</v>
      </c>
      <c r="V368" s="40">
        <f>IF($A368="",0,U368+MAX(0,N($I368)-MAX(N($H368),1)))</f>
        <v>24317</v>
      </c>
      <c r="W368" s="40">
        <f>IF(S368="",0,YEAR(S368)*12+MONTH(S368))</f>
        <v>24317</v>
      </c>
      <c r="X368" s="40">
        <f>IF(W368=0,0,W368+V368-U368)</f>
        <v>24317</v>
      </c>
      <c r="Y368" s="36">
        <f>IF(W368=0,0,N(R368)*MAX(0,X368-MAX(W368,YEAR(Cfg_Hoje)*12+MONTH(Cfg_Hoje)+IF(DAY(Cfg_Hoje)&gt;=INDEX(Cartoes_Fech,MATCH($F368,Cartoes_Nome,0)),1,0))+1))</f>
        <v>0</v>
      </c>
      <c r="Z368" s="40">
        <f>IF($A368="",0,DAY($A368))</f>
        <v>13</v>
      </c>
      <c r="AA368" s="40">
        <f>IF($A368="",0,WEEKDAY($A368))</f>
        <v>4</v>
      </c>
      <c r="AB368" s="36">
        <f>IF(AND($C368="Despesa",U368&gt;0,U368&lt;=Sel_Idx,V368&gt;=Sel_Idx),N(R368)+ROW()/1000000000,0)</f>
        <v>0</v>
      </c>
      <c r="AC368" s="40">
        <f>IF(AND($C368="Despesa",U368&gt;0,U368&lt;=Sel_Idx,V368&gt;=Sel_Idx),Z368*10000+ROW(),0)</f>
        <v>0</v>
      </c>
      <c r="AD368" s="40">
        <f>IF(AC368=0,0,COUNTIFS(L_CalChave,"&gt;0",L_CalChave,"&lt;"&amp;AC368)+1)</f>
        <v>0</v>
      </c>
    </row>
    <row r="369">
      <c r="A369" s="38" t="n">
        <v>46155</v>
      </c>
      <c r="B369" s="39" t="inlineStr">
        <is>
          <t>Supermercado</t>
        </is>
      </c>
      <c r="C369" s="34" t="inlineStr">
        <is>
          <t>Despesa</t>
        </is>
      </c>
      <c r="D369" s="34" t="inlineStr">
        <is>
          <t>Alimentação</t>
        </is>
      </c>
      <c r="E369" s="34" t="inlineStr">
        <is>
          <t>Mercado</t>
        </is>
      </c>
      <c r="F369" s="34" t="inlineStr">
        <is>
          <t>Conta Corrente Banco Azul</t>
        </is>
      </c>
      <c r="G369" s="34" t="inlineStr">
        <is>
          <t>Débito</t>
        </is>
      </c>
      <c r="H369" s="37" t="n"/>
      <c r="I369" s="37" t="n"/>
      <c r="J369" s="34" t="inlineStr">
        <is>
          <t>Pago</t>
        </is>
      </c>
      <c r="K369" s="34" t="n"/>
      <c r="L369" s="34" t="n"/>
      <c r="M369" s="39" t="inlineStr">
        <is>
          <t>EXEMPLO</t>
        </is>
      </c>
      <c r="N369" s="35" t="n">
        <v>355.74</v>
      </c>
      <c r="O369" s="40">
        <f>IF($A369="","",MONTH($A369))</f>
        <v>5</v>
      </c>
      <c r="P369" s="40">
        <f>IF($A369="","",YEAR($A369))</f>
        <v>2026</v>
      </c>
      <c r="Q369" s="41">
        <f>IF($A369="","",DATE(P369,O369,1))</f>
        <v>46143.0</v>
      </c>
      <c r="R369" s="36">
        <f>IF(OR($A369="",$N369=""),"",IF(AND($C369&lt;&gt;"Transferência",N($I369)&gt;1),$N369/$I369,$N369))</f>
        <v>355.74</v>
      </c>
      <c r="S369" s="41" t="str">
        <f>IF(OR($A369="",$F369="",$C369&lt;&gt;"Despesa"),"",IF(COUNTIF(Cartoes_Nome,$F369)=0,"",DATE(P369,O369+IF(DAY($A369)&gt;=INDEX(Cartoes_Fech,MATCH($F369,Cartoes_Nome,0)),1,0),1)))</f>
        <v/>
      </c>
      <c r="T369" s="42" t="str">
        <f>IF($A369="","",IF(COUNTIFS(L_Data,$A369,L_Desc,$B369,L_Valor,$N369,L_Tipo,$C369)&gt;1,"⚠ Possível duplicidade",IF(OR(AND($C369="Despesa",COUNTIF(CatD_Nome,$D369)=0),AND($C369="Receita",COUNTIF(CatR_Nome,$D369)=0)),"⚠ Categoria não combina com o tipo",IF(OR($N369="",$C369=""),"⚠ Falta valor ou tipo",""))))</f>
        <v/>
      </c>
      <c r="U369" s="40">
        <f>IF($A369="",0,P369*12+O369)</f>
        <v>24317</v>
      </c>
      <c r="V369" s="40">
        <f>IF($A369="",0,U369+MAX(0,N($I369)-MAX(N($H369),1)))</f>
        <v>24317</v>
      </c>
      <c r="W369" s="40">
        <f>IF(S369="",0,YEAR(S369)*12+MONTH(S369))</f>
        <v>0</v>
      </c>
      <c r="X369" s="40">
        <f>IF(W369=0,0,W369+V369-U369)</f>
        <v>0</v>
      </c>
      <c r="Y369" s="36">
        <f>IF(W369=0,0,N(R369)*MAX(0,X369-MAX(W369,YEAR(Cfg_Hoje)*12+MONTH(Cfg_Hoje)+IF(DAY(Cfg_Hoje)&gt;=INDEX(Cartoes_Fech,MATCH($F369,Cartoes_Nome,0)),1,0))+1))</f>
        <v>0</v>
      </c>
      <c r="Z369" s="40">
        <f>IF($A369="",0,DAY($A369))</f>
        <v>13</v>
      </c>
      <c r="AA369" s="40">
        <f>IF($A369="",0,WEEKDAY($A369))</f>
        <v>4</v>
      </c>
      <c r="AB369" s="36">
        <f>IF(AND($C369="Despesa",U369&gt;0,U369&lt;=Sel_Idx,V369&gt;=Sel_Idx),N(R369)+ROW()/1000000000,0)</f>
        <v>0</v>
      </c>
      <c r="AC369" s="40">
        <f>IF(AND($C369="Despesa",U369&gt;0,U369&lt;=Sel_Idx,V369&gt;=Sel_Idx),Z369*10000+ROW(),0)</f>
        <v>0</v>
      </c>
      <c r="AD369" s="40">
        <f>IF(AC369=0,0,COUNTIFS(L_CalChave,"&gt;0",L_CalChave,"&lt;"&amp;AC369)+1)</f>
        <v>0</v>
      </c>
    </row>
    <row r="370">
      <c r="A370" s="38" t="n">
        <v>46156</v>
      </c>
      <c r="B370" s="39" t="inlineStr">
        <is>
          <t>Armazenamento em nuvem</t>
        </is>
      </c>
      <c r="C370" s="34" t="inlineStr">
        <is>
          <t>Despesa</t>
        </is>
      </c>
      <c r="D370" s="34" t="inlineStr">
        <is>
          <t>Assinaturas</t>
        </is>
      </c>
      <c r="E370" s="34" t="inlineStr">
        <is>
          <t>Nuvem</t>
        </is>
      </c>
      <c r="F370" s="34" t="inlineStr">
        <is>
          <t>Cartão Azul Gold</t>
        </is>
      </c>
      <c r="G370" s="34" t="inlineStr">
        <is>
          <t>Crédito</t>
        </is>
      </c>
      <c r="H370" s="37" t="n"/>
      <c r="I370" s="37" t="n"/>
      <c r="J370" s="34" t="inlineStr">
        <is>
          <t>Pago</t>
        </is>
      </c>
      <c r="K370" s="34" t="n"/>
      <c r="L370" s="34" t="n"/>
      <c r="M370" s="39" t="inlineStr">
        <is>
          <t>EXEMPLO</t>
        </is>
      </c>
      <c r="N370" s="35" t="n">
        <v>14.9</v>
      </c>
      <c r="O370" s="40">
        <f>IF($A370="","",MONTH($A370))</f>
        <v>5</v>
      </c>
      <c r="P370" s="40">
        <f>IF($A370="","",YEAR($A370))</f>
        <v>2026</v>
      </c>
      <c r="Q370" s="41">
        <f>IF($A370="","",DATE(P370,O370,1))</f>
        <v>46143.0</v>
      </c>
      <c r="R370" s="36">
        <f>IF(OR($A370="",$N370=""),"",IF(AND($C370&lt;&gt;"Transferência",N($I370)&gt;1),$N370/$I370,$N370))</f>
        <v>14.9</v>
      </c>
      <c r="S370" s="41">
        <f>IF(OR($A370="",$F370="",$C370&lt;&gt;"Despesa"),"",IF(COUNTIF(Cartoes_Nome,$F370)=0,"",DATE(P370,O370+IF(DAY($A370)&gt;=INDEX(Cartoes_Fech,MATCH($F370,Cartoes_Nome,0)),1,0),1)))</f>
        <v>46174.0</v>
      </c>
      <c r="T370" s="42" t="str">
        <f>IF($A370="","",IF(COUNTIFS(L_Data,$A370,L_Desc,$B370,L_Valor,$N370,L_Tipo,$C370)&gt;1,"⚠ Possível duplicidade",IF(OR(AND($C370="Despesa",COUNTIF(CatD_Nome,$D370)=0),AND($C370="Receita",COUNTIF(CatR_Nome,$D370)=0)),"⚠ Categoria não combina com o tipo",IF(OR($N370="",$C370=""),"⚠ Falta valor ou tipo",""))))</f>
        <v/>
      </c>
      <c r="U370" s="40">
        <f>IF($A370="",0,P370*12+O370)</f>
        <v>24317</v>
      </c>
      <c r="V370" s="40">
        <f>IF($A370="",0,U370+MAX(0,N($I370)-MAX(N($H370),1)))</f>
        <v>24317</v>
      </c>
      <c r="W370" s="40">
        <f>IF(S370="",0,YEAR(S370)*12+MONTH(S370))</f>
        <v>24318</v>
      </c>
      <c r="X370" s="40">
        <f>IF(W370=0,0,W370+V370-U370)</f>
        <v>24318</v>
      </c>
      <c r="Y370" s="36">
        <f>IF(W370=0,0,N(R370)*MAX(0,X370-MAX(W370,YEAR(Cfg_Hoje)*12+MONTH(Cfg_Hoje)+IF(DAY(Cfg_Hoje)&gt;=INDEX(Cartoes_Fech,MATCH($F370,Cartoes_Nome,0)),1,0))+1))</f>
        <v>0</v>
      </c>
      <c r="Z370" s="40">
        <f>IF($A370="",0,DAY($A370))</f>
        <v>14</v>
      </c>
      <c r="AA370" s="40">
        <f>IF($A370="",0,WEEKDAY($A370))</f>
        <v>5</v>
      </c>
      <c r="AB370" s="36">
        <f>IF(AND($C370="Despesa",U370&gt;0,U370&lt;=Sel_Idx,V370&gt;=Sel_Idx),N(R370)+ROW()/1000000000,0)</f>
        <v>0</v>
      </c>
      <c r="AC370" s="40">
        <f>IF(AND($C370="Despesa",U370&gt;0,U370&lt;=Sel_Idx,V370&gt;=Sel_Idx),Z370*10000+ROW(),0)</f>
        <v>0</v>
      </c>
      <c r="AD370" s="40">
        <f>IF(AC370=0,0,COUNTIFS(L_CalChave,"&gt;0",L_CalChave,"&lt;"&amp;AC370)+1)</f>
        <v>0</v>
      </c>
    </row>
    <row r="371">
      <c r="A371" s="38" t="n">
        <v>46156</v>
      </c>
      <c r="B371" s="39" t="inlineStr">
        <is>
          <t>Corrida de aplicativo</t>
        </is>
      </c>
      <c r="C371" s="34" t="inlineStr">
        <is>
          <t>Despesa</t>
        </is>
      </c>
      <c r="D371" s="34" t="inlineStr">
        <is>
          <t>Transporte</t>
        </is>
      </c>
      <c r="E371" s="34" t="inlineStr">
        <is>
          <t>App de transporte</t>
        </is>
      </c>
      <c r="F371" s="34" t="inlineStr">
        <is>
          <t>Conta Corrente Banco Azul</t>
        </is>
      </c>
      <c r="G371" s="34" t="inlineStr">
        <is>
          <t>Pix</t>
        </is>
      </c>
      <c r="H371" s="37" t="n"/>
      <c r="I371" s="37" t="n"/>
      <c r="J371" s="34" t="inlineStr">
        <is>
          <t>Pago</t>
        </is>
      </c>
      <c r="K371" s="34" t="n"/>
      <c r="L371" s="34" t="n"/>
      <c r="M371" s="39" t="inlineStr">
        <is>
          <t>EXEMPLO</t>
        </is>
      </c>
      <c r="N371" s="35" t="n">
        <v>28.67</v>
      </c>
      <c r="O371" s="40">
        <f>IF($A371="","",MONTH($A371))</f>
        <v>5</v>
      </c>
      <c r="P371" s="40">
        <f>IF($A371="","",YEAR($A371))</f>
        <v>2026</v>
      </c>
      <c r="Q371" s="41">
        <f>IF($A371="","",DATE(P371,O371,1))</f>
        <v>46143.0</v>
      </c>
      <c r="R371" s="36">
        <f>IF(OR($A371="",$N371=""),"",IF(AND($C371&lt;&gt;"Transferência",N($I371)&gt;1),$N371/$I371,$N371))</f>
        <v>28.67</v>
      </c>
      <c r="S371" s="41" t="str">
        <f>IF(OR($A371="",$F371="",$C371&lt;&gt;"Despesa"),"",IF(COUNTIF(Cartoes_Nome,$F371)=0,"",DATE(P371,O371+IF(DAY($A371)&gt;=INDEX(Cartoes_Fech,MATCH($F371,Cartoes_Nome,0)),1,0),1)))</f>
        <v/>
      </c>
      <c r="T371" s="42" t="str">
        <f>IF($A371="","",IF(COUNTIFS(L_Data,$A371,L_Desc,$B371,L_Valor,$N371,L_Tipo,$C371)&gt;1,"⚠ Possível duplicidade",IF(OR(AND($C371="Despesa",COUNTIF(CatD_Nome,$D371)=0),AND($C371="Receita",COUNTIF(CatR_Nome,$D371)=0)),"⚠ Categoria não combina com o tipo",IF(OR($N371="",$C371=""),"⚠ Falta valor ou tipo",""))))</f>
        <v/>
      </c>
      <c r="U371" s="40">
        <f>IF($A371="",0,P371*12+O371)</f>
        <v>24317</v>
      </c>
      <c r="V371" s="40">
        <f>IF($A371="",0,U371+MAX(0,N($I371)-MAX(N($H371),1)))</f>
        <v>24317</v>
      </c>
      <c r="W371" s="40">
        <f>IF(S371="",0,YEAR(S371)*12+MONTH(S371))</f>
        <v>0</v>
      </c>
      <c r="X371" s="40">
        <f>IF(W371=0,0,W371+V371-U371)</f>
        <v>0</v>
      </c>
      <c r="Y371" s="36">
        <f>IF(W371=0,0,N(R371)*MAX(0,X371-MAX(W371,YEAR(Cfg_Hoje)*12+MONTH(Cfg_Hoje)+IF(DAY(Cfg_Hoje)&gt;=INDEX(Cartoes_Fech,MATCH($F371,Cartoes_Nome,0)),1,0))+1))</f>
        <v>0</v>
      </c>
      <c r="Z371" s="40">
        <f>IF($A371="",0,DAY($A371))</f>
        <v>14</v>
      </c>
      <c r="AA371" s="40">
        <f>IF($A371="",0,WEEKDAY($A371))</f>
        <v>5</v>
      </c>
      <c r="AB371" s="36">
        <f>IF(AND($C371="Despesa",U371&gt;0,U371&lt;=Sel_Idx,V371&gt;=Sel_Idx),N(R371)+ROW()/1000000000,0)</f>
        <v>0</v>
      </c>
      <c r="AC371" s="40">
        <f>IF(AND($C371="Despesa",U371&gt;0,U371&lt;=Sel_Idx,V371&gt;=Sel_Idx),Z371*10000+ROW(),0)</f>
        <v>0</v>
      </c>
      <c r="AD371" s="40">
        <f>IF(AC371=0,0,COUNTIFS(L_CalChave,"&gt;0",L_CalChave,"&lt;"&amp;AC371)+1)</f>
        <v>0</v>
      </c>
    </row>
    <row r="372">
      <c r="A372" s="38" t="n">
        <v>46157</v>
      </c>
      <c r="B372" s="39" t="inlineStr">
        <is>
          <t>Conta de energia</t>
        </is>
      </c>
      <c r="C372" s="34" t="inlineStr">
        <is>
          <t>Despesa</t>
        </is>
      </c>
      <c r="D372" s="34" t="inlineStr">
        <is>
          <t>Moradia</t>
        </is>
      </c>
      <c r="E372" s="34" t="inlineStr">
        <is>
          <t>Energia</t>
        </is>
      </c>
      <c r="F372" s="34" t="inlineStr">
        <is>
          <t>Conta Corrente Banco Azul</t>
        </is>
      </c>
      <c r="G372" s="34" t="inlineStr">
        <is>
          <t>Débito automático</t>
        </is>
      </c>
      <c r="H372" s="37" t="n"/>
      <c r="I372" s="37" t="n"/>
      <c r="J372" s="34" t="inlineStr">
        <is>
          <t>Pago</t>
        </is>
      </c>
      <c r="K372" s="34" t="n"/>
      <c r="L372" s="34" t="n"/>
      <c r="M372" s="39" t="inlineStr">
        <is>
          <t>EXEMPLO</t>
        </is>
      </c>
      <c r="N372" s="35" t="n">
        <v>167.6</v>
      </c>
      <c r="O372" s="40">
        <f>IF($A372="","",MONTH($A372))</f>
        <v>5</v>
      </c>
      <c r="P372" s="40">
        <f>IF($A372="","",YEAR($A372))</f>
        <v>2026</v>
      </c>
      <c r="Q372" s="41">
        <f>IF($A372="","",DATE(P372,O372,1))</f>
        <v>46143.0</v>
      </c>
      <c r="R372" s="36">
        <f>IF(OR($A372="",$N372=""),"",IF(AND($C372&lt;&gt;"Transferência",N($I372)&gt;1),$N372/$I372,$N372))</f>
        <v>167.6</v>
      </c>
      <c r="S372" s="41" t="str">
        <f>IF(OR($A372="",$F372="",$C372&lt;&gt;"Despesa"),"",IF(COUNTIF(Cartoes_Nome,$F372)=0,"",DATE(P372,O372+IF(DAY($A372)&gt;=INDEX(Cartoes_Fech,MATCH($F372,Cartoes_Nome,0)),1,0),1)))</f>
        <v/>
      </c>
      <c r="T372" s="42" t="str">
        <f>IF($A372="","",IF(COUNTIFS(L_Data,$A372,L_Desc,$B372,L_Valor,$N372,L_Tipo,$C372)&gt;1,"⚠ Possível duplicidade",IF(OR(AND($C372="Despesa",COUNTIF(CatD_Nome,$D372)=0),AND($C372="Receita",COUNTIF(CatR_Nome,$D372)=0)),"⚠ Categoria não combina com o tipo",IF(OR($N372="",$C372=""),"⚠ Falta valor ou tipo",""))))</f>
        <v/>
      </c>
      <c r="U372" s="40">
        <f>IF($A372="",0,P372*12+O372)</f>
        <v>24317</v>
      </c>
      <c r="V372" s="40">
        <f>IF($A372="",0,U372+MAX(0,N($I372)-MAX(N($H372),1)))</f>
        <v>24317</v>
      </c>
      <c r="W372" s="40">
        <f>IF(S372="",0,YEAR(S372)*12+MONTH(S372))</f>
        <v>0</v>
      </c>
      <c r="X372" s="40">
        <f>IF(W372=0,0,W372+V372-U372)</f>
        <v>0</v>
      </c>
      <c r="Y372" s="36">
        <f>IF(W372=0,0,N(R372)*MAX(0,X372-MAX(W372,YEAR(Cfg_Hoje)*12+MONTH(Cfg_Hoje)+IF(DAY(Cfg_Hoje)&gt;=INDEX(Cartoes_Fech,MATCH($F372,Cartoes_Nome,0)),1,0))+1))</f>
        <v>0</v>
      </c>
      <c r="Z372" s="40">
        <f>IF($A372="",0,DAY($A372))</f>
        <v>15</v>
      </c>
      <c r="AA372" s="40">
        <f>IF($A372="",0,WEEKDAY($A372))</f>
        <v>6</v>
      </c>
      <c r="AB372" s="36">
        <f>IF(AND($C372="Despesa",U372&gt;0,U372&lt;=Sel_Idx,V372&gt;=Sel_Idx),N(R372)+ROW()/1000000000,0)</f>
        <v>0</v>
      </c>
      <c r="AC372" s="40">
        <f>IF(AND($C372="Despesa",U372&gt;0,U372&lt;=Sel_Idx,V372&gt;=Sel_Idx),Z372*10000+ROW(),0)</f>
        <v>0</v>
      </c>
      <c r="AD372" s="40">
        <f>IF(AC372=0,0,COUNTIFS(L_CalChave,"&gt;0",L_CalChave,"&lt;"&amp;AC372)+1)</f>
        <v>0</v>
      </c>
    </row>
    <row r="373">
      <c r="A373" s="38" t="n">
        <v>46157</v>
      </c>
      <c r="B373" s="39" t="inlineStr">
        <is>
          <t>Conta de água</t>
        </is>
      </c>
      <c r="C373" s="34" t="inlineStr">
        <is>
          <t>Despesa</t>
        </is>
      </c>
      <c r="D373" s="34" t="inlineStr">
        <is>
          <t>Moradia</t>
        </is>
      </c>
      <c r="E373" s="34" t="inlineStr">
        <is>
          <t>Água</t>
        </is>
      </c>
      <c r="F373" s="34" t="inlineStr">
        <is>
          <t>Conta Corrente Banco Azul</t>
        </is>
      </c>
      <c r="G373" s="34" t="inlineStr">
        <is>
          <t>Débito automático</t>
        </is>
      </c>
      <c r="H373" s="37" t="n"/>
      <c r="I373" s="37" t="n"/>
      <c r="J373" s="34" t="inlineStr">
        <is>
          <t>Pago</t>
        </is>
      </c>
      <c r="K373" s="34" t="n"/>
      <c r="L373" s="34" t="n"/>
      <c r="M373" s="39" t="inlineStr">
        <is>
          <t>EXEMPLO</t>
        </is>
      </c>
      <c r="N373" s="35" t="n">
        <v>71.79000000000001</v>
      </c>
      <c r="O373" s="40">
        <f>IF($A373="","",MONTH($A373))</f>
        <v>5</v>
      </c>
      <c r="P373" s="40">
        <f>IF($A373="","",YEAR($A373))</f>
        <v>2026</v>
      </c>
      <c r="Q373" s="41">
        <f>IF($A373="","",DATE(P373,O373,1))</f>
        <v>46143.0</v>
      </c>
      <c r="R373" s="36">
        <f>IF(OR($A373="",$N373=""),"",IF(AND($C373&lt;&gt;"Transferência",N($I373)&gt;1),$N373/$I373,$N373))</f>
        <v>71.79</v>
      </c>
      <c r="S373" s="41" t="str">
        <f>IF(OR($A373="",$F373="",$C373&lt;&gt;"Despesa"),"",IF(COUNTIF(Cartoes_Nome,$F373)=0,"",DATE(P373,O373+IF(DAY($A373)&gt;=INDEX(Cartoes_Fech,MATCH($F373,Cartoes_Nome,0)),1,0),1)))</f>
        <v/>
      </c>
      <c r="T373" s="42" t="str">
        <f>IF($A373="","",IF(COUNTIFS(L_Data,$A373,L_Desc,$B373,L_Valor,$N373,L_Tipo,$C373)&gt;1,"⚠ Possível duplicidade",IF(OR(AND($C373="Despesa",COUNTIF(CatD_Nome,$D373)=0),AND($C373="Receita",COUNTIF(CatR_Nome,$D373)=0)),"⚠ Categoria não combina com o tipo",IF(OR($N373="",$C373=""),"⚠ Falta valor ou tipo",""))))</f>
        <v/>
      </c>
      <c r="U373" s="40">
        <f>IF($A373="",0,P373*12+O373)</f>
        <v>24317</v>
      </c>
      <c r="V373" s="40">
        <f>IF($A373="",0,U373+MAX(0,N($I373)-MAX(N($H373),1)))</f>
        <v>24317</v>
      </c>
      <c r="W373" s="40">
        <f>IF(S373="",0,YEAR(S373)*12+MONTH(S373))</f>
        <v>0</v>
      </c>
      <c r="X373" s="40">
        <f>IF(W373=0,0,W373+V373-U373)</f>
        <v>0</v>
      </c>
      <c r="Y373" s="36">
        <f>IF(W373=0,0,N(R373)*MAX(0,X373-MAX(W373,YEAR(Cfg_Hoje)*12+MONTH(Cfg_Hoje)+IF(DAY(Cfg_Hoje)&gt;=INDEX(Cartoes_Fech,MATCH($F373,Cartoes_Nome,0)),1,0))+1))</f>
        <v>0</v>
      </c>
      <c r="Z373" s="40">
        <f>IF($A373="",0,DAY($A373))</f>
        <v>15</v>
      </c>
      <c r="AA373" s="40">
        <f>IF($A373="",0,WEEKDAY($A373))</f>
        <v>6</v>
      </c>
      <c r="AB373" s="36">
        <f>IF(AND($C373="Despesa",U373&gt;0,U373&lt;=Sel_Idx,V373&gt;=Sel_Idx),N(R373)+ROW()/1000000000,0)</f>
        <v>0</v>
      </c>
      <c r="AC373" s="40">
        <f>IF(AND($C373="Despesa",U373&gt;0,U373&lt;=Sel_Idx,V373&gt;=Sel_Idx),Z373*10000+ROW(),0)</f>
        <v>0</v>
      </c>
      <c r="AD373" s="40">
        <f>IF(AC373=0,0,COUNTIFS(L_CalChave,"&gt;0",L_CalChave,"&lt;"&amp;AC373)+1)</f>
        <v>0</v>
      </c>
    </row>
    <row r="374">
      <c r="A374" s="38" t="n">
        <v>46159</v>
      </c>
      <c r="B374" s="39" t="inlineStr">
        <is>
          <t>Pagamento fatura Cartão Azul Gold</t>
        </is>
      </c>
      <c r="C374" s="34" t="inlineStr">
        <is>
          <t>Transferência</t>
        </is>
      </c>
      <c r="D374" s="34" t="n"/>
      <c r="E374" s="34" t="n"/>
      <c r="F374" s="34" t="inlineStr">
        <is>
          <t>Conta Corrente Banco Azul</t>
        </is>
      </c>
      <c r="G374" s="34" t="inlineStr">
        <is>
          <t>Débito automático</t>
        </is>
      </c>
      <c r="H374" s="37" t="n"/>
      <c r="I374" s="37" t="n"/>
      <c r="J374" s="34" t="inlineStr">
        <is>
          <t>Pago</t>
        </is>
      </c>
      <c r="K374" s="34" t="n"/>
      <c r="L374" s="34" t="n"/>
      <c r="M374" s="39" t="inlineStr">
        <is>
          <t>EXEMPLO</t>
        </is>
      </c>
      <c r="N374" s="35" t="n">
        <v>-2031.87</v>
      </c>
      <c r="O374" s="40">
        <f>IF($A374="","",MONTH($A374))</f>
        <v>5</v>
      </c>
      <c r="P374" s="40">
        <f>IF($A374="","",YEAR($A374))</f>
        <v>2026</v>
      </c>
      <c r="Q374" s="41">
        <f>IF($A374="","",DATE(P374,O374,1))</f>
        <v>46143.0</v>
      </c>
      <c r="R374" s="36">
        <f>IF(OR($A374="",$N374=""),"",IF(AND($C374&lt;&gt;"Transferência",N($I374)&gt;1),$N374/$I374,$N374))</f>
        <v>-2031.87</v>
      </c>
      <c r="S374" s="41" t="str">
        <f>IF(OR($A374="",$F374="",$C374&lt;&gt;"Despesa"),"",IF(COUNTIF(Cartoes_Nome,$F374)=0,"",DATE(P374,O374+IF(DAY($A374)&gt;=INDEX(Cartoes_Fech,MATCH($F374,Cartoes_Nome,0)),1,0),1)))</f>
        <v/>
      </c>
      <c r="T374" s="42" t="str">
        <f>IF($A374="","",IF(COUNTIFS(L_Data,$A374,L_Desc,$B374,L_Valor,$N374,L_Tipo,$C374)&gt;1,"⚠ Possível duplicidade",IF(OR(AND($C374="Despesa",COUNTIF(CatD_Nome,$D374)=0),AND($C374="Receita",COUNTIF(CatR_Nome,$D374)=0)),"⚠ Categoria não combina com o tipo",IF(OR($N374="",$C374=""),"⚠ Falta valor ou tipo",""))))</f>
        <v/>
      </c>
      <c r="U374" s="40">
        <f>IF($A374="",0,P374*12+O374)</f>
        <v>24317</v>
      </c>
      <c r="V374" s="40">
        <f>IF($A374="",0,U374+MAX(0,N($I374)-MAX(N($H374),1)))</f>
        <v>24317</v>
      </c>
      <c r="W374" s="40">
        <f>IF(S374="",0,YEAR(S374)*12+MONTH(S374))</f>
        <v>0</v>
      </c>
      <c r="X374" s="40">
        <f>IF(W374=0,0,W374+V374-U374)</f>
        <v>0</v>
      </c>
      <c r="Y374" s="36">
        <f>IF(W374=0,0,N(R374)*MAX(0,X374-MAX(W374,YEAR(Cfg_Hoje)*12+MONTH(Cfg_Hoje)+IF(DAY(Cfg_Hoje)&gt;=INDEX(Cartoes_Fech,MATCH($F374,Cartoes_Nome,0)),1,0))+1))</f>
        <v>0</v>
      </c>
      <c r="Z374" s="40">
        <f>IF($A374="",0,DAY($A374))</f>
        <v>17</v>
      </c>
      <c r="AA374" s="40">
        <f>IF($A374="",0,WEEKDAY($A374))</f>
        <v>1</v>
      </c>
      <c r="AB374" s="36">
        <f>IF(AND($C374="Despesa",U374&gt;0,U374&lt;=Sel_Idx,V374&gt;=Sel_Idx),N(R374)+ROW()/1000000000,0)</f>
        <v>0</v>
      </c>
      <c r="AC374" s="40">
        <f>IF(AND($C374="Despesa",U374&gt;0,U374&lt;=Sel_Idx,V374&gt;=Sel_Idx),Z374*10000+ROW(),0)</f>
        <v>0</v>
      </c>
      <c r="AD374" s="40">
        <f>IF(AC374=0,0,COUNTIFS(L_CalChave,"&gt;0",L_CalChave,"&lt;"&amp;AC374)+1)</f>
        <v>0</v>
      </c>
    </row>
    <row r="375">
      <c r="A375" s="38" t="n">
        <v>46160</v>
      </c>
      <c r="B375" s="39" t="inlineStr">
        <is>
          <t>Supermercado</t>
        </is>
      </c>
      <c r="C375" s="34" t="inlineStr">
        <is>
          <t>Despesa</t>
        </is>
      </c>
      <c r="D375" s="34" t="inlineStr">
        <is>
          <t>Alimentação</t>
        </is>
      </c>
      <c r="E375" s="34" t="inlineStr">
        <is>
          <t>Mercado</t>
        </is>
      </c>
      <c r="F375" s="34" t="inlineStr">
        <is>
          <t>Conta Corrente Banco Azul</t>
        </is>
      </c>
      <c r="G375" s="34" t="inlineStr">
        <is>
          <t>Débito</t>
        </is>
      </c>
      <c r="H375" s="37" t="n"/>
      <c r="I375" s="37" t="n"/>
      <c r="J375" s="34" t="inlineStr">
        <is>
          <t>Pago</t>
        </is>
      </c>
      <c r="K375" s="34" t="n"/>
      <c r="L375" s="34" t="n"/>
      <c r="M375" s="39" t="inlineStr">
        <is>
          <t>EXEMPLO</t>
        </is>
      </c>
      <c r="N375" s="35" t="n">
        <v>246.25</v>
      </c>
      <c r="O375" s="40">
        <f>IF($A375="","",MONTH($A375))</f>
        <v>5</v>
      </c>
      <c r="P375" s="40">
        <f>IF($A375="","",YEAR($A375))</f>
        <v>2026</v>
      </c>
      <c r="Q375" s="41">
        <f>IF($A375="","",DATE(P375,O375,1))</f>
        <v>46143.0</v>
      </c>
      <c r="R375" s="36">
        <f>IF(OR($A375="",$N375=""),"",IF(AND($C375&lt;&gt;"Transferência",N($I375)&gt;1),$N375/$I375,$N375))</f>
        <v>246.25</v>
      </c>
      <c r="S375" s="41" t="str">
        <f>IF(OR($A375="",$F375="",$C375&lt;&gt;"Despesa"),"",IF(COUNTIF(Cartoes_Nome,$F375)=0,"",DATE(P375,O375+IF(DAY($A375)&gt;=INDEX(Cartoes_Fech,MATCH($F375,Cartoes_Nome,0)),1,0),1)))</f>
        <v/>
      </c>
      <c r="T375" s="42" t="str">
        <f>IF($A375="","",IF(COUNTIFS(L_Data,$A375,L_Desc,$B375,L_Valor,$N375,L_Tipo,$C375)&gt;1,"⚠ Possível duplicidade",IF(OR(AND($C375="Despesa",COUNTIF(CatD_Nome,$D375)=0),AND($C375="Receita",COUNTIF(CatR_Nome,$D375)=0)),"⚠ Categoria não combina com o tipo",IF(OR($N375="",$C375=""),"⚠ Falta valor ou tipo",""))))</f>
        <v/>
      </c>
      <c r="U375" s="40">
        <f>IF($A375="",0,P375*12+O375)</f>
        <v>24317</v>
      </c>
      <c r="V375" s="40">
        <f>IF($A375="",0,U375+MAX(0,N($I375)-MAX(N($H375),1)))</f>
        <v>24317</v>
      </c>
      <c r="W375" s="40">
        <f>IF(S375="",0,YEAR(S375)*12+MONTH(S375))</f>
        <v>0</v>
      </c>
      <c r="X375" s="40">
        <f>IF(W375=0,0,W375+V375-U375)</f>
        <v>0</v>
      </c>
      <c r="Y375" s="36">
        <f>IF(W375=0,0,N(R375)*MAX(0,X375-MAX(W375,YEAR(Cfg_Hoje)*12+MONTH(Cfg_Hoje)+IF(DAY(Cfg_Hoje)&gt;=INDEX(Cartoes_Fech,MATCH($F375,Cartoes_Nome,0)),1,0))+1))</f>
        <v>0</v>
      </c>
      <c r="Z375" s="40">
        <f>IF($A375="",0,DAY($A375))</f>
        <v>18</v>
      </c>
      <c r="AA375" s="40">
        <f>IF($A375="",0,WEEKDAY($A375))</f>
        <v>2</v>
      </c>
      <c r="AB375" s="36">
        <f>IF(AND($C375="Despesa",U375&gt;0,U375&lt;=Sel_Idx,V375&gt;=Sel_Idx),N(R375)+ROW()/1000000000,0)</f>
        <v>0</v>
      </c>
      <c r="AC375" s="40">
        <f>IF(AND($C375="Despesa",U375&gt;0,U375&lt;=Sel_Idx,V375&gt;=Sel_Idx),Z375*10000+ROW(),0)</f>
        <v>0</v>
      </c>
      <c r="AD375" s="40">
        <f>IF(AC375=0,0,COUNTIFS(L_CalChave,"&gt;0",L_CalChave,"&lt;"&amp;AC375)+1)</f>
        <v>0</v>
      </c>
    </row>
    <row r="376">
      <c r="A376" s="38" t="n">
        <v>46161</v>
      </c>
      <c r="B376" s="39" t="inlineStr">
        <is>
          <t>Despesa diversa</t>
        </is>
      </c>
      <c r="C376" s="34" t="inlineStr">
        <is>
          <t>Despesa</t>
        </is>
      </c>
      <c r="D376" s="34" t="inlineStr">
        <is>
          <t>Outros</t>
        </is>
      </c>
      <c r="E376" s="34" t="n"/>
      <c r="F376" s="34" t="inlineStr">
        <is>
          <t>Conta Corrente Banco Azul</t>
        </is>
      </c>
      <c r="G376" s="34" t="inlineStr">
        <is>
          <t>Pix</t>
        </is>
      </c>
      <c r="H376" s="37" t="n"/>
      <c r="I376" s="37" t="n"/>
      <c r="J376" s="34" t="inlineStr">
        <is>
          <t>Pago</t>
        </is>
      </c>
      <c r="K376" s="34" t="n"/>
      <c r="L376" s="34" t="n"/>
      <c r="M376" s="39" t="inlineStr">
        <is>
          <t>EXEMPLO</t>
        </is>
      </c>
      <c r="N376" s="35" t="n">
        <v>74.68000000000001</v>
      </c>
      <c r="O376" s="40">
        <f>IF($A376="","",MONTH($A376))</f>
        <v>5</v>
      </c>
      <c r="P376" s="40">
        <f>IF($A376="","",YEAR($A376))</f>
        <v>2026</v>
      </c>
      <c r="Q376" s="41">
        <f>IF($A376="","",DATE(P376,O376,1))</f>
        <v>46143.0</v>
      </c>
      <c r="R376" s="36">
        <f>IF(OR($A376="",$N376=""),"",IF(AND($C376&lt;&gt;"Transferência",N($I376)&gt;1),$N376/$I376,$N376))</f>
        <v>74.68</v>
      </c>
      <c r="S376" s="41" t="str">
        <f>IF(OR($A376="",$F376="",$C376&lt;&gt;"Despesa"),"",IF(COUNTIF(Cartoes_Nome,$F376)=0,"",DATE(P376,O376+IF(DAY($A376)&gt;=INDEX(Cartoes_Fech,MATCH($F376,Cartoes_Nome,0)),1,0),1)))</f>
        <v/>
      </c>
      <c r="T376" s="42" t="str">
        <f>IF($A376="","",IF(COUNTIFS(L_Data,$A376,L_Desc,$B376,L_Valor,$N376,L_Tipo,$C376)&gt;1,"⚠ Possível duplicidade",IF(OR(AND($C376="Despesa",COUNTIF(CatD_Nome,$D376)=0),AND($C376="Receita",COUNTIF(CatR_Nome,$D376)=0)),"⚠ Categoria não combina com o tipo",IF(OR($N376="",$C376=""),"⚠ Falta valor ou tipo",""))))</f>
        <v/>
      </c>
      <c r="U376" s="40">
        <f>IF($A376="",0,P376*12+O376)</f>
        <v>24317</v>
      </c>
      <c r="V376" s="40">
        <f>IF($A376="",0,U376+MAX(0,N($I376)-MAX(N($H376),1)))</f>
        <v>24317</v>
      </c>
      <c r="W376" s="40">
        <f>IF(S376="",0,YEAR(S376)*12+MONTH(S376))</f>
        <v>0</v>
      </c>
      <c r="X376" s="40">
        <f>IF(W376=0,0,W376+V376-U376)</f>
        <v>0</v>
      </c>
      <c r="Y376" s="36">
        <f>IF(W376=0,0,N(R376)*MAX(0,X376-MAX(W376,YEAR(Cfg_Hoje)*12+MONTH(Cfg_Hoje)+IF(DAY(Cfg_Hoje)&gt;=INDEX(Cartoes_Fech,MATCH($F376,Cartoes_Nome,0)),1,0))+1))</f>
        <v>0</v>
      </c>
      <c r="Z376" s="40">
        <f>IF($A376="",0,DAY($A376))</f>
        <v>19</v>
      </c>
      <c r="AA376" s="40">
        <f>IF($A376="",0,WEEKDAY($A376))</f>
        <v>3</v>
      </c>
      <c r="AB376" s="36">
        <f>IF(AND($C376="Despesa",U376&gt;0,U376&lt;=Sel_Idx,V376&gt;=Sel_Idx),N(R376)+ROW()/1000000000,0)</f>
        <v>0</v>
      </c>
      <c r="AC376" s="40">
        <f>IF(AND($C376="Despesa",U376&gt;0,U376&lt;=Sel_Idx,V376&gt;=Sel_Idx),Z376*10000+ROW(),0)</f>
        <v>0</v>
      </c>
      <c r="AD376" s="40">
        <f>IF(AC376=0,0,COUNTIFS(L_CalChave,"&gt;0",L_CalChave,"&lt;"&amp;AC376)+1)</f>
        <v>0</v>
      </c>
    </row>
    <row r="377">
      <c r="A377" s="38" t="n">
        <v>46161</v>
      </c>
      <c r="B377" s="39" t="inlineStr">
        <is>
          <t>Farmácia</t>
        </is>
      </c>
      <c r="C377" s="34" t="inlineStr">
        <is>
          <t>Despesa</t>
        </is>
      </c>
      <c r="D377" s="34" t="inlineStr">
        <is>
          <t>Saúde</t>
        </is>
      </c>
      <c r="E377" s="34" t="inlineStr">
        <is>
          <t>Farmácia</t>
        </is>
      </c>
      <c r="F377" s="34" t="inlineStr">
        <is>
          <t>Cartão Roxinho</t>
        </is>
      </c>
      <c r="G377" s="34" t="inlineStr">
        <is>
          <t>Crédito</t>
        </is>
      </c>
      <c r="H377" s="37" t="n"/>
      <c r="I377" s="37" t="n"/>
      <c r="J377" s="34" t="inlineStr">
        <is>
          <t>Pago</t>
        </is>
      </c>
      <c r="K377" s="34" t="n"/>
      <c r="L377" s="34" t="n"/>
      <c r="M377" s="39" t="inlineStr">
        <is>
          <t>EXEMPLO</t>
        </is>
      </c>
      <c r="N377" s="35" t="n">
        <v>133.86</v>
      </c>
      <c r="O377" s="40">
        <f>IF($A377="","",MONTH($A377))</f>
        <v>5</v>
      </c>
      <c r="P377" s="40">
        <f>IF($A377="","",YEAR($A377))</f>
        <v>2026</v>
      </c>
      <c r="Q377" s="41">
        <f>IF($A377="","",DATE(P377,O377,1))</f>
        <v>46143.0</v>
      </c>
      <c r="R377" s="36">
        <f>IF(OR($A377="",$N377=""),"",IF(AND($C377&lt;&gt;"Transferência",N($I377)&gt;1),$N377/$I377,$N377))</f>
        <v>133.86</v>
      </c>
      <c r="S377" s="41">
        <f>IF(OR($A377="",$F377="",$C377&lt;&gt;"Despesa"),"",IF(COUNTIF(Cartoes_Nome,$F377)=0,"",DATE(P377,O377+IF(DAY($A377)&gt;=INDEX(Cartoes_Fech,MATCH($F377,Cartoes_Nome,0)),1,0),1)))</f>
        <v>46143.0</v>
      </c>
      <c r="T377" s="42" t="str">
        <f>IF($A377="","",IF(COUNTIFS(L_Data,$A377,L_Desc,$B377,L_Valor,$N377,L_Tipo,$C377)&gt;1,"⚠ Possível duplicidade",IF(OR(AND($C377="Despesa",COUNTIF(CatD_Nome,$D377)=0),AND($C377="Receita",COUNTIF(CatR_Nome,$D377)=0)),"⚠ Categoria não combina com o tipo",IF(OR($N377="",$C377=""),"⚠ Falta valor ou tipo",""))))</f>
        <v/>
      </c>
      <c r="U377" s="40">
        <f>IF($A377="",0,P377*12+O377)</f>
        <v>24317</v>
      </c>
      <c r="V377" s="40">
        <f>IF($A377="",0,U377+MAX(0,N($I377)-MAX(N($H377),1)))</f>
        <v>24317</v>
      </c>
      <c r="W377" s="40">
        <f>IF(S377="",0,YEAR(S377)*12+MONTH(S377))</f>
        <v>24317</v>
      </c>
      <c r="X377" s="40">
        <f>IF(W377=0,0,W377+V377-U377)</f>
        <v>24317</v>
      </c>
      <c r="Y377" s="36">
        <f>IF(W377=0,0,N(R377)*MAX(0,X377-MAX(W377,YEAR(Cfg_Hoje)*12+MONTH(Cfg_Hoje)+IF(DAY(Cfg_Hoje)&gt;=INDEX(Cartoes_Fech,MATCH($F377,Cartoes_Nome,0)),1,0))+1))</f>
        <v>0</v>
      </c>
      <c r="Z377" s="40">
        <f>IF($A377="",0,DAY($A377))</f>
        <v>19</v>
      </c>
      <c r="AA377" s="40">
        <f>IF($A377="",0,WEEKDAY($A377))</f>
        <v>3</v>
      </c>
      <c r="AB377" s="36">
        <f>IF(AND($C377="Despesa",U377&gt;0,U377&lt;=Sel_Idx,V377&gt;=Sel_Idx),N(R377)+ROW()/1000000000,0)</f>
        <v>0</v>
      </c>
      <c r="AC377" s="40">
        <f>IF(AND($C377="Despesa",U377&gt;0,U377&lt;=Sel_Idx,V377&gt;=Sel_Idx),Z377*10000+ROW(),0)</f>
        <v>0</v>
      </c>
      <c r="AD377" s="40">
        <f>IF(AC377=0,0,COUNTIFS(L_CalChave,"&gt;0",L_CalChave,"&lt;"&amp;AC377)+1)</f>
        <v>0</v>
      </c>
    </row>
    <row r="378">
      <c r="A378" s="38" t="n">
        <v>46162</v>
      </c>
      <c r="B378" s="39" t="inlineStr">
        <is>
          <t>Internet fibra</t>
        </is>
      </c>
      <c r="C378" s="34" t="inlineStr">
        <is>
          <t>Despesa</t>
        </is>
      </c>
      <c r="D378" s="34" t="inlineStr">
        <is>
          <t>Moradia</t>
        </is>
      </c>
      <c r="E378" s="34" t="inlineStr">
        <is>
          <t>Internet</t>
        </is>
      </c>
      <c r="F378" s="34" t="inlineStr">
        <is>
          <t>Conta Corrente Banco Azul</t>
        </is>
      </c>
      <c r="G378" s="34" t="inlineStr">
        <is>
          <t>Débito automático</t>
        </is>
      </c>
      <c r="H378" s="37" t="n"/>
      <c r="I378" s="37" t="n"/>
      <c r="J378" s="34" t="inlineStr">
        <is>
          <t>Pago</t>
        </is>
      </c>
      <c r="K378" s="34" t="n"/>
      <c r="L378" s="34" t="n"/>
      <c r="M378" s="39" t="inlineStr">
        <is>
          <t>EXEMPLO</t>
        </is>
      </c>
      <c r="N378" s="35" t="n">
        <v>129.9</v>
      </c>
      <c r="O378" s="40">
        <f>IF($A378="","",MONTH($A378))</f>
        <v>5</v>
      </c>
      <c r="P378" s="40">
        <f>IF($A378="","",YEAR($A378))</f>
        <v>2026</v>
      </c>
      <c r="Q378" s="41">
        <f>IF($A378="","",DATE(P378,O378,1))</f>
        <v>46143.0</v>
      </c>
      <c r="R378" s="36">
        <f>IF(OR($A378="",$N378=""),"",IF(AND($C378&lt;&gt;"Transferência",N($I378)&gt;1),$N378/$I378,$N378))</f>
        <v>129.9</v>
      </c>
      <c r="S378" s="41" t="str">
        <f>IF(OR($A378="",$F378="",$C378&lt;&gt;"Despesa"),"",IF(COUNTIF(Cartoes_Nome,$F378)=0,"",DATE(P378,O378+IF(DAY($A378)&gt;=INDEX(Cartoes_Fech,MATCH($F378,Cartoes_Nome,0)),1,0),1)))</f>
        <v/>
      </c>
      <c r="T378" s="42" t="str">
        <f>IF($A378="","",IF(COUNTIFS(L_Data,$A378,L_Desc,$B378,L_Valor,$N378,L_Tipo,$C378)&gt;1,"⚠ Possível duplicidade",IF(OR(AND($C378="Despesa",COUNTIF(CatD_Nome,$D378)=0),AND($C378="Receita",COUNTIF(CatR_Nome,$D378)=0)),"⚠ Categoria não combina com o tipo",IF(OR($N378="",$C378=""),"⚠ Falta valor ou tipo",""))))</f>
        <v/>
      </c>
      <c r="U378" s="40">
        <f>IF($A378="",0,P378*12+O378)</f>
        <v>24317</v>
      </c>
      <c r="V378" s="40">
        <f>IF($A378="",0,U378+MAX(0,N($I378)-MAX(N($H378),1)))</f>
        <v>24317</v>
      </c>
      <c r="W378" s="40">
        <f>IF(S378="",0,YEAR(S378)*12+MONTH(S378))</f>
        <v>0</v>
      </c>
      <c r="X378" s="40">
        <f>IF(W378=0,0,W378+V378-U378)</f>
        <v>0</v>
      </c>
      <c r="Y378" s="36">
        <f>IF(W378=0,0,N(R378)*MAX(0,X378-MAX(W378,YEAR(Cfg_Hoje)*12+MONTH(Cfg_Hoje)+IF(DAY(Cfg_Hoje)&gt;=INDEX(Cartoes_Fech,MATCH($F378,Cartoes_Nome,0)),1,0))+1))</f>
        <v>0</v>
      </c>
      <c r="Z378" s="40">
        <f>IF($A378="",0,DAY($A378))</f>
        <v>20</v>
      </c>
      <c r="AA378" s="40">
        <f>IF($A378="",0,WEEKDAY($A378))</f>
        <v>4</v>
      </c>
      <c r="AB378" s="36">
        <f>IF(AND($C378="Despesa",U378&gt;0,U378&lt;=Sel_Idx,V378&gt;=Sel_Idx),N(R378)+ROW()/1000000000,0)</f>
        <v>0</v>
      </c>
      <c r="AC378" s="40">
        <f>IF(AND($C378="Despesa",U378&gt;0,U378&lt;=Sel_Idx,V378&gt;=Sel_Idx),Z378*10000+ROW(),0)</f>
        <v>0</v>
      </c>
      <c r="AD378" s="40">
        <f>IF(AC378=0,0,COUNTIFS(L_CalChave,"&gt;0",L_CalChave,"&lt;"&amp;AC378)+1)</f>
        <v>0</v>
      </c>
    </row>
    <row r="379">
      <c r="A379" s="38" t="n">
        <v>46162</v>
      </c>
      <c r="B379" s="39" t="inlineStr">
        <is>
          <t>Parcela financiamento do carro</t>
        </is>
      </c>
      <c r="C379" s="34" t="inlineStr">
        <is>
          <t>Despesa</t>
        </is>
      </c>
      <c r="D379" s="34" t="inlineStr">
        <is>
          <t>Dívidas e Financiamentos</t>
        </is>
      </c>
      <c r="E379" s="34" t="inlineStr">
        <is>
          <t>Financiamento</t>
        </is>
      </c>
      <c r="F379" s="34" t="inlineStr">
        <is>
          <t>Conta Corrente Banco Azul</t>
        </is>
      </c>
      <c r="G379" s="34" t="inlineStr">
        <is>
          <t>Débito automático</t>
        </is>
      </c>
      <c r="H379" s="37" t="n"/>
      <c r="I379" s="37" t="n"/>
      <c r="J379" s="34" t="inlineStr">
        <is>
          <t>Pago</t>
        </is>
      </c>
      <c r="K379" s="34" t="n"/>
      <c r="L379" s="34" t="n"/>
      <c r="M379" s="39" t="inlineStr">
        <is>
          <t>EXEMPLO</t>
        </is>
      </c>
      <c r="N379" s="35" t="n">
        <v>1150</v>
      </c>
      <c r="O379" s="40">
        <f>IF($A379="","",MONTH($A379))</f>
        <v>5</v>
      </c>
      <c r="P379" s="40">
        <f>IF($A379="","",YEAR($A379))</f>
        <v>2026</v>
      </c>
      <c r="Q379" s="41">
        <f>IF($A379="","",DATE(P379,O379,1))</f>
        <v>46143.0</v>
      </c>
      <c r="R379" s="36">
        <f>IF(OR($A379="",$N379=""),"",IF(AND($C379&lt;&gt;"Transferência",N($I379)&gt;1),$N379/$I379,$N379))</f>
        <v>1150</v>
      </c>
      <c r="S379" s="41" t="str">
        <f>IF(OR($A379="",$F379="",$C379&lt;&gt;"Despesa"),"",IF(COUNTIF(Cartoes_Nome,$F379)=0,"",DATE(P379,O379+IF(DAY($A379)&gt;=INDEX(Cartoes_Fech,MATCH($F379,Cartoes_Nome,0)),1,0),1)))</f>
        <v/>
      </c>
      <c r="T379" s="42" t="str">
        <f>IF($A379="","",IF(COUNTIFS(L_Data,$A379,L_Desc,$B379,L_Valor,$N379,L_Tipo,$C379)&gt;1,"⚠ Possível duplicidade",IF(OR(AND($C379="Despesa",COUNTIF(CatD_Nome,$D379)=0),AND($C379="Receita",COUNTIF(CatR_Nome,$D379)=0)),"⚠ Categoria não combina com o tipo",IF(OR($N379="",$C379=""),"⚠ Falta valor ou tipo",""))))</f>
        <v/>
      </c>
      <c r="U379" s="40">
        <f>IF($A379="",0,P379*12+O379)</f>
        <v>24317</v>
      </c>
      <c r="V379" s="40">
        <f>IF($A379="",0,U379+MAX(0,N($I379)-MAX(N($H379),1)))</f>
        <v>24317</v>
      </c>
      <c r="W379" s="40">
        <f>IF(S379="",0,YEAR(S379)*12+MONTH(S379))</f>
        <v>0</v>
      </c>
      <c r="X379" s="40">
        <f>IF(W379=0,0,W379+V379-U379)</f>
        <v>0</v>
      </c>
      <c r="Y379" s="36">
        <f>IF(W379=0,0,N(R379)*MAX(0,X379-MAX(W379,YEAR(Cfg_Hoje)*12+MONTH(Cfg_Hoje)+IF(DAY(Cfg_Hoje)&gt;=INDEX(Cartoes_Fech,MATCH($F379,Cartoes_Nome,0)),1,0))+1))</f>
        <v>0</v>
      </c>
      <c r="Z379" s="40">
        <f>IF($A379="",0,DAY($A379))</f>
        <v>20</v>
      </c>
      <c r="AA379" s="40">
        <f>IF($A379="",0,WEEKDAY($A379))</f>
        <v>4</v>
      </c>
      <c r="AB379" s="36">
        <f>IF(AND($C379="Despesa",U379&gt;0,U379&lt;=Sel_Idx,V379&gt;=Sel_Idx),N(R379)+ROW()/1000000000,0)</f>
        <v>0</v>
      </c>
      <c r="AC379" s="40">
        <f>IF(AND($C379="Despesa",U379&gt;0,U379&lt;=Sel_Idx,V379&gt;=Sel_Idx),Z379*10000+ROW(),0)</f>
        <v>0</v>
      </c>
      <c r="AD379" s="40">
        <f>IF(AC379=0,0,COUNTIFS(L_CalChave,"&gt;0",L_CalChave,"&lt;"&amp;AC379)+1)</f>
        <v>0</v>
      </c>
    </row>
    <row r="380">
      <c r="A380" s="38" t="n">
        <v>46162</v>
      </c>
      <c r="B380" s="39" t="inlineStr">
        <is>
          <t>Reembolso plano de saúde</t>
        </is>
      </c>
      <c r="C380" s="34" t="inlineStr">
        <is>
          <t>Receita</t>
        </is>
      </c>
      <c r="D380" s="34" t="inlineStr">
        <is>
          <t>Reembolsos</t>
        </is>
      </c>
      <c r="E380" s="34" t="n"/>
      <c r="F380" s="34" t="inlineStr">
        <is>
          <t>Conta Corrente Banco Azul</t>
        </is>
      </c>
      <c r="G380" s="34" t="inlineStr">
        <is>
          <t>Pix</t>
        </is>
      </c>
      <c r="H380" s="37" t="n"/>
      <c r="I380" s="37" t="n"/>
      <c r="J380" s="34" t="inlineStr">
        <is>
          <t>Pago</t>
        </is>
      </c>
      <c r="K380" s="34" t="n"/>
      <c r="L380" s="34" t="n"/>
      <c r="M380" s="39" t="inlineStr">
        <is>
          <t>EXEMPLO</t>
        </is>
      </c>
      <c r="N380" s="35" t="n">
        <v>340</v>
      </c>
      <c r="O380" s="40">
        <f>IF($A380="","",MONTH($A380))</f>
        <v>5</v>
      </c>
      <c r="P380" s="40">
        <f>IF($A380="","",YEAR($A380))</f>
        <v>2026</v>
      </c>
      <c r="Q380" s="41">
        <f>IF($A380="","",DATE(P380,O380,1))</f>
        <v>46143.0</v>
      </c>
      <c r="R380" s="36">
        <f>IF(OR($A380="",$N380=""),"",IF(AND($C380&lt;&gt;"Transferência",N($I380)&gt;1),$N380/$I380,$N380))</f>
        <v>340</v>
      </c>
      <c r="S380" s="41" t="str">
        <f>IF(OR($A380="",$F380="",$C380&lt;&gt;"Despesa"),"",IF(COUNTIF(Cartoes_Nome,$F380)=0,"",DATE(P380,O380+IF(DAY($A380)&gt;=INDEX(Cartoes_Fech,MATCH($F380,Cartoes_Nome,0)),1,0),1)))</f>
        <v/>
      </c>
      <c r="T380" s="42" t="str">
        <f>IF($A380="","",IF(COUNTIFS(L_Data,$A380,L_Desc,$B380,L_Valor,$N380,L_Tipo,$C380)&gt;1,"⚠ Possível duplicidade",IF(OR(AND($C380="Despesa",COUNTIF(CatD_Nome,$D380)=0),AND($C380="Receita",COUNTIF(CatR_Nome,$D380)=0)),"⚠ Categoria não combina com o tipo",IF(OR($N380="",$C380=""),"⚠ Falta valor ou tipo",""))))</f>
        <v/>
      </c>
      <c r="U380" s="40">
        <f>IF($A380="",0,P380*12+O380)</f>
        <v>24317</v>
      </c>
      <c r="V380" s="40">
        <f>IF($A380="",0,U380+MAX(0,N($I380)-MAX(N($H380),1)))</f>
        <v>24317</v>
      </c>
      <c r="W380" s="40">
        <f>IF(S380="",0,YEAR(S380)*12+MONTH(S380))</f>
        <v>0</v>
      </c>
      <c r="X380" s="40">
        <f>IF(W380=0,0,W380+V380-U380)</f>
        <v>0</v>
      </c>
      <c r="Y380" s="36">
        <f>IF(W380=0,0,N(R380)*MAX(0,X380-MAX(W380,YEAR(Cfg_Hoje)*12+MONTH(Cfg_Hoje)+IF(DAY(Cfg_Hoje)&gt;=INDEX(Cartoes_Fech,MATCH($F380,Cartoes_Nome,0)),1,0))+1))</f>
        <v>0</v>
      </c>
      <c r="Z380" s="40">
        <f>IF($A380="",0,DAY($A380))</f>
        <v>20</v>
      </c>
      <c r="AA380" s="40">
        <f>IF($A380="",0,WEEKDAY($A380))</f>
        <v>4</v>
      </c>
      <c r="AB380" s="36">
        <f>IF(AND($C380="Despesa",U380&gt;0,U380&lt;=Sel_Idx,V380&gt;=Sel_Idx),N(R380)+ROW()/1000000000,0)</f>
        <v>0</v>
      </c>
      <c r="AC380" s="40">
        <f>IF(AND($C380="Despesa",U380&gt;0,U380&lt;=Sel_Idx,V380&gt;=Sel_Idx),Z380*10000+ROW(),0)</f>
        <v>0</v>
      </c>
      <c r="AD380" s="40">
        <f>IF(AC380=0,0,COUNTIFS(L_CalChave,"&gt;0",L_CalChave,"&lt;"&amp;AC380)+1)</f>
        <v>0</v>
      </c>
    </row>
    <row r="381">
      <c r="A381" s="38" t="n">
        <v>46163</v>
      </c>
      <c r="B381" s="39" t="inlineStr">
        <is>
          <t>Combustível</t>
        </is>
      </c>
      <c r="C381" s="34" t="inlineStr">
        <is>
          <t>Despesa</t>
        </is>
      </c>
      <c r="D381" s="34" t="inlineStr">
        <is>
          <t>Transporte</t>
        </is>
      </c>
      <c r="E381" s="34" t="inlineStr">
        <is>
          <t>Combustível</t>
        </is>
      </c>
      <c r="F381" s="34" t="inlineStr">
        <is>
          <t>Cartão Roxinho</t>
        </is>
      </c>
      <c r="G381" s="34" t="inlineStr">
        <is>
          <t>Crédito</t>
        </is>
      </c>
      <c r="H381" s="37" t="n"/>
      <c r="I381" s="37" t="n"/>
      <c r="J381" s="34" t="inlineStr">
        <is>
          <t>Pago</t>
        </is>
      </c>
      <c r="K381" s="34" t="n"/>
      <c r="L381" s="34" t="n"/>
      <c r="M381" s="39" t="inlineStr">
        <is>
          <t>EXEMPLO</t>
        </is>
      </c>
      <c r="N381" s="35" t="n">
        <v>205.08</v>
      </c>
      <c r="O381" s="40">
        <f>IF($A381="","",MONTH($A381))</f>
        <v>5</v>
      </c>
      <c r="P381" s="40">
        <f>IF($A381="","",YEAR($A381))</f>
        <v>2026</v>
      </c>
      <c r="Q381" s="41">
        <f>IF($A381="","",DATE(P381,O381,1))</f>
        <v>46143.0</v>
      </c>
      <c r="R381" s="36">
        <f>IF(OR($A381="",$N381=""),"",IF(AND($C381&lt;&gt;"Transferência",N($I381)&gt;1),$N381/$I381,$N381))</f>
        <v>205.08</v>
      </c>
      <c r="S381" s="41">
        <f>IF(OR($A381="",$F381="",$C381&lt;&gt;"Despesa"),"",IF(COUNTIF(Cartoes_Nome,$F381)=0,"",DATE(P381,O381+IF(DAY($A381)&gt;=INDEX(Cartoes_Fech,MATCH($F381,Cartoes_Nome,0)),1,0),1)))</f>
        <v>46143.0</v>
      </c>
      <c r="T381" s="42" t="str">
        <f>IF($A381="","",IF(COUNTIFS(L_Data,$A381,L_Desc,$B381,L_Valor,$N381,L_Tipo,$C381)&gt;1,"⚠ Possível duplicidade",IF(OR(AND($C381="Despesa",COUNTIF(CatD_Nome,$D381)=0),AND($C381="Receita",COUNTIF(CatR_Nome,$D381)=0)),"⚠ Categoria não combina com o tipo",IF(OR($N381="",$C381=""),"⚠ Falta valor ou tipo",""))))</f>
        <v/>
      </c>
      <c r="U381" s="40">
        <f>IF($A381="",0,P381*12+O381)</f>
        <v>24317</v>
      </c>
      <c r="V381" s="40">
        <f>IF($A381="",0,U381+MAX(0,N($I381)-MAX(N($H381),1)))</f>
        <v>24317</v>
      </c>
      <c r="W381" s="40">
        <f>IF(S381="",0,YEAR(S381)*12+MONTH(S381))</f>
        <v>24317</v>
      </c>
      <c r="X381" s="40">
        <f>IF(W381=0,0,W381+V381-U381)</f>
        <v>24317</v>
      </c>
      <c r="Y381" s="36">
        <f>IF(W381=0,0,N(R381)*MAX(0,X381-MAX(W381,YEAR(Cfg_Hoje)*12+MONTH(Cfg_Hoje)+IF(DAY(Cfg_Hoje)&gt;=INDEX(Cartoes_Fech,MATCH($F381,Cartoes_Nome,0)),1,0))+1))</f>
        <v>0</v>
      </c>
      <c r="Z381" s="40">
        <f>IF($A381="",0,DAY($A381))</f>
        <v>21</v>
      </c>
      <c r="AA381" s="40">
        <f>IF($A381="",0,WEEKDAY($A381))</f>
        <v>5</v>
      </c>
      <c r="AB381" s="36">
        <f>IF(AND($C381="Despesa",U381&gt;0,U381&lt;=Sel_Idx,V381&gt;=Sel_Idx),N(R381)+ROW()/1000000000,0)</f>
        <v>0</v>
      </c>
      <c r="AC381" s="40">
        <f>IF(AND($C381="Despesa",U381&gt;0,U381&lt;=Sel_Idx,V381&gt;=Sel_Idx),Z381*10000+ROW(),0)</f>
        <v>0</v>
      </c>
      <c r="AD381" s="40">
        <f>IF(AC381=0,0,COUNTIFS(L_CalChave,"&gt;0",L_CalChave,"&lt;"&amp;AC381)+1)</f>
        <v>0</v>
      </c>
    </row>
    <row r="382">
      <c r="A382" s="38" t="n">
        <v>46163</v>
      </c>
      <c r="B382" s="39" t="inlineStr">
        <is>
          <t>Corrida de aplicativo</t>
        </is>
      </c>
      <c r="C382" s="34" t="inlineStr">
        <is>
          <t>Despesa</t>
        </is>
      </c>
      <c r="D382" s="34" t="inlineStr">
        <is>
          <t>Transporte</t>
        </is>
      </c>
      <c r="E382" s="34" t="inlineStr">
        <is>
          <t>App de transporte</t>
        </is>
      </c>
      <c r="F382" s="34" t="inlineStr">
        <is>
          <t>Conta Corrente Banco Azul</t>
        </is>
      </c>
      <c r="G382" s="34" t="inlineStr">
        <is>
          <t>Pix</t>
        </is>
      </c>
      <c r="H382" s="37" t="n"/>
      <c r="I382" s="37" t="n"/>
      <c r="J382" s="34" t="inlineStr">
        <is>
          <t>Pago</t>
        </is>
      </c>
      <c r="K382" s="34" t="n"/>
      <c r="L382" s="34" t="n"/>
      <c r="M382" s="39" t="inlineStr">
        <is>
          <t>EXEMPLO</t>
        </is>
      </c>
      <c r="N382" s="35" t="n">
        <v>32.4</v>
      </c>
      <c r="O382" s="40">
        <f>IF($A382="","",MONTH($A382))</f>
        <v>5</v>
      </c>
      <c r="P382" s="40">
        <f>IF($A382="","",YEAR($A382))</f>
        <v>2026</v>
      </c>
      <c r="Q382" s="41">
        <f>IF($A382="","",DATE(P382,O382,1))</f>
        <v>46143.0</v>
      </c>
      <c r="R382" s="36">
        <f>IF(OR($A382="",$N382=""),"",IF(AND($C382&lt;&gt;"Transferência",N($I382)&gt;1),$N382/$I382,$N382))</f>
        <v>32.4</v>
      </c>
      <c r="S382" s="41" t="str">
        <f>IF(OR($A382="",$F382="",$C382&lt;&gt;"Despesa"),"",IF(COUNTIF(Cartoes_Nome,$F382)=0,"",DATE(P382,O382+IF(DAY($A382)&gt;=INDEX(Cartoes_Fech,MATCH($F382,Cartoes_Nome,0)),1,0),1)))</f>
        <v/>
      </c>
      <c r="T382" s="42" t="str">
        <f>IF($A382="","",IF(COUNTIFS(L_Data,$A382,L_Desc,$B382,L_Valor,$N382,L_Tipo,$C382)&gt;1,"⚠ Possível duplicidade",IF(OR(AND($C382="Despesa",COUNTIF(CatD_Nome,$D382)=0),AND($C382="Receita",COUNTIF(CatR_Nome,$D382)=0)),"⚠ Categoria não combina com o tipo",IF(OR($N382="",$C382=""),"⚠ Falta valor ou tipo",""))))</f>
        <v/>
      </c>
      <c r="U382" s="40">
        <f>IF($A382="",0,P382*12+O382)</f>
        <v>24317</v>
      </c>
      <c r="V382" s="40">
        <f>IF($A382="",0,U382+MAX(0,N($I382)-MAX(N($H382),1)))</f>
        <v>24317</v>
      </c>
      <c r="W382" s="40">
        <f>IF(S382="",0,YEAR(S382)*12+MONTH(S382))</f>
        <v>0</v>
      </c>
      <c r="X382" s="40">
        <f>IF(W382=0,0,W382+V382-U382)</f>
        <v>0</v>
      </c>
      <c r="Y382" s="36">
        <f>IF(W382=0,0,N(R382)*MAX(0,X382-MAX(W382,YEAR(Cfg_Hoje)*12+MONTH(Cfg_Hoje)+IF(DAY(Cfg_Hoje)&gt;=INDEX(Cartoes_Fech,MATCH($F382,Cartoes_Nome,0)),1,0))+1))</f>
        <v>0</v>
      </c>
      <c r="Z382" s="40">
        <f>IF($A382="",0,DAY($A382))</f>
        <v>21</v>
      </c>
      <c r="AA382" s="40">
        <f>IF($A382="",0,WEEKDAY($A382))</f>
        <v>5</v>
      </c>
      <c r="AB382" s="36">
        <f>IF(AND($C382="Despesa",U382&gt;0,U382&lt;=Sel_Idx,V382&gt;=Sel_Idx),N(R382)+ROW()/1000000000,0)</f>
        <v>0</v>
      </c>
      <c r="AC382" s="40">
        <f>IF(AND($C382="Despesa",U382&gt;0,U382&lt;=Sel_Idx,V382&gt;=Sel_Idx),Z382*10000+ROW(),0)</f>
        <v>0</v>
      </c>
      <c r="AD382" s="40">
        <f>IF(AC382=0,0,COUNTIFS(L_CalChave,"&gt;0",L_CalChave,"&lt;"&amp;AC382)+1)</f>
        <v>0</v>
      </c>
    </row>
    <row r="383">
      <c r="A383" s="38" t="n">
        <v>46164</v>
      </c>
      <c r="B383" s="39" t="inlineStr">
        <is>
          <t>Parcela empréstimo pessoal</t>
        </is>
      </c>
      <c r="C383" s="34" t="inlineStr">
        <is>
          <t>Despesa</t>
        </is>
      </c>
      <c r="D383" s="34" t="inlineStr">
        <is>
          <t>Dívidas e Financiamentos</t>
        </is>
      </c>
      <c r="E383" s="34" t="inlineStr">
        <is>
          <t>Empréstimo</t>
        </is>
      </c>
      <c r="F383" s="34" t="inlineStr">
        <is>
          <t>Conta Corrente Banco Azul</t>
        </is>
      </c>
      <c r="G383" s="34" t="inlineStr">
        <is>
          <t>Débito automático</t>
        </is>
      </c>
      <c r="H383" s="37" t="n"/>
      <c r="I383" s="37" t="n"/>
      <c r="J383" s="34" t="inlineStr">
        <is>
          <t>Pago</t>
        </is>
      </c>
      <c r="K383" s="34" t="n"/>
      <c r="L383" s="34" t="n"/>
      <c r="M383" s="39" t="inlineStr">
        <is>
          <t>EXEMPLO</t>
        </is>
      </c>
      <c r="N383" s="35" t="n">
        <v>580</v>
      </c>
      <c r="O383" s="40">
        <f>IF($A383="","",MONTH($A383))</f>
        <v>5</v>
      </c>
      <c r="P383" s="40">
        <f>IF($A383="","",YEAR($A383))</f>
        <v>2026</v>
      </c>
      <c r="Q383" s="41">
        <f>IF($A383="","",DATE(P383,O383,1))</f>
        <v>46143.0</v>
      </c>
      <c r="R383" s="36">
        <f>IF(OR($A383="",$N383=""),"",IF(AND($C383&lt;&gt;"Transferência",N($I383)&gt;1),$N383/$I383,$N383))</f>
        <v>580</v>
      </c>
      <c r="S383" s="41" t="str">
        <f>IF(OR($A383="",$F383="",$C383&lt;&gt;"Despesa"),"",IF(COUNTIF(Cartoes_Nome,$F383)=0,"",DATE(P383,O383+IF(DAY($A383)&gt;=INDEX(Cartoes_Fech,MATCH($F383,Cartoes_Nome,0)),1,0),1)))</f>
        <v/>
      </c>
      <c r="T383" s="42" t="str">
        <f>IF($A383="","",IF(COUNTIFS(L_Data,$A383,L_Desc,$B383,L_Valor,$N383,L_Tipo,$C383)&gt;1,"⚠ Possível duplicidade",IF(OR(AND($C383="Despesa",COUNTIF(CatD_Nome,$D383)=0),AND($C383="Receita",COUNTIF(CatR_Nome,$D383)=0)),"⚠ Categoria não combina com o tipo",IF(OR($N383="",$C383=""),"⚠ Falta valor ou tipo",""))))</f>
        <v/>
      </c>
      <c r="U383" s="40">
        <f>IF($A383="",0,P383*12+O383)</f>
        <v>24317</v>
      </c>
      <c r="V383" s="40">
        <f>IF($A383="",0,U383+MAX(0,N($I383)-MAX(N($H383),1)))</f>
        <v>24317</v>
      </c>
      <c r="W383" s="40">
        <f>IF(S383="",0,YEAR(S383)*12+MONTH(S383))</f>
        <v>0</v>
      </c>
      <c r="X383" s="40">
        <f>IF(W383=0,0,W383+V383-U383)</f>
        <v>0</v>
      </c>
      <c r="Y383" s="36">
        <f>IF(W383=0,0,N(R383)*MAX(0,X383-MAX(W383,YEAR(Cfg_Hoje)*12+MONTH(Cfg_Hoje)+IF(DAY(Cfg_Hoje)&gt;=INDEX(Cartoes_Fech,MATCH($F383,Cartoes_Nome,0)),1,0))+1))</f>
        <v>0</v>
      </c>
      <c r="Z383" s="40">
        <f>IF($A383="",0,DAY($A383))</f>
        <v>22</v>
      </c>
      <c r="AA383" s="40">
        <f>IF($A383="",0,WEEKDAY($A383))</f>
        <v>6</v>
      </c>
      <c r="AB383" s="36">
        <f>IF(AND($C383="Despesa",U383&gt;0,U383&lt;=Sel_Idx,V383&gt;=Sel_Idx),N(R383)+ROW()/1000000000,0)</f>
        <v>0</v>
      </c>
      <c r="AC383" s="40">
        <f>IF(AND($C383="Despesa",U383&gt;0,U383&lt;=Sel_Idx,V383&gt;=Sel_Idx),Z383*10000+ROW(),0)</f>
        <v>0</v>
      </c>
      <c r="AD383" s="40">
        <f>IF(AC383=0,0,COUNTIFS(L_CalChave,"&gt;0",L_CalChave,"&lt;"&amp;AC383)+1)</f>
        <v>0</v>
      </c>
    </row>
    <row r="384">
      <c r="A384" s="38" t="n">
        <v>46167</v>
      </c>
      <c r="B384" s="39" t="inlineStr">
        <is>
          <t>Corrida de aplicativo</t>
        </is>
      </c>
      <c r="C384" s="34" t="inlineStr">
        <is>
          <t>Despesa</t>
        </is>
      </c>
      <c r="D384" s="34" t="inlineStr">
        <is>
          <t>Transporte</t>
        </is>
      </c>
      <c r="E384" s="34" t="inlineStr">
        <is>
          <t>App de transporte</t>
        </is>
      </c>
      <c r="F384" s="34" t="inlineStr">
        <is>
          <t>Conta Corrente Banco Azul</t>
        </is>
      </c>
      <c r="G384" s="34" t="inlineStr">
        <is>
          <t>Pix</t>
        </is>
      </c>
      <c r="H384" s="37" t="n"/>
      <c r="I384" s="37" t="n"/>
      <c r="J384" s="34" t="inlineStr">
        <is>
          <t>Pago</t>
        </is>
      </c>
      <c r="K384" s="34" t="n"/>
      <c r="L384" s="34" t="n"/>
      <c r="M384" s="39" t="inlineStr">
        <is>
          <t>EXEMPLO</t>
        </is>
      </c>
      <c r="N384" s="35" t="n">
        <v>45.06</v>
      </c>
      <c r="O384" s="40">
        <f>IF($A384="","",MONTH($A384))</f>
        <v>5</v>
      </c>
      <c r="P384" s="40">
        <f>IF($A384="","",YEAR($A384))</f>
        <v>2026</v>
      </c>
      <c r="Q384" s="41">
        <f>IF($A384="","",DATE(P384,O384,1))</f>
        <v>46143.0</v>
      </c>
      <c r="R384" s="36">
        <f>IF(OR($A384="",$N384=""),"",IF(AND($C384&lt;&gt;"Transferência",N($I384)&gt;1),$N384/$I384,$N384))</f>
        <v>45.06</v>
      </c>
      <c r="S384" s="41" t="str">
        <f>IF(OR($A384="",$F384="",$C384&lt;&gt;"Despesa"),"",IF(COUNTIF(Cartoes_Nome,$F384)=0,"",DATE(P384,O384+IF(DAY($A384)&gt;=INDEX(Cartoes_Fech,MATCH($F384,Cartoes_Nome,0)),1,0),1)))</f>
        <v/>
      </c>
      <c r="T384" s="42" t="str">
        <f>IF($A384="","",IF(COUNTIFS(L_Data,$A384,L_Desc,$B384,L_Valor,$N384,L_Tipo,$C384)&gt;1,"⚠ Possível duplicidade",IF(OR(AND($C384="Despesa",COUNTIF(CatD_Nome,$D384)=0),AND($C384="Receita",COUNTIF(CatR_Nome,$D384)=0)),"⚠ Categoria não combina com o tipo",IF(OR($N384="",$C384=""),"⚠ Falta valor ou tipo",""))))</f>
        <v/>
      </c>
      <c r="U384" s="40">
        <f>IF($A384="",0,P384*12+O384)</f>
        <v>24317</v>
      </c>
      <c r="V384" s="40">
        <f>IF($A384="",0,U384+MAX(0,N($I384)-MAX(N($H384),1)))</f>
        <v>24317</v>
      </c>
      <c r="W384" s="40">
        <f>IF(S384="",0,YEAR(S384)*12+MONTH(S384))</f>
        <v>0</v>
      </c>
      <c r="X384" s="40">
        <f>IF(W384=0,0,W384+V384-U384)</f>
        <v>0</v>
      </c>
      <c r="Y384" s="36">
        <f>IF(W384=0,0,N(R384)*MAX(0,X384-MAX(W384,YEAR(Cfg_Hoje)*12+MONTH(Cfg_Hoje)+IF(DAY(Cfg_Hoje)&gt;=INDEX(Cartoes_Fech,MATCH($F384,Cartoes_Nome,0)),1,0))+1))</f>
        <v>0</v>
      </c>
      <c r="Z384" s="40">
        <f>IF($A384="",0,DAY($A384))</f>
        <v>25</v>
      </c>
      <c r="AA384" s="40">
        <f>IF($A384="",0,WEEKDAY($A384))</f>
        <v>2</v>
      </c>
      <c r="AB384" s="36">
        <f>IF(AND($C384="Despesa",U384&gt;0,U384&lt;=Sel_Idx,V384&gt;=Sel_Idx),N(R384)+ROW()/1000000000,0)</f>
        <v>0</v>
      </c>
      <c r="AC384" s="40">
        <f>IF(AND($C384="Despesa",U384&gt;0,U384&lt;=Sel_Idx,V384&gt;=Sel_Idx),Z384*10000+ROW(),0)</f>
        <v>0</v>
      </c>
      <c r="AD384" s="40">
        <f>IF(AC384=0,0,COUNTIFS(L_CalChave,"&gt;0",L_CalChave,"&lt;"&amp;AC384)+1)</f>
        <v>0</v>
      </c>
    </row>
    <row r="385">
      <c r="A385" s="38" t="n">
        <v>46167</v>
      </c>
      <c r="B385" s="39" t="inlineStr">
        <is>
          <t>Parcela renegociação da fatura</t>
        </is>
      </c>
      <c r="C385" s="34" t="inlineStr">
        <is>
          <t>Despesa</t>
        </is>
      </c>
      <c r="D385" s="34" t="inlineStr">
        <is>
          <t>Dívidas e Financiamentos</t>
        </is>
      </c>
      <c r="E385" s="34" t="n"/>
      <c r="F385" s="34" t="inlineStr">
        <is>
          <t>Conta Corrente Banco Azul</t>
        </is>
      </c>
      <c r="G385" s="34" t="inlineStr">
        <is>
          <t>Boleto</t>
        </is>
      </c>
      <c r="H385" s="37" t="n"/>
      <c r="I385" s="37" t="n"/>
      <c r="J385" s="34" t="inlineStr">
        <is>
          <t>Pago</t>
        </is>
      </c>
      <c r="K385" s="34" t="n"/>
      <c r="L385" s="34" t="n"/>
      <c r="M385" s="39" t="inlineStr">
        <is>
          <t>EXEMPLO</t>
        </is>
      </c>
      <c r="N385" s="35" t="n">
        <v>460</v>
      </c>
      <c r="O385" s="40">
        <f>IF($A385="","",MONTH($A385))</f>
        <v>5</v>
      </c>
      <c r="P385" s="40">
        <f>IF($A385="","",YEAR($A385))</f>
        <v>2026</v>
      </c>
      <c r="Q385" s="41">
        <f>IF($A385="","",DATE(P385,O385,1))</f>
        <v>46143.0</v>
      </c>
      <c r="R385" s="36">
        <f>IF(OR($A385="",$N385=""),"",IF(AND($C385&lt;&gt;"Transferência",N($I385)&gt;1),$N385/$I385,$N385))</f>
        <v>460</v>
      </c>
      <c r="S385" s="41" t="str">
        <f>IF(OR($A385="",$F385="",$C385&lt;&gt;"Despesa"),"",IF(COUNTIF(Cartoes_Nome,$F385)=0,"",DATE(P385,O385+IF(DAY($A385)&gt;=INDEX(Cartoes_Fech,MATCH($F385,Cartoes_Nome,0)),1,0),1)))</f>
        <v/>
      </c>
      <c r="T385" s="42" t="str">
        <f>IF($A385="","",IF(COUNTIFS(L_Data,$A385,L_Desc,$B385,L_Valor,$N385,L_Tipo,$C385)&gt;1,"⚠ Possível duplicidade",IF(OR(AND($C385="Despesa",COUNTIF(CatD_Nome,$D385)=0),AND($C385="Receita",COUNTIF(CatR_Nome,$D385)=0)),"⚠ Categoria não combina com o tipo",IF(OR($N385="",$C385=""),"⚠ Falta valor ou tipo",""))))</f>
        <v/>
      </c>
      <c r="U385" s="40">
        <f>IF($A385="",0,P385*12+O385)</f>
        <v>24317</v>
      </c>
      <c r="V385" s="40">
        <f>IF($A385="",0,U385+MAX(0,N($I385)-MAX(N($H385),1)))</f>
        <v>24317</v>
      </c>
      <c r="W385" s="40">
        <f>IF(S385="",0,YEAR(S385)*12+MONTH(S385))</f>
        <v>0</v>
      </c>
      <c r="X385" s="40">
        <f>IF(W385=0,0,W385+V385-U385)</f>
        <v>0</v>
      </c>
      <c r="Y385" s="36">
        <f>IF(W385=0,0,N(R385)*MAX(0,X385-MAX(W385,YEAR(Cfg_Hoje)*12+MONTH(Cfg_Hoje)+IF(DAY(Cfg_Hoje)&gt;=INDEX(Cartoes_Fech,MATCH($F385,Cartoes_Nome,0)),1,0))+1))</f>
        <v>0</v>
      </c>
      <c r="Z385" s="40">
        <f>IF($A385="",0,DAY($A385))</f>
        <v>25</v>
      </c>
      <c r="AA385" s="40">
        <f>IF($A385="",0,WEEKDAY($A385))</f>
        <v>2</v>
      </c>
      <c r="AB385" s="36">
        <f>IF(AND($C385="Despesa",U385&gt;0,U385&lt;=Sel_Idx,V385&gt;=Sel_Idx),N(R385)+ROW()/1000000000,0)</f>
        <v>0</v>
      </c>
      <c r="AC385" s="40">
        <f>IF(AND($C385="Despesa",U385&gt;0,U385&lt;=Sel_Idx,V385&gt;=Sel_Idx),Z385*10000+ROW(),0)</f>
        <v>0</v>
      </c>
      <c r="AD385" s="40">
        <f>IF(AC385=0,0,COUNTIFS(L_CalChave,"&gt;0",L_CalChave,"&lt;"&amp;AC385)+1)</f>
        <v>0</v>
      </c>
    </row>
    <row r="386">
      <c r="A386" s="38" t="n">
        <v>46169</v>
      </c>
      <c r="B386" s="39" t="inlineStr">
        <is>
          <t>Supermercado</t>
        </is>
      </c>
      <c r="C386" s="34" t="inlineStr">
        <is>
          <t>Despesa</t>
        </is>
      </c>
      <c r="D386" s="34" t="inlineStr">
        <is>
          <t>Alimentação</t>
        </is>
      </c>
      <c r="E386" s="34" t="inlineStr">
        <is>
          <t>Mercado</t>
        </is>
      </c>
      <c r="F386" s="34" t="inlineStr">
        <is>
          <t>Conta Corrente Banco Azul</t>
        </is>
      </c>
      <c r="G386" s="34" t="inlineStr">
        <is>
          <t>Débito</t>
        </is>
      </c>
      <c r="H386" s="37" t="n"/>
      <c r="I386" s="37" t="n"/>
      <c r="J386" s="34" t="inlineStr">
        <is>
          <t>Pago</t>
        </is>
      </c>
      <c r="K386" s="34" t="n"/>
      <c r="L386" s="34" t="n"/>
      <c r="M386" s="39" t="inlineStr">
        <is>
          <t>EXEMPLO</t>
        </is>
      </c>
      <c r="N386" s="35" t="n">
        <v>293.39</v>
      </c>
      <c r="O386" s="40">
        <f>IF($A386="","",MONTH($A386))</f>
        <v>5</v>
      </c>
      <c r="P386" s="40">
        <f>IF($A386="","",YEAR($A386))</f>
        <v>2026</v>
      </c>
      <c r="Q386" s="41">
        <f>IF($A386="","",DATE(P386,O386,1))</f>
        <v>46143.0</v>
      </c>
      <c r="R386" s="36">
        <f>IF(OR($A386="",$N386=""),"",IF(AND($C386&lt;&gt;"Transferência",N($I386)&gt;1),$N386/$I386,$N386))</f>
        <v>293.39</v>
      </c>
      <c r="S386" s="41" t="str">
        <f>IF(OR($A386="",$F386="",$C386&lt;&gt;"Despesa"),"",IF(COUNTIF(Cartoes_Nome,$F386)=0,"",DATE(P386,O386+IF(DAY($A386)&gt;=INDEX(Cartoes_Fech,MATCH($F386,Cartoes_Nome,0)),1,0),1)))</f>
        <v/>
      </c>
      <c r="T386" s="42" t="str">
        <f>IF($A386="","",IF(COUNTIFS(L_Data,$A386,L_Desc,$B386,L_Valor,$N386,L_Tipo,$C386)&gt;1,"⚠ Possível duplicidade",IF(OR(AND($C386="Despesa",COUNTIF(CatD_Nome,$D386)=0),AND($C386="Receita",COUNTIF(CatR_Nome,$D386)=0)),"⚠ Categoria não combina com o tipo",IF(OR($N386="",$C386=""),"⚠ Falta valor ou tipo",""))))</f>
        <v/>
      </c>
      <c r="U386" s="40">
        <f>IF($A386="",0,P386*12+O386)</f>
        <v>24317</v>
      </c>
      <c r="V386" s="40">
        <f>IF($A386="",0,U386+MAX(0,N($I386)-MAX(N($H386),1)))</f>
        <v>24317</v>
      </c>
      <c r="W386" s="40">
        <f>IF(S386="",0,YEAR(S386)*12+MONTH(S386))</f>
        <v>0</v>
      </c>
      <c r="X386" s="40">
        <f>IF(W386=0,0,W386+V386-U386)</f>
        <v>0</v>
      </c>
      <c r="Y386" s="36">
        <f>IF(W386=0,0,N(R386)*MAX(0,X386-MAX(W386,YEAR(Cfg_Hoje)*12+MONTH(Cfg_Hoje)+IF(DAY(Cfg_Hoje)&gt;=INDEX(Cartoes_Fech,MATCH($F386,Cartoes_Nome,0)),1,0))+1))</f>
        <v>0</v>
      </c>
      <c r="Z386" s="40">
        <f>IF($A386="",0,DAY($A386))</f>
        <v>27</v>
      </c>
      <c r="AA386" s="40">
        <f>IF($A386="",0,WEEKDAY($A386))</f>
        <v>4</v>
      </c>
      <c r="AB386" s="36">
        <f>IF(AND($C386="Despesa",U386&gt;0,U386&lt;=Sel_Idx,V386&gt;=Sel_Idx),N(R386)+ROW()/1000000000,0)</f>
        <v>0</v>
      </c>
      <c r="AC386" s="40">
        <f>IF(AND($C386="Despesa",U386&gt;0,U386&lt;=Sel_Idx,V386&gt;=Sel_Idx),Z386*10000+ROW(),0)</f>
        <v>0</v>
      </c>
      <c r="AD386" s="40">
        <f>IF(AC386=0,0,COUNTIFS(L_CalChave,"&gt;0",L_CalChave,"&lt;"&amp;AC386)+1)</f>
        <v>0</v>
      </c>
    </row>
    <row r="387">
      <c r="A387" s="38" t="n">
        <v>46170</v>
      </c>
      <c r="B387" s="39" t="inlineStr">
        <is>
          <t>Rendimento da poupança</t>
        </is>
      </c>
      <c r="C387" s="34" t="inlineStr">
        <is>
          <t>Receita</t>
        </is>
      </c>
      <c r="D387" s="34" t="inlineStr">
        <is>
          <t>Rendimentos</t>
        </is>
      </c>
      <c r="E387" s="34" t="n"/>
      <c r="F387" s="34" t="inlineStr">
        <is>
          <t>Poupança Banco Azul</t>
        </is>
      </c>
      <c r="G387" s="34" t="inlineStr">
        <is>
          <t>Transferência</t>
        </is>
      </c>
      <c r="H387" s="37" t="n"/>
      <c r="I387" s="37" t="n"/>
      <c r="J387" s="34" t="inlineStr">
        <is>
          <t>Pago</t>
        </is>
      </c>
      <c r="K387" s="34" t="n"/>
      <c r="L387" s="34" t="n"/>
      <c r="M387" s="39" t="inlineStr">
        <is>
          <t>EXEMPLO</t>
        </is>
      </c>
      <c r="N387" s="35" t="n">
        <v>84.34999999999999</v>
      </c>
      <c r="O387" s="40">
        <f>IF($A387="","",MONTH($A387))</f>
        <v>5</v>
      </c>
      <c r="P387" s="40">
        <f>IF($A387="","",YEAR($A387))</f>
        <v>2026</v>
      </c>
      <c r="Q387" s="41">
        <f>IF($A387="","",DATE(P387,O387,1))</f>
        <v>46143.0</v>
      </c>
      <c r="R387" s="36">
        <f>IF(OR($A387="",$N387=""),"",IF(AND($C387&lt;&gt;"Transferência",N($I387)&gt;1),$N387/$I387,$N387))</f>
        <v>84.35</v>
      </c>
      <c r="S387" s="41" t="str">
        <f>IF(OR($A387="",$F387="",$C387&lt;&gt;"Despesa"),"",IF(COUNTIF(Cartoes_Nome,$F387)=0,"",DATE(P387,O387+IF(DAY($A387)&gt;=INDEX(Cartoes_Fech,MATCH($F387,Cartoes_Nome,0)),1,0),1)))</f>
        <v/>
      </c>
      <c r="T387" s="42" t="str">
        <f>IF($A387="","",IF(COUNTIFS(L_Data,$A387,L_Desc,$B387,L_Valor,$N387,L_Tipo,$C387)&gt;1,"⚠ Possível duplicidade",IF(OR(AND($C387="Despesa",COUNTIF(CatD_Nome,$D387)=0),AND($C387="Receita",COUNTIF(CatR_Nome,$D387)=0)),"⚠ Categoria não combina com o tipo",IF(OR($N387="",$C387=""),"⚠ Falta valor ou tipo",""))))</f>
        <v/>
      </c>
      <c r="U387" s="40">
        <f>IF($A387="",0,P387*12+O387)</f>
        <v>24317</v>
      </c>
      <c r="V387" s="40">
        <f>IF($A387="",0,U387+MAX(0,N($I387)-MAX(N($H387),1)))</f>
        <v>24317</v>
      </c>
      <c r="W387" s="40">
        <f>IF(S387="",0,YEAR(S387)*12+MONTH(S387))</f>
        <v>0</v>
      </c>
      <c r="X387" s="40">
        <f>IF(W387=0,0,W387+V387-U387)</f>
        <v>0</v>
      </c>
      <c r="Y387" s="36">
        <f>IF(W387=0,0,N(R387)*MAX(0,X387-MAX(W387,YEAR(Cfg_Hoje)*12+MONTH(Cfg_Hoje)+IF(DAY(Cfg_Hoje)&gt;=INDEX(Cartoes_Fech,MATCH($F387,Cartoes_Nome,0)),1,0))+1))</f>
        <v>0</v>
      </c>
      <c r="Z387" s="40">
        <f>IF($A387="",0,DAY($A387))</f>
        <v>28</v>
      </c>
      <c r="AA387" s="40">
        <f>IF($A387="",0,WEEKDAY($A387))</f>
        <v>5</v>
      </c>
      <c r="AB387" s="36">
        <f>IF(AND($C387="Despesa",U387&gt;0,U387&lt;=Sel_Idx,V387&gt;=Sel_Idx),N(R387)+ROW()/1000000000,0)</f>
        <v>0</v>
      </c>
      <c r="AC387" s="40">
        <f>IF(AND($C387="Despesa",U387&gt;0,U387&lt;=Sel_Idx,V387&gt;=Sel_Idx),Z387*10000+ROW(),0)</f>
        <v>0</v>
      </c>
      <c r="AD387" s="40">
        <f>IF(AC387=0,0,COUNTIFS(L_CalChave,"&gt;0",L_CalChave,"&lt;"&amp;AC387)+1)</f>
        <v>0</v>
      </c>
    </row>
    <row r="388">
      <c r="A388" s="38" t="n">
        <v>46176</v>
      </c>
      <c r="B388" s="39" t="inlineStr">
        <is>
          <t>Academia</t>
        </is>
      </c>
      <c r="C388" s="34" t="inlineStr">
        <is>
          <t>Despesa</t>
        </is>
      </c>
      <c r="D388" s="34" t="inlineStr">
        <is>
          <t>Assinaturas</t>
        </is>
      </c>
      <c r="E388" s="34" t="inlineStr">
        <is>
          <t>Academia</t>
        </is>
      </c>
      <c r="F388" s="34" t="inlineStr">
        <is>
          <t>Conta Corrente Banco Azul</t>
        </is>
      </c>
      <c r="G388" s="34" t="inlineStr">
        <is>
          <t>Débito automático</t>
        </is>
      </c>
      <c r="H388" s="37" t="n"/>
      <c r="I388" s="37" t="n"/>
      <c r="J388" s="34" t="inlineStr">
        <is>
          <t>Pago</t>
        </is>
      </c>
      <c r="K388" s="34" t="n"/>
      <c r="L388" s="34" t="n"/>
      <c r="M388" s="39" t="inlineStr">
        <is>
          <t>EXEMPLO</t>
        </is>
      </c>
      <c r="N388" s="35" t="n">
        <v>129</v>
      </c>
      <c r="O388" s="40">
        <f>IF($A388="","",MONTH($A388))</f>
        <v>6</v>
      </c>
      <c r="P388" s="40">
        <f>IF($A388="","",YEAR($A388))</f>
        <v>2026</v>
      </c>
      <c r="Q388" s="41">
        <f>IF($A388="","",DATE(P388,O388,1))</f>
        <v>46174.0</v>
      </c>
      <c r="R388" s="36">
        <f>IF(OR($A388="",$N388=""),"",IF(AND($C388&lt;&gt;"Transferência",N($I388)&gt;1),$N388/$I388,$N388))</f>
        <v>129</v>
      </c>
      <c r="S388" s="41" t="str">
        <f>IF(OR($A388="",$F388="",$C388&lt;&gt;"Despesa"),"",IF(COUNTIF(Cartoes_Nome,$F388)=0,"",DATE(P388,O388+IF(DAY($A388)&gt;=INDEX(Cartoes_Fech,MATCH($F388,Cartoes_Nome,0)),1,0),1)))</f>
        <v/>
      </c>
      <c r="T388" s="42" t="str">
        <f>IF($A388="","",IF(COUNTIFS(L_Data,$A388,L_Desc,$B388,L_Valor,$N388,L_Tipo,$C388)&gt;1,"⚠ Possível duplicidade",IF(OR(AND($C388="Despesa",COUNTIF(CatD_Nome,$D388)=0),AND($C388="Receita",COUNTIF(CatR_Nome,$D388)=0)),"⚠ Categoria não combina com o tipo",IF(OR($N388="",$C388=""),"⚠ Falta valor ou tipo",""))))</f>
        <v/>
      </c>
      <c r="U388" s="40">
        <f>IF($A388="",0,P388*12+O388)</f>
        <v>24318</v>
      </c>
      <c r="V388" s="40">
        <f>IF($A388="",0,U388+MAX(0,N($I388)-MAX(N($H388),1)))</f>
        <v>24318</v>
      </c>
      <c r="W388" s="40">
        <f>IF(S388="",0,YEAR(S388)*12+MONTH(S388))</f>
        <v>0</v>
      </c>
      <c r="X388" s="40">
        <f>IF(W388=0,0,W388+V388-U388)</f>
        <v>0</v>
      </c>
      <c r="Y388" s="36">
        <f>IF(W388=0,0,N(R388)*MAX(0,X388-MAX(W388,YEAR(Cfg_Hoje)*12+MONTH(Cfg_Hoje)+IF(DAY(Cfg_Hoje)&gt;=INDEX(Cartoes_Fech,MATCH($F388,Cartoes_Nome,0)),1,0))+1))</f>
        <v>0</v>
      </c>
      <c r="Z388" s="40">
        <f>IF($A388="",0,DAY($A388))</f>
        <v>3</v>
      </c>
      <c r="AA388" s="40">
        <f>IF($A388="",0,WEEKDAY($A388))</f>
        <v>4</v>
      </c>
      <c r="AB388" s="36">
        <f>IF(AND($C388="Despesa",U388&gt;0,U388&lt;=Sel_Idx,V388&gt;=Sel_Idx),N(R388)+ROW()/1000000000,0)</f>
        <v>0</v>
      </c>
      <c r="AC388" s="40">
        <f>IF(AND($C388="Despesa",U388&gt;0,U388&lt;=Sel_Idx,V388&gt;=Sel_Idx),Z388*10000+ROW(),0)</f>
        <v>0</v>
      </c>
      <c r="AD388" s="40">
        <f>IF(AC388=0,0,COUNTIFS(L_CalChave,"&gt;0",L_CalChave,"&lt;"&amp;AC388)+1)</f>
        <v>0</v>
      </c>
    </row>
    <row r="389">
      <c r="A389" s="38" t="n">
        <v>46178</v>
      </c>
      <c r="B389" s="39" t="inlineStr">
        <is>
          <t>Pagamento fatura Cartão Roxinho</t>
        </is>
      </c>
      <c r="C389" s="34" t="inlineStr">
        <is>
          <t>Transferência</t>
        </is>
      </c>
      <c r="D389" s="34" t="n"/>
      <c r="E389" s="34" t="n"/>
      <c r="F389" s="34" t="inlineStr">
        <is>
          <t>Conta Corrente Banco Azul</t>
        </is>
      </c>
      <c r="G389" s="34" t="inlineStr">
        <is>
          <t>Débito automático</t>
        </is>
      </c>
      <c r="H389" s="37" t="n"/>
      <c r="I389" s="37" t="n"/>
      <c r="J389" s="34" t="inlineStr">
        <is>
          <t>Pago</t>
        </is>
      </c>
      <c r="K389" s="34" t="n"/>
      <c r="L389" s="34" t="n"/>
      <c r="M389" s="39" t="inlineStr">
        <is>
          <t>EXEMPLO</t>
        </is>
      </c>
      <c r="N389" s="35" t="n">
        <v>-1205.94</v>
      </c>
      <c r="O389" s="40">
        <f>IF($A389="","",MONTH($A389))</f>
        <v>6</v>
      </c>
      <c r="P389" s="40">
        <f>IF($A389="","",YEAR($A389))</f>
        <v>2026</v>
      </c>
      <c r="Q389" s="41">
        <f>IF($A389="","",DATE(P389,O389,1))</f>
        <v>46174.0</v>
      </c>
      <c r="R389" s="36">
        <f>IF(OR($A389="",$N389=""),"",IF(AND($C389&lt;&gt;"Transferência",N($I389)&gt;1),$N389/$I389,$N389))</f>
        <v>-1205.94</v>
      </c>
      <c r="S389" s="41" t="str">
        <f>IF(OR($A389="",$F389="",$C389&lt;&gt;"Despesa"),"",IF(COUNTIF(Cartoes_Nome,$F389)=0,"",DATE(P389,O389+IF(DAY($A389)&gt;=INDEX(Cartoes_Fech,MATCH($F389,Cartoes_Nome,0)),1,0),1)))</f>
        <v/>
      </c>
      <c r="T389" s="42" t="str">
        <f>IF($A389="","",IF(COUNTIFS(L_Data,$A389,L_Desc,$B389,L_Valor,$N389,L_Tipo,$C389)&gt;1,"⚠ Possível duplicidade",IF(OR(AND($C389="Despesa",COUNTIF(CatD_Nome,$D389)=0),AND($C389="Receita",COUNTIF(CatR_Nome,$D389)=0)),"⚠ Categoria não combina com o tipo",IF(OR($N389="",$C389=""),"⚠ Falta valor ou tipo",""))))</f>
        <v/>
      </c>
      <c r="U389" s="40">
        <f>IF($A389="",0,P389*12+O389)</f>
        <v>24318</v>
      </c>
      <c r="V389" s="40">
        <f>IF($A389="",0,U389+MAX(0,N($I389)-MAX(N($H389),1)))</f>
        <v>24318</v>
      </c>
      <c r="W389" s="40">
        <f>IF(S389="",0,YEAR(S389)*12+MONTH(S389))</f>
        <v>0</v>
      </c>
      <c r="X389" s="40">
        <f>IF(W389=0,0,W389+V389-U389)</f>
        <v>0</v>
      </c>
      <c r="Y389" s="36">
        <f>IF(W389=0,0,N(R389)*MAX(0,X389-MAX(W389,YEAR(Cfg_Hoje)*12+MONTH(Cfg_Hoje)+IF(DAY(Cfg_Hoje)&gt;=INDEX(Cartoes_Fech,MATCH($F389,Cartoes_Nome,0)),1,0))+1))</f>
        <v>0</v>
      </c>
      <c r="Z389" s="40">
        <f>IF($A389="",0,DAY($A389))</f>
        <v>5</v>
      </c>
      <c r="AA389" s="40">
        <f>IF($A389="",0,WEEKDAY($A389))</f>
        <v>6</v>
      </c>
      <c r="AB389" s="36">
        <f>IF(AND($C389="Despesa",U389&gt;0,U389&lt;=Sel_Idx,V389&gt;=Sel_Idx),N(R389)+ROW()/1000000000,0)</f>
        <v>0</v>
      </c>
      <c r="AC389" s="40">
        <f>IF(AND($C389="Despesa",U389&gt;0,U389&lt;=Sel_Idx,V389&gt;=Sel_Idx),Z389*10000+ROW(),0)</f>
        <v>0</v>
      </c>
      <c r="AD389" s="40">
        <f>IF(AC389=0,0,COUNTIFS(L_CalChave,"&gt;0",L_CalChave,"&lt;"&amp;AC389)+1)</f>
        <v>0</v>
      </c>
    </row>
    <row r="390">
      <c r="A390" s="38" t="n">
        <v>46178</v>
      </c>
      <c r="B390" s="39" t="inlineStr">
        <is>
          <t>Plano de saúde</t>
        </is>
      </c>
      <c r="C390" s="34" t="inlineStr">
        <is>
          <t>Despesa</t>
        </is>
      </c>
      <c r="D390" s="34" t="inlineStr">
        <is>
          <t>Saúde</t>
        </is>
      </c>
      <c r="E390" s="34" t="inlineStr">
        <is>
          <t>Plano de saúde</t>
        </is>
      </c>
      <c r="F390" s="34" t="inlineStr">
        <is>
          <t>Conta Corrente Banco Azul</t>
        </is>
      </c>
      <c r="G390" s="34" t="inlineStr">
        <is>
          <t>Débito automático</t>
        </is>
      </c>
      <c r="H390" s="37" t="n"/>
      <c r="I390" s="37" t="n"/>
      <c r="J390" s="34" t="inlineStr">
        <is>
          <t>Pago</t>
        </is>
      </c>
      <c r="K390" s="34" t="n"/>
      <c r="L390" s="34" t="n"/>
      <c r="M390" s="39" t="inlineStr">
        <is>
          <t>EXEMPLO</t>
        </is>
      </c>
      <c r="N390" s="35" t="n">
        <v>780</v>
      </c>
      <c r="O390" s="40">
        <f>IF($A390="","",MONTH($A390))</f>
        <v>6</v>
      </c>
      <c r="P390" s="40">
        <f>IF($A390="","",YEAR($A390))</f>
        <v>2026</v>
      </c>
      <c r="Q390" s="41">
        <f>IF($A390="","",DATE(P390,O390,1))</f>
        <v>46174.0</v>
      </c>
      <c r="R390" s="36">
        <f>IF(OR($A390="",$N390=""),"",IF(AND($C390&lt;&gt;"Transferência",N($I390)&gt;1),$N390/$I390,$N390))</f>
        <v>780</v>
      </c>
      <c r="S390" s="41" t="str">
        <f>IF(OR($A390="",$F390="",$C390&lt;&gt;"Despesa"),"",IF(COUNTIF(Cartoes_Nome,$F390)=0,"",DATE(P390,O390+IF(DAY($A390)&gt;=INDEX(Cartoes_Fech,MATCH($F390,Cartoes_Nome,0)),1,0),1)))</f>
        <v/>
      </c>
      <c r="T390" s="42" t="str">
        <f>IF($A390="","",IF(COUNTIFS(L_Data,$A390,L_Desc,$B390,L_Valor,$N390,L_Tipo,$C390)&gt;1,"⚠ Possível duplicidade",IF(OR(AND($C390="Despesa",COUNTIF(CatD_Nome,$D390)=0),AND($C390="Receita",COUNTIF(CatR_Nome,$D390)=0)),"⚠ Categoria não combina com o tipo",IF(OR($N390="",$C390=""),"⚠ Falta valor ou tipo",""))))</f>
        <v/>
      </c>
      <c r="U390" s="40">
        <f>IF($A390="",0,P390*12+O390)</f>
        <v>24318</v>
      </c>
      <c r="V390" s="40">
        <f>IF($A390="",0,U390+MAX(0,N($I390)-MAX(N($H390),1)))</f>
        <v>24318</v>
      </c>
      <c r="W390" s="40">
        <f>IF(S390="",0,YEAR(S390)*12+MONTH(S390))</f>
        <v>0</v>
      </c>
      <c r="X390" s="40">
        <f>IF(W390=0,0,W390+V390-U390)</f>
        <v>0</v>
      </c>
      <c r="Y390" s="36">
        <f>IF(W390=0,0,N(R390)*MAX(0,X390-MAX(W390,YEAR(Cfg_Hoje)*12+MONTH(Cfg_Hoje)+IF(DAY(Cfg_Hoje)&gt;=INDEX(Cartoes_Fech,MATCH($F390,Cartoes_Nome,0)),1,0))+1))</f>
        <v>0</v>
      </c>
      <c r="Z390" s="40">
        <f>IF($A390="",0,DAY($A390))</f>
        <v>5</v>
      </c>
      <c r="AA390" s="40">
        <f>IF($A390="",0,WEEKDAY($A390))</f>
        <v>6</v>
      </c>
      <c r="AB390" s="36">
        <f>IF(AND($C390="Despesa",U390&gt;0,U390&lt;=Sel_Idx,V390&gt;=Sel_Idx),N(R390)+ROW()/1000000000,0)</f>
        <v>0</v>
      </c>
      <c r="AC390" s="40">
        <f>IF(AND($C390="Despesa",U390&gt;0,U390&lt;=Sel_Idx,V390&gt;=Sel_Idx),Z390*10000+ROW(),0)</f>
        <v>0</v>
      </c>
      <c r="AD390" s="40">
        <f>IF(AC390=0,0,COUNTIFS(L_CalChave,"&gt;0",L_CalChave,"&lt;"&amp;AC390)+1)</f>
        <v>0</v>
      </c>
    </row>
    <row r="391">
      <c r="A391" s="38" t="n">
        <v>46178</v>
      </c>
      <c r="B391" s="39" t="inlineStr">
        <is>
          <t>Salário</t>
        </is>
      </c>
      <c r="C391" s="34" t="inlineStr">
        <is>
          <t>Receita</t>
        </is>
      </c>
      <c r="D391" s="34" t="inlineStr">
        <is>
          <t>Salário</t>
        </is>
      </c>
      <c r="E391" s="34" t="n"/>
      <c r="F391" s="34" t="inlineStr">
        <is>
          <t>Conta Corrente Banco Azul</t>
        </is>
      </c>
      <c r="G391" s="34" t="inlineStr">
        <is>
          <t>Transferência</t>
        </is>
      </c>
      <c r="H391" s="37" t="n"/>
      <c r="I391" s="37" t="n"/>
      <c r="J391" s="34" t="inlineStr">
        <is>
          <t>Pago</t>
        </is>
      </c>
      <c r="K391" s="34" t="n"/>
      <c r="L391" s="34" t="n"/>
      <c r="M391" s="39" t="inlineStr">
        <is>
          <t>EXEMPLO</t>
        </is>
      </c>
      <c r="N391" s="35" t="n">
        <v>10800</v>
      </c>
      <c r="O391" s="40">
        <f>IF($A391="","",MONTH($A391))</f>
        <v>6</v>
      </c>
      <c r="P391" s="40">
        <f>IF($A391="","",YEAR($A391))</f>
        <v>2026</v>
      </c>
      <c r="Q391" s="41">
        <f>IF($A391="","",DATE(P391,O391,1))</f>
        <v>46174.0</v>
      </c>
      <c r="R391" s="36">
        <f>IF(OR($A391="",$N391=""),"",IF(AND($C391&lt;&gt;"Transferência",N($I391)&gt;1),$N391/$I391,$N391))</f>
        <v>10800</v>
      </c>
      <c r="S391" s="41" t="str">
        <f>IF(OR($A391="",$F391="",$C391&lt;&gt;"Despesa"),"",IF(COUNTIF(Cartoes_Nome,$F391)=0,"",DATE(P391,O391+IF(DAY($A391)&gt;=INDEX(Cartoes_Fech,MATCH($F391,Cartoes_Nome,0)),1,0),1)))</f>
        <v/>
      </c>
      <c r="T391" s="42" t="str">
        <f>IF($A391="","",IF(COUNTIFS(L_Data,$A391,L_Desc,$B391,L_Valor,$N391,L_Tipo,$C391)&gt;1,"⚠ Possível duplicidade",IF(OR(AND($C391="Despesa",COUNTIF(CatD_Nome,$D391)=0),AND($C391="Receita",COUNTIF(CatR_Nome,$D391)=0)),"⚠ Categoria não combina com o tipo",IF(OR($N391="",$C391=""),"⚠ Falta valor ou tipo",""))))</f>
        <v/>
      </c>
      <c r="U391" s="40">
        <f>IF($A391="",0,P391*12+O391)</f>
        <v>24318</v>
      </c>
      <c r="V391" s="40">
        <f>IF($A391="",0,U391+MAX(0,N($I391)-MAX(N($H391),1)))</f>
        <v>24318</v>
      </c>
      <c r="W391" s="40">
        <f>IF(S391="",0,YEAR(S391)*12+MONTH(S391))</f>
        <v>0</v>
      </c>
      <c r="X391" s="40">
        <f>IF(W391=0,0,W391+V391-U391)</f>
        <v>0</v>
      </c>
      <c r="Y391" s="36">
        <f>IF(W391=0,0,N(R391)*MAX(0,X391-MAX(W391,YEAR(Cfg_Hoje)*12+MONTH(Cfg_Hoje)+IF(DAY(Cfg_Hoje)&gt;=INDEX(Cartoes_Fech,MATCH($F391,Cartoes_Nome,0)),1,0))+1))</f>
        <v>0</v>
      </c>
      <c r="Z391" s="40">
        <f>IF($A391="",0,DAY($A391))</f>
        <v>5</v>
      </c>
      <c r="AA391" s="40">
        <f>IF($A391="",0,WEEKDAY($A391))</f>
        <v>6</v>
      </c>
      <c r="AB391" s="36">
        <f>IF(AND($C391="Despesa",U391&gt;0,U391&lt;=Sel_Idx,V391&gt;=Sel_Idx),N(R391)+ROW()/1000000000,0)</f>
        <v>0</v>
      </c>
      <c r="AC391" s="40">
        <f>IF(AND($C391="Despesa",U391&gt;0,U391&lt;=Sel_Idx,V391&gt;=Sel_Idx),Z391*10000+ROW(),0)</f>
        <v>0</v>
      </c>
      <c r="AD391" s="40">
        <f>IF(AC391=0,0,COUNTIFS(L_CalChave,"&gt;0",L_CalChave,"&lt;"&amp;AC391)+1)</f>
        <v>0</v>
      </c>
    </row>
    <row r="392">
      <c r="A392" s="38" t="n">
        <v>46179</v>
      </c>
      <c r="B392" s="39" t="inlineStr">
        <is>
          <t>Aporte - MBA</t>
        </is>
      </c>
      <c r="C392" s="34" t="inlineStr">
        <is>
          <t>Investimento</t>
        </is>
      </c>
      <c r="D392" s="34" t="inlineStr">
        <is>
          <t>Investimento</t>
        </is>
      </c>
      <c r="E392" s="34" t="n"/>
      <c r="F392" s="34" t="inlineStr">
        <is>
          <t>Conta Corrente Banco Azul</t>
        </is>
      </c>
      <c r="G392" s="34" t="inlineStr">
        <is>
          <t>Transferência</t>
        </is>
      </c>
      <c r="H392" s="37" t="n"/>
      <c r="I392" s="37" t="n"/>
      <c r="J392" s="34" t="inlineStr">
        <is>
          <t>Pago</t>
        </is>
      </c>
      <c r="K392" s="34" t="n"/>
      <c r="L392" s="34" t="inlineStr">
        <is>
          <t>MBA</t>
        </is>
      </c>
      <c r="M392" s="39" t="inlineStr">
        <is>
          <t>EXEMPLO</t>
        </is>
      </c>
      <c r="N392" s="35" t="n">
        <v>150</v>
      </c>
      <c r="O392" s="40">
        <f>IF($A392="","",MONTH($A392))</f>
        <v>6</v>
      </c>
      <c r="P392" s="40">
        <f>IF($A392="","",YEAR($A392))</f>
        <v>2026</v>
      </c>
      <c r="Q392" s="41">
        <f>IF($A392="","",DATE(P392,O392,1))</f>
        <v>46174.0</v>
      </c>
      <c r="R392" s="36">
        <f>IF(OR($A392="",$N392=""),"",IF(AND($C392&lt;&gt;"Transferência",N($I392)&gt;1),$N392/$I392,$N392))</f>
        <v>150</v>
      </c>
      <c r="S392" s="41" t="str">
        <f>IF(OR($A392="",$F392="",$C392&lt;&gt;"Despesa"),"",IF(COUNTIF(Cartoes_Nome,$F392)=0,"",DATE(P392,O392+IF(DAY($A392)&gt;=INDEX(Cartoes_Fech,MATCH($F392,Cartoes_Nome,0)),1,0),1)))</f>
        <v/>
      </c>
      <c r="T392" s="42" t="str">
        <f>IF($A392="","",IF(COUNTIFS(L_Data,$A392,L_Desc,$B392,L_Valor,$N392,L_Tipo,$C392)&gt;1,"⚠ Possível duplicidade",IF(OR(AND($C392="Despesa",COUNTIF(CatD_Nome,$D392)=0),AND($C392="Receita",COUNTIF(CatR_Nome,$D392)=0)),"⚠ Categoria não combina com o tipo",IF(OR($N392="",$C392=""),"⚠ Falta valor ou tipo",""))))</f>
        <v/>
      </c>
      <c r="U392" s="40">
        <f>IF($A392="",0,P392*12+O392)</f>
        <v>24318</v>
      </c>
      <c r="V392" s="40">
        <f>IF($A392="",0,U392+MAX(0,N($I392)-MAX(N($H392),1)))</f>
        <v>24318</v>
      </c>
      <c r="W392" s="40">
        <f>IF(S392="",0,YEAR(S392)*12+MONTH(S392))</f>
        <v>0</v>
      </c>
      <c r="X392" s="40">
        <f>IF(W392=0,0,W392+V392-U392)</f>
        <v>0</v>
      </c>
      <c r="Y392" s="36">
        <f>IF(W392=0,0,N(R392)*MAX(0,X392-MAX(W392,YEAR(Cfg_Hoje)*12+MONTH(Cfg_Hoje)+IF(DAY(Cfg_Hoje)&gt;=INDEX(Cartoes_Fech,MATCH($F392,Cartoes_Nome,0)),1,0))+1))</f>
        <v>0</v>
      </c>
      <c r="Z392" s="40">
        <f>IF($A392="",0,DAY($A392))</f>
        <v>6</v>
      </c>
      <c r="AA392" s="40">
        <f>IF($A392="",0,WEEKDAY($A392))</f>
        <v>7</v>
      </c>
      <c r="AB392" s="36">
        <f>IF(AND($C392="Despesa",U392&gt;0,U392&lt;=Sel_Idx,V392&gt;=Sel_Idx),N(R392)+ROW()/1000000000,0)</f>
        <v>0</v>
      </c>
      <c r="AC392" s="40">
        <f>IF(AND($C392="Despesa",U392&gt;0,U392&lt;=Sel_Idx,V392&gt;=Sel_Idx),Z392*10000+ROW(),0)</f>
        <v>0</v>
      </c>
      <c r="AD392" s="40">
        <f>IF(AC392=0,0,COUNTIFS(L_CalChave,"&gt;0",L_CalChave,"&lt;"&amp;AC392)+1)</f>
        <v>0</v>
      </c>
    </row>
    <row r="393">
      <c r="A393" s="38" t="n">
        <v>46179</v>
      </c>
      <c r="B393" s="39" t="inlineStr">
        <is>
          <t>Aporte - aposentadoria (PGBL)</t>
        </is>
      </c>
      <c r="C393" s="34" t="inlineStr">
        <is>
          <t>Investimento</t>
        </is>
      </c>
      <c r="D393" s="34" t="inlineStr">
        <is>
          <t>Investimento</t>
        </is>
      </c>
      <c r="E393" s="34" t="n"/>
      <c r="F393" s="34" t="inlineStr">
        <is>
          <t>Conta Corrente Banco Azul</t>
        </is>
      </c>
      <c r="G393" s="34" t="inlineStr">
        <is>
          <t>Transferência</t>
        </is>
      </c>
      <c r="H393" s="37" t="n"/>
      <c r="I393" s="37" t="n"/>
      <c r="J393" s="34" t="inlineStr">
        <is>
          <t>Pago</t>
        </is>
      </c>
      <c r="K393" s="34" t="n"/>
      <c r="L393" s="34" t="inlineStr">
        <is>
          <t>Aposentadoria</t>
        </is>
      </c>
      <c r="M393" s="39" t="inlineStr">
        <is>
          <t>EXEMPLO</t>
        </is>
      </c>
      <c r="N393" s="35" t="n">
        <v>300</v>
      </c>
      <c r="O393" s="40">
        <f>IF($A393="","",MONTH($A393))</f>
        <v>6</v>
      </c>
      <c r="P393" s="40">
        <f>IF($A393="","",YEAR($A393))</f>
        <v>2026</v>
      </c>
      <c r="Q393" s="41">
        <f>IF($A393="","",DATE(P393,O393,1))</f>
        <v>46174.0</v>
      </c>
      <c r="R393" s="36">
        <f>IF(OR($A393="",$N393=""),"",IF(AND($C393&lt;&gt;"Transferência",N($I393)&gt;1),$N393/$I393,$N393))</f>
        <v>300</v>
      </c>
      <c r="S393" s="41" t="str">
        <f>IF(OR($A393="",$F393="",$C393&lt;&gt;"Despesa"),"",IF(COUNTIF(Cartoes_Nome,$F393)=0,"",DATE(P393,O393+IF(DAY($A393)&gt;=INDEX(Cartoes_Fech,MATCH($F393,Cartoes_Nome,0)),1,0),1)))</f>
        <v/>
      </c>
      <c r="T393" s="42" t="str">
        <f>IF($A393="","",IF(COUNTIFS(L_Data,$A393,L_Desc,$B393,L_Valor,$N393,L_Tipo,$C393)&gt;1,"⚠ Possível duplicidade",IF(OR(AND($C393="Despesa",COUNTIF(CatD_Nome,$D393)=0),AND($C393="Receita",COUNTIF(CatR_Nome,$D393)=0)),"⚠ Categoria não combina com o tipo",IF(OR($N393="",$C393=""),"⚠ Falta valor ou tipo",""))))</f>
        <v/>
      </c>
      <c r="U393" s="40">
        <f>IF($A393="",0,P393*12+O393)</f>
        <v>24318</v>
      </c>
      <c r="V393" s="40">
        <f>IF($A393="",0,U393+MAX(0,N($I393)-MAX(N($H393),1)))</f>
        <v>24318</v>
      </c>
      <c r="W393" s="40">
        <f>IF(S393="",0,YEAR(S393)*12+MONTH(S393))</f>
        <v>0</v>
      </c>
      <c r="X393" s="40">
        <f>IF(W393=0,0,W393+V393-U393)</f>
        <v>0</v>
      </c>
      <c r="Y393" s="36">
        <f>IF(W393=0,0,N(R393)*MAX(0,X393-MAX(W393,YEAR(Cfg_Hoje)*12+MONTH(Cfg_Hoje)+IF(DAY(Cfg_Hoje)&gt;=INDEX(Cartoes_Fech,MATCH($F393,Cartoes_Nome,0)),1,0))+1))</f>
        <v>0</v>
      </c>
      <c r="Z393" s="40">
        <f>IF($A393="",0,DAY($A393))</f>
        <v>6</v>
      </c>
      <c r="AA393" s="40">
        <f>IF($A393="",0,WEEKDAY($A393))</f>
        <v>7</v>
      </c>
      <c r="AB393" s="36">
        <f>IF(AND($C393="Despesa",U393&gt;0,U393&lt;=Sel_Idx,V393&gt;=Sel_Idx),N(R393)+ROW()/1000000000,0)</f>
        <v>0</v>
      </c>
      <c r="AC393" s="40">
        <f>IF(AND($C393="Despesa",U393&gt;0,U393&lt;=Sel_Idx,V393&gt;=Sel_Idx),Z393*10000+ROW(),0)</f>
        <v>0</v>
      </c>
      <c r="AD393" s="40">
        <f>IF(AC393=0,0,COUNTIFS(L_CalChave,"&gt;0",L_CalChave,"&lt;"&amp;AC393)+1)</f>
        <v>0</v>
      </c>
    </row>
    <row r="394">
      <c r="A394" s="38" t="n">
        <v>46179</v>
      </c>
      <c r="B394" s="39" t="inlineStr">
        <is>
          <t>Aporte - entrada do apartamento</t>
        </is>
      </c>
      <c r="C394" s="34" t="inlineStr">
        <is>
          <t>Investimento</t>
        </is>
      </c>
      <c r="D394" s="34" t="inlineStr">
        <is>
          <t>Investimento</t>
        </is>
      </c>
      <c r="E394" s="34" t="n"/>
      <c r="F394" s="34" t="inlineStr">
        <is>
          <t>Conta Corrente Banco Azul</t>
        </is>
      </c>
      <c r="G394" s="34" t="inlineStr">
        <is>
          <t>Transferência</t>
        </is>
      </c>
      <c r="H394" s="37" t="n"/>
      <c r="I394" s="37" t="n"/>
      <c r="J394" s="34" t="inlineStr">
        <is>
          <t>Pago</t>
        </is>
      </c>
      <c r="K394" s="34" t="n"/>
      <c r="L394" s="34" t="inlineStr">
        <is>
          <t>Entrada do apartamento</t>
        </is>
      </c>
      <c r="M394" s="39" t="inlineStr">
        <is>
          <t>EXEMPLO</t>
        </is>
      </c>
      <c r="N394" s="35" t="n">
        <v>250</v>
      </c>
      <c r="O394" s="40">
        <f>IF($A394="","",MONTH($A394))</f>
        <v>6</v>
      </c>
      <c r="P394" s="40">
        <f>IF($A394="","",YEAR($A394))</f>
        <v>2026</v>
      </c>
      <c r="Q394" s="41">
        <f>IF($A394="","",DATE(P394,O394,1))</f>
        <v>46174.0</v>
      </c>
      <c r="R394" s="36">
        <f>IF(OR($A394="",$N394=""),"",IF(AND($C394&lt;&gt;"Transferência",N($I394)&gt;1),$N394/$I394,$N394))</f>
        <v>250</v>
      </c>
      <c r="S394" s="41" t="str">
        <f>IF(OR($A394="",$F394="",$C394&lt;&gt;"Despesa"),"",IF(COUNTIF(Cartoes_Nome,$F394)=0,"",DATE(P394,O394+IF(DAY($A394)&gt;=INDEX(Cartoes_Fech,MATCH($F394,Cartoes_Nome,0)),1,0),1)))</f>
        <v/>
      </c>
      <c r="T394" s="42" t="str">
        <f>IF($A394="","",IF(COUNTIFS(L_Data,$A394,L_Desc,$B394,L_Valor,$N394,L_Tipo,$C394)&gt;1,"⚠ Possível duplicidade",IF(OR(AND($C394="Despesa",COUNTIF(CatD_Nome,$D394)=0),AND($C394="Receita",COUNTIF(CatR_Nome,$D394)=0)),"⚠ Categoria não combina com o tipo",IF(OR($N394="",$C394=""),"⚠ Falta valor ou tipo",""))))</f>
        <v/>
      </c>
      <c r="U394" s="40">
        <f>IF($A394="",0,P394*12+O394)</f>
        <v>24318</v>
      </c>
      <c r="V394" s="40">
        <f>IF($A394="",0,U394+MAX(0,N($I394)-MAX(N($H394),1)))</f>
        <v>24318</v>
      </c>
      <c r="W394" s="40">
        <f>IF(S394="",0,YEAR(S394)*12+MONTH(S394))</f>
        <v>0</v>
      </c>
      <c r="X394" s="40">
        <f>IF(W394=0,0,W394+V394-U394)</f>
        <v>0</v>
      </c>
      <c r="Y394" s="36">
        <f>IF(W394=0,0,N(R394)*MAX(0,X394-MAX(W394,YEAR(Cfg_Hoje)*12+MONTH(Cfg_Hoje)+IF(DAY(Cfg_Hoje)&gt;=INDEX(Cartoes_Fech,MATCH($F394,Cartoes_Nome,0)),1,0))+1))</f>
        <v>0</v>
      </c>
      <c r="Z394" s="40">
        <f>IF($A394="",0,DAY($A394))</f>
        <v>6</v>
      </c>
      <c r="AA394" s="40">
        <f>IF($A394="",0,WEEKDAY($A394))</f>
        <v>7</v>
      </c>
      <c r="AB394" s="36">
        <f>IF(AND($C394="Despesa",U394&gt;0,U394&lt;=Sel_Idx,V394&gt;=Sel_Idx),N(R394)+ROW()/1000000000,0)</f>
        <v>0</v>
      </c>
      <c r="AC394" s="40">
        <f>IF(AND($C394="Despesa",U394&gt;0,U394&lt;=Sel_Idx,V394&gt;=Sel_Idx),Z394*10000+ROW(),0)</f>
        <v>0</v>
      </c>
      <c r="AD394" s="40">
        <f>IF(AC394=0,0,COUNTIFS(L_CalChave,"&gt;0",L_CalChave,"&lt;"&amp;AC394)+1)</f>
        <v>0</v>
      </c>
    </row>
    <row r="395">
      <c r="A395" s="38" t="n">
        <v>46179</v>
      </c>
      <c r="B395" s="39" t="inlineStr">
        <is>
          <t>Aporte - quitar empréstimo</t>
        </is>
      </c>
      <c r="C395" s="34" t="inlineStr">
        <is>
          <t>Investimento</t>
        </is>
      </c>
      <c r="D395" s="34" t="inlineStr">
        <is>
          <t>Investimento</t>
        </is>
      </c>
      <c r="E395" s="34" t="n"/>
      <c r="F395" s="34" t="inlineStr">
        <is>
          <t>Conta Corrente Banco Azul</t>
        </is>
      </c>
      <c r="G395" s="34" t="inlineStr">
        <is>
          <t>Transferência</t>
        </is>
      </c>
      <c r="H395" s="37" t="n"/>
      <c r="I395" s="37" t="n"/>
      <c r="J395" s="34" t="inlineStr">
        <is>
          <t>Pago</t>
        </is>
      </c>
      <c r="K395" s="34" t="n"/>
      <c r="L395" s="34" t="inlineStr">
        <is>
          <t>Quitar empréstimo pessoal</t>
        </is>
      </c>
      <c r="M395" s="39" t="inlineStr">
        <is>
          <t>EXEMPLO</t>
        </is>
      </c>
      <c r="N395" s="35" t="n">
        <v>150</v>
      </c>
      <c r="O395" s="40">
        <f>IF($A395="","",MONTH($A395))</f>
        <v>6</v>
      </c>
      <c r="P395" s="40">
        <f>IF($A395="","",YEAR($A395))</f>
        <v>2026</v>
      </c>
      <c r="Q395" s="41">
        <f>IF($A395="","",DATE(P395,O395,1))</f>
        <v>46174.0</v>
      </c>
      <c r="R395" s="36">
        <f>IF(OR($A395="",$N395=""),"",IF(AND($C395&lt;&gt;"Transferência",N($I395)&gt;1),$N395/$I395,$N395))</f>
        <v>150</v>
      </c>
      <c r="S395" s="41" t="str">
        <f>IF(OR($A395="",$F395="",$C395&lt;&gt;"Despesa"),"",IF(COUNTIF(Cartoes_Nome,$F395)=0,"",DATE(P395,O395+IF(DAY($A395)&gt;=INDEX(Cartoes_Fech,MATCH($F395,Cartoes_Nome,0)),1,0),1)))</f>
        <v/>
      </c>
      <c r="T395" s="42" t="str">
        <f>IF($A395="","",IF(COUNTIFS(L_Data,$A395,L_Desc,$B395,L_Valor,$N395,L_Tipo,$C395)&gt;1,"⚠ Possível duplicidade",IF(OR(AND($C395="Despesa",COUNTIF(CatD_Nome,$D395)=0),AND($C395="Receita",COUNTIF(CatR_Nome,$D395)=0)),"⚠ Categoria não combina com o tipo",IF(OR($N395="",$C395=""),"⚠ Falta valor ou tipo",""))))</f>
        <v/>
      </c>
      <c r="U395" s="40">
        <f>IF($A395="",0,P395*12+O395)</f>
        <v>24318</v>
      </c>
      <c r="V395" s="40">
        <f>IF($A395="",0,U395+MAX(0,N($I395)-MAX(N($H395),1)))</f>
        <v>24318</v>
      </c>
      <c r="W395" s="40">
        <f>IF(S395="",0,YEAR(S395)*12+MONTH(S395))</f>
        <v>0</v>
      </c>
      <c r="X395" s="40">
        <f>IF(W395=0,0,W395+V395-U395)</f>
        <v>0</v>
      </c>
      <c r="Y395" s="36">
        <f>IF(W395=0,0,N(R395)*MAX(0,X395-MAX(W395,YEAR(Cfg_Hoje)*12+MONTH(Cfg_Hoje)+IF(DAY(Cfg_Hoje)&gt;=INDEX(Cartoes_Fech,MATCH($F395,Cartoes_Nome,0)),1,0))+1))</f>
        <v>0</v>
      </c>
      <c r="Z395" s="40">
        <f>IF($A395="",0,DAY($A395))</f>
        <v>6</v>
      </c>
      <c r="AA395" s="40">
        <f>IF($A395="",0,WEEKDAY($A395))</f>
        <v>7</v>
      </c>
      <c r="AB395" s="36">
        <f>IF(AND($C395="Despesa",U395&gt;0,U395&lt;=Sel_Idx,V395&gt;=Sel_Idx),N(R395)+ROW()/1000000000,0)</f>
        <v>0</v>
      </c>
      <c r="AC395" s="40">
        <f>IF(AND($C395="Despesa",U395&gt;0,U395&lt;=Sel_Idx,V395&gt;=Sel_Idx),Z395*10000+ROW(),0)</f>
        <v>0</v>
      </c>
      <c r="AD395" s="40">
        <f>IF(AC395=0,0,COUNTIFS(L_CalChave,"&gt;0",L_CalChave,"&lt;"&amp;AC395)+1)</f>
        <v>0</v>
      </c>
    </row>
    <row r="396">
      <c r="A396" s="38" t="n">
        <v>46179</v>
      </c>
      <c r="B396" s="39" t="inlineStr">
        <is>
          <t>Aporte - reserva de emergência</t>
        </is>
      </c>
      <c r="C396" s="34" t="inlineStr">
        <is>
          <t>Investimento</t>
        </is>
      </c>
      <c r="D396" s="34" t="inlineStr">
        <is>
          <t>Investimento</t>
        </is>
      </c>
      <c r="E396" s="34" t="n"/>
      <c r="F396" s="34" t="inlineStr">
        <is>
          <t>Conta Corrente Banco Azul</t>
        </is>
      </c>
      <c r="G396" s="34" t="inlineStr">
        <is>
          <t>Transferência</t>
        </is>
      </c>
      <c r="H396" s="37" t="n"/>
      <c r="I396" s="37" t="n"/>
      <c r="J396" s="34" t="inlineStr">
        <is>
          <t>Pago</t>
        </is>
      </c>
      <c r="K396" s="34" t="n"/>
      <c r="L396" s="34" t="inlineStr">
        <is>
          <t>Reserva de emergência</t>
        </is>
      </c>
      <c r="M396" s="39" t="inlineStr">
        <is>
          <t>EXEMPLO</t>
        </is>
      </c>
      <c r="N396" s="35" t="n">
        <v>700</v>
      </c>
      <c r="O396" s="40">
        <f>IF($A396="","",MONTH($A396))</f>
        <v>6</v>
      </c>
      <c r="P396" s="40">
        <f>IF($A396="","",YEAR($A396))</f>
        <v>2026</v>
      </c>
      <c r="Q396" s="41">
        <f>IF($A396="","",DATE(P396,O396,1))</f>
        <v>46174.0</v>
      </c>
      <c r="R396" s="36">
        <f>IF(OR($A396="",$N396=""),"",IF(AND($C396&lt;&gt;"Transferência",N($I396)&gt;1),$N396/$I396,$N396))</f>
        <v>700</v>
      </c>
      <c r="S396" s="41" t="str">
        <f>IF(OR($A396="",$F396="",$C396&lt;&gt;"Despesa"),"",IF(COUNTIF(Cartoes_Nome,$F396)=0,"",DATE(P396,O396+IF(DAY($A396)&gt;=INDEX(Cartoes_Fech,MATCH($F396,Cartoes_Nome,0)),1,0),1)))</f>
        <v/>
      </c>
      <c r="T396" s="42" t="str">
        <f>IF($A396="","",IF(COUNTIFS(L_Data,$A396,L_Desc,$B396,L_Valor,$N396,L_Tipo,$C396)&gt;1,"⚠ Possível duplicidade",IF(OR(AND($C396="Despesa",COUNTIF(CatD_Nome,$D396)=0),AND($C396="Receita",COUNTIF(CatR_Nome,$D396)=0)),"⚠ Categoria não combina com o tipo",IF(OR($N396="",$C396=""),"⚠ Falta valor ou tipo",""))))</f>
        <v/>
      </c>
      <c r="U396" s="40">
        <f>IF($A396="",0,P396*12+O396)</f>
        <v>24318</v>
      </c>
      <c r="V396" s="40">
        <f>IF($A396="",0,U396+MAX(0,N($I396)-MAX(N($H396),1)))</f>
        <v>24318</v>
      </c>
      <c r="W396" s="40">
        <f>IF(S396="",0,YEAR(S396)*12+MONTH(S396))</f>
        <v>0</v>
      </c>
      <c r="X396" s="40">
        <f>IF(W396=0,0,W396+V396-U396)</f>
        <v>0</v>
      </c>
      <c r="Y396" s="36">
        <f>IF(W396=0,0,N(R396)*MAX(0,X396-MAX(W396,YEAR(Cfg_Hoje)*12+MONTH(Cfg_Hoje)+IF(DAY(Cfg_Hoje)&gt;=INDEX(Cartoes_Fech,MATCH($F396,Cartoes_Nome,0)),1,0))+1))</f>
        <v>0</v>
      </c>
      <c r="Z396" s="40">
        <f>IF($A396="",0,DAY($A396))</f>
        <v>6</v>
      </c>
      <c r="AA396" s="40">
        <f>IF($A396="",0,WEEKDAY($A396))</f>
        <v>7</v>
      </c>
      <c r="AB396" s="36">
        <f>IF(AND($C396="Despesa",U396&gt;0,U396&lt;=Sel_Idx,V396&gt;=Sel_Idx),N(R396)+ROW()/1000000000,0)</f>
        <v>0</v>
      </c>
      <c r="AC396" s="40">
        <f>IF(AND($C396="Despesa",U396&gt;0,U396&lt;=Sel_Idx,V396&gt;=Sel_Idx),Z396*10000+ROW(),0)</f>
        <v>0</v>
      </c>
      <c r="AD396" s="40">
        <f>IF(AC396=0,0,COUNTIFS(L_CalChave,"&gt;0",L_CalChave,"&lt;"&amp;AC396)+1)</f>
        <v>0</v>
      </c>
    </row>
    <row r="397">
      <c r="A397" s="38" t="n">
        <v>46179</v>
      </c>
      <c r="B397" s="39" t="inlineStr">
        <is>
          <t>Aporte - troca de carro</t>
        </is>
      </c>
      <c r="C397" s="34" t="inlineStr">
        <is>
          <t>Investimento</t>
        </is>
      </c>
      <c r="D397" s="34" t="inlineStr">
        <is>
          <t>Investimento</t>
        </is>
      </c>
      <c r="E397" s="34" t="n"/>
      <c r="F397" s="34" t="inlineStr">
        <is>
          <t>Conta Corrente Banco Azul</t>
        </is>
      </c>
      <c r="G397" s="34" t="inlineStr">
        <is>
          <t>Transferência</t>
        </is>
      </c>
      <c r="H397" s="37" t="n"/>
      <c r="I397" s="37" t="n"/>
      <c r="J397" s="34" t="inlineStr">
        <is>
          <t>Pago</t>
        </is>
      </c>
      <c r="K397" s="34" t="n"/>
      <c r="L397" s="34" t="inlineStr">
        <is>
          <t>Troca de carro</t>
        </is>
      </c>
      <c r="M397" s="39" t="inlineStr">
        <is>
          <t>EXEMPLO</t>
        </is>
      </c>
      <c r="N397" s="35" t="n">
        <v>200</v>
      </c>
      <c r="O397" s="40">
        <f>IF($A397="","",MONTH($A397))</f>
        <v>6</v>
      </c>
      <c r="P397" s="40">
        <f>IF($A397="","",YEAR($A397))</f>
        <v>2026</v>
      </c>
      <c r="Q397" s="41">
        <f>IF($A397="","",DATE(P397,O397,1))</f>
        <v>46174.0</v>
      </c>
      <c r="R397" s="36">
        <f>IF(OR($A397="",$N397=""),"",IF(AND($C397&lt;&gt;"Transferência",N($I397)&gt;1),$N397/$I397,$N397))</f>
        <v>200</v>
      </c>
      <c r="S397" s="41" t="str">
        <f>IF(OR($A397="",$F397="",$C397&lt;&gt;"Despesa"),"",IF(COUNTIF(Cartoes_Nome,$F397)=0,"",DATE(P397,O397+IF(DAY($A397)&gt;=INDEX(Cartoes_Fech,MATCH($F397,Cartoes_Nome,0)),1,0),1)))</f>
        <v/>
      </c>
      <c r="T397" s="42" t="str">
        <f>IF($A397="","",IF(COUNTIFS(L_Data,$A397,L_Desc,$B397,L_Valor,$N397,L_Tipo,$C397)&gt;1,"⚠ Possível duplicidade",IF(OR(AND($C397="Despesa",COUNTIF(CatD_Nome,$D397)=0),AND($C397="Receita",COUNTIF(CatR_Nome,$D397)=0)),"⚠ Categoria não combina com o tipo",IF(OR($N397="",$C397=""),"⚠ Falta valor ou tipo",""))))</f>
        <v/>
      </c>
      <c r="U397" s="40">
        <f>IF($A397="",0,P397*12+O397)</f>
        <v>24318</v>
      </c>
      <c r="V397" s="40">
        <f>IF($A397="",0,U397+MAX(0,N($I397)-MAX(N($H397),1)))</f>
        <v>24318</v>
      </c>
      <c r="W397" s="40">
        <f>IF(S397="",0,YEAR(S397)*12+MONTH(S397))</f>
        <v>0</v>
      </c>
      <c r="X397" s="40">
        <f>IF(W397=0,0,W397+V397-U397)</f>
        <v>0</v>
      </c>
      <c r="Y397" s="36">
        <f>IF(W397=0,0,N(R397)*MAX(0,X397-MAX(W397,YEAR(Cfg_Hoje)*12+MONTH(Cfg_Hoje)+IF(DAY(Cfg_Hoje)&gt;=INDEX(Cartoes_Fech,MATCH($F397,Cartoes_Nome,0)),1,0))+1))</f>
        <v>0</v>
      </c>
      <c r="Z397" s="40">
        <f>IF($A397="",0,DAY($A397))</f>
        <v>6</v>
      </c>
      <c r="AA397" s="40">
        <f>IF($A397="",0,WEEKDAY($A397))</f>
        <v>7</v>
      </c>
      <c r="AB397" s="36">
        <f>IF(AND($C397="Despesa",U397&gt;0,U397&lt;=Sel_Idx,V397&gt;=Sel_Idx),N(R397)+ROW()/1000000000,0)</f>
        <v>0</v>
      </c>
      <c r="AC397" s="40">
        <f>IF(AND($C397="Despesa",U397&gt;0,U397&lt;=Sel_Idx,V397&gt;=Sel_Idx),Z397*10000+ROW(),0)</f>
        <v>0</v>
      </c>
      <c r="AD397" s="40">
        <f>IF(AC397=0,0,COUNTIFS(L_CalChave,"&gt;0",L_CalChave,"&lt;"&amp;AC397)+1)</f>
        <v>0</v>
      </c>
    </row>
    <row r="398">
      <c r="A398" s="38" t="n">
        <v>46179</v>
      </c>
      <c r="B398" s="39" t="inlineStr">
        <is>
          <t>Aporte - viagem</t>
        </is>
      </c>
      <c r="C398" s="34" t="inlineStr">
        <is>
          <t>Investimento</t>
        </is>
      </c>
      <c r="D398" s="34" t="inlineStr">
        <is>
          <t>Investimento</t>
        </is>
      </c>
      <c r="E398" s="34" t="n"/>
      <c r="F398" s="34" t="inlineStr">
        <is>
          <t>Conta Corrente Banco Azul</t>
        </is>
      </c>
      <c r="G398" s="34" t="inlineStr">
        <is>
          <t>Transferência</t>
        </is>
      </c>
      <c r="H398" s="37" t="n"/>
      <c r="I398" s="37" t="n"/>
      <c r="J398" s="34" t="inlineStr">
        <is>
          <t>Pago</t>
        </is>
      </c>
      <c r="K398" s="34" t="n"/>
      <c r="L398" s="34" t="inlineStr">
        <is>
          <t>Viagem Europa</t>
        </is>
      </c>
      <c r="M398" s="39" t="inlineStr">
        <is>
          <t>EXEMPLO</t>
        </is>
      </c>
      <c r="N398" s="35" t="n">
        <v>300</v>
      </c>
      <c r="O398" s="40">
        <f>IF($A398="","",MONTH($A398))</f>
        <v>6</v>
      </c>
      <c r="P398" s="40">
        <f>IF($A398="","",YEAR($A398))</f>
        <v>2026</v>
      </c>
      <c r="Q398" s="41">
        <f>IF($A398="","",DATE(P398,O398,1))</f>
        <v>46174.0</v>
      </c>
      <c r="R398" s="36">
        <f>IF(OR($A398="",$N398=""),"",IF(AND($C398&lt;&gt;"Transferência",N($I398)&gt;1),$N398/$I398,$N398))</f>
        <v>300</v>
      </c>
      <c r="S398" s="41" t="str">
        <f>IF(OR($A398="",$F398="",$C398&lt;&gt;"Despesa"),"",IF(COUNTIF(Cartoes_Nome,$F398)=0,"",DATE(P398,O398+IF(DAY($A398)&gt;=INDEX(Cartoes_Fech,MATCH($F398,Cartoes_Nome,0)),1,0),1)))</f>
        <v/>
      </c>
      <c r="T398" s="42" t="str">
        <f>IF($A398="","",IF(COUNTIFS(L_Data,$A398,L_Desc,$B398,L_Valor,$N398,L_Tipo,$C398)&gt;1,"⚠ Possível duplicidade",IF(OR(AND($C398="Despesa",COUNTIF(CatD_Nome,$D398)=0),AND($C398="Receita",COUNTIF(CatR_Nome,$D398)=0)),"⚠ Categoria não combina com o tipo",IF(OR($N398="",$C398=""),"⚠ Falta valor ou tipo",""))))</f>
        <v/>
      </c>
      <c r="U398" s="40">
        <f>IF($A398="",0,P398*12+O398)</f>
        <v>24318</v>
      </c>
      <c r="V398" s="40">
        <f>IF($A398="",0,U398+MAX(0,N($I398)-MAX(N($H398),1)))</f>
        <v>24318</v>
      </c>
      <c r="W398" s="40">
        <f>IF(S398="",0,YEAR(S398)*12+MONTH(S398))</f>
        <v>0</v>
      </c>
      <c r="X398" s="40">
        <f>IF(W398=0,0,W398+V398-U398)</f>
        <v>0</v>
      </c>
      <c r="Y398" s="36">
        <f>IF(W398=0,0,N(R398)*MAX(0,X398-MAX(W398,YEAR(Cfg_Hoje)*12+MONTH(Cfg_Hoje)+IF(DAY(Cfg_Hoje)&gt;=INDEX(Cartoes_Fech,MATCH($F398,Cartoes_Nome,0)),1,0))+1))</f>
        <v>0</v>
      </c>
      <c r="Z398" s="40">
        <f>IF($A398="",0,DAY($A398))</f>
        <v>6</v>
      </c>
      <c r="AA398" s="40">
        <f>IF($A398="",0,WEEKDAY($A398))</f>
        <v>7</v>
      </c>
      <c r="AB398" s="36">
        <f>IF(AND($C398="Despesa",U398&gt;0,U398&lt;=Sel_Idx,V398&gt;=Sel_Idx),N(R398)+ROW()/1000000000,0)</f>
        <v>0</v>
      </c>
      <c r="AC398" s="40">
        <f>IF(AND($C398="Despesa",U398&gt;0,U398&lt;=Sel_Idx,V398&gt;=Sel_Idx),Z398*10000+ROW(),0)</f>
        <v>0</v>
      </c>
      <c r="AD398" s="40">
        <f>IF(AC398=0,0,COUNTIFS(L_CalChave,"&gt;0",L_CalChave,"&lt;"&amp;AC398)+1)</f>
        <v>0</v>
      </c>
    </row>
    <row r="399">
      <c r="A399" s="38" t="n">
        <v>46179</v>
      </c>
      <c r="B399" s="39" t="inlineStr">
        <is>
          <t>Corrida de aplicativo</t>
        </is>
      </c>
      <c r="C399" s="34" t="inlineStr">
        <is>
          <t>Despesa</t>
        </is>
      </c>
      <c r="D399" s="34" t="inlineStr">
        <is>
          <t>Transporte</t>
        </is>
      </c>
      <c r="E399" s="34" t="inlineStr">
        <is>
          <t>App de transporte</t>
        </is>
      </c>
      <c r="F399" s="34" t="inlineStr">
        <is>
          <t>Conta Corrente Banco Azul</t>
        </is>
      </c>
      <c r="G399" s="34" t="inlineStr">
        <is>
          <t>Pix</t>
        </is>
      </c>
      <c r="H399" s="37" t="n"/>
      <c r="I399" s="37" t="n"/>
      <c r="J399" s="34" t="inlineStr">
        <is>
          <t>Pago</t>
        </is>
      </c>
      <c r="K399" s="34" t="n"/>
      <c r="L399" s="34" t="n"/>
      <c r="M399" s="39" t="inlineStr">
        <is>
          <t>EXEMPLO</t>
        </is>
      </c>
      <c r="N399" s="35" t="n">
        <v>23.89</v>
      </c>
      <c r="O399" s="40">
        <f>IF($A399="","",MONTH($A399))</f>
        <v>6</v>
      </c>
      <c r="P399" s="40">
        <f>IF($A399="","",YEAR($A399))</f>
        <v>2026</v>
      </c>
      <c r="Q399" s="41">
        <f>IF($A399="","",DATE(P399,O399,1))</f>
        <v>46174.0</v>
      </c>
      <c r="R399" s="36">
        <f>IF(OR($A399="",$N399=""),"",IF(AND($C399&lt;&gt;"Transferência",N($I399)&gt;1),$N399/$I399,$N399))</f>
        <v>23.89</v>
      </c>
      <c r="S399" s="41" t="str">
        <f>IF(OR($A399="",$F399="",$C399&lt;&gt;"Despesa"),"",IF(COUNTIF(Cartoes_Nome,$F399)=0,"",DATE(P399,O399+IF(DAY($A399)&gt;=INDEX(Cartoes_Fech,MATCH($F399,Cartoes_Nome,0)),1,0),1)))</f>
        <v/>
      </c>
      <c r="T399" s="42" t="str">
        <f>IF($A399="","",IF(COUNTIFS(L_Data,$A399,L_Desc,$B399,L_Valor,$N399,L_Tipo,$C399)&gt;1,"⚠ Possível duplicidade",IF(OR(AND($C399="Despesa",COUNTIF(CatD_Nome,$D399)=0),AND($C399="Receita",COUNTIF(CatR_Nome,$D399)=0)),"⚠ Categoria não combina com o tipo",IF(OR($N399="",$C399=""),"⚠ Falta valor ou tipo",""))))</f>
        <v/>
      </c>
      <c r="U399" s="40">
        <f>IF($A399="",0,P399*12+O399)</f>
        <v>24318</v>
      </c>
      <c r="V399" s="40">
        <f>IF($A399="",0,U399+MAX(0,N($I399)-MAX(N($H399),1)))</f>
        <v>24318</v>
      </c>
      <c r="W399" s="40">
        <f>IF(S399="",0,YEAR(S399)*12+MONTH(S399))</f>
        <v>0</v>
      </c>
      <c r="X399" s="40">
        <f>IF(W399=0,0,W399+V399-U399)</f>
        <v>0</v>
      </c>
      <c r="Y399" s="36">
        <f>IF(W399=0,0,N(R399)*MAX(0,X399-MAX(W399,YEAR(Cfg_Hoje)*12+MONTH(Cfg_Hoje)+IF(DAY(Cfg_Hoje)&gt;=INDEX(Cartoes_Fech,MATCH($F399,Cartoes_Nome,0)),1,0))+1))</f>
        <v>0</v>
      </c>
      <c r="Z399" s="40">
        <f>IF($A399="",0,DAY($A399))</f>
        <v>6</v>
      </c>
      <c r="AA399" s="40">
        <f>IF($A399="",0,WEEKDAY($A399))</f>
        <v>7</v>
      </c>
      <c r="AB399" s="36">
        <f>IF(AND($C399="Despesa",U399&gt;0,U399&lt;=Sel_Idx,V399&gt;=Sel_Idx),N(R399)+ROW()/1000000000,0)</f>
        <v>0</v>
      </c>
      <c r="AC399" s="40">
        <f>IF(AND($C399="Despesa",U399&gt;0,U399&lt;=Sel_Idx,V399&gt;=Sel_Idx),Z399*10000+ROW(),0)</f>
        <v>0</v>
      </c>
      <c r="AD399" s="40">
        <f>IF(AC399=0,0,COUNTIFS(L_CalChave,"&gt;0",L_CalChave,"&lt;"&amp;AC399)+1)</f>
        <v>0</v>
      </c>
    </row>
    <row r="400">
      <c r="A400" s="38" t="n">
        <v>46179</v>
      </c>
      <c r="B400" s="39" t="inlineStr">
        <is>
          <t>Supermercado</t>
        </is>
      </c>
      <c r="C400" s="34" t="inlineStr">
        <is>
          <t>Despesa</t>
        </is>
      </c>
      <c r="D400" s="34" t="inlineStr">
        <is>
          <t>Alimentação</t>
        </is>
      </c>
      <c r="E400" s="34" t="inlineStr">
        <is>
          <t>Mercado</t>
        </is>
      </c>
      <c r="F400" s="34" t="inlineStr">
        <is>
          <t>Cartão Azul Gold</t>
        </is>
      </c>
      <c r="G400" s="34" t="inlineStr">
        <is>
          <t>Crédito</t>
        </is>
      </c>
      <c r="H400" s="37" t="n"/>
      <c r="I400" s="37" t="n"/>
      <c r="J400" s="34" t="inlineStr">
        <is>
          <t>Pago</t>
        </is>
      </c>
      <c r="K400" s="34" t="n"/>
      <c r="L400" s="34" t="n"/>
      <c r="M400" s="39" t="inlineStr">
        <is>
          <t>EXEMPLO</t>
        </is>
      </c>
      <c r="N400" s="35" t="n">
        <v>243.89</v>
      </c>
      <c r="O400" s="40">
        <f>IF($A400="","",MONTH($A400))</f>
        <v>6</v>
      </c>
      <c r="P400" s="40">
        <f>IF($A400="","",YEAR($A400))</f>
        <v>2026</v>
      </c>
      <c r="Q400" s="41">
        <f>IF($A400="","",DATE(P400,O400,1))</f>
        <v>46174.0</v>
      </c>
      <c r="R400" s="36">
        <f>IF(OR($A400="",$N400=""),"",IF(AND($C400&lt;&gt;"Transferência",N($I400)&gt;1),$N400/$I400,$N400))</f>
        <v>243.89</v>
      </c>
      <c r="S400" s="41">
        <f>IF(OR($A400="",$F400="",$C400&lt;&gt;"Despesa"),"",IF(COUNTIF(Cartoes_Nome,$F400)=0,"",DATE(P400,O400+IF(DAY($A400)&gt;=INDEX(Cartoes_Fech,MATCH($F400,Cartoes_Nome,0)),1,0),1)))</f>
        <v>46174.0</v>
      </c>
      <c r="T400" s="42" t="str">
        <f>IF($A400="","",IF(COUNTIFS(L_Data,$A400,L_Desc,$B400,L_Valor,$N400,L_Tipo,$C400)&gt;1,"⚠ Possível duplicidade",IF(OR(AND($C400="Despesa",COUNTIF(CatD_Nome,$D400)=0),AND($C400="Receita",COUNTIF(CatR_Nome,$D400)=0)),"⚠ Categoria não combina com o tipo",IF(OR($N400="",$C400=""),"⚠ Falta valor ou tipo",""))))</f>
        <v/>
      </c>
      <c r="U400" s="40">
        <f>IF($A400="",0,P400*12+O400)</f>
        <v>24318</v>
      </c>
      <c r="V400" s="40">
        <f>IF($A400="",0,U400+MAX(0,N($I400)-MAX(N($H400),1)))</f>
        <v>24318</v>
      </c>
      <c r="W400" s="40">
        <f>IF(S400="",0,YEAR(S400)*12+MONTH(S400))</f>
        <v>24318</v>
      </c>
      <c r="X400" s="40">
        <f>IF(W400=0,0,W400+V400-U400)</f>
        <v>24318</v>
      </c>
      <c r="Y400" s="36">
        <f>IF(W400=0,0,N(R400)*MAX(0,X400-MAX(W400,YEAR(Cfg_Hoje)*12+MONTH(Cfg_Hoje)+IF(DAY(Cfg_Hoje)&gt;=INDEX(Cartoes_Fech,MATCH($F400,Cartoes_Nome,0)),1,0))+1))</f>
        <v>0</v>
      </c>
      <c r="Z400" s="40">
        <f>IF($A400="",0,DAY($A400))</f>
        <v>6</v>
      </c>
      <c r="AA400" s="40">
        <f>IF($A400="",0,WEEKDAY($A400))</f>
        <v>7</v>
      </c>
      <c r="AB400" s="36">
        <f>IF(AND($C400="Despesa",U400&gt;0,U400&lt;=Sel_Idx,V400&gt;=Sel_Idx),N(R400)+ROW()/1000000000,0)</f>
        <v>0</v>
      </c>
      <c r="AC400" s="40">
        <f>IF(AND($C400="Despesa",U400&gt;0,U400&lt;=Sel_Idx,V400&gt;=Sel_Idx),Z400*10000+ROW(),0)</f>
        <v>0</v>
      </c>
      <c r="AD400" s="40">
        <f>IF(AC400=0,0,COUNTIFS(L_CalChave,"&gt;0",L_CalChave,"&lt;"&amp;AC400)+1)</f>
        <v>0</v>
      </c>
    </row>
    <row r="401">
      <c r="A401" s="38" t="n">
        <v>46180</v>
      </c>
      <c r="B401" s="39" t="inlineStr">
        <is>
          <t>Doação mensal</t>
        </is>
      </c>
      <c r="C401" s="34" t="inlineStr">
        <is>
          <t>Despesa</t>
        </is>
      </c>
      <c r="D401" s="34" t="inlineStr">
        <is>
          <t>Doações</t>
        </is>
      </c>
      <c r="E401" s="34" t="inlineStr">
        <is>
          <t>ONG</t>
        </is>
      </c>
      <c r="F401" s="34" t="inlineStr">
        <is>
          <t>Conta Corrente Banco Azul</t>
        </is>
      </c>
      <c r="G401" s="34" t="inlineStr">
        <is>
          <t>Pix</t>
        </is>
      </c>
      <c r="H401" s="37" t="n"/>
      <c r="I401" s="37" t="n"/>
      <c r="J401" s="34" t="inlineStr">
        <is>
          <t>Pago</t>
        </is>
      </c>
      <c r="K401" s="34" t="n"/>
      <c r="L401" s="34" t="n"/>
      <c r="M401" s="39" t="inlineStr">
        <is>
          <t>EXEMPLO</t>
        </is>
      </c>
      <c r="N401" s="35" t="n">
        <v>100</v>
      </c>
      <c r="O401" s="40">
        <f>IF($A401="","",MONTH($A401))</f>
        <v>6</v>
      </c>
      <c r="P401" s="40">
        <f>IF($A401="","",YEAR($A401))</f>
        <v>2026</v>
      </c>
      <c r="Q401" s="41">
        <f>IF($A401="","",DATE(P401,O401,1))</f>
        <v>46174.0</v>
      </c>
      <c r="R401" s="36">
        <f>IF(OR($A401="",$N401=""),"",IF(AND($C401&lt;&gt;"Transferência",N($I401)&gt;1),$N401/$I401,$N401))</f>
        <v>100</v>
      </c>
      <c r="S401" s="41" t="str">
        <f>IF(OR($A401="",$F401="",$C401&lt;&gt;"Despesa"),"",IF(COUNTIF(Cartoes_Nome,$F401)=0,"",DATE(P401,O401+IF(DAY($A401)&gt;=INDEX(Cartoes_Fech,MATCH($F401,Cartoes_Nome,0)),1,0),1)))</f>
        <v/>
      </c>
      <c r="T401" s="42" t="str">
        <f>IF($A401="","",IF(COUNTIFS(L_Data,$A401,L_Desc,$B401,L_Valor,$N401,L_Tipo,$C401)&gt;1,"⚠ Possível duplicidade",IF(OR(AND($C401="Despesa",COUNTIF(CatD_Nome,$D401)=0),AND($C401="Receita",COUNTIF(CatR_Nome,$D401)=0)),"⚠ Categoria não combina com o tipo",IF(OR($N401="",$C401=""),"⚠ Falta valor ou tipo",""))))</f>
        <v/>
      </c>
      <c r="U401" s="40">
        <f>IF($A401="",0,P401*12+O401)</f>
        <v>24318</v>
      </c>
      <c r="V401" s="40">
        <f>IF($A401="",0,U401+MAX(0,N($I401)-MAX(N($H401),1)))</f>
        <v>24318</v>
      </c>
      <c r="W401" s="40">
        <f>IF(S401="",0,YEAR(S401)*12+MONTH(S401))</f>
        <v>0</v>
      </c>
      <c r="X401" s="40">
        <f>IF(W401=0,0,W401+V401-U401)</f>
        <v>0</v>
      </c>
      <c r="Y401" s="36">
        <f>IF(W401=0,0,N(R401)*MAX(0,X401-MAX(W401,YEAR(Cfg_Hoje)*12+MONTH(Cfg_Hoje)+IF(DAY(Cfg_Hoje)&gt;=INDEX(Cartoes_Fech,MATCH($F401,Cartoes_Nome,0)),1,0))+1))</f>
        <v>0</v>
      </c>
      <c r="Z401" s="40">
        <f>IF($A401="",0,DAY($A401))</f>
        <v>7</v>
      </c>
      <c r="AA401" s="40">
        <f>IF($A401="",0,WEEKDAY($A401))</f>
        <v>1</v>
      </c>
      <c r="AB401" s="36">
        <f>IF(AND($C401="Despesa",U401&gt;0,U401&lt;=Sel_Idx,V401&gt;=Sel_Idx),N(R401)+ROW()/1000000000,0)</f>
        <v>0</v>
      </c>
      <c r="AC401" s="40">
        <f>IF(AND($C401="Despesa",U401&gt;0,U401&lt;=Sel_Idx,V401&gt;=Sel_Idx),Z401*10000+ROW(),0)</f>
        <v>0</v>
      </c>
      <c r="AD401" s="40">
        <f>IF(AC401=0,0,COUNTIFS(L_CalChave,"&gt;0",L_CalChave,"&lt;"&amp;AC401)+1)</f>
        <v>0</v>
      </c>
    </row>
    <row r="402">
      <c r="A402" s="38" t="n">
        <v>46181</v>
      </c>
      <c r="B402" s="39" t="inlineStr">
        <is>
          <t>Curso de inglês</t>
        </is>
      </c>
      <c r="C402" s="34" t="inlineStr">
        <is>
          <t>Despesa</t>
        </is>
      </c>
      <c r="D402" s="34" t="inlineStr">
        <is>
          <t>Educação</t>
        </is>
      </c>
      <c r="E402" s="34" t="inlineStr">
        <is>
          <t>Cursos</t>
        </is>
      </c>
      <c r="F402" s="34" t="inlineStr">
        <is>
          <t>Conta Corrente Banco Azul</t>
        </is>
      </c>
      <c r="G402" s="34" t="inlineStr">
        <is>
          <t>Boleto</t>
        </is>
      </c>
      <c r="H402" s="37" t="n"/>
      <c r="I402" s="37" t="n"/>
      <c r="J402" s="34" t="inlineStr">
        <is>
          <t>Pago</t>
        </is>
      </c>
      <c r="K402" s="34" t="n"/>
      <c r="L402" s="34" t="n"/>
      <c r="M402" s="39" t="inlineStr">
        <is>
          <t>EXEMPLO</t>
        </is>
      </c>
      <c r="N402" s="35" t="n">
        <v>390</v>
      </c>
      <c r="O402" s="40">
        <f>IF($A402="","",MONTH($A402))</f>
        <v>6</v>
      </c>
      <c r="P402" s="40">
        <f>IF($A402="","",YEAR($A402))</f>
        <v>2026</v>
      </c>
      <c r="Q402" s="41">
        <f>IF($A402="","",DATE(P402,O402,1))</f>
        <v>46174.0</v>
      </c>
      <c r="R402" s="36">
        <f>IF(OR($A402="",$N402=""),"",IF(AND($C402&lt;&gt;"Transferência",N($I402)&gt;1),$N402/$I402,$N402))</f>
        <v>390</v>
      </c>
      <c r="S402" s="41" t="str">
        <f>IF(OR($A402="",$F402="",$C402&lt;&gt;"Despesa"),"",IF(COUNTIF(Cartoes_Nome,$F402)=0,"",DATE(P402,O402+IF(DAY($A402)&gt;=INDEX(Cartoes_Fech,MATCH($F402,Cartoes_Nome,0)),1,0),1)))</f>
        <v/>
      </c>
      <c r="T402" s="42" t="str">
        <f>IF($A402="","",IF(COUNTIFS(L_Data,$A402,L_Desc,$B402,L_Valor,$N402,L_Tipo,$C402)&gt;1,"⚠ Possível duplicidade",IF(OR(AND($C402="Despesa",COUNTIF(CatD_Nome,$D402)=0),AND($C402="Receita",COUNTIF(CatR_Nome,$D402)=0)),"⚠ Categoria não combina com o tipo",IF(OR($N402="",$C402=""),"⚠ Falta valor ou tipo",""))))</f>
        <v/>
      </c>
      <c r="U402" s="40">
        <f>IF($A402="",0,P402*12+O402)</f>
        <v>24318</v>
      </c>
      <c r="V402" s="40">
        <f>IF($A402="",0,U402+MAX(0,N($I402)-MAX(N($H402),1)))</f>
        <v>24318</v>
      </c>
      <c r="W402" s="40">
        <f>IF(S402="",0,YEAR(S402)*12+MONTH(S402))</f>
        <v>0</v>
      </c>
      <c r="X402" s="40">
        <f>IF(W402=0,0,W402+V402-U402)</f>
        <v>0</v>
      </c>
      <c r="Y402" s="36">
        <f>IF(W402=0,0,N(R402)*MAX(0,X402-MAX(W402,YEAR(Cfg_Hoje)*12+MONTH(Cfg_Hoje)+IF(DAY(Cfg_Hoje)&gt;=INDEX(Cartoes_Fech,MATCH($F402,Cartoes_Nome,0)),1,0))+1))</f>
        <v>0</v>
      </c>
      <c r="Z402" s="40">
        <f>IF($A402="",0,DAY($A402))</f>
        <v>8</v>
      </c>
      <c r="AA402" s="40">
        <f>IF($A402="",0,WEEKDAY($A402))</f>
        <v>2</v>
      </c>
      <c r="AB402" s="36">
        <f>IF(AND($C402="Despesa",U402&gt;0,U402&lt;=Sel_Idx,V402&gt;=Sel_Idx),N(R402)+ROW()/1000000000,0)</f>
        <v>0</v>
      </c>
      <c r="AC402" s="40">
        <f>IF(AND($C402="Despesa",U402&gt;0,U402&lt;=Sel_Idx,V402&gt;=Sel_Idx),Z402*10000+ROW(),0)</f>
        <v>0</v>
      </c>
      <c r="AD402" s="40">
        <f>IF(AC402=0,0,COUNTIFS(L_CalChave,"&gt;0",L_CalChave,"&lt;"&amp;AC402)+1)</f>
        <v>0</v>
      </c>
    </row>
    <row r="403">
      <c r="A403" s="38" t="n">
        <v>46181</v>
      </c>
      <c r="B403" s="39" t="inlineStr">
        <is>
          <t>Delivery de comida</t>
        </is>
      </c>
      <c r="C403" s="34" t="inlineStr">
        <is>
          <t>Despesa</t>
        </is>
      </c>
      <c r="D403" s="34" t="inlineStr">
        <is>
          <t>Alimentação</t>
        </is>
      </c>
      <c r="E403" s="34" t="inlineStr">
        <is>
          <t>Delivery</t>
        </is>
      </c>
      <c r="F403" s="34" t="inlineStr">
        <is>
          <t>Cartão Azul Gold</t>
        </is>
      </c>
      <c r="G403" s="34" t="inlineStr">
        <is>
          <t>Crédito</t>
        </is>
      </c>
      <c r="H403" s="37" t="n"/>
      <c r="I403" s="37" t="n"/>
      <c r="J403" s="34" t="inlineStr">
        <is>
          <t>Pago</t>
        </is>
      </c>
      <c r="K403" s="34" t="n"/>
      <c r="L403" s="34" t="n"/>
      <c r="M403" s="39" t="inlineStr">
        <is>
          <t>EXEMPLO</t>
        </is>
      </c>
      <c r="N403" s="35" t="n">
        <v>45.78</v>
      </c>
      <c r="O403" s="40">
        <f>IF($A403="","",MONTH($A403))</f>
        <v>6</v>
      </c>
      <c r="P403" s="40">
        <f>IF($A403="","",YEAR($A403))</f>
        <v>2026</v>
      </c>
      <c r="Q403" s="41">
        <f>IF($A403="","",DATE(P403,O403,1))</f>
        <v>46174.0</v>
      </c>
      <c r="R403" s="36">
        <f>IF(OR($A403="",$N403=""),"",IF(AND($C403&lt;&gt;"Transferência",N($I403)&gt;1),$N403/$I403,$N403))</f>
        <v>45.78</v>
      </c>
      <c r="S403" s="41">
        <f>IF(OR($A403="",$F403="",$C403&lt;&gt;"Despesa"),"",IF(COUNTIF(Cartoes_Nome,$F403)=0,"",DATE(P403,O403+IF(DAY($A403)&gt;=INDEX(Cartoes_Fech,MATCH($F403,Cartoes_Nome,0)),1,0),1)))</f>
        <v>46174.0</v>
      </c>
      <c r="T403" s="42" t="str">
        <f>IF($A403="","",IF(COUNTIFS(L_Data,$A403,L_Desc,$B403,L_Valor,$N403,L_Tipo,$C403)&gt;1,"⚠ Possível duplicidade",IF(OR(AND($C403="Despesa",COUNTIF(CatD_Nome,$D403)=0),AND($C403="Receita",COUNTIF(CatR_Nome,$D403)=0)),"⚠ Categoria não combina com o tipo",IF(OR($N403="",$C403=""),"⚠ Falta valor ou tipo",""))))</f>
        <v/>
      </c>
      <c r="U403" s="40">
        <f>IF($A403="",0,P403*12+O403)</f>
        <v>24318</v>
      </c>
      <c r="V403" s="40">
        <f>IF($A403="",0,U403+MAX(0,N($I403)-MAX(N($H403),1)))</f>
        <v>24318</v>
      </c>
      <c r="W403" s="40">
        <f>IF(S403="",0,YEAR(S403)*12+MONTH(S403))</f>
        <v>24318</v>
      </c>
      <c r="X403" s="40">
        <f>IF(W403=0,0,W403+V403-U403)</f>
        <v>24318</v>
      </c>
      <c r="Y403" s="36">
        <f>IF(W403=0,0,N(R403)*MAX(0,X403-MAX(W403,YEAR(Cfg_Hoje)*12+MONTH(Cfg_Hoje)+IF(DAY(Cfg_Hoje)&gt;=INDEX(Cartoes_Fech,MATCH($F403,Cartoes_Nome,0)),1,0))+1))</f>
        <v>0</v>
      </c>
      <c r="Z403" s="40">
        <f>IF($A403="",0,DAY($A403))</f>
        <v>8</v>
      </c>
      <c r="AA403" s="40">
        <f>IF($A403="",0,WEEKDAY($A403))</f>
        <v>2</v>
      </c>
      <c r="AB403" s="36">
        <f>IF(AND($C403="Despesa",U403&gt;0,U403&lt;=Sel_Idx,V403&gt;=Sel_Idx),N(R403)+ROW()/1000000000,0)</f>
        <v>0</v>
      </c>
      <c r="AC403" s="40">
        <f>IF(AND($C403="Despesa",U403&gt;0,U403&lt;=Sel_Idx,V403&gt;=Sel_Idx),Z403*10000+ROW(),0)</f>
        <v>0</v>
      </c>
      <c r="AD403" s="40">
        <f>IF(AC403=0,0,COUNTIFS(L_CalChave,"&gt;0",L_CalChave,"&lt;"&amp;AC403)+1)</f>
        <v>0</v>
      </c>
    </row>
    <row r="404">
      <c r="A404" s="38" t="n">
        <v>46182</v>
      </c>
      <c r="B404" s="39" t="inlineStr">
        <is>
          <t>Ração e petiscos</t>
        </is>
      </c>
      <c r="C404" s="34" t="inlineStr">
        <is>
          <t>Despesa</t>
        </is>
      </c>
      <c r="D404" s="34" t="inlineStr">
        <is>
          <t>Família/Pets</t>
        </is>
      </c>
      <c r="E404" s="34" t="inlineStr">
        <is>
          <t>Ração</t>
        </is>
      </c>
      <c r="F404" s="34" t="inlineStr">
        <is>
          <t>Cartão Azul Gold</t>
        </is>
      </c>
      <c r="G404" s="34" t="inlineStr">
        <is>
          <t>Crédito</t>
        </is>
      </c>
      <c r="H404" s="37" t="n"/>
      <c r="I404" s="37" t="n"/>
      <c r="J404" s="34" t="inlineStr">
        <is>
          <t>Pago</t>
        </is>
      </c>
      <c r="K404" s="34" t="n"/>
      <c r="L404" s="34" t="n"/>
      <c r="M404" s="39" t="inlineStr">
        <is>
          <t>EXEMPLO</t>
        </is>
      </c>
      <c r="N404" s="35" t="n">
        <v>240.47</v>
      </c>
      <c r="O404" s="40">
        <f>IF($A404="","",MONTH($A404))</f>
        <v>6</v>
      </c>
      <c r="P404" s="40">
        <f>IF($A404="","",YEAR($A404))</f>
        <v>2026</v>
      </c>
      <c r="Q404" s="41">
        <f>IF($A404="","",DATE(P404,O404,1))</f>
        <v>46174.0</v>
      </c>
      <c r="R404" s="36">
        <f>IF(OR($A404="",$N404=""),"",IF(AND($C404&lt;&gt;"Transferência",N($I404)&gt;1),$N404/$I404,$N404))</f>
        <v>240.47</v>
      </c>
      <c r="S404" s="41">
        <f>IF(OR($A404="",$F404="",$C404&lt;&gt;"Despesa"),"",IF(COUNTIF(Cartoes_Nome,$F404)=0,"",DATE(P404,O404+IF(DAY($A404)&gt;=INDEX(Cartoes_Fech,MATCH($F404,Cartoes_Nome,0)),1,0),1)))</f>
        <v>46174.0</v>
      </c>
      <c r="T404" s="42" t="str">
        <f>IF($A404="","",IF(COUNTIFS(L_Data,$A404,L_Desc,$B404,L_Valor,$N404,L_Tipo,$C404)&gt;1,"⚠ Possível duplicidade",IF(OR(AND($C404="Despesa",COUNTIF(CatD_Nome,$D404)=0),AND($C404="Receita",COUNTIF(CatR_Nome,$D404)=0)),"⚠ Categoria não combina com o tipo",IF(OR($N404="",$C404=""),"⚠ Falta valor ou tipo",""))))</f>
        <v/>
      </c>
      <c r="U404" s="40">
        <f>IF($A404="",0,P404*12+O404)</f>
        <v>24318</v>
      </c>
      <c r="V404" s="40">
        <f>IF($A404="",0,U404+MAX(0,N($I404)-MAX(N($H404),1)))</f>
        <v>24318</v>
      </c>
      <c r="W404" s="40">
        <f>IF(S404="",0,YEAR(S404)*12+MONTH(S404))</f>
        <v>24318</v>
      </c>
      <c r="X404" s="40">
        <f>IF(W404=0,0,W404+V404-U404)</f>
        <v>24318</v>
      </c>
      <c r="Y404" s="36">
        <f>IF(W404=0,0,N(R404)*MAX(0,X404-MAX(W404,YEAR(Cfg_Hoje)*12+MONTH(Cfg_Hoje)+IF(DAY(Cfg_Hoje)&gt;=INDEX(Cartoes_Fech,MATCH($F404,Cartoes_Nome,0)),1,0))+1))</f>
        <v>0</v>
      </c>
      <c r="Z404" s="40">
        <f>IF($A404="",0,DAY($A404))</f>
        <v>9</v>
      </c>
      <c r="AA404" s="40">
        <f>IF($A404="",0,WEEKDAY($A404))</f>
        <v>3</v>
      </c>
      <c r="AB404" s="36">
        <f>IF(AND($C404="Despesa",U404&gt;0,U404&lt;=Sel_Idx,V404&gt;=Sel_Idx),N(R404)+ROW()/1000000000,0)</f>
        <v>0</v>
      </c>
      <c r="AC404" s="40">
        <f>IF(AND($C404="Despesa",U404&gt;0,U404&lt;=Sel_Idx,V404&gt;=Sel_Idx),Z404*10000+ROW(),0)</f>
        <v>0</v>
      </c>
      <c r="AD404" s="40">
        <f>IF(AC404=0,0,COUNTIFS(L_CalChave,"&gt;0",L_CalChave,"&lt;"&amp;AC404)+1)</f>
        <v>0</v>
      </c>
    </row>
    <row r="405">
      <c r="A405" s="38" t="n">
        <v>46183</v>
      </c>
      <c r="B405" s="39" t="inlineStr">
        <is>
          <t>Aluguel recebido - apto 12</t>
        </is>
      </c>
      <c r="C405" s="34" t="inlineStr">
        <is>
          <t>Receita</t>
        </is>
      </c>
      <c r="D405" s="34" t="inlineStr">
        <is>
          <t>Aluguel recebido</t>
        </is>
      </c>
      <c r="E405" s="34" t="n"/>
      <c r="F405" s="34" t="inlineStr">
        <is>
          <t>Conta Corrente Banco Azul</t>
        </is>
      </c>
      <c r="G405" s="34" t="inlineStr">
        <is>
          <t>Pix</t>
        </is>
      </c>
      <c r="H405" s="37" t="n"/>
      <c r="I405" s="37" t="n"/>
      <c r="J405" s="34" t="inlineStr">
        <is>
          <t>Pago</t>
        </is>
      </c>
      <c r="K405" s="34" t="n"/>
      <c r="L405" s="34" t="n"/>
      <c r="M405" s="39" t="inlineStr">
        <is>
          <t>EXEMPLO</t>
        </is>
      </c>
      <c r="N405" s="35" t="n">
        <v>1900</v>
      </c>
      <c r="O405" s="40">
        <f>IF($A405="","",MONTH($A405))</f>
        <v>6</v>
      </c>
      <c r="P405" s="40">
        <f>IF($A405="","",YEAR($A405))</f>
        <v>2026</v>
      </c>
      <c r="Q405" s="41">
        <f>IF($A405="","",DATE(P405,O405,1))</f>
        <v>46174.0</v>
      </c>
      <c r="R405" s="36">
        <f>IF(OR($A405="",$N405=""),"",IF(AND($C405&lt;&gt;"Transferência",N($I405)&gt;1),$N405/$I405,$N405))</f>
        <v>1900</v>
      </c>
      <c r="S405" s="41" t="str">
        <f>IF(OR($A405="",$F405="",$C405&lt;&gt;"Despesa"),"",IF(COUNTIF(Cartoes_Nome,$F405)=0,"",DATE(P405,O405+IF(DAY($A405)&gt;=INDEX(Cartoes_Fech,MATCH($F405,Cartoes_Nome,0)),1,0),1)))</f>
        <v/>
      </c>
      <c r="T405" s="42" t="str">
        <f>IF($A405="","",IF(COUNTIFS(L_Data,$A405,L_Desc,$B405,L_Valor,$N405,L_Tipo,$C405)&gt;1,"⚠ Possível duplicidade",IF(OR(AND($C405="Despesa",COUNTIF(CatD_Nome,$D405)=0),AND($C405="Receita",COUNTIF(CatR_Nome,$D405)=0)),"⚠ Categoria não combina com o tipo",IF(OR($N405="",$C405=""),"⚠ Falta valor ou tipo",""))))</f>
        <v/>
      </c>
      <c r="U405" s="40">
        <f>IF($A405="",0,P405*12+O405)</f>
        <v>24318</v>
      </c>
      <c r="V405" s="40">
        <f>IF($A405="",0,U405+MAX(0,N($I405)-MAX(N($H405),1)))</f>
        <v>24318</v>
      </c>
      <c r="W405" s="40">
        <f>IF(S405="",0,YEAR(S405)*12+MONTH(S405))</f>
        <v>0</v>
      </c>
      <c r="X405" s="40">
        <f>IF(W405=0,0,W405+V405-U405)</f>
        <v>0</v>
      </c>
      <c r="Y405" s="36">
        <f>IF(W405=0,0,N(R405)*MAX(0,X405-MAX(W405,YEAR(Cfg_Hoje)*12+MONTH(Cfg_Hoje)+IF(DAY(Cfg_Hoje)&gt;=INDEX(Cartoes_Fech,MATCH($F405,Cartoes_Nome,0)),1,0))+1))</f>
        <v>0</v>
      </c>
      <c r="Z405" s="40">
        <f>IF($A405="",0,DAY($A405))</f>
        <v>10</v>
      </c>
      <c r="AA405" s="40">
        <f>IF($A405="",0,WEEKDAY($A405))</f>
        <v>4</v>
      </c>
      <c r="AB405" s="36">
        <f>IF(AND($C405="Despesa",U405&gt;0,U405&lt;=Sel_Idx,V405&gt;=Sel_Idx),N(R405)+ROW()/1000000000,0)</f>
        <v>0</v>
      </c>
      <c r="AC405" s="40">
        <f>IF(AND($C405="Despesa",U405&gt;0,U405&lt;=Sel_Idx,V405&gt;=Sel_Idx),Z405*10000+ROW(),0)</f>
        <v>0</v>
      </c>
      <c r="AD405" s="40">
        <f>IF(AC405=0,0,COUNTIFS(L_CalChave,"&gt;0",L_CalChave,"&lt;"&amp;AC405)+1)</f>
        <v>0</v>
      </c>
    </row>
    <row r="406">
      <c r="A406" s="38" t="n">
        <v>46183</v>
      </c>
      <c r="B406" s="39" t="inlineStr">
        <is>
          <t>Aluguel residencial</t>
        </is>
      </c>
      <c r="C406" s="34" t="inlineStr">
        <is>
          <t>Despesa</t>
        </is>
      </c>
      <c r="D406" s="34" t="inlineStr">
        <is>
          <t>Moradia</t>
        </is>
      </c>
      <c r="E406" s="34" t="inlineStr">
        <is>
          <t>Aluguel</t>
        </is>
      </c>
      <c r="F406" s="34" t="inlineStr">
        <is>
          <t>Conta Corrente Banco Azul</t>
        </is>
      </c>
      <c r="G406" s="34" t="inlineStr">
        <is>
          <t>Boleto</t>
        </is>
      </c>
      <c r="H406" s="37" t="n"/>
      <c r="I406" s="37" t="n"/>
      <c r="J406" s="34" t="inlineStr">
        <is>
          <t>Pago</t>
        </is>
      </c>
      <c r="K406" s="34" t="n"/>
      <c r="L406" s="34" t="n"/>
      <c r="M406" s="39" t="inlineStr">
        <is>
          <t>EXEMPLO</t>
        </is>
      </c>
      <c r="N406" s="35" t="n">
        <v>2400</v>
      </c>
      <c r="O406" s="40">
        <f>IF($A406="","",MONTH($A406))</f>
        <v>6</v>
      </c>
      <c r="P406" s="40">
        <f>IF($A406="","",YEAR($A406))</f>
        <v>2026</v>
      </c>
      <c r="Q406" s="41">
        <f>IF($A406="","",DATE(P406,O406,1))</f>
        <v>46174.0</v>
      </c>
      <c r="R406" s="36">
        <f>IF(OR($A406="",$N406=""),"",IF(AND($C406&lt;&gt;"Transferência",N($I406)&gt;1),$N406/$I406,$N406))</f>
        <v>2400</v>
      </c>
      <c r="S406" s="41" t="str">
        <f>IF(OR($A406="",$F406="",$C406&lt;&gt;"Despesa"),"",IF(COUNTIF(Cartoes_Nome,$F406)=0,"",DATE(P406,O406+IF(DAY($A406)&gt;=INDEX(Cartoes_Fech,MATCH($F406,Cartoes_Nome,0)),1,0),1)))</f>
        <v/>
      </c>
      <c r="T406" s="42" t="str">
        <f>IF($A406="","",IF(COUNTIFS(L_Data,$A406,L_Desc,$B406,L_Valor,$N406,L_Tipo,$C406)&gt;1,"⚠ Possível duplicidade",IF(OR(AND($C406="Despesa",COUNTIF(CatD_Nome,$D406)=0),AND($C406="Receita",COUNTIF(CatR_Nome,$D406)=0)),"⚠ Categoria não combina com o tipo",IF(OR($N406="",$C406=""),"⚠ Falta valor ou tipo",""))))</f>
        <v/>
      </c>
      <c r="U406" s="40">
        <f>IF($A406="",0,P406*12+O406)</f>
        <v>24318</v>
      </c>
      <c r="V406" s="40">
        <f>IF($A406="",0,U406+MAX(0,N($I406)-MAX(N($H406),1)))</f>
        <v>24318</v>
      </c>
      <c r="W406" s="40">
        <f>IF(S406="",0,YEAR(S406)*12+MONTH(S406))</f>
        <v>0</v>
      </c>
      <c r="X406" s="40">
        <f>IF(W406=0,0,W406+V406-U406)</f>
        <v>0</v>
      </c>
      <c r="Y406" s="36">
        <f>IF(W406=0,0,N(R406)*MAX(0,X406-MAX(W406,YEAR(Cfg_Hoje)*12+MONTH(Cfg_Hoje)+IF(DAY(Cfg_Hoje)&gt;=INDEX(Cartoes_Fech,MATCH($F406,Cartoes_Nome,0)),1,0))+1))</f>
        <v>0</v>
      </c>
      <c r="Z406" s="40">
        <f>IF($A406="",0,DAY($A406))</f>
        <v>10</v>
      </c>
      <c r="AA406" s="40">
        <f>IF($A406="",0,WEEKDAY($A406))</f>
        <v>4</v>
      </c>
      <c r="AB406" s="36">
        <f>IF(AND($C406="Despesa",U406&gt;0,U406&lt;=Sel_Idx,V406&gt;=Sel_Idx),N(R406)+ROW()/1000000000,0)</f>
        <v>0</v>
      </c>
      <c r="AC406" s="40">
        <f>IF(AND($C406="Despesa",U406&gt;0,U406&lt;=Sel_Idx,V406&gt;=Sel_Idx),Z406*10000+ROW(),0)</f>
        <v>0</v>
      </c>
      <c r="AD406" s="40">
        <f>IF(AC406=0,0,COUNTIFS(L_CalChave,"&gt;0",L_CalChave,"&lt;"&amp;AC406)+1)</f>
        <v>0</v>
      </c>
    </row>
    <row r="407">
      <c r="A407" s="38" t="n">
        <v>46183</v>
      </c>
      <c r="B407" s="39" t="inlineStr">
        <is>
          <t>Condomínio</t>
        </is>
      </c>
      <c r="C407" s="34" t="inlineStr">
        <is>
          <t>Despesa</t>
        </is>
      </c>
      <c r="D407" s="34" t="inlineStr">
        <is>
          <t>Moradia</t>
        </is>
      </c>
      <c r="E407" s="34" t="inlineStr">
        <is>
          <t>Condomínio</t>
        </is>
      </c>
      <c r="F407" s="34" t="inlineStr">
        <is>
          <t>Conta Corrente Banco Azul</t>
        </is>
      </c>
      <c r="G407" s="34" t="inlineStr">
        <is>
          <t>Boleto</t>
        </is>
      </c>
      <c r="H407" s="37" t="n"/>
      <c r="I407" s="37" t="n"/>
      <c r="J407" s="34" t="inlineStr">
        <is>
          <t>Pago</t>
        </is>
      </c>
      <c r="K407" s="34" t="n"/>
      <c r="L407" s="34" t="n"/>
      <c r="M407" s="39" t="inlineStr">
        <is>
          <t>EXEMPLO</t>
        </is>
      </c>
      <c r="N407" s="35" t="n">
        <v>650</v>
      </c>
      <c r="O407" s="40">
        <f>IF($A407="","",MONTH($A407))</f>
        <v>6</v>
      </c>
      <c r="P407" s="40">
        <f>IF($A407="","",YEAR($A407))</f>
        <v>2026</v>
      </c>
      <c r="Q407" s="41">
        <f>IF($A407="","",DATE(P407,O407,1))</f>
        <v>46174.0</v>
      </c>
      <c r="R407" s="36">
        <f>IF(OR($A407="",$N407=""),"",IF(AND($C407&lt;&gt;"Transferência",N($I407)&gt;1),$N407/$I407,$N407))</f>
        <v>650</v>
      </c>
      <c r="S407" s="41" t="str">
        <f>IF(OR($A407="",$F407="",$C407&lt;&gt;"Despesa"),"",IF(COUNTIF(Cartoes_Nome,$F407)=0,"",DATE(P407,O407+IF(DAY($A407)&gt;=INDEX(Cartoes_Fech,MATCH($F407,Cartoes_Nome,0)),1,0),1)))</f>
        <v/>
      </c>
      <c r="T407" s="42" t="str">
        <f>IF($A407="","",IF(COUNTIFS(L_Data,$A407,L_Desc,$B407,L_Valor,$N407,L_Tipo,$C407)&gt;1,"⚠ Possível duplicidade",IF(OR(AND($C407="Despesa",COUNTIF(CatD_Nome,$D407)=0),AND($C407="Receita",COUNTIF(CatR_Nome,$D407)=0)),"⚠ Categoria não combina com o tipo",IF(OR($N407="",$C407=""),"⚠ Falta valor ou tipo",""))))</f>
        <v/>
      </c>
      <c r="U407" s="40">
        <f>IF($A407="",0,P407*12+O407)</f>
        <v>24318</v>
      </c>
      <c r="V407" s="40">
        <f>IF($A407="",0,U407+MAX(0,N($I407)-MAX(N($H407),1)))</f>
        <v>24318</v>
      </c>
      <c r="W407" s="40">
        <f>IF(S407="",0,YEAR(S407)*12+MONTH(S407))</f>
        <v>0</v>
      </c>
      <c r="X407" s="40">
        <f>IF(W407=0,0,W407+V407-U407)</f>
        <v>0</v>
      </c>
      <c r="Y407" s="36">
        <f>IF(W407=0,0,N(R407)*MAX(0,X407-MAX(W407,YEAR(Cfg_Hoje)*12+MONTH(Cfg_Hoje)+IF(DAY(Cfg_Hoje)&gt;=INDEX(Cartoes_Fech,MATCH($F407,Cartoes_Nome,0)),1,0))+1))</f>
        <v>0</v>
      </c>
      <c r="Z407" s="40">
        <f>IF($A407="",0,DAY($A407))</f>
        <v>10</v>
      </c>
      <c r="AA407" s="40">
        <f>IF($A407="",0,WEEKDAY($A407))</f>
        <v>4</v>
      </c>
      <c r="AB407" s="36">
        <f>IF(AND($C407="Despesa",U407&gt;0,U407&lt;=Sel_Idx,V407&gt;=Sel_Idx),N(R407)+ROW()/1000000000,0)</f>
        <v>0</v>
      </c>
      <c r="AC407" s="40">
        <f>IF(AND($C407="Despesa",U407&gt;0,U407&lt;=Sel_Idx,V407&gt;=Sel_Idx),Z407*10000+ROW(),0)</f>
        <v>0</v>
      </c>
      <c r="AD407" s="40">
        <f>IF(AC407=0,0,COUNTIFS(L_CalChave,"&gt;0",L_CalChave,"&lt;"&amp;AC407)+1)</f>
        <v>0</v>
      </c>
    </row>
    <row r="408">
      <c r="A408" s="38" t="n">
        <v>46185</v>
      </c>
      <c r="B408" s="39" t="inlineStr">
        <is>
          <t>Streaming de música</t>
        </is>
      </c>
      <c r="C408" s="34" t="inlineStr">
        <is>
          <t>Despesa</t>
        </is>
      </c>
      <c r="D408" s="34" t="inlineStr">
        <is>
          <t>Assinaturas</t>
        </is>
      </c>
      <c r="E408" s="34" t="inlineStr">
        <is>
          <t>Música</t>
        </is>
      </c>
      <c r="F408" s="34" t="inlineStr">
        <is>
          <t>Cartão Roxinho</t>
        </is>
      </c>
      <c r="G408" s="34" t="inlineStr">
        <is>
          <t>Crédito</t>
        </is>
      </c>
      <c r="H408" s="37" t="n"/>
      <c r="I408" s="37" t="n"/>
      <c r="J408" s="34" t="inlineStr">
        <is>
          <t>Pago</t>
        </is>
      </c>
      <c r="K408" s="34" t="n"/>
      <c r="L408" s="34" t="n"/>
      <c r="M408" s="39" t="inlineStr">
        <is>
          <t>EXEMPLO</t>
        </is>
      </c>
      <c r="N408" s="35" t="n">
        <v>21.9</v>
      </c>
      <c r="O408" s="40">
        <f>IF($A408="","",MONTH($A408))</f>
        <v>6</v>
      </c>
      <c r="P408" s="40">
        <f>IF($A408="","",YEAR($A408))</f>
        <v>2026</v>
      </c>
      <c r="Q408" s="41">
        <f>IF($A408="","",DATE(P408,O408,1))</f>
        <v>46174.0</v>
      </c>
      <c r="R408" s="36">
        <f>IF(OR($A408="",$N408=""),"",IF(AND($C408&lt;&gt;"Transferência",N($I408)&gt;1),$N408/$I408,$N408))</f>
        <v>21.9</v>
      </c>
      <c r="S408" s="41">
        <f>IF(OR($A408="",$F408="",$C408&lt;&gt;"Despesa"),"",IF(COUNTIF(Cartoes_Nome,$F408)=0,"",DATE(P408,O408+IF(DAY($A408)&gt;=INDEX(Cartoes_Fech,MATCH($F408,Cartoes_Nome,0)),1,0),1)))</f>
        <v>46174.0</v>
      </c>
      <c r="T408" s="42" t="str">
        <f>IF($A408="","",IF(COUNTIFS(L_Data,$A408,L_Desc,$B408,L_Valor,$N408,L_Tipo,$C408)&gt;1,"⚠ Possível duplicidade",IF(OR(AND($C408="Despesa",COUNTIF(CatD_Nome,$D408)=0),AND($C408="Receita",COUNTIF(CatR_Nome,$D408)=0)),"⚠ Categoria não combina com o tipo",IF(OR($N408="",$C408=""),"⚠ Falta valor ou tipo",""))))</f>
        <v/>
      </c>
      <c r="U408" s="40">
        <f>IF($A408="",0,P408*12+O408)</f>
        <v>24318</v>
      </c>
      <c r="V408" s="40">
        <f>IF($A408="",0,U408+MAX(0,N($I408)-MAX(N($H408),1)))</f>
        <v>24318</v>
      </c>
      <c r="W408" s="40">
        <f>IF(S408="",0,YEAR(S408)*12+MONTH(S408))</f>
        <v>24318</v>
      </c>
      <c r="X408" s="40">
        <f>IF(W408=0,0,W408+V408-U408)</f>
        <v>24318</v>
      </c>
      <c r="Y408" s="36">
        <f>IF(W408=0,0,N(R408)*MAX(0,X408-MAX(W408,YEAR(Cfg_Hoje)*12+MONTH(Cfg_Hoje)+IF(DAY(Cfg_Hoje)&gt;=INDEX(Cartoes_Fech,MATCH($F408,Cartoes_Nome,0)),1,0))+1))</f>
        <v>0</v>
      </c>
      <c r="Z408" s="40">
        <f>IF($A408="",0,DAY($A408))</f>
        <v>12</v>
      </c>
      <c r="AA408" s="40">
        <f>IF($A408="",0,WEEKDAY($A408))</f>
        <v>6</v>
      </c>
      <c r="AB408" s="36">
        <f>IF(AND($C408="Despesa",U408&gt;0,U408&lt;=Sel_Idx,V408&gt;=Sel_Idx),N(R408)+ROW()/1000000000,0)</f>
        <v>0</v>
      </c>
      <c r="AC408" s="40">
        <f>IF(AND($C408="Despesa",U408&gt;0,U408&lt;=Sel_Idx,V408&gt;=Sel_Idx),Z408*10000+ROW(),0)</f>
        <v>0</v>
      </c>
      <c r="AD408" s="40">
        <f>IF(AC408=0,0,COUNTIFS(L_CalChave,"&gt;0",L_CalChave,"&lt;"&amp;AC408)+1)</f>
        <v>0</v>
      </c>
    </row>
    <row r="409">
      <c r="A409" s="38" t="n">
        <v>46185</v>
      </c>
      <c r="B409" s="39" t="inlineStr">
        <is>
          <t>Streaming de vídeo</t>
        </is>
      </c>
      <c r="C409" s="34" t="inlineStr">
        <is>
          <t>Despesa</t>
        </is>
      </c>
      <c r="D409" s="34" t="inlineStr">
        <is>
          <t>Assinaturas</t>
        </is>
      </c>
      <c r="E409" s="34" t="inlineStr">
        <is>
          <t>Streaming</t>
        </is>
      </c>
      <c r="F409" s="34" t="inlineStr">
        <is>
          <t>Cartão Roxinho</t>
        </is>
      </c>
      <c r="G409" s="34" t="inlineStr">
        <is>
          <t>Crédito</t>
        </is>
      </c>
      <c r="H409" s="37" t="n"/>
      <c r="I409" s="37" t="n"/>
      <c r="J409" s="34" t="inlineStr">
        <is>
          <t>Pago</t>
        </is>
      </c>
      <c r="K409" s="34" t="n"/>
      <c r="L409" s="34" t="n"/>
      <c r="M409" s="39" t="inlineStr">
        <is>
          <t>EXEMPLO</t>
        </is>
      </c>
      <c r="N409" s="35" t="n">
        <v>55.9</v>
      </c>
      <c r="O409" s="40">
        <f>IF($A409="","",MONTH($A409))</f>
        <v>6</v>
      </c>
      <c r="P409" s="40">
        <f>IF($A409="","",YEAR($A409))</f>
        <v>2026</v>
      </c>
      <c r="Q409" s="41">
        <f>IF($A409="","",DATE(P409,O409,1))</f>
        <v>46174.0</v>
      </c>
      <c r="R409" s="36">
        <f>IF(OR($A409="",$N409=""),"",IF(AND($C409&lt;&gt;"Transferência",N($I409)&gt;1),$N409/$I409,$N409))</f>
        <v>55.9</v>
      </c>
      <c r="S409" s="41">
        <f>IF(OR($A409="",$F409="",$C409&lt;&gt;"Despesa"),"",IF(COUNTIF(Cartoes_Nome,$F409)=0,"",DATE(P409,O409+IF(DAY($A409)&gt;=INDEX(Cartoes_Fech,MATCH($F409,Cartoes_Nome,0)),1,0),1)))</f>
        <v>46174.0</v>
      </c>
      <c r="T409" s="42" t="str">
        <f>IF($A409="","",IF(COUNTIFS(L_Data,$A409,L_Desc,$B409,L_Valor,$N409,L_Tipo,$C409)&gt;1,"⚠ Possível duplicidade",IF(OR(AND($C409="Despesa",COUNTIF(CatD_Nome,$D409)=0),AND($C409="Receita",COUNTIF(CatR_Nome,$D409)=0)),"⚠ Categoria não combina com o tipo",IF(OR($N409="",$C409=""),"⚠ Falta valor ou tipo",""))))</f>
        <v/>
      </c>
      <c r="U409" s="40">
        <f>IF($A409="",0,P409*12+O409)</f>
        <v>24318</v>
      </c>
      <c r="V409" s="40">
        <f>IF($A409="",0,U409+MAX(0,N($I409)-MAX(N($H409),1)))</f>
        <v>24318</v>
      </c>
      <c r="W409" s="40">
        <f>IF(S409="",0,YEAR(S409)*12+MONTH(S409))</f>
        <v>24318</v>
      </c>
      <c r="X409" s="40">
        <f>IF(W409=0,0,W409+V409-U409)</f>
        <v>24318</v>
      </c>
      <c r="Y409" s="36">
        <f>IF(W409=0,0,N(R409)*MAX(0,X409-MAX(W409,YEAR(Cfg_Hoje)*12+MONTH(Cfg_Hoje)+IF(DAY(Cfg_Hoje)&gt;=INDEX(Cartoes_Fech,MATCH($F409,Cartoes_Nome,0)),1,0))+1))</f>
        <v>0</v>
      </c>
      <c r="Z409" s="40">
        <f>IF($A409="",0,DAY($A409))</f>
        <v>12</v>
      </c>
      <c r="AA409" s="40">
        <f>IF($A409="",0,WEEKDAY($A409))</f>
        <v>6</v>
      </c>
      <c r="AB409" s="36">
        <f>IF(AND($C409="Despesa",U409&gt;0,U409&lt;=Sel_Idx,V409&gt;=Sel_Idx),N(R409)+ROW()/1000000000,0)</f>
        <v>0</v>
      </c>
      <c r="AC409" s="40">
        <f>IF(AND($C409="Despesa",U409&gt;0,U409&lt;=Sel_Idx,V409&gt;=Sel_Idx),Z409*10000+ROW(),0)</f>
        <v>0</v>
      </c>
      <c r="AD409" s="40">
        <f>IF(AC409=0,0,COUNTIFS(L_CalChave,"&gt;0",L_CalChave,"&lt;"&amp;AC409)+1)</f>
        <v>0</v>
      </c>
    </row>
    <row r="410">
      <c r="A410" s="38" t="n">
        <v>46186</v>
      </c>
      <c r="B410" s="39" t="inlineStr">
        <is>
          <t>Consulta médica</t>
        </is>
      </c>
      <c r="C410" s="34" t="inlineStr">
        <is>
          <t>Despesa</t>
        </is>
      </c>
      <c r="D410" s="34" t="inlineStr">
        <is>
          <t>Saúde</t>
        </is>
      </c>
      <c r="E410" s="34" t="inlineStr">
        <is>
          <t>Consultas</t>
        </is>
      </c>
      <c r="F410" s="34" t="inlineStr">
        <is>
          <t>Conta Corrente Banco Azul</t>
        </is>
      </c>
      <c r="G410" s="34" t="inlineStr">
        <is>
          <t>Pix</t>
        </is>
      </c>
      <c r="H410" s="37" t="n"/>
      <c r="I410" s="37" t="n"/>
      <c r="J410" s="34" t="inlineStr">
        <is>
          <t>Pago</t>
        </is>
      </c>
      <c r="K410" s="34" t="n"/>
      <c r="L410" s="34" t="n"/>
      <c r="M410" s="39" t="inlineStr">
        <is>
          <t>EXEMPLO</t>
        </is>
      </c>
      <c r="N410" s="35" t="n">
        <v>280</v>
      </c>
      <c r="O410" s="40">
        <f>IF($A410="","",MONTH($A410))</f>
        <v>6</v>
      </c>
      <c r="P410" s="40">
        <f>IF($A410="","",YEAR($A410))</f>
        <v>2026</v>
      </c>
      <c r="Q410" s="41">
        <f>IF($A410="","",DATE(P410,O410,1))</f>
        <v>46174.0</v>
      </c>
      <c r="R410" s="36">
        <f>IF(OR($A410="",$N410=""),"",IF(AND($C410&lt;&gt;"Transferência",N($I410)&gt;1),$N410/$I410,$N410))</f>
        <v>280</v>
      </c>
      <c r="S410" s="41" t="str">
        <f>IF(OR($A410="",$F410="",$C410&lt;&gt;"Despesa"),"",IF(COUNTIF(Cartoes_Nome,$F410)=0,"",DATE(P410,O410+IF(DAY($A410)&gt;=INDEX(Cartoes_Fech,MATCH($F410,Cartoes_Nome,0)),1,0),1)))</f>
        <v/>
      </c>
      <c r="T410" s="42" t="str">
        <f>IF($A410="","",IF(COUNTIFS(L_Data,$A410,L_Desc,$B410,L_Valor,$N410,L_Tipo,$C410)&gt;1,"⚠ Possível duplicidade",IF(OR(AND($C410="Despesa",COUNTIF(CatD_Nome,$D410)=0),AND($C410="Receita",COUNTIF(CatR_Nome,$D410)=0)),"⚠ Categoria não combina com o tipo",IF(OR($N410="",$C410=""),"⚠ Falta valor ou tipo",""))))</f>
        <v/>
      </c>
      <c r="U410" s="40">
        <f>IF($A410="",0,P410*12+O410)</f>
        <v>24318</v>
      </c>
      <c r="V410" s="40">
        <f>IF($A410="",0,U410+MAX(0,N($I410)-MAX(N($H410),1)))</f>
        <v>24318</v>
      </c>
      <c r="W410" s="40">
        <f>IF(S410="",0,YEAR(S410)*12+MONTH(S410))</f>
        <v>0</v>
      </c>
      <c r="X410" s="40">
        <f>IF(W410=0,0,W410+V410-U410)</f>
        <v>0</v>
      </c>
      <c r="Y410" s="36">
        <f>IF(W410=0,0,N(R410)*MAX(0,X410-MAX(W410,YEAR(Cfg_Hoje)*12+MONTH(Cfg_Hoje)+IF(DAY(Cfg_Hoje)&gt;=INDEX(Cartoes_Fech,MATCH($F410,Cartoes_Nome,0)),1,0))+1))</f>
        <v>0</v>
      </c>
      <c r="Z410" s="40">
        <f>IF($A410="",0,DAY($A410))</f>
        <v>13</v>
      </c>
      <c r="AA410" s="40">
        <f>IF($A410="",0,WEEKDAY($A410))</f>
        <v>7</v>
      </c>
      <c r="AB410" s="36">
        <f>IF(AND($C410="Despesa",U410&gt;0,U410&lt;=Sel_Idx,V410&gt;=Sel_Idx),N(R410)+ROW()/1000000000,0)</f>
        <v>0</v>
      </c>
      <c r="AC410" s="40">
        <f>IF(AND($C410="Despesa",U410&gt;0,U410&lt;=Sel_Idx,V410&gt;=Sel_Idx),Z410*10000+ROW(),0)</f>
        <v>0</v>
      </c>
      <c r="AD410" s="40">
        <f>IF(AC410=0,0,COUNTIFS(L_CalChave,"&gt;0",L_CalChave,"&lt;"&amp;AC410)+1)</f>
        <v>0</v>
      </c>
    </row>
    <row r="411">
      <c r="A411" s="38" t="n">
        <v>46186</v>
      </c>
      <c r="B411" s="39" t="inlineStr">
        <is>
          <t>Supermercado</t>
        </is>
      </c>
      <c r="C411" s="34" t="inlineStr">
        <is>
          <t>Despesa</t>
        </is>
      </c>
      <c r="D411" s="34" t="inlineStr">
        <is>
          <t>Alimentação</t>
        </is>
      </c>
      <c r="E411" s="34" t="inlineStr">
        <is>
          <t>Mercado</t>
        </is>
      </c>
      <c r="F411" s="34" t="inlineStr">
        <is>
          <t>Cartão Azul Gold</t>
        </is>
      </c>
      <c r="G411" s="34" t="inlineStr">
        <is>
          <t>Crédito</t>
        </is>
      </c>
      <c r="H411" s="37" t="n"/>
      <c r="I411" s="37" t="n"/>
      <c r="J411" s="34" t="inlineStr">
        <is>
          <t>Pago</t>
        </is>
      </c>
      <c r="K411" s="34" t="n"/>
      <c r="L411" s="34" t="n"/>
      <c r="M411" s="39" t="inlineStr">
        <is>
          <t>EXEMPLO</t>
        </is>
      </c>
      <c r="N411" s="35" t="n">
        <v>287.28</v>
      </c>
      <c r="O411" s="40">
        <f>IF($A411="","",MONTH($A411))</f>
        <v>6</v>
      </c>
      <c r="P411" s="40">
        <f>IF($A411="","",YEAR($A411))</f>
        <v>2026</v>
      </c>
      <c r="Q411" s="41">
        <f>IF($A411="","",DATE(P411,O411,1))</f>
        <v>46174.0</v>
      </c>
      <c r="R411" s="36">
        <f>IF(OR($A411="",$N411=""),"",IF(AND($C411&lt;&gt;"Transferência",N($I411)&gt;1),$N411/$I411,$N411))</f>
        <v>287.28</v>
      </c>
      <c r="S411" s="41">
        <f>IF(OR($A411="",$F411="",$C411&lt;&gt;"Despesa"),"",IF(COUNTIF(Cartoes_Nome,$F411)=0,"",DATE(P411,O411+IF(DAY($A411)&gt;=INDEX(Cartoes_Fech,MATCH($F411,Cartoes_Nome,0)),1,0),1)))</f>
        <v>46204.0</v>
      </c>
      <c r="T411" s="42" t="str">
        <f>IF($A411="","",IF(COUNTIFS(L_Data,$A411,L_Desc,$B411,L_Valor,$N411,L_Tipo,$C411)&gt;1,"⚠ Possível duplicidade",IF(OR(AND($C411="Despesa",COUNTIF(CatD_Nome,$D411)=0),AND($C411="Receita",COUNTIF(CatR_Nome,$D411)=0)),"⚠ Categoria não combina com o tipo",IF(OR($N411="",$C411=""),"⚠ Falta valor ou tipo",""))))</f>
        <v/>
      </c>
      <c r="U411" s="40">
        <f>IF($A411="",0,P411*12+O411)</f>
        <v>24318</v>
      </c>
      <c r="V411" s="40">
        <f>IF($A411="",0,U411+MAX(0,N($I411)-MAX(N($H411),1)))</f>
        <v>24318</v>
      </c>
      <c r="W411" s="40">
        <f>IF(S411="",0,YEAR(S411)*12+MONTH(S411))</f>
        <v>24319</v>
      </c>
      <c r="X411" s="40">
        <f>IF(W411=0,0,W411+V411-U411)</f>
        <v>24319</v>
      </c>
      <c r="Y411" s="36">
        <f>IF(W411=0,0,N(R411)*MAX(0,X411-MAX(W411,YEAR(Cfg_Hoje)*12+MONTH(Cfg_Hoje)+IF(DAY(Cfg_Hoje)&gt;=INDEX(Cartoes_Fech,MATCH($F411,Cartoes_Nome,0)),1,0))+1))</f>
        <v>0</v>
      </c>
      <c r="Z411" s="40">
        <f>IF($A411="",0,DAY($A411))</f>
        <v>13</v>
      </c>
      <c r="AA411" s="40">
        <f>IF($A411="",0,WEEKDAY($A411))</f>
        <v>7</v>
      </c>
      <c r="AB411" s="36">
        <f>IF(AND($C411="Despesa",U411&gt;0,U411&lt;=Sel_Idx,V411&gt;=Sel_Idx),N(R411)+ROW()/1000000000,0)</f>
        <v>0</v>
      </c>
      <c r="AC411" s="40">
        <f>IF(AND($C411="Despesa",U411&gt;0,U411&lt;=Sel_Idx,V411&gt;=Sel_Idx),Z411*10000+ROW(),0)</f>
        <v>0</v>
      </c>
      <c r="AD411" s="40">
        <f>IF(AC411=0,0,COUNTIFS(L_CalChave,"&gt;0",L_CalChave,"&lt;"&amp;AC411)+1)</f>
        <v>0</v>
      </c>
    </row>
    <row r="412">
      <c r="A412" s="38" t="n">
        <v>46187</v>
      </c>
      <c r="B412" s="39" t="inlineStr">
        <is>
          <t>Armazenamento em nuvem</t>
        </is>
      </c>
      <c r="C412" s="34" t="inlineStr">
        <is>
          <t>Despesa</t>
        </is>
      </c>
      <c r="D412" s="34" t="inlineStr">
        <is>
          <t>Assinaturas</t>
        </is>
      </c>
      <c r="E412" s="34" t="inlineStr">
        <is>
          <t>Nuvem</t>
        </is>
      </c>
      <c r="F412" s="34" t="inlineStr">
        <is>
          <t>Cartão Azul Gold</t>
        </is>
      </c>
      <c r="G412" s="34" t="inlineStr">
        <is>
          <t>Crédito</t>
        </is>
      </c>
      <c r="H412" s="37" t="n"/>
      <c r="I412" s="37" t="n"/>
      <c r="J412" s="34" t="inlineStr">
        <is>
          <t>Pago</t>
        </is>
      </c>
      <c r="K412" s="34" t="n"/>
      <c r="L412" s="34" t="n"/>
      <c r="M412" s="39" t="inlineStr">
        <is>
          <t>EXEMPLO</t>
        </is>
      </c>
      <c r="N412" s="35" t="n">
        <v>14.9</v>
      </c>
      <c r="O412" s="40">
        <f>IF($A412="","",MONTH($A412))</f>
        <v>6</v>
      </c>
      <c r="P412" s="40">
        <f>IF($A412="","",YEAR($A412))</f>
        <v>2026</v>
      </c>
      <c r="Q412" s="41">
        <f>IF($A412="","",DATE(P412,O412,1))</f>
        <v>46174.0</v>
      </c>
      <c r="R412" s="36">
        <f>IF(OR($A412="",$N412=""),"",IF(AND($C412&lt;&gt;"Transferência",N($I412)&gt;1),$N412/$I412,$N412))</f>
        <v>14.9</v>
      </c>
      <c r="S412" s="41">
        <f>IF(OR($A412="",$F412="",$C412&lt;&gt;"Despesa"),"",IF(COUNTIF(Cartoes_Nome,$F412)=0,"",DATE(P412,O412+IF(DAY($A412)&gt;=INDEX(Cartoes_Fech,MATCH($F412,Cartoes_Nome,0)),1,0),1)))</f>
        <v>46204.0</v>
      </c>
      <c r="T412" s="42" t="str">
        <f>IF($A412="","",IF(COUNTIFS(L_Data,$A412,L_Desc,$B412,L_Valor,$N412,L_Tipo,$C412)&gt;1,"⚠ Possível duplicidade",IF(OR(AND($C412="Despesa",COUNTIF(CatD_Nome,$D412)=0),AND($C412="Receita",COUNTIF(CatR_Nome,$D412)=0)),"⚠ Categoria não combina com o tipo",IF(OR($N412="",$C412=""),"⚠ Falta valor ou tipo",""))))</f>
        <v/>
      </c>
      <c r="U412" s="40">
        <f>IF($A412="",0,P412*12+O412)</f>
        <v>24318</v>
      </c>
      <c r="V412" s="40">
        <f>IF($A412="",0,U412+MAX(0,N($I412)-MAX(N($H412),1)))</f>
        <v>24318</v>
      </c>
      <c r="W412" s="40">
        <f>IF(S412="",0,YEAR(S412)*12+MONTH(S412))</f>
        <v>24319</v>
      </c>
      <c r="X412" s="40">
        <f>IF(W412=0,0,W412+V412-U412)</f>
        <v>24319</v>
      </c>
      <c r="Y412" s="36">
        <f>IF(W412=0,0,N(R412)*MAX(0,X412-MAX(W412,YEAR(Cfg_Hoje)*12+MONTH(Cfg_Hoje)+IF(DAY(Cfg_Hoje)&gt;=INDEX(Cartoes_Fech,MATCH($F412,Cartoes_Nome,0)),1,0))+1))</f>
        <v>0</v>
      </c>
      <c r="Z412" s="40">
        <f>IF($A412="",0,DAY($A412))</f>
        <v>14</v>
      </c>
      <c r="AA412" s="40">
        <f>IF($A412="",0,WEEKDAY($A412))</f>
        <v>1</v>
      </c>
      <c r="AB412" s="36">
        <f>IF(AND($C412="Despesa",U412&gt;0,U412&lt;=Sel_Idx,V412&gt;=Sel_Idx),N(R412)+ROW()/1000000000,0)</f>
        <v>0</v>
      </c>
      <c r="AC412" s="40">
        <f>IF(AND($C412="Despesa",U412&gt;0,U412&lt;=Sel_Idx,V412&gt;=Sel_Idx),Z412*10000+ROW(),0)</f>
        <v>0</v>
      </c>
      <c r="AD412" s="40">
        <f>IF(AC412=0,0,COUNTIFS(L_CalChave,"&gt;0",L_CalChave,"&lt;"&amp;AC412)+1)</f>
        <v>0</v>
      </c>
    </row>
    <row r="413">
      <c r="A413" s="38" t="n">
        <v>46187</v>
      </c>
      <c r="B413" s="39" t="inlineStr">
        <is>
          <t>Combustível</t>
        </is>
      </c>
      <c r="C413" s="34" t="inlineStr">
        <is>
          <t>Despesa</t>
        </is>
      </c>
      <c r="D413" s="34" t="inlineStr">
        <is>
          <t>Transporte</t>
        </is>
      </c>
      <c r="E413" s="34" t="inlineStr">
        <is>
          <t>Combustível</t>
        </is>
      </c>
      <c r="F413" s="34" t="inlineStr">
        <is>
          <t>Cartão Azul Gold</t>
        </is>
      </c>
      <c r="G413" s="34" t="inlineStr">
        <is>
          <t>Crédito</t>
        </is>
      </c>
      <c r="H413" s="37" t="n"/>
      <c r="I413" s="37" t="n"/>
      <c r="J413" s="34" t="inlineStr">
        <is>
          <t>Pago</t>
        </is>
      </c>
      <c r="K413" s="34" t="n"/>
      <c r="L413" s="34" t="n"/>
      <c r="M413" s="39" t="inlineStr">
        <is>
          <t>EXEMPLO</t>
        </is>
      </c>
      <c r="N413" s="35" t="n">
        <v>170.98</v>
      </c>
      <c r="O413" s="40">
        <f>IF($A413="","",MONTH($A413))</f>
        <v>6</v>
      </c>
      <c r="P413" s="40">
        <f>IF($A413="","",YEAR($A413))</f>
        <v>2026</v>
      </c>
      <c r="Q413" s="41">
        <f>IF($A413="","",DATE(P413,O413,1))</f>
        <v>46174.0</v>
      </c>
      <c r="R413" s="36">
        <f>IF(OR($A413="",$N413=""),"",IF(AND($C413&lt;&gt;"Transferência",N($I413)&gt;1),$N413/$I413,$N413))</f>
        <v>170.98</v>
      </c>
      <c r="S413" s="41">
        <f>IF(OR($A413="",$F413="",$C413&lt;&gt;"Despesa"),"",IF(COUNTIF(Cartoes_Nome,$F413)=0,"",DATE(P413,O413+IF(DAY($A413)&gt;=INDEX(Cartoes_Fech,MATCH($F413,Cartoes_Nome,0)),1,0),1)))</f>
        <v>46204.0</v>
      </c>
      <c r="T413" s="42" t="str">
        <f>IF($A413="","",IF(COUNTIFS(L_Data,$A413,L_Desc,$B413,L_Valor,$N413,L_Tipo,$C413)&gt;1,"⚠ Possível duplicidade",IF(OR(AND($C413="Despesa",COUNTIF(CatD_Nome,$D413)=0),AND($C413="Receita",COUNTIF(CatR_Nome,$D413)=0)),"⚠ Categoria não combina com o tipo",IF(OR($N413="",$C413=""),"⚠ Falta valor ou tipo",""))))</f>
        <v/>
      </c>
      <c r="U413" s="40">
        <f>IF($A413="",0,P413*12+O413)</f>
        <v>24318</v>
      </c>
      <c r="V413" s="40">
        <f>IF($A413="",0,U413+MAX(0,N($I413)-MAX(N($H413),1)))</f>
        <v>24318</v>
      </c>
      <c r="W413" s="40">
        <f>IF(S413="",0,YEAR(S413)*12+MONTH(S413))</f>
        <v>24319</v>
      </c>
      <c r="X413" s="40">
        <f>IF(W413=0,0,W413+V413-U413)</f>
        <v>24319</v>
      </c>
      <c r="Y413" s="36">
        <f>IF(W413=0,0,N(R413)*MAX(0,X413-MAX(W413,YEAR(Cfg_Hoje)*12+MONTH(Cfg_Hoje)+IF(DAY(Cfg_Hoje)&gt;=INDEX(Cartoes_Fech,MATCH($F413,Cartoes_Nome,0)),1,0))+1))</f>
        <v>0</v>
      </c>
      <c r="Z413" s="40">
        <f>IF($A413="",0,DAY($A413))</f>
        <v>14</v>
      </c>
      <c r="AA413" s="40">
        <f>IF($A413="",0,WEEKDAY($A413))</f>
        <v>1</v>
      </c>
      <c r="AB413" s="36">
        <f>IF(AND($C413="Despesa",U413&gt;0,U413&lt;=Sel_Idx,V413&gt;=Sel_Idx),N(R413)+ROW()/1000000000,0)</f>
        <v>0</v>
      </c>
      <c r="AC413" s="40">
        <f>IF(AND($C413="Despesa",U413&gt;0,U413&lt;=Sel_Idx,V413&gt;=Sel_Idx),Z413*10000+ROW(),0)</f>
        <v>0</v>
      </c>
      <c r="AD413" s="40">
        <f>IF(AC413=0,0,COUNTIFS(L_CalChave,"&gt;0",L_CalChave,"&lt;"&amp;AC413)+1)</f>
        <v>0</v>
      </c>
    </row>
    <row r="414">
      <c r="A414" s="38" t="n">
        <v>46187</v>
      </c>
      <c r="B414" s="39" t="inlineStr">
        <is>
          <t>Presente de aniversário</t>
        </is>
      </c>
      <c r="C414" s="34" t="inlineStr">
        <is>
          <t>Despesa</t>
        </is>
      </c>
      <c r="D414" s="34" t="inlineStr">
        <is>
          <t>Outros</t>
        </is>
      </c>
      <c r="E414" s="34" t="n"/>
      <c r="F414" s="34" t="inlineStr">
        <is>
          <t>Cartão Azul Gold</t>
        </is>
      </c>
      <c r="G414" s="34" t="inlineStr">
        <is>
          <t>Crédito</t>
        </is>
      </c>
      <c r="H414" s="37" t="n"/>
      <c r="I414" s="37" t="n"/>
      <c r="J414" s="34" t="inlineStr">
        <is>
          <t>Pago</t>
        </is>
      </c>
      <c r="K414" s="34" t="inlineStr">
        <is>
          <t>#presente</t>
        </is>
      </c>
      <c r="L414" s="34" t="n"/>
      <c r="M414" s="39" t="inlineStr">
        <is>
          <t>EXEMPLO</t>
        </is>
      </c>
      <c r="N414" s="35" t="n">
        <v>280</v>
      </c>
      <c r="O414" s="40">
        <f>IF($A414="","",MONTH($A414))</f>
        <v>6</v>
      </c>
      <c r="P414" s="40">
        <f>IF($A414="","",YEAR($A414))</f>
        <v>2026</v>
      </c>
      <c r="Q414" s="41">
        <f>IF($A414="","",DATE(P414,O414,1))</f>
        <v>46174.0</v>
      </c>
      <c r="R414" s="36">
        <f>IF(OR($A414="",$N414=""),"",IF(AND($C414&lt;&gt;"Transferência",N($I414)&gt;1),$N414/$I414,$N414))</f>
        <v>280</v>
      </c>
      <c r="S414" s="41">
        <f>IF(OR($A414="",$F414="",$C414&lt;&gt;"Despesa"),"",IF(COUNTIF(Cartoes_Nome,$F414)=0,"",DATE(P414,O414+IF(DAY($A414)&gt;=INDEX(Cartoes_Fech,MATCH($F414,Cartoes_Nome,0)),1,0),1)))</f>
        <v>46204.0</v>
      </c>
      <c r="T414" s="42" t="str">
        <f>IF($A414="","",IF(COUNTIFS(L_Data,$A414,L_Desc,$B414,L_Valor,$N414,L_Tipo,$C414)&gt;1,"⚠ Possível duplicidade",IF(OR(AND($C414="Despesa",COUNTIF(CatD_Nome,$D414)=0),AND($C414="Receita",COUNTIF(CatR_Nome,$D414)=0)),"⚠ Categoria não combina com o tipo",IF(OR($N414="",$C414=""),"⚠ Falta valor ou tipo",""))))</f>
        <v/>
      </c>
      <c r="U414" s="40">
        <f>IF($A414="",0,P414*12+O414)</f>
        <v>24318</v>
      </c>
      <c r="V414" s="40">
        <f>IF($A414="",0,U414+MAX(0,N($I414)-MAX(N($H414),1)))</f>
        <v>24318</v>
      </c>
      <c r="W414" s="40">
        <f>IF(S414="",0,YEAR(S414)*12+MONTH(S414))</f>
        <v>24319</v>
      </c>
      <c r="X414" s="40">
        <f>IF(W414=0,0,W414+V414-U414)</f>
        <v>24319</v>
      </c>
      <c r="Y414" s="36">
        <f>IF(W414=0,0,N(R414)*MAX(0,X414-MAX(W414,YEAR(Cfg_Hoje)*12+MONTH(Cfg_Hoje)+IF(DAY(Cfg_Hoje)&gt;=INDEX(Cartoes_Fech,MATCH($F414,Cartoes_Nome,0)),1,0))+1))</f>
        <v>0</v>
      </c>
      <c r="Z414" s="40">
        <f>IF($A414="",0,DAY($A414))</f>
        <v>14</v>
      </c>
      <c r="AA414" s="40">
        <f>IF($A414="",0,WEEKDAY($A414))</f>
        <v>1</v>
      </c>
      <c r="AB414" s="36">
        <f>IF(AND($C414="Despesa",U414&gt;0,U414&lt;=Sel_Idx,V414&gt;=Sel_Idx),N(R414)+ROW()/1000000000,0)</f>
        <v>0</v>
      </c>
      <c r="AC414" s="40">
        <f>IF(AND($C414="Despesa",U414&gt;0,U414&lt;=Sel_Idx,V414&gt;=Sel_Idx),Z414*10000+ROW(),0)</f>
        <v>0</v>
      </c>
      <c r="AD414" s="40">
        <f>IF(AC414=0,0,COUNTIFS(L_CalChave,"&gt;0",L_CalChave,"&lt;"&amp;AC414)+1)</f>
        <v>0</v>
      </c>
    </row>
    <row r="415">
      <c r="A415" s="38" t="n">
        <v>46188</v>
      </c>
      <c r="B415" s="39" t="inlineStr">
        <is>
          <t>Bar com amigos</t>
        </is>
      </c>
      <c r="C415" s="34" t="inlineStr">
        <is>
          <t>Despesa</t>
        </is>
      </c>
      <c r="D415" s="34" t="inlineStr">
        <is>
          <t>Lazer</t>
        </is>
      </c>
      <c r="E415" s="34" t="inlineStr">
        <is>
          <t>Cinema</t>
        </is>
      </c>
      <c r="F415" s="34" t="inlineStr">
        <is>
          <t>Cartão Azul Gold</t>
        </is>
      </c>
      <c r="G415" s="34" t="inlineStr">
        <is>
          <t>Crédito</t>
        </is>
      </c>
      <c r="H415" s="37" t="n"/>
      <c r="I415" s="37" t="n"/>
      <c r="J415" s="34" t="inlineStr">
        <is>
          <t>Pago</t>
        </is>
      </c>
      <c r="K415" s="34" t="n"/>
      <c r="L415" s="34" t="n"/>
      <c r="M415" s="39" t="inlineStr">
        <is>
          <t>EXEMPLO</t>
        </is>
      </c>
      <c r="N415" s="35" t="n">
        <v>94.79000000000001</v>
      </c>
      <c r="O415" s="40">
        <f>IF($A415="","",MONTH($A415))</f>
        <v>6</v>
      </c>
      <c r="P415" s="40">
        <f>IF($A415="","",YEAR($A415))</f>
        <v>2026</v>
      </c>
      <c r="Q415" s="41">
        <f>IF($A415="","",DATE(P415,O415,1))</f>
        <v>46174.0</v>
      </c>
      <c r="R415" s="36">
        <f>IF(OR($A415="",$N415=""),"",IF(AND($C415&lt;&gt;"Transferência",N($I415)&gt;1),$N415/$I415,$N415))</f>
        <v>94.79</v>
      </c>
      <c r="S415" s="41">
        <f>IF(OR($A415="",$F415="",$C415&lt;&gt;"Despesa"),"",IF(COUNTIF(Cartoes_Nome,$F415)=0,"",DATE(P415,O415+IF(DAY($A415)&gt;=INDEX(Cartoes_Fech,MATCH($F415,Cartoes_Nome,0)),1,0),1)))</f>
        <v>46204.0</v>
      </c>
      <c r="T415" s="42" t="str">
        <f>IF($A415="","",IF(COUNTIFS(L_Data,$A415,L_Desc,$B415,L_Valor,$N415,L_Tipo,$C415)&gt;1,"⚠ Possível duplicidade",IF(OR(AND($C415="Despesa",COUNTIF(CatD_Nome,$D415)=0),AND($C415="Receita",COUNTIF(CatR_Nome,$D415)=0)),"⚠ Categoria não combina com o tipo",IF(OR($N415="",$C415=""),"⚠ Falta valor ou tipo",""))))</f>
        <v/>
      </c>
      <c r="U415" s="40">
        <f>IF($A415="",0,P415*12+O415)</f>
        <v>24318</v>
      </c>
      <c r="V415" s="40">
        <f>IF($A415="",0,U415+MAX(0,N($I415)-MAX(N($H415),1)))</f>
        <v>24318</v>
      </c>
      <c r="W415" s="40">
        <f>IF(S415="",0,YEAR(S415)*12+MONTH(S415))</f>
        <v>24319</v>
      </c>
      <c r="X415" s="40">
        <f>IF(W415=0,0,W415+V415-U415)</f>
        <v>24319</v>
      </c>
      <c r="Y415" s="36">
        <f>IF(W415=0,0,N(R415)*MAX(0,X415-MAX(W415,YEAR(Cfg_Hoje)*12+MONTH(Cfg_Hoje)+IF(DAY(Cfg_Hoje)&gt;=INDEX(Cartoes_Fech,MATCH($F415,Cartoes_Nome,0)),1,0))+1))</f>
        <v>0</v>
      </c>
      <c r="Z415" s="40">
        <f>IF($A415="",0,DAY($A415))</f>
        <v>15</v>
      </c>
      <c r="AA415" s="40">
        <f>IF($A415="",0,WEEKDAY($A415))</f>
        <v>2</v>
      </c>
      <c r="AB415" s="36">
        <f>IF(AND($C415="Despesa",U415&gt;0,U415&lt;=Sel_Idx,V415&gt;=Sel_Idx),N(R415)+ROW()/1000000000,0)</f>
        <v>0</v>
      </c>
      <c r="AC415" s="40">
        <f>IF(AND($C415="Despesa",U415&gt;0,U415&lt;=Sel_Idx,V415&gt;=Sel_Idx),Z415*10000+ROW(),0)</f>
        <v>0</v>
      </c>
      <c r="AD415" s="40">
        <f>IF(AC415=0,0,COUNTIFS(L_CalChave,"&gt;0",L_CalChave,"&lt;"&amp;AC415)+1)</f>
        <v>0</v>
      </c>
    </row>
    <row r="416">
      <c r="A416" s="38" t="n">
        <v>46188</v>
      </c>
      <c r="B416" s="39" t="inlineStr">
        <is>
          <t>Conta de energia</t>
        </is>
      </c>
      <c r="C416" s="34" t="inlineStr">
        <is>
          <t>Despesa</t>
        </is>
      </c>
      <c r="D416" s="34" t="inlineStr">
        <is>
          <t>Moradia</t>
        </is>
      </c>
      <c r="E416" s="34" t="inlineStr">
        <is>
          <t>Energia</t>
        </is>
      </c>
      <c r="F416" s="34" t="inlineStr">
        <is>
          <t>Conta Corrente Banco Azul</t>
        </is>
      </c>
      <c r="G416" s="34" t="inlineStr">
        <is>
          <t>Débito automático</t>
        </is>
      </c>
      <c r="H416" s="37" t="n"/>
      <c r="I416" s="37" t="n"/>
      <c r="J416" s="34" t="inlineStr">
        <is>
          <t>Pago</t>
        </is>
      </c>
      <c r="K416" s="34" t="n"/>
      <c r="L416" s="34" t="n"/>
      <c r="M416" s="39" t="inlineStr">
        <is>
          <t>EXEMPLO</t>
        </is>
      </c>
      <c r="N416" s="35" t="n">
        <v>149.56</v>
      </c>
      <c r="O416" s="40">
        <f>IF($A416="","",MONTH($A416))</f>
        <v>6</v>
      </c>
      <c r="P416" s="40">
        <f>IF($A416="","",YEAR($A416))</f>
        <v>2026</v>
      </c>
      <c r="Q416" s="41">
        <f>IF($A416="","",DATE(P416,O416,1))</f>
        <v>46174.0</v>
      </c>
      <c r="R416" s="36">
        <f>IF(OR($A416="",$N416=""),"",IF(AND($C416&lt;&gt;"Transferência",N($I416)&gt;1),$N416/$I416,$N416))</f>
        <v>149.56</v>
      </c>
      <c r="S416" s="41" t="str">
        <f>IF(OR($A416="",$F416="",$C416&lt;&gt;"Despesa"),"",IF(COUNTIF(Cartoes_Nome,$F416)=0,"",DATE(P416,O416+IF(DAY($A416)&gt;=INDEX(Cartoes_Fech,MATCH($F416,Cartoes_Nome,0)),1,0),1)))</f>
        <v/>
      </c>
      <c r="T416" s="42" t="str">
        <f>IF($A416="","",IF(COUNTIFS(L_Data,$A416,L_Desc,$B416,L_Valor,$N416,L_Tipo,$C416)&gt;1,"⚠ Possível duplicidade",IF(OR(AND($C416="Despesa",COUNTIF(CatD_Nome,$D416)=0),AND($C416="Receita",COUNTIF(CatR_Nome,$D416)=0)),"⚠ Categoria não combina com o tipo",IF(OR($N416="",$C416=""),"⚠ Falta valor ou tipo",""))))</f>
        <v/>
      </c>
      <c r="U416" s="40">
        <f>IF($A416="",0,P416*12+O416)</f>
        <v>24318</v>
      </c>
      <c r="V416" s="40">
        <f>IF($A416="",0,U416+MAX(0,N($I416)-MAX(N($H416),1)))</f>
        <v>24318</v>
      </c>
      <c r="W416" s="40">
        <f>IF(S416="",0,YEAR(S416)*12+MONTH(S416))</f>
        <v>0</v>
      </c>
      <c r="X416" s="40">
        <f>IF(W416=0,0,W416+V416-U416)</f>
        <v>0</v>
      </c>
      <c r="Y416" s="36">
        <f>IF(W416=0,0,N(R416)*MAX(0,X416-MAX(W416,YEAR(Cfg_Hoje)*12+MONTH(Cfg_Hoje)+IF(DAY(Cfg_Hoje)&gt;=INDEX(Cartoes_Fech,MATCH($F416,Cartoes_Nome,0)),1,0))+1))</f>
        <v>0</v>
      </c>
      <c r="Z416" s="40">
        <f>IF($A416="",0,DAY($A416))</f>
        <v>15</v>
      </c>
      <c r="AA416" s="40">
        <f>IF($A416="",0,WEEKDAY($A416))</f>
        <v>2</v>
      </c>
      <c r="AB416" s="36">
        <f>IF(AND($C416="Despesa",U416&gt;0,U416&lt;=Sel_Idx,V416&gt;=Sel_Idx),N(R416)+ROW()/1000000000,0)</f>
        <v>0</v>
      </c>
      <c r="AC416" s="40">
        <f>IF(AND($C416="Despesa",U416&gt;0,U416&lt;=Sel_Idx,V416&gt;=Sel_Idx),Z416*10000+ROW(),0)</f>
        <v>0</v>
      </c>
      <c r="AD416" s="40">
        <f>IF(AC416=0,0,COUNTIFS(L_CalChave,"&gt;0",L_CalChave,"&lt;"&amp;AC416)+1)</f>
        <v>0</v>
      </c>
    </row>
    <row r="417">
      <c r="A417" s="38" t="n">
        <v>46188</v>
      </c>
      <c r="B417" s="39" t="inlineStr">
        <is>
          <t>Conta de água</t>
        </is>
      </c>
      <c r="C417" s="34" t="inlineStr">
        <is>
          <t>Despesa</t>
        </is>
      </c>
      <c r="D417" s="34" t="inlineStr">
        <is>
          <t>Moradia</t>
        </is>
      </c>
      <c r="E417" s="34" t="inlineStr">
        <is>
          <t>Água</t>
        </is>
      </c>
      <c r="F417" s="34" t="inlineStr">
        <is>
          <t>Conta Corrente Banco Azul</t>
        </is>
      </c>
      <c r="G417" s="34" t="inlineStr">
        <is>
          <t>Débito automático</t>
        </is>
      </c>
      <c r="H417" s="37" t="n"/>
      <c r="I417" s="37" t="n"/>
      <c r="J417" s="34" t="inlineStr">
        <is>
          <t>Pago</t>
        </is>
      </c>
      <c r="K417" s="34" t="n"/>
      <c r="L417" s="34" t="n"/>
      <c r="M417" s="39" t="inlineStr">
        <is>
          <t>EXEMPLO</t>
        </is>
      </c>
      <c r="N417" s="35" t="n">
        <v>83.05</v>
      </c>
      <c r="O417" s="40">
        <f>IF($A417="","",MONTH($A417))</f>
        <v>6</v>
      </c>
      <c r="P417" s="40">
        <f>IF($A417="","",YEAR($A417))</f>
        <v>2026</v>
      </c>
      <c r="Q417" s="41">
        <f>IF($A417="","",DATE(P417,O417,1))</f>
        <v>46174.0</v>
      </c>
      <c r="R417" s="36">
        <f>IF(OR($A417="",$N417=""),"",IF(AND($C417&lt;&gt;"Transferência",N($I417)&gt;1),$N417/$I417,$N417))</f>
        <v>83.05</v>
      </c>
      <c r="S417" s="41" t="str">
        <f>IF(OR($A417="",$F417="",$C417&lt;&gt;"Despesa"),"",IF(COUNTIF(Cartoes_Nome,$F417)=0,"",DATE(P417,O417+IF(DAY($A417)&gt;=INDEX(Cartoes_Fech,MATCH($F417,Cartoes_Nome,0)),1,0),1)))</f>
        <v/>
      </c>
      <c r="T417" s="42" t="str">
        <f>IF($A417="","",IF(COUNTIFS(L_Data,$A417,L_Desc,$B417,L_Valor,$N417,L_Tipo,$C417)&gt;1,"⚠ Possível duplicidade",IF(OR(AND($C417="Despesa",COUNTIF(CatD_Nome,$D417)=0),AND($C417="Receita",COUNTIF(CatR_Nome,$D417)=0)),"⚠ Categoria não combina com o tipo",IF(OR($N417="",$C417=""),"⚠ Falta valor ou tipo",""))))</f>
        <v/>
      </c>
      <c r="U417" s="40">
        <f>IF($A417="",0,P417*12+O417)</f>
        <v>24318</v>
      </c>
      <c r="V417" s="40">
        <f>IF($A417="",0,U417+MAX(0,N($I417)-MAX(N($H417),1)))</f>
        <v>24318</v>
      </c>
      <c r="W417" s="40">
        <f>IF(S417="",0,YEAR(S417)*12+MONTH(S417))</f>
        <v>0</v>
      </c>
      <c r="X417" s="40">
        <f>IF(W417=0,0,W417+V417-U417)</f>
        <v>0</v>
      </c>
      <c r="Y417" s="36">
        <f>IF(W417=0,0,N(R417)*MAX(0,X417-MAX(W417,YEAR(Cfg_Hoje)*12+MONTH(Cfg_Hoje)+IF(DAY(Cfg_Hoje)&gt;=INDEX(Cartoes_Fech,MATCH($F417,Cartoes_Nome,0)),1,0))+1))</f>
        <v>0</v>
      </c>
      <c r="Z417" s="40">
        <f>IF($A417="",0,DAY($A417))</f>
        <v>15</v>
      </c>
      <c r="AA417" s="40">
        <f>IF($A417="",0,WEEKDAY($A417))</f>
        <v>2</v>
      </c>
      <c r="AB417" s="36">
        <f>IF(AND($C417="Despesa",U417&gt;0,U417&lt;=Sel_Idx,V417&gt;=Sel_Idx),N(R417)+ROW()/1000000000,0)</f>
        <v>0</v>
      </c>
      <c r="AC417" s="40">
        <f>IF(AND($C417="Despesa",U417&gt;0,U417&lt;=Sel_Idx,V417&gt;=Sel_Idx),Z417*10000+ROW(),0)</f>
        <v>0</v>
      </c>
      <c r="AD417" s="40">
        <f>IF(AC417=0,0,COUNTIFS(L_CalChave,"&gt;0",L_CalChave,"&lt;"&amp;AC417)+1)</f>
        <v>0</v>
      </c>
    </row>
    <row r="418">
      <c r="A418" s="38" t="n">
        <v>46189</v>
      </c>
      <c r="B418" s="39" t="inlineStr">
        <is>
          <t>Corrida de aplicativo</t>
        </is>
      </c>
      <c r="C418" s="34" t="inlineStr">
        <is>
          <t>Despesa</t>
        </is>
      </c>
      <c r="D418" s="34" t="inlineStr">
        <is>
          <t>Transporte</t>
        </is>
      </c>
      <c r="E418" s="34" t="inlineStr">
        <is>
          <t>App de transporte</t>
        </is>
      </c>
      <c r="F418" s="34" t="inlineStr">
        <is>
          <t>Conta Corrente Banco Azul</t>
        </is>
      </c>
      <c r="G418" s="34" t="inlineStr">
        <is>
          <t>Pix</t>
        </is>
      </c>
      <c r="H418" s="37" t="n"/>
      <c r="I418" s="37" t="n"/>
      <c r="J418" s="34" t="inlineStr">
        <is>
          <t>Pago</t>
        </is>
      </c>
      <c r="K418" s="34" t="n"/>
      <c r="L418" s="34" t="n"/>
      <c r="M418" s="39" t="inlineStr">
        <is>
          <t>EXEMPLO</t>
        </is>
      </c>
      <c r="N418" s="35" t="n">
        <v>30.09</v>
      </c>
      <c r="O418" s="40">
        <f>IF($A418="","",MONTH($A418))</f>
        <v>6</v>
      </c>
      <c r="P418" s="40">
        <f>IF($A418="","",YEAR($A418))</f>
        <v>2026</v>
      </c>
      <c r="Q418" s="41">
        <f>IF($A418="","",DATE(P418,O418,1))</f>
        <v>46174.0</v>
      </c>
      <c r="R418" s="36">
        <f>IF(OR($A418="",$N418=""),"",IF(AND($C418&lt;&gt;"Transferência",N($I418)&gt;1),$N418/$I418,$N418))</f>
        <v>30.09</v>
      </c>
      <c r="S418" s="41" t="str">
        <f>IF(OR($A418="",$F418="",$C418&lt;&gt;"Despesa"),"",IF(COUNTIF(Cartoes_Nome,$F418)=0,"",DATE(P418,O418+IF(DAY($A418)&gt;=INDEX(Cartoes_Fech,MATCH($F418,Cartoes_Nome,0)),1,0),1)))</f>
        <v/>
      </c>
      <c r="T418" s="42" t="str">
        <f>IF($A418="","",IF(COUNTIFS(L_Data,$A418,L_Desc,$B418,L_Valor,$N418,L_Tipo,$C418)&gt;1,"⚠ Possível duplicidade",IF(OR(AND($C418="Despesa",COUNTIF(CatD_Nome,$D418)=0),AND($C418="Receita",COUNTIF(CatR_Nome,$D418)=0)),"⚠ Categoria não combina com o tipo",IF(OR($N418="",$C418=""),"⚠ Falta valor ou tipo",""))))</f>
        <v/>
      </c>
      <c r="U418" s="40">
        <f>IF($A418="",0,P418*12+O418)</f>
        <v>24318</v>
      </c>
      <c r="V418" s="40">
        <f>IF($A418="",0,U418+MAX(0,N($I418)-MAX(N($H418),1)))</f>
        <v>24318</v>
      </c>
      <c r="W418" s="40">
        <f>IF(S418="",0,YEAR(S418)*12+MONTH(S418))</f>
        <v>0</v>
      </c>
      <c r="X418" s="40">
        <f>IF(W418=0,0,W418+V418-U418)</f>
        <v>0</v>
      </c>
      <c r="Y418" s="36">
        <f>IF(W418=0,0,N(R418)*MAX(0,X418-MAX(W418,YEAR(Cfg_Hoje)*12+MONTH(Cfg_Hoje)+IF(DAY(Cfg_Hoje)&gt;=INDEX(Cartoes_Fech,MATCH($F418,Cartoes_Nome,0)),1,0))+1))</f>
        <v>0</v>
      </c>
      <c r="Z418" s="40">
        <f>IF($A418="",0,DAY($A418))</f>
        <v>16</v>
      </c>
      <c r="AA418" s="40">
        <f>IF($A418="",0,WEEKDAY($A418))</f>
        <v>3</v>
      </c>
      <c r="AB418" s="36">
        <f>IF(AND($C418="Despesa",U418&gt;0,U418&lt;=Sel_Idx,V418&gt;=Sel_Idx),N(R418)+ROW()/1000000000,0)</f>
        <v>0</v>
      </c>
      <c r="AC418" s="40">
        <f>IF(AND($C418="Despesa",U418&gt;0,U418&lt;=Sel_Idx,V418&gt;=Sel_Idx),Z418*10000+ROW(),0)</f>
        <v>0</v>
      </c>
      <c r="AD418" s="40">
        <f>IF(AC418=0,0,COUNTIFS(L_CalChave,"&gt;0",L_CalChave,"&lt;"&amp;AC418)+1)</f>
        <v>0</v>
      </c>
    </row>
    <row r="419">
      <c r="A419" s="38" t="n">
        <v>46189</v>
      </c>
      <c r="B419" s="39" t="inlineStr">
        <is>
          <t>Despesa diversa</t>
        </is>
      </c>
      <c r="C419" s="34" t="inlineStr">
        <is>
          <t>Despesa</t>
        </is>
      </c>
      <c r="D419" s="34" t="inlineStr">
        <is>
          <t>Outros</t>
        </is>
      </c>
      <c r="E419" s="34" t="n"/>
      <c r="F419" s="34" t="inlineStr">
        <is>
          <t>Conta Corrente Banco Azul</t>
        </is>
      </c>
      <c r="G419" s="34" t="inlineStr">
        <is>
          <t>Pix</t>
        </is>
      </c>
      <c r="H419" s="37" t="n"/>
      <c r="I419" s="37" t="n"/>
      <c r="J419" s="34" t="inlineStr">
        <is>
          <t>Pago</t>
        </is>
      </c>
      <c r="K419" s="34" t="n"/>
      <c r="L419" s="34" t="n"/>
      <c r="M419" s="39" t="inlineStr">
        <is>
          <t>EXEMPLO</t>
        </is>
      </c>
      <c r="N419" s="35" t="n">
        <v>92.18000000000001</v>
      </c>
      <c r="O419" s="40">
        <f>IF($A419="","",MONTH($A419))</f>
        <v>6</v>
      </c>
      <c r="P419" s="40">
        <f>IF($A419="","",YEAR($A419))</f>
        <v>2026</v>
      </c>
      <c r="Q419" s="41">
        <f>IF($A419="","",DATE(P419,O419,1))</f>
        <v>46174.0</v>
      </c>
      <c r="R419" s="36">
        <f>IF(OR($A419="",$N419=""),"",IF(AND($C419&lt;&gt;"Transferência",N($I419)&gt;1),$N419/$I419,$N419))</f>
        <v>92.18</v>
      </c>
      <c r="S419" s="41" t="str">
        <f>IF(OR($A419="",$F419="",$C419&lt;&gt;"Despesa"),"",IF(COUNTIF(Cartoes_Nome,$F419)=0,"",DATE(P419,O419+IF(DAY($A419)&gt;=INDEX(Cartoes_Fech,MATCH($F419,Cartoes_Nome,0)),1,0),1)))</f>
        <v/>
      </c>
      <c r="T419" s="42" t="str">
        <f>IF($A419="","",IF(COUNTIFS(L_Data,$A419,L_Desc,$B419,L_Valor,$N419,L_Tipo,$C419)&gt;1,"⚠ Possível duplicidade",IF(OR(AND($C419="Despesa",COUNTIF(CatD_Nome,$D419)=0),AND($C419="Receita",COUNTIF(CatR_Nome,$D419)=0)),"⚠ Categoria não combina com o tipo",IF(OR($N419="",$C419=""),"⚠ Falta valor ou tipo",""))))</f>
        <v/>
      </c>
      <c r="U419" s="40">
        <f>IF($A419="",0,P419*12+O419)</f>
        <v>24318</v>
      </c>
      <c r="V419" s="40">
        <f>IF($A419="",0,U419+MAX(0,N($I419)-MAX(N($H419),1)))</f>
        <v>24318</v>
      </c>
      <c r="W419" s="40">
        <f>IF(S419="",0,YEAR(S419)*12+MONTH(S419))</f>
        <v>0</v>
      </c>
      <c r="X419" s="40">
        <f>IF(W419=0,0,W419+V419-U419)</f>
        <v>0</v>
      </c>
      <c r="Y419" s="36">
        <f>IF(W419=0,0,N(R419)*MAX(0,X419-MAX(W419,YEAR(Cfg_Hoje)*12+MONTH(Cfg_Hoje)+IF(DAY(Cfg_Hoje)&gt;=INDEX(Cartoes_Fech,MATCH($F419,Cartoes_Nome,0)),1,0))+1))</f>
        <v>0</v>
      </c>
      <c r="Z419" s="40">
        <f>IF($A419="",0,DAY($A419))</f>
        <v>16</v>
      </c>
      <c r="AA419" s="40">
        <f>IF($A419="",0,WEEKDAY($A419))</f>
        <v>3</v>
      </c>
      <c r="AB419" s="36">
        <f>IF(AND($C419="Despesa",U419&gt;0,U419&lt;=Sel_Idx,V419&gt;=Sel_Idx),N(R419)+ROW()/1000000000,0)</f>
        <v>0</v>
      </c>
      <c r="AC419" s="40">
        <f>IF(AND($C419="Despesa",U419&gt;0,U419&lt;=Sel_Idx,V419&gt;=Sel_Idx),Z419*10000+ROW(),0)</f>
        <v>0</v>
      </c>
      <c r="AD419" s="40">
        <f>IF(AC419=0,0,COUNTIFS(L_CalChave,"&gt;0",L_CalChave,"&lt;"&amp;AC419)+1)</f>
        <v>0</v>
      </c>
    </row>
    <row r="420">
      <c r="A420" s="38" t="n">
        <v>46189</v>
      </c>
      <c r="B420" s="39" t="inlineStr">
        <is>
          <t>Farmácia</t>
        </is>
      </c>
      <c r="C420" s="34" t="inlineStr">
        <is>
          <t>Despesa</t>
        </is>
      </c>
      <c r="D420" s="34" t="inlineStr">
        <is>
          <t>Saúde</t>
        </is>
      </c>
      <c r="E420" s="34" t="inlineStr">
        <is>
          <t>Farmácia</t>
        </is>
      </c>
      <c r="F420" s="34" t="inlineStr">
        <is>
          <t>Cartão Roxinho</t>
        </is>
      </c>
      <c r="G420" s="34" t="inlineStr">
        <is>
          <t>Crédito</t>
        </is>
      </c>
      <c r="H420" s="37" t="n"/>
      <c r="I420" s="37" t="n"/>
      <c r="J420" s="34" t="inlineStr">
        <is>
          <t>Pago</t>
        </is>
      </c>
      <c r="K420" s="34" t="n"/>
      <c r="L420" s="34" t="n"/>
      <c r="M420" s="39" t="inlineStr">
        <is>
          <t>EXEMPLO</t>
        </is>
      </c>
      <c r="N420" s="35" t="n">
        <v>152.5</v>
      </c>
      <c r="O420" s="40">
        <f>IF($A420="","",MONTH($A420))</f>
        <v>6</v>
      </c>
      <c r="P420" s="40">
        <f>IF($A420="","",YEAR($A420))</f>
        <v>2026</v>
      </c>
      <c r="Q420" s="41">
        <f>IF($A420="","",DATE(P420,O420,1))</f>
        <v>46174.0</v>
      </c>
      <c r="R420" s="36">
        <f>IF(OR($A420="",$N420=""),"",IF(AND($C420&lt;&gt;"Transferência",N($I420)&gt;1),$N420/$I420,$N420))</f>
        <v>152.5</v>
      </c>
      <c r="S420" s="41">
        <f>IF(OR($A420="",$F420="",$C420&lt;&gt;"Despesa"),"",IF(COUNTIF(Cartoes_Nome,$F420)=0,"",DATE(P420,O420+IF(DAY($A420)&gt;=INDEX(Cartoes_Fech,MATCH($F420,Cartoes_Nome,0)),1,0),1)))</f>
        <v>46174.0</v>
      </c>
      <c r="T420" s="42" t="str">
        <f>IF($A420="","",IF(COUNTIFS(L_Data,$A420,L_Desc,$B420,L_Valor,$N420,L_Tipo,$C420)&gt;1,"⚠ Possível duplicidade",IF(OR(AND($C420="Despesa",COUNTIF(CatD_Nome,$D420)=0),AND($C420="Receita",COUNTIF(CatR_Nome,$D420)=0)),"⚠ Categoria não combina com o tipo",IF(OR($N420="",$C420=""),"⚠ Falta valor ou tipo",""))))</f>
        <v/>
      </c>
      <c r="U420" s="40">
        <f>IF($A420="",0,P420*12+O420)</f>
        <v>24318</v>
      </c>
      <c r="V420" s="40">
        <f>IF($A420="",0,U420+MAX(0,N($I420)-MAX(N($H420),1)))</f>
        <v>24318</v>
      </c>
      <c r="W420" s="40">
        <f>IF(S420="",0,YEAR(S420)*12+MONTH(S420))</f>
        <v>24318</v>
      </c>
      <c r="X420" s="40">
        <f>IF(W420=0,0,W420+V420-U420)</f>
        <v>24318</v>
      </c>
      <c r="Y420" s="36">
        <f>IF(W420=0,0,N(R420)*MAX(0,X420-MAX(W420,YEAR(Cfg_Hoje)*12+MONTH(Cfg_Hoje)+IF(DAY(Cfg_Hoje)&gt;=INDEX(Cartoes_Fech,MATCH($F420,Cartoes_Nome,0)),1,0))+1))</f>
        <v>0</v>
      </c>
      <c r="Z420" s="40">
        <f>IF($A420="",0,DAY($A420))</f>
        <v>16</v>
      </c>
      <c r="AA420" s="40">
        <f>IF($A420="",0,WEEKDAY($A420))</f>
        <v>3</v>
      </c>
      <c r="AB420" s="36">
        <f>IF(AND($C420="Despesa",U420&gt;0,U420&lt;=Sel_Idx,V420&gt;=Sel_Idx),N(R420)+ROW()/1000000000,0)</f>
        <v>0</v>
      </c>
      <c r="AC420" s="40">
        <f>IF(AND($C420="Despesa",U420&gt;0,U420&lt;=Sel_Idx,V420&gt;=Sel_Idx),Z420*10000+ROW(),0)</f>
        <v>0</v>
      </c>
      <c r="AD420" s="40">
        <f>IF(AC420=0,0,COUNTIFS(L_CalChave,"&gt;0",L_CalChave,"&lt;"&amp;AC420)+1)</f>
        <v>0</v>
      </c>
    </row>
    <row r="421">
      <c r="A421" s="38" t="n">
        <v>46190</v>
      </c>
      <c r="B421" s="39" t="inlineStr">
        <is>
          <t>Pagamento fatura Cartão Azul Gold</t>
        </is>
      </c>
      <c r="C421" s="34" t="inlineStr">
        <is>
          <t>Transferência</t>
        </is>
      </c>
      <c r="D421" s="34" t="n"/>
      <c r="E421" s="34" t="n"/>
      <c r="F421" s="34" t="inlineStr">
        <is>
          <t>Conta Corrente Banco Azul</t>
        </is>
      </c>
      <c r="G421" s="34" t="inlineStr">
        <is>
          <t>Débito automático</t>
        </is>
      </c>
      <c r="H421" s="37" t="n"/>
      <c r="I421" s="37" t="n"/>
      <c r="J421" s="34" t="inlineStr">
        <is>
          <t>Pago</t>
        </is>
      </c>
      <c r="K421" s="34" t="n"/>
      <c r="L421" s="34" t="n"/>
      <c r="M421" s="39" t="inlineStr">
        <is>
          <t>EXEMPLO</t>
        </is>
      </c>
      <c r="N421" s="35" t="n">
        <v>-594.42</v>
      </c>
      <c r="O421" s="40">
        <f>IF($A421="","",MONTH($A421))</f>
        <v>6</v>
      </c>
      <c r="P421" s="40">
        <f>IF($A421="","",YEAR($A421))</f>
        <v>2026</v>
      </c>
      <c r="Q421" s="41">
        <f>IF($A421="","",DATE(P421,O421,1))</f>
        <v>46174.0</v>
      </c>
      <c r="R421" s="36">
        <f>IF(OR($A421="",$N421=""),"",IF(AND($C421&lt;&gt;"Transferência",N($I421)&gt;1),$N421/$I421,$N421))</f>
        <v>-594.42</v>
      </c>
      <c r="S421" s="41" t="str">
        <f>IF(OR($A421="",$F421="",$C421&lt;&gt;"Despesa"),"",IF(COUNTIF(Cartoes_Nome,$F421)=0,"",DATE(P421,O421+IF(DAY($A421)&gt;=INDEX(Cartoes_Fech,MATCH($F421,Cartoes_Nome,0)),1,0),1)))</f>
        <v/>
      </c>
      <c r="T421" s="42" t="str">
        <f>IF($A421="","",IF(COUNTIFS(L_Data,$A421,L_Desc,$B421,L_Valor,$N421,L_Tipo,$C421)&gt;1,"⚠ Possível duplicidade",IF(OR(AND($C421="Despesa",COUNTIF(CatD_Nome,$D421)=0),AND($C421="Receita",COUNTIF(CatR_Nome,$D421)=0)),"⚠ Categoria não combina com o tipo",IF(OR($N421="",$C421=""),"⚠ Falta valor ou tipo",""))))</f>
        <v/>
      </c>
      <c r="U421" s="40">
        <f>IF($A421="",0,P421*12+O421)</f>
        <v>24318</v>
      </c>
      <c r="V421" s="40">
        <f>IF($A421="",0,U421+MAX(0,N($I421)-MAX(N($H421),1)))</f>
        <v>24318</v>
      </c>
      <c r="W421" s="40">
        <f>IF(S421="",0,YEAR(S421)*12+MONTH(S421))</f>
        <v>0</v>
      </c>
      <c r="X421" s="40">
        <f>IF(W421=0,0,W421+V421-U421)</f>
        <v>0</v>
      </c>
      <c r="Y421" s="36">
        <f>IF(W421=0,0,N(R421)*MAX(0,X421-MAX(W421,YEAR(Cfg_Hoje)*12+MONTH(Cfg_Hoje)+IF(DAY(Cfg_Hoje)&gt;=INDEX(Cartoes_Fech,MATCH($F421,Cartoes_Nome,0)),1,0))+1))</f>
        <v>0</v>
      </c>
      <c r="Z421" s="40">
        <f>IF($A421="",0,DAY($A421))</f>
        <v>17</v>
      </c>
      <c r="AA421" s="40">
        <f>IF($A421="",0,WEEKDAY($A421))</f>
        <v>4</v>
      </c>
      <c r="AB421" s="36">
        <f>IF(AND($C421="Despesa",U421&gt;0,U421&lt;=Sel_Idx,V421&gt;=Sel_Idx),N(R421)+ROW()/1000000000,0)</f>
        <v>0</v>
      </c>
      <c r="AC421" s="40">
        <f>IF(AND($C421="Despesa",U421&gt;0,U421&lt;=Sel_Idx,V421&gt;=Sel_Idx),Z421*10000+ROW(),0)</f>
        <v>0</v>
      </c>
      <c r="AD421" s="40">
        <f>IF(AC421=0,0,COUNTIFS(L_CalChave,"&gt;0",L_CalChave,"&lt;"&amp;AC421)+1)</f>
        <v>0</v>
      </c>
    </row>
    <row r="422">
      <c r="A422" s="38" t="n">
        <v>46191</v>
      </c>
      <c r="B422" s="39" t="inlineStr">
        <is>
          <t>Projeto freelance</t>
        </is>
      </c>
      <c r="C422" s="34" t="inlineStr">
        <is>
          <t>Receita</t>
        </is>
      </c>
      <c r="D422" s="34" t="inlineStr">
        <is>
          <t>Freelance/Extra</t>
        </is>
      </c>
      <c r="E422" s="34" t="n"/>
      <c r="F422" s="34" t="inlineStr">
        <is>
          <t>Conta Corrente Banco Azul</t>
        </is>
      </c>
      <c r="G422" s="34" t="inlineStr">
        <is>
          <t>Pix</t>
        </is>
      </c>
      <c r="H422" s="37" t="n"/>
      <c r="I422" s="37" t="n"/>
      <c r="J422" s="34" t="inlineStr">
        <is>
          <t>Pago</t>
        </is>
      </c>
      <c r="K422" s="34" t="n"/>
      <c r="L422" s="34" t="n"/>
      <c r="M422" s="39" t="inlineStr">
        <is>
          <t>EXEMPLO</t>
        </is>
      </c>
      <c r="N422" s="35" t="n">
        <v>2400</v>
      </c>
      <c r="O422" s="40">
        <f>IF($A422="","",MONTH($A422))</f>
        <v>6</v>
      </c>
      <c r="P422" s="40">
        <f>IF($A422="","",YEAR($A422))</f>
        <v>2026</v>
      </c>
      <c r="Q422" s="41">
        <f>IF($A422="","",DATE(P422,O422,1))</f>
        <v>46174.0</v>
      </c>
      <c r="R422" s="36">
        <f>IF(OR($A422="",$N422=""),"",IF(AND($C422&lt;&gt;"Transferência",N($I422)&gt;1),$N422/$I422,$N422))</f>
        <v>2400</v>
      </c>
      <c r="S422" s="41" t="str">
        <f>IF(OR($A422="",$F422="",$C422&lt;&gt;"Despesa"),"",IF(COUNTIF(Cartoes_Nome,$F422)=0,"",DATE(P422,O422+IF(DAY($A422)&gt;=INDEX(Cartoes_Fech,MATCH($F422,Cartoes_Nome,0)),1,0),1)))</f>
        <v/>
      </c>
      <c r="T422" s="42" t="str">
        <f>IF($A422="","",IF(COUNTIFS(L_Data,$A422,L_Desc,$B422,L_Valor,$N422,L_Tipo,$C422)&gt;1,"⚠ Possível duplicidade",IF(OR(AND($C422="Despesa",COUNTIF(CatD_Nome,$D422)=0),AND($C422="Receita",COUNTIF(CatR_Nome,$D422)=0)),"⚠ Categoria não combina com o tipo",IF(OR($N422="",$C422=""),"⚠ Falta valor ou tipo",""))))</f>
        <v/>
      </c>
      <c r="U422" s="40">
        <f>IF($A422="",0,P422*12+O422)</f>
        <v>24318</v>
      </c>
      <c r="V422" s="40">
        <f>IF($A422="",0,U422+MAX(0,N($I422)-MAX(N($H422),1)))</f>
        <v>24318</v>
      </c>
      <c r="W422" s="40">
        <f>IF(S422="",0,YEAR(S422)*12+MONTH(S422))</f>
        <v>0</v>
      </c>
      <c r="X422" s="40">
        <f>IF(W422=0,0,W422+V422-U422)</f>
        <v>0</v>
      </c>
      <c r="Y422" s="36">
        <f>IF(W422=0,0,N(R422)*MAX(0,X422-MAX(W422,YEAR(Cfg_Hoje)*12+MONTH(Cfg_Hoje)+IF(DAY(Cfg_Hoje)&gt;=INDEX(Cartoes_Fech,MATCH($F422,Cartoes_Nome,0)),1,0))+1))</f>
        <v>0</v>
      </c>
      <c r="Z422" s="40">
        <f>IF($A422="",0,DAY($A422))</f>
        <v>18</v>
      </c>
      <c r="AA422" s="40">
        <f>IF($A422="",0,WEEKDAY($A422))</f>
        <v>5</v>
      </c>
      <c r="AB422" s="36">
        <f>IF(AND($C422="Despesa",U422&gt;0,U422&lt;=Sel_Idx,V422&gt;=Sel_Idx),N(R422)+ROW()/1000000000,0)</f>
        <v>0</v>
      </c>
      <c r="AC422" s="40">
        <f>IF(AND($C422="Despesa",U422&gt;0,U422&lt;=Sel_Idx,V422&gt;=Sel_Idx),Z422*10000+ROW(),0)</f>
        <v>0</v>
      </c>
      <c r="AD422" s="40">
        <f>IF(AC422=0,0,COUNTIFS(L_CalChave,"&gt;0",L_CalChave,"&lt;"&amp;AC422)+1)</f>
        <v>0</v>
      </c>
    </row>
    <row r="423">
      <c r="A423" s="38" t="n">
        <v>46192</v>
      </c>
      <c r="B423" s="39" t="inlineStr">
        <is>
          <t>Supermercado</t>
        </is>
      </c>
      <c r="C423" s="34" t="inlineStr">
        <is>
          <t>Despesa</t>
        </is>
      </c>
      <c r="D423" s="34" t="inlineStr">
        <is>
          <t>Alimentação</t>
        </is>
      </c>
      <c r="E423" s="34" t="inlineStr">
        <is>
          <t>Mercado</t>
        </is>
      </c>
      <c r="F423" s="34" t="inlineStr">
        <is>
          <t>Cartão Azul Gold</t>
        </is>
      </c>
      <c r="G423" s="34" t="inlineStr">
        <is>
          <t>Crédito</t>
        </is>
      </c>
      <c r="H423" s="37" t="n"/>
      <c r="I423" s="37" t="n"/>
      <c r="J423" s="34" t="inlineStr">
        <is>
          <t>Pago</t>
        </is>
      </c>
      <c r="K423" s="34" t="n"/>
      <c r="L423" s="34" t="n"/>
      <c r="M423" s="39" t="inlineStr">
        <is>
          <t>EXEMPLO</t>
        </is>
      </c>
      <c r="N423" s="35" t="n">
        <v>320.13</v>
      </c>
      <c r="O423" s="40">
        <f>IF($A423="","",MONTH($A423))</f>
        <v>6</v>
      </c>
      <c r="P423" s="40">
        <f>IF($A423="","",YEAR($A423))</f>
        <v>2026</v>
      </c>
      <c r="Q423" s="41">
        <f>IF($A423="","",DATE(P423,O423,1))</f>
        <v>46174.0</v>
      </c>
      <c r="R423" s="36">
        <f>IF(OR($A423="",$N423=""),"",IF(AND($C423&lt;&gt;"Transferência",N($I423)&gt;1),$N423/$I423,$N423))</f>
        <v>320.13</v>
      </c>
      <c r="S423" s="41">
        <f>IF(OR($A423="",$F423="",$C423&lt;&gt;"Despesa"),"",IF(COUNTIF(Cartoes_Nome,$F423)=0,"",DATE(P423,O423+IF(DAY($A423)&gt;=INDEX(Cartoes_Fech,MATCH($F423,Cartoes_Nome,0)),1,0),1)))</f>
        <v>46204.0</v>
      </c>
      <c r="T423" s="42" t="str">
        <f>IF($A423="","",IF(COUNTIFS(L_Data,$A423,L_Desc,$B423,L_Valor,$N423,L_Tipo,$C423)&gt;1,"⚠ Possível duplicidade",IF(OR(AND($C423="Despesa",COUNTIF(CatD_Nome,$D423)=0),AND($C423="Receita",COUNTIF(CatR_Nome,$D423)=0)),"⚠ Categoria não combina com o tipo",IF(OR($N423="",$C423=""),"⚠ Falta valor ou tipo",""))))</f>
        <v/>
      </c>
      <c r="U423" s="40">
        <f>IF($A423="",0,P423*12+O423)</f>
        <v>24318</v>
      </c>
      <c r="V423" s="40">
        <f>IF($A423="",0,U423+MAX(0,N($I423)-MAX(N($H423),1)))</f>
        <v>24318</v>
      </c>
      <c r="W423" s="40">
        <f>IF(S423="",0,YEAR(S423)*12+MONTH(S423))</f>
        <v>24319</v>
      </c>
      <c r="X423" s="40">
        <f>IF(W423=0,0,W423+V423-U423)</f>
        <v>24319</v>
      </c>
      <c r="Y423" s="36">
        <f>IF(W423=0,0,N(R423)*MAX(0,X423-MAX(W423,YEAR(Cfg_Hoje)*12+MONTH(Cfg_Hoje)+IF(DAY(Cfg_Hoje)&gt;=INDEX(Cartoes_Fech,MATCH($F423,Cartoes_Nome,0)),1,0))+1))</f>
        <v>0</v>
      </c>
      <c r="Z423" s="40">
        <f>IF($A423="",0,DAY($A423))</f>
        <v>19</v>
      </c>
      <c r="AA423" s="40">
        <f>IF($A423="",0,WEEKDAY($A423))</f>
        <v>6</v>
      </c>
      <c r="AB423" s="36">
        <f>IF(AND($C423="Despesa",U423&gt;0,U423&lt;=Sel_Idx,V423&gt;=Sel_Idx),N(R423)+ROW()/1000000000,0)</f>
        <v>0</v>
      </c>
      <c r="AC423" s="40">
        <f>IF(AND($C423="Despesa",U423&gt;0,U423&lt;=Sel_Idx,V423&gt;=Sel_Idx),Z423*10000+ROW(),0)</f>
        <v>0</v>
      </c>
      <c r="AD423" s="40">
        <f>IF(AC423=0,0,COUNTIFS(L_CalChave,"&gt;0",L_CalChave,"&lt;"&amp;AC423)+1)</f>
        <v>0</v>
      </c>
    </row>
    <row r="424">
      <c r="A424" s="38" t="n">
        <v>46193</v>
      </c>
      <c r="B424" s="39" t="inlineStr">
        <is>
          <t>Internet fibra</t>
        </is>
      </c>
      <c r="C424" s="34" t="inlineStr">
        <is>
          <t>Despesa</t>
        </is>
      </c>
      <c r="D424" s="34" t="inlineStr">
        <is>
          <t>Moradia</t>
        </is>
      </c>
      <c r="E424" s="34" t="inlineStr">
        <is>
          <t>Internet</t>
        </is>
      </c>
      <c r="F424" s="34" t="inlineStr">
        <is>
          <t>Conta Corrente Banco Azul</t>
        </is>
      </c>
      <c r="G424" s="34" t="inlineStr">
        <is>
          <t>Débito automático</t>
        </is>
      </c>
      <c r="H424" s="37" t="n"/>
      <c r="I424" s="37" t="n"/>
      <c r="J424" s="34" t="inlineStr">
        <is>
          <t>Pago</t>
        </is>
      </c>
      <c r="K424" s="34" t="n"/>
      <c r="L424" s="34" t="n"/>
      <c r="M424" s="39" t="inlineStr">
        <is>
          <t>EXEMPLO</t>
        </is>
      </c>
      <c r="N424" s="35" t="n">
        <v>129.9</v>
      </c>
      <c r="O424" s="40">
        <f>IF($A424="","",MONTH($A424))</f>
        <v>6</v>
      </c>
      <c r="P424" s="40">
        <f>IF($A424="","",YEAR($A424))</f>
        <v>2026</v>
      </c>
      <c r="Q424" s="41">
        <f>IF($A424="","",DATE(P424,O424,1))</f>
        <v>46174.0</v>
      </c>
      <c r="R424" s="36">
        <f>IF(OR($A424="",$N424=""),"",IF(AND($C424&lt;&gt;"Transferência",N($I424)&gt;1),$N424/$I424,$N424))</f>
        <v>129.9</v>
      </c>
      <c r="S424" s="41" t="str">
        <f>IF(OR($A424="",$F424="",$C424&lt;&gt;"Despesa"),"",IF(COUNTIF(Cartoes_Nome,$F424)=0,"",DATE(P424,O424+IF(DAY($A424)&gt;=INDEX(Cartoes_Fech,MATCH($F424,Cartoes_Nome,0)),1,0),1)))</f>
        <v/>
      </c>
      <c r="T424" s="42" t="str">
        <f>IF($A424="","",IF(COUNTIFS(L_Data,$A424,L_Desc,$B424,L_Valor,$N424,L_Tipo,$C424)&gt;1,"⚠ Possível duplicidade",IF(OR(AND($C424="Despesa",COUNTIF(CatD_Nome,$D424)=0),AND($C424="Receita",COUNTIF(CatR_Nome,$D424)=0)),"⚠ Categoria não combina com o tipo",IF(OR($N424="",$C424=""),"⚠ Falta valor ou tipo",""))))</f>
        <v/>
      </c>
      <c r="U424" s="40">
        <f>IF($A424="",0,P424*12+O424)</f>
        <v>24318</v>
      </c>
      <c r="V424" s="40">
        <f>IF($A424="",0,U424+MAX(0,N($I424)-MAX(N($H424),1)))</f>
        <v>24318</v>
      </c>
      <c r="W424" s="40">
        <f>IF(S424="",0,YEAR(S424)*12+MONTH(S424))</f>
        <v>0</v>
      </c>
      <c r="X424" s="40">
        <f>IF(W424=0,0,W424+V424-U424)</f>
        <v>0</v>
      </c>
      <c r="Y424" s="36">
        <f>IF(W424=0,0,N(R424)*MAX(0,X424-MAX(W424,YEAR(Cfg_Hoje)*12+MONTH(Cfg_Hoje)+IF(DAY(Cfg_Hoje)&gt;=INDEX(Cartoes_Fech,MATCH($F424,Cartoes_Nome,0)),1,0))+1))</f>
        <v>0</v>
      </c>
      <c r="Z424" s="40">
        <f>IF($A424="",0,DAY($A424))</f>
        <v>20</v>
      </c>
      <c r="AA424" s="40">
        <f>IF($A424="",0,WEEKDAY($A424))</f>
        <v>7</v>
      </c>
      <c r="AB424" s="36">
        <f>IF(AND($C424="Despesa",U424&gt;0,U424&lt;=Sel_Idx,V424&gt;=Sel_Idx),N(R424)+ROW()/1000000000,0)</f>
        <v>0</v>
      </c>
      <c r="AC424" s="40">
        <f>IF(AND($C424="Despesa",U424&gt;0,U424&lt;=Sel_Idx,V424&gt;=Sel_Idx),Z424*10000+ROW(),0)</f>
        <v>0</v>
      </c>
      <c r="AD424" s="40">
        <f>IF(AC424=0,0,COUNTIFS(L_CalChave,"&gt;0",L_CalChave,"&lt;"&amp;AC424)+1)</f>
        <v>0</v>
      </c>
    </row>
    <row r="425">
      <c r="A425" s="38" t="n">
        <v>46193</v>
      </c>
      <c r="B425" s="39" t="inlineStr">
        <is>
          <t>Parcela financiamento do carro</t>
        </is>
      </c>
      <c r="C425" s="34" t="inlineStr">
        <is>
          <t>Despesa</t>
        </is>
      </c>
      <c r="D425" s="34" t="inlineStr">
        <is>
          <t>Dívidas e Financiamentos</t>
        </is>
      </c>
      <c r="E425" s="34" t="inlineStr">
        <is>
          <t>Financiamento</t>
        </is>
      </c>
      <c r="F425" s="34" t="inlineStr">
        <is>
          <t>Conta Corrente Banco Azul</t>
        </is>
      </c>
      <c r="G425" s="34" t="inlineStr">
        <is>
          <t>Débito automático</t>
        </is>
      </c>
      <c r="H425" s="37" t="n"/>
      <c r="I425" s="37" t="n"/>
      <c r="J425" s="34" t="inlineStr">
        <is>
          <t>Pago</t>
        </is>
      </c>
      <c r="K425" s="34" t="n"/>
      <c r="L425" s="34" t="n"/>
      <c r="M425" s="39" t="inlineStr">
        <is>
          <t>EXEMPLO</t>
        </is>
      </c>
      <c r="N425" s="35" t="n">
        <v>1150</v>
      </c>
      <c r="O425" s="40">
        <f>IF($A425="","",MONTH($A425))</f>
        <v>6</v>
      </c>
      <c r="P425" s="40">
        <f>IF($A425="","",YEAR($A425))</f>
        <v>2026</v>
      </c>
      <c r="Q425" s="41">
        <f>IF($A425="","",DATE(P425,O425,1))</f>
        <v>46174.0</v>
      </c>
      <c r="R425" s="36">
        <f>IF(OR($A425="",$N425=""),"",IF(AND($C425&lt;&gt;"Transferência",N($I425)&gt;1),$N425/$I425,$N425))</f>
        <v>1150</v>
      </c>
      <c r="S425" s="41" t="str">
        <f>IF(OR($A425="",$F425="",$C425&lt;&gt;"Despesa"),"",IF(COUNTIF(Cartoes_Nome,$F425)=0,"",DATE(P425,O425+IF(DAY($A425)&gt;=INDEX(Cartoes_Fech,MATCH($F425,Cartoes_Nome,0)),1,0),1)))</f>
        <v/>
      </c>
      <c r="T425" s="42" t="str">
        <f>IF($A425="","",IF(COUNTIFS(L_Data,$A425,L_Desc,$B425,L_Valor,$N425,L_Tipo,$C425)&gt;1,"⚠ Possível duplicidade",IF(OR(AND($C425="Despesa",COUNTIF(CatD_Nome,$D425)=0),AND($C425="Receita",COUNTIF(CatR_Nome,$D425)=0)),"⚠ Categoria não combina com o tipo",IF(OR($N425="",$C425=""),"⚠ Falta valor ou tipo",""))))</f>
        <v/>
      </c>
      <c r="U425" s="40">
        <f>IF($A425="",0,P425*12+O425)</f>
        <v>24318</v>
      </c>
      <c r="V425" s="40">
        <f>IF($A425="",0,U425+MAX(0,N($I425)-MAX(N($H425),1)))</f>
        <v>24318</v>
      </c>
      <c r="W425" s="40">
        <f>IF(S425="",0,YEAR(S425)*12+MONTH(S425))</f>
        <v>0</v>
      </c>
      <c r="X425" s="40">
        <f>IF(W425=0,0,W425+V425-U425)</f>
        <v>0</v>
      </c>
      <c r="Y425" s="36">
        <f>IF(W425=0,0,N(R425)*MAX(0,X425-MAX(W425,YEAR(Cfg_Hoje)*12+MONTH(Cfg_Hoje)+IF(DAY(Cfg_Hoje)&gt;=INDEX(Cartoes_Fech,MATCH($F425,Cartoes_Nome,0)),1,0))+1))</f>
        <v>0</v>
      </c>
      <c r="Z425" s="40">
        <f>IF($A425="",0,DAY($A425))</f>
        <v>20</v>
      </c>
      <c r="AA425" s="40">
        <f>IF($A425="",0,WEEKDAY($A425))</f>
        <v>7</v>
      </c>
      <c r="AB425" s="36">
        <f>IF(AND($C425="Despesa",U425&gt;0,U425&lt;=Sel_Idx,V425&gt;=Sel_Idx),N(R425)+ROW()/1000000000,0)</f>
        <v>0</v>
      </c>
      <c r="AC425" s="40">
        <f>IF(AND($C425="Despesa",U425&gt;0,U425&lt;=Sel_Idx,V425&gt;=Sel_Idx),Z425*10000+ROW(),0)</f>
        <v>0</v>
      </c>
      <c r="AD425" s="40">
        <f>IF(AC425=0,0,COUNTIFS(L_CalChave,"&gt;0",L_CalChave,"&lt;"&amp;AC425)+1)</f>
        <v>0</v>
      </c>
    </row>
    <row r="426">
      <c r="A426" s="38" t="n">
        <v>46195</v>
      </c>
      <c r="B426" s="39" t="inlineStr">
        <is>
          <t>Combustível</t>
        </is>
      </c>
      <c r="C426" s="34" t="inlineStr">
        <is>
          <t>Despesa</t>
        </is>
      </c>
      <c r="D426" s="34" t="inlineStr">
        <is>
          <t>Transporte</t>
        </is>
      </c>
      <c r="E426" s="34" t="inlineStr">
        <is>
          <t>Combustível</t>
        </is>
      </c>
      <c r="F426" s="34" t="inlineStr">
        <is>
          <t>Cartão Roxinho</t>
        </is>
      </c>
      <c r="G426" s="34" t="inlineStr">
        <is>
          <t>Crédito</t>
        </is>
      </c>
      <c r="H426" s="37" t="n"/>
      <c r="I426" s="37" t="n"/>
      <c r="J426" s="34" t="inlineStr">
        <is>
          <t>Pago</t>
        </is>
      </c>
      <c r="K426" s="34" t="n"/>
      <c r="L426" s="34" t="n"/>
      <c r="M426" s="39" t="inlineStr">
        <is>
          <t>EXEMPLO</t>
        </is>
      </c>
      <c r="N426" s="35" t="n">
        <v>160.94</v>
      </c>
      <c r="O426" s="40">
        <f>IF($A426="","",MONTH($A426))</f>
        <v>6</v>
      </c>
      <c r="P426" s="40">
        <f>IF($A426="","",YEAR($A426))</f>
        <v>2026</v>
      </c>
      <c r="Q426" s="41">
        <f>IF($A426="","",DATE(P426,O426,1))</f>
        <v>46174.0</v>
      </c>
      <c r="R426" s="36">
        <f>IF(OR($A426="",$N426=""),"",IF(AND($C426&lt;&gt;"Transferência",N($I426)&gt;1),$N426/$I426,$N426))</f>
        <v>160.94</v>
      </c>
      <c r="S426" s="41">
        <f>IF(OR($A426="",$F426="",$C426&lt;&gt;"Despesa"),"",IF(COUNTIF(Cartoes_Nome,$F426)=0,"",DATE(P426,O426+IF(DAY($A426)&gt;=INDEX(Cartoes_Fech,MATCH($F426,Cartoes_Nome,0)),1,0),1)))</f>
        <v>46174.0</v>
      </c>
      <c r="T426" s="42" t="str">
        <f>IF($A426="","",IF(COUNTIFS(L_Data,$A426,L_Desc,$B426,L_Valor,$N426,L_Tipo,$C426)&gt;1,"⚠ Possível duplicidade",IF(OR(AND($C426="Despesa",COUNTIF(CatD_Nome,$D426)=0),AND($C426="Receita",COUNTIF(CatR_Nome,$D426)=0)),"⚠ Categoria não combina com o tipo",IF(OR($N426="",$C426=""),"⚠ Falta valor ou tipo",""))))</f>
        <v/>
      </c>
      <c r="U426" s="40">
        <f>IF($A426="",0,P426*12+O426)</f>
        <v>24318</v>
      </c>
      <c r="V426" s="40">
        <f>IF($A426="",0,U426+MAX(0,N($I426)-MAX(N($H426),1)))</f>
        <v>24318</v>
      </c>
      <c r="W426" s="40">
        <f>IF(S426="",0,YEAR(S426)*12+MONTH(S426))</f>
        <v>24318</v>
      </c>
      <c r="X426" s="40">
        <f>IF(W426=0,0,W426+V426-U426)</f>
        <v>24318</v>
      </c>
      <c r="Y426" s="36">
        <f>IF(W426=0,0,N(R426)*MAX(0,X426-MAX(W426,YEAR(Cfg_Hoje)*12+MONTH(Cfg_Hoje)+IF(DAY(Cfg_Hoje)&gt;=INDEX(Cartoes_Fech,MATCH($F426,Cartoes_Nome,0)),1,0))+1))</f>
        <v>0</v>
      </c>
      <c r="Z426" s="40">
        <f>IF($A426="",0,DAY($A426))</f>
        <v>22</v>
      </c>
      <c r="AA426" s="40">
        <f>IF($A426="",0,WEEKDAY($A426))</f>
        <v>2</v>
      </c>
      <c r="AB426" s="36">
        <f>IF(AND($C426="Despesa",U426&gt;0,U426&lt;=Sel_Idx,V426&gt;=Sel_Idx),N(R426)+ROW()/1000000000,0)</f>
        <v>0</v>
      </c>
      <c r="AC426" s="40">
        <f>IF(AND($C426="Despesa",U426&gt;0,U426&lt;=Sel_Idx,V426&gt;=Sel_Idx),Z426*10000+ROW(),0)</f>
        <v>0</v>
      </c>
      <c r="AD426" s="40">
        <f>IF(AC426=0,0,COUNTIFS(L_CalChave,"&gt;0",L_CalChave,"&lt;"&amp;AC426)+1)</f>
        <v>0</v>
      </c>
    </row>
    <row r="427">
      <c r="A427" s="38" t="n">
        <v>46195</v>
      </c>
      <c r="B427" s="39" t="inlineStr">
        <is>
          <t>Parcela empréstimo pessoal</t>
        </is>
      </c>
      <c r="C427" s="34" t="inlineStr">
        <is>
          <t>Despesa</t>
        </is>
      </c>
      <c r="D427" s="34" t="inlineStr">
        <is>
          <t>Dívidas e Financiamentos</t>
        </is>
      </c>
      <c r="E427" s="34" t="inlineStr">
        <is>
          <t>Empréstimo</t>
        </is>
      </c>
      <c r="F427" s="34" t="inlineStr">
        <is>
          <t>Conta Corrente Banco Azul</t>
        </is>
      </c>
      <c r="G427" s="34" t="inlineStr">
        <is>
          <t>Débito automático</t>
        </is>
      </c>
      <c r="H427" s="37" t="n"/>
      <c r="I427" s="37" t="n"/>
      <c r="J427" s="34" t="inlineStr">
        <is>
          <t>Pago</t>
        </is>
      </c>
      <c r="K427" s="34" t="n"/>
      <c r="L427" s="34" t="n"/>
      <c r="M427" s="39" t="inlineStr">
        <is>
          <t>EXEMPLO</t>
        </is>
      </c>
      <c r="N427" s="35" t="n">
        <v>580</v>
      </c>
      <c r="O427" s="40">
        <f>IF($A427="","",MONTH($A427))</f>
        <v>6</v>
      </c>
      <c r="P427" s="40">
        <f>IF($A427="","",YEAR($A427))</f>
        <v>2026</v>
      </c>
      <c r="Q427" s="41">
        <f>IF($A427="","",DATE(P427,O427,1))</f>
        <v>46174.0</v>
      </c>
      <c r="R427" s="36">
        <f>IF(OR($A427="",$N427=""),"",IF(AND($C427&lt;&gt;"Transferência",N($I427)&gt;1),$N427/$I427,$N427))</f>
        <v>580</v>
      </c>
      <c r="S427" s="41" t="str">
        <f>IF(OR($A427="",$F427="",$C427&lt;&gt;"Despesa"),"",IF(COUNTIF(Cartoes_Nome,$F427)=0,"",DATE(P427,O427+IF(DAY($A427)&gt;=INDEX(Cartoes_Fech,MATCH($F427,Cartoes_Nome,0)),1,0),1)))</f>
        <v/>
      </c>
      <c r="T427" s="42" t="str">
        <f>IF($A427="","",IF(COUNTIFS(L_Data,$A427,L_Desc,$B427,L_Valor,$N427,L_Tipo,$C427)&gt;1,"⚠ Possível duplicidade",IF(OR(AND($C427="Despesa",COUNTIF(CatD_Nome,$D427)=0),AND($C427="Receita",COUNTIF(CatR_Nome,$D427)=0)),"⚠ Categoria não combina com o tipo",IF(OR($N427="",$C427=""),"⚠ Falta valor ou tipo",""))))</f>
        <v/>
      </c>
      <c r="U427" s="40">
        <f>IF($A427="",0,P427*12+O427)</f>
        <v>24318</v>
      </c>
      <c r="V427" s="40">
        <f>IF($A427="",0,U427+MAX(0,N($I427)-MAX(N($H427),1)))</f>
        <v>24318</v>
      </c>
      <c r="W427" s="40">
        <f>IF(S427="",0,YEAR(S427)*12+MONTH(S427))</f>
        <v>0</v>
      </c>
      <c r="X427" s="40">
        <f>IF(W427=0,0,W427+V427-U427)</f>
        <v>0</v>
      </c>
      <c r="Y427" s="36">
        <f>IF(W427=0,0,N(R427)*MAX(0,X427-MAX(W427,YEAR(Cfg_Hoje)*12+MONTH(Cfg_Hoje)+IF(DAY(Cfg_Hoje)&gt;=INDEX(Cartoes_Fech,MATCH($F427,Cartoes_Nome,0)),1,0))+1))</f>
        <v>0</v>
      </c>
      <c r="Z427" s="40">
        <f>IF($A427="",0,DAY($A427))</f>
        <v>22</v>
      </c>
      <c r="AA427" s="40">
        <f>IF($A427="",0,WEEKDAY($A427))</f>
        <v>2</v>
      </c>
      <c r="AB427" s="36">
        <f>IF(AND($C427="Despesa",U427&gt;0,U427&lt;=Sel_Idx,V427&gt;=Sel_Idx),N(R427)+ROW()/1000000000,0)</f>
        <v>0</v>
      </c>
      <c r="AC427" s="40">
        <f>IF(AND($C427="Despesa",U427&gt;0,U427&lt;=Sel_Idx,V427&gt;=Sel_Idx),Z427*10000+ROW(),0)</f>
        <v>0</v>
      </c>
      <c r="AD427" s="40">
        <f>IF(AC427=0,0,COUNTIFS(L_CalChave,"&gt;0",L_CalChave,"&lt;"&amp;AC427)+1)</f>
        <v>0</v>
      </c>
    </row>
    <row r="428">
      <c r="A428" s="38" t="n">
        <v>46197</v>
      </c>
      <c r="B428" s="39" t="inlineStr">
        <is>
          <t>Corrida de aplicativo</t>
        </is>
      </c>
      <c r="C428" s="34" t="inlineStr">
        <is>
          <t>Despesa</t>
        </is>
      </c>
      <c r="D428" s="34" t="inlineStr">
        <is>
          <t>Transporte</t>
        </is>
      </c>
      <c r="E428" s="34" t="inlineStr">
        <is>
          <t>App de transporte</t>
        </is>
      </c>
      <c r="F428" s="34" t="inlineStr">
        <is>
          <t>Conta Corrente Banco Azul</t>
        </is>
      </c>
      <c r="G428" s="34" t="inlineStr">
        <is>
          <t>Pix</t>
        </is>
      </c>
      <c r="H428" s="37" t="n"/>
      <c r="I428" s="37" t="n"/>
      <c r="J428" s="34" t="inlineStr">
        <is>
          <t>Pago</t>
        </is>
      </c>
      <c r="K428" s="34" t="n"/>
      <c r="L428" s="34" t="n"/>
      <c r="M428" s="39" t="inlineStr">
        <is>
          <t>EXEMPLO</t>
        </is>
      </c>
      <c r="N428" s="35" t="n">
        <v>37.71</v>
      </c>
      <c r="O428" s="40">
        <f>IF($A428="","",MONTH($A428))</f>
        <v>6</v>
      </c>
      <c r="P428" s="40">
        <f>IF($A428="","",YEAR($A428))</f>
        <v>2026</v>
      </c>
      <c r="Q428" s="41">
        <f>IF($A428="","",DATE(P428,O428,1))</f>
        <v>46174.0</v>
      </c>
      <c r="R428" s="36">
        <f>IF(OR($A428="",$N428=""),"",IF(AND($C428&lt;&gt;"Transferência",N($I428)&gt;1),$N428/$I428,$N428))</f>
        <v>37.71</v>
      </c>
      <c r="S428" s="41" t="str">
        <f>IF(OR($A428="",$F428="",$C428&lt;&gt;"Despesa"),"",IF(COUNTIF(Cartoes_Nome,$F428)=0,"",DATE(P428,O428+IF(DAY($A428)&gt;=INDEX(Cartoes_Fech,MATCH($F428,Cartoes_Nome,0)),1,0),1)))</f>
        <v/>
      </c>
      <c r="T428" s="42" t="str">
        <f>IF($A428="","",IF(COUNTIFS(L_Data,$A428,L_Desc,$B428,L_Valor,$N428,L_Tipo,$C428)&gt;1,"⚠ Possível duplicidade",IF(OR(AND($C428="Despesa",COUNTIF(CatD_Nome,$D428)=0),AND($C428="Receita",COUNTIF(CatR_Nome,$D428)=0)),"⚠ Categoria não combina com o tipo",IF(OR($N428="",$C428=""),"⚠ Falta valor ou tipo",""))))</f>
        <v/>
      </c>
      <c r="U428" s="40">
        <f>IF($A428="",0,P428*12+O428)</f>
        <v>24318</v>
      </c>
      <c r="V428" s="40">
        <f>IF($A428="",0,U428+MAX(0,N($I428)-MAX(N($H428),1)))</f>
        <v>24318</v>
      </c>
      <c r="W428" s="40">
        <f>IF(S428="",0,YEAR(S428)*12+MONTH(S428))</f>
        <v>0</v>
      </c>
      <c r="X428" s="40">
        <f>IF(W428=0,0,W428+V428-U428)</f>
        <v>0</v>
      </c>
      <c r="Y428" s="36">
        <f>IF(W428=0,0,N(R428)*MAX(0,X428-MAX(W428,YEAR(Cfg_Hoje)*12+MONTH(Cfg_Hoje)+IF(DAY(Cfg_Hoje)&gt;=INDEX(Cartoes_Fech,MATCH($F428,Cartoes_Nome,0)),1,0))+1))</f>
        <v>0</v>
      </c>
      <c r="Z428" s="40">
        <f>IF($A428="",0,DAY($A428))</f>
        <v>24</v>
      </c>
      <c r="AA428" s="40">
        <f>IF($A428="",0,WEEKDAY($A428))</f>
        <v>4</v>
      </c>
      <c r="AB428" s="36">
        <f>IF(AND($C428="Despesa",U428&gt;0,U428&lt;=Sel_Idx,V428&gt;=Sel_Idx),N(R428)+ROW()/1000000000,0)</f>
        <v>0</v>
      </c>
      <c r="AC428" s="40">
        <f>IF(AND($C428="Despesa",U428&gt;0,U428&lt;=Sel_Idx,V428&gt;=Sel_Idx),Z428*10000+ROW(),0)</f>
        <v>0</v>
      </c>
      <c r="AD428" s="40">
        <f>IF(AC428=0,0,COUNTIFS(L_CalChave,"&gt;0",L_CalChave,"&lt;"&amp;AC428)+1)</f>
        <v>0</v>
      </c>
    </row>
    <row r="429">
      <c r="A429" s="38" t="n">
        <v>46198</v>
      </c>
      <c r="B429" s="39" t="inlineStr">
        <is>
          <t>Parcela renegociação da fatura</t>
        </is>
      </c>
      <c r="C429" s="34" t="inlineStr">
        <is>
          <t>Despesa</t>
        </is>
      </c>
      <c r="D429" s="34" t="inlineStr">
        <is>
          <t>Dívidas e Financiamentos</t>
        </is>
      </c>
      <c r="E429" s="34" t="n"/>
      <c r="F429" s="34" t="inlineStr">
        <is>
          <t>Conta Corrente Banco Azul</t>
        </is>
      </c>
      <c r="G429" s="34" t="inlineStr">
        <is>
          <t>Boleto</t>
        </is>
      </c>
      <c r="H429" s="37" t="n"/>
      <c r="I429" s="37" t="n"/>
      <c r="J429" s="34" t="inlineStr">
        <is>
          <t>Pago</t>
        </is>
      </c>
      <c r="K429" s="34" t="n"/>
      <c r="L429" s="34" t="n"/>
      <c r="M429" s="39" t="inlineStr">
        <is>
          <t>EXEMPLO</t>
        </is>
      </c>
      <c r="N429" s="35" t="n">
        <v>460</v>
      </c>
      <c r="O429" s="40">
        <f>IF($A429="","",MONTH($A429))</f>
        <v>6</v>
      </c>
      <c r="P429" s="40">
        <f>IF($A429="","",YEAR($A429))</f>
        <v>2026</v>
      </c>
      <c r="Q429" s="41">
        <f>IF($A429="","",DATE(P429,O429,1))</f>
        <v>46174.0</v>
      </c>
      <c r="R429" s="36">
        <f>IF(OR($A429="",$N429=""),"",IF(AND($C429&lt;&gt;"Transferência",N($I429)&gt;1),$N429/$I429,$N429))</f>
        <v>460</v>
      </c>
      <c r="S429" s="41" t="str">
        <f>IF(OR($A429="",$F429="",$C429&lt;&gt;"Despesa"),"",IF(COUNTIF(Cartoes_Nome,$F429)=0,"",DATE(P429,O429+IF(DAY($A429)&gt;=INDEX(Cartoes_Fech,MATCH($F429,Cartoes_Nome,0)),1,0),1)))</f>
        <v/>
      </c>
      <c r="T429" s="42" t="str">
        <f>IF($A429="","",IF(COUNTIFS(L_Data,$A429,L_Desc,$B429,L_Valor,$N429,L_Tipo,$C429)&gt;1,"⚠ Possível duplicidade",IF(OR(AND($C429="Despesa",COUNTIF(CatD_Nome,$D429)=0),AND($C429="Receita",COUNTIF(CatR_Nome,$D429)=0)),"⚠ Categoria não combina com o tipo",IF(OR($N429="",$C429=""),"⚠ Falta valor ou tipo",""))))</f>
        <v/>
      </c>
      <c r="U429" s="40">
        <f>IF($A429="",0,P429*12+O429)</f>
        <v>24318</v>
      </c>
      <c r="V429" s="40">
        <f>IF($A429="",0,U429+MAX(0,N($I429)-MAX(N($H429),1)))</f>
        <v>24318</v>
      </c>
      <c r="W429" s="40">
        <f>IF(S429="",0,YEAR(S429)*12+MONTH(S429))</f>
        <v>0</v>
      </c>
      <c r="X429" s="40">
        <f>IF(W429=0,0,W429+V429-U429)</f>
        <v>0</v>
      </c>
      <c r="Y429" s="36">
        <f>IF(W429=0,0,N(R429)*MAX(0,X429-MAX(W429,YEAR(Cfg_Hoje)*12+MONTH(Cfg_Hoje)+IF(DAY(Cfg_Hoje)&gt;=INDEX(Cartoes_Fech,MATCH($F429,Cartoes_Nome,0)),1,0))+1))</f>
        <v>0</v>
      </c>
      <c r="Z429" s="40">
        <f>IF($A429="",0,DAY($A429))</f>
        <v>25</v>
      </c>
      <c r="AA429" s="40">
        <f>IF($A429="",0,WEEKDAY($A429))</f>
        <v>5</v>
      </c>
      <c r="AB429" s="36">
        <f>IF(AND($C429="Despesa",U429&gt;0,U429&lt;=Sel_Idx,V429&gt;=Sel_Idx),N(R429)+ROW()/1000000000,0)</f>
        <v>0</v>
      </c>
      <c r="AC429" s="40">
        <f>IF(AND($C429="Despesa",U429&gt;0,U429&lt;=Sel_Idx,V429&gt;=Sel_Idx),Z429*10000+ROW(),0)</f>
        <v>0</v>
      </c>
      <c r="AD429" s="40">
        <f>IF(AC429=0,0,COUNTIFS(L_CalChave,"&gt;0",L_CalChave,"&lt;"&amp;AC429)+1)</f>
        <v>0</v>
      </c>
    </row>
    <row r="430">
      <c r="A430" s="38" t="n">
        <v>46198</v>
      </c>
      <c r="B430" s="39" t="inlineStr">
        <is>
          <t>Restaurante</t>
        </is>
      </c>
      <c r="C430" s="34" t="inlineStr">
        <is>
          <t>Despesa</t>
        </is>
      </c>
      <c r="D430" s="34" t="inlineStr">
        <is>
          <t>Alimentação</t>
        </is>
      </c>
      <c r="E430" s="34" t="inlineStr">
        <is>
          <t>Delivery</t>
        </is>
      </c>
      <c r="F430" s="34" t="inlineStr">
        <is>
          <t>Cartão Azul Gold</t>
        </is>
      </c>
      <c r="G430" s="34" t="inlineStr">
        <is>
          <t>Crédito</t>
        </is>
      </c>
      <c r="H430" s="37" t="n"/>
      <c r="I430" s="37" t="n"/>
      <c r="J430" s="34" t="inlineStr">
        <is>
          <t>Pago</t>
        </is>
      </c>
      <c r="K430" s="34" t="n"/>
      <c r="L430" s="34" t="n"/>
      <c r="M430" s="39" t="inlineStr">
        <is>
          <t>EXEMPLO</t>
        </is>
      </c>
      <c r="N430" s="35" t="n">
        <v>58.57</v>
      </c>
      <c r="O430" s="40">
        <f>IF($A430="","",MONTH($A430))</f>
        <v>6</v>
      </c>
      <c r="P430" s="40">
        <f>IF($A430="","",YEAR($A430))</f>
        <v>2026</v>
      </c>
      <c r="Q430" s="41">
        <f>IF($A430="","",DATE(P430,O430,1))</f>
        <v>46174.0</v>
      </c>
      <c r="R430" s="36">
        <f>IF(OR($A430="",$N430=""),"",IF(AND($C430&lt;&gt;"Transferência",N($I430)&gt;1),$N430/$I430,$N430))</f>
        <v>58.57</v>
      </c>
      <c r="S430" s="41">
        <f>IF(OR($A430="",$F430="",$C430&lt;&gt;"Despesa"),"",IF(COUNTIF(Cartoes_Nome,$F430)=0,"",DATE(P430,O430+IF(DAY($A430)&gt;=INDEX(Cartoes_Fech,MATCH($F430,Cartoes_Nome,0)),1,0),1)))</f>
        <v>46204.0</v>
      </c>
      <c r="T430" s="42" t="str">
        <f>IF($A430="","",IF(COUNTIFS(L_Data,$A430,L_Desc,$B430,L_Valor,$N430,L_Tipo,$C430)&gt;1,"⚠ Possível duplicidade",IF(OR(AND($C430="Despesa",COUNTIF(CatD_Nome,$D430)=0),AND($C430="Receita",COUNTIF(CatR_Nome,$D430)=0)),"⚠ Categoria não combina com o tipo",IF(OR($N430="",$C430=""),"⚠ Falta valor ou tipo",""))))</f>
        <v/>
      </c>
      <c r="U430" s="40">
        <f>IF($A430="",0,P430*12+O430)</f>
        <v>24318</v>
      </c>
      <c r="V430" s="40">
        <f>IF($A430="",0,U430+MAX(0,N($I430)-MAX(N($H430),1)))</f>
        <v>24318</v>
      </c>
      <c r="W430" s="40">
        <f>IF(S430="",0,YEAR(S430)*12+MONTH(S430))</f>
        <v>24319</v>
      </c>
      <c r="X430" s="40">
        <f>IF(W430=0,0,W430+V430-U430)</f>
        <v>24319</v>
      </c>
      <c r="Y430" s="36">
        <f>IF(W430=0,0,N(R430)*MAX(0,X430-MAX(W430,YEAR(Cfg_Hoje)*12+MONTH(Cfg_Hoje)+IF(DAY(Cfg_Hoje)&gt;=INDEX(Cartoes_Fech,MATCH($F430,Cartoes_Nome,0)),1,0))+1))</f>
        <v>0</v>
      </c>
      <c r="Z430" s="40">
        <f>IF($A430="",0,DAY($A430))</f>
        <v>25</v>
      </c>
      <c r="AA430" s="40">
        <f>IF($A430="",0,WEEKDAY($A430))</f>
        <v>5</v>
      </c>
      <c r="AB430" s="36">
        <f>IF(AND($C430="Despesa",U430&gt;0,U430&lt;=Sel_Idx,V430&gt;=Sel_Idx),N(R430)+ROW()/1000000000,0)</f>
        <v>0</v>
      </c>
      <c r="AC430" s="40">
        <f>IF(AND($C430="Despesa",U430&gt;0,U430&lt;=Sel_Idx,V430&gt;=Sel_Idx),Z430*10000+ROW(),0)</f>
        <v>0</v>
      </c>
      <c r="AD430" s="40">
        <f>IF(AC430=0,0,COUNTIFS(L_CalChave,"&gt;0",L_CalChave,"&lt;"&amp;AC430)+1)</f>
        <v>0</v>
      </c>
    </row>
    <row r="431">
      <c r="A431" s="38" t="n">
        <v>46198</v>
      </c>
      <c r="B431" s="39" t="inlineStr">
        <is>
          <t>Show</t>
        </is>
      </c>
      <c r="C431" s="34" t="inlineStr">
        <is>
          <t>Despesa</t>
        </is>
      </c>
      <c r="D431" s="34" t="inlineStr">
        <is>
          <t>Lazer</t>
        </is>
      </c>
      <c r="E431" s="34" t="inlineStr">
        <is>
          <t>Bares</t>
        </is>
      </c>
      <c r="F431" s="34" t="inlineStr">
        <is>
          <t>Cartão Azul Gold</t>
        </is>
      </c>
      <c r="G431" s="34" t="inlineStr">
        <is>
          <t>Crédito</t>
        </is>
      </c>
      <c r="H431" s="37" t="n"/>
      <c r="I431" s="37" t="n"/>
      <c r="J431" s="34" t="inlineStr">
        <is>
          <t>Pago</t>
        </is>
      </c>
      <c r="K431" s="34" t="n"/>
      <c r="L431" s="34" t="n"/>
      <c r="M431" s="39" t="inlineStr">
        <is>
          <t>EXEMPLO</t>
        </is>
      </c>
      <c r="N431" s="35" t="n">
        <v>87.67</v>
      </c>
      <c r="O431" s="40">
        <f>IF($A431="","",MONTH($A431))</f>
        <v>6</v>
      </c>
      <c r="P431" s="40">
        <f>IF($A431="","",YEAR($A431))</f>
        <v>2026</v>
      </c>
      <c r="Q431" s="41">
        <f>IF($A431="","",DATE(P431,O431,1))</f>
        <v>46174.0</v>
      </c>
      <c r="R431" s="36">
        <f>IF(OR($A431="",$N431=""),"",IF(AND($C431&lt;&gt;"Transferência",N($I431)&gt;1),$N431/$I431,$N431))</f>
        <v>87.67</v>
      </c>
      <c r="S431" s="41">
        <f>IF(OR($A431="",$F431="",$C431&lt;&gt;"Despesa"),"",IF(COUNTIF(Cartoes_Nome,$F431)=0,"",DATE(P431,O431+IF(DAY($A431)&gt;=INDEX(Cartoes_Fech,MATCH($F431,Cartoes_Nome,0)),1,0),1)))</f>
        <v>46204.0</v>
      </c>
      <c r="T431" s="42" t="str">
        <f>IF($A431="","",IF(COUNTIFS(L_Data,$A431,L_Desc,$B431,L_Valor,$N431,L_Tipo,$C431)&gt;1,"⚠ Possível duplicidade",IF(OR(AND($C431="Despesa",COUNTIF(CatD_Nome,$D431)=0),AND($C431="Receita",COUNTIF(CatR_Nome,$D431)=0)),"⚠ Categoria não combina com o tipo",IF(OR($N431="",$C431=""),"⚠ Falta valor ou tipo",""))))</f>
        <v/>
      </c>
      <c r="U431" s="40">
        <f>IF($A431="",0,P431*12+O431)</f>
        <v>24318</v>
      </c>
      <c r="V431" s="40">
        <f>IF($A431="",0,U431+MAX(0,N($I431)-MAX(N($H431),1)))</f>
        <v>24318</v>
      </c>
      <c r="W431" s="40">
        <f>IF(S431="",0,YEAR(S431)*12+MONTH(S431))</f>
        <v>24319</v>
      </c>
      <c r="X431" s="40">
        <f>IF(W431=0,0,W431+V431-U431)</f>
        <v>24319</v>
      </c>
      <c r="Y431" s="36">
        <f>IF(W431=0,0,N(R431)*MAX(0,X431-MAX(W431,YEAR(Cfg_Hoje)*12+MONTH(Cfg_Hoje)+IF(DAY(Cfg_Hoje)&gt;=INDEX(Cartoes_Fech,MATCH($F431,Cartoes_Nome,0)),1,0))+1))</f>
        <v>0</v>
      </c>
      <c r="Z431" s="40">
        <f>IF($A431="",0,DAY($A431))</f>
        <v>25</v>
      </c>
      <c r="AA431" s="40">
        <f>IF($A431="",0,WEEKDAY($A431))</f>
        <v>5</v>
      </c>
      <c r="AB431" s="36">
        <f>IF(AND($C431="Despesa",U431&gt;0,U431&lt;=Sel_Idx,V431&gt;=Sel_Idx),N(R431)+ROW()/1000000000,0)</f>
        <v>0</v>
      </c>
      <c r="AC431" s="40">
        <f>IF(AND($C431="Despesa",U431&gt;0,U431&lt;=Sel_Idx,V431&gt;=Sel_Idx),Z431*10000+ROW(),0)</f>
        <v>0</v>
      </c>
      <c r="AD431" s="40">
        <f>IF(AC431=0,0,COUNTIFS(L_CalChave,"&gt;0",L_CalChave,"&lt;"&amp;AC431)+1)</f>
        <v>0</v>
      </c>
    </row>
    <row r="432">
      <c r="A432" s="38" t="n">
        <v>46199</v>
      </c>
      <c r="B432" s="39" t="inlineStr">
        <is>
          <t>Supermercado</t>
        </is>
      </c>
      <c r="C432" s="34" t="inlineStr">
        <is>
          <t>Despesa</t>
        </is>
      </c>
      <c r="D432" s="34" t="inlineStr">
        <is>
          <t>Alimentação</t>
        </is>
      </c>
      <c r="E432" s="34" t="inlineStr">
        <is>
          <t>Mercado</t>
        </is>
      </c>
      <c r="F432" s="34" t="inlineStr">
        <is>
          <t>Cartão Azul Gold</t>
        </is>
      </c>
      <c r="G432" s="34" t="inlineStr">
        <is>
          <t>Crédito</t>
        </is>
      </c>
      <c r="H432" s="37" t="n"/>
      <c r="I432" s="37" t="n"/>
      <c r="J432" s="34" t="inlineStr">
        <is>
          <t>Pago</t>
        </is>
      </c>
      <c r="K432" s="34" t="n"/>
      <c r="L432" s="34" t="n"/>
      <c r="M432" s="39" t="inlineStr">
        <is>
          <t>EXEMPLO</t>
        </is>
      </c>
      <c r="N432" s="35" t="n">
        <v>335.56</v>
      </c>
      <c r="O432" s="40">
        <f>IF($A432="","",MONTH($A432))</f>
        <v>6</v>
      </c>
      <c r="P432" s="40">
        <f>IF($A432="","",YEAR($A432))</f>
        <v>2026</v>
      </c>
      <c r="Q432" s="41">
        <f>IF($A432="","",DATE(P432,O432,1))</f>
        <v>46174.0</v>
      </c>
      <c r="R432" s="36">
        <f>IF(OR($A432="",$N432=""),"",IF(AND($C432&lt;&gt;"Transferência",N($I432)&gt;1),$N432/$I432,$N432))</f>
        <v>335.56</v>
      </c>
      <c r="S432" s="41">
        <f>IF(OR($A432="",$F432="",$C432&lt;&gt;"Despesa"),"",IF(COUNTIF(Cartoes_Nome,$F432)=0,"",DATE(P432,O432+IF(DAY($A432)&gt;=INDEX(Cartoes_Fech,MATCH($F432,Cartoes_Nome,0)),1,0),1)))</f>
        <v>46204.0</v>
      </c>
      <c r="T432" s="42" t="str">
        <f>IF($A432="","",IF(COUNTIFS(L_Data,$A432,L_Desc,$B432,L_Valor,$N432,L_Tipo,$C432)&gt;1,"⚠ Possível duplicidade",IF(OR(AND($C432="Despesa",COUNTIF(CatD_Nome,$D432)=0),AND($C432="Receita",COUNTIF(CatR_Nome,$D432)=0)),"⚠ Categoria não combina com o tipo",IF(OR($N432="",$C432=""),"⚠ Falta valor ou tipo",""))))</f>
        <v/>
      </c>
      <c r="U432" s="40">
        <f>IF($A432="",0,P432*12+O432)</f>
        <v>24318</v>
      </c>
      <c r="V432" s="40">
        <f>IF($A432="",0,U432+MAX(0,N($I432)-MAX(N($H432),1)))</f>
        <v>24318</v>
      </c>
      <c r="W432" s="40">
        <f>IF(S432="",0,YEAR(S432)*12+MONTH(S432))</f>
        <v>24319</v>
      </c>
      <c r="X432" s="40">
        <f>IF(W432=0,0,W432+V432-U432)</f>
        <v>24319</v>
      </c>
      <c r="Y432" s="36">
        <f>IF(W432=0,0,N(R432)*MAX(0,X432-MAX(W432,YEAR(Cfg_Hoje)*12+MONTH(Cfg_Hoje)+IF(DAY(Cfg_Hoje)&gt;=INDEX(Cartoes_Fech,MATCH($F432,Cartoes_Nome,0)),1,0))+1))</f>
        <v>0</v>
      </c>
      <c r="Z432" s="40">
        <f>IF($A432="",0,DAY($A432))</f>
        <v>26</v>
      </c>
      <c r="AA432" s="40">
        <f>IF($A432="",0,WEEKDAY($A432))</f>
        <v>6</v>
      </c>
      <c r="AB432" s="36">
        <f>IF(AND($C432="Despesa",U432&gt;0,U432&lt;=Sel_Idx,V432&gt;=Sel_Idx),N(R432)+ROW()/1000000000,0)</f>
        <v>0</v>
      </c>
      <c r="AC432" s="40">
        <f>IF(AND($C432="Despesa",U432&gt;0,U432&lt;=Sel_Idx,V432&gt;=Sel_Idx),Z432*10000+ROW(),0)</f>
        <v>0</v>
      </c>
      <c r="AD432" s="40">
        <f>IF(AC432=0,0,COUNTIFS(L_CalChave,"&gt;0",L_CalChave,"&lt;"&amp;AC432)+1)</f>
        <v>0</v>
      </c>
    </row>
    <row r="433">
      <c r="A433" s="38" t="n">
        <v>46200</v>
      </c>
      <c r="B433" s="39" t="inlineStr">
        <is>
          <t>Roupas</t>
        </is>
      </c>
      <c r="C433" s="34" t="inlineStr">
        <is>
          <t>Despesa</t>
        </is>
      </c>
      <c r="D433" s="34" t="inlineStr">
        <is>
          <t>Vestuário</t>
        </is>
      </c>
      <c r="E433" s="34" t="inlineStr">
        <is>
          <t>Roupas</t>
        </is>
      </c>
      <c r="F433" s="34" t="inlineStr">
        <is>
          <t>Cartão Roxinho</t>
        </is>
      </c>
      <c r="G433" s="34" t="inlineStr">
        <is>
          <t>Crédito</t>
        </is>
      </c>
      <c r="H433" s="37" t="n"/>
      <c r="I433" s="37" t="n"/>
      <c r="J433" s="34" t="inlineStr">
        <is>
          <t>Pago</t>
        </is>
      </c>
      <c r="K433" s="34" t="n"/>
      <c r="L433" s="34" t="n"/>
      <c r="M433" s="39" t="inlineStr">
        <is>
          <t>EXEMPLO</t>
        </is>
      </c>
      <c r="N433" s="35" t="n">
        <v>246.01</v>
      </c>
      <c r="O433" s="40">
        <f>IF($A433="","",MONTH($A433))</f>
        <v>6</v>
      </c>
      <c r="P433" s="40">
        <f>IF($A433="","",YEAR($A433))</f>
        <v>2026</v>
      </c>
      <c r="Q433" s="41">
        <f>IF($A433="","",DATE(P433,O433,1))</f>
        <v>46174.0</v>
      </c>
      <c r="R433" s="36">
        <f>IF(OR($A433="",$N433=""),"",IF(AND($C433&lt;&gt;"Transferência",N($I433)&gt;1),$N433/$I433,$N433))</f>
        <v>246.01</v>
      </c>
      <c r="S433" s="41">
        <f>IF(OR($A433="",$F433="",$C433&lt;&gt;"Despesa"),"",IF(COUNTIF(Cartoes_Nome,$F433)=0,"",DATE(P433,O433+IF(DAY($A433)&gt;=INDEX(Cartoes_Fech,MATCH($F433,Cartoes_Nome,0)),1,0),1)))</f>
        <v>46204.0</v>
      </c>
      <c r="T433" s="42" t="str">
        <f>IF($A433="","",IF(COUNTIFS(L_Data,$A433,L_Desc,$B433,L_Valor,$N433,L_Tipo,$C433)&gt;1,"⚠ Possível duplicidade",IF(OR(AND($C433="Despesa",COUNTIF(CatD_Nome,$D433)=0),AND($C433="Receita",COUNTIF(CatR_Nome,$D433)=0)),"⚠ Categoria não combina com o tipo",IF(OR($N433="",$C433=""),"⚠ Falta valor ou tipo",""))))</f>
        <v/>
      </c>
      <c r="U433" s="40">
        <f>IF($A433="",0,P433*12+O433)</f>
        <v>24318</v>
      </c>
      <c r="V433" s="40">
        <f>IF($A433="",0,U433+MAX(0,N($I433)-MAX(N($H433),1)))</f>
        <v>24318</v>
      </c>
      <c r="W433" s="40">
        <f>IF(S433="",0,YEAR(S433)*12+MONTH(S433))</f>
        <v>24319</v>
      </c>
      <c r="X433" s="40">
        <f>IF(W433=0,0,W433+V433-U433)</f>
        <v>24319</v>
      </c>
      <c r="Y433" s="36">
        <f>IF(W433=0,0,N(R433)*MAX(0,X433-MAX(W433,YEAR(Cfg_Hoje)*12+MONTH(Cfg_Hoje)+IF(DAY(Cfg_Hoje)&gt;=INDEX(Cartoes_Fech,MATCH($F433,Cartoes_Nome,0)),1,0))+1))</f>
        <v>0</v>
      </c>
      <c r="Z433" s="40">
        <f>IF($A433="",0,DAY($A433))</f>
        <v>27</v>
      </c>
      <c r="AA433" s="40">
        <f>IF($A433="",0,WEEKDAY($A433))</f>
        <v>7</v>
      </c>
      <c r="AB433" s="36">
        <f>IF(AND($C433="Despesa",U433&gt;0,U433&lt;=Sel_Idx,V433&gt;=Sel_Idx),N(R433)+ROW()/1000000000,0)</f>
        <v>0</v>
      </c>
      <c r="AC433" s="40">
        <f>IF(AND($C433="Despesa",U433&gt;0,U433&lt;=Sel_Idx,V433&gt;=Sel_Idx),Z433*10000+ROW(),0)</f>
        <v>0</v>
      </c>
      <c r="AD433" s="40">
        <f>IF(AC433=0,0,COUNTIFS(L_CalChave,"&gt;0",L_CalChave,"&lt;"&amp;AC433)+1)</f>
        <v>0</v>
      </c>
    </row>
    <row r="434">
      <c r="A434" s="38" t="n">
        <v>46201</v>
      </c>
      <c r="B434" s="39" t="inlineStr">
        <is>
          <t>Rendimento da poupança</t>
        </is>
      </c>
      <c r="C434" s="34" t="inlineStr">
        <is>
          <t>Receita</t>
        </is>
      </c>
      <c r="D434" s="34" t="inlineStr">
        <is>
          <t>Rendimentos</t>
        </is>
      </c>
      <c r="E434" s="34" t="n"/>
      <c r="F434" s="34" t="inlineStr">
        <is>
          <t>Poupança Banco Azul</t>
        </is>
      </c>
      <c r="G434" s="34" t="inlineStr">
        <is>
          <t>Transferência</t>
        </is>
      </c>
      <c r="H434" s="37" t="n"/>
      <c r="I434" s="37" t="n"/>
      <c r="J434" s="34" t="inlineStr">
        <is>
          <t>Pago</t>
        </is>
      </c>
      <c r="K434" s="34" t="n"/>
      <c r="L434" s="34" t="n"/>
      <c r="M434" s="39" t="inlineStr">
        <is>
          <t>EXEMPLO</t>
        </is>
      </c>
      <c r="N434" s="35" t="n">
        <v>68.69</v>
      </c>
      <c r="O434" s="40">
        <f>IF($A434="","",MONTH($A434))</f>
        <v>6</v>
      </c>
      <c r="P434" s="40">
        <f>IF($A434="","",YEAR($A434))</f>
        <v>2026</v>
      </c>
      <c r="Q434" s="41">
        <f>IF($A434="","",DATE(P434,O434,1))</f>
        <v>46174.0</v>
      </c>
      <c r="R434" s="36">
        <f>IF(OR($A434="",$N434=""),"",IF(AND($C434&lt;&gt;"Transferência",N($I434)&gt;1),$N434/$I434,$N434))</f>
        <v>68.69</v>
      </c>
      <c r="S434" s="41" t="str">
        <f>IF(OR($A434="",$F434="",$C434&lt;&gt;"Despesa"),"",IF(COUNTIF(Cartoes_Nome,$F434)=0,"",DATE(P434,O434+IF(DAY($A434)&gt;=INDEX(Cartoes_Fech,MATCH($F434,Cartoes_Nome,0)),1,0),1)))</f>
        <v/>
      </c>
      <c r="T434" s="42" t="str">
        <f>IF($A434="","",IF(COUNTIFS(L_Data,$A434,L_Desc,$B434,L_Valor,$N434,L_Tipo,$C434)&gt;1,"⚠ Possível duplicidade",IF(OR(AND($C434="Despesa",COUNTIF(CatD_Nome,$D434)=0),AND($C434="Receita",COUNTIF(CatR_Nome,$D434)=0)),"⚠ Categoria não combina com o tipo",IF(OR($N434="",$C434=""),"⚠ Falta valor ou tipo",""))))</f>
        <v/>
      </c>
      <c r="U434" s="40">
        <f>IF($A434="",0,P434*12+O434)</f>
        <v>24318</v>
      </c>
      <c r="V434" s="40">
        <f>IF($A434="",0,U434+MAX(0,N($I434)-MAX(N($H434),1)))</f>
        <v>24318</v>
      </c>
      <c r="W434" s="40">
        <f>IF(S434="",0,YEAR(S434)*12+MONTH(S434))</f>
        <v>0</v>
      </c>
      <c r="X434" s="40">
        <f>IF(W434=0,0,W434+V434-U434)</f>
        <v>0</v>
      </c>
      <c r="Y434" s="36">
        <f>IF(W434=0,0,N(R434)*MAX(0,X434-MAX(W434,YEAR(Cfg_Hoje)*12+MONTH(Cfg_Hoje)+IF(DAY(Cfg_Hoje)&gt;=INDEX(Cartoes_Fech,MATCH($F434,Cartoes_Nome,0)),1,0))+1))</f>
        <v>0</v>
      </c>
      <c r="Z434" s="40">
        <f>IF($A434="",0,DAY($A434))</f>
        <v>28</v>
      </c>
      <c r="AA434" s="40">
        <f>IF($A434="",0,WEEKDAY($A434))</f>
        <v>1</v>
      </c>
      <c r="AB434" s="36">
        <f>IF(AND($C434="Despesa",U434&gt;0,U434&lt;=Sel_Idx,V434&gt;=Sel_Idx),N(R434)+ROW()/1000000000,0)</f>
        <v>0</v>
      </c>
      <c r="AC434" s="40">
        <f>IF(AND($C434="Despesa",U434&gt;0,U434&lt;=Sel_Idx,V434&gt;=Sel_Idx),Z434*10000+ROW(),0)</f>
        <v>0</v>
      </c>
      <c r="AD434" s="40">
        <f>IF(AC434=0,0,COUNTIFS(L_CalChave,"&gt;0",L_CalChave,"&lt;"&amp;AC434)+1)</f>
        <v>0</v>
      </c>
    </row>
    <row r="435">
      <c r="A435" s="38" t="n">
        <v>46206</v>
      </c>
      <c r="B435" s="39" t="inlineStr">
        <is>
          <t>Academia</t>
        </is>
      </c>
      <c r="C435" s="34" t="inlineStr">
        <is>
          <t>Despesa</t>
        </is>
      </c>
      <c r="D435" s="34" t="inlineStr">
        <is>
          <t>Assinaturas</t>
        </is>
      </c>
      <c r="E435" s="34" t="inlineStr">
        <is>
          <t>Academia</t>
        </is>
      </c>
      <c r="F435" s="34" t="inlineStr">
        <is>
          <t>Conta Corrente Banco Azul</t>
        </is>
      </c>
      <c r="G435" s="34" t="inlineStr">
        <is>
          <t>Débito automático</t>
        </is>
      </c>
      <c r="H435" s="37" t="n"/>
      <c r="I435" s="37" t="n"/>
      <c r="J435" s="34" t="inlineStr">
        <is>
          <t>Pago</t>
        </is>
      </c>
      <c r="K435" s="34" t="n"/>
      <c r="L435" s="34" t="n"/>
      <c r="M435" s="39" t="inlineStr">
        <is>
          <t>EXEMPLO</t>
        </is>
      </c>
      <c r="N435" s="35" t="n">
        <v>129</v>
      </c>
      <c r="O435" s="40">
        <f>IF($A435="","",MONTH($A435))</f>
        <v>7</v>
      </c>
      <c r="P435" s="40">
        <f>IF($A435="","",YEAR($A435))</f>
        <v>2026</v>
      </c>
      <c r="Q435" s="41">
        <f>IF($A435="","",DATE(P435,O435,1))</f>
        <v>46204.0</v>
      </c>
      <c r="R435" s="36">
        <f>IF(OR($A435="",$N435=""),"",IF(AND($C435&lt;&gt;"Transferência",N($I435)&gt;1),$N435/$I435,$N435))</f>
        <v>129</v>
      </c>
      <c r="S435" s="41" t="str">
        <f>IF(OR($A435="",$F435="",$C435&lt;&gt;"Despesa"),"",IF(COUNTIF(Cartoes_Nome,$F435)=0,"",DATE(P435,O435+IF(DAY($A435)&gt;=INDEX(Cartoes_Fech,MATCH($F435,Cartoes_Nome,0)),1,0),1)))</f>
        <v/>
      </c>
      <c r="T435" s="42" t="str">
        <f>IF($A435="","",IF(COUNTIFS(L_Data,$A435,L_Desc,$B435,L_Valor,$N435,L_Tipo,$C435)&gt;1,"⚠ Possível duplicidade",IF(OR(AND($C435="Despesa",COUNTIF(CatD_Nome,$D435)=0),AND($C435="Receita",COUNTIF(CatR_Nome,$D435)=0)),"⚠ Categoria não combina com o tipo",IF(OR($N435="",$C435=""),"⚠ Falta valor ou tipo",""))))</f>
        <v/>
      </c>
      <c r="U435" s="40">
        <f>IF($A435="",0,P435*12+O435)</f>
        <v>24319</v>
      </c>
      <c r="V435" s="40">
        <f>IF($A435="",0,U435+MAX(0,N($I435)-MAX(N($H435),1)))</f>
        <v>24319</v>
      </c>
      <c r="W435" s="40">
        <f>IF(S435="",0,YEAR(S435)*12+MONTH(S435))</f>
        <v>0</v>
      </c>
      <c r="X435" s="40">
        <f>IF(W435=0,0,W435+V435-U435)</f>
        <v>0</v>
      </c>
      <c r="Y435" s="36">
        <f>IF(W435=0,0,N(R435)*MAX(0,X435-MAX(W435,YEAR(Cfg_Hoje)*12+MONTH(Cfg_Hoje)+IF(DAY(Cfg_Hoje)&gt;=INDEX(Cartoes_Fech,MATCH($F435,Cartoes_Nome,0)),1,0))+1))</f>
        <v>0</v>
      </c>
      <c r="Z435" s="40">
        <f>IF($A435="",0,DAY($A435))</f>
        <v>3</v>
      </c>
      <c r="AA435" s="40">
        <f>IF($A435="",0,WEEKDAY($A435))</f>
        <v>6</v>
      </c>
      <c r="AB435" s="36">
        <f>IF(AND($C435="Despesa",U435&gt;0,U435&lt;=Sel_Idx,V435&gt;=Sel_Idx),N(R435)+ROW()/1000000000,0)</f>
        <v>0</v>
      </c>
      <c r="AC435" s="40">
        <f>IF(AND($C435="Despesa",U435&gt;0,U435&lt;=Sel_Idx,V435&gt;=Sel_Idx),Z435*10000+ROW(),0)</f>
        <v>0</v>
      </c>
      <c r="AD435" s="40">
        <f>IF(AC435=0,0,COUNTIFS(L_CalChave,"&gt;0",L_CalChave,"&lt;"&amp;AC435)+1)</f>
        <v>0</v>
      </c>
    </row>
    <row r="436">
      <c r="A436" s="38" t="n">
        <v>46208</v>
      </c>
      <c r="B436" s="39" t="inlineStr">
        <is>
          <t>Corrida de aplicativo</t>
        </is>
      </c>
      <c r="C436" s="34" t="inlineStr">
        <is>
          <t>Despesa</t>
        </is>
      </c>
      <c r="D436" s="34" t="inlineStr">
        <is>
          <t>Transporte</t>
        </is>
      </c>
      <c r="E436" s="34" t="inlineStr">
        <is>
          <t>App de transporte</t>
        </is>
      </c>
      <c r="F436" s="34" t="inlineStr">
        <is>
          <t>Conta Corrente Banco Azul</t>
        </is>
      </c>
      <c r="G436" s="34" t="inlineStr">
        <is>
          <t>Pix</t>
        </is>
      </c>
      <c r="H436" s="37" t="n"/>
      <c r="I436" s="37" t="n"/>
      <c r="J436" s="34" t="inlineStr">
        <is>
          <t>Pago</t>
        </is>
      </c>
      <c r="K436" s="34" t="n"/>
      <c r="L436" s="34" t="n"/>
      <c r="M436" s="39" t="inlineStr">
        <is>
          <t>EXEMPLO</t>
        </is>
      </c>
      <c r="N436" s="35" t="n">
        <v>28.02</v>
      </c>
      <c r="O436" s="40">
        <f>IF($A436="","",MONTH($A436))</f>
        <v>7</v>
      </c>
      <c r="P436" s="40">
        <f>IF($A436="","",YEAR($A436))</f>
        <v>2026</v>
      </c>
      <c r="Q436" s="41">
        <f>IF($A436="","",DATE(P436,O436,1))</f>
        <v>46204.0</v>
      </c>
      <c r="R436" s="36">
        <f>IF(OR($A436="",$N436=""),"",IF(AND($C436&lt;&gt;"Transferência",N($I436)&gt;1),$N436/$I436,$N436))</f>
        <v>28.02</v>
      </c>
      <c r="S436" s="41" t="str">
        <f>IF(OR($A436="",$F436="",$C436&lt;&gt;"Despesa"),"",IF(COUNTIF(Cartoes_Nome,$F436)=0,"",DATE(P436,O436+IF(DAY($A436)&gt;=INDEX(Cartoes_Fech,MATCH($F436,Cartoes_Nome,0)),1,0),1)))</f>
        <v/>
      </c>
      <c r="T436" s="42" t="str">
        <f>IF($A436="","",IF(COUNTIFS(L_Data,$A436,L_Desc,$B436,L_Valor,$N436,L_Tipo,$C436)&gt;1,"⚠ Possível duplicidade",IF(OR(AND($C436="Despesa",COUNTIF(CatD_Nome,$D436)=0),AND($C436="Receita",COUNTIF(CatR_Nome,$D436)=0)),"⚠ Categoria não combina com o tipo",IF(OR($N436="",$C436=""),"⚠ Falta valor ou tipo",""))))</f>
        <v/>
      </c>
      <c r="U436" s="40">
        <f>IF($A436="",0,P436*12+O436)</f>
        <v>24319</v>
      </c>
      <c r="V436" s="40">
        <f>IF($A436="",0,U436+MAX(0,N($I436)-MAX(N($H436),1)))</f>
        <v>24319</v>
      </c>
      <c r="W436" s="40">
        <f>IF(S436="",0,YEAR(S436)*12+MONTH(S436))</f>
        <v>0</v>
      </c>
      <c r="X436" s="40">
        <f>IF(W436=0,0,W436+V436-U436)</f>
        <v>0</v>
      </c>
      <c r="Y436" s="36">
        <f>IF(W436=0,0,N(R436)*MAX(0,X436-MAX(W436,YEAR(Cfg_Hoje)*12+MONTH(Cfg_Hoje)+IF(DAY(Cfg_Hoje)&gt;=INDEX(Cartoes_Fech,MATCH($F436,Cartoes_Nome,0)),1,0))+1))</f>
        <v>0</v>
      </c>
      <c r="Z436" s="40">
        <f>IF($A436="",0,DAY($A436))</f>
        <v>5</v>
      </c>
      <c r="AA436" s="40">
        <f>IF($A436="",0,WEEKDAY($A436))</f>
        <v>1</v>
      </c>
      <c r="AB436" s="36">
        <f>IF(AND($C436="Despesa",U436&gt;0,U436&lt;=Sel_Idx,V436&gt;=Sel_Idx),N(R436)+ROW()/1000000000,0)</f>
        <v>0</v>
      </c>
      <c r="AC436" s="40">
        <f>IF(AND($C436="Despesa",U436&gt;0,U436&lt;=Sel_Idx,V436&gt;=Sel_Idx),Z436*10000+ROW(),0)</f>
        <v>0</v>
      </c>
      <c r="AD436" s="40">
        <f>IF(AC436=0,0,COUNTIFS(L_CalChave,"&gt;0",L_CalChave,"&lt;"&amp;AC436)+1)</f>
        <v>0</v>
      </c>
    </row>
    <row r="437">
      <c r="A437" s="38" t="n">
        <v>46208</v>
      </c>
      <c r="B437" s="39" t="inlineStr">
        <is>
          <t>Pagamento fatura Cartão Roxinho</t>
        </is>
      </c>
      <c r="C437" s="34" t="inlineStr">
        <is>
          <t>Transferência</t>
        </is>
      </c>
      <c r="D437" s="34" t="n"/>
      <c r="E437" s="34" t="n"/>
      <c r="F437" s="34" t="inlineStr">
        <is>
          <t>Conta Corrente Banco Azul</t>
        </is>
      </c>
      <c r="G437" s="34" t="inlineStr">
        <is>
          <t>Débito automático</t>
        </is>
      </c>
      <c r="H437" s="37" t="n"/>
      <c r="I437" s="37" t="n"/>
      <c r="J437" s="34" t="inlineStr">
        <is>
          <t>Pago</t>
        </is>
      </c>
      <c r="K437" s="34" t="n"/>
      <c r="L437" s="34" t="n"/>
      <c r="M437" s="39" t="inlineStr">
        <is>
          <t>EXEMPLO</t>
        </is>
      </c>
      <c r="N437" s="35" t="n">
        <v>-691.24</v>
      </c>
      <c r="O437" s="40">
        <f>IF($A437="","",MONTH($A437))</f>
        <v>7</v>
      </c>
      <c r="P437" s="40">
        <f>IF($A437="","",YEAR($A437))</f>
        <v>2026</v>
      </c>
      <c r="Q437" s="41">
        <f>IF($A437="","",DATE(P437,O437,1))</f>
        <v>46204.0</v>
      </c>
      <c r="R437" s="36">
        <f>IF(OR($A437="",$N437=""),"",IF(AND($C437&lt;&gt;"Transferência",N($I437)&gt;1),$N437/$I437,$N437))</f>
        <v>-691.24</v>
      </c>
      <c r="S437" s="41" t="str">
        <f>IF(OR($A437="",$F437="",$C437&lt;&gt;"Despesa"),"",IF(COUNTIF(Cartoes_Nome,$F437)=0,"",DATE(P437,O437+IF(DAY($A437)&gt;=INDEX(Cartoes_Fech,MATCH($F437,Cartoes_Nome,0)),1,0),1)))</f>
        <v/>
      </c>
      <c r="T437" s="42" t="str">
        <f>IF($A437="","",IF(COUNTIFS(L_Data,$A437,L_Desc,$B437,L_Valor,$N437,L_Tipo,$C437)&gt;1,"⚠ Possível duplicidade",IF(OR(AND($C437="Despesa",COUNTIF(CatD_Nome,$D437)=0),AND($C437="Receita",COUNTIF(CatR_Nome,$D437)=0)),"⚠ Categoria não combina com o tipo",IF(OR($N437="",$C437=""),"⚠ Falta valor ou tipo",""))))</f>
        <v/>
      </c>
      <c r="U437" s="40">
        <f>IF($A437="",0,P437*12+O437)</f>
        <v>24319</v>
      </c>
      <c r="V437" s="40">
        <f>IF($A437="",0,U437+MAX(0,N($I437)-MAX(N($H437),1)))</f>
        <v>24319</v>
      </c>
      <c r="W437" s="40">
        <f>IF(S437="",0,YEAR(S437)*12+MONTH(S437))</f>
        <v>0</v>
      </c>
      <c r="X437" s="40">
        <f>IF(W437=0,0,W437+V437-U437)</f>
        <v>0</v>
      </c>
      <c r="Y437" s="36">
        <f>IF(W437=0,0,N(R437)*MAX(0,X437-MAX(W437,YEAR(Cfg_Hoje)*12+MONTH(Cfg_Hoje)+IF(DAY(Cfg_Hoje)&gt;=INDEX(Cartoes_Fech,MATCH($F437,Cartoes_Nome,0)),1,0))+1))</f>
        <v>0</v>
      </c>
      <c r="Z437" s="40">
        <f>IF($A437="",0,DAY($A437))</f>
        <v>5</v>
      </c>
      <c r="AA437" s="40">
        <f>IF($A437="",0,WEEKDAY($A437))</f>
        <v>1</v>
      </c>
      <c r="AB437" s="36">
        <f>IF(AND($C437="Despesa",U437&gt;0,U437&lt;=Sel_Idx,V437&gt;=Sel_Idx),N(R437)+ROW()/1000000000,0)</f>
        <v>0</v>
      </c>
      <c r="AC437" s="40">
        <f>IF(AND($C437="Despesa",U437&gt;0,U437&lt;=Sel_Idx,V437&gt;=Sel_Idx),Z437*10000+ROW(),0)</f>
        <v>0</v>
      </c>
      <c r="AD437" s="40">
        <f>IF(AC437=0,0,COUNTIFS(L_CalChave,"&gt;0",L_CalChave,"&lt;"&amp;AC437)+1)</f>
        <v>0</v>
      </c>
    </row>
    <row r="438">
      <c r="A438" s="38" t="n">
        <v>46208</v>
      </c>
      <c r="B438" s="39" t="inlineStr">
        <is>
          <t>Plano de saúde</t>
        </is>
      </c>
      <c r="C438" s="34" t="inlineStr">
        <is>
          <t>Despesa</t>
        </is>
      </c>
      <c r="D438" s="34" t="inlineStr">
        <is>
          <t>Saúde</t>
        </is>
      </c>
      <c r="E438" s="34" t="inlineStr">
        <is>
          <t>Plano de saúde</t>
        </is>
      </c>
      <c r="F438" s="34" t="inlineStr">
        <is>
          <t>Conta Corrente Banco Azul</t>
        </is>
      </c>
      <c r="G438" s="34" t="inlineStr">
        <is>
          <t>Débito automático</t>
        </is>
      </c>
      <c r="H438" s="37" t="n"/>
      <c r="I438" s="37" t="n"/>
      <c r="J438" s="34" t="inlineStr">
        <is>
          <t>Pago</t>
        </is>
      </c>
      <c r="K438" s="34" t="n"/>
      <c r="L438" s="34" t="n"/>
      <c r="M438" s="39" t="inlineStr">
        <is>
          <t>EXEMPLO</t>
        </is>
      </c>
      <c r="N438" s="35" t="n">
        <v>780</v>
      </c>
      <c r="O438" s="40">
        <f>IF($A438="","",MONTH($A438))</f>
        <v>7</v>
      </c>
      <c r="P438" s="40">
        <f>IF($A438="","",YEAR($A438))</f>
        <v>2026</v>
      </c>
      <c r="Q438" s="41">
        <f>IF($A438="","",DATE(P438,O438,1))</f>
        <v>46204.0</v>
      </c>
      <c r="R438" s="36">
        <f>IF(OR($A438="",$N438=""),"",IF(AND($C438&lt;&gt;"Transferência",N($I438)&gt;1),$N438/$I438,$N438))</f>
        <v>780</v>
      </c>
      <c r="S438" s="41" t="str">
        <f>IF(OR($A438="",$F438="",$C438&lt;&gt;"Despesa"),"",IF(COUNTIF(Cartoes_Nome,$F438)=0,"",DATE(P438,O438+IF(DAY($A438)&gt;=INDEX(Cartoes_Fech,MATCH($F438,Cartoes_Nome,0)),1,0),1)))</f>
        <v/>
      </c>
      <c r="T438" s="42" t="str">
        <f>IF($A438="","",IF(COUNTIFS(L_Data,$A438,L_Desc,$B438,L_Valor,$N438,L_Tipo,$C438)&gt;1,"⚠ Possível duplicidade",IF(OR(AND($C438="Despesa",COUNTIF(CatD_Nome,$D438)=0),AND($C438="Receita",COUNTIF(CatR_Nome,$D438)=0)),"⚠ Categoria não combina com o tipo",IF(OR($N438="",$C438=""),"⚠ Falta valor ou tipo",""))))</f>
        <v/>
      </c>
      <c r="U438" s="40">
        <f>IF($A438="",0,P438*12+O438)</f>
        <v>24319</v>
      </c>
      <c r="V438" s="40">
        <f>IF($A438="",0,U438+MAX(0,N($I438)-MAX(N($H438),1)))</f>
        <v>24319</v>
      </c>
      <c r="W438" s="40">
        <f>IF(S438="",0,YEAR(S438)*12+MONTH(S438))</f>
        <v>0</v>
      </c>
      <c r="X438" s="40">
        <f>IF(W438=0,0,W438+V438-U438)</f>
        <v>0</v>
      </c>
      <c r="Y438" s="36">
        <f>IF(W438=0,0,N(R438)*MAX(0,X438-MAX(W438,YEAR(Cfg_Hoje)*12+MONTH(Cfg_Hoje)+IF(DAY(Cfg_Hoje)&gt;=INDEX(Cartoes_Fech,MATCH($F438,Cartoes_Nome,0)),1,0))+1))</f>
        <v>0</v>
      </c>
      <c r="Z438" s="40">
        <f>IF($A438="",0,DAY($A438))</f>
        <v>5</v>
      </c>
      <c r="AA438" s="40">
        <f>IF($A438="",0,WEEKDAY($A438))</f>
        <v>1</v>
      </c>
      <c r="AB438" s="36">
        <f>IF(AND($C438="Despesa",U438&gt;0,U438&lt;=Sel_Idx,V438&gt;=Sel_Idx),N(R438)+ROW()/1000000000,0)</f>
        <v>0</v>
      </c>
      <c r="AC438" s="40">
        <f>IF(AND($C438="Despesa",U438&gt;0,U438&lt;=Sel_Idx,V438&gt;=Sel_Idx),Z438*10000+ROW(),0)</f>
        <v>0</v>
      </c>
      <c r="AD438" s="40">
        <f>IF(AC438=0,0,COUNTIFS(L_CalChave,"&gt;0",L_CalChave,"&lt;"&amp;AC438)+1)</f>
        <v>0</v>
      </c>
    </row>
    <row r="439">
      <c r="A439" s="38" t="n">
        <v>46208</v>
      </c>
      <c r="B439" s="39" t="inlineStr">
        <is>
          <t>Salário</t>
        </is>
      </c>
      <c r="C439" s="34" t="inlineStr">
        <is>
          <t>Receita</t>
        </is>
      </c>
      <c r="D439" s="34" t="inlineStr">
        <is>
          <t>Salário</t>
        </is>
      </c>
      <c r="E439" s="34" t="n"/>
      <c r="F439" s="34" t="inlineStr">
        <is>
          <t>Conta Corrente Banco Azul</t>
        </is>
      </c>
      <c r="G439" s="34" t="inlineStr">
        <is>
          <t>Transferência</t>
        </is>
      </c>
      <c r="H439" s="37" t="n"/>
      <c r="I439" s="37" t="n"/>
      <c r="J439" s="34" t="inlineStr">
        <is>
          <t>Pago</t>
        </is>
      </c>
      <c r="K439" s="34" t="n"/>
      <c r="L439" s="34" t="n"/>
      <c r="M439" s="39" t="inlineStr">
        <is>
          <t>EXEMPLO</t>
        </is>
      </c>
      <c r="N439" s="35" t="n">
        <v>10800</v>
      </c>
      <c r="O439" s="40">
        <f>IF($A439="","",MONTH($A439))</f>
        <v>7</v>
      </c>
      <c r="P439" s="40">
        <f>IF($A439="","",YEAR($A439))</f>
        <v>2026</v>
      </c>
      <c r="Q439" s="41">
        <f>IF($A439="","",DATE(P439,O439,1))</f>
        <v>46204.0</v>
      </c>
      <c r="R439" s="36">
        <f>IF(OR($A439="",$N439=""),"",IF(AND($C439&lt;&gt;"Transferência",N($I439)&gt;1),$N439/$I439,$N439))</f>
        <v>10800</v>
      </c>
      <c r="S439" s="41" t="str">
        <f>IF(OR($A439="",$F439="",$C439&lt;&gt;"Despesa"),"",IF(COUNTIF(Cartoes_Nome,$F439)=0,"",DATE(P439,O439+IF(DAY($A439)&gt;=INDEX(Cartoes_Fech,MATCH($F439,Cartoes_Nome,0)),1,0),1)))</f>
        <v/>
      </c>
      <c r="T439" s="42" t="str">
        <f>IF($A439="","",IF(COUNTIFS(L_Data,$A439,L_Desc,$B439,L_Valor,$N439,L_Tipo,$C439)&gt;1,"⚠ Possível duplicidade",IF(OR(AND($C439="Despesa",COUNTIF(CatD_Nome,$D439)=0),AND($C439="Receita",COUNTIF(CatR_Nome,$D439)=0)),"⚠ Categoria não combina com o tipo",IF(OR($N439="",$C439=""),"⚠ Falta valor ou tipo",""))))</f>
        <v/>
      </c>
      <c r="U439" s="40">
        <f>IF($A439="",0,P439*12+O439)</f>
        <v>24319</v>
      </c>
      <c r="V439" s="40">
        <f>IF($A439="",0,U439+MAX(0,N($I439)-MAX(N($H439),1)))</f>
        <v>24319</v>
      </c>
      <c r="W439" s="40">
        <f>IF(S439="",0,YEAR(S439)*12+MONTH(S439))</f>
        <v>0</v>
      </c>
      <c r="X439" s="40">
        <f>IF(W439=0,0,W439+V439-U439)</f>
        <v>0</v>
      </c>
      <c r="Y439" s="36">
        <f>IF(W439=0,0,N(R439)*MAX(0,X439-MAX(W439,YEAR(Cfg_Hoje)*12+MONTH(Cfg_Hoje)+IF(DAY(Cfg_Hoje)&gt;=INDEX(Cartoes_Fech,MATCH($F439,Cartoes_Nome,0)),1,0))+1))</f>
        <v>0</v>
      </c>
      <c r="Z439" s="40">
        <f>IF($A439="",0,DAY($A439))</f>
        <v>5</v>
      </c>
      <c r="AA439" s="40">
        <f>IF($A439="",0,WEEKDAY($A439))</f>
        <v>1</v>
      </c>
      <c r="AB439" s="36">
        <f>IF(AND($C439="Despesa",U439&gt;0,U439&lt;=Sel_Idx,V439&gt;=Sel_Idx),N(R439)+ROW()/1000000000,0)</f>
        <v>0</v>
      </c>
      <c r="AC439" s="40">
        <f>IF(AND($C439="Despesa",U439&gt;0,U439&lt;=Sel_Idx,V439&gt;=Sel_Idx),Z439*10000+ROW(),0)</f>
        <v>0</v>
      </c>
      <c r="AD439" s="40">
        <f>IF(AC439=0,0,COUNTIFS(L_CalChave,"&gt;0",L_CalChave,"&lt;"&amp;AC439)+1)</f>
        <v>0</v>
      </c>
    </row>
    <row r="440">
      <c r="A440" s="38" t="n">
        <v>46209</v>
      </c>
      <c r="B440" s="39" t="inlineStr">
        <is>
          <t>Aporte - MBA</t>
        </is>
      </c>
      <c r="C440" s="34" t="inlineStr">
        <is>
          <t>Investimento</t>
        </is>
      </c>
      <c r="D440" s="34" t="inlineStr">
        <is>
          <t>Investimento</t>
        </is>
      </c>
      <c r="E440" s="34" t="n"/>
      <c r="F440" s="34" t="inlineStr">
        <is>
          <t>Conta Corrente Banco Azul</t>
        </is>
      </c>
      <c r="G440" s="34" t="inlineStr">
        <is>
          <t>Transferência</t>
        </is>
      </c>
      <c r="H440" s="37" t="n"/>
      <c r="I440" s="37" t="n"/>
      <c r="J440" s="34" t="inlineStr">
        <is>
          <t>Pago</t>
        </is>
      </c>
      <c r="K440" s="34" t="n"/>
      <c r="L440" s="34" t="inlineStr">
        <is>
          <t>MBA</t>
        </is>
      </c>
      <c r="M440" s="39" t="inlineStr">
        <is>
          <t>EXEMPLO</t>
        </is>
      </c>
      <c r="N440" s="35" t="n">
        <v>150</v>
      </c>
      <c r="O440" s="40">
        <f>IF($A440="","",MONTH($A440))</f>
        <v>7</v>
      </c>
      <c r="P440" s="40">
        <f>IF($A440="","",YEAR($A440))</f>
        <v>2026</v>
      </c>
      <c r="Q440" s="41">
        <f>IF($A440="","",DATE(P440,O440,1))</f>
        <v>46204.0</v>
      </c>
      <c r="R440" s="36">
        <f>IF(OR($A440="",$N440=""),"",IF(AND($C440&lt;&gt;"Transferência",N($I440)&gt;1),$N440/$I440,$N440))</f>
        <v>150</v>
      </c>
      <c r="S440" s="41" t="str">
        <f>IF(OR($A440="",$F440="",$C440&lt;&gt;"Despesa"),"",IF(COUNTIF(Cartoes_Nome,$F440)=0,"",DATE(P440,O440+IF(DAY($A440)&gt;=INDEX(Cartoes_Fech,MATCH($F440,Cartoes_Nome,0)),1,0),1)))</f>
        <v/>
      </c>
      <c r="T440" s="42" t="str">
        <f>IF($A440="","",IF(COUNTIFS(L_Data,$A440,L_Desc,$B440,L_Valor,$N440,L_Tipo,$C440)&gt;1,"⚠ Possível duplicidade",IF(OR(AND($C440="Despesa",COUNTIF(CatD_Nome,$D440)=0),AND($C440="Receita",COUNTIF(CatR_Nome,$D440)=0)),"⚠ Categoria não combina com o tipo",IF(OR($N440="",$C440=""),"⚠ Falta valor ou tipo",""))))</f>
        <v/>
      </c>
      <c r="U440" s="40">
        <f>IF($A440="",0,P440*12+O440)</f>
        <v>24319</v>
      </c>
      <c r="V440" s="40">
        <f>IF($A440="",0,U440+MAX(0,N($I440)-MAX(N($H440),1)))</f>
        <v>24319</v>
      </c>
      <c r="W440" s="40">
        <f>IF(S440="",0,YEAR(S440)*12+MONTH(S440))</f>
        <v>0</v>
      </c>
      <c r="X440" s="40">
        <f>IF(W440=0,0,W440+V440-U440)</f>
        <v>0</v>
      </c>
      <c r="Y440" s="36">
        <f>IF(W440=0,0,N(R440)*MAX(0,X440-MAX(W440,YEAR(Cfg_Hoje)*12+MONTH(Cfg_Hoje)+IF(DAY(Cfg_Hoje)&gt;=INDEX(Cartoes_Fech,MATCH($F440,Cartoes_Nome,0)),1,0))+1))</f>
        <v>0</v>
      </c>
      <c r="Z440" s="40">
        <f>IF($A440="",0,DAY($A440))</f>
        <v>6</v>
      </c>
      <c r="AA440" s="40">
        <f>IF($A440="",0,WEEKDAY($A440))</f>
        <v>2</v>
      </c>
      <c r="AB440" s="36">
        <f>IF(AND($C440="Despesa",U440&gt;0,U440&lt;=Sel_Idx,V440&gt;=Sel_Idx),N(R440)+ROW()/1000000000,0)</f>
        <v>0</v>
      </c>
      <c r="AC440" s="40">
        <f>IF(AND($C440="Despesa",U440&gt;0,U440&lt;=Sel_Idx,V440&gt;=Sel_Idx),Z440*10000+ROW(),0)</f>
        <v>0</v>
      </c>
      <c r="AD440" s="40">
        <f>IF(AC440=0,0,COUNTIFS(L_CalChave,"&gt;0",L_CalChave,"&lt;"&amp;AC440)+1)</f>
        <v>0</v>
      </c>
    </row>
    <row r="441">
      <c r="A441" s="38" t="n">
        <v>46209</v>
      </c>
      <c r="B441" s="39" t="inlineStr">
        <is>
          <t>Aporte - aposentadoria (PGBL)</t>
        </is>
      </c>
      <c r="C441" s="34" t="inlineStr">
        <is>
          <t>Investimento</t>
        </is>
      </c>
      <c r="D441" s="34" t="inlineStr">
        <is>
          <t>Investimento</t>
        </is>
      </c>
      <c r="E441" s="34" t="n"/>
      <c r="F441" s="34" t="inlineStr">
        <is>
          <t>Conta Corrente Banco Azul</t>
        </is>
      </c>
      <c r="G441" s="34" t="inlineStr">
        <is>
          <t>Transferência</t>
        </is>
      </c>
      <c r="H441" s="37" t="n"/>
      <c r="I441" s="37" t="n"/>
      <c r="J441" s="34" t="inlineStr">
        <is>
          <t>Pago</t>
        </is>
      </c>
      <c r="K441" s="34" t="n"/>
      <c r="L441" s="34" t="inlineStr">
        <is>
          <t>Aposentadoria</t>
        </is>
      </c>
      <c r="M441" s="39" t="inlineStr">
        <is>
          <t>EXEMPLO</t>
        </is>
      </c>
      <c r="N441" s="35" t="n">
        <v>300</v>
      </c>
      <c r="O441" s="40">
        <f>IF($A441="","",MONTH($A441))</f>
        <v>7</v>
      </c>
      <c r="P441" s="40">
        <f>IF($A441="","",YEAR($A441))</f>
        <v>2026</v>
      </c>
      <c r="Q441" s="41">
        <f>IF($A441="","",DATE(P441,O441,1))</f>
        <v>46204.0</v>
      </c>
      <c r="R441" s="36">
        <f>IF(OR($A441="",$N441=""),"",IF(AND($C441&lt;&gt;"Transferência",N($I441)&gt;1),$N441/$I441,$N441))</f>
        <v>300</v>
      </c>
      <c r="S441" s="41" t="str">
        <f>IF(OR($A441="",$F441="",$C441&lt;&gt;"Despesa"),"",IF(COUNTIF(Cartoes_Nome,$F441)=0,"",DATE(P441,O441+IF(DAY($A441)&gt;=INDEX(Cartoes_Fech,MATCH($F441,Cartoes_Nome,0)),1,0),1)))</f>
        <v/>
      </c>
      <c r="T441" s="42" t="str">
        <f>IF($A441="","",IF(COUNTIFS(L_Data,$A441,L_Desc,$B441,L_Valor,$N441,L_Tipo,$C441)&gt;1,"⚠ Possível duplicidade",IF(OR(AND($C441="Despesa",COUNTIF(CatD_Nome,$D441)=0),AND($C441="Receita",COUNTIF(CatR_Nome,$D441)=0)),"⚠ Categoria não combina com o tipo",IF(OR($N441="",$C441=""),"⚠ Falta valor ou tipo",""))))</f>
        <v/>
      </c>
      <c r="U441" s="40">
        <f>IF($A441="",0,P441*12+O441)</f>
        <v>24319</v>
      </c>
      <c r="V441" s="40">
        <f>IF($A441="",0,U441+MAX(0,N($I441)-MAX(N($H441),1)))</f>
        <v>24319</v>
      </c>
      <c r="W441" s="40">
        <f>IF(S441="",0,YEAR(S441)*12+MONTH(S441))</f>
        <v>0</v>
      </c>
      <c r="X441" s="40">
        <f>IF(W441=0,0,W441+V441-U441)</f>
        <v>0</v>
      </c>
      <c r="Y441" s="36">
        <f>IF(W441=0,0,N(R441)*MAX(0,X441-MAX(W441,YEAR(Cfg_Hoje)*12+MONTH(Cfg_Hoje)+IF(DAY(Cfg_Hoje)&gt;=INDEX(Cartoes_Fech,MATCH($F441,Cartoes_Nome,0)),1,0))+1))</f>
        <v>0</v>
      </c>
      <c r="Z441" s="40">
        <f>IF($A441="",0,DAY($A441))</f>
        <v>6</v>
      </c>
      <c r="AA441" s="40">
        <f>IF($A441="",0,WEEKDAY($A441))</f>
        <v>2</v>
      </c>
      <c r="AB441" s="36">
        <f>IF(AND($C441="Despesa",U441&gt;0,U441&lt;=Sel_Idx,V441&gt;=Sel_Idx),N(R441)+ROW()/1000000000,0)</f>
        <v>0</v>
      </c>
      <c r="AC441" s="40">
        <f>IF(AND($C441="Despesa",U441&gt;0,U441&lt;=Sel_Idx,V441&gt;=Sel_Idx),Z441*10000+ROW(),0)</f>
        <v>0</v>
      </c>
      <c r="AD441" s="40">
        <f>IF(AC441=0,0,COUNTIFS(L_CalChave,"&gt;0",L_CalChave,"&lt;"&amp;AC441)+1)</f>
        <v>0</v>
      </c>
    </row>
    <row r="442">
      <c r="A442" s="38" t="n">
        <v>46209</v>
      </c>
      <c r="B442" s="39" t="inlineStr">
        <is>
          <t>Aporte - entrada do apartamento</t>
        </is>
      </c>
      <c r="C442" s="34" t="inlineStr">
        <is>
          <t>Investimento</t>
        </is>
      </c>
      <c r="D442" s="34" t="inlineStr">
        <is>
          <t>Investimento</t>
        </is>
      </c>
      <c r="E442" s="34" t="n"/>
      <c r="F442" s="34" t="inlineStr">
        <is>
          <t>Conta Corrente Banco Azul</t>
        </is>
      </c>
      <c r="G442" s="34" t="inlineStr">
        <is>
          <t>Transferência</t>
        </is>
      </c>
      <c r="H442" s="37" t="n"/>
      <c r="I442" s="37" t="n"/>
      <c r="J442" s="34" t="inlineStr">
        <is>
          <t>Pago</t>
        </is>
      </c>
      <c r="K442" s="34" t="n"/>
      <c r="L442" s="34" t="inlineStr">
        <is>
          <t>Entrada do apartamento</t>
        </is>
      </c>
      <c r="M442" s="39" t="inlineStr">
        <is>
          <t>EXEMPLO</t>
        </is>
      </c>
      <c r="N442" s="35" t="n">
        <v>250</v>
      </c>
      <c r="O442" s="40">
        <f>IF($A442="","",MONTH($A442))</f>
        <v>7</v>
      </c>
      <c r="P442" s="40">
        <f>IF($A442="","",YEAR($A442))</f>
        <v>2026</v>
      </c>
      <c r="Q442" s="41">
        <f>IF($A442="","",DATE(P442,O442,1))</f>
        <v>46204.0</v>
      </c>
      <c r="R442" s="36">
        <f>IF(OR($A442="",$N442=""),"",IF(AND($C442&lt;&gt;"Transferência",N($I442)&gt;1),$N442/$I442,$N442))</f>
        <v>250</v>
      </c>
      <c r="S442" s="41" t="str">
        <f>IF(OR($A442="",$F442="",$C442&lt;&gt;"Despesa"),"",IF(COUNTIF(Cartoes_Nome,$F442)=0,"",DATE(P442,O442+IF(DAY($A442)&gt;=INDEX(Cartoes_Fech,MATCH($F442,Cartoes_Nome,0)),1,0),1)))</f>
        <v/>
      </c>
      <c r="T442" s="42" t="str">
        <f>IF($A442="","",IF(COUNTIFS(L_Data,$A442,L_Desc,$B442,L_Valor,$N442,L_Tipo,$C442)&gt;1,"⚠ Possível duplicidade",IF(OR(AND($C442="Despesa",COUNTIF(CatD_Nome,$D442)=0),AND($C442="Receita",COUNTIF(CatR_Nome,$D442)=0)),"⚠ Categoria não combina com o tipo",IF(OR($N442="",$C442=""),"⚠ Falta valor ou tipo",""))))</f>
        <v/>
      </c>
      <c r="U442" s="40">
        <f>IF($A442="",0,P442*12+O442)</f>
        <v>24319</v>
      </c>
      <c r="V442" s="40">
        <f>IF($A442="",0,U442+MAX(0,N($I442)-MAX(N($H442),1)))</f>
        <v>24319</v>
      </c>
      <c r="W442" s="40">
        <f>IF(S442="",0,YEAR(S442)*12+MONTH(S442))</f>
        <v>0</v>
      </c>
      <c r="X442" s="40">
        <f>IF(W442=0,0,W442+V442-U442)</f>
        <v>0</v>
      </c>
      <c r="Y442" s="36">
        <f>IF(W442=0,0,N(R442)*MAX(0,X442-MAX(W442,YEAR(Cfg_Hoje)*12+MONTH(Cfg_Hoje)+IF(DAY(Cfg_Hoje)&gt;=INDEX(Cartoes_Fech,MATCH($F442,Cartoes_Nome,0)),1,0))+1))</f>
        <v>0</v>
      </c>
      <c r="Z442" s="40">
        <f>IF($A442="",0,DAY($A442))</f>
        <v>6</v>
      </c>
      <c r="AA442" s="40">
        <f>IF($A442="",0,WEEKDAY($A442))</f>
        <v>2</v>
      </c>
      <c r="AB442" s="36">
        <f>IF(AND($C442="Despesa",U442&gt;0,U442&lt;=Sel_Idx,V442&gt;=Sel_Idx),N(R442)+ROW()/1000000000,0)</f>
        <v>0</v>
      </c>
      <c r="AC442" s="40">
        <f>IF(AND($C442="Despesa",U442&gt;0,U442&lt;=Sel_Idx,V442&gt;=Sel_Idx),Z442*10000+ROW(),0)</f>
        <v>0</v>
      </c>
      <c r="AD442" s="40">
        <f>IF(AC442=0,0,COUNTIFS(L_CalChave,"&gt;0",L_CalChave,"&lt;"&amp;AC442)+1)</f>
        <v>0</v>
      </c>
    </row>
    <row r="443">
      <c r="A443" s="38" t="n">
        <v>46209</v>
      </c>
      <c r="B443" s="39" t="inlineStr">
        <is>
          <t>Aporte - quitar empréstimo</t>
        </is>
      </c>
      <c r="C443" s="34" t="inlineStr">
        <is>
          <t>Investimento</t>
        </is>
      </c>
      <c r="D443" s="34" t="inlineStr">
        <is>
          <t>Investimento</t>
        </is>
      </c>
      <c r="E443" s="34" t="n"/>
      <c r="F443" s="34" t="inlineStr">
        <is>
          <t>Conta Corrente Banco Azul</t>
        </is>
      </c>
      <c r="G443" s="34" t="inlineStr">
        <is>
          <t>Transferência</t>
        </is>
      </c>
      <c r="H443" s="37" t="n"/>
      <c r="I443" s="37" t="n"/>
      <c r="J443" s="34" t="inlineStr">
        <is>
          <t>Pago</t>
        </is>
      </c>
      <c r="K443" s="34" t="n"/>
      <c r="L443" s="34" t="inlineStr">
        <is>
          <t>Quitar empréstimo pessoal</t>
        </is>
      </c>
      <c r="M443" s="39" t="inlineStr">
        <is>
          <t>EXEMPLO</t>
        </is>
      </c>
      <c r="N443" s="35" t="n">
        <v>150</v>
      </c>
      <c r="O443" s="40">
        <f>IF($A443="","",MONTH($A443))</f>
        <v>7</v>
      </c>
      <c r="P443" s="40">
        <f>IF($A443="","",YEAR($A443))</f>
        <v>2026</v>
      </c>
      <c r="Q443" s="41">
        <f>IF($A443="","",DATE(P443,O443,1))</f>
        <v>46204.0</v>
      </c>
      <c r="R443" s="36">
        <f>IF(OR($A443="",$N443=""),"",IF(AND($C443&lt;&gt;"Transferência",N($I443)&gt;1),$N443/$I443,$N443))</f>
        <v>150</v>
      </c>
      <c r="S443" s="41" t="str">
        <f>IF(OR($A443="",$F443="",$C443&lt;&gt;"Despesa"),"",IF(COUNTIF(Cartoes_Nome,$F443)=0,"",DATE(P443,O443+IF(DAY($A443)&gt;=INDEX(Cartoes_Fech,MATCH($F443,Cartoes_Nome,0)),1,0),1)))</f>
        <v/>
      </c>
      <c r="T443" s="42" t="str">
        <f>IF($A443="","",IF(COUNTIFS(L_Data,$A443,L_Desc,$B443,L_Valor,$N443,L_Tipo,$C443)&gt;1,"⚠ Possível duplicidade",IF(OR(AND($C443="Despesa",COUNTIF(CatD_Nome,$D443)=0),AND($C443="Receita",COUNTIF(CatR_Nome,$D443)=0)),"⚠ Categoria não combina com o tipo",IF(OR($N443="",$C443=""),"⚠ Falta valor ou tipo",""))))</f>
        <v/>
      </c>
      <c r="U443" s="40">
        <f>IF($A443="",0,P443*12+O443)</f>
        <v>24319</v>
      </c>
      <c r="V443" s="40">
        <f>IF($A443="",0,U443+MAX(0,N($I443)-MAX(N($H443),1)))</f>
        <v>24319</v>
      </c>
      <c r="W443" s="40">
        <f>IF(S443="",0,YEAR(S443)*12+MONTH(S443))</f>
        <v>0</v>
      </c>
      <c r="X443" s="40">
        <f>IF(W443=0,0,W443+V443-U443)</f>
        <v>0</v>
      </c>
      <c r="Y443" s="36">
        <f>IF(W443=0,0,N(R443)*MAX(0,X443-MAX(W443,YEAR(Cfg_Hoje)*12+MONTH(Cfg_Hoje)+IF(DAY(Cfg_Hoje)&gt;=INDEX(Cartoes_Fech,MATCH($F443,Cartoes_Nome,0)),1,0))+1))</f>
        <v>0</v>
      </c>
      <c r="Z443" s="40">
        <f>IF($A443="",0,DAY($A443))</f>
        <v>6</v>
      </c>
      <c r="AA443" s="40">
        <f>IF($A443="",0,WEEKDAY($A443))</f>
        <v>2</v>
      </c>
      <c r="AB443" s="36">
        <f>IF(AND($C443="Despesa",U443&gt;0,U443&lt;=Sel_Idx,V443&gt;=Sel_Idx),N(R443)+ROW()/1000000000,0)</f>
        <v>0</v>
      </c>
      <c r="AC443" s="40">
        <f>IF(AND($C443="Despesa",U443&gt;0,U443&lt;=Sel_Idx,V443&gt;=Sel_Idx),Z443*10000+ROW(),0)</f>
        <v>0</v>
      </c>
      <c r="AD443" s="40">
        <f>IF(AC443=0,0,COUNTIFS(L_CalChave,"&gt;0",L_CalChave,"&lt;"&amp;AC443)+1)</f>
        <v>0</v>
      </c>
    </row>
    <row r="444">
      <c r="A444" s="38" t="n">
        <v>46209</v>
      </c>
      <c r="B444" s="39" t="inlineStr">
        <is>
          <t>Aporte - reserva de emergência</t>
        </is>
      </c>
      <c r="C444" s="34" t="inlineStr">
        <is>
          <t>Investimento</t>
        </is>
      </c>
      <c r="D444" s="34" t="inlineStr">
        <is>
          <t>Investimento</t>
        </is>
      </c>
      <c r="E444" s="34" t="n"/>
      <c r="F444" s="34" t="inlineStr">
        <is>
          <t>Conta Corrente Banco Azul</t>
        </is>
      </c>
      <c r="G444" s="34" t="inlineStr">
        <is>
          <t>Transferência</t>
        </is>
      </c>
      <c r="H444" s="37" t="n"/>
      <c r="I444" s="37" t="n"/>
      <c r="J444" s="34" t="inlineStr">
        <is>
          <t>Pago</t>
        </is>
      </c>
      <c r="K444" s="34" t="n"/>
      <c r="L444" s="34" t="inlineStr">
        <is>
          <t>Reserva de emergência</t>
        </is>
      </c>
      <c r="M444" s="39" t="inlineStr">
        <is>
          <t>EXEMPLO</t>
        </is>
      </c>
      <c r="N444" s="35" t="n">
        <v>700</v>
      </c>
      <c r="O444" s="40">
        <f>IF($A444="","",MONTH($A444))</f>
        <v>7</v>
      </c>
      <c r="P444" s="40">
        <f>IF($A444="","",YEAR($A444))</f>
        <v>2026</v>
      </c>
      <c r="Q444" s="41">
        <f>IF($A444="","",DATE(P444,O444,1))</f>
        <v>46204.0</v>
      </c>
      <c r="R444" s="36">
        <f>IF(OR($A444="",$N444=""),"",IF(AND($C444&lt;&gt;"Transferência",N($I444)&gt;1),$N444/$I444,$N444))</f>
        <v>700</v>
      </c>
      <c r="S444" s="41" t="str">
        <f>IF(OR($A444="",$F444="",$C444&lt;&gt;"Despesa"),"",IF(COUNTIF(Cartoes_Nome,$F444)=0,"",DATE(P444,O444+IF(DAY($A444)&gt;=INDEX(Cartoes_Fech,MATCH($F444,Cartoes_Nome,0)),1,0),1)))</f>
        <v/>
      </c>
      <c r="T444" s="42" t="str">
        <f>IF($A444="","",IF(COUNTIFS(L_Data,$A444,L_Desc,$B444,L_Valor,$N444,L_Tipo,$C444)&gt;1,"⚠ Possível duplicidade",IF(OR(AND($C444="Despesa",COUNTIF(CatD_Nome,$D444)=0),AND($C444="Receita",COUNTIF(CatR_Nome,$D444)=0)),"⚠ Categoria não combina com o tipo",IF(OR($N444="",$C444=""),"⚠ Falta valor ou tipo",""))))</f>
        <v/>
      </c>
      <c r="U444" s="40">
        <f>IF($A444="",0,P444*12+O444)</f>
        <v>24319</v>
      </c>
      <c r="V444" s="40">
        <f>IF($A444="",0,U444+MAX(0,N($I444)-MAX(N($H444),1)))</f>
        <v>24319</v>
      </c>
      <c r="W444" s="40">
        <f>IF(S444="",0,YEAR(S444)*12+MONTH(S444))</f>
        <v>0</v>
      </c>
      <c r="X444" s="40">
        <f>IF(W444=0,0,W444+V444-U444)</f>
        <v>0</v>
      </c>
      <c r="Y444" s="36">
        <f>IF(W444=0,0,N(R444)*MAX(0,X444-MAX(W444,YEAR(Cfg_Hoje)*12+MONTH(Cfg_Hoje)+IF(DAY(Cfg_Hoje)&gt;=INDEX(Cartoes_Fech,MATCH($F444,Cartoes_Nome,0)),1,0))+1))</f>
        <v>0</v>
      </c>
      <c r="Z444" s="40">
        <f>IF($A444="",0,DAY($A444))</f>
        <v>6</v>
      </c>
      <c r="AA444" s="40">
        <f>IF($A444="",0,WEEKDAY($A444))</f>
        <v>2</v>
      </c>
      <c r="AB444" s="36">
        <f>IF(AND($C444="Despesa",U444&gt;0,U444&lt;=Sel_Idx,V444&gt;=Sel_Idx),N(R444)+ROW()/1000000000,0)</f>
        <v>0</v>
      </c>
      <c r="AC444" s="40">
        <f>IF(AND($C444="Despesa",U444&gt;0,U444&lt;=Sel_Idx,V444&gt;=Sel_Idx),Z444*10000+ROW(),0)</f>
        <v>0</v>
      </c>
      <c r="AD444" s="40">
        <f>IF(AC444=0,0,COUNTIFS(L_CalChave,"&gt;0",L_CalChave,"&lt;"&amp;AC444)+1)</f>
        <v>0</v>
      </c>
    </row>
    <row r="445">
      <c r="A445" s="38" t="n">
        <v>46209</v>
      </c>
      <c r="B445" s="39" t="inlineStr">
        <is>
          <t>Aporte - troca de carro</t>
        </is>
      </c>
      <c r="C445" s="34" t="inlineStr">
        <is>
          <t>Investimento</t>
        </is>
      </c>
      <c r="D445" s="34" t="inlineStr">
        <is>
          <t>Investimento</t>
        </is>
      </c>
      <c r="E445" s="34" t="n"/>
      <c r="F445" s="34" t="inlineStr">
        <is>
          <t>Conta Corrente Banco Azul</t>
        </is>
      </c>
      <c r="G445" s="34" t="inlineStr">
        <is>
          <t>Transferência</t>
        </is>
      </c>
      <c r="H445" s="37" t="n"/>
      <c r="I445" s="37" t="n"/>
      <c r="J445" s="34" t="inlineStr">
        <is>
          <t>Pago</t>
        </is>
      </c>
      <c r="K445" s="34" t="n"/>
      <c r="L445" s="34" t="inlineStr">
        <is>
          <t>Troca de carro</t>
        </is>
      </c>
      <c r="M445" s="39" t="inlineStr">
        <is>
          <t>EXEMPLO</t>
        </is>
      </c>
      <c r="N445" s="35" t="n">
        <v>200</v>
      </c>
      <c r="O445" s="40">
        <f>IF($A445="","",MONTH($A445))</f>
        <v>7</v>
      </c>
      <c r="P445" s="40">
        <f>IF($A445="","",YEAR($A445))</f>
        <v>2026</v>
      </c>
      <c r="Q445" s="41">
        <f>IF($A445="","",DATE(P445,O445,1))</f>
        <v>46204.0</v>
      </c>
      <c r="R445" s="36">
        <f>IF(OR($A445="",$N445=""),"",IF(AND($C445&lt;&gt;"Transferência",N($I445)&gt;1),$N445/$I445,$N445))</f>
        <v>200</v>
      </c>
      <c r="S445" s="41" t="str">
        <f>IF(OR($A445="",$F445="",$C445&lt;&gt;"Despesa"),"",IF(COUNTIF(Cartoes_Nome,$F445)=0,"",DATE(P445,O445+IF(DAY($A445)&gt;=INDEX(Cartoes_Fech,MATCH($F445,Cartoes_Nome,0)),1,0),1)))</f>
        <v/>
      </c>
      <c r="T445" s="42" t="str">
        <f>IF($A445="","",IF(COUNTIFS(L_Data,$A445,L_Desc,$B445,L_Valor,$N445,L_Tipo,$C445)&gt;1,"⚠ Possível duplicidade",IF(OR(AND($C445="Despesa",COUNTIF(CatD_Nome,$D445)=0),AND($C445="Receita",COUNTIF(CatR_Nome,$D445)=0)),"⚠ Categoria não combina com o tipo",IF(OR($N445="",$C445=""),"⚠ Falta valor ou tipo",""))))</f>
        <v/>
      </c>
      <c r="U445" s="40">
        <f>IF($A445="",0,P445*12+O445)</f>
        <v>24319</v>
      </c>
      <c r="V445" s="40">
        <f>IF($A445="",0,U445+MAX(0,N($I445)-MAX(N($H445),1)))</f>
        <v>24319</v>
      </c>
      <c r="W445" s="40">
        <f>IF(S445="",0,YEAR(S445)*12+MONTH(S445))</f>
        <v>0</v>
      </c>
      <c r="X445" s="40">
        <f>IF(W445=0,0,W445+V445-U445)</f>
        <v>0</v>
      </c>
      <c r="Y445" s="36">
        <f>IF(W445=0,0,N(R445)*MAX(0,X445-MAX(W445,YEAR(Cfg_Hoje)*12+MONTH(Cfg_Hoje)+IF(DAY(Cfg_Hoje)&gt;=INDEX(Cartoes_Fech,MATCH($F445,Cartoes_Nome,0)),1,0))+1))</f>
        <v>0</v>
      </c>
      <c r="Z445" s="40">
        <f>IF($A445="",0,DAY($A445))</f>
        <v>6</v>
      </c>
      <c r="AA445" s="40">
        <f>IF($A445="",0,WEEKDAY($A445))</f>
        <v>2</v>
      </c>
      <c r="AB445" s="36">
        <f>IF(AND($C445="Despesa",U445&gt;0,U445&lt;=Sel_Idx,V445&gt;=Sel_Idx),N(R445)+ROW()/1000000000,0)</f>
        <v>0</v>
      </c>
      <c r="AC445" s="40">
        <f>IF(AND($C445="Despesa",U445&gt;0,U445&lt;=Sel_Idx,V445&gt;=Sel_Idx),Z445*10000+ROW(),0)</f>
        <v>0</v>
      </c>
      <c r="AD445" s="40">
        <f>IF(AC445=0,0,COUNTIFS(L_CalChave,"&gt;0",L_CalChave,"&lt;"&amp;AC445)+1)</f>
        <v>0</v>
      </c>
    </row>
    <row r="446">
      <c r="A446" s="38" t="n">
        <v>46209</v>
      </c>
      <c r="B446" s="39" t="inlineStr">
        <is>
          <t>Aporte - viagem</t>
        </is>
      </c>
      <c r="C446" s="34" t="inlineStr">
        <is>
          <t>Investimento</t>
        </is>
      </c>
      <c r="D446" s="34" t="inlineStr">
        <is>
          <t>Investimento</t>
        </is>
      </c>
      <c r="E446" s="34" t="n"/>
      <c r="F446" s="34" t="inlineStr">
        <is>
          <t>Conta Corrente Banco Azul</t>
        </is>
      </c>
      <c r="G446" s="34" t="inlineStr">
        <is>
          <t>Transferência</t>
        </is>
      </c>
      <c r="H446" s="37" t="n"/>
      <c r="I446" s="37" t="n"/>
      <c r="J446" s="34" t="inlineStr">
        <is>
          <t>Pago</t>
        </is>
      </c>
      <c r="K446" s="34" t="n"/>
      <c r="L446" s="34" t="inlineStr">
        <is>
          <t>Viagem Europa</t>
        </is>
      </c>
      <c r="M446" s="39" t="inlineStr">
        <is>
          <t>EXEMPLO</t>
        </is>
      </c>
      <c r="N446" s="35" t="n">
        <v>300</v>
      </c>
      <c r="O446" s="40">
        <f>IF($A446="","",MONTH($A446))</f>
        <v>7</v>
      </c>
      <c r="P446" s="40">
        <f>IF($A446="","",YEAR($A446))</f>
        <v>2026</v>
      </c>
      <c r="Q446" s="41">
        <f>IF($A446="","",DATE(P446,O446,1))</f>
        <v>46204.0</v>
      </c>
      <c r="R446" s="36">
        <f>IF(OR($A446="",$N446=""),"",IF(AND($C446&lt;&gt;"Transferência",N($I446)&gt;1),$N446/$I446,$N446))</f>
        <v>300</v>
      </c>
      <c r="S446" s="41" t="str">
        <f>IF(OR($A446="",$F446="",$C446&lt;&gt;"Despesa"),"",IF(COUNTIF(Cartoes_Nome,$F446)=0,"",DATE(P446,O446+IF(DAY($A446)&gt;=INDEX(Cartoes_Fech,MATCH($F446,Cartoes_Nome,0)),1,0),1)))</f>
        <v/>
      </c>
      <c r="T446" s="42" t="str">
        <f>IF($A446="","",IF(COUNTIFS(L_Data,$A446,L_Desc,$B446,L_Valor,$N446,L_Tipo,$C446)&gt;1,"⚠ Possível duplicidade",IF(OR(AND($C446="Despesa",COUNTIF(CatD_Nome,$D446)=0),AND($C446="Receita",COUNTIF(CatR_Nome,$D446)=0)),"⚠ Categoria não combina com o tipo",IF(OR($N446="",$C446=""),"⚠ Falta valor ou tipo",""))))</f>
        <v/>
      </c>
      <c r="U446" s="40">
        <f>IF($A446="",0,P446*12+O446)</f>
        <v>24319</v>
      </c>
      <c r="V446" s="40">
        <f>IF($A446="",0,U446+MAX(0,N($I446)-MAX(N($H446),1)))</f>
        <v>24319</v>
      </c>
      <c r="W446" s="40">
        <f>IF(S446="",0,YEAR(S446)*12+MONTH(S446))</f>
        <v>0</v>
      </c>
      <c r="X446" s="40">
        <f>IF(W446=0,0,W446+V446-U446)</f>
        <v>0</v>
      </c>
      <c r="Y446" s="36">
        <f>IF(W446=0,0,N(R446)*MAX(0,X446-MAX(W446,YEAR(Cfg_Hoje)*12+MONTH(Cfg_Hoje)+IF(DAY(Cfg_Hoje)&gt;=INDEX(Cartoes_Fech,MATCH($F446,Cartoes_Nome,0)),1,0))+1))</f>
        <v>0</v>
      </c>
      <c r="Z446" s="40">
        <f>IF($A446="",0,DAY($A446))</f>
        <v>6</v>
      </c>
      <c r="AA446" s="40">
        <f>IF($A446="",0,WEEKDAY($A446))</f>
        <v>2</v>
      </c>
      <c r="AB446" s="36">
        <f>IF(AND($C446="Despesa",U446&gt;0,U446&lt;=Sel_Idx,V446&gt;=Sel_Idx),N(R446)+ROW()/1000000000,0)</f>
        <v>0</v>
      </c>
      <c r="AC446" s="40">
        <f>IF(AND($C446="Despesa",U446&gt;0,U446&lt;=Sel_Idx,V446&gt;=Sel_Idx),Z446*10000+ROW(),0)</f>
        <v>0</v>
      </c>
      <c r="AD446" s="40">
        <f>IF(AC446=0,0,COUNTIFS(L_CalChave,"&gt;0",L_CalChave,"&lt;"&amp;AC446)+1)</f>
        <v>0</v>
      </c>
    </row>
    <row r="447">
      <c r="A447" s="38" t="n">
        <v>46209</v>
      </c>
      <c r="B447" s="39" t="inlineStr">
        <is>
          <t>Supermercado</t>
        </is>
      </c>
      <c r="C447" s="34" t="inlineStr">
        <is>
          <t>Despesa</t>
        </is>
      </c>
      <c r="D447" s="34" t="inlineStr">
        <is>
          <t>Alimentação</t>
        </is>
      </c>
      <c r="E447" s="34" t="inlineStr">
        <is>
          <t>Mercado</t>
        </is>
      </c>
      <c r="F447" s="34" t="inlineStr">
        <is>
          <t>Cartão Azul Gold</t>
        </is>
      </c>
      <c r="G447" s="34" t="inlineStr">
        <is>
          <t>Crédito</t>
        </is>
      </c>
      <c r="H447" s="37" t="n"/>
      <c r="I447" s="37" t="n"/>
      <c r="J447" s="34" t="inlineStr">
        <is>
          <t>Pago</t>
        </is>
      </c>
      <c r="K447" s="34" t="n"/>
      <c r="L447" s="34" t="n"/>
      <c r="M447" s="39" t="inlineStr">
        <is>
          <t>EXEMPLO</t>
        </is>
      </c>
      <c r="N447" s="35" t="n">
        <v>376.76</v>
      </c>
      <c r="O447" s="40">
        <f>IF($A447="","",MONTH($A447))</f>
        <v>7</v>
      </c>
      <c r="P447" s="40">
        <f>IF($A447="","",YEAR($A447))</f>
        <v>2026</v>
      </c>
      <c r="Q447" s="41">
        <f>IF($A447="","",DATE(P447,O447,1))</f>
        <v>46204.0</v>
      </c>
      <c r="R447" s="36">
        <f>IF(OR($A447="",$N447=""),"",IF(AND($C447&lt;&gt;"Transferência",N($I447)&gt;1),$N447/$I447,$N447))</f>
        <v>376.76</v>
      </c>
      <c r="S447" s="41">
        <f>IF(OR($A447="",$F447="",$C447&lt;&gt;"Despesa"),"",IF(COUNTIF(Cartoes_Nome,$F447)=0,"",DATE(P447,O447+IF(DAY($A447)&gt;=INDEX(Cartoes_Fech,MATCH($F447,Cartoes_Nome,0)),1,0),1)))</f>
        <v>46204.0</v>
      </c>
      <c r="T447" s="42" t="str">
        <f>IF($A447="","",IF(COUNTIFS(L_Data,$A447,L_Desc,$B447,L_Valor,$N447,L_Tipo,$C447)&gt;1,"⚠ Possível duplicidade",IF(OR(AND($C447="Despesa",COUNTIF(CatD_Nome,$D447)=0),AND($C447="Receita",COUNTIF(CatR_Nome,$D447)=0)),"⚠ Categoria não combina com o tipo",IF(OR($N447="",$C447=""),"⚠ Falta valor ou tipo",""))))</f>
        <v/>
      </c>
      <c r="U447" s="40">
        <f>IF($A447="",0,P447*12+O447)</f>
        <v>24319</v>
      </c>
      <c r="V447" s="40">
        <f>IF($A447="",0,U447+MAX(0,N($I447)-MAX(N($H447),1)))</f>
        <v>24319</v>
      </c>
      <c r="W447" s="40">
        <f>IF(S447="",0,YEAR(S447)*12+MONTH(S447))</f>
        <v>24319</v>
      </c>
      <c r="X447" s="40">
        <f>IF(W447=0,0,W447+V447-U447)</f>
        <v>24319</v>
      </c>
      <c r="Y447" s="36">
        <f>IF(W447=0,0,N(R447)*MAX(0,X447-MAX(W447,YEAR(Cfg_Hoje)*12+MONTH(Cfg_Hoje)+IF(DAY(Cfg_Hoje)&gt;=INDEX(Cartoes_Fech,MATCH($F447,Cartoes_Nome,0)),1,0))+1))</f>
        <v>0</v>
      </c>
      <c r="Z447" s="40">
        <f>IF($A447="",0,DAY($A447))</f>
        <v>6</v>
      </c>
      <c r="AA447" s="40">
        <f>IF($A447="",0,WEEKDAY($A447))</f>
        <v>2</v>
      </c>
      <c r="AB447" s="36">
        <f>IF(AND($C447="Despesa",U447&gt;0,U447&lt;=Sel_Idx,V447&gt;=Sel_Idx),N(R447)+ROW()/1000000000,0)</f>
        <v>0</v>
      </c>
      <c r="AC447" s="40">
        <f>IF(AND($C447="Despesa",U447&gt;0,U447&lt;=Sel_Idx,V447&gt;=Sel_Idx),Z447*10000+ROW(),0)</f>
        <v>0</v>
      </c>
      <c r="AD447" s="40">
        <f>IF(AC447=0,0,COUNTIFS(L_CalChave,"&gt;0",L_CalChave,"&lt;"&amp;AC447)+1)</f>
        <v>0</v>
      </c>
    </row>
    <row r="448">
      <c r="A448" s="38" t="n">
        <v>46210</v>
      </c>
      <c r="B448" s="39" t="inlineStr">
        <is>
          <t>Doação mensal</t>
        </is>
      </c>
      <c r="C448" s="34" t="inlineStr">
        <is>
          <t>Despesa</t>
        </is>
      </c>
      <c r="D448" s="34" t="inlineStr">
        <is>
          <t>Doações</t>
        </is>
      </c>
      <c r="E448" s="34" t="inlineStr">
        <is>
          <t>ONG</t>
        </is>
      </c>
      <c r="F448" s="34" t="inlineStr">
        <is>
          <t>Conta Corrente Banco Azul</t>
        </is>
      </c>
      <c r="G448" s="34" t="inlineStr">
        <is>
          <t>Pix</t>
        </is>
      </c>
      <c r="H448" s="37" t="n"/>
      <c r="I448" s="37" t="n"/>
      <c r="J448" s="34" t="inlineStr">
        <is>
          <t>Pago</t>
        </is>
      </c>
      <c r="K448" s="34" t="n"/>
      <c r="L448" s="34" t="n"/>
      <c r="M448" s="39" t="inlineStr">
        <is>
          <t>EXEMPLO</t>
        </is>
      </c>
      <c r="N448" s="35" t="n">
        <v>100</v>
      </c>
      <c r="O448" s="40">
        <f>IF($A448="","",MONTH($A448))</f>
        <v>7</v>
      </c>
      <c r="P448" s="40">
        <f>IF($A448="","",YEAR($A448))</f>
        <v>2026</v>
      </c>
      <c r="Q448" s="41">
        <f>IF($A448="","",DATE(P448,O448,1))</f>
        <v>46204.0</v>
      </c>
      <c r="R448" s="36">
        <f>IF(OR($A448="",$N448=""),"",IF(AND($C448&lt;&gt;"Transferência",N($I448)&gt;1),$N448/$I448,$N448))</f>
        <v>100</v>
      </c>
      <c r="S448" s="41" t="str">
        <f>IF(OR($A448="",$F448="",$C448&lt;&gt;"Despesa"),"",IF(COUNTIF(Cartoes_Nome,$F448)=0,"",DATE(P448,O448+IF(DAY($A448)&gt;=INDEX(Cartoes_Fech,MATCH($F448,Cartoes_Nome,0)),1,0),1)))</f>
        <v/>
      </c>
      <c r="T448" s="42" t="str">
        <f>IF($A448="","",IF(COUNTIFS(L_Data,$A448,L_Desc,$B448,L_Valor,$N448,L_Tipo,$C448)&gt;1,"⚠ Possível duplicidade",IF(OR(AND($C448="Despesa",COUNTIF(CatD_Nome,$D448)=0),AND($C448="Receita",COUNTIF(CatR_Nome,$D448)=0)),"⚠ Categoria não combina com o tipo",IF(OR($N448="",$C448=""),"⚠ Falta valor ou tipo",""))))</f>
        <v/>
      </c>
      <c r="U448" s="40">
        <f>IF($A448="",0,P448*12+O448)</f>
        <v>24319</v>
      </c>
      <c r="V448" s="40">
        <f>IF($A448="",0,U448+MAX(0,N($I448)-MAX(N($H448),1)))</f>
        <v>24319</v>
      </c>
      <c r="W448" s="40">
        <f>IF(S448="",0,YEAR(S448)*12+MONTH(S448))</f>
        <v>0</v>
      </c>
      <c r="X448" s="40">
        <f>IF(W448=0,0,W448+V448-U448)</f>
        <v>0</v>
      </c>
      <c r="Y448" s="36">
        <f>IF(W448=0,0,N(R448)*MAX(0,X448-MAX(W448,YEAR(Cfg_Hoje)*12+MONTH(Cfg_Hoje)+IF(DAY(Cfg_Hoje)&gt;=INDEX(Cartoes_Fech,MATCH($F448,Cartoes_Nome,0)),1,0))+1))</f>
        <v>0</v>
      </c>
      <c r="Z448" s="40">
        <f>IF($A448="",0,DAY($A448))</f>
        <v>7</v>
      </c>
      <c r="AA448" s="40">
        <f>IF($A448="",0,WEEKDAY($A448))</f>
        <v>3</v>
      </c>
      <c r="AB448" s="36">
        <f>IF(AND($C448="Despesa",U448&gt;0,U448&lt;=Sel_Idx,V448&gt;=Sel_Idx),N(R448)+ROW()/1000000000,0)</f>
        <v>0</v>
      </c>
      <c r="AC448" s="40">
        <f>IF(AND($C448="Despesa",U448&gt;0,U448&lt;=Sel_Idx,V448&gt;=Sel_Idx),Z448*10000+ROW(),0)</f>
        <v>0</v>
      </c>
      <c r="AD448" s="40">
        <f>IF(AC448=0,0,COUNTIFS(L_CalChave,"&gt;0",L_CalChave,"&lt;"&amp;AC448)+1)</f>
        <v>0</v>
      </c>
    </row>
    <row r="449">
      <c r="A449" s="38" t="n">
        <v>46211</v>
      </c>
      <c r="B449" s="39" t="inlineStr">
        <is>
          <t>Curso de inglês</t>
        </is>
      </c>
      <c r="C449" s="34" t="inlineStr">
        <is>
          <t>Despesa</t>
        </is>
      </c>
      <c r="D449" s="34" t="inlineStr">
        <is>
          <t>Educação</t>
        </is>
      </c>
      <c r="E449" s="34" t="inlineStr">
        <is>
          <t>Cursos</t>
        </is>
      </c>
      <c r="F449" s="34" t="inlineStr">
        <is>
          <t>Conta Corrente Banco Azul</t>
        </is>
      </c>
      <c r="G449" s="34" t="inlineStr">
        <is>
          <t>Boleto</t>
        </is>
      </c>
      <c r="H449" s="37" t="n"/>
      <c r="I449" s="37" t="n"/>
      <c r="J449" s="34" t="inlineStr">
        <is>
          <t>Pago</t>
        </is>
      </c>
      <c r="K449" s="34" t="n"/>
      <c r="L449" s="34" t="n"/>
      <c r="M449" s="39" t="inlineStr">
        <is>
          <t>EXEMPLO</t>
        </is>
      </c>
      <c r="N449" s="35" t="n">
        <v>390</v>
      </c>
      <c r="O449" s="40">
        <f>IF($A449="","",MONTH($A449))</f>
        <v>7</v>
      </c>
      <c r="P449" s="40">
        <f>IF($A449="","",YEAR($A449))</f>
        <v>2026</v>
      </c>
      <c r="Q449" s="41">
        <f>IF($A449="","",DATE(P449,O449,1))</f>
        <v>46204.0</v>
      </c>
      <c r="R449" s="36">
        <f>IF(OR($A449="",$N449=""),"",IF(AND($C449&lt;&gt;"Transferência",N($I449)&gt;1),$N449/$I449,$N449))</f>
        <v>390</v>
      </c>
      <c r="S449" s="41" t="str">
        <f>IF(OR($A449="",$F449="",$C449&lt;&gt;"Despesa"),"",IF(COUNTIF(Cartoes_Nome,$F449)=0,"",DATE(P449,O449+IF(DAY($A449)&gt;=INDEX(Cartoes_Fech,MATCH($F449,Cartoes_Nome,0)),1,0),1)))</f>
        <v/>
      </c>
      <c r="T449" s="42" t="str">
        <f>IF($A449="","",IF(COUNTIFS(L_Data,$A449,L_Desc,$B449,L_Valor,$N449,L_Tipo,$C449)&gt;1,"⚠ Possível duplicidade",IF(OR(AND($C449="Despesa",COUNTIF(CatD_Nome,$D449)=0),AND($C449="Receita",COUNTIF(CatR_Nome,$D449)=0)),"⚠ Categoria não combina com o tipo",IF(OR($N449="",$C449=""),"⚠ Falta valor ou tipo",""))))</f>
        <v/>
      </c>
      <c r="U449" s="40">
        <f>IF($A449="",0,P449*12+O449)</f>
        <v>24319</v>
      </c>
      <c r="V449" s="40">
        <f>IF($A449="",0,U449+MAX(0,N($I449)-MAX(N($H449),1)))</f>
        <v>24319</v>
      </c>
      <c r="W449" s="40">
        <f>IF(S449="",0,YEAR(S449)*12+MONTH(S449))</f>
        <v>0</v>
      </c>
      <c r="X449" s="40">
        <f>IF(W449=0,0,W449+V449-U449)</f>
        <v>0</v>
      </c>
      <c r="Y449" s="36">
        <f>IF(W449=0,0,N(R449)*MAX(0,X449-MAX(W449,YEAR(Cfg_Hoje)*12+MONTH(Cfg_Hoje)+IF(DAY(Cfg_Hoje)&gt;=INDEX(Cartoes_Fech,MATCH($F449,Cartoes_Nome,0)),1,0))+1))</f>
        <v>0</v>
      </c>
      <c r="Z449" s="40">
        <f>IF($A449="",0,DAY($A449))</f>
        <v>8</v>
      </c>
      <c r="AA449" s="40">
        <f>IF($A449="",0,WEEKDAY($A449))</f>
        <v>4</v>
      </c>
      <c r="AB449" s="36">
        <f>IF(AND($C449="Despesa",U449&gt;0,U449&lt;=Sel_Idx,V449&gt;=Sel_Idx),N(R449)+ROW()/1000000000,0)</f>
        <v>0</v>
      </c>
      <c r="AC449" s="40">
        <f>IF(AND($C449="Despesa",U449&gt;0,U449&lt;=Sel_Idx,V449&gt;=Sel_Idx),Z449*10000+ROW(),0)</f>
        <v>0</v>
      </c>
      <c r="AD449" s="40">
        <f>IF(AC449=0,0,COUNTIFS(L_CalChave,"&gt;0",L_CalChave,"&lt;"&amp;AC449)+1)</f>
        <v>0</v>
      </c>
    </row>
    <row r="450">
      <c r="A450" s="38" t="n">
        <v>46211</v>
      </c>
      <c r="B450" s="39" t="inlineStr">
        <is>
          <t>Geladeira nova (10x)</t>
        </is>
      </c>
      <c r="C450" s="34" t="inlineStr">
        <is>
          <t>Despesa</t>
        </is>
      </c>
      <c r="D450" s="34" t="inlineStr">
        <is>
          <t>Moradia</t>
        </is>
      </c>
      <c r="E450" s="34" t="n"/>
      <c r="F450" s="34" t="inlineStr">
        <is>
          <t>Cartão Azul Gold</t>
        </is>
      </c>
      <c r="G450" s="34" t="inlineStr">
        <is>
          <t>Crédito</t>
        </is>
      </c>
      <c r="H450" s="37" t="n">
        <v>1</v>
      </c>
      <c r="I450" s="37" t="n">
        <v>10</v>
      </c>
      <c r="J450" s="34" t="inlineStr">
        <is>
          <t>Pendente</t>
        </is>
      </c>
      <c r="K450" s="34" t="n"/>
      <c r="L450" s="34" t="n"/>
      <c r="M450" s="39" t="inlineStr">
        <is>
          <t>EXEMPLO</t>
        </is>
      </c>
      <c r="N450" s="35" t="n">
        <v>2000</v>
      </c>
      <c r="O450" s="40">
        <f>IF($A450="","",MONTH($A450))</f>
        <v>7</v>
      </c>
      <c r="P450" s="40">
        <f>IF($A450="","",YEAR($A450))</f>
        <v>2026</v>
      </c>
      <c r="Q450" s="41">
        <f>IF($A450="","",DATE(P450,O450,1))</f>
        <v>46204.0</v>
      </c>
      <c r="R450" s="36">
        <f>IF(OR($A450="",$N450=""),"",IF(AND($C450&lt;&gt;"Transferência",N($I450)&gt;1),$N450/$I450,$N450))</f>
        <v>200</v>
      </c>
      <c r="S450" s="41">
        <f>IF(OR($A450="",$F450="",$C450&lt;&gt;"Despesa"),"",IF(COUNTIF(Cartoes_Nome,$F450)=0,"",DATE(P450,O450+IF(DAY($A450)&gt;=INDEX(Cartoes_Fech,MATCH($F450,Cartoes_Nome,0)),1,0),1)))</f>
        <v>46204.0</v>
      </c>
      <c r="T450" s="42" t="str">
        <f>IF($A450="","",IF(COUNTIFS(L_Data,$A450,L_Desc,$B450,L_Valor,$N450,L_Tipo,$C450)&gt;1,"⚠ Possível duplicidade",IF(OR(AND($C450="Despesa",COUNTIF(CatD_Nome,$D450)=0),AND($C450="Receita",COUNTIF(CatR_Nome,$D450)=0)),"⚠ Categoria não combina com o tipo",IF(OR($N450="",$C450=""),"⚠ Falta valor ou tipo",""))))</f>
        <v/>
      </c>
      <c r="U450" s="40">
        <f>IF($A450="",0,P450*12+O450)</f>
        <v>24319</v>
      </c>
      <c r="V450" s="40">
        <f>IF($A450="",0,U450+MAX(0,N($I450)-MAX(N($H450),1)))</f>
        <v>24328</v>
      </c>
      <c r="W450" s="40">
        <f>IF(S450="",0,YEAR(S450)*12+MONTH(S450))</f>
        <v>24319</v>
      </c>
      <c r="X450" s="40">
        <f>IF(W450=0,0,W450+V450-U450)</f>
        <v>24328</v>
      </c>
      <c r="Y450" s="36">
        <f>IF(W450=0,0,N(R450)*MAX(0,X450-MAX(W450,YEAR(Cfg_Hoje)*12+MONTH(Cfg_Hoje)+IF(DAY(Cfg_Hoje)&gt;=INDEX(Cartoes_Fech,MATCH($F450,Cartoes_Nome,0)),1,0))+1))</f>
        <v>1400</v>
      </c>
      <c r="Z450" s="40">
        <f>IF($A450="",0,DAY($A450))</f>
        <v>8</v>
      </c>
      <c r="AA450" s="40">
        <f>IF($A450="",0,WEEKDAY($A450))</f>
        <v>4</v>
      </c>
      <c r="AB450" s="36">
        <f>IF(AND($C450="Despesa",U450&gt;0,U450&lt;=Sel_Idx,V450&gt;=Sel_Idx),N(R450)+ROW()/1000000000,0)</f>
        <v>200.00000045</v>
      </c>
      <c r="AC450" s="40">
        <f>IF(AND($C450="Despesa",U450&gt;0,U450&lt;=Sel_Idx,V450&gt;=Sel_Idx),Z450*10000+ROW(),0)</f>
        <v>80450</v>
      </c>
      <c r="AD450" s="40">
        <f>IF(AC450=0,0,COUNTIFS(L_CalChave,"&gt;0",L_CalChave,"&lt;"&amp;AC450)+1)</f>
        <v>7</v>
      </c>
    </row>
    <row r="451">
      <c r="A451" s="38" t="n">
        <v>46212</v>
      </c>
      <c r="B451" s="39" t="inlineStr">
        <is>
          <t>Ração e petiscos</t>
        </is>
      </c>
      <c r="C451" s="34" t="inlineStr">
        <is>
          <t>Despesa</t>
        </is>
      </c>
      <c r="D451" s="34" t="inlineStr">
        <is>
          <t>Família/Pets</t>
        </is>
      </c>
      <c r="E451" s="34" t="inlineStr">
        <is>
          <t>Ração</t>
        </is>
      </c>
      <c r="F451" s="34" t="inlineStr">
        <is>
          <t>Cartão Azul Gold</t>
        </is>
      </c>
      <c r="G451" s="34" t="inlineStr">
        <is>
          <t>Crédito</t>
        </is>
      </c>
      <c r="H451" s="37" t="n"/>
      <c r="I451" s="37" t="n"/>
      <c r="J451" s="34" t="inlineStr">
        <is>
          <t>Pago</t>
        </is>
      </c>
      <c r="K451" s="34" t="n"/>
      <c r="L451" s="34" t="n"/>
      <c r="M451" s="39" t="inlineStr">
        <is>
          <t>EXEMPLO</t>
        </is>
      </c>
      <c r="N451" s="35" t="n">
        <v>202.55</v>
      </c>
      <c r="O451" s="40">
        <f>IF($A451="","",MONTH($A451))</f>
        <v>7</v>
      </c>
      <c r="P451" s="40">
        <f>IF($A451="","",YEAR($A451))</f>
        <v>2026</v>
      </c>
      <c r="Q451" s="41">
        <f>IF($A451="","",DATE(P451,O451,1))</f>
        <v>46204.0</v>
      </c>
      <c r="R451" s="36">
        <f>IF(OR($A451="",$N451=""),"",IF(AND($C451&lt;&gt;"Transferência",N($I451)&gt;1),$N451/$I451,$N451))</f>
        <v>202.55</v>
      </c>
      <c r="S451" s="41">
        <f>IF(OR($A451="",$F451="",$C451&lt;&gt;"Despesa"),"",IF(COUNTIF(Cartoes_Nome,$F451)=0,"",DATE(P451,O451+IF(DAY($A451)&gt;=INDEX(Cartoes_Fech,MATCH($F451,Cartoes_Nome,0)),1,0),1)))</f>
        <v>46204.0</v>
      </c>
      <c r="T451" s="42" t="str">
        <f>IF($A451="","",IF(COUNTIFS(L_Data,$A451,L_Desc,$B451,L_Valor,$N451,L_Tipo,$C451)&gt;1,"⚠ Possível duplicidade",IF(OR(AND($C451="Despesa",COUNTIF(CatD_Nome,$D451)=0),AND($C451="Receita",COUNTIF(CatR_Nome,$D451)=0)),"⚠ Categoria não combina com o tipo",IF(OR($N451="",$C451=""),"⚠ Falta valor ou tipo",""))))</f>
        <v/>
      </c>
      <c r="U451" s="40">
        <f>IF($A451="",0,P451*12+O451)</f>
        <v>24319</v>
      </c>
      <c r="V451" s="40">
        <f>IF($A451="",0,U451+MAX(0,N($I451)-MAX(N($H451),1)))</f>
        <v>24319</v>
      </c>
      <c r="W451" s="40">
        <f>IF(S451="",0,YEAR(S451)*12+MONTH(S451))</f>
        <v>24319</v>
      </c>
      <c r="X451" s="40">
        <f>IF(W451=0,0,W451+V451-U451)</f>
        <v>24319</v>
      </c>
      <c r="Y451" s="36">
        <f>IF(W451=0,0,N(R451)*MAX(0,X451-MAX(W451,YEAR(Cfg_Hoje)*12+MONTH(Cfg_Hoje)+IF(DAY(Cfg_Hoje)&gt;=INDEX(Cartoes_Fech,MATCH($F451,Cartoes_Nome,0)),1,0))+1))</f>
        <v>0</v>
      </c>
      <c r="Z451" s="40">
        <f>IF($A451="",0,DAY($A451))</f>
        <v>9</v>
      </c>
      <c r="AA451" s="40">
        <f>IF($A451="",0,WEEKDAY($A451))</f>
        <v>5</v>
      </c>
      <c r="AB451" s="36">
        <f>IF(AND($C451="Despesa",U451&gt;0,U451&lt;=Sel_Idx,V451&gt;=Sel_Idx),N(R451)+ROW()/1000000000,0)</f>
        <v>0</v>
      </c>
      <c r="AC451" s="40">
        <f>IF(AND($C451="Despesa",U451&gt;0,U451&lt;=Sel_Idx,V451&gt;=Sel_Idx),Z451*10000+ROW(),0)</f>
        <v>0</v>
      </c>
      <c r="AD451" s="40">
        <f>IF(AC451=0,0,COUNTIFS(L_CalChave,"&gt;0",L_CalChave,"&lt;"&amp;AC451)+1)</f>
        <v>0</v>
      </c>
    </row>
    <row r="452">
      <c r="A452" s="38" t="n">
        <v>46213</v>
      </c>
      <c r="B452" s="39" t="inlineStr">
        <is>
          <t>Aluguel recebido - apto 12</t>
        </is>
      </c>
      <c r="C452" s="34" t="inlineStr">
        <is>
          <t>Receita</t>
        </is>
      </c>
      <c r="D452" s="34" t="inlineStr">
        <is>
          <t>Aluguel recebido</t>
        </is>
      </c>
      <c r="E452" s="34" t="n"/>
      <c r="F452" s="34" t="inlineStr">
        <is>
          <t>Conta Corrente Banco Azul</t>
        </is>
      </c>
      <c r="G452" s="34" t="inlineStr">
        <is>
          <t>Pix</t>
        </is>
      </c>
      <c r="H452" s="37" t="n"/>
      <c r="I452" s="37" t="n"/>
      <c r="J452" s="34" t="inlineStr">
        <is>
          <t>Pago</t>
        </is>
      </c>
      <c r="K452" s="34" t="n"/>
      <c r="L452" s="34" t="n"/>
      <c r="M452" s="39" t="inlineStr">
        <is>
          <t>EXEMPLO</t>
        </is>
      </c>
      <c r="N452" s="35" t="n">
        <v>1900</v>
      </c>
      <c r="O452" s="40">
        <f>IF($A452="","",MONTH($A452))</f>
        <v>7</v>
      </c>
      <c r="P452" s="40">
        <f>IF($A452="","",YEAR($A452))</f>
        <v>2026</v>
      </c>
      <c r="Q452" s="41">
        <f>IF($A452="","",DATE(P452,O452,1))</f>
        <v>46204.0</v>
      </c>
      <c r="R452" s="36">
        <f>IF(OR($A452="",$N452=""),"",IF(AND($C452&lt;&gt;"Transferência",N($I452)&gt;1),$N452/$I452,$N452))</f>
        <v>1900</v>
      </c>
      <c r="S452" s="41" t="str">
        <f>IF(OR($A452="",$F452="",$C452&lt;&gt;"Despesa"),"",IF(COUNTIF(Cartoes_Nome,$F452)=0,"",DATE(P452,O452+IF(DAY($A452)&gt;=INDEX(Cartoes_Fech,MATCH($F452,Cartoes_Nome,0)),1,0),1)))</f>
        <v/>
      </c>
      <c r="T452" s="42" t="str">
        <f>IF($A452="","",IF(COUNTIFS(L_Data,$A452,L_Desc,$B452,L_Valor,$N452,L_Tipo,$C452)&gt;1,"⚠ Possível duplicidade",IF(OR(AND($C452="Despesa",COUNTIF(CatD_Nome,$D452)=0),AND($C452="Receita",COUNTIF(CatR_Nome,$D452)=0)),"⚠ Categoria não combina com o tipo",IF(OR($N452="",$C452=""),"⚠ Falta valor ou tipo",""))))</f>
        <v/>
      </c>
      <c r="U452" s="40">
        <f>IF($A452="",0,P452*12+O452)</f>
        <v>24319</v>
      </c>
      <c r="V452" s="40">
        <f>IF($A452="",0,U452+MAX(0,N($I452)-MAX(N($H452),1)))</f>
        <v>24319</v>
      </c>
      <c r="W452" s="40">
        <f>IF(S452="",0,YEAR(S452)*12+MONTH(S452))</f>
        <v>0</v>
      </c>
      <c r="X452" s="40">
        <f>IF(W452=0,0,W452+V452-U452)</f>
        <v>0</v>
      </c>
      <c r="Y452" s="36">
        <f>IF(W452=0,0,N(R452)*MAX(0,X452-MAX(W452,YEAR(Cfg_Hoje)*12+MONTH(Cfg_Hoje)+IF(DAY(Cfg_Hoje)&gt;=INDEX(Cartoes_Fech,MATCH($F452,Cartoes_Nome,0)),1,0))+1))</f>
        <v>0</v>
      </c>
      <c r="Z452" s="40">
        <f>IF($A452="",0,DAY($A452))</f>
        <v>10</v>
      </c>
      <c r="AA452" s="40">
        <f>IF($A452="",0,WEEKDAY($A452))</f>
        <v>6</v>
      </c>
      <c r="AB452" s="36">
        <f>IF(AND($C452="Despesa",U452&gt;0,U452&lt;=Sel_Idx,V452&gt;=Sel_Idx),N(R452)+ROW()/1000000000,0)</f>
        <v>0</v>
      </c>
      <c r="AC452" s="40">
        <f>IF(AND($C452="Despesa",U452&gt;0,U452&lt;=Sel_Idx,V452&gt;=Sel_Idx),Z452*10000+ROW(),0)</f>
        <v>0</v>
      </c>
      <c r="AD452" s="40">
        <f>IF(AC452=0,0,COUNTIFS(L_CalChave,"&gt;0",L_CalChave,"&lt;"&amp;AC452)+1)</f>
        <v>0</v>
      </c>
    </row>
    <row r="453">
      <c r="A453" s="38" t="n">
        <v>46213</v>
      </c>
      <c r="B453" s="39" t="inlineStr">
        <is>
          <t>Aluguel residencial</t>
        </is>
      </c>
      <c r="C453" s="34" t="inlineStr">
        <is>
          <t>Despesa</t>
        </is>
      </c>
      <c r="D453" s="34" t="inlineStr">
        <is>
          <t>Moradia</t>
        </is>
      </c>
      <c r="E453" s="34" t="inlineStr">
        <is>
          <t>Aluguel</t>
        </is>
      </c>
      <c r="F453" s="34" t="inlineStr">
        <is>
          <t>Conta Corrente Banco Azul</t>
        </is>
      </c>
      <c r="G453" s="34" t="inlineStr">
        <is>
          <t>Boleto</t>
        </is>
      </c>
      <c r="H453" s="37" t="n"/>
      <c r="I453" s="37" t="n"/>
      <c r="J453" s="34" t="inlineStr">
        <is>
          <t>Pago</t>
        </is>
      </c>
      <c r="K453" s="34" t="n"/>
      <c r="L453" s="34" t="n"/>
      <c r="M453" s="39" t="inlineStr">
        <is>
          <t>EXEMPLO</t>
        </is>
      </c>
      <c r="N453" s="35" t="n">
        <v>2400</v>
      </c>
      <c r="O453" s="40">
        <f>IF($A453="","",MONTH($A453))</f>
        <v>7</v>
      </c>
      <c r="P453" s="40">
        <f>IF($A453="","",YEAR($A453))</f>
        <v>2026</v>
      </c>
      <c r="Q453" s="41">
        <f>IF($A453="","",DATE(P453,O453,1))</f>
        <v>46204.0</v>
      </c>
      <c r="R453" s="36">
        <f>IF(OR($A453="",$N453=""),"",IF(AND($C453&lt;&gt;"Transferência",N($I453)&gt;1),$N453/$I453,$N453))</f>
        <v>2400</v>
      </c>
      <c r="S453" s="41" t="str">
        <f>IF(OR($A453="",$F453="",$C453&lt;&gt;"Despesa"),"",IF(COUNTIF(Cartoes_Nome,$F453)=0,"",DATE(P453,O453+IF(DAY($A453)&gt;=INDEX(Cartoes_Fech,MATCH($F453,Cartoes_Nome,0)),1,0),1)))</f>
        <v/>
      </c>
      <c r="T453" s="42" t="str">
        <f>IF($A453="","",IF(COUNTIFS(L_Data,$A453,L_Desc,$B453,L_Valor,$N453,L_Tipo,$C453)&gt;1,"⚠ Possível duplicidade",IF(OR(AND($C453="Despesa",COUNTIF(CatD_Nome,$D453)=0),AND($C453="Receita",COUNTIF(CatR_Nome,$D453)=0)),"⚠ Categoria não combina com o tipo",IF(OR($N453="",$C453=""),"⚠ Falta valor ou tipo",""))))</f>
        <v/>
      </c>
      <c r="U453" s="40">
        <f>IF($A453="",0,P453*12+O453)</f>
        <v>24319</v>
      </c>
      <c r="V453" s="40">
        <f>IF($A453="",0,U453+MAX(0,N($I453)-MAX(N($H453),1)))</f>
        <v>24319</v>
      </c>
      <c r="W453" s="40">
        <f>IF(S453="",0,YEAR(S453)*12+MONTH(S453))</f>
        <v>0</v>
      </c>
      <c r="X453" s="40">
        <f>IF(W453=0,0,W453+V453-U453)</f>
        <v>0</v>
      </c>
      <c r="Y453" s="36">
        <f>IF(W453=0,0,N(R453)*MAX(0,X453-MAX(W453,YEAR(Cfg_Hoje)*12+MONTH(Cfg_Hoje)+IF(DAY(Cfg_Hoje)&gt;=INDEX(Cartoes_Fech,MATCH($F453,Cartoes_Nome,0)),1,0))+1))</f>
        <v>0</v>
      </c>
      <c r="Z453" s="40">
        <f>IF($A453="",0,DAY($A453))</f>
        <v>10</v>
      </c>
      <c r="AA453" s="40">
        <f>IF($A453="",0,WEEKDAY($A453))</f>
        <v>6</v>
      </c>
      <c r="AB453" s="36">
        <f>IF(AND($C453="Despesa",U453&gt;0,U453&lt;=Sel_Idx,V453&gt;=Sel_Idx),N(R453)+ROW()/1000000000,0)</f>
        <v>0</v>
      </c>
      <c r="AC453" s="40">
        <f>IF(AND($C453="Despesa",U453&gt;0,U453&lt;=Sel_Idx,V453&gt;=Sel_Idx),Z453*10000+ROW(),0)</f>
        <v>0</v>
      </c>
      <c r="AD453" s="40">
        <f>IF(AC453=0,0,COUNTIFS(L_CalChave,"&gt;0",L_CalChave,"&lt;"&amp;AC453)+1)</f>
        <v>0</v>
      </c>
    </row>
    <row r="454">
      <c r="A454" s="38" t="n">
        <v>46213</v>
      </c>
      <c r="B454" s="39" t="inlineStr">
        <is>
          <t>Condomínio</t>
        </is>
      </c>
      <c r="C454" s="34" t="inlineStr">
        <is>
          <t>Despesa</t>
        </is>
      </c>
      <c r="D454" s="34" t="inlineStr">
        <is>
          <t>Moradia</t>
        </is>
      </c>
      <c r="E454" s="34" t="inlineStr">
        <is>
          <t>Condomínio</t>
        </is>
      </c>
      <c r="F454" s="34" t="inlineStr">
        <is>
          <t>Conta Corrente Banco Azul</t>
        </is>
      </c>
      <c r="G454" s="34" t="inlineStr">
        <is>
          <t>Boleto</t>
        </is>
      </c>
      <c r="H454" s="37" t="n"/>
      <c r="I454" s="37" t="n"/>
      <c r="J454" s="34" t="inlineStr">
        <is>
          <t>Pago</t>
        </is>
      </c>
      <c r="K454" s="34" t="n"/>
      <c r="L454" s="34" t="n"/>
      <c r="M454" s="39" t="inlineStr">
        <is>
          <t>EXEMPLO</t>
        </is>
      </c>
      <c r="N454" s="35" t="n">
        <v>650</v>
      </c>
      <c r="O454" s="40">
        <f>IF($A454="","",MONTH($A454))</f>
        <v>7</v>
      </c>
      <c r="P454" s="40">
        <f>IF($A454="","",YEAR($A454))</f>
        <v>2026</v>
      </c>
      <c r="Q454" s="41">
        <f>IF($A454="","",DATE(P454,O454,1))</f>
        <v>46204.0</v>
      </c>
      <c r="R454" s="36">
        <f>IF(OR($A454="",$N454=""),"",IF(AND($C454&lt;&gt;"Transferência",N($I454)&gt;1),$N454/$I454,$N454))</f>
        <v>650</v>
      </c>
      <c r="S454" s="41" t="str">
        <f>IF(OR($A454="",$F454="",$C454&lt;&gt;"Despesa"),"",IF(COUNTIF(Cartoes_Nome,$F454)=0,"",DATE(P454,O454+IF(DAY($A454)&gt;=INDEX(Cartoes_Fech,MATCH($F454,Cartoes_Nome,0)),1,0),1)))</f>
        <v/>
      </c>
      <c r="T454" s="42" t="str">
        <f>IF($A454="","",IF(COUNTIFS(L_Data,$A454,L_Desc,$B454,L_Valor,$N454,L_Tipo,$C454)&gt;1,"⚠ Possível duplicidade",IF(OR(AND($C454="Despesa",COUNTIF(CatD_Nome,$D454)=0),AND($C454="Receita",COUNTIF(CatR_Nome,$D454)=0)),"⚠ Categoria não combina com o tipo",IF(OR($N454="",$C454=""),"⚠ Falta valor ou tipo",""))))</f>
        <v/>
      </c>
      <c r="U454" s="40">
        <f>IF($A454="",0,P454*12+O454)</f>
        <v>24319</v>
      </c>
      <c r="V454" s="40">
        <f>IF($A454="",0,U454+MAX(0,N($I454)-MAX(N($H454),1)))</f>
        <v>24319</v>
      </c>
      <c r="W454" s="40">
        <f>IF(S454="",0,YEAR(S454)*12+MONTH(S454))</f>
        <v>0</v>
      </c>
      <c r="X454" s="40">
        <f>IF(W454=0,0,W454+V454-U454)</f>
        <v>0</v>
      </c>
      <c r="Y454" s="36">
        <f>IF(W454=0,0,N(R454)*MAX(0,X454-MAX(W454,YEAR(Cfg_Hoje)*12+MONTH(Cfg_Hoje)+IF(DAY(Cfg_Hoje)&gt;=INDEX(Cartoes_Fech,MATCH($F454,Cartoes_Nome,0)),1,0))+1))</f>
        <v>0</v>
      </c>
      <c r="Z454" s="40">
        <f>IF($A454="",0,DAY($A454))</f>
        <v>10</v>
      </c>
      <c r="AA454" s="40">
        <f>IF($A454="",0,WEEKDAY($A454))</f>
        <v>6</v>
      </c>
      <c r="AB454" s="36">
        <f>IF(AND($C454="Despesa",U454&gt;0,U454&lt;=Sel_Idx,V454&gt;=Sel_Idx),N(R454)+ROW()/1000000000,0)</f>
        <v>0</v>
      </c>
      <c r="AC454" s="40">
        <f>IF(AND($C454="Despesa",U454&gt;0,U454&lt;=Sel_Idx,V454&gt;=Sel_Idx),Z454*10000+ROW(),0)</f>
        <v>0</v>
      </c>
      <c r="AD454" s="40">
        <f>IF(AC454=0,0,COUNTIFS(L_CalChave,"&gt;0",L_CalChave,"&lt;"&amp;AC454)+1)</f>
        <v>0</v>
      </c>
    </row>
    <row r="455">
      <c r="A455" s="38" t="n">
        <v>46214</v>
      </c>
      <c r="B455" s="39" t="inlineStr">
        <is>
          <t>Combustível</t>
        </is>
      </c>
      <c r="C455" s="34" t="inlineStr">
        <is>
          <t>Despesa</t>
        </is>
      </c>
      <c r="D455" s="34" t="inlineStr">
        <is>
          <t>Transporte</t>
        </is>
      </c>
      <c r="E455" s="34" t="inlineStr">
        <is>
          <t>Combustível</t>
        </is>
      </c>
      <c r="F455" s="34" t="inlineStr">
        <is>
          <t>Cartão Roxinho</t>
        </is>
      </c>
      <c r="G455" s="34" t="inlineStr">
        <is>
          <t>Crédito</t>
        </is>
      </c>
      <c r="H455" s="37" t="n"/>
      <c r="I455" s="37" t="n"/>
      <c r="J455" s="34" t="inlineStr">
        <is>
          <t>Pago</t>
        </is>
      </c>
      <c r="K455" s="34" t="n"/>
      <c r="L455" s="34" t="n"/>
      <c r="M455" s="39" t="inlineStr">
        <is>
          <t>EXEMPLO</t>
        </is>
      </c>
      <c r="N455" s="35" t="n">
        <v>209.99</v>
      </c>
      <c r="O455" s="40">
        <f>IF($A455="","",MONTH($A455))</f>
        <v>7</v>
      </c>
      <c r="P455" s="40">
        <f>IF($A455="","",YEAR($A455))</f>
        <v>2026</v>
      </c>
      <c r="Q455" s="41">
        <f>IF($A455="","",DATE(P455,O455,1))</f>
        <v>46204.0</v>
      </c>
      <c r="R455" s="36">
        <f>IF(OR($A455="",$N455=""),"",IF(AND($C455&lt;&gt;"Transferência",N($I455)&gt;1),$N455/$I455,$N455))</f>
        <v>209.99</v>
      </c>
      <c r="S455" s="41">
        <f>IF(OR($A455="",$F455="",$C455&lt;&gt;"Despesa"),"",IF(COUNTIF(Cartoes_Nome,$F455)=0,"",DATE(P455,O455+IF(DAY($A455)&gt;=INDEX(Cartoes_Fech,MATCH($F455,Cartoes_Nome,0)),1,0),1)))</f>
        <v>46204.0</v>
      </c>
      <c r="T455" s="42" t="str">
        <f>IF($A455="","",IF(COUNTIFS(L_Data,$A455,L_Desc,$B455,L_Valor,$N455,L_Tipo,$C455)&gt;1,"⚠ Possível duplicidade",IF(OR(AND($C455="Despesa",COUNTIF(CatD_Nome,$D455)=0),AND($C455="Receita",COUNTIF(CatR_Nome,$D455)=0)),"⚠ Categoria não combina com o tipo",IF(OR($N455="",$C455=""),"⚠ Falta valor ou tipo",""))))</f>
        <v/>
      </c>
      <c r="U455" s="40">
        <f>IF($A455="",0,P455*12+O455)</f>
        <v>24319</v>
      </c>
      <c r="V455" s="40">
        <f>IF($A455="",0,U455+MAX(0,N($I455)-MAX(N($H455),1)))</f>
        <v>24319</v>
      </c>
      <c r="W455" s="40">
        <f>IF(S455="",0,YEAR(S455)*12+MONTH(S455))</f>
        <v>24319</v>
      </c>
      <c r="X455" s="40">
        <f>IF(W455=0,0,W455+V455-U455)</f>
        <v>24319</v>
      </c>
      <c r="Y455" s="36">
        <f>IF(W455=0,0,N(R455)*MAX(0,X455-MAX(W455,YEAR(Cfg_Hoje)*12+MONTH(Cfg_Hoje)+IF(DAY(Cfg_Hoje)&gt;=INDEX(Cartoes_Fech,MATCH($F455,Cartoes_Nome,0)),1,0))+1))</f>
        <v>0</v>
      </c>
      <c r="Z455" s="40">
        <f>IF($A455="",0,DAY($A455))</f>
        <v>11</v>
      </c>
      <c r="AA455" s="40">
        <f>IF($A455="",0,WEEKDAY($A455))</f>
        <v>7</v>
      </c>
      <c r="AB455" s="36">
        <f>IF(AND($C455="Despesa",U455&gt;0,U455&lt;=Sel_Idx,V455&gt;=Sel_Idx),N(R455)+ROW()/1000000000,0)</f>
        <v>0</v>
      </c>
      <c r="AC455" s="40">
        <f>IF(AND($C455="Despesa",U455&gt;0,U455&lt;=Sel_Idx,V455&gt;=Sel_Idx),Z455*10000+ROW(),0)</f>
        <v>0</v>
      </c>
      <c r="AD455" s="40">
        <f>IF(AC455=0,0,COUNTIFS(L_CalChave,"&gt;0",L_CalChave,"&lt;"&amp;AC455)+1)</f>
        <v>0</v>
      </c>
    </row>
    <row r="456">
      <c r="A456" s="38" t="n">
        <v>46215</v>
      </c>
      <c r="B456" s="39" t="inlineStr">
        <is>
          <t>Streaming de música</t>
        </is>
      </c>
      <c r="C456" s="34" t="inlineStr">
        <is>
          <t>Despesa</t>
        </is>
      </c>
      <c r="D456" s="34" t="inlineStr">
        <is>
          <t>Assinaturas</t>
        </is>
      </c>
      <c r="E456" s="34" t="inlineStr">
        <is>
          <t>Música</t>
        </is>
      </c>
      <c r="F456" s="34" t="inlineStr">
        <is>
          <t>Cartão Roxinho</t>
        </is>
      </c>
      <c r="G456" s="34" t="inlineStr">
        <is>
          <t>Crédito</t>
        </is>
      </c>
      <c r="H456" s="37" t="n"/>
      <c r="I456" s="37" t="n"/>
      <c r="J456" s="34" t="inlineStr">
        <is>
          <t>Pago</t>
        </is>
      </c>
      <c r="K456" s="34" t="n"/>
      <c r="L456" s="34" t="n"/>
      <c r="M456" s="39" t="inlineStr">
        <is>
          <t>EXEMPLO</t>
        </is>
      </c>
      <c r="N456" s="35" t="n">
        <v>21.9</v>
      </c>
      <c r="O456" s="40">
        <f>IF($A456="","",MONTH($A456))</f>
        <v>7</v>
      </c>
      <c r="P456" s="40">
        <f>IF($A456="","",YEAR($A456))</f>
        <v>2026</v>
      </c>
      <c r="Q456" s="41">
        <f>IF($A456="","",DATE(P456,O456,1))</f>
        <v>46204.0</v>
      </c>
      <c r="R456" s="36">
        <f>IF(OR($A456="",$N456=""),"",IF(AND($C456&lt;&gt;"Transferência",N($I456)&gt;1),$N456/$I456,$N456))</f>
        <v>21.9</v>
      </c>
      <c r="S456" s="41">
        <f>IF(OR($A456="",$F456="",$C456&lt;&gt;"Despesa"),"",IF(COUNTIF(Cartoes_Nome,$F456)=0,"",DATE(P456,O456+IF(DAY($A456)&gt;=INDEX(Cartoes_Fech,MATCH($F456,Cartoes_Nome,0)),1,0),1)))</f>
        <v>46204.0</v>
      </c>
      <c r="T456" s="42" t="str">
        <f>IF($A456="","",IF(COUNTIFS(L_Data,$A456,L_Desc,$B456,L_Valor,$N456,L_Tipo,$C456)&gt;1,"⚠ Possível duplicidade",IF(OR(AND($C456="Despesa",COUNTIF(CatD_Nome,$D456)=0),AND($C456="Receita",COUNTIF(CatR_Nome,$D456)=0)),"⚠ Categoria não combina com o tipo",IF(OR($N456="",$C456=""),"⚠ Falta valor ou tipo",""))))</f>
        <v/>
      </c>
      <c r="U456" s="40">
        <f>IF($A456="",0,P456*12+O456)</f>
        <v>24319</v>
      </c>
      <c r="V456" s="40">
        <f>IF($A456="",0,U456+MAX(0,N($I456)-MAX(N($H456),1)))</f>
        <v>24319</v>
      </c>
      <c r="W456" s="40">
        <f>IF(S456="",0,YEAR(S456)*12+MONTH(S456))</f>
        <v>24319</v>
      </c>
      <c r="X456" s="40">
        <f>IF(W456=0,0,W456+V456-U456)</f>
        <v>24319</v>
      </c>
      <c r="Y456" s="36">
        <f>IF(W456=0,0,N(R456)*MAX(0,X456-MAX(W456,YEAR(Cfg_Hoje)*12+MONTH(Cfg_Hoje)+IF(DAY(Cfg_Hoje)&gt;=INDEX(Cartoes_Fech,MATCH($F456,Cartoes_Nome,0)),1,0))+1))</f>
        <v>0</v>
      </c>
      <c r="Z456" s="40">
        <f>IF($A456="",0,DAY($A456))</f>
        <v>12</v>
      </c>
      <c r="AA456" s="40">
        <f>IF($A456="",0,WEEKDAY($A456))</f>
        <v>1</v>
      </c>
      <c r="AB456" s="36">
        <f>IF(AND($C456="Despesa",U456&gt;0,U456&lt;=Sel_Idx,V456&gt;=Sel_Idx),N(R456)+ROW()/1000000000,0)</f>
        <v>0</v>
      </c>
      <c r="AC456" s="40">
        <f>IF(AND($C456="Despesa",U456&gt;0,U456&lt;=Sel_Idx,V456&gt;=Sel_Idx),Z456*10000+ROW(),0)</f>
        <v>0</v>
      </c>
      <c r="AD456" s="40">
        <f>IF(AC456=0,0,COUNTIFS(L_CalChave,"&gt;0",L_CalChave,"&lt;"&amp;AC456)+1)</f>
        <v>0</v>
      </c>
    </row>
    <row r="457">
      <c r="A457" s="38" t="n">
        <v>46215</v>
      </c>
      <c r="B457" s="39" t="inlineStr">
        <is>
          <t>Streaming de vídeo</t>
        </is>
      </c>
      <c r="C457" s="34" t="inlineStr">
        <is>
          <t>Despesa</t>
        </is>
      </c>
      <c r="D457" s="34" t="inlineStr">
        <is>
          <t>Assinaturas</t>
        </is>
      </c>
      <c r="E457" s="34" t="inlineStr">
        <is>
          <t>Streaming</t>
        </is>
      </c>
      <c r="F457" s="34" t="inlineStr">
        <is>
          <t>Cartão Roxinho</t>
        </is>
      </c>
      <c r="G457" s="34" t="inlineStr">
        <is>
          <t>Crédito</t>
        </is>
      </c>
      <c r="H457" s="37" t="n"/>
      <c r="I457" s="37" t="n"/>
      <c r="J457" s="34" t="inlineStr">
        <is>
          <t>Pago</t>
        </is>
      </c>
      <c r="K457" s="34" t="n"/>
      <c r="L457" s="34" t="n"/>
      <c r="M457" s="39" t="inlineStr">
        <is>
          <t>EXEMPLO</t>
        </is>
      </c>
      <c r="N457" s="35" t="n">
        <v>55.9</v>
      </c>
      <c r="O457" s="40">
        <f>IF($A457="","",MONTH($A457))</f>
        <v>7</v>
      </c>
      <c r="P457" s="40">
        <f>IF($A457="","",YEAR($A457))</f>
        <v>2026</v>
      </c>
      <c r="Q457" s="41">
        <f>IF($A457="","",DATE(P457,O457,1))</f>
        <v>46204.0</v>
      </c>
      <c r="R457" s="36">
        <f>IF(OR($A457="",$N457=""),"",IF(AND($C457&lt;&gt;"Transferência",N($I457)&gt;1),$N457/$I457,$N457))</f>
        <v>55.9</v>
      </c>
      <c r="S457" s="41">
        <f>IF(OR($A457="",$F457="",$C457&lt;&gt;"Despesa"),"",IF(COUNTIF(Cartoes_Nome,$F457)=0,"",DATE(P457,O457+IF(DAY($A457)&gt;=INDEX(Cartoes_Fech,MATCH($F457,Cartoes_Nome,0)),1,0),1)))</f>
        <v>46204.0</v>
      </c>
      <c r="T457" s="42" t="str">
        <f>IF($A457="","",IF(COUNTIFS(L_Data,$A457,L_Desc,$B457,L_Valor,$N457,L_Tipo,$C457)&gt;1,"⚠ Possível duplicidade",IF(OR(AND($C457="Despesa",COUNTIF(CatD_Nome,$D457)=0),AND($C457="Receita",COUNTIF(CatR_Nome,$D457)=0)),"⚠ Categoria não combina com o tipo",IF(OR($N457="",$C457=""),"⚠ Falta valor ou tipo",""))))</f>
        <v/>
      </c>
      <c r="U457" s="40">
        <f>IF($A457="",0,P457*12+O457)</f>
        <v>24319</v>
      </c>
      <c r="V457" s="40">
        <f>IF($A457="",0,U457+MAX(0,N($I457)-MAX(N($H457),1)))</f>
        <v>24319</v>
      </c>
      <c r="W457" s="40">
        <f>IF(S457="",0,YEAR(S457)*12+MONTH(S457))</f>
        <v>24319</v>
      </c>
      <c r="X457" s="40">
        <f>IF(W457=0,0,W457+V457-U457)</f>
        <v>24319</v>
      </c>
      <c r="Y457" s="36">
        <f>IF(W457=0,0,N(R457)*MAX(0,X457-MAX(W457,YEAR(Cfg_Hoje)*12+MONTH(Cfg_Hoje)+IF(DAY(Cfg_Hoje)&gt;=INDEX(Cartoes_Fech,MATCH($F457,Cartoes_Nome,0)),1,0))+1))</f>
        <v>0</v>
      </c>
      <c r="Z457" s="40">
        <f>IF($A457="",0,DAY($A457))</f>
        <v>12</v>
      </c>
      <c r="AA457" s="40">
        <f>IF($A457="",0,WEEKDAY($A457))</f>
        <v>1</v>
      </c>
      <c r="AB457" s="36">
        <f>IF(AND($C457="Despesa",U457&gt;0,U457&lt;=Sel_Idx,V457&gt;=Sel_Idx),N(R457)+ROW()/1000000000,0)</f>
        <v>0</v>
      </c>
      <c r="AC457" s="40">
        <f>IF(AND($C457="Despesa",U457&gt;0,U457&lt;=Sel_Idx,V457&gt;=Sel_Idx),Z457*10000+ROW(),0)</f>
        <v>0</v>
      </c>
      <c r="AD457" s="40">
        <f>IF(AC457=0,0,COUNTIFS(L_CalChave,"&gt;0",L_CalChave,"&lt;"&amp;AC457)+1)</f>
        <v>0</v>
      </c>
    </row>
    <row r="458">
      <c r="A458" s="38" t="n">
        <v>46215</v>
      </c>
      <c r="B458" s="39" t="inlineStr">
        <is>
          <t>Supermercado</t>
        </is>
      </c>
      <c r="C458" s="34" t="inlineStr">
        <is>
          <t>Despesa</t>
        </is>
      </c>
      <c r="D458" s="34" t="inlineStr">
        <is>
          <t>Alimentação</t>
        </is>
      </c>
      <c r="E458" s="34" t="inlineStr">
        <is>
          <t>Mercado</t>
        </is>
      </c>
      <c r="F458" s="34" t="inlineStr">
        <is>
          <t>Cartão Azul Gold</t>
        </is>
      </c>
      <c r="G458" s="34" t="inlineStr">
        <is>
          <t>Crédito</t>
        </is>
      </c>
      <c r="H458" s="37" t="n"/>
      <c r="I458" s="37" t="n"/>
      <c r="J458" s="34" t="inlineStr">
        <is>
          <t>Pago</t>
        </is>
      </c>
      <c r="K458" s="34" t="n"/>
      <c r="L458" s="34" t="n"/>
      <c r="M458" s="39" t="inlineStr">
        <is>
          <t>EXEMPLO</t>
        </is>
      </c>
      <c r="N458" s="35" t="n">
        <v>339.13</v>
      </c>
      <c r="O458" s="40">
        <f>IF($A458="","",MONTH($A458))</f>
        <v>7</v>
      </c>
      <c r="P458" s="40">
        <f>IF($A458="","",YEAR($A458))</f>
        <v>2026</v>
      </c>
      <c r="Q458" s="41">
        <f>IF($A458="","",DATE(P458,O458,1))</f>
        <v>46204.0</v>
      </c>
      <c r="R458" s="36">
        <f>IF(OR($A458="",$N458=""),"",IF(AND($C458&lt;&gt;"Transferência",N($I458)&gt;1),$N458/$I458,$N458))</f>
        <v>339.13</v>
      </c>
      <c r="S458" s="41">
        <f>IF(OR($A458="",$F458="",$C458&lt;&gt;"Despesa"),"",IF(COUNTIF(Cartoes_Nome,$F458)=0,"",DATE(P458,O458+IF(DAY($A458)&gt;=INDEX(Cartoes_Fech,MATCH($F458,Cartoes_Nome,0)),1,0),1)))</f>
        <v>46235.0</v>
      </c>
      <c r="T458" s="42" t="str">
        <f>IF($A458="","",IF(COUNTIFS(L_Data,$A458,L_Desc,$B458,L_Valor,$N458,L_Tipo,$C458)&gt;1,"⚠ Possível duplicidade",IF(OR(AND($C458="Despesa",COUNTIF(CatD_Nome,$D458)=0),AND($C458="Receita",COUNTIF(CatR_Nome,$D458)=0)),"⚠ Categoria não combina com o tipo",IF(OR($N458="",$C458=""),"⚠ Falta valor ou tipo",""))))</f>
        <v/>
      </c>
      <c r="U458" s="40">
        <f>IF($A458="",0,P458*12+O458)</f>
        <v>24319</v>
      </c>
      <c r="V458" s="40">
        <f>IF($A458="",0,U458+MAX(0,N($I458)-MAX(N($H458),1)))</f>
        <v>24319</v>
      </c>
      <c r="W458" s="40">
        <f>IF(S458="",0,YEAR(S458)*12+MONTH(S458))</f>
        <v>24320</v>
      </c>
      <c r="X458" s="40">
        <f>IF(W458=0,0,W458+V458-U458)</f>
        <v>24320</v>
      </c>
      <c r="Y458" s="36">
        <f>IF(W458=0,0,N(R458)*MAX(0,X458-MAX(W458,YEAR(Cfg_Hoje)*12+MONTH(Cfg_Hoje)+IF(DAY(Cfg_Hoje)&gt;=INDEX(Cartoes_Fech,MATCH($F458,Cartoes_Nome,0)),1,0))+1))</f>
        <v>0</v>
      </c>
      <c r="Z458" s="40">
        <f>IF($A458="",0,DAY($A458))</f>
        <v>12</v>
      </c>
      <c r="AA458" s="40">
        <f>IF($A458="",0,WEEKDAY($A458))</f>
        <v>1</v>
      </c>
      <c r="AB458" s="36">
        <f>IF(AND($C458="Despesa",U458&gt;0,U458&lt;=Sel_Idx,V458&gt;=Sel_Idx),N(R458)+ROW()/1000000000,0)</f>
        <v>0</v>
      </c>
      <c r="AC458" s="40">
        <f>IF(AND($C458="Despesa",U458&gt;0,U458&lt;=Sel_Idx,V458&gt;=Sel_Idx),Z458*10000+ROW(),0)</f>
        <v>0</v>
      </c>
      <c r="AD458" s="40">
        <f>IF(AC458=0,0,COUNTIFS(L_CalChave,"&gt;0",L_CalChave,"&lt;"&amp;AC458)+1)</f>
        <v>0</v>
      </c>
    </row>
    <row r="459">
      <c r="A459" s="38" t="n">
        <v>46217</v>
      </c>
      <c r="B459" s="39" t="inlineStr">
        <is>
          <t>Armazenamento em nuvem</t>
        </is>
      </c>
      <c r="C459" s="34" t="inlineStr">
        <is>
          <t>Despesa</t>
        </is>
      </c>
      <c r="D459" s="34" t="inlineStr">
        <is>
          <t>Assinaturas</t>
        </is>
      </c>
      <c r="E459" s="34" t="inlineStr">
        <is>
          <t>Nuvem</t>
        </is>
      </c>
      <c r="F459" s="34" t="inlineStr">
        <is>
          <t>Cartão Azul Gold</t>
        </is>
      </c>
      <c r="G459" s="34" t="inlineStr">
        <is>
          <t>Crédito</t>
        </is>
      </c>
      <c r="H459" s="37" t="n"/>
      <c r="I459" s="37" t="n"/>
      <c r="J459" s="34" t="inlineStr">
        <is>
          <t>Pago</t>
        </is>
      </c>
      <c r="K459" s="34" t="n"/>
      <c r="L459" s="34" t="n"/>
      <c r="M459" s="39" t="inlineStr">
        <is>
          <t>EXEMPLO</t>
        </is>
      </c>
      <c r="N459" s="35" t="n">
        <v>14.9</v>
      </c>
      <c r="O459" s="40">
        <f>IF($A459="","",MONTH($A459))</f>
        <v>7</v>
      </c>
      <c r="P459" s="40">
        <f>IF($A459="","",YEAR($A459))</f>
        <v>2026</v>
      </c>
      <c r="Q459" s="41">
        <f>IF($A459="","",DATE(P459,O459,1))</f>
        <v>46204.0</v>
      </c>
      <c r="R459" s="36">
        <f>IF(OR($A459="",$N459=""),"",IF(AND($C459&lt;&gt;"Transferência",N($I459)&gt;1),$N459/$I459,$N459))</f>
        <v>14.9</v>
      </c>
      <c r="S459" s="41">
        <f>IF(OR($A459="",$F459="",$C459&lt;&gt;"Despesa"),"",IF(COUNTIF(Cartoes_Nome,$F459)=0,"",DATE(P459,O459+IF(DAY($A459)&gt;=INDEX(Cartoes_Fech,MATCH($F459,Cartoes_Nome,0)),1,0),1)))</f>
        <v>46235.0</v>
      </c>
      <c r="T459" s="42" t="str">
        <f>IF($A459="","",IF(COUNTIFS(L_Data,$A459,L_Desc,$B459,L_Valor,$N459,L_Tipo,$C459)&gt;1,"⚠ Possível duplicidade",IF(OR(AND($C459="Despesa",COUNTIF(CatD_Nome,$D459)=0),AND($C459="Receita",COUNTIF(CatR_Nome,$D459)=0)),"⚠ Categoria não combina com o tipo",IF(OR($N459="",$C459=""),"⚠ Falta valor ou tipo",""))))</f>
        <v/>
      </c>
      <c r="U459" s="40">
        <f>IF($A459="",0,P459*12+O459)</f>
        <v>24319</v>
      </c>
      <c r="V459" s="40">
        <f>IF($A459="",0,U459+MAX(0,N($I459)-MAX(N($H459),1)))</f>
        <v>24319</v>
      </c>
      <c r="W459" s="40">
        <f>IF(S459="",0,YEAR(S459)*12+MONTH(S459))</f>
        <v>24320</v>
      </c>
      <c r="X459" s="40">
        <f>IF(W459=0,0,W459+V459-U459)</f>
        <v>24320</v>
      </c>
      <c r="Y459" s="36">
        <f>IF(W459=0,0,N(R459)*MAX(0,X459-MAX(W459,YEAR(Cfg_Hoje)*12+MONTH(Cfg_Hoje)+IF(DAY(Cfg_Hoje)&gt;=INDEX(Cartoes_Fech,MATCH($F459,Cartoes_Nome,0)),1,0))+1))</f>
        <v>0</v>
      </c>
      <c r="Z459" s="40">
        <f>IF($A459="",0,DAY($A459))</f>
        <v>14</v>
      </c>
      <c r="AA459" s="40">
        <f>IF($A459="",0,WEEKDAY($A459))</f>
        <v>3</v>
      </c>
      <c r="AB459" s="36">
        <f>IF(AND($C459="Despesa",U459&gt;0,U459&lt;=Sel_Idx,V459&gt;=Sel_Idx),N(R459)+ROW()/1000000000,0)</f>
        <v>0</v>
      </c>
      <c r="AC459" s="40">
        <f>IF(AND($C459="Despesa",U459&gt;0,U459&lt;=Sel_Idx,V459&gt;=Sel_Idx),Z459*10000+ROW(),0)</f>
        <v>0</v>
      </c>
      <c r="AD459" s="40">
        <f>IF(AC459=0,0,COUNTIFS(L_CalChave,"&gt;0",L_CalChave,"&lt;"&amp;AC459)+1)</f>
        <v>0</v>
      </c>
    </row>
    <row r="460">
      <c r="A460" s="38" t="n">
        <v>46217</v>
      </c>
      <c r="B460" s="39" t="inlineStr">
        <is>
          <t>Delivery de comida</t>
        </is>
      </c>
      <c r="C460" s="34" t="inlineStr">
        <is>
          <t>Despesa</t>
        </is>
      </c>
      <c r="D460" s="34" t="inlineStr">
        <is>
          <t>Alimentação</t>
        </is>
      </c>
      <c r="E460" s="34" t="inlineStr">
        <is>
          <t>Restaurantes</t>
        </is>
      </c>
      <c r="F460" s="34" t="inlineStr">
        <is>
          <t>Cartão Azul Gold</t>
        </is>
      </c>
      <c r="G460" s="34" t="inlineStr">
        <is>
          <t>Crédito</t>
        </is>
      </c>
      <c r="H460" s="37" t="n"/>
      <c r="I460" s="37" t="n"/>
      <c r="J460" s="34" t="inlineStr">
        <is>
          <t>Pago</t>
        </is>
      </c>
      <c r="K460" s="34" t="n"/>
      <c r="L460" s="34" t="n"/>
      <c r="M460" s="39" t="inlineStr">
        <is>
          <t>EXEMPLO</t>
        </is>
      </c>
      <c r="N460" s="35" t="n">
        <v>103.6</v>
      </c>
      <c r="O460" s="40">
        <f>IF($A460="","",MONTH($A460))</f>
        <v>7</v>
      </c>
      <c r="P460" s="40">
        <f>IF($A460="","",YEAR($A460))</f>
        <v>2026</v>
      </c>
      <c r="Q460" s="41">
        <f>IF($A460="","",DATE(P460,O460,1))</f>
        <v>46204.0</v>
      </c>
      <c r="R460" s="36">
        <f>IF(OR($A460="",$N460=""),"",IF(AND($C460&lt;&gt;"Transferência",N($I460)&gt;1),$N460/$I460,$N460))</f>
        <v>103.6</v>
      </c>
      <c r="S460" s="41">
        <f>IF(OR($A460="",$F460="",$C460&lt;&gt;"Despesa"),"",IF(COUNTIF(Cartoes_Nome,$F460)=0,"",DATE(P460,O460+IF(DAY($A460)&gt;=INDEX(Cartoes_Fech,MATCH($F460,Cartoes_Nome,0)),1,0),1)))</f>
        <v>46235.0</v>
      </c>
      <c r="T460" s="42" t="str">
        <f>IF($A460="","",IF(COUNTIFS(L_Data,$A460,L_Desc,$B460,L_Valor,$N460,L_Tipo,$C460)&gt;1,"⚠ Possível duplicidade",IF(OR(AND($C460="Despesa",COUNTIF(CatD_Nome,$D460)=0),AND($C460="Receita",COUNTIF(CatR_Nome,$D460)=0)),"⚠ Categoria não combina com o tipo",IF(OR($N460="",$C460=""),"⚠ Falta valor ou tipo",""))))</f>
        <v/>
      </c>
      <c r="U460" s="40">
        <f>IF($A460="",0,P460*12+O460)</f>
        <v>24319</v>
      </c>
      <c r="V460" s="40">
        <f>IF($A460="",0,U460+MAX(0,N($I460)-MAX(N($H460),1)))</f>
        <v>24319</v>
      </c>
      <c r="W460" s="40">
        <f>IF(S460="",0,YEAR(S460)*12+MONTH(S460))</f>
        <v>24320</v>
      </c>
      <c r="X460" s="40">
        <f>IF(W460=0,0,W460+V460-U460)</f>
        <v>24320</v>
      </c>
      <c r="Y460" s="36">
        <f>IF(W460=0,0,N(R460)*MAX(0,X460-MAX(W460,YEAR(Cfg_Hoje)*12+MONTH(Cfg_Hoje)+IF(DAY(Cfg_Hoje)&gt;=INDEX(Cartoes_Fech,MATCH($F460,Cartoes_Nome,0)),1,0))+1))</f>
        <v>0</v>
      </c>
      <c r="Z460" s="40">
        <f>IF($A460="",0,DAY($A460))</f>
        <v>14</v>
      </c>
      <c r="AA460" s="40">
        <f>IF($A460="",0,WEEKDAY($A460))</f>
        <v>3</v>
      </c>
      <c r="AB460" s="36">
        <f>IF(AND($C460="Despesa",U460&gt;0,U460&lt;=Sel_Idx,V460&gt;=Sel_Idx),N(R460)+ROW()/1000000000,0)</f>
        <v>0</v>
      </c>
      <c r="AC460" s="40">
        <f>IF(AND($C460="Despesa",U460&gt;0,U460&lt;=Sel_Idx,V460&gt;=Sel_Idx),Z460*10000+ROW(),0)</f>
        <v>0</v>
      </c>
      <c r="AD460" s="40">
        <f>IF(AC460=0,0,COUNTIFS(L_CalChave,"&gt;0",L_CalChave,"&lt;"&amp;AC460)+1)</f>
        <v>0</v>
      </c>
    </row>
    <row r="461">
      <c r="A461" s="38" t="n">
        <v>46218</v>
      </c>
      <c r="B461" s="39" t="inlineStr">
        <is>
          <t>Conta de energia</t>
        </is>
      </c>
      <c r="C461" s="34" t="inlineStr">
        <is>
          <t>Despesa</t>
        </is>
      </c>
      <c r="D461" s="34" t="inlineStr">
        <is>
          <t>Moradia</t>
        </is>
      </c>
      <c r="E461" s="34" t="inlineStr">
        <is>
          <t>Energia</t>
        </is>
      </c>
      <c r="F461" s="34" t="inlineStr">
        <is>
          <t>Conta Corrente Banco Azul</t>
        </is>
      </c>
      <c r="G461" s="34" t="inlineStr">
        <is>
          <t>Débito automático</t>
        </is>
      </c>
      <c r="H461" s="37" t="n"/>
      <c r="I461" s="37" t="n"/>
      <c r="J461" s="34" t="inlineStr">
        <is>
          <t>Pago</t>
        </is>
      </c>
      <c r="K461" s="34" t="n"/>
      <c r="L461" s="34" t="n"/>
      <c r="M461" s="39" t="inlineStr">
        <is>
          <t>EXEMPLO</t>
        </is>
      </c>
      <c r="N461" s="35" t="n">
        <v>164.14</v>
      </c>
      <c r="O461" s="40">
        <f>IF($A461="","",MONTH($A461))</f>
        <v>7</v>
      </c>
      <c r="P461" s="40">
        <f>IF($A461="","",YEAR($A461))</f>
        <v>2026</v>
      </c>
      <c r="Q461" s="41">
        <f>IF($A461="","",DATE(P461,O461,1))</f>
        <v>46204.0</v>
      </c>
      <c r="R461" s="36">
        <f>IF(OR($A461="",$N461=""),"",IF(AND($C461&lt;&gt;"Transferência",N($I461)&gt;1),$N461/$I461,$N461))</f>
        <v>164.14</v>
      </c>
      <c r="S461" s="41" t="str">
        <f>IF(OR($A461="",$F461="",$C461&lt;&gt;"Despesa"),"",IF(COUNTIF(Cartoes_Nome,$F461)=0,"",DATE(P461,O461+IF(DAY($A461)&gt;=INDEX(Cartoes_Fech,MATCH($F461,Cartoes_Nome,0)),1,0),1)))</f>
        <v/>
      </c>
      <c r="T461" s="42" t="str">
        <f>IF($A461="","",IF(COUNTIFS(L_Data,$A461,L_Desc,$B461,L_Valor,$N461,L_Tipo,$C461)&gt;1,"⚠ Possível duplicidade",IF(OR(AND($C461="Despesa",COUNTIF(CatD_Nome,$D461)=0),AND($C461="Receita",COUNTIF(CatR_Nome,$D461)=0)),"⚠ Categoria não combina com o tipo",IF(OR($N461="",$C461=""),"⚠ Falta valor ou tipo",""))))</f>
        <v/>
      </c>
      <c r="U461" s="40">
        <f>IF($A461="",0,P461*12+O461)</f>
        <v>24319</v>
      </c>
      <c r="V461" s="40">
        <f>IF($A461="",0,U461+MAX(0,N($I461)-MAX(N($H461),1)))</f>
        <v>24319</v>
      </c>
      <c r="W461" s="40">
        <f>IF(S461="",0,YEAR(S461)*12+MONTH(S461))</f>
        <v>0</v>
      </c>
      <c r="X461" s="40">
        <f>IF(W461=0,0,W461+V461-U461)</f>
        <v>0</v>
      </c>
      <c r="Y461" s="36">
        <f>IF(W461=0,0,N(R461)*MAX(0,X461-MAX(W461,YEAR(Cfg_Hoje)*12+MONTH(Cfg_Hoje)+IF(DAY(Cfg_Hoje)&gt;=INDEX(Cartoes_Fech,MATCH($F461,Cartoes_Nome,0)),1,0))+1))</f>
        <v>0</v>
      </c>
      <c r="Z461" s="40">
        <f>IF($A461="",0,DAY($A461))</f>
        <v>15</v>
      </c>
      <c r="AA461" s="40">
        <f>IF($A461="",0,WEEKDAY($A461))</f>
        <v>4</v>
      </c>
      <c r="AB461" s="36">
        <f>IF(AND($C461="Despesa",U461&gt;0,U461&lt;=Sel_Idx,V461&gt;=Sel_Idx),N(R461)+ROW()/1000000000,0)</f>
        <v>0</v>
      </c>
      <c r="AC461" s="40">
        <f>IF(AND($C461="Despesa",U461&gt;0,U461&lt;=Sel_Idx,V461&gt;=Sel_Idx),Z461*10000+ROW(),0)</f>
        <v>0</v>
      </c>
      <c r="AD461" s="40">
        <f>IF(AC461=0,0,COUNTIFS(L_CalChave,"&gt;0",L_CalChave,"&lt;"&amp;AC461)+1)</f>
        <v>0</v>
      </c>
    </row>
    <row r="462">
      <c r="A462" s="38" t="n">
        <v>46218</v>
      </c>
      <c r="B462" s="39" t="inlineStr">
        <is>
          <t>Conta de água</t>
        </is>
      </c>
      <c r="C462" s="34" t="inlineStr">
        <is>
          <t>Despesa</t>
        </is>
      </c>
      <c r="D462" s="34" t="inlineStr">
        <is>
          <t>Moradia</t>
        </is>
      </c>
      <c r="E462" s="34" t="inlineStr">
        <is>
          <t>Água</t>
        </is>
      </c>
      <c r="F462" s="34" t="inlineStr">
        <is>
          <t>Conta Corrente Banco Azul</t>
        </is>
      </c>
      <c r="G462" s="34" t="inlineStr">
        <is>
          <t>Débito automático</t>
        </is>
      </c>
      <c r="H462" s="37" t="n"/>
      <c r="I462" s="37" t="n"/>
      <c r="J462" s="34" t="inlineStr">
        <is>
          <t>Pago</t>
        </is>
      </c>
      <c r="K462" s="34" t="n"/>
      <c r="L462" s="34" t="n"/>
      <c r="M462" s="39" t="inlineStr">
        <is>
          <t>EXEMPLO</t>
        </is>
      </c>
      <c r="N462" s="35" t="n">
        <v>83.27</v>
      </c>
      <c r="O462" s="40">
        <f>IF($A462="","",MONTH($A462))</f>
        <v>7</v>
      </c>
      <c r="P462" s="40">
        <f>IF($A462="","",YEAR($A462))</f>
        <v>2026</v>
      </c>
      <c r="Q462" s="41">
        <f>IF($A462="","",DATE(P462,O462,1))</f>
        <v>46204.0</v>
      </c>
      <c r="R462" s="36">
        <f>IF(OR($A462="",$N462=""),"",IF(AND($C462&lt;&gt;"Transferência",N($I462)&gt;1),$N462/$I462,$N462))</f>
        <v>83.27</v>
      </c>
      <c r="S462" s="41" t="str">
        <f>IF(OR($A462="",$F462="",$C462&lt;&gt;"Despesa"),"",IF(COUNTIF(Cartoes_Nome,$F462)=0,"",DATE(P462,O462+IF(DAY($A462)&gt;=INDEX(Cartoes_Fech,MATCH($F462,Cartoes_Nome,0)),1,0),1)))</f>
        <v/>
      </c>
      <c r="T462" s="42" t="str">
        <f>IF($A462="","",IF(COUNTIFS(L_Data,$A462,L_Desc,$B462,L_Valor,$N462,L_Tipo,$C462)&gt;1,"⚠ Possível duplicidade",IF(OR(AND($C462="Despesa",COUNTIF(CatD_Nome,$D462)=0),AND($C462="Receita",COUNTIF(CatR_Nome,$D462)=0)),"⚠ Categoria não combina com o tipo",IF(OR($N462="",$C462=""),"⚠ Falta valor ou tipo",""))))</f>
        <v/>
      </c>
      <c r="U462" s="40">
        <f>IF($A462="",0,P462*12+O462)</f>
        <v>24319</v>
      </c>
      <c r="V462" s="40">
        <f>IF($A462="",0,U462+MAX(0,N($I462)-MAX(N($H462),1)))</f>
        <v>24319</v>
      </c>
      <c r="W462" s="40">
        <f>IF(S462="",0,YEAR(S462)*12+MONTH(S462))</f>
        <v>0</v>
      </c>
      <c r="X462" s="40">
        <f>IF(W462=0,0,W462+V462-U462)</f>
        <v>0</v>
      </c>
      <c r="Y462" s="36">
        <f>IF(W462=0,0,N(R462)*MAX(0,X462-MAX(W462,YEAR(Cfg_Hoje)*12+MONTH(Cfg_Hoje)+IF(DAY(Cfg_Hoje)&gt;=INDEX(Cartoes_Fech,MATCH($F462,Cartoes_Nome,0)),1,0))+1))</f>
        <v>0</v>
      </c>
      <c r="Z462" s="40">
        <f>IF($A462="",0,DAY($A462))</f>
        <v>15</v>
      </c>
      <c r="AA462" s="40">
        <f>IF($A462="",0,WEEKDAY($A462))</f>
        <v>4</v>
      </c>
      <c r="AB462" s="36">
        <f>IF(AND($C462="Despesa",U462&gt;0,U462&lt;=Sel_Idx,V462&gt;=Sel_Idx),N(R462)+ROW()/1000000000,0)</f>
        <v>0</v>
      </c>
      <c r="AC462" s="40">
        <f>IF(AND($C462="Despesa",U462&gt;0,U462&lt;=Sel_Idx,V462&gt;=Sel_Idx),Z462*10000+ROW(),0)</f>
        <v>0</v>
      </c>
      <c r="AD462" s="40">
        <f>IF(AC462=0,0,COUNTIFS(L_CalChave,"&gt;0",L_CalChave,"&lt;"&amp;AC462)+1)</f>
        <v>0</v>
      </c>
    </row>
    <row r="463">
      <c r="A463" s="38" t="n">
        <v>46219</v>
      </c>
      <c r="B463" s="39" t="inlineStr">
        <is>
          <t>Despesa diversa</t>
        </is>
      </c>
      <c r="C463" s="34" t="inlineStr">
        <is>
          <t>Despesa</t>
        </is>
      </c>
      <c r="D463" s="34" t="inlineStr">
        <is>
          <t>Outros</t>
        </is>
      </c>
      <c r="E463" s="34" t="n"/>
      <c r="F463" s="34" t="inlineStr">
        <is>
          <t>Conta Corrente Banco Azul</t>
        </is>
      </c>
      <c r="G463" s="34" t="inlineStr">
        <is>
          <t>Pix</t>
        </is>
      </c>
      <c r="H463" s="37" t="n"/>
      <c r="I463" s="37" t="n"/>
      <c r="J463" s="34" t="inlineStr">
        <is>
          <t>Pago</t>
        </is>
      </c>
      <c r="K463" s="34" t="n"/>
      <c r="L463" s="34" t="n"/>
      <c r="M463" s="39" t="inlineStr">
        <is>
          <t>EXEMPLO</t>
        </is>
      </c>
      <c r="N463" s="35" t="n">
        <v>132.39</v>
      </c>
      <c r="O463" s="40">
        <f>IF($A463="","",MONTH($A463))</f>
        <v>7</v>
      </c>
      <c r="P463" s="40">
        <f>IF($A463="","",YEAR($A463))</f>
        <v>2026</v>
      </c>
      <c r="Q463" s="41">
        <f>IF($A463="","",DATE(P463,O463,1))</f>
        <v>46204.0</v>
      </c>
      <c r="R463" s="36">
        <f>IF(OR($A463="",$N463=""),"",IF(AND($C463&lt;&gt;"Transferência",N($I463)&gt;1),$N463/$I463,$N463))</f>
        <v>132.39</v>
      </c>
      <c r="S463" s="41" t="str">
        <f>IF(OR($A463="",$F463="",$C463&lt;&gt;"Despesa"),"",IF(COUNTIF(Cartoes_Nome,$F463)=0,"",DATE(P463,O463+IF(DAY($A463)&gt;=INDEX(Cartoes_Fech,MATCH($F463,Cartoes_Nome,0)),1,0),1)))</f>
        <v/>
      </c>
      <c r="T463" s="42" t="str">
        <f>IF($A463="","",IF(COUNTIFS(L_Data,$A463,L_Desc,$B463,L_Valor,$N463,L_Tipo,$C463)&gt;1,"⚠ Possível duplicidade",IF(OR(AND($C463="Despesa",COUNTIF(CatD_Nome,$D463)=0),AND($C463="Receita",COUNTIF(CatR_Nome,$D463)=0)),"⚠ Categoria não combina com o tipo",IF(OR($N463="",$C463=""),"⚠ Falta valor ou tipo",""))))</f>
        <v/>
      </c>
      <c r="U463" s="40">
        <f>IF($A463="",0,P463*12+O463)</f>
        <v>24319</v>
      </c>
      <c r="V463" s="40">
        <f>IF($A463="",0,U463+MAX(0,N($I463)-MAX(N($H463),1)))</f>
        <v>24319</v>
      </c>
      <c r="W463" s="40">
        <f>IF(S463="",0,YEAR(S463)*12+MONTH(S463))</f>
        <v>0</v>
      </c>
      <c r="X463" s="40">
        <f>IF(W463=0,0,W463+V463-U463)</f>
        <v>0</v>
      </c>
      <c r="Y463" s="36">
        <f>IF(W463=0,0,N(R463)*MAX(0,X463-MAX(W463,YEAR(Cfg_Hoje)*12+MONTH(Cfg_Hoje)+IF(DAY(Cfg_Hoje)&gt;=INDEX(Cartoes_Fech,MATCH($F463,Cartoes_Nome,0)),1,0))+1))</f>
        <v>0</v>
      </c>
      <c r="Z463" s="40">
        <f>IF($A463="",0,DAY($A463))</f>
        <v>16</v>
      </c>
      <c r="AA463" s="40">
        <f>IF($A463="",0,WEEKDAY($A463))</f>
        <v>5</v>
      </c>
      <c r="AB463" s="36">
        <f>IF(AND($C463="Despesa",U463&gt;0,U463&lt;=Sel_Idx,V463&gt;=Sel_Idx),N(R463)+ROW()/1000000000,0)</f>
        <v>0</v>
      </c>
      <c r="AC463" s="40">
        <f>IF(AND($C463="Despesa",U463&gt;0,U463&lt;=Sel_Idx,V463&gt;=Sel_Idx),Z463*10000+ROW(),0)</f>
        <v>0</v>
      </c>
      <c r="AD463" s="40">
        <f>IF(AC463=0,0,COUNTIFS(L_CalChave,"&gt;0",L_CalChave,"&lt;"&amp;AC463)+1)</f>
        <v>0</v>
      </c>
    </row>
    <row r="464">
      <c r="A464" s="38" t="n">
        <v>46219</v>
      </c>
      <c r="B464" s="39" t="inlineStr">
        <is>
          <t>Show</t>
        </is>
      </c>
      <c r="C464" s="34" t="inlineStr">
        <is>
          <t>Despesa</t>
        </is>
      </c>
      <c r="D464" s="34" t="inlineStr">
        <is>
          <t>Lazer</t>
        </is>
      </c>
      <c r="E464" s="34" t="inlineStr">
        <is>
          <t>Cinema</t>
        </is>
      </c>
      <c r="F464" s="34" t="inlineStr">
        <is>
          <t>Cartão Roxinho</t>
        </is>
      </c>
      <c r="G464" s="34" t="inlineStr">
        <is>
          <t>Crédito</t>
        </is>
      </c>
      <c r="H464" s="37" t="n"/>
      <c r="I464" s="37" t="n"/>
      <c r="J464" s="34" t="inlineStr">
        <is>
          <t>Pago</t>
        </is>
      </c>
      <c r="K464" s="34" t="n"/>
      <c r="L464" s="34" t="n"/>
      <c r="M464" s="39" t="inlineStr">
        <is>
          <t>EXEMPLO</t>
        </is>
      </c>
      <c r="N464" s="35" t="n">
        <v>158.45</v>
      </c>
      <c r="O464" s="40">
        <f>IF($A464="","",MONTH($A464))</f>
        <v>7</v>
      </c>
      <c r="P464" s="40">
        <f>IF($A464="","",YEAR($A464))</f>
        <v>2026</v>
      </c>
      <c r="Q464" s="41">
        <f>IF($A464="","",DATE(P464,O464,1))</f>
        <v>46204.0</v>
      </c>
      <c r="R464" s="36">
        <f>IF(OR($A464="",$N464=""),"",IF(AND($C464&lt;&gt;"Transferência",N($I464)&gt;1),$N464/$I464,$N464))</f>
        <v>158.45</v>
      </c>
      <c r="S464" s="41">
        <f>IF(OR($A464="",$F464="",$C464&lt;&gt;"Despesa"),"",IF(COUNTIF(Cartoes_Nome,$F464)=0,"",DATE(P464,O464+IF(DAY($A464)&gt;=INDEX(Cartoes_Fech,MATCH($F464,Cartoes_Nome,0)),1,0),1)))</f>
        <v>46204.0</v>
      </c>
      <c r="T464" s="42" t="str">
        <f>IF($A464="","",IF(COUNTIFS(L_Data,$A464,L_Desc,$B464,L_Valor,$N464,L_Tipo,$C464)&gt;1,"⚠ Possível duplicidade",IF(OR(AND($C464="Despesa",COUNTIF(CatD_Nome,$D464)=0),AND($C464="Receita",COUNTIF(CatR_Nome,$D464)=0)),"⚠ Categoria não combina com o tipo",IF(OR($N464="",$C464=""),"⚠ Falta valor ou tipo",""))))</f>
        <v/>
      </c>
      <c r="U464" s="40">
        <f>IF($A464="",0,P464*12+O464)</f>
        <v>24319</v>
      </c>
      <c r="V464" s="40">
        <f>IF($A464="",0,U464+MAX(0,N($I464)-MAX(N($H464),1)))</f>
        <v>24319</v>
      </c>
      <c r="W464" s="40">
        <f>IF(S464="",0,YEAR(S464)*12+MONTH(S464))</f>
        <v>24319</v>
      </c>
      <c r="X464" s="40">
        <f>IF(W464=0,0,W464+V464-U464)</f>
        <v>24319</v>
      </c>
      <c r="Y464" s="36">
        <f>IF(W464=0,0,N(R464)*MAX(0,X464-MAX(W464,YEAR(Cfg_Hoje)*12+MONTH(Cfg_Hoje)+IF(DAY(Cfg_Hoje)&gt;=INDEX(Cartoes_Fech,MATCH($F464,Cartoes_Nome,0)),1,0))+1))</f>
        <v>0</v>
      </c>
      <c r="Z464" s="40">
        <f>IF($A464="",0,DAY($A464))</f>
        <v>16</v>
      </c>
      <c r="AA464" s="40">
        <f>IF($A464="",0,WEEKDAY($A464))</f>
        <v>5</v>
      </c>
      <c r="AB464" s="36">
        <f>IF(AND($C464="Despesa",U464&gt;0,U464&lt;=Sel_Idx,V464&gt;=Sel_Idx),N(R464)+ROW()/1000000000,0)</f>
        <v>0</v>
      </c>
      <c r="AC464" s="40">
        <f>IF(AND($C464="Despesa",U464&gt;0,U464&lt;=Sel_Idx,V464&gt;=Sel_Idx),Z464*10000+ROW(),0)</f>
        <v>0</v>
      </c>
      <c r="AD464" s="40">
        <f>IF(AC464=0,0,COUNTIFS(L_CalChave,"&gt;0",L_CalChave,"&lt;"&amp;AC464)+1)</f>
        <v>0</v>
      </c>
    </row>
    <row r="465">
      <c r="A465" s="38" t="n">
        <v>46220</v>
      </c>
      <c r="B465" s="39" t="inlineStr">
        <is>
          <t>Pagamento fatura Cartão Azul Gold</t>
        </is>
      </c>
      <c r="C465" s="34" t="inlineStr">
        <is>
          <t>Transferência</t>
        </is>
      </c>
      <c r="D465" s="34" t="n"/>
      <c r="E465" s="34" t="n"/>
      <c r="F465" s="34" t="inlineStr">
        <is>
          <t>Conta Corrente Banco Azul</t>
        </is>
      </c>
      <c r="G465" s="34" t="inlineStr">
        <is>
          <t>Débito automático</t>
        </is>
      </c>
      <c r="H465" s="37" t="n"/>
      <c r="I465" s="37" t="n"/>
      <c r="J465" s="34" t="inlineStr">
        <is>
          <t>Pago</t>
        </is>
      </c>
      <c r="K465" s="34" t="n"/>
      <c r="L465" s="34" t="n"/>
      <c r="M465" s="39" t="inlineStr">
        <is>
          <t>EXEMPLO</t>
        </is>
      </c>
      <c r="N465" s="35" t="n">
        <v>-2429.19</v>
      </c>
      <c r="O465" s="40">
        <f>IF($A465="","",MONTH($A465))</f>
        <v>7</v>
      </c>
      <c r="P465" s="40">
        <f>IF($A465="","",YEAR($A465))</f>
        <v>2026</v>
      </c>
      <c r="Q465" s="41">
        <f>IF($A465="","",DATE(P465,O465,1))</f>
        <v>46204.0</v>
      </c>
      <c r="R465" s="36">
        <f>IF(OR($A465="",$N465=""),"",IF(AND($C465&lt;&gt;"Transferência",N($I465)&gt;1),$N465/$I465,$N465))</f>
        <v>-2429.19</v>
      </c>
      <c r="S465" s="41" t="str">
        <f>IF(OR($A465="",$F465="",$C465&lt;&gt;"Despesa"),"",IF(COUNTIF(Cartoes_Nome,$F465)=0,"",DATE(P465,O465+IF(DAY($A465)&gt;=INDEX(Cartoes_Fech,MATCH($F465,Cartoes_Nome,0)),1,0),1)))</f>
        <v/>
      </c>
      <c r="T465" s="42" t="str">
        <f>IF($A465="","",IF(COUNTIFS(L_Data,$A465,L_Desc,$B465,L_Valor,$N465,L_Tipo,$C465)&gt;1,"⚠ Possível duplicidade",IF(OR(AND($C465="Despesa",COUNTIF(CatD_Nome,$D465)=0),AND($C465="Receita",COUNTIF(CatR_Nome,$D465)=0)),"⚠ Categoria não combina com o tipo",IF(OR($N465="",$C465=""),"⚠ Falta valor ou tipo",""))))</f>
        <v/>
      </c>
      <c r="U465" s="40">
        <f>IF($A465="",0,P465*12+O465)</f>
        <v>24319</v>
      </c>
      <c r="V465" s="40">
        <f>IF($A465="",0,U465+MAX(0,N($I465)-MAX(N($H465),1)))</f>
        <v>24319</v>
      </c>
      <c r="W465" s="40">
        <f>IF(S465="",0,YEAR(S465)*12+MONTH(S465))</f>
        <v>0</v>
      </c>
      <c r="X465" s="40">
        <f>IF(W465=0,0,W465+V465-U465)</f>
        <v>0</v>
      </c>
      <c r="Y465" s="36">
        <f>IF(W465=0,0,N(R465)*MAX(0,X465-MAX(W465,YEAR(Cfg_Hoje)*12+MONTH(Cfg_Hoje)+IF(DAY(Cfg_Hoje)&gt;=INDEX(Cartoes_Fech,MATCH($F465,Cartoes_Nome,0)),1,0))+1))</f>
        <v>0</v>
      </c>
      <c r="Z465" s="40">
        <f>IF($A465="",0,DAY($A465))</f>
        <v>17</v>
      </c>
      <c r="AA465" s="40">
        <f>IF($A465="",0,WEEKDAY($A465))</f>
        <v>6</v>
      </c>
      <c r="AB465" s="36">
        <f>IF(AND($C465="Despesa",U465&gt;0,U465&lt;=Sel_Idx,V465&gt;=Sel_Idx),N(R465)+ROW()/1000000000,0)</f>
        <v>0</v>
      </c>
      <c r="AC465" s="40">
        <f>IF(AND($C465="Despesa",U465&gt;0,U465&lt;=Sel_Idx,V465&gt;=Sel_Idx),Z465*10000+ROW(),0)</f>
        <v>0</v>
      </c>
      <c r="AD465" s="40">
        <f>IF(AC465=0,0,COUNTIFS(L_CalChave,"&gt;0",L_CalChave,"&lt;"&amp;AC465)+1)</f>
        <v>0</v>
      </c>
    </row>
    <row r="466">
      <c r="A466" s="38" t="n">
        <v>46221</v>
      </c>
      <c r="B466" s="39" t="inlineStr">
        <is>
          <t>Corrida de aplicativo</t>
        </is>
      </c>
      <c r="C466" s="34" t="inlineStr">
        <is>
          <t>Despesa</t>
        </is>
      </c>
      <c r="D466" s="34" t="inlineStr">
        <is>
          <t>Transporte</t>
        </is>
      </c>
      <c r="E466" s="34" t="inlineStr">
        <is>
          <t>App de transporte</t>
        </is>
      </c>
      <c r="F466" s="34" t="inlineStr">
        <is>
          <t>Conta Corrente Banco Azul</t>
        </is>
      </c>
      <c r="G466" s="34" t="inlineStr">
        <is>
          <t>Pix</t>
        </is>
      </c>
      <c r="H466" s="37" t="n"/>
      <c r="I466" s="37" t="n"/>
      <c r="J466" s="34" t="inlineStr">
        <is>
          <t>Pago</t>
        </is>
      </c>
      <c r="K466" s="34" t="n"/>
      <c r="L466" s="34" t="n"/>
      <c r="M466" s="39" t="inlineStr">
        <is>
          <t>EXEMPLO</t>
        </is>
      </c>
      <c r="N466" s="35" t="n">
        <v>39.05</v>
      </c>
      <c r="O466" s="40">
        <f>IF($A466="","",MONTH($A466))</f>
        <v>7</v>
      </c>
      <c r="P466" s="40">
        <f>IF($A466="","",YEAR($A466))</f>
        <v>2026</v>
      </c>
      <c r="Q466" s="41">
        <f>IF($A466="","",DATE(P466,O466,1))</f>
        <v>46204.0</v>
      </c>
      <c r="R466" s="36">
        <f>IF(OR($A466="",$N466=""),"",IF(AND($C466&lt;&gt;"Transferência",N($I466)&gt;1),$N466/$I466,$N466))</f>
        <v>39.05</v>
      </c>
      <c r="S466" s="41" t="str">
        <f>IF(OR($A466="",$F466="",$C466&lt;&gt;"Despesa"),"",IF(COUNTIF(Cartoes_Nome,$F466)=0,"",DATE(P466,O466+IF(DAY($A466)&gt;=INDEX(Cartoes_Fech,MATCH($F466,Cartoes_Nome,0)),1,0),1)))</f>
        <v/>
      </c>
      <c r="T466" s="42" t="str">
        <f>IF($A466="","",IF(COUNTIFS(L_Data,$A466,L_Desc,$B466,L_Valor,$N466,L_Tipo,$C466)&gt;1,"⚠ Possível duplicidade",IF(OR(AND($C466="Despesa",COUNTIF(CatD_Nome,$D466)=0),AND($C466="Receita",COUNTIF(CatR_Nome,$D466)=0)),"⚠ Categoria não combina com o tipo",IF(OR($N466="",$C466=""),"⚠ Falta valor ou tipo",""))))</f>
        <v/>
      </c>
      <c r="U466" s="40">
        <f>IF($A466="",0,P466*12+O466)</f>
        <v>24319</v>
      </c>
      <c r="V466" s="40">
        <f>IF($A466="",0,U466+MAX(0,N($I466)-MAX(N($H466),1)))</f>
        <v>24319</v>
      </c>
      <c r="W466" s="40">
        <f>IF(S466="",0,YEAR(S466)*12+MONTH(S466))</f>
        <v>0</v>
      </c>
      <c r="X466" s="40">
        <f>IF(W466=0,0,W466+V466-U466)</f>
        <v>0</v>
      </c>
      <c r="Y466" s="36">
        <f>IF(W466=0,0,N(R466)*MAX(0,X466-MAX(W466,YEAR(Cfg_Hoje)*12+MONTH(Cfg_Hoje)+IF(DAY(Cfg_Hoje)&gt;=INDEX(Cartoes_Fech,MATCH($F466,Cartoes_Nome,0)),1,0))+1))</f>
        <v>0</v>
      </c>
      <c r="Z466" s="40">
        <f>IF($A466="",0,DAY($A466))</f>
        <v>18</v>
      </c>
      <c r="AA466" s="40">
        <f>IF($A466="",0,WEEKDAY($A466))</f>
        <v>7</v>
      </c>
      <c r="AB466" s="36">
        <f>IF(AND($C466="Despesa",U466&gt;0,U466&lt;=Sel_Idx,V466&gt;=Sel_Idx),N(R466)+ROW()/1000000000,0)</f>
        <v>0</v>
      </c>
      <c r="AC466" s="40">
        <f>IF(AND($C466="Despesa",U466&gt;0,U466&lt;=Sel_Idx,V466&gt;=Sel_Idx),Z466*10000+ROW(),0)</f>
        <v>0</v>
      </c>
      <c r="AD466" s="40">
        <f>IF(AC466=0,0,COUNTIFS(L_CalChave,"&gt;0",L_CalChave,"&lt;"&amp;AC466)+1)</f>
        <v>0</v>
      </c>
    </row>
    <row r="467">
      <c r="A467" s="38" t="n">
        <v>46222</v>
      </c>
      <c r="B467" s="39" t="inlineStr">
        <is>
          <t>Supermercado</t>
        </is>
      </c>
      <c r="C467" s="34" t="inlineStr">
        <is>
          <t>Despesa</t>
        </is>
      </c>
      <c r="D467" s="34" t="inlineStr">
        <is>
          <t>Alimentação</t>
        </is>
      </c>
      <c r="E467" s="34" t="inlineStr">
        <is>
          <t>Mercado</t>
        </is>
      </c>
      <c r="F467" s="34" t="inlineStr">
        <is>
          <t>Conta Corrente Banco Azul</t>
        </is>
      </c>
      <c r="G467" s="34" t="inlineStr">
        <is>
          <t>Débito</t>
        </is>
      </c>
      <c r="H467" s="37" t="n"/>
      <c r="I467" s="37" t="n"/>
      <c r="J467" s="34" t="inlineStr">
        <is>
          <t>Pago</t>
        </is>
      </c>
      <c r="K467" s="34" t="n"/>
      <c r="L467" s="34" t="n"/>
      <c r="M467" s="39" t="inlineStr">
        <is>
          <t>EXEMPLO</t>
        </is>
      </c>
      <c r="N467" s="35" t="n">
        <v>305.9</v>
      </c>
      <c r="O467" s="40">
        <f>IF($A467="","",MONTH($A467))</f>
        <v>7</v>
      </c>
      <c r="P467" s="40">
        <f>IF($A467="","",YEAR($A467))</f>
        <v>2026</v>
      </c>
      <c r="Q467" s="41">
        <f>IF($A467="","",DATE(P467,O467,1))</f>
        <v>46204.0</v>
      </c>
      <c r="R467" s="36">
        <f>IF(OR($A467="",$N467=""),"",IF(AND($C467&lt;&gt;"Transferência",N($I467)&gt;1),$N467/$I467,$N467))</f>
        <v>305.9</v>
      </c>
      <c r="S467" s="41" t="str">
        <f>IF(OR($A467="",$F467="",$C467&lt;&gt;"Despesa"),"",IF(COUNTIF(Cartoes_Nome,$F467)=0,"",DATE(P467,O467+IF(DAY($A467)&gt;=INDEX(Cartoes_Fech,MATCH($F467,Cartoes_Nome,0)),1,0),1)))</f>
        <v/>
      </c>
      <c r="T467" s="42" t="str">
        <f>IF($A467="","",IF(COUNTIFS(L_Data,$A467,L_Desc,$B467,L_Valor,$N467,L_Tipo,$C467)&gt;1,"⚠ Possível duplicidade",IF(OR(AND($C467="Despesa",COUNTIF(CatD_Nome,$D467)=0),AND($C467="Receita",COUNTIF(CatR_Nome,$D467)=0)),"⚠ Categoria não combina com o tipo",IF(OR($N467="",$C467=""),"⚠ Falta valor ou tipo",""))))</f>
        <v/>
      </c>
      <c r="U467" s="40">
        <f>IF($A467="",0,P467*12+O467)</f>
        <v>24319</v>
      </c>
      <c r="V467" s="40">
        <f>IF($A467="",0,U467+MAX(0,N($I467)-MAX(N($H467),1)))</f>
        <v>24319</v>
      </c>
      <c r="W467" s="40">
        <f>IF(S467="",0,YEAR(S467)*12+MONTH(S467))</f>
        <v>0</v>
      </c>
      <c r="X467" s="40">
        <f>IF(W467=0,0,W467+V467-U467)</f>
        <v>0</v>
      </c>
      <c r="Y467" s="36">
        <f>IF(W467=0,0,N(R467)*MAX(0,X467-MAX(W467,YEAR(Cfg_Hoje)*12+MONTH(Cfg_Hoje)+IF(DAY(Cfg_Hoje)&gt;=INDEX(Cartoes_Fech,MATCH($F467,Cartoes_Nome,0)),1,0))+1))</f>
        <v>0</v>
      </c>
      <c r="Z467" s="40">
        <f>IF($A467="",0,DAY($A467))</f>
        <v>19</v>
      </c>
      <c r="AA467" s="40">
        <f>IF($A467="",0,WEEKDAY($A467))</f>
        <v>1</v>
      </c>
      <c r="AB467" s="36">
        <f>IF(AND($C467="Despesa",U467&gt;0,U467&lt;=Sel_Idx,V467&gt;=Sel_Idx),N(R467)+ROW()/1000000000,0)</f>
        <v>0</v>
      </c>
      <c r="AC467" s="40">
        <f>IF(AND($C467="Despesa",U467&gt;0,U467&lt;=Sel_Idx,V467&gt;=Sel_Idx),Z467*10000+ROW(),0)</f>
        <v>0</v>
      </c>
      <c r="AD467" s="40">
        <f>IF(AC467=0,0,COUNTIFS(L_CalChave,"&gt;0",L_CalChave,"&lt;"&amp;AC467)+1)</f>
        <v>0</v>
      </c>
    </row>
    <row r="468">
      <c r="A468" s="38" t="n">
        <v>46223</v>
      </c>
      <c r="B468" s="39" t="inlineStr">
        <is>
          <t>Internet fibra</t>
        </is>
      </c>
      <c r="C468" s="34" t="inlineStr">
        <is>
          <t>Despesa</t>
        </is>
      </c>
      <c r="D468" s="34" t="inlineStr">
        <is>
          <t>Moradia</t>
        </is>
      </c>
      <c r="E468" s="34" t="inlineStr">
        <is>
          <t>Internet</t>
        </is>
      </c>
      <c r="F468" s="34" t="inlineStr">
        <is>
          <t>Conta Corrente Banco Azul</t>
        </is>
      </c>
      <c r="G468" s="34" t="inlineStr">
        <is>
          <t>Débito automático</t>
        </is>
      </c>
      <c r="H468" s="37" t="n"/>
      <c r="I468" s="37" t="n"/>
      <c r="J468" s="34" t="inlineStr">
        <is>
          <t>Pago</t>
        </is>
      </c>
      <c r="K468" s="34" t="n"/>
      <c r="L468" s="34" t="n"/>
      <c r="M468" s="39" t="inlineStr">
        <is>
          <t>EXEMPLO</t>
        </is>
      </c>
      <c r="N468" s="35" t="n">
        <v>129.9</v>
      </c>
      <c r="O468" s="40">
        <f>IF($A468="","",MONTH($A468))</f>
        <v>7</v>
      </c>
      <c r="P468" s="40">
        <f>IF($A468="","",YEAR($A468))</f>
        <v>2026</v>
      </c>
      <c r="Q468" s="41">
        <f>IF($A468="","",DATE(P468,O468,1))</f>
        <v>46204.0</v>
      </c>
      <c r="R468" s="36">
        <f>IF(OR($A468="",$N468=""),"",IF(AND($C468&lt;&gt;"Transferência",N($I468)&gt;1),$N468/$I468,$N468))</f>
        <v>129.9</v>
      </c>
      <c r="S468" s="41" t="str">
        <f>IF(OR($A468="",$F468="",$C468&lt;&gt;"Despesa"),"",IF(COUNTIF(Cartoes_Nome,$F468)=0,"",DATE(P468,O468+IF(DAY($A468)&gt;=INDEX(Cartoes_Fech,MATCH($F468,Cartoes_Nome,0)),1,0),1)))</f>
        <v/>
      </c>
      <c r="T468" s="42" t="str">
        <f>IF($A468="","",IF(COUNTIFS(L_Data,$A468,L_Desc,$B468,L_Valor,$N468,L_Tipo,$C468)&gt;1,"⚠ Possível duplicidade",IF(OR(AND($C468="Despesa",COUNTIF(CatD_Nome,$D468)=0),AND($C468="Receita",COUNTIF(CatR_Nome,$D468)=0)),"⚠ Categoria não combina com o tipo",IF(OR($N468="",$C468=""),"⚠ Falta valor ou tipo",""))))</f>
        <v/>
      </c>
      <c r="U468" s="40">
        <f>IF($A468="",0,P468*12+O468)</f>
        <v>24319</v>
      </c>
      <c r="V468" s="40">
        <f>IF($A468="",0,U468+MAX(0,N($I468)-MAX(N($H468),1)))</f>
        <v>24319</v>
      </c>
      <c r="W468" s="40">
        <f>IF(S468="",0,YEAR(S468)*12+MONTH(S468))</f>
        <v>0</v>
      </c>
      <c r="X468" s="40">
        <f>IF(W468=0,0,W468+V468-U468)</f>
        <v>0</v>
      </c>
      <c r="Y468" s="36">
        <f>IF(W468=0,0,N(R468)*MAX(0,X468-MAX(W468,YEAR(Cfg_Hoje)*12+MONTH(Cfg_Hoje)+IF(DAY(Cfg_Hoje)&gt;=INDEX(Cartoes_Fech,MATCH($F468,Cartoes_Nome,0)),1,0))+1))</f>
        <v>0</v>
      </c>
      <c r="Z468" s="40">
        <f>IF($A468="",0,DAY($A468))</f>
        <v>20</v>
      </c>
      <c r="AA468" s="40">
        <f>IF($A468="",0,WEEKDAY($A468))</f>
        <v>2</v>
      </c>
      <c r="AB468" s="36">
        <f>IF(AND($C468="Despesa",U468&gt;0,U468&lt;=Sel_Idx,V468&gt;=Sel_Idx),N(R468)+ROW()/1000000000,0)</f>
        <v>0</v>
      </c>
      <c r="AC468" s="40">
        <f>IF(AND($C468="Despesa",U468&gt;0,U468&lt;=Sel_Idx,V468&gt;=Sel_Idx),Z468*10000+ROW(),0)</f>
        <v>0</v>
      </c>
      <c r="AD468" s="40">
        <f>IF(AC468=0,0,COUNTIFS(L_CalChave,"&gt;0",L_CalChave,"&lt;"&amp;AC468)+1)</f>
        <v>0</v>
      </c>
    </row>
    <row r="469">
      <c r="A469" s="38" t="n">
        <v>46223</v>
      </c>
      <c r="B469" s="39" t="inlineStr">
        <is>
          <t>Parcela financiamento do carro</t>
        </is>
      </c>
      <c r="C469" s="34" t="inlineStr">
        <is>
          <t>Despesa</t>
        </is>
      </c>
      <c r="D469" s="34" t="inlineStr">
        <is>
          <t>Dívidas e Financiamentos</t>
        </is>
      </c>
      <c r="E469" s="34" t="inlineStr">
        <is>
          <t>Financiamento</t>
        </is>
      </c>
      <c r="F469" s="34" t="inlineStr">
        <is>
          <t>Conta Corrente Banco Azul</t>
        </is>
      </c>
      <c r="G469" s="34" t="inlineStr">
        <is>
          <t>Débito automático</t>
        </is>
      </c>
      <c r="H469" s="37" t="n"/>
      <c r="I469" s="37" t="n"/>
      <c r="J469" s="34" t="inlineStr">
        <is>
          <t>Pago</t>
        </is>
      </c>
      <c r="K469" s="34" t="n"/>
      <c r="L469" s="34" t="n"/>
      <c r="M469" s="39" t="inlineStr">
        <is>
          <t>EXEMPLO</t>
        </is>
      </c>
      <c r="N469" s="35" t="n">
        <v>1150</v>
      </c>
      <c r="O469" s="40">
        <f>IF($A469="","",MONTH($A469))</f>
        <v>7</v>
      </c>
      <c r="P469" s="40">
        <f>IF($A469="","",YEAR($A469))</f>
        <v>2026</v>
      </c>
      <c r="Q469" s="41">
        <f>IF($A469="","",DATE(P469,O469,1))</f>
        <v>46204.0</v>
      </c>
      <c r="R469" s="36">
        <f>IF(OR($A469="",$N469=""),"",IF(AND($C469&lt;&gt;"Transferência",N($I469)&gt;1),$N469/$I469,$N469))</f>
        <v>1150</v>
      </c>
      <c r="S469" s="41" t="str">
        <f>IF(OR($A469="",$F469="",$C469&lt;&gt;"Despesa"),"",IF(COUNTIF(Cartoes_Nome,$F469)=0,"",DATE(P469,O469+IF(DAY($A469)&gt;=INDEX(Cartoes_Fech,MATCH($F469,Cartoes_Nome,0)),1,0),1)))</f>
        <v/>
      </c>
      <c r="T469" s="42" t="str">
        <f>IF($A469="","",IF(COUNTIFS(L_Data,$A469,L_Desc,$B469,L_Valor,$N469,L_Tipo,$C469)&gt;1,"⚠ Possível duplicidade",IF(OR(AND($C469="Despesa",COUNTIF(CatD_Nome,$D469)=0),AND($C469="Receita",COUNTIF(CatR_Nome,$D469)=0)),"⚠ Categoria não combina com o tipo",IF(OR($N469="",$C469=""),"⚠ Falta valor ou tipo",""))))</f>
        <v/>
      </c>
      <c r="U469" s="40">
        <f>IF($A469="",0,P469*12+O469)</f>
        <v>24319</v>
      </c>
      <c r="V469" s="40">
        <f>IF($A469="",0,U469+MAX(0,N($I469)-MAX(N($H469),1)))</f>
        <v>24319</v>
      </c>
      <c r="W469" s="40">
        <f>IF(S469="",0,YEAR(S469)*12+MONTH(S469))</f>
        <v>0</v>
      </c>
      <c r="X469" s="40">
        <f>IF(W469=0,0,W469+V469-U469)</f>
        <v>0</v>
      </c>
      <c r="Y469" s="36">
        <f>IF(W469=0,0,N(R469)*MAX(0,X469-MAX(W469,YEAR(Cfg_Hoje)*12+MONTH(Cfg_Hoje)+IF(DAY(Cfg_Hoje)&gt;=INDEX(Cartoes_Fech,MATCH($F469,Cartoes_Nome,0)),1,0))+1))</f>
        <v>0</v>
      </c>
      <c r="Z469" s="40">
        <f>IF($A469="",0,DAY($A469))</f>
        <v>20</v>
      </c>
      <c r="AA469" s="40">
        <f>IF($A469="",0,WEEKDAY($A469))</f>
        <v>2</v>
      </c>
      <c r="AB469" s="36">
        <f>IF(AND($C469="Despesa",U469&gt;0,U469&lt;=Sel_Idx,V469&gt;=Sel_Idx),N(R469)+ROW()/1000000000,0)</f>
        <v>0</v>
      </c>
      <c r="AC469" s="40">
        <f>IF(AND($C469="Despesa",U469&gt;0,U469&lt;=Sel_Idx,V469&gt;=Sel_Idx),Z469*10000+ROW(),0)</f>
        <v>0</v>
      </c>
      <c r="AD469" s="40">
        <f>IF(AC469=0,0,COUNTIFS(L_CalChave,"&gt;0",L_CalChave,"&lt;"&amp;AC469)+1)</f>
        <v>0</v>
      </c>
    </row>
    <row r="470">
      <c r="A470" s="38" t="n">
        <v>46224</v>
      </c>
      <c r="B470" s="39" t="inlineStr">
        <is>
          <t>Cinema</t>
        </is>
      </c>
      <c r="C470" s="34" t="inlineStr">
        <is>
          <t>Despesa</t>
        </is>
      </c>
      <c r="D470" s="34" t="inlineStr">
        <is>
          <t>Lazer</t>
        </is>
      </c>
      <c r="E470" s="34" t="inlineStr">
        <is>
          <t>Bares</t>
        </is>
      </c>
      <c r="F470" s="34" t="inlineStr">
        <is>
          <t>Cartão Azul Gold</t>
        </is>
      </c>
      <c r="G470" s="34" t="inlineStr">
        <is>
          <t>Crédito</t>
        </is>
      </c>
      <c r="H470" s="37" t="n"/>
      <c r="I470" s="37" t="n"/>
      <c r="J470" s="34" t="inlineStr">
        <is>
          <t>Pago</t>
        </is>
      </c>
      <c r="K470" s="34" t="n"/>
      <c r="L470" s="34" t="n"/>
      <c r="M470" s="39" t="inlineStr">
        <is>
          <t>EXEMPLO</t>
        </is>
      </c>
      <c r="N470" s="35" t="n">
        <v>62.31</v>
      </c>
      <c r="O470" s="40">
        <f>IF($A470="","",MONTH($A470))</f>
        <v>7</v>
      </c>
      <c r="P470" s="40">
        <f>IF($A470="","",YEAR($A470))</f>
        <v>2026</v>
      </c>
      <c r="Q470" s="41">
        <f>IF($A470="","",DATE(P470,O470,1))</f>
        <v>46204.0</v>
      </c>
      <c r="R470" s="36">
        <f>IF(OR($A470="",$N470=""),"",IF(AND($C470&lt;&gt;"Transferência",N($I470)&gt;1),$N470/$I470,$N470))</f>
        <v>62.31</v>
      </c>
      <c r="S470" s="41">
        <f>IF(OR($A470="",$F470="",$C470&lt;&gt;"Despesa"),"",IF(COUNTIF(Cartoes_Nome,$F470)=0,"",DATE(P470,O470+IF(DAY($A470)&gt;=INDEX(Cartoes_Fech,MATCH($F470,Cartoes_Nome,0)),1,0),1)))</f>
        <v>46235.0</v>
      </c>
      <c r="T470" s="42" t="str">
        <f>IF($A470="","",IF(COUNTIFS(L_Data,$A470,L_Desc,$B470,L_Valor,$N470,L_Tipo,$C470)&gt;1,"⚠ Possível duplicidade",IF(OR(AND($C470="Despesa",COUNTIF(CatD_Nome,$D470)=0),AND($C470="Receita",COUNTIF(CatR_Nome,$D470)=0)),"⚠ Categoria não combina com o tipo",IF(OR($N470="",$C470=""),"⚠ Falta valor ou tipo",""))))</f>
        <v/>
      </c>
      <c r="U470" s="40">
        <f>IF($A470="",0,P470*12+O470)</f>
        <v>24319</v>
      </c>
      <c r="V470" s="40">
        <f>IF($A470="",0,U470+MAX(0,N($I470)-MAX(N($H470),1)))</f>
        <v>24319</v>
      </c>
      <c r="W470" s="40">
        <f>IF(S470="",0,YEAR(S470)*12+MONTH(S470))</f>
        <v>24320</v>
      </c>
      <c r="X470" s="40">
        <f>IF(W470=0,0,W470+V470-U470)</f>
        <v>24320</v>
      </c>
      <c r="Y470" s="36">
        <f>IF(W470=0,0,N(R470)*MAX(0,X470-MAX(W470,YEAR(Cfg_Hoje)*12+MONTH(Cfg_Hoje)+IF(DAY(Cfg_Hoje)&gt;=INDEX(Cartoes_Fech,MATCH($F470,Cartoes_Nome,0)),1,0))+1))</f>
        <v>0</v>
      </c>
      <c r="Z470" s="40">
        <f>IF($A470="",0,DAY($A470))</f>
        <v>21</v>
      </c>
      <c r="AA470" s="40">
        <f>IF($A470="",0,WEEKDAY($A470))</f>
        <v>3</v>
      </c>
      <c r="AB470" s="36">
        <f>IF(AND($C470="Despesa",U470&gt;0,U470&lt;=Sel_Idx,V470&gt;=Sel_Idx),N(R470)+ROW()/1000000000,0)</f>
        <v>0</v>
      </c>
      <c r="AC470" s="40">
        <f>IF(AND($C470="Despesa",U470&gt;0,U470&lt;=Sel_Idx,V470&gt;=Sel_Idx),Z470*10000+ROW(),0)</f>
        <v>0</v>
      </c>
      <c r="AD470" s="40">
        <f>IF(AC470=0,0,COUNTIFS(L_CalChave,"&gt;0",L_CalChave,"&lt;"&amp;AC470)+1)</f>
        <v>0</v>
      </c>
    </row>
    <row r="471">
      <c r="A471" s="38" t="n">
        <v>46224</v>
      </c>
      <c r="B471" s="39" t="inlineStr">
        <is>
          <t>Corrida de aplicativo</t>
        </is>
      </c>
      <c r="C471" s="34" t="inlineStr">
        <is>
          <t>Despesa</t>
        </is>
      </c>
      <c r="D471" s="34" t="inlineStr">
        <is>
          <t>Transporte</t>
        </is>
      </c>
      <c r="E471" s="34" t="inlineStr">
        <is>
          <t>App de transporte</t>
        </is>
      </c>
      <c r="F471" s="34" t="inlineStr">
        <is>
          <t>Conta Corrente Banco Azul</t>
        </is>
      </c>
      <c r="G471" s="34" t="inlineStr">
        <is>
          <t>Pix</t>
        </is>
      </c>
      <c r="H471" s="37" t="n"/>
      <c r="I471" s="37" t="n"/>
      <c r="J471" s="34" t="inlineStr">
        <is>
          <t>Pago</t>
        </is>
      </c>
      <c r="K471" s="34" t="n"/>
      <c r="L471" s="34" t="n"/>
      <c r="M471" s="39" t="inlineStr">
        <is>
          <t>EXEMPLO</t>
        </is>
      </c>
      <c r="N471" s="35" t="n">
        <v>36.35</v>
      </c>
      <c r="O471" s="40">
        <f>IF($A471="","",MONTH($A471))</f>
        <v>7</v>
      </c>
      <c r="P471" s="40">
        <f>IF($A471="","",YEAR($A471))</f>
        <v>2026</v>
      </c>
      <c r="Q471" s="41">
        <f>IF($A471="","",DATE(P471,O471,1))</f>
        <v>46204.0</v>
      </c>
      <c r="R471" s="36">
        <f>IF(OR($A471="",$N471=""),"",IF(AND($C471&lt;&gt;"Transferência",N($I471)&gt;1),$N471/$I471,$N471))</f>
        <v>36.35</v>
      </c>
      <c r="S471" s="41" t="str">
        <f>IF(OR($A471="",$F471="",$C471&lt;&gt;"Despesa"),"",IF(COUNTIF(Cartoes_Nome,$F471)=0,"",DATE(P471,O471+IF(DAY($A471)&gt;=INDEX(Cartoes_Fech,MATCH($F471,Cartoes_Nome,0)),1,0),1)))</f>
        <v/>
      </c>
      <c r="T471" s="42" t="str">
        <f>IF($A471="","",IF(COUNTIFS(L_Data,$A471,L_Desc,$B471,L_Valor,$N471,L_Tipo,$C471)&gt;1,"⚠ Possível duplicidade",IF(OR(AND($C471="Despesa",COUNTIF(CatD_Nome,$D471)=0),AND($C471="Receita",COUNTIF(CatR_Nome,$D471)=0)),"⚠ Categoria não combina com o tipo",IF(OR($N471="",$C471=""),"⚠ Falta valor ou tipo",""))))</f>
        <v/>
      </c>
      <c r="U471" s="40">
        <f>IF($A471="",0,P471*12+O471)</f>
        <v>24319</v>
      </c>
      <c r="V471" s="40">
        <f>IF($A471="",0,U471+MAX(0,N($I471)-MAX(N($H471),1)))</f>
        <v>24319</v>
      </c>
      <c r="W471" s="40">
        <f>IF(S471="",0,YEAR(S471)*12+MONTH(S471))</f>
        <v>0</v>
      </c>
      <c r="X471" s="40">
        <f>IF(W471=0,0,W471+V471-U471)</f>
        <v>0</v>
      </c>
      <c r="Y471" s="36">
        <f>IF(W471=0,0,N(R471)*MAX(0,X471-MAX(W471,YEAR(Cfg_Hoje)*12+MONTH(Cfg_Hoje)+IF(DAY(Cfg_Hoje)&gt;=INDEX(Cartoes_Fech,MATCH($F471,Cartoes_Nome,0)),1,0))+1))</f>
        <v>0</v>
      </c>
      <c r="Z471" s="40">
        <f>IF($A471="",0,DAY($A471))</f>
        <v>21</v>
      </c>
      <c r="AA471" s="40">
        <f>IF($A471="",0,WEEKDAY($A471))</f>
        <v>3</v>
      </c>
      <c r="AB471" s="36">
        <f>IF(AND($C471="Despesa",U471&gt;0,U471&lt;=Sel_Idx,V471&gt;=Sel_Idx),N(R471)+ROW()/1000000000,0)</f>
        <v>0</v>
      </c>
      <c r="AC471" s="40">
        <f>IF(AND($C471="Despesa",U471&gt;0,U471&lt;=Sel_Idx,V471&gt;=Sel_Idx),Z471*10000+ROW(),0)</f>
        <v>0</v>
      </c>
      <c r="AD471" s="40">
        <f>IF(AC471=0,0,COUNTIFS(L_CalChave,"&gt;0",L_CalChave,"&lt;"&amp;AC471)+1)</f>
        <v>0</v>
      </c>
    </row>
    <row r="472">
      <c r="A472" s="38" t="n">
        <v>46225</v>
      </c>
      <c r="B472" s="39" t="inlineStr">
        <is>
          <t>Parcela empréstimo pessoal</t>
        </is>
      </c>
      <c r="C472" s="34" t="inlineStr">
        <is>
          <t>Despesa</t>
        </is>
      </c>
      <c r="D472" s="34" t="inlineStr">
        <is>
          <t>Dívidas e Financiamentos</t>
        </is>
      </c>
      <c r="E472" s="34" t="inlineStr">
        <is>
          <t>Empréstimo</t>
        </is>
      </c>
      <c r="F472" s="34" t="inlineStr">
        <is>
          <t>Conta Corrente Banco Azul</t>
        </is>
      </c>
      <c r="G472" s="34" t="inlineStr">
        <is>
          <t>Débito automático</t>
        </is>
      </c>
      <c r="H472" s="37" t="n"/>
      <c r="I472" s="37" t="n"/>
      <c r="J472" s="34" t="inlineStr">
        <is>
          <t>Pago</t>
        </is>
      </c>
      <c r="K472" s="34" t="n"/>
      <c r="L472" s="34" t="n"/>
      <c r="M472" s="39" t="inlineStr">
        <is>
          <t>EXEMPLO</t>
        </is>
      </c>
      <c r="N472" s="35" t="n">
        <v>580</v>
      </c>
      <c r="O472" s="40">
        <f>IF($A472="","",MONTH($A472))</f>
        <v>7</v>
      </c>
      <c r="P472" s="40">
        <f>IF($A472="","",YEAR($A472))</f>
        <v>2026</v>
      </c>
      <c r="Q472" s="41">
        <f>IF($A472="","",DATE(P472,O472,1))</f>
        <v>46204.0</v>
      </c>
      <c r="R472" s="36">
        <f>IF(OR($A472="",$N472=""),"",IF(AND($C472&lt;&gt;"Transferência",N($I472)&gt;1),$N472/$I472,$N472))</f>
        <v>580</v>
      </c>
      <c r="S472" s="41" t="str">
        <f>IF(OR($A472="",$F472="",$C472&lt;&gt;"Despesa"),"",IF(COUNTIF(Cartoes_Nome,$F472)=0,"",DATE(P472,O472+IF(DAY($A472)&gt;=INDEX(Cartoes_Fech,MATCH($F472,Cartoes_Nome,0)),1,0),1)))</f>
        <v/>
      </c>
      <c r="T472" s="42" t="str">
        <f>IF($A472="","",IF(COUNTIFS(L_Data,$A472,L_Desc,$B472,L_Valor,$N472,L_Tipo,$C472)&gt;1,"⚠ Possível duplicidade",IF(OR(AND($C472="Despesa",COUNTIF(CatD_Nome,$D472)=0),AND($C472="Receita",COUNTIF(CatR_Nome,$D472)=0)),"⚠ Categoria não combina com o tipo",IF(OR($N472="",$C472=""),"⚠ Falta valor ou tipo",""))))</f>
        <v/>
      </c>
      <c r="U472" s="40">
        <f>IF($A472="",0,P472*12+O472)</f>
        <v>24319</v>
      </c>
      <c r="V472" s="40">
        <f>IF($A472="",0,U472+MAX(0,N($I472)-MAX(N($H472),1)))</f>
        <v>24319</v>
      </c>
      <c r="W472" s="40">
        <f>IF(S472="",0,YEAR(S472)*12+MONTH(S472))</f>
        <v>0</v>
      </c>
      <c r="X472" s="40">
        <f>IF(W472=0,0,W472+V472-U472)</f>
        <v>0</v>
      </c>
      <c r="Y472" s="36">
        <f>IF(W472=0,0,N(R472)*MAX(0,X472-MAX(W472,YEAR(Cfg_Hoje)*12+MONTH(Cfg_Hoje)+IF(DAY(Cfg_Hoje)&gt;=INDEX(Cartoes_Fech,MATCH($F472,Cartoes_Nome,0)),1,0))+1))</f>
        <v>0</v>
      </c>
      <c r="Z472" s="40">
        <f>IF($A472="",0,DAY($A472))</f>
        <v>22</v>
      </c>
      <c r="AA472" s="40">
        <f>IF($A472="",0,WEEKDAY($A472))</f>
        <v>4</v>
      </c>
      <c r="AB472" s="36">
        <f>IF(AND($C472="Despesa",U472&gt;0,U472&lt;=Sel_Idx,V472&gt;=Sel_Idx),N(R472)+ROW()/1000000000,0)</f>
        <v>0</v>
      </c>
      <c r="AC472" s="40">
        <f>IF(AND($C472="Despesa",U472&gt;0,U472&lt;=Sel_Idx,V472&gt;=Sel_Idx),Z472*10000+ROW(),0)</f>
        <v>0</v>
      </c>
      <c r="AD472" s="40">
        <f>IF(AC472=0,0,COUNTIFS(L_CalChave,"&gt;0",L_CalChave,"&lt;"&amp;AC472)+1)</f>
        <v>0</v>
      </c>
    </row>
    <row r="473">
      <c r="A473" s="38" t="n">
        <v>46227</v>
      </c>
      <c r="B473" s="39" t="inlineStr">
        <is>
          <t>Combustível</t>
        </is>
      </c>
      <c r="C473" s="34" t="inlineStr">
        <is>
          <t>Despesa</t>
        </is>
      </c>
      <c r="D473" s="34" t="inlineStr">
        <is>
          <t>Transporte</t>
        </is>
      </c>
      <c r="E473" s="34" t="inlineStr">
        <is>
          <t>Combustível</t>
        </is>
      </c>
      <c r="F473" s="34" t="inlineStr">
        <is>
          <t>Cartão Roxinho</t>
        </is>
      </c>
      <c r="G473" s="34" t="inlineStr">
        <is>
          <t>Crédito</t>
        </is>
      </c>
      <c r="H473" s="37" t="n"/>
      <c r="I473" s="37" t="n"/>
      <c r="J473" s="34" t="inlineStr">
        <is>
          <t>Pago</t>
        </is>
      </c>
      <c r="K473" s="34" t="n"/>
      <c r="L473" s="34" t="n"/>
      <c r="M473" s="39" t="inlineStr">
        <is>
          <t>EXEMPLO</t>
        </is>
      </c>
      <c r="N473" s="35" t="n">
        <v>150.68</v>
      </c>
      <c r="O473" s="40">
        <f>IF($A473="","",MONTH($A473))</f>
        <v>7</v>
      </c>
      <c r="P473" s="40">
        <f>IF($A473="","",YEAR($A473))</f>
        <v>2026</v>
      </c>
      <c r="Q473" s="41">
        <f>IF($A473="","",DATE(P473,O473,1))</f>
        <v>46204.0</v>
      </c>
      <c r="R473" s="36">
        <f>IF(OR($A473="",$N473=""),"",IF(AND($C473&lt;&gt;"Transferência",N($I473)&gt;1),$N473/$I473,$N473))</f>
        <v>150.68</v>
      </c>
      <c r="S473" s="41">
        <f>IF(OR($A473="",$F473="",$C473&lt;&gt;"Despesa"),"",IF(COUNTIF(Cartoes_Nome,$F473)=0,"",DATE(P473,O473+IF(DAY($A473)&gt;=INDEX(Cartoes_Fech,MATCH($F473,Cartoes_Nome,0)),1,0),1)))</f>
        <v>46204.0</v>
      </c>
      <c r="T473" s="42" t="str">
        <f>IF($A473="","",IF(COUNTIFS(L_Data,$A473,L_Desc,$B473,L_Valor,$N473,L_Tipo,$C473)&gt;1,"⚠ Possível duplicidade",IF(OR(AND($C473="Despesa",COUNTIF(CatD_Nome,$D473)=0),AND($C473="Receita",COUNTIF(CatR_Nome,$D473)=0)),"⚠ Categoria não combina com o tipo",IF(OR($N473="",$C473=""),"⚠ Falta valor ou tipo",""))))</f>
        <v/>
      </c>
      <c r="U473" s="40">
        <f>IF($A473="",0,P473*12+O473)</f>
        <v>24319</v>
      </c>
      <c r="V473" s="40">
        <f>IF($A473="",0,U473+MAX(0,N($I473)-MAX(N($H473),1)))</f>
        <v>24319</v>
      </c>
      <c r="W473" s="40">
        <f>IF(S473="",0,YEAR(S473)*12+MONTH(S473))</f>
        <v>24319</v>
      </c>
      <c r="X473" s="40">
        <f>IF(W473=0,0,W473+V473-U473)</f>
        <v>24319</v>
      </c>
      <c r="Y473" s="36">
        <f>IF(W473=0,0,N(R473)*MAX(0,X473-MAX(W473,YEAR(Cfg_Hoje)*12+MONTH(Cfg_Hoje)+IF(DAY(Cfg_Hoje)&gt;=INDEX(Cartoes_Fech,MATCH($F473,Cartoes_Nome,0)),1,0))+1))</f>
        <v>0</v>
      </c>
      <c r="Z473" s="40">
        <f>IF($A473="",0,DAY($A473))</f>
        <v>24</v>
      </c>
      <c r="AA473" s="40">
        <f>IF($A473="",0,WEEKDAY($A473))</f>
        <v>6</v>
      </c>
      <c r="AB473" s="36">
        <f>IF(AND($C473="Despesa",U473&gt;0,U473&lt;=Sel_Idx,V473&gt;=Sel_Idx),N(R473)+ROW()/1000000000,0)</f>
        <v>0</v>
      </c>
      <c r="AC473" s="40">
        <f>IF(AND($C473="Despesa",U473&gt;0,U473&lt;=Sel_Idx,V473&gt;=Sel_Idx),Z473*10000+ROW(),0)</f>
        <v>0</v>
      </c>
      <c r="AD473" s="40">
        <f>IF(AC473=0,0,COUNTIFS(L_CalChave,"&gt;0",L_CalChave,"&lt;"&amp;AC473)+1)</f>
        <v>0</v>
      </c>
    </row>
    <row r="474">
      <c r="A474" s="38" t="n">
        <v>46228</v>
      </c>
      <c r="B474" s="39" t="inlineStr">
        <is>
          <t>Parcela renegociação da fatura</t>
        </is>
      </c>
      <c r="C474" s="34" t="inlineStr">
        <is>
          <t>Despesa</t>
        </is>
      </c>
      <c r="D474" s="34" t="inlineStr">
        <is>
          <t>Dívidas e Financiamentos</t>
        </is>
      </c>
      <c r="E474" s="34" t="n"/>
      <c r="F474" s="34" t="inlineStr">
        <is>
          <t>Conta Corrente Banco Azul</t>
        </is>
      </c>
      <c r="G474" s="34" t="inlineStr">
        <is>
          <t>Boleto</t>
        </is>
      </c>
      <c r="H474" s="37" t="n"/>
      <c r="I474" s="37" t="n"/>
      <c r="J474" s="34" t="inlineStr">
        <is>
          <t>Pago</t>
        </is>
      </c>
      <c r="K474" s="34" t="n"/>
      <c r="L474" s="34" t="n"/>
      <c r="M474" s="39" t="inlineStr">
        <is>
          <t>EXEMPLO</t>
        </is>
      </c>
      <c r="N474" s="35" t="n">
        <v>460</v>
      </c>
      <c r="O474" s="40">
        <f>IF($A474="","",MONTH($A474))</f>
        <v>7</v>
      </c>
      <c r="P474" s="40">
        <f>IF($A474="","",YEAR($A474))</f>
        <v>2026</v>
      </c>
      <c r="Q474" s="41">
        <f>IF($A474="","",DATE(P474,O474,1))</f>
        <v>46204.0</v>
      </c>
      <c r="R474" s="36">
        <f>IF(OR($A474="",$N474=""),"",IF(AND($C474&lt;&gt;"Transferência",N($I474)&gt;1),$N474/$I474,$N474))</f>
        <v>460</v>
      </c>
      <c r="S474" s="41" t="str">
        <f>IF(OR($A474="",$F474="",$C474&lt;&gt;"Despesa"),"",IF(COUNTIF(Cartoes_Nome,$F474)=0,"",DATE(P474,O474+IF(DAY($A474)&gt;=INDEX(Cartoes_Fech,MATCH($F474,Cartoes_Nome,0)),1,0),1)))</f>
        <v/>
      </c>
      <c r="T474" s="42" t="str">
        <f>IF($A474="","",IF(COUNTIFS(L_Data,$A474,L_Desc,$B474,L_Valor,$N474,L_Tipo,$C474)&gt;1,"⚠ Possível duplicidade",IF(OR(AND($C474="Despesa",COUNTIF(CatD_Nome,$D474)=0),AND($C474="Receita",COUNTIF(CatR_Nome,$D474)=0)),"⚠ Categoria não combina com o tipo",IF(OR($N474="",$C474=""),"⚠ Falta valor ou tipo",""))))</f>
        <v/>
      </c>
      <c r="U474" s="40">
        <f>IF($A474="",0,P474*12+O474)</f>
        <v>24319</v>
      </c>
      <c r="V474" s="40">
        <f>IF($A474="",0,U474+MAX(0,N($I474)-MAX(N($H474),1)))</f>
        <v>24319</v>
      </c>
      <c r="W474" s="40">
        <f>IF(S474="",0,YEAR(S474)*12+MONTH(S474))</f>
        <v>0</v>
      </c>
      <c r="X474" s="40">
        <f>IF(W474=0,0,W474+V474-U474)</f>
        <v>0</v>
      </c>
      <c r="Y474" s="36">
        <f>IF(W474=0,0,N(R474)*MAX(0,X474-MAX(W474,YEAR(Cfg_Hoje)*12+MONTH(Cfg_Hoje)+IF(DAY(Cfg_Hoje)&gt;=INDEX(Cartoes_Fech,MATCH($F474,Cartoes_Nome,0)),1,0))+1))</f>
        <v>0</v>
      </c>
      <c r="Z474" s="40">
        <f>IF($A474="",0,DAY($A474))</f>
        <v>25</v>
      </c>
      <c r="AA474" s="40">
        <f>IF($A474="",0,WEEKDAY($A474))</f>
        <v>7</v>
      </c>
      <c r="AB474" s="36">
        <f>IF(AND($C474="Despesa",U474&gt;0,U474&lt;=Sel_Idx,V474&gt;=Sel_Idx),N(R474)+ROW()/1000000000,0)</f>
        <v>0</v>
      </c>
      <c r="AC474" s="40">
        <f>IF(AND($C474="Despesa",U474&gt;0,U474&lt;=Sel_Idx,V474&gt;=Sel_Idx),Z474*10000+ROW(),0)</f>
        <v>0</v>
      </c>
      <c r="AD474" s="40">
        <f>IF(AC474=0,0,COUNTIFS(L_CalChave,"&gt;0",L_CalChave,"&lt;"&amp;AC474)+1)</f>
        <v>0</v>
      </c>
    </row>
    <row r="475">
      <c r="A475" s="38" t="n">
        <v>46229</v>
      </c>
      <c r="B475" s="39" t="inlineStr">
        <is>
          <t>Farmácia</t>
        </is>
      </c>
      <c r="C475" s="34" t="inlineStr">
        <is>
          <t>Despesa</t>
        </is>
      </c>
      <c r="D475" s="34" t="inlineStr">
        <is>
          <t>Saúde</t>
        </is>
      </c>
      <c r="E475" s="34" t="inlineStr">
        <is>
          <t>Farmácia</t>
        </is>
      </c>
      <c r="F475" s="34" t="inlineStr">
        <is>
          <t>Cartão Azul Gold</t>
        </is>
      </c>
      <c r="G475" s="34" t="inlineStr">
        <is>
          <t>Crédito</t>
        </is>
      </c>
      <c r="H475" s="37" t="n"/>
      <c r="I475" s="37" t="n"/>
      <c r="J475" s="34" t="inlineStr">
        <is>
          <t>Pago</t>
        </is>
      </c>
      <c r="K475" s="34" t="n"/>
      <c r="L475" s="34" t="n"/>
      <c r="M475" s="39" t="inlineStr">
        <is>
          <t>EXEMPLO</t>
        </is>
      </c>
      <c r="N475" s="35" t="n">
        <v>150.67</v>
      </c>
      <c r="O475" s="40">
        <f>IF($A475="","",MONTH($A475))</f>
        <v>7</v>
      </c>
      <c r="P475" s="40">
        <f>IF($A475="","",YEAR($A475))</f>
        <v>2026</v>
      </c>
      <c r="Q475" s="41">
        <f>IF($A475="","",DATE(P475,O475,1))</f>
        <v>46204.0</v>
      </c>
      <c r="R475" s="36">
        <f>IF(OR($A475="",$N475=""),"",IF(AND($C475&lt;&gt;"Transferência",N($I475)&gt;1),$N475/$I475,$N475))</f>
        <v>150.67</v>
      </c>
      <c r="S475" s="41">
        <f>IF(OR($A475="",$F475="",$C475&lt;&gt;"Despesa"),"",IF(COUNTIF(Cartoes_Nome,$F475)=0,"",DATE(P475,O475+IF(DAY($A475)&gt;=INDEX(Cartoes_Fech,MATCH($F475,Cartoes_Nome,0)),1,0),1)))</f>
        <v>46235.0</v>
      </c>
      <c r="T475" s="42" t="str">
        <f>IF($A475="","",IF(COUNTIFS(L_Data,$A475,L_Desc,$B475,L_Valor,$N475,L_Tipo,$C475)&gt;1,"⚠ Possível duplicidade",IF(OR(AND($C475="Despesa",COUNTIF(CatD_Nome,$D475)=0),AND($C475="Receita",COUNTIF(CatR_Nome,$D475)=0)),"⚠ Categoria não combina com o tipo",IF(OR($N475="",$C475=""),"⚠ Falta valor ou tipo",""))))</f>
        <v/>
      </c>
      <c r="U475" s="40">
        <f>IF($A475="",0,P475*12+O475)</f>
        <v>24319</v>
      </c>
      <c r="V475" s="40">
        <f>IF($A475="",0,U475+MAX(0,N($I475)-MAX(N($H475),1)))</f>
        <v>24319</v>
      </c>
      <c r="W475" s="40">
        <f>IF(S475="",0,YEAR(S475)*12+MONTH(S475))</f>
        <v>24320</v>
      </c>
      <c r="X475" s="40">
        <f>IF(W475=0,0,W475+V475-U475)</f>
        <v>24320</v>
      </c>
      <c r="Y475" s="36">
        <f>IF(W475=0,0,N(R475)*MAX(0,X475-MAX(W475,YEAR(Cfg_Hoje)*12+MONTH(Cfg_Hoje)+IF(DAY(Cfg_Hoje)&gt;=INDEX(Cartoes_Fech,MATCH($F475,Cartoes_Nome,0)),1,0))+1))</f>
        <v>0</v>
      </c>
      <c r="Z475" s="40">
        <f>IF($A475="",0,DAY($A475))</f>
        <v>26</v>
      </c>
      <c r="AA475" s="40">
        <f>IF($A475="",0,WEEKDAY($A475))</f>
        <v>1</v>
      </c>
      <c r="AB475" s="36">
        <f>IF(AND($C475="Despesa",U475&gt;0,U475&lt;=Sel_Idx,V475&gt;=Sel_Idx),N(R475)+ROW()/1000000000,0)</f>
        <v>0</v>
      </c>
      <c r="AC475" s="40">
        <f>IF(AND($C475="Despesa",U475&gt;0,U475&lt;=Sel_Idx,V475&gt;=Sel_Idx),Z475*10000+ROW(),0)</f>
        <v>0</v>
      </c>
      <c r="AD475" s="40">
        <f>IF(AC475=0,0,COUNTIFS(L_CalChave,"&gt;0",L_CalChave,"&lt;"&amp;AC475)+1)</f>
        <v>0</v>
      </c>
    </row>
    <row r="476">
      <c r="A476" s="38" t="n">
        <v>46231</v>
      </c>
      <c r="B476" s="39" t="inlineStr">
        <is>
          <t>Padaria e café</t>
        </is>
      </c>
      <c r="C476" s="34" t="inlineStr">
        <is>
          <t>Despesa</t>
        </is>
      </c>
      <c r="D476" s="34" t="inlineStr">
        <is>
          <t>Alimentação</t>
        </is>
      </c>
      <c r="E476" s="34" t="inlineStr">
        <is>
          <t>Restaurantes</t>
        </is>
      </c>
      <c r="F476" s="34" t="inlineStr">
        <is>
          <t>Cartão Azul Gold</t>
        </is>
      </c>
      <c r="G476" s="34" t="inlineStr">
        <is>
          <t>Crédito</t>
        </is>
      </c>
      <c r="H476" s="37" t="n"/>
      <c r="I476" s="37" t="n"/>
      <c r="J476" s="34" t="inlineStr">
        <is>
          <t>Pago</t>
        </is>
      </c>
      <c r="K476" s="34" t="n"/>
      <c r="L476" s="34" t="n"/>
      <c r="M476" s="39" t="inlineStr">
        <is>
          <t>EXEMPLO</t>
        </is>
      </c>
      <c r="N476" s="35" t="n">
        <v>64.65000000000001</v>
      </c>
      <c r="O476" s="40">
        <f>IF($A476="","",MONTH($A476))</f>
        <v>7</v>
      </c>
      <c r="P476" s="40">
        <f>IF($A476="","",YEAR($A476))</f>
        <v>2026</v>
      </c>
      <c r="Q476" s="41">
        <f>IF($A476="","",DATE(P476,O476,1))</f>
        <v>46204.0</v>
      </c>
      <c r="R476" s="36">
        <f>IF(OR($A476="",$N476=""),"",IF(AND($C476&lt;&gt;"Transferência",N($I476)&gt;1),$N476/$I476,$N476))</f>
        <v>64.65</v>
      </c>
      <c r="S476" s="41">
        <f>IF(OR($A476="",$F476="",$C476&lt;&gt;"Despesa"),"",IF(COUNTIF(Cartoes_Nome,$F476)=0,"",DATE(P476,O476+IF(DAY($A476)&gt;=INDEX(Cartoes_Fech,MATCH($F476,Cartoes_Nome,0)),1,0),1)))</f>
        <v>46235.0</v>
      </c>
      <c r="T476" s="42" t="str">
        <f>IF($A476="","",IF(COUNTIFS(L_Data,$A476,L_Desc,$B476,L_Valor,$N476,L_Tipo,$C476)&gt;1,"⚠ Possível duplicidade",IF(OR(AND($C476="Despesa",COUNTIF(CatD_Nome,$D476)=0),AND($C476="Receita",COUNTIF(CatR_Nome,$D476)=0)),"⚠ Categoria não combina com o tipo",IF(OR($N476="",$C476=""),"⚠ Falta valor ou tipo",""))))</f>
        <v/>
      </c>
      <c r="U476" s="40">
        <f>IF($A476="",0,P476*12+O476)</f>
        <v>24319</v>
      </c>
      <c r="V476" s="40">
        <f>IF($A476="",0,U476+MAX(0,N($I476)-MAX(N($H476),1)))</f>
        <v>24319</v>
      </c>
      <c r="W476" s="40">
        <f>IF(S476="",0,YEAR(S476)*12+MONTH(S476))</f>
        <v>24320</v>
      </c>
      <c r="X476" s="40">
        <f>IF(W476=0,0,W476+V476-U476)</f>
        <v>24320</v>
      </c>
      <c r="Y476" s="36">
        <f>IF(W476=0,0,N(R476)*MAX(0,X476-MAX(W476,YEAR(Cfg_Hoje)*12+MONTH(Cfg_Hoje)+IF(DAY(Cfg_Hoje)&gt;=INDEX(Cartoes_Fech,MATCH($F476,Cartoes_Nome,0)),1,0))+1))</f>
        <v>0</v>
      </c>
      <c r="Z476" s="40">
        <f>IF($A476="",0,DAY($A476))</f>
        <v>28</v>
      </c>
      <c r="AA476" s="40">
        <f>IF($A476="",0,WEEKDAY($A476))</f>
        <v>3</v>
      </c>
      <c r="AB476" s="36">
        <f>IF(AND($C476="Despesa",U476&gt;0,U476&lt;=Sel_Idx,V476&gt;=Sel_Idx),N(R476)+ROW()/1000000000,0)</f>
        <v>0</v>
      </c>
      <c r="AC476" s="40">
        <f>IF(AND($C476="Despesa",U476&gt;0,U476&lt;=Sel_Idx,V476&gt;=Sel_Idx),Z476*10000+ROW(),0)</f>
        <v>0</v>
      </c>
      <c r="AD476" s="40">
        <f>IF(AC476=0,0,COUNTIFS(L_CalChave,"&gt;0",L_CalChave,"&lt;"&amp;AC476)+1)</f>
        <v>0</v>
      </c>
    </row>
    <row r="477">
      <c r="A477" s="38" t="n">
        <v>46231</v>
      </c>
      <c r="B477" s="39" t="inlineStr">
        <is>
          <t>Rendimento da poupança</t>
        </is>
      </c>
      <c r="C477" s="34" t="inlineStr">
        <is>
          <t>Receita</t>
        </is>
      </c>
      <c r="D477" s="34" t="inlineStr">
        <is>
          <t>Rendimentos</t>
        </is>
      </c>
      <c r="E477" s="34" t="n"/>
      <c r="F477" s="34" t="inlineStr">
        <is>
          <t>Poupança Banco Azul</t>
        </is>
      </c>
      <c r="G477" s="34" t="inlineStr">
        <is>
          <t>Transferência</t>
        </is>
      </c>
      <c r="H477" s="37" t="n"/>
      <c r="I477" s="37" t="n"/>
      <c r="J477" s="34" t="inlineStr">
        <is>
          <t>Pago</t>
        </is>
      </c>
      <c r="K477" s="34" t="n"/>
      <c r="L477" s="34" t="n"/>
      <c r="M477" s="39" t="inlineStr">
        <is>
          <t>EXEMPLO</t>
        </is>
      </c>
      <c r="N477" s="35" t="n">
        <v>79.08</v>
      </c>
      <c r="O477" s="40">
        <f>IF($A477="","",MONTH($A477))</f>
        <v>7</v>
      </c>
      <c r="P477" s="40">
        <f>IF($A477="","",YEAR($A477))</f>
        <v>2026</v>
      </c>
      <c r="Q477" s="41">
        <f>IF($A477="","",DATE(P477,O477,1))</f>
        <v>46204.0</v>
      </c>
      <c r="R477" s="36">
        <f>IF(OR($A477="",$N477=""),"",IF(AND($C477&lt;&gt;"Transferência",N($I477)&gt;1),$N477/$I477,$N477))</f>
        <v>79.08</v>
      </c>
      <c r="S477" s="41" t="str">
        <f>IF(OR($A477="",$F477="",$C477&lt;&gt;"Despesa"),"",IF(COUNTIF(Cartoes_Nome,$F477)=0,"",DATE(P477,O477+IF(DAY($A477)&gt;=INDEX(Cartoes_Fech,MATCH($F477,Cartoes_Nome,0)),1,0),1)))</f>
        <v/>
      </c>
      <c r="T477" s="42" t="str">
        <f>IF($A477="","",IF(COUNTIFS(L_Data,$A477,L_Desc,$B477,L_Valor,$N477,L_Tipo,$C477)&gt;1,"⚠ Possível duplicidade",IF(OR(AND($C477="Despesa",COUNTIF(CatD_Nome,$D477)=0),AND($C477="Receita",COUNTIF(CatR_Nome,$D477)=0)),"⚠ Categoria não combina com o tipo",IF(OR($N477="",$C477=""),"⚠ Falta valor ou tipo",""))))</f>
        <v/>
      </c>
      <c r="U477" s="40">
        <f>IF($A477="",0,P477*12+O477)</f>
        <v>24319</v>
      </c>
      <c r="V477" s="40">
        <f>IF($A477="",0,U477+MAX(0,N($I477)-MAX(N($H477),1)))</f>
        <v>24319</v>
      </c>
      <c r="W477" s="40">
        <f>IF(S477="",0,YEAR(S477)*12+MONTH(S477))</f>
        <v>0</v>
      </c>
      <c r="X477" s="40">
        <f>IF(W477=0,0,W477+V477-U477)</f>
        <v>0</v>
      </c>
      <c r="Y477" s="36">
        <f>IF(W477=0,0,N(R477)*MAX(0,X477-MAX(W477,YEAR(Cfg_Hoje)*12+MONTH(Cfg_Hoje)+IF(DAY(Cfg_Hoje)&gt;=INDEX(Cartoes_Fech,MATCH($F477,Cartoes_Nome,0)),1,0))+1))</f>
        <v>0</v>
      </c>
      <c r="Z477" s="40">
        <f>IF($A477="",0,DAY($A477))</f>
        <v>28</v>
      </c>
      <c r="AA477" s="40">
        <f>IF($A477="",0,WEEKDAY($A477))</f>
        <v>3</v>
      </c>
      <c r="AB477" s="36">
        <f>IF(AND($C477="Despesa",U477&gt;0,U477&lt;=Sel_Idx,V477&gt;=Sel_Idx),N(R477)+ROW()/1000000000,0)</f>
        <v>0</v>
      </c>
      <c r="AC477" s="40">
        <f>IF(AND($C477="Despesa",U477&gt;0,U477&lt;=Sel_Idx,V477&gt;=Sel_Idx),Z477*10000+ROW(),0)</f>
        <v>0</v>
      </c>
      <c r="AD477" s="40">
        <f>IF(AC477=0,0,COUNTIFS(L_CalChave,"&gt;0",L_CalChave,"&lt;"&amp;AC477)+1)</f>
        <v>0</v>
      </c>
    </row>
    <row r="478">
      <c r="A478" s="38" t="n">
        <v>46231</v>
      </c>
      <c r="B478" s="39" t="inlineStr">
        <is>
          <t>Supermercado</t>
        </is>
      </c>
      <c r="C478" s="34" t="inlineStr">
        <is>
          <t>Despesa</t>
        </is>
      </c>
      <c r="D478" s="34" t="inlineStr">
        <is>
          <t>Alimentação</t>
        </is>
      </c>
      <c r="E478" s="34" t="inlineStr">
        <is>
          <t>Mercado</t>
        </is>
      </c>
      <c r="F478" s="34" t="inlineStr">
        <is>
          <t>Conta Corrente Banco Azul</t>
        </is>
      </c>
      <c r="G478" s="34" t="inlineStr">
        <is>
          <t>Débito</t>
        </is>
      </c>
      <c r="H478" s="37" t="n"/>
      <c r="I478" s="37" t="n"/>
      <c r="J478" s="34" t="inlineStr">
        <is>
          <t>Pago</t>
        </is>
      </c>
      <c r="K478" s="34" t="n"/>
      <c r="L478" s="34" t="n"/>
      <c r="M478" s="39" t="inlineStr">
        <is>
          <t>EXEMPLO</t>
        </is>
      </c>
      <c r="N478" s="35" t="n">
        <v>292.54</v>
      </c>
      <c r="O478" s="40">
        <f>IF($A478="","",MONTH($A478))</f>
        <v>7</v>
      </c>
      <c r="P478" s="40">
        <f>IF($A478="","",YEAR($A478))</f>
        <v>2026</v>
      </c>
      <c r="Q478" s="41">
        <f>IF($A478="","",DATE(P478,O478,1))</f>
        <v>46204.0</v>
      </c>
      <c r="R478" s="36">
        <f>IF(OR($A478="",$N478=""),"",IF(AND($C478&lt;&gt;"Transferência",N($I478)&gt;1),$N478/$I478,$N478))</f>
        <v>292.54</v>
      </c>
      <c r="S478" s="41" t="str">
        <f>IF(OR($A478="",$F478="",$C478&lt;&gt;"Despesa"),"",IF(COUNTIF(Cartoes_Nome,$F478)=0,"",DATE(P478,O478+IF(DAY($A478)&gt;=INDEX(Cartoes_Fech,MATCH($F478,Cartoes_Nome,0)),1,0),1)))</f>
        <v/>
      </c>
      <c r="T478" s="42" t="str">
        <f>IF($A478="","",IF(COUNTIFS(L_Data,$A478,L_Desc,$B478,L_Valor,$N478,L_Tipo,$C478)&gt;1,"⚠ Possível duplicidade",IF(OR(AND($C478="Despesa",COUNTIF(CatD_Nome,$D478)=0),AND($C478="Receita",COUNTIF(CatR_Nome,$D478)=0)),"⚠ Categoria não combina com o tipo",IF(OR($N478="",$C478=""),"⚠ Falta valor ou tipo",""))))</f>
        <v/>
      </c>
      <c r="U478" s="40">
        <f>IF($A478="",0,P478*12+O478)</f>
        <v>24319</v>
      </c>
      <c r="V478" s="40">
        <f>IF($A478="",0,U478+MAX(0,N($I478)-MAX(N($H478),1)))</f>
        <v>24319</v>
      </c>
      <c r="W478" s="40">
        <f>IF(S478="",0,YEAR(S478)*12+MONTH(S478))</f>
        <v>0</v>
      </c>
      <c r="X478" s="40">
        <f>IF(W478=0,0,W478+V478-U478)</f>
        <v>0</v>
      </c>
      <c r="Y478" s="36">
        <f>IF(W478=0,0,N(R478)*MAX(0,X478-MAX(W478,YEAR(Cfg_Hoje)*12+MONTH(Cfg_Hoje)+IF(DAY(Cfg_Hoje)&gt;=INDEX(Cartoes_Fech,MATCH($F478,Cartoes_Nome,0)),1,0))+1))</f>
        <v>0</v>
      </c>
      <c r="Z478" s="40">
        <f>IF($A478="",0,DAY($A478))</f>
        <v>28</v>
      </c>
      <c r="AA478" s="40">
        <f>IF($A478="",0,WEEKDAY($A478))</f>
        <v>3</v>
      </c>
      <c r="AB478" s="36">
        <f>IF(AND($C478="Despesa",U478&gt;0,U478&lt;=Sel_Idx,V478&gt;=Sel_Idx),N(R478)+ROW()/1000000000,0)</f>
        <v>0</v>
      </c>
      <c r="AC478" s="40">
        <f>IF(AND($C478="Despesa",U478&gt;0,U478&lt;=Sel_Idx,V478&gt;=Sel_Idx),Z478*10000+ROW(),0)</f>
        <v>0</v>
      </c>
      <c r="AD478" s="40">
        <f>IF(AC478=0,0,COUNTIFS(L_CalChave,"&gt;0",L_CalChave,"&lt;"&amp;AC478)+1)</f>
        <v>0</v>
      </c>
    </row>
    <row r="479">
      <c r="A479" s="38" t="n">
        <v>46236</v>
      </c>
      <c r="B479" s="39" t="inlineStr">
        <is>
          <t>Corrida de aplicativo</t>
        </is>
      </c>
      <c r="C479" s="34" t="inlineStr">
        <is>
          <t>Despesa</t>
        </is>
      </c>
      <c r="D479" s="34" t="inlineStr">
        <is>
          <t>Transporte</t>
        </is>
      </c>
      <c r="E479" s="34" t="inlineStr">
        <is>
          <t>App de transporte</t>
        </is>
      </c>
      <c r="F479" s="34" t="inlineStr">
        <is>
          <t>Conta Corrente Banco Azul</t>
        </is>
      </c>
      <c r="G479" s="34" t="inlineStr">
        <is>
          <t>Pix</t>
        </is>
      </c>
      <c r="H479" s="37" t="n"/>
      <c r="I479" s="37" t="n"/>
      <c r="J479" s="34" t="inlineStr">
        <is>
          <t>Pago</t>
        </is>
      </c>
      <c r="K479" s="34" t="n"/>
      <c r="L479" s="34" t="n"/>
      <c r="M479" s="39" t="inlineStr">
        <is>
          <t>EXEMPLO</t>
        </is>
      </c>
      <c r="N479" s="35" t="n">
        <v>37.31</v>
      </c>
      <c r="O479" s="40">
        <f>IF($A479="","",MONTH($A479))</f>
        <v>8</v>
      </c>
      <c r="P479" s="40">
        <f>IF($A479="","",YEAR($A479))</f>
        <v>2026</v>
      </c>
      <c r="Q479" s="41">
        <f>IF($A479="","",DATE(P479,O479,1))</f>
        <v>46235.0</v>
      </c>
      <c r="R479" s="36">
        <f>IF(OR($A479="",$N479=""),"",IF(AND($C479&lt;&gt;"Transferência",N($I479)&gt;1),$N479/$I479,$N479))</f>
        <v>37.31</v>
      </c>
      <c r="S479" s="41" t="str">
        <f>IF(OR($A479="",$F479="",$C479&lt;&gt;"Despesa"),"",IF(COUNTIF(Cartoes_Nome,$F479)=0,"",DATE(P479,O479+IF(DAY($A479)&gt;=INDEX(Cartoes_Fech,MATCH($F479,Cartoes_Nome,0)),1,0),1)))</f>
        <v/>
      </c>
      <c r="T479" s="42" t="str">
        <f>IF($A479="","",IF(COUNTIFS(L_Data,$A479,L_Desc,$B479,L_Valor,$N479,L_Tipo,$C479)&gt;1,"⚠ Possível duplicidade",IF(OR(AND($C479="Despesa",COUNTIF(CatD_Nome,$D479)=0),AND($C479="Receita",COUNTIF(CatR_Nome,$D479)=0)),"⚠ Categoria não combina com o tipo",IF(OR($N479="",$C479=""),"⚠ Falta valor ou tipo",""))))</f>
        <v/>
      </c>
      <c r="U479" s="40">
        <f>IF($A479="",0,P479*12+O479)</f>
        <v>24320</v>
      </c>
      <c r="V479" s="40">
        <f>IF($A479="",0,U479+MAX(0,N($I479)-MAX(N($H479),1)))</f>
        <v>24320</v>
      </c>
      <c r="W479" s="40">
        <f>IF(S479="",0,YEAR(S479)*12+MONTH(S479))</f>
        <v>0</v>
      </c>
      <c r="X479" s="40">
        <f>IF(W479=0,0,W479+V479-U479)</f>
        <v>0</v>
      </c>
      <c r="Y479" s="36">
        <f>IF(W479=0,0,N(R479)*MAX(0,X479-MAX(W479,YEAR(Cfg_Hoje)*12+MONTH(Cfg_Hoje)+IF(DAY(Cfg_Hoje)&gt;=INDEX(Cartoes_Fech,MATCH($F479,Cartoes_Nome,0)),1,0))+1))</f>
        <v>0</v>
      </c>
      <c r="Z479" s="40">
        <f>IF($A479="",0,DAY($A479))</f>
        <v>2</v>
      </c>
      <c r="AA479" s="40">
        <f>IF($A479="",0,WEEKDAY($A479))</f>
        <v>1</v>
      </c>
      <c r="AB479" s="36">
        <f>IF(AND($C479="Despesa",U479&gt;0,U479&lt;=Sel_Idx,V479&gt;=Sel_Idx),N(R479)+ROW()/1000000000,0)</f>
        <v>0</v>
      </c>
      <c r="AC479" s="40">
        <f>IF(AND($C479="Despesa",U479&gt;0,U479&lt;=Sel_Idx,V479&gt;=Sel_Idx),Z479*10000+ROW(),0)</f>
        <v>0</v>
      </c>
      <c r="AD479" s="40">
        <f>IF(AC479=0,0,COUNTIFS(L_CalChave,"&gt;0",L_CalChave,"&lt;"&amp;AC479)+1)</f>
        <v>0</v>
      </c>
    </row>
    <row r="480">
      <c r="A480" s="38" t="n">
        <v>46236</v>
      </c>
      <c r="B480" s="39" t="inlineStr">
        <is>
          <t>Roupas</t>
        </is>
      </c>
      <c r="C480" s="34" t="inlineStr">
        <is>
          <t>Despesa</t>
        </is>
      </c>
      <c r="D480" s="34" t="inlineStr">
        <is>
          <t>Vestuário</t>
        </is>
      </c>
      <c r="E480" s="34" t="inlineStr">
        <is>
          <t>Roupas</t>
        </is>
      </c>
      <c r="F480" s="34" t="inlineStr">
        <is>
          <t>Cartão Azul Gold</t>
        </is>
      </c>
      <c r="G480" s="34" t="inlineStr">
        <is>
          <t>Crédito</t>
        </is>
      </c>
      <c r="H480" s="37" t="n"/>
      <c r="I480" s="37" t="n"/>
      <c r="J480" s="34" t="inlineStr">
        <is>
          <t>Pago</t>
        </is>
      </c>
      <c r="K480" s="34" t="n"/>
      <c r="L480" s="34" t="n"/>
      <c r="M480" s="39" t="inlineStr">
        <is>
          <t>EXEMPLO</t>
        </is>
      </c>
      <c r="N480" s="35" t="n">
        <v>408.88</v>
      </c>
      <c r="O480" s="40">
        <f>IF($A480="","",MONTH($A480))</f>
        <v>8</v>
      </c>
      <c r="P480" s="40">
        <f>IF($A480="","",YEAR($A480))</f>
        <v>2026</v>
      </c>
      <c r="Q480" s="41">
        <f>IF($A480="","",DATE(P480,O480,1))</f>
        <v>46235.0</v>
      </c>
      <c r="R480" s="36">
        <f>IF(OR($A480="",$N480=""),"",IF(AND($C480&lt;&gt;"Transferência",N($I480)&gt;1),$N480/$I480,$N480))</f>
        <v>408.88</v>
      </c>
      <c r="S480" s="41">
        <f>IF(OR($A480="",$F480="",$C480&lt;&gt;"Despesa"),"",IF(COUNTIF(Cartoes_Nome,$F480)=0,"",DATE(P480,O480+IF(DAY($A480)&gt;=INDEX(Cartoes_Fech,MATCH($F480,Cartoes_Nome,0)),1,0),1)))</f>
        <v>46235.0</v>
      </c>
      <c r="T480" s="42" t="str">
        <f>IF($A480="","",IF(COUNTIFS(L_Data,$A480,L_Desc,$B480,L_Valor,$N480,L_Tipo,$C480)&gt;1,"⚠ Possível duplicidade",IF(OR(AND($C480="Despesa",COUNTIF(CatD_Nome,$D480)=0),AND($C480="Receita",COUNTIF(CatR_Nome,$D480)=0)),"⚠ Categoria não combina com o tipo",IF(OR($N480="",$C480=""),"⚠ Falta valor ou tipo",""))))</f>
        <v/>
      </c>
      <c r="U480" s="40">
        <f>IF($A480="",0,P480*12+O480)</f>
        <v>24320</v>
      </c>
      <c r="V480" s="40">
        <f>IF($A480="",0,U480+MAX(0,N($I480)-MAX(N($H480),1)))</f>
        <v>24320</v>
      </c>
      <c r="W480" s="40">
        <f>IF(S480="",0,YEAR(S480)*12+MONTH(S480))</f>
        <v>24320</v>
      </c>
      <c r="X480" s="40">
        <f>IF(W480=0,0,W480+V480-U480)</f>
        <v>24320</v>
      </c>
      <c r="Y480" s="36">
        <f>IF(W480=0,0,N(R480)*MAX(0,X480-MAX(W480,YEAR(Cfg_Hoje)*12+MONTH(Cfg_Hoje)+IF(DAY(Cfg_Hoje)&gt;=INDEX(Cartoes_Fech,MATCH($F480,Cartoes_Nome,0)),1,0))+1))</f>
        <v>0</v>
      </c>
      <c r="Z480" s="40">
        <f>IF($A480="",0,DAY($A480))</f>
        <v>2</v>
      </c>
      <c r="AA480" s="40">
        <f>IF($A480="",0,WEEKDAY($A480))</f>
        <v>1</v>
      </c>
      <c r="AB480" s="36">
        <f>IF(AND($C480="Despesa",U480&gt;0,U480&lt;=Sel_Idx,V480&gt;=Sel_Idx),N(R480)+ROW()/1000000000,0)</f>
        <v>0</v>
      </c>
      <c r="AC480" s="40">
        <f>IF(AND($C480="Despesa",U480&gt;0,U480&lt;=Sel_Idx,V480&gt;=Sel_Idx),Z480*10000+ROW(),0)</f>
        <v>0</v>
      </c>
      <c r="AD480" s="40">
        <f>IF(AC480=0,0,COUNTIFS(L_CalChave,"&gt;0",L_CalChave,"&lt;"&amp;AC480)+1)</f>
        <v>0</v>
      </c>
    </row>
    <row r="481">
      <c r="A481" s="38" t="n">
        <v>46237</v>
      </c>
      <c r="B481" s="39" t="inlineStr">
        <is>
          <t>Academia</t>
        </is>
      </c>
      <c r="C481" s="34" t="inlineStr">
        <is>
          <t>Despesa</t>
        </is>
      </c>
      <c r="D481" s="34" t="inlineStr">
        <is>
          <t>Assinaturas</t>
        </is>
      </c>
      <c r="E481" s="34" t="inlineStr">
        <is>
          <t>Academia</t>
        </is>
      </c>
      <c r="F481" s="34" t="inlineStr">
        <is>
          <t>Conta Corrente Banco Azul</t>
        </is>
      </c>
      <c r="G481" s="34" t="inlineStr">
        <is>
          <t>Débito automático</t>
        </is>
      </c>
      <c r="H481" s="37" t="n"/>
      <c r="I481" s="37" t="n"/>
      <c r="J481" s="34" t="inlineStr">
        <is>
          <t>Pago</t>
        </is>
      </c>
      <c r="K481" s="34" t="n"/>
      <c r="L481" s="34" t="n"/>
      <c r="M481" s="39" t="inlineStr">
        <is>
          <t>EXEMPLO</t>
        </is>
      </c>
      <c r="N481" s="35" t="n">
        <v>129</v>
      </c>
      <c r="O481" s="40">
        <f>IF($A481="","",MONTH($A481))</f>
        <v>8</v>
      </c>
      <c r="P481" s="40">
        <f>IF($A481="","",YEAR($A481))</f>
        <v>2026</v>
      </c>
      <c r="Q481" s="41">
        <f>IF($A481="","",DATE(P481,O481,1))</f>
        <v>46235.0</v>
      </c>
      <c r="R481" s="36">
        <f>IF(OR($A481="",$N481=""),"",IF(AND($C481&lt;&gt;"Transferência",N($I481)&gt;1),$N481/$I481,$N481))</f>
        <v>129</v>
      </c>
      <c r="S481" s="41" t="str">
        <f>IF(OR($A481="",$F481="",$C481&lt;&gt;"Despesa"),"",IF(COUNTIF(Cartoes_Nome,$F481)=0,"",DATE(P481,O481+IF(DAY($A481)&gt;=INDEX(Cartoes_Fech,MATCH($F481,Cartoes_Nome,0)),1,0),1)))</f>
        <v/>
      </c>
      <c r="T481" s="42" t="str">
        <f>IF($A481="","",IF(COUNTIFS(L_Data,$A481,L_Desc,$B481,L_Valor,$N481,L_Tipo,$C481)&gt;1,"⚠ Possível duplicidade",IF(OR(AND($C481="Despesa",COUNTIF(CatD_Nome,$D481)=0),AND($C481="Receita",COUNTIF(CatR_Nome,$D481)=0)),"⚠ Categoria não combina com o tipo",IF(OR($N481="",$C481=""),"⚠ Falta valor ou tipo",""))))</f>
        <v/>
      </c>
      <c r="U481" s="40">
        <f>IF($A481="",0,P481*12+O481)</f>
        <v>24320</v>
      </c>
      <c r="V481" s="40">
        <f>IF($A481="",0,U481+MAX(0,N($I481)-MAX(N($H481),1)))</f>
        <v>24320</v>
      </c>
      <c r="W481" s="40">
        <f>IF(S481="",0,YEAR(S481)*12+MONTH(S481))</f>
        <v>0</v>
      </c>
      <c r="X481" s="40">
        <f>IF(W481=0,0,W481+V481-U481)</f>
        <v>0</v>
      </c>
      <c r="Y481" s="36">
        <f>IF(W481=0,0,N(R481)*MAX(0,X481-MAX(W481,YEAR(Cfg_Hoje)*12+MONTH(Cfg_Hoje)+IF(DAY(Cfg_Hoje)&gt;=INDEX(Cartoes_Fech,MATCH($F481,Cartoes_Nome,0)),1,0))+1))</f>
        <v>0</v>
      </c>
      <c r="Z481" s="40">
        <f>IF($A481="",0,DAY($A481))</f>
        <v>3</v>
      </c>
      <c r="AA481" s="40">
        <f>IF($A481="",0,WEEKDAY($A481))</f>
        <v>2</v>
      </c>
      <c r="AB481" s="36">
        <f>IF(AND($C481="Despesa",U481&gt;0,U481&lt;=Sel_Idx,V481&gt;=Sel_Idx),N(R481)+ROW()/1000000000,0)</f>
        <v>0</v>
      </c>
      <c r="AC481" s="40">
        <f>IF(AND($C481="Despesa",U481&gt;0,U481&lt;=Sel_Idx,V481&gt;=Sel_Idx),Z481*10000+ROW(),0)</f>
        <v>0</v>
      </c>
      <c r="AD481" s="40">
        <f>IF(AC481=0,0,COUNTIFS(L_CalChave,"&gt;0",L_CalChave,"&lt;"&amp;AC481)+1)</f>
        <v>0</v>
      </c>
    </row>
    <row r="482">
      <c r="A482" s="38" t="n">
        <v>46238</v>
      </c>
      <c r="B482" s="39" t="inlineStr">
        <is>
          <t>Supermercado</t>
        </is>
      </c>
      <c r="C482" s="34" t="inlineStr">
        <is>
          <t>Despesa</t>
        </is>
      </c>
      <c r="D482" s="34" t="inlineStr">
        <is>
          <t>Alimentação</t>
        </is>
      </c>
      <c r="E482" s="34" t="inlineStr">
        <is>
          <t>Mercado</t>
        </is>
      </c>
      <c r="F482" s="34" t="inlineStr">
        <is>
          <t>Conta Corrente Banco Azul</t>
        </is>
      </c>
      <c r="G482" s="34" t="inlineStr">
        <is>
          <t>Débito</t>
        </is>
      </c>
      <c r="H482" s="37" t="n"/>
      <c r="I482" s="37" t="n"/>
      <c r="J482" s="34" t="inlineStr">
        <is>
          <t>Pago</t>
        </is>
      </c>
      <c r="K482" s="34" t="n"/>
      <c r="L482" s="34" t="n"/>
      <c r="M482" s="39" t="inlineStr">
        <is>
          <t>EXEMPLO</t>
        </is>
      </c>
      <c r="N482" s="35" t="n">
        <v>416.69</v>
      </c>
      <c r="O482" s="40">
        <f>IF($A482="","",MONTH($A482))</f>
        <v>8</v>
      </c>
      <c r="P482" s="40">
        <f>IF($A482="","",YEAR($A482))</f>
        <v>2026</v>
      </c>
      <c r="Q482" s="41">
        <f>IF($A482="","",DATE(P482,O482,1))</f>
        <v>46235.0</v>
      </c>
      <c r="R482" s="36">
        <f>IF(OR($A482="",$N482=""),"",IF(AND($C482&lt;&gt;"Transferência",N($I482)&gt;1),$N482/$I482,$N482))</f>
        <v>416.69</v>
      </c>
      <c r="S482" s="41" t="str">
        <f>IF(OR($A482="",$F482="",$C482&lt;&gt;"Despesa"),"",IF(COUNTIF(Cartoes_Nome,$F482)=0,"",DATE(P482,O482+IF(DAY($A482)&gt;=INDEX(Cartoes_Fech,MATCH($F482,Cartoes_Nome,0)),1,0),1)))</f>
        <v/>
      </c>
      <c r="T482" s="42" t="str">
        <f>IF($A482="","",IF(COUNTIFS(L_Data,$A482,L_Desc,$B482,L_Valor,$N482,L_Tipo,$C482)&gt;1,"⚠ Possível duplicidade",IF(OR(AND($C482="Despesa",COUNTIF(CatD_Nome,$D482)=0),AND($C482="Receita",COUNTIF(CatR_Nome,$D482)=0)),"⚠ Categoria não combina com o tipo",IF(OR($N482="",$C482=""),"⚠ Falta valor ou tipo",""))))</f>
        <v/>
      </c>
      <c r="U482" s="40">
        <f>IF($A482="",0,P482*12+O482)</f>
        <v>24320</v>
      </c>
      <c r="V482" s="40">
        <f>IF($A482="",0,U482+MAX(0,N($I482)-MAX(N($H482),1)))</f>
        <v>24320</v>
      </c>
      <c r="W482" s="40">
        <f>IF(S482="",0,YEAR(S482)*12+MONTH(S482))</f>
        <v>0</v>
      </c>
      <c r="X482" s="40">
        <f>IF(W482=0,0,W482+V482-U482)</f>
        <v>0</v>
      </c>
      <c r="Y482" s="36">
        <f>IF(W482=0,0,N(R482)*MAX(0,X482-MAX(W482,YEAR(Cfg_Hoje)*12+MONTH(Cfg_Hoje)+IF(DAY(Cfg_Hoje)&gt;=INDEX(Cartoes_Fech,MATCH($F482,Cartoes_Nome,0)),1,0))+1))</f>
        <v>0</v>
      </c>
      <c r="Z482" s="40">
        <f>IF($A482="",0,DAY($A482))</f>
        <v>4</v>
      </c>
      <c r="AA482" s="40">
        <f>IF($A482="",0,WEEKDAY($A482))</f>
        <v>3</v>
      </c>
      <c r="AB482" s="36">
        <f>IF(AND($C482="Despesa",U482&gt;0,U482&lt;=Sel_Idx,V482&gt;=Sel_Idx),N(R482)+ROW()/1000000000,0)</f>
        <v>0</v>
      </c>
      <c r="AC482" s="40">
        <f>IF(AND($C482="Despesa",U482&gt;0,U482&lt;=Sel_Idx,V482&gt;=Sel_Idx),Z482*10000+ROW(),0)</f>
        <v>0</v>
      </c>
      <c r="AD482" s="40">
        <f>IF(AC482=0,0,COUNTIFS(L_CalChave,"&gt;0",L_CalChave,"&lt;"&amp;AC482)+1)</f>
        <v>0</v>
      </c>
    </row>
    <row r="483">
      <c r="A483" s="38" t="n">
        <v>46239</v>
      </c>
      <c r="B483" s="39" t="inlineStr">
        <is>
          <t>Corrida de aplicativo</t>
        </is>
      </c>
      <c r="C483" s="34" t="inlineStr">
        <is>
          <t>Despesa</t>
        </is>
      </c>
      <c r="D483" s="34" t="inlineStr">
        <is>
          <t>Transporte</t>
        </is>
      </c>
      <c r="E483" s="34" t="inlineStr">
        <is>
          <t>App de transporte</t>
        </is>
      </c>
      <c r="F483" s="34" t="inlineStr">
        <is>
          <t>Conta Corrente Banco Azul</t>
        </is>
      </c>
      <c r="G483" s="34" t="inlineStr">
        <is>
          <t>Pix</t>
        </is>
      </c>
      <c r="H483" s="37" t="n"/>
      <c r="I483" s="37" t="n"/>
      <c r="J483" s="34" t="inlineStr">
        <is>
          <t>Pago</t>
        </is>
      </c>
      <c r="K483" s="34" t="n"/>
      <c r="L483" s="34" t="n"/>
      <c r="M483" s="39" t="inlineStr">
        <is>
          <t>EXEMPLO</t>
        </is>
      </c>
      <c r="N483" s="35" t="n">
        <v>18.65</v>
      </c>
      <c r="O483" s="40">
        <f>IF($A483="","",MONTH($A483))</f>
        <v>8</v>
      </c>
      <c r="P483" s="40">
        <f>IF($A483="","",YEAR($A483))</f>
        <v>2026</v>
      </c>
      <c r="Q483" s="41">
        <f>IF($A483="","",DATE(P483,O483,1))</f>
        <v>46235.0</v>
      </c>
      <c r="R483" s="36">
        <f>IF(OR($A483="",$N483=""),"",IF(AND($C483&lt;&gt;"Transferência",N($I483)&gt;1),$N483/$I483,$N483))</f>
        <v>18.65</v>
      </c>
      <c r="S483" s="41" t="str">
        <f>IF(OR($A483="",$F483="",$C483&lt;&gt;"Despesa"),"",IF(COUNTIF(Cartoes_Nome,$F483)=0,"",DATE(P483,O483+IF(DAY($A483)&gt;=INDEX(Cartoes_Fech,MATCH($F483,Cartoes_Nome,0)),1,0),1)))</f>
        <v/>
      </c>
      <c r="T483" s="42" t="str">
        <f>IF($A483="","",IF(COUNTIFS(L_Data,$A483,L_Desc,$B483,L_Valor,$N483,L_Tipo,$C483)&gt;1,"⚠ Possível duplicidade",IF(OR(AND($C483="Despesa",COUNTIF(CatD_Nome,$D483)=0),AND($C483="Receita",COUNTIF(CatR_Nome,$D483)=0)),"⚠ Categoria não combina com o tipo",IF(OR($N483="",$C483=""),"⚠ Falta valor ou tipo",""))))</f>
        <v/>
      </c>
      <c r="U483" s="40">
        <f>IF($A483="",0,P483*12+O483)</f>
        <v>24320</v>
      </c>
      <c r="V483" s="40">
        <f>IF($A483="",0,U483+MAX(0,N($I483)-MAX(N($H483),1)))</f>
        <v>24320</v>
      </c>
      <c r="W483" s="40">
        <f>IF(S483="",0,YEAR(S483)*12+MONTH(S483))</f>
        <v>0</v>
      </c>
      <c r="X483" s="40">
        <f>IF(W483=0,0,W483+V483-U483)</f>
        <v>0</v>
      </c>
      <c r="Y483" s="36">
        <f>IF(W483=0,0,N(R483)*MAX(0,X483-MAX(W483,YEAR(Cfg_Hoje)*12+MONTH(Cfg_Hoje)+IF(DAY(Cfg_Hoje)&gt;=INDEX(Cartoes_Fech,MATCH($F483,Cartoes_Nome,0)),1,0))+1))</f>
        <v>0</v>
      </c>
      <c r="Z483" s="40">
        <f>IF($A483="",0,DAY($A483))</f>
        <v>5</v>
      </c>
      <c r="AA483" s="40">
        <f>IF($A483="",0,WEEKDAY($A483))</f>
        <v>4</v>
      </c>
      <c r="AB483" s="36">
        <f>IF(AND($C483="Despesa",U483&gt;0,U483&lt;=Sel_Idx,V483&gt;=Sel_Idx),N(R483)+ROW()/1000000000,0)</f>
        <v>0</v>
      </c>
      <c r="AC483" s="40">
        <f>IF(AND($C483="Despesa",U483&gt;0,U483&lt;=Sel_Idx,V483&gt;=Sel_Idx),Z483*10000+ROW(),0)</f>
        <v>0</v>
      </c>
      <c r="AD483" s="40">
        <f>IF(AC483=0,0,COUNTIFS(L_CalChave,"&gt;0",L_CalChave,"&lt;"&amp;AC483)+1)</f>
        <v>0</v>
      </c>
    </row>
    <row r="484">
      <c r="A484" s="38" t="n">
        <v>46239</v>
      </c>
      <c r="B484" s="39" t="inlineStr">
        <is>
          <t>Pagamento fatura Cartão Roxinho</t>
        </is>
      </c>
      <c r="C484" s="34" t="inlineStr">
        <is>
          <t>Transferência</t>
        </is>
      </c>
      <c r="D484" s="34" t="n"/>
      <c r="E484" s="34" t="n"/>
      <c r="F484" s="34" t="inlineStr">
        <is>
          <t>Conta Corrente Banco Azul</t>
        </is>
      </c>
      <c r="G484" s="34" t="inlineStr">
        <is>
          <t>Débito automático</t>
        </is>
      </c>
      <c r="H484" s="37" t="n"/>
      <c r="I484" s="37" t="n"/>
      <c r="J484" s="34" t="inlineStr">
        <is>
          <t>Pago</t>
        </is>
      </c>
      <c r="K484" s="34" t="n"/>
      <c r="L484" s="34" t="n"/>
      <c r="M484" s="39" t="inlineStr">
        <is>
          <t>EXEMPLO</t>
        </is>
      </c>
      <c r="N484" s="35" t="n">
        <v>-1142.93</v>
      </c>
      <c r="O484" s="40">
        <f>IF($A484="","",MONTH($A484))</f>
        <v>8</v>
      </c>
      <c r="P484" s="40">
        <f>IF($A484="","",YEAR($A484))</f>
        <v>2026</v>
      </c>
      <c r="Q484" s="41">
        <f>IF($A484="","",DATE(P484,O484,1))</f>
        <v>46235.0</v>
      </c>
      <c r="R484" s="36">
        <f>IF(OR($A484="",$N484=""),"",IF(AND($C484&lt;&gt;"Transferência",N($I484)&gt;1),$N484/$I484,$N484))</f>
        <v>-1142.93</v>
      </c>
      <c r="S484" s="41" t="str">
        <f>IF(OR($A484="",$F484="",$C484&lt;&gt;"Despesa"),"",IF(COUNTIF(Cartoes_Nome,$F484)=0,"",DATE(P484,O484+IF(DAY($A484)&gt;=INDEX(Cartoes_Fech,MATCH($F484,Cartoes_Nome,0)),1,0),1)))</f>
        <v/>
      </c>
      <c r="T484" s="42" t="str">
        <f>IF($A484="","",IF(COUNTIFS(L_Data,$A484,L_Desc,$B484,L_Valor,$N484,L_Tipo,$C484)&gt;1,"⚠ Possível duplicidade",IF(OR(AND($C484="Despesa",COUNTIF(CatD_Nome,$D484)=0),AND($C484="Receita",COUNTIF(CatR_Nome,$D484)=0)),"⚠ Categoria não combina com o tipo",IF(OR($N484="",$C484=""),"⚠ Falta valor ou tipo",""))))</f>
        <v/>
      </c>
      <c r="U484" s="40">
        <f>IF($A484="",0,P484*12+O484)</f>
        <v>24320</v>
      </c>
      <c r="V484" s="40">
        <f>IF($A484="",0,U484+MAX(0,N($I484)-MAX(N($H484),1)))</f>
        <v>24320</v>
      </c>
      <c r="W484" s="40">
        <f>IF(S484="",0,YEAR(S484)*12+MONTH(S484))</f>
        <v>0</v>
      </c>
      <c r="X484" s="40">
        <f>IF(W484=0,0,W484+V484-U484)</f>
        <v>0</v>
      </c>
      <c r="Y484" s="36">
        <f>IF(W484=0,0,N(R484)*MAX(0,X484-MAX(W484,YEAR(Cfg_Hoje)*12+MONTH(Cfg_Hoje)+IF(DAY(Cfg_Hoje)&gt;=INDEX(Cartoes_Fech,MATCH($F484,Cartoes_Nome,0)),1,0))+1))</f>
        <v>0</v>
      </c>
      <c r="Z484" s="40">
        <f>IF($A484="",0,DAY($A484))</f>
        <v>5</v>
      </c>
      <c r="AA484" s="40">
        <f>IF($A484="",0,WEEKDAY($A484))</f>
        <v>4</v>
      </c>
      <c r="AB484" s="36">
        <f>IF(AND($C484="Despesa",U484&gt;0,U484&lt;=Sel_Idx,V484&gt;=Sel_Idx),N(R484)+ROW()/1000000000,0)</f>
        <v>0</v>
      </c>
      <c r="AC484" s="40">
        <f>IF(AND($C484="Despesa",U484&gt;0,U484&lt;=Sel_Idx,V484&gt;=Sel_Idx),Z484*10000+ROW(),0)</f>
        <v>0</v>
      </c>
      <c r="AD484" s="40">
        <f>IF(AC484=0,0,COUNTIFS(L_CalChave,"&gt;0",L_CalChave,"&lt;"&amp;AC484)+1)</f>
        <v>0</v>
      </c>
    </row>
    <row r="485">
      <c r="A485" s="38" t="n">
        <v>46239</v>
      </c>
      <c r="B485" s="39" t="inlineStr">
        <is>
          <t>Plano de saúde</t>
        </is>
      </c>
      <c r="C485" s="34" t="inlineStr">
        <is>
          <t>Despesa</t>
        </is>
      </c>
      <c r="D485" s="34" t="inlineStr">
        <is>
          <t>Saúde</t>
        </is>
      </c>
      <c r="E485" s="34" t="inlineStr">
        <is>
          <t>Plano de saúde</t>
        </is>
      </c>
      <c r="F485" s="34" t="inlineStr">
        <is>
          <t>Conta Corrente Banco Azul</t>
        </is>
      </c>
      <c r="G485" s="34" t="inlineStr">
        <is>
          <t>Débito automático</t>
        </is>
      </c>
      <c r="H485" s="37" t="n"/>
      <c r="I485" s="37" t="n"/>
      <c r="J485" s="34" t="inlineStr">
        <is>
          <t>Pago</t>
        </is>
      </c>
      <c r="K485" s="34" t="n"/>
      <c r="L485" s="34" t="n"/>
      <c r="M485" s="39" t="inlineStr">
        <is>
          <t>EXEMPLO</t>
        </is>
      </c>
      <c r="N485" s="35" t="n">
        <v>780</v>
      </c>
      <c r="O485" s="40">
        <f>IF($A485="","",MONTH($A485))</f>
        <v>8</v>
      </c>
      <c r="P485" s="40">
        <f>IF($A485="","",YEAR($A485))</f>
        <v>2026</v>
      </c>
      <c r="Q485" s="41">
        <f>IF($A485="","",DATE(P485,O485,1))</f>
        <v>46235.0</v>
      </c>
      <c r="R485" s="36">
        <f>IF(OR($A485="",$N485=""),"",IF(AND($C485&lt;&gt;"Transferência",N($I485)&gt;1),$N485/$I485,$N485))</f>
        <v>780</v>
      </c>
      <c r="S485" s="41" t="str">
        <f>IF(OR($A485="",$F485="",$C485&lt;&gt;"Despesa"),"",IF(COUNTIF(Cartoes_Nome,$F485)=0,"",DATE(P485,O485+IF(DAY($A485)&gt;=INDEX(Cartoes_Fech,MATCH($F485,Cartoes_Nome,0)),1,0),1)))</f>
        <v/>
      </c>
      <c r="T485" s="42" t="str">
        <f>IF($A485="","",IF(COUNTIFS(L_Data,$A485,L_Desc,$B485,L_Valor,$N485,L_Tipo,$C485)&gt;1,"⚠ Possível duplicidade",IF(OR(AND($C485="Despesa",COUNTIF(CatD_Nome,$D485)=0),AND($C485="Receita",COUNTIF(CatR_Nome,$D485)=0)),"⚠ Categoria não combina com o tipo",IF(OR($N485="",$C485=""),"⚠ Falta valor ou tipo",""))))</f>
        <v/>
      </c>
      <c r="U485" s="40">
        <f>IF($A485="",0,P485*12+O485)</f>
        <v>24320</v>
      </c>
      <c r="V485" s="40">
        <f>IF($A485="",0,U485+MAX(0,N($I485)-MAX(N($H485),1)))</f>
        <v>24320</v>
      </c>
      <c r="W485" s="40">
        <f>IF(S485="",0,YEAR(S485)*12+MONTH(S485))</f>
        <v>0</v>
      </c>
      <c r="X485" s="40">
        <f>IF(W485=0,0,W485+V485-U485)</f>
        <v>0</v>
      </c>
      <c r="Y485" s="36">
        <f>IF(W485=0,0,N(R485)*MAX(0,X485-MAX(W485,YEAR(Cfg_Hoje)*12+MONTH(Cfg_Hoje)+IF(DAY(Cfg_Hoje)&gt;=INDEX(Cartoes_Fech,MATCH($F485,Cartoes_Nome,0)),1,0))+1))</f>
        <v>0</v>
      </c>
      <c r="Z485" s="40">
        <f>IF($A485="",0,DAY($A485))</f>
        <v>5</v>
      </c>
      <c r="AA485" s="40">
        <f>IF($A485="",0,WEEKDAY($A485))</f>
        <v>4</v>
      </c>
      <c r="AB485" s="36">
        <f>IF(AND($C485="Despesa",U485&gt;0,U485&lt;=Sel_Idx,V485&gt;=Sel_Idx),N(R485)+ROW()/1000000000,0)</f>
        <v>0</v>
      </c>
      <c r="AC485" s="40">
        <f>IF(AND($C485="Despesa",U485&gt;0,U485&lt;=Sel_Idx,V485&gt;=Sel_Idx),Z485*10000+ROW(),0)</f>
        <v>0</v>
      </c>
      <c r="AD485" s="40">
        <f>IF(AC485=0,0,COUNTIFS(L_CalChave,"&gt;0",L_CalChave,"&lt;"&amp;AC485)+1)</f>
        <v>0</v>
      </c>
    </row>
    <row r="486">
      <c r="A486" s="38" t="n">
        <v>46239</v>
      </c>
      <c r="B486" s="39" t="inlineStr">
        <is>
          <t>Salário</t>
        </is>
      </c>
      <c r="C486" s="34" t="inlineStr">
        <is>
          <t>Receita</t>
        </is>
      </c>
      <c r="D486" s="34" t="inlineStr">
        <is>
          <t>Salário</t>
        </is>
      </c>
      <c r="E486" s="34" t="n"/>
      <c r="F486" s="34" t="inlineStr">
        <is>
          <t>Conta Corrente Banco Azul</t>
        </is>
      </c>
      <c r="G486" s="34" t="inlineStr">
        <is>
          <t>Transferência</t>
        </is>
      </c>
      <c r="H486" s="37" t="n"/>
      <c r="I486" s="37" t="n"/>
      <c r="J486" s="34" t="inlineStr">
        <is>
          <t>Pago</t>
        </is>
      </c>
      <c r="K486" s="34" t="n"/>
      <c r="L486" s="34" t="n"/>
      <c r="M486" s="39" t="inlineStr">
        <is>
          <t>EXEMPLO</t>
        </is>
      </c>
      <c r="N486" s="35" t="n">
        <v>10800</v>
      </c>
      <c r="O486" s="40">
        <f>IF($A486="","",MONTH($A486))</f>
        <v>8</v>
      </c>
      <c r="P486" s="40">
        <f>IF($A486="","",YEAR($A486))</f>
        <v>2026</v>
      </c>
      <c r="Q486" s="41">
        <f>IF($A486="","",DATE(P486,O486,1))</f>
        <v>46235.0</v>
      </c>
      <c r="R486" s="36">
        <f>IF(OR($A486="",$N486=""),"",IF(AND($C486&lt;&gt;"Transferência",N($I486)&gt;1),$N486/$I486,$N486))</f>
        <v>10800</v>
      </c>
      <c r="S486" s="41" t="str">
        <f>IF(OR($A486="",$F486="",$C486&lt;&gt;"Despesa"),"",IF(COUNTIF(Cartoes_Nome,$F486)=0,"",DATE(P486,O486+IF(DAY($A486)&gt;=INDEX(Cartoes_Fech,MATCH($F486,Cartoes_Nome,0)),1,0),1)))</f>
        <v/>
      </c>
      <c r="T486" s="42" t="str">
        <f>IF($A486="","",IF(COUNTIFS(L_Data,$A486,L_Desc,$B486,L_Valor,$N486,L_Tipo,$C486)&gt;1,"⚠ Possível duplicidade",IF(OR(AND($C486="Despesa",COUNTIF(CatD_Nome,$D486)=0),AND($C486="Receita",COUNTIF(CatR_Nome,$D486)=0)),"⚠ Categoria não combina com o tipo",IF(OR($N486="",$C486=""),"⚠ Falta valor ou tipo",""))))</f>
        <v/>
      </c>
      <c r="U486" s="40">
        <f>IF($A486="",0,P486*12+O486)</f>
        <v>24320</v>
      </c>
      <c r="V486" s="40">
        <f>IF($A486="",0,U486+MAX(0,N($I486)-MAX(N($H486),1)))</f>
        <v>24320</v>
      </c>
      <c r="W486" s="40">
        <f>IF(S486="",0,YEAR(S486)*12+MONTH(S486))</f>
        <v>0</v>
      </c>
      <c r="X486" s="40">
        <f>IF(W486=0,0,W486+V486-U486)</f>
        <v>0</v>
      </c>
      <c r="Y486" s="36">
        <f>IF(W486=0,0,N(R486)*MAX(0,X486-MAX(W486,YEAR(Cfg_Hoje)*12+MONTH(Cfg_Hoje)+IF(DAY(Cfg_Hoje)&gt;=INDEX(Cartoes_Fech,MATCH($F486,Cartoes_Nome,0)),1,0))+1))</f>
        <v>0</v>
      </c>
      <c r="Z486" s="40">
        <f>IF($A486="",0,DAY($A486))</f>
        <v>5</v>
      </c>
      <c r="AA486" s="40">
        <f>IF($A486="",0,WEEKDAY($A486))</f>
        <v>4</v>
      </c>
      <c r="AB486" s="36">
        <f>IF(AND($C486="Despesa",U486&gt;0,U486&lt;=Sel_Idx,V486&gt;=Sel_Idx),N(R486)+ROW()/1000000000,0)</f>
        <v>0</v>
      </c>
      <c r="AC486" s="40">
        <f>IF(AND($C486="Despesa",U486&gt;0,U486&lt;=Sel_Idx,V486&gt;=Sel_Idx),Z486*10000+ROW(),0)</f>
        <v>0</v>
      </c>
      <c r="AD486" s="40">
        <f>IF(AC486=0,0,COUNTIFS(L_CalChave,"&gt;0",L_CalChave,"&lt;"&amp;AC486)+1)</f>
        <v>0</v>
      </c>
    </row>
    <row r="487">
      <c r="A487" s="38" t="n">
        <v>46240</v>
      </c>
      <c r="B487" s="39" t="inlineStr">
        <is>
          <t>Aporte - MBA</t>
        </is>
      </c>
      <c r="C487" s="34" t="inlineStr">
        <is>
          <t>Investimento</t>
        </is>
      </c>
      <c r="D487" s="34" t="inlineStr">
        <is>
          <t>Investimento</t>
        </is>
      </c>
      <c r="E487" s="34" t="n"/>
      <c r="F487" s="34" t="inlineStr">
        <is>
          <t>Conta Corrente Banco Azul</t>
        </is>
      </c>
      <c r="G487" s="34" t="inlineStr">
        <is>
          <t>Transferência</t>
        </is>
      </c>
      <c r="H487" s="37" t="n"/>
      <c r="I487" s="37" t="n"/>
      <c r="J487" s="34" t="inlineStr">
        <is>
          <t>Pago</t>
        </is>
      </c>
      <c r="K487" s="34" t="n"/>
      <c r="L487" s="34" t="inlineStr">
        <is>
          <t>MBA</t>
        </is>
      </c>
      <c r="M487" s="39" t="inlineStr">
        <is>
          <t>EXEMPLO</t>
        </is>
      </c>
      <c r="N487" s="35" t="n">
        <v>150</v>
      </c>
      <c r="O487" s="40">
        <f>IF($A487="","",MONTH($A487))</f>
        <v>8</v>
      </c>
      <c r="P487" s="40">
        <f>IF($A487="","",YEAR($A487))</f>
        <v>2026</v>
      </c>
      <c r="Q487" s="41">
        <f>IF($A487="","",DATE(P487,O487,1))</f>
        <v>46235.0</v>
      </c>
      <c r="R487" s="36">
        <f>IF(OR($A487="",$N487=""),"",IF(AND($C487&lt;&gt;"Transferência",N($I487)&gt;1),$N487/$I487,$N487))</f>
        <v>150</v>
      </c>
      <c r="S487" s="41" t="str">
        <f>IF(OR($A487="",$F487="",$C487&lt;&gt;"Despesa"),"",IF(COUNTIF(Cartoes_Nome,$F487)=0,"",DATE(P487,O487+IF(DAY($A487)&gt;=INDEX(Cartoes_Fech,MATCH($F487,Cartoes_Nome,0)),1,0),1)))</f>
        <v/>
      </c>
      <c r="T487" s="42" t="str">
        <f>IF($A487="","",IF(COUNTIFS(L_Data,$A487,L_Desc,$B487,L_Valor,$N487,L_Tipo,$C487)&gt;1,"⚠ Possível duplicidade",IF(OR(AND($C487="Despesa",COUNTIF(CatD_Nome,$D487)=0),AND($C487="Receita",COUNTIF(CatR_Nome,$D487)=0)),"⚠ Categoria não combina com o tipo",IF(OR($N487="",$C487=""),"⚠ Falta valor ou tipo",""))))</f>
        <v/>
      </c>
      <c r="U487" s="40">
        <f>IF($A487="",0,P487*12+O487)</f>
        <v>24320</v>
      </c>
      <c r="V487" s="40">
        <f>IF($A487="",0,U487+MAX(0,N($I487)-MAX(N($H487),1)))</f>
        <v>24320</v>
      </c>
      <c r="W487" s="40">
        <f>IF(S487="",0,YEAR(S487)*12+MONTH(S487))</f>
        <v>0</v>
      </c>
      <c r="X487" s="40">
        <f>IF(W487=0,0,W487+V487-U487)</f>
        <v>0</v>
      </c>
      <c r="Y487" s="36">
        <f>IF(W487=0,0,N(R487)*MAX(0,X487-MAX(W487,YEAR(Cfg_Hoje)*12+MONTH(Cfg_Hoje)+IF(DAY(Cfg_Hoje)&gt;=INDEX(Cartoes_Fech,MATCH($F487,Cartoes_Nome,0)),1,0))+1))</f>
        <v>0</v>
      </c>
      <c r="Z487" s="40">
        <f>IF($A487="",0,DAY($A487))</f>
        <v>6</v>
      </c>
      <c r="AA487" s="40">
        <f>IF($A487="",0,WEEKDAY($A487))</f>
        <v>5</v>
      </c>
      <c r="AB487" s="36">
        <f>IF(AND($C487="Despesa",U487&gt;0,U487&lt;=Sel_Idx,V487&gt;=Sel_Idx),N(R487)+ROW()/1000000000,0)</f>
        <v>0</v>
      </c>
      <c r="AC487" s="40">
        <f>IF(AND($C487="Despesa",U487&gt;0,U487&lt;=Sel_Idx,V487&gt;=Sel_Idx),Z487*10000+ROW(),0)</f>
        <v>0</v>
      </c>
      <c r="AD487" s="40">
        <f>IF(AC487=0,0,COUNTIFS(L_CalChave,"&gt;0",L_CalChave,"&lt;"&amp;AC487)+1)</f>
        <v>0</v>
      </c>
    </row>
    <row r="488">
      <c r="A488" s="38" t="n">
        <v>46240</v>
      </c>
      <c r="B488" s="39" t="inlineStr">
        <is>
          <t>Aporte - aposentadoria (PGBL)</t>
        </is>
      </c>
      <c r="C488" s="34" t="inlineStr">
        <is>
          <t>Investimento</t>
        </is>
      </c>
      <c r="D488" s="34" t="inlineStr">
        <is>
          <t>Investimento</t>
        </is>
      </c>
      <c r="E488" s="34" t="n"/>
      <c r="F488" s="34" t="inlineStr">
        <is>
          <t>Conta Corrente Banco Azul</t>
        </is>
      </c>
      <c r="G488" s="34" t="inlineStr">
        <is>
          <t>Transferência</t>
        </is>
      </c>
      <c r="H488" s="37" t="n"/>
      <c r="I488" s="37" t="n"/>
      <c r="J488" s="34" t="inlineStr">
        <is>
          <t>Pago</t>
        </is>
      </c>
      <c r="K488" s="34" t="n"/>
      <c r="L488" s="34" t="inlineStr">
        <is>
          <t>Aposentadoria</t>
        </is>
      </c>
      <c r="M488" s="39" t="inlineStr">
        <is>
          <t>EXEMPLO</t>
        </is>
      </c>
      <c r="N488" s="35" t="n">
        <v>300</v>
      </c>
      <c r="O488" s="40">
        <f>IF($A488="","",MONTH($A488))</f>
        <v>8</v>
      </c>
      <c r="P488" s="40">
        <f>IF($A488="","",YEAR($A488))</f>
        <v>2026</v>
      </c>
      <c r="Q488" s="41">
        <f>IF($A488="","",DATE(P488,O488,1))</f>
        <v>46235.0</v>
      </c>
      <c r="R488" s="36">
        <f>IF(OR($A488="",$N488=""),"",IF(AND($C488&lt;&gt;"Transferência",N($I488)&gt;1),$N488/$I488,$N488))</f>
        <v>300</v>
      </c>
      <c r="S488" s="41" t="str">
        <f>IF(OR($A488="",$F488="",$C488&lt;&gt;"Despesa"),"",IF(COUNTIF(Cartoes_Nome,$F488)=0,"",DATE(P488,O488+IF(DAY($A488)&gt;=INDEX(Cartoes_Fech,MATCH($F488,Cartoes_Nome,0)),1,0),1)))</f>
        <v/>
      </c>
      <c r="T488" s="42" t="str">
        <f>IF($A488="","",IF(COUNTIFS(L_Data,$A488,L_Desc,$B488,L_Valor,$N488,L_Tipo,$C488)&gt;1,"⚠ Possível duplicidade",IF(OR(AND($C488="Despesa",COUNTIF(CatD_Nome,$D488)=0),AND($C488="Receita",COUNTIF(CatR_Nome,$D488)=0)),"⚠ Categoria não combina com o tipo",IF(OR($N488="",$C488=""),"⚠ Falta valor ou tipo",""))))</f>
        <v/>
      </c>
      <c r="U488" s="40">
        <f>IF($A488="",0,P488*12+O488)</f>
        <v>24320</v>
      </c>
      <c r="V488" s="40">
        <f>IF($A488="",0,U488+MAX(0,N($I488)-MAX(N($H488),1)))</f>
        <v>24320</v>
      </c>
      <c r="W488" s="40">
        <f>IF(S488="",0,YEAR(S488)*12+MONTH(S488))</f>
        <v>0</v>
      </c>
      <c r="X488" s="40">
        <f>IF(W488=0,0,W488+V488-U488)</f>
        <v>0</v>
      </c>
      <c r="Y488" s="36">
        <f>IF(W488=0,0,N(R488)*MAX(0,X488-MAX(W488,YEAR(Cfg_Hoje)*12+MONTH(Cfg_Hoje)+IF(DAY(Cfg_Hoje)&gt;=INDEX(Cartoes_Fech,MATCH($F488,Cartoes_Nome,0)),1,0))+1))</f>
        <v>0</v>
      </c>
      <c r="Z488" s="40">
        <f>IF($A488="",0,DAY($A488))</f>
        <v>6</v>
      </c>
      <c r="AA488" s="40">
        <f>IF($A488="",0,WEEKDAY($A488))</f>
        <v>5</v>
      </c>
      <c r="AB488" s="36">
        <f>IF(AND($C488="Despesa",U488&gt;0,U488&lt;=Sel_Idx,V488&gt;=Sel_Idx),N(R488)+ROW()/1000000000,0)</f>
        <v>0</v>
      </c>
      <c r="AC488" s="40">
        <f>IF(AND($C488="Despesa",U488&gt;0,U488&lt;=Sel_Idx,V488&gt;=Sel_Idx),Z488*10000+ROW(),0)</f>
        <v>0</v>
      </c>
      <c r="AD488" s="40">
        <f>IF(AC488=0,0,COUNTIFS(L_CalChave,"&gt;0",L_CalChave,"&lt;"&amp;AC488)+1)</f>
        <v>0</v>
      </c>
    </row>
    <row r="489">
      <c r="A489" s="38" t="n">
        <v>46240</v>
      </c>
      <c r="B489" s="39" t="inlineStr">
        <is>
          <t>Aporte - entrada do apartamento</t>
        </is>
      </c>
      <c r="C489" s="34" t="inlineStr">
        <is>
          <t>Investimento</t>
        </is>
      </c>
      <c r="D489" s="34" t="inlineStr">
        <is>
          <t>Investimento</t>
        </is>
      </c>
      <c r="E489" s="34" t="n"/>
      <c r="F489" s="34" t="inlineStr">
        <is>
          <t>Conta Corrente Banco Azul</t>
        </is>
      </c>
      <c r="G489" s="34" t="inlineStr">
        <is>
          <t>Transferência</t>
        </is>
      </c>
      <c r="H489" s="37" t="n"/>
      <c r="I489" s="37" t="n"/>
      <c r="J489" s="34" t="inlineStr">
        <is>
          <t>Pago</t>
        </is>
      </c>
      <c r="K489" s="34" t="n"/>
      <c r="L489" s="34" t="inlineStr">
        <is>
          <t>Entrada do apartamento</t>
        </is>
      </c>
      <c r="M489" s="39" t="inlineStr">
        <is>
          <t>EXEMPLO</t>
        </is>
      </c>
      <c r="N489" s="35" t="n">
        <v>250</v>
      </c>
      <c r="O489" s="40">
        <f>IF($A489="","",MONTH($A489))</f>
        <v>8</v>
      </c>
      <c r="P489" s="40">
        <f>IF($A489="","",YEAR($A489))</f>
        <v>2026</v>
      </c>
      <c r="Q489" s="41">
        <f>IF($A489="","",DATE(P489,O489,1))</f>
        <v>46235.0</v>
      </c>
      <c r="R489" s="36">
        <f>IF(OR($A489="",$N489=""),"",IF(AND($C489&lt;&gt;"Transferência",N($I489)&gt;1),$N489/$I489,$N489))</f>
        <v>250</v>
      </c>
      <c r="S489" s="41" t="str">
        <f>IF(OR($A489="",$F489="",$C489&lt;&gt;"Despesa"),"",IF(COUNTIF(Cartoes_Nome,$F489)=0,"",DATE(P489,O489+IF(DAY($A489)&gt;=INDEX(Cartoes_Fech,MATCH($F489,Cartoes_Nome,0)),1,0),1)))</f>
        <v/>
      </c>
      <c r="T489" s="42" t="str">
        <f>IF($A489="","",IF(COUNTIFS(L_Data,$A489,L_Desc,$B489,L_Valor,$N489,L_Tipo,$C489)&gt;1,"⚠ Possível duplicidade",IF(OR(AND($C489="Despesa",COUNTIF(CatD_Nome,$D489)=0),AND($C489="Receita",COUNTIF(CatR_Nome,$D489)=0)),"⚠ Categoria não combina com o tipo",IF(OR($N489="",$C489=""),"⚠ Falta valor ou tipo",""))))</f>
        <v/>
      </c>
      <c r="U489" s="40">
        <f>IF($A489="",0,P489*12+O489)</f>
        <v>24320</v>
      </c>
      <c r="V489" s="40">
        <f>IF($A489="",0,U489+MAX(0,N($I489)-MAX(N($H489),1)))</f>
        <v>24320</v>
      </c>
      <c r="W489" s="40">
        <f>IF(S489="",0,YEAR(S489)*12+MONTH(S489))</f>
        <v>0</v>
      </c>
      <c r="X489" s="40">
        <f>IF(W489=0,0,W489+V489-U489)</f>
        <v>0</v>
      </c>
      <c r="Y489" s="36">
        <f>IF(W489=0,0,N(R489)*MAX(0,X489-MAX(W489,YEAR(Cfg_Hoje)*12+MONTH(Cfg_Hoje)+IF(DAY(Cfg_Hoje)&gt;=INDEX(Cartoes_Fech,MATCH($F489,Cartoes_Nome,0)),1,0))+1))</f>
        <v>0</v>
      </c>
      <c r="Z489" s="40">
        <f>IF($A489="",0,DAY($A489))</f>
        <v>6</v>
      </c>
      <c r="AA489" s="40">
        <f>IF($A489="",0,WEEKDAY($A489))</f>
        <v>5</v>
      </c>
      <c r="AB489" s="36">
        <f>IF(AND($C489="Despesa",U489&gt;0,U489&lt;=Sel_Idx,V489&gt;=Sel_Idx),N(R489)+ROW()/1000000000,0)</f>
        <v>0</v>
      </c>
      <c r="AC489" s="40">
        <f>IF(AND($C489="Despesa",U489&gt;0,U489&lt;=Sel_Idx,V489&gt;=Sel_Idx),Z489*10000+ROW(),0)</f>
        <v>0</v>
      </c>
      <c r="AD489" s="40">
        <f>IF(AC489=0,0,COUNTIFS(L_CalChave,"&gt;0",L_CalChave,"&lt;"&amp;AC489)+1)</f>
        <v>0</v>
      </c>
    </row>
    <row r="490">
      <c r="A490" s="38" t="n">
        <v>46240</v>
      </c>
      <c r="B490" s="39" t="inlineStr">
        <is>
          <t>Aporte - quitar empréstimo</t>
        </is>
      </c>
      <c r="C490" s="34" t="inlineStr">
        <is>
          <t>Investimento</t>
        </is>
      </c>
      <c r="D490" s="34" t="inlineStr">
        <is>
          <t>Investimento</t>
        </is>
      </c>
      <c r="E490" s="34" t="n"/>
      <c r="F490" s="34" t="inlineStr">
        <is>
          <t>Conta Corrente Banco Azul</t>
        </is>
      </c>
      <c r="G490" s="34" t="inlineStr">
        <is>
          <t>Transferência</t>
        </is>
      </c>
      <c r="H490" s="37" t="n"/>
      <c r="I490" s="37" t="n"/>
      <c r="J490" s="34" t="inlineStr">
        <is>
          <t>Pago</t>
        </is>
      </c>
      <c r="K490" s="34" t="n"/>
      <c r="L490" s="34" t="inlineStr">
        <is>
          <t>Quitar empréstimo pessoal</t>
        </is>
      </c>
      <c r="M490" s="39" t="inlineStr">
        <is>
          <t>EXEMPLO</t>
        </is>
      </c>
      <c r="N490" s="35" t="n">
        <v>150</v>
      </c>
      <c r="O490" s="40">
        <f>IF($A490="","",MONTH($A490))</f>
        <v>8</v>
      </c>
      <c r="P490" s="40">
        <f>IF($A490="","",YEAR($A490))</f>
        <v>2026</v>
      </c>
      <c r="Q490" s="41">
        <f>IF($A490="","",DATE(P490,O490,1))</f>
        <v>46235.0</v>
      </c>
      <c r="R490" s="36">
        <f>IF(OR($A490="",$N490=""),"",IF(AND($C490&lt;&gt;"Transferência",N($I490)&gt;1),$N490/$I490,$N490))</f>
        <v>150</v>
      </c>
      <c r="S490" s="41" t="str">
        <f>IF(OR($A490="",$F490="",$C490&lt;&gt;"Despesa"),"",IF(COUNTIF(Cartoes_Nome,$F490)=0,"",DATE(P490,O490+IF(DAY($A490)&gt;=INDEX(Cartoes_Fech,MATCH($F490,Cartoes_Nome,0)),1,0),1)))</f>
        <v/>
      </c>
      <c r="T490" s="42" t="str">
        <f>IF($A490="","",IF(COUNTIFS(L_Data,$A490,L_Desc,$B490,L_Valor,$N490,L_Tipo,$C490)&gt;1,"⚠ Possível duplicidade",IF(OR(AND($C490="Despesa",COUNTIF(CatD_Nome,$D490)=0),AND($C490="Receita",COUNTIF(CatR_Nome,$D490)=0)),"⚠ Categoria não combina com o tipo",IF(OR($N490="",$C490=""),"⚠ Falta valor ou tipo",""))))</f>
        <v/>
      </c>
      <c r="U490" s="40">
        <f>IF($A490="",0,P490*12+O490)</f>
        <v>24320</v>
      </c>
      <c r="V490" s="40">
        <f>IF($A490="",0,U490+MAX(0,N($I490)-MAX(N($H490),1)))</f>
        <v>24320</v>
      </c>
      <c r="W490" s="40">
        <f>IF(S490="",0,YEAR(S490)*12+MONTH(S490))</f>
        <v>0</v>
      </c>
      <c r="X490" s="40">
        <f>IF(W490=0,0,W490+V490-U490)</f>
        <v>0</v>
      </c>
      <c r="Y490" s="36">
        <f>IF(W490=0,0,N(R490)*MAX(0,X490-MAX(W490,YEAR(Cfg_Hoje)*12+MONTH(Cfg_Hoje)+IF(DAY(Cfg_Hoje)&gt;=INDEX(Cartoes_Fech,MATCH($F490,Cartoes_Nome,0)),1,0))+1))</f>
        <v>0</v>
      </c>
      <c r="Z490" s="40">
        <f>IF($A490="",0,DAY($A490))</f>
        <v>6</v>
      </c>
      <c r="AA490" s="40">
        <f>IF($A490="",0,WEEKDAY($A490))</f>
        <v>5</v>
      </c>
      <c r="AB490" s="36">
        <f>IF(AND($C490="Despesa",U490&gt;0,U490&lt;=Sel_Idx,V490&gt;=Sel_Idx),N(R490)+ROW()/1000000000,0)</f>
        <v>0</v>
      </c>
      <c r="AC490" s="40">
        <f>IF(AND($C490="Despesa",U490&gt;0,U490&lt;=Sel_Idx,V490&gt;=Sel_Idx),Z490*10000+ROW(),0)</f>
        <v>0</v>
      </c>
      <c r="AD490" s="40">
        <f>IF(AC490=0,0,COUNTIFS(L_CalChave,"&gt;0",L_CalChave,"&lt;"&amp;AC490)+1)</f>
        <v>0</v>
      </c>
    </row>
    <row r="491">
      <c r="A491" s="38" t="n">
        <v>46240</v>
      </c>
      <c r="B491" s="39" t="inlineStr">
        <is>
          <t>Aporte - reserva de emergência</t>
        </is>
      </c>
      <c r="C491" s="34" t="inlineStr">
        <is>
          <t>Investimento</t>
        </is>
      </c>
      <c r="D491" s="34" t="inlineStr">
        <is>
          <t>Investimento</t>
        </is>
      </c>
      <c r="E491" s="34" t="n"/>
      <c r="F491" s="34" t="inlineStr">
        <is>
          <t>Conta Corrente Banco Azul</t>
        </is>
      </c>
      <c r="G491" s="34" t="inlineStr">
        <is>
          <t>Transferência</t>
        </is>
      </c>
      <c r="H491" s="37" t="n"/>
      <c r="I491" s="37" t="n"/>
      <c r="J491" s="34" t="inlineStr">
        <is>
          <t>Pago</t>
        </is>
      </c>
      <c r="K491" s="34" t="n"/>
      <c r="L491" s="34" t="inlineStr">
        <is>
          <t>Reserva de emergência</t>
        </is>
      </c>
      <c r="M491" s="39" t="inlineStr">
        <is>
          <t>EXEMPLO</t>
        </is>
      </c>
      <c r="N491" s="35" t="n">
        <v>700</v>
      </c>
      <c r="O491" s="40">
        <f>IF($A491="","",MONTH($A491))</f>
        <v>8</v>
      </c>
      <c r="P491" s="40">
        <f>IF($A491="","",YEAR($A491))</f>
        <v>2026</v>
      </c>
      <c r="Q491" s="41">
        <f>IF($A491="","",DATE(P491,O491,1))</f>
        <v>46235.0</v>
      </c>
      <c r="R491" s="36">
        <f>IF(OR($A491="",$N491=""),"",IF(AND($C491&lt;&gt;"Transferência",N($I491)&gt;1),$N491/$I491,$N491))</f>
        <v>700</v>
      </c>
      <c r="S491" s="41" t="str">
        <f>IF(OR($A491="",$F491="",$C491&lt;&gt;"Despesa"),"",IF(COUNTIF(Cartoes_Nome,$F491)=0,"",DATE(P491,O491+IF(DAY($A491)&gt;=INDEX(Cartoes_Fech,MATCH($F491,Cartoes_Nome,0)),1,0),1)))</f>
        <v/>
      </c>
      <c r="T491" s="42" t="str">
        <f>IF($A491="","",IF(COUNTIFS(L_Data,$A491,L_Desc,$B491,L_Valor,$N491,L_Tipo,$C491)&gt;1,"⚠ Possível duplicidade",IF(OR(AND($C491="Despesa",COUNTIF(CatD_Nome,$D491)=0),AND($C491="Receita",COUNTIF(CatR_Nome,$D491)=0)),"⚠ Categoria não combina com o tipo",IF(OR($N491="",$C491=""),"⚠ Falta valor ou tipo",""))))</f>
        <v/>
      </c>
      <c r="U491" s="40">
        <f>IF($A491="",0,P491*12+O491)</f>
        <v>24320</v>
      </c>
      <c r="V491" s="40">
        <f>IF($A491="",0,U491+MAX(0,N($I491)-MAX(N($H491),1)))</f>
        <v>24320</v>
      </c>
      <c r="W491" s="40">
        <f>IF(S491="",0,YEAR(S491)*12+MONTH(S491))</f>
        <v>0</v>
      </c>
      <c r="X491" s="40">
        <f>IF(W491=0,0,W491+V491-U491)</f>
        <v>0</v>
      </c>
      <c r="Y491" s="36">
        <f>IF(W491=0,0,N(R491)*MAX(0,X491-MAX(W491,YEAR(Cfg_Hoje)*12+MONTH(Cfg_Hoje)+IF(DAY(Cfg_Hoje)&gt;=INDEX(Cartoes_Fech,MATCH($F491,Cartoes_Nome,0)),1,0))+1))</f>
        <v>0</v>
      </c>
      <c r="Z491" s="40">
        <f>IF($A491="",0,DAY($A491))</f>
        <v>6</v>
      </c>
      <c r="AA491" s="40">
        <f>IF($A491="",0,WEEKDAY($A491))</f>
        <v>5</v>
      </c>
      <c r="AB491" s="36">
        <f>IF(AND($C491="Despesa",U491&gt;0,U491&lt;=Sel_Idx,V491&gt;=Sel_Idx),N(R491)+ROW()/1000000000,0)</f>
        <v>0</v>
      </c>
      <c r="AC491" s="40">
        <f>IF(AND($C491="Despesa",U491&gt;0,U491&lt;=Sel_Idx,V491&gt;=Sel_Idx),Z491*10000+ROW(),0)</f>
        <v>0</v>
      </c>
      <c r="AD491" s="40">
        <f>IF(AC491=0,0,COUNTIFS(L_CalChave,"&gt;0",L_CalChave,"&lt;"&amp;AC491)+1)</f>
        <v>0</v>
      </c>
    </row>
    <row r="492">
      <c r="A492" s="38" t="n">
        <v>46240</v>
      </c>
      <c r="B492" s="39" t="inlineStr">
        <is>
          <t>Aporte - troca de carro</t>
        </is>
      </c>
      <c r="C492" s="34" t="inlineStr">
        <is>
          <t>Investimento</t>
        </is>
      </c>
      <c r="D492" s="34" t="inlineStr">
        <is>
          <t>Investimento</t>
        </is>
      </c>
      <c r="E492" s="34" t="n"/>
      <c r="F492" s="34" t="inlineStr">
        <is>
          <t>Conta Corrente Banco Azul</t>
        </is>
      </c>
      <c r="G492" s="34" t="inlineStr">
        <is>
          <t>Transferência</t>
        </is>
      </c>
      <c r="H492" s="37" t="n"/>
      <c r="I492" s="37" t="n"/>
      <c r="J492" s="34" t="inlineStr">
        <is>
          <t>Pago</t>
        </is>
      </c>
      <c r="K492" s="34" t="n"/>
      <c r="L492" s="34" t="inlineStr">
        <is>
          <t>Troca de carro</t>
        </is>
      </c>
      <c r="M492" s="39" t="inlineStr">
        <is>
          <t>EXEMPLO</t>
        </is>
      </c>
      <c r="N492" s="35" t="n">
        <v>200</v>
      </c>
      <c r="O492" s="40">
        <f>IF($A492="","",MONTH($A492))</f>
        <v>8</v>
      </c>
      <c r="P492" s="40">
        <f>IF($A492="","",YEAR($A492))</f>
        <v>2026</v>
      </c>
      <c r="Q492" s="41">
        <f>IF($A492="","",DATE(P492,O492,1))</f>
        <v>46235.0</v>
      </c>
      <c r="R492" s="36">
        <f>IF(OR($A492="",$N492=""),"",IF(AND($C492&lt;&gt;"Transferência",N($I492)&gt;1),$N492/$I492,$N492))</f>
        <v>200</v>
      </c>
      <c r="S492" s="41" t="str">
        <f>IF(OR($A492="",$F492="",$C492&lt;&gt;"Despesa"),"",IF(COUNTIF(Cartoes_Nome,$F492)=0,"",DATE(P492,O492+IF(DAY($A492)&gt;=INDEX(Cartoes_Fech,MATCH($F492,Cartoes_Nome,0)),1,0),1)))</f>
        <v/>
      </c>
      <c r="T492" s="42" t="str">
        <f>IF($A492="","",IF(COUNTIFS(L_Data,$A492,L_Desc,$B492,L_Valor,$N492,L_Tipo,$C492)&gt;1,"⚠ Possível duplicidade",IF(OR(AND($C492="Despesa",COUNTIF(CatD_Nome,$D492)=0),AND($C492="Receita",COUNTIF(CatR_Nome,$D492)=0)),"⚠ Categoria não combina com o tipo",IF(OR($N492="",$C492=""),"⚠ Falta valor ou tipo",""))))</f>
        <v/>
      </c>
      <c r="U492" s="40">
        <f>IF($A492="",0,P492*12+O492)</f>
        <v>24320</v>
      </c>
      <c r="V492" s="40">
        <f>IF($A492="",0,U492+MAX(0,N($I492)-MAX(N($H492),1)))</f>
        <v>24320</v>
      </c>
      <c r="W492" s="40">
        <f>IF(S492="",0,YEAR(S492)*12+MONTH(S492))</f>
        <v>0</v>
      </c>
      <c r="X492" s="40">
        <f>IF(W492=0,0,W492+V492-U492)</f>
        <v>0</v>
      </c>
      <c r="Y492" s="36">
        <f>IF(W492=0,0,N(R492)*MAX(0,X492-MAX(W492,YEAR(Cfg_Hoje)*12+MONTH(Cfg_Hoje)+IF(DAY(Cfg_Hoje)&gt;=INDEX(Cartoes_Fech,MATCH($F492,Cartoes_Nome,0)),1,0))+1))</f>
        <v>0</v>
      </c>
      <c r="Z492" s="40">
        <f>IF($A492="",0,DAY($A492))</f>
        <v>6</v>
      </c>
      <c r="AA492" s="40">
        <f>IF($A492="",0,WEEKDAY($A492))</f>
        <v>5</v>
      </c>
      <c r="AB492" s="36">
        <f>IF(AND($C492="Despesa",U492&gt;0,U492&lt;=Sel_Idx,V492&gt;=Sel_Idx),N(R492)+ROW()/1000000000,0)</f>
        <v>0</v>
      </c>
      <c r="AC492" s="40">
        <f>IF(AND($C492="Despesa",U492&gt;0,U492&lt;=Sel_Idx,V492&gt;=Sel_Idx),Z492*10000+ROW(),0)</f>
        <v>0</v>
      </c>
      <c r="AD492" s="40">
        <f>IF(AC492=0,0,COUNTIFS(L_CalChave,"&gt;0",L_CalChave,"&lt;"&amp;AC492)+1)</f>
        <v>0</v>
      </c>
    </row>
    <row r="493">
      <c r="A493" s="38" t="n">
        <v>46240</v>
      </c>
      <c r="B493" s="39" t="inlineStr">
        <is>
          <t>Aporte - viagem</t>
        </is>
      </c>
      <c r="C493" s="34" t="inlineStr">
        <is>
          <t>Investimento</t>
        </is>
      </c>
      <c r="D493" s="34" t="inlineStr">
        <is>
          <t>Investimento</t>
        </is>
      </c>
      <c r="E493" s="34" t="n"/>
      <c r="F493" s="34" t="inlineStr">
        <is>
          <t>Conta Corrente Banco Azul</t>
        </is>
      </c>
      <c r="G493" s="34" t="inlineStr">
        <is>
          <t>Transferência</t>
        </is>
      </c>
      <c r="H493" s="37" t="n"/>
      <c r="I493" s="37" t="n"/>
      <c r="J493" s="34" t="inlineStr">
        <is>
          <t>Pago</t>
        </is>
      </c>
      <c r="K493" s="34" t="n"/>
      <c r="L493" s="34" t="inlineStr">
        <is>
          <t>Viagem Europa</t>
        </is>
      </c>
      <c r="M493" s="39" t="inlineStr">
        <is>
          <t>EXEMPLO</t>
        </is>
      </c>
      <c r="N493" s="35" t="n">
        <v>300</v>
      </c>
      <c r="O493" s="40">
        <f>IF($A493="","",MONTH($A493))</f>
        <v>8</v>
      </c>
      <c r="P493" s="40">
        <f>IF($A493="","",YEAR($A493))</f>
        <v>2026</v>
      </c>
      <c r="Q493" s="41">
        <f>IF($A493="","",DATE(P493,O493,1))</f>
        <v>46235.0</v>
      </c>
      <c r="R493" s="36">
        <f>IF(OR($A493="",$N493=""),"",IF(AND($C493&lt;&gt;"Transferência",N($I493)&gt;1),$N493/$I493,$N493))</f>
        <v>300</v>
      </c>
      <c r="S493" s="41" t="str">
        <f>IF(OR($A493="",$F493="",$C493&lt;&gt;"Despesa"),"",IF(COUNTIF(Cartoes_Nome,$F493)=0,"",DATE(P493,O493+IF(DAY($A493)&gt;=INDEX(Cartoes_Fech,MATCH($F493,Cartoes_Nome,0)),1,0),1)))</f>
        <v/>
      </c>
      <c r="T493" s="42" t="str">
        <f>IF($A493="","",IF(COUNTIFS(L_Data,$A493,L_Desc,$B493,L_Valor,$N493,L_Tipo,$C493)&gt;1,"⚠ Possível duplicidade",IF(OR(AND($C493="Despesa",COUNTIF(CatD_Nome,$D493)=0),AND($C493="Receita",COUNTIF(CatR_Nome,$D493)=0)),"⚠ Categoria não combina com o tipo",IF(OR($N493="",$C493=""),"⚠ Falta valor ou tipo",""))))</f>
        <v/>
      </c>
      <c r="U493" s="40">
        <f>IF($A493="",0,P493*12+O493)</f>
        <v>24320</v>
      </c>
      <c r="V493" s="40">
        <f>IF($A493="",0,U493+MAX(0,N($I493)-MAX(N($H493),1)))</f>
        <v>24320</v>
      </c>
      <c r="W493" s="40">
        <f>IF(S493="",0,YEAR(S493)*12+MONTH(S493))</f>
        <v>0</v>
      </c>
      <c r="X493" s="40">
        <f>IF(W493=0,0,W493+V493-U493)</f>
        <v>0</v>
      </c>
      <c r="Y493" s="36">
        <f>IF(W493=0,0,N(R493)*MAX(0,X493-MAX(W493,YEAR(Cfg_Hoje)*12+MONTH(Cfg_Hoje)+IF(DAY(Cfg_Hoje)&gt;=INDEX(Cartoes_Fech,MATCH($F493,Cartoes_Nome,0)),1,0))+1))</f>
        <v>0</v>
      </c>
      <c r="Z493" s="40">
        <f>IF($A493="",0,DAY($A493))</f>
        <v>6</v>
      </c>
      <c r="AA493" s="40">
        <f>IF($A493="",0,WEEKDAY($A493))</f>
        <v>5</v>
      </c>
      <c r="AB493" s="36">
        <f>IF(AND($C493="Despesa",U493&gt;0,U493&lt;=Sel_Idx,V493&gt;=Sel_Idx),N(R493)+ROW()/1000000000,0)</f>
        <v>0</v>
      </c>
      <c r="AC493" s="40">
        <f>IF(AND($C493="Despesa",U493&gt;0,U493&lt;=Sel_Idx,V493&gt;=Sel_Idx),Z493*10000+ROW(),0)</f>
        <v>0</v>
      </c>
      <c r="AD493" s="40">
        <f>IF(AC493=0,0,COUNTIFS(L_CalChave,"&gt;0",L_CalChave,"&lt;"&amp;AC493)+1)</f>
        <v>0</v>
      </c>
    </row>
    <row r="494">
      <c r="A494" s="38" t="n">
        <v>46241</v>
      </c>
      <c r="B494" s="39" t="inlineStr">
        <is>
          <t>Doação mensal</t>
        </is>
      </c>
      <c r="C494" s="34" t="inlineStr">
        <is>
          <t>Despesa</t>
        </is>
      </c>
      <c r="D494" s="34" t="inlineStr">
        <is>
          <t>Doações</t>
        </is>
      </c>
      <c r="E494" s="34" t="inlineStr">
        <is>
          <t>ONG</t>
        </is>
      </c>
      <c r="F494" s="34" t="inlineStr">
        <is>
          <t>Conta Corrente Banco Azul</t>
        </is>
      </c>
      <c r="G494" s="34" t="inlineStr">
        <is>
          <t>Pix</t>
        </is>
      </c>
      <c r="H494" s="37" t="n"/>
      <c r="I494" s="37" t="n"/>
      <c r="J494" s="34" t="inlineStr">
        <is>
          <t>Pago</t>
        </is>
      </c>
      <c r="K494" s="34" t="n"/>
      <c r="L494" s="34" t="n"/>
      <c r="M494" s="39" t="inlineStr">
        <is>
          <t>EXEMPLO</t>
        </is>
      </c>
      <c r="N494" s="35" t="n">
        <v>100</v>
      </c>
      <c r="O494" s="40">
        <f>IF($A494="","",MONTH($A494))</f>
        <v>8</v>
      </c>
      <c r="P494" s="40">
        <f>IF($A494="","",YEAR($A494))</f>
        <v>2026</v>
      </c>
      <c r="Q494" s="41">
        <f>IF($A494="","",DATE(P494,O494,1))</f>
        <v>46235.0</v>
      </c>
      <c r="R494" s="36">
        <f>IF(OR($A494="",$N494=""),"",IF(AND($C494&lt;&gt;"Transferência",N($I494)&gt;1),$N494/$I494,$N494))</f>
        <v>100</v>
      </c>
      <c r="S494" s="41" t="str">
        <f>IF(OR($A494="",$F494="",$C494&lt;&gt;"Despesa"),"",IF(COUNTIF(Cartoes_Nome,$F494)=0,"",DATE(P494,O494+IF(DAY($A494)&gt;=INDEX(Cartoes_Fech,MATCH($F494,Cartoes_Nome,0)),1,0),1)))</f>
        <v/>
      </c>
      <c r="T494" s="42" t="str">
        <f>IF($A494="","",IF(COUNTIFS(L_Data,$A494,L_Desc,$B494,L_Valor,$N494,L_Tipo,$C494)&gt;1,"⚠ Possível duplicidade",IF(OR(AND($C494="Despesa",COUNTIF(CatD_Nome,$D494)=0),AND($C494="Receita",COUNTIF(CatR_Nome,$D494)=0)),"⚠ Categoria não combina com o tipo",IF(OR($N494="",$C494=""),"⚠ Falta valor ou tipo",""))))</f>
        <v/>
      </c>
      <c r="U494" s="40">
        <f>IF($A494="",0,P494*12+O494)</f>
        <v>24320</v>
      </c>
      <c r="V494" s="40">
        <f>IF($A494="",0,U494+MAX(0,N($I494)-MAX(N($H494),1)))</f>
        <v>24320</v>
      </c>
      <c r="W494" s="40">
        <f>IF(S494="",0,YEAR(S494)*12+MONTH(S494))</f>
        <v>0</v>
      </c>
      <c r="X494" s="40">
        <f>IF(W494=0,0,W494+V494-U494)</f>
        <v>0</v>
      </c>
      <c r="Y494" s="36">
        <f>IF(W494=0,0,N(R494)*MAX(0,X494-MAX(W494,YEAR(Cfg_Hoje)*12+MONTH(Cfg_Hoje)+IF(DAY(Cfg_Hoje)&gt;=INDEX(Cartoes_Fech,MATCH($F494,Cartoes_Nome,0)),1,0))+1))</f>
        <v>0</v>
      </c>
      <c r="Z494" s="40">
        <f>IF($A494="",0,DAY($A494))</f>
        <v>7</v>
      </c>
      <c r="AA494" s="40">
        <f>IF($A494="",0,WEEKDAY($A494))</f>
        <v>6</v>
      </c>
      <c r="AB494" s="36">
        <f>IF(AND($C494="Despesa",U494&gt;0,U494&lt;=Sel_Idx,V494&gt;=Sel_Idx),N(R494)+ROW()/1000000000,0)</f>
        <v>0</v>
      </c>
      <c r="AC494" s="40">
        <f>IF(AND($C494="Despesa",U494&gt;0,U494&lt;=Sel_Idx,V494&gt;=Sel_Idx),Z494*10000+ROW(),0)</f>
        <v>0</v>
      </c>
      <c r="AD494" s="40">
        <f>IF(AC494=0,0,COUNTIFS(L_CalChave,"&gt;0",L_CalChave,"&lt;"&amp;AC494)+1)</f>
        <v>0</v>
      </c>
    </row>
    <row r="495">
      <c r="A495" s="38" t="n">
        <v>46242</v>
      </c>
      <c r="B495" s="39" t="inlineStr">
        <is>
          <t>Curso de inglês</t>
        </is>
      </c>
      <c r="C495" s="34" t="inlineStr">
        <is>
          <t>Despesa</t>
        </is>
      </c>
      <c r="D495" s="34" t="inlineStr">
        <is>
          <t>Educação</t>
        </is>
      </c>
      <c r="E495" s="34" t="inlineStr">
        <is>
          <t>Cursos</t>
        </is>
      </c>
      <c r="F495" s="34" t="inlineStr">
        <is>
          <t>Conta Corrente Banco Azul</t>
        </is>
      </c>
      <c r="G495" s="34" t="inlineStr">
        <is>
          <t>Boleto</t>
        </is>
      </c>
      <c r="H495" s="37" t="n"/>
      <c r="I495" s="37" t="n"/>
      <c r="J495" s="34" t="inlineStr">
        <is>
          <t>Pago</t>
        </is>
      </c>
      <c r="K495" s="34" t="n"/>
      <c r="L495" s="34" t="n"/>
      <c r="M495" s="39" t="inlineStr">
        <is>
          <t>EXEMPLO</t>
        </is>
      </c>
      <c r="N495" s="35" t="n">
        <v>390</v>
      </c>
      <c r="O495" s="40">
        <f>IF($A495="","",MONTH($A495))</f>
        <v>8</v>
      </c>
      <c r="P495" s="40">
        <f>IF($A495="","",YEAR($A495))</f>
        <v>2026</v>
      </c>
      <c r="Q495" s="41">
        <f>IF($A495="","",DATE(P495,O495,1))</f>
        <v>46235.0</v>
      </c>
      <c r="R495" s="36">
        <f>IF(OR($A495="",$N495=""),"",IF(AND($C495&lt;&gt;"Transferência",N($I495)&gt;1),$N495/$I495,$N495))</f>
        <v>390</v>
      </c>
      <c r="S495" s="41" t="str">
        <f>IF(OR($A495="",$F495="",$C495&lt;&gt;"Despesa"),"",IF(COUNTIF(Cartoes_Nome,$F495)=0,"",DATE(P495,O495+IF(DAY($A495)&gt;=INDEX(Cartoes_Fech,MATCH($F495,Cartoes_Nome,0)),1,0),1)))</f>
        <v/>
      </c>
      <c r="T495" s="42" t="str">
        <f>IF($A495="","",IF(COUNTIFS(L_Data,$A495,L_Desc,$B495,L_Valor,$N495,L_Tipo,$C495)&gt;1,"⚠ Possível duplicidade",IF(OR(AND($C495="Despesa",COUNTIF(CatD_Nome,$D495)=0),AND($C495="Receita",COUNTIF(CatR_Nome,$D495)=0)),"⚠ Categoria não combina com o tipo",IF(OR($N495="",$C495=""),"⚠ Falta valor ou tipo",""))))</f>
        <v/>
      </c>
      <c r="U495" s="40">
        <f>IF($A495="",0,P495*12+O495)</f>
        <v>24320</v>
      </c>
      <c r="V495" s="40">
        <f>IF($A495="",0,U495+MAX(0,N($I495)-MAX(N($H495),1)))</f>
        <v>24320</v>
      </c>
      <c r="W495" s="40">
        <f>IF(S495="",0,YEAR(S495)*12+MONTH(S495))</f>
        <v>0</v>
      </c>
      <c r="X495" s="40">
        <f>IF(W495=0,0,W495+V495-U495)</f>
        <v>0</v>
      </c>
      <c r="Y495" s="36">
        <f>IF(W495=0,0,N(R495)*MAX(0,X495-MAX(W495,YEAR(Cfg_Hoje)*12+MONTH(Cfg_Hoje)+IF(DAY(Cfg_Hoje)&gt;=INDEX(Cartoes_Fech,MATCH($F495,Cartoes_Nome,0)),1,0))+1))</f>
        <v>0</v>
      </c>
      <c r="Z495" s="40">
        <f>IF($A495="",0,DAY($A495))</f>
        <v>8</v>
      </c>
      <c r="AA495" s="40">
        <f>IF($A495="",0,WEEKDAY($A495))</f>
        <v>7</v>
      </c>
      <c r="AB495" s="36">
        <f>IF(AND($C495="Despesa",U495&gt;0,U495&lt;=Sel_Idx,V495&gt;=Sel_Idx),N(R495)+ROW()/1000000000,0)</f>
        <v>0</v>
      </c>
      <c r="AC495" s="40">
        <f>IF(AND($C495="Despesa",U495&gt;0,U495&lt;=Sel_Idx,V495&gt;=Sel_Idx),Z495*10000+ROW(),0)</f>
        <v>0</v>
      </c>
      <c r="AD495" s="40">
        <f>IF(AC495=0,0,COUNTIFS(L_CalChave,"&gt;0",L_CalChave,"&lt;"&amp;AC495)+1)</f>
        <v>0</v>
      </c>
    </row>
    <row r="496">
      <c r="A496" s="38" t="n">
        <v>46243</v>
      </c>
      <c r="B496" s="39" t="inlineStr">
        <is>
          <t>Ração e petiscos</t>
        </is>
      </c>
      <c r="C496" s="34" t="inlineStr">
        <is>
          <t>Despesa</t>
        </is>
      </c>
      <c r="D496" s="34" t="inlineStr">
        <is>
          <t>Família/Pets</t>
        </is>
      </c>
      <c r="E496" s="34" t="inlineStr">
        <is>
          <t>Ração</t>
        </is>
      </c>
      <c r="F496" s="34" t="inlineStr">
        <is>
          <t>Cartão Azul Gold</t>
        </is>
      </c>
      <c r="G496" s="34" t="inlineStr">
        <is>
          <t>Crédito</t>
        </is>
      </c>
      <c r="H496" s="37" t="n"/>
      <c r="I496" s="37" t="n"/>
      <c r="J496" s="34" t="inlineStr">
        <is>
          <t>Pago</t>
        </is>
      </c>
      <c r="K496" s="34" t="n"/>
      <c r="L496" s="34" t="n"/>
      <c r="M496" s="39" t="inlineStr">
        <is>
          <t>EXEMPLO</t>
        </is>
      </c>
      <c r="N496" s="35" t="n">
        <v>233.55</v>
      </c>
      <c r="O496" s="40">
        <f>IF($A496="","",MONTH($A496))</f>
        <v>8</v>
      </c>
      <c r="P496" s="40">
        <f>IF($A496="","",YEAR($A496))</f>
        <v>2026</v>
      </c>
      <c r="Q496" s="41">
        <f>IF($A496="","",DATE(P496,O496,1))</f>
        <v>46235.0</v>
      </c>
      <c r="R496" s="36">
        <f>IF(OR($A496="",$N496=""),"",IF(AND($C496&lt;&gt;"Transferência",N($I496)&gt;1),$N496/$I496,$N496))</f>
        <v>233.55</v>
      </c>
      <c r="S496" s="41">
        <f>IF(OR($A496="",$F496="",$C496&lt;&gt;"Despesa"),"",IF(COUNTIF(Cartoes_Nome,$F496)=0,"",DATE(P496,O496+IF(DAY($A496)&gt;=INDEX(Cartoes_Fech,MATCH($F496,Cartoes_Nome,0)),1,0),1)))</f>
        <v>46235.0</v>
      </c>
      <c r="T496" s="42" t="str">
        <f>IF($A496="","",IF(COUNTIFS(L_Data,$A496,L_Desc,$B496,L_Valor,$N496,L_Tipo,$C496)&gt;1,"⚠ Possível duplicidade",IF(OR(AND($C496="Despesa",COUNTIF(CatD_Nome,$D496)=0),AND($C496="Receita",COUNTIF(CatR_Nome,$D496)=0)),"⚠ Categoria não combina com o tipo",IF(OR($N496="",$C496=""),"⚠ Falta valor ou tipo",""))))</f>
        <v/>
      </c>
      <c r="U496" s="40">
        <f>IF($A496="",0,P496*12+O496)</f>
        <v>24320</v>
      </c>
      <c r="V496" s="40">
        <f>IF($A496="",0,U496+MAX(0,N($I496)-MAX(N($H496),1)))</f>
        <v>24320</v>
      </c>
      <c r="W496" s="40">
        <f>IF(S496="",0,YEAR(S496)*12+MONTH(S496))</f>
        <v>24320</v>
      </c>
      <c r="X496" s="40">
        <f>IF(W496=0,0,W496+V496-U496)</f>
        <v>24320</v>
      </c>
      <c r="Y496" s="36">
        <f>IF(W496=0,0,N(R496)*MAX(0,X496-MAX(W496,YEAR(Cfg_Hoje)*12+MONTH(Cfg_Hoje)+IF(DAY(Cfg_Hoje)&gt;=INDEX(Cartoes_Fech,MATCH($F496,Cartoes_Nome,0)),1,0))+1))</f>
        <v>0</v>
      </c>
      <c r="Z496" s="40">
        <f>IF($A496="",0,DAY($A496))</f>
        <v>9</v>
      </c>
      <c r="AA496" s="40">
        <f>IF($A496="",0,WEEKDAY($A496))</f>
        <v>1</v>
      </c>
      <c r="AB496" s="36">
        <f>IF(AND($C496="Despesa",U496&gt;0,U496&lt;=Sel_Idx,V496&gt;=Sel_Idx),N(R496)+ROW()/1000000000,0)</f>
        <v>0</v>
      </c>
      <c r="AC496" s="40">
        <f>IF(AND($C496="Despesa",U496&gt;0,U496&lt;=Sel_Idx,V496&gt;=Sel_Idx),Z496*10000+ROW(),0)</f>
        <v>0</v>
      </c>
      <c r="AD496" s="40">
        <f>IF(AC496=0,0,COUNTIFS(L_CalChave,"&gt;0",L_CalChave,"&lt;"&amp;AC496)+1)</f>
        <v>0</v>
      </c>
    </row>
    <row r="497">
      <c r="A497" s="38" t="n">
        <v>46244</v>
      </c>
      <c r="B497" s="39" t="inlineStr">
        <is>
          <t>Aluguel recebido - apto 12</t>
        </is>
      </c>
      <c r="C497" s="34" t="inlineStr">
        <is>
          <t>Receita</t>
        </is>
      </c>
      <c r="D497" s="34" t="inlineStr">
        <is>
          <t>Aluguel recebido</t>
        </is>
      </c>
      <c r="E497" s="34" t="n"/>
      <c r="F497" s="34" t="inlineStr">
        <is>
          <t>Conta Corrente Banco Azul</t>
        </is>
      </c>
      <c r="G497" s="34" t="inlineStr">
        <is>
          <t>Pix</t>
        </is>
      </c>
      <c r="H497" s="37" t="n"/>
      <c r="I497" s="37" t="n"/>
      <c r="J497" s="34" t="inlineStr">
        <is>
          <t>Pago</t>
        </is>
      </c>
      <c r="K497" s="34" t="n"/>
      <c r="L497" s="34" t="n"/>
      <c r="M497" s="39" t="inlineStr">
        <is>
          <t>EXEMPLO</t>
        </is>
      </c>
      <c r="N497" s="35" t="n">
        <v>1900</v>
      </c>
      <c r="O497" s="40">
        <f>IF($A497="","",MONTH($A497))</f>
        <v>8</v>
      </c>
      <c r="P497" s="40">
        <f>IF($A497="","",YEAR($A497))</f>
        <v>2026</v>
      </c>
      <c r="Q497" s="41">
        <f>IF($A497="","",DATE(P497,O497,1))</f>
        <v>46235.0</v>
      </c>
      <c r="R497" s="36">
        <f>IF(OR($A497="",$N497=""),"",IF(AND($C497&lt;&gt;"Transferência",N($I497)&gt;1),$N497/$I497,$N497))</f>
        <v>1900</v>
      </c>
      <c r="S497" s="41" t="str">
        <f>IF(OR($A497="",$F497="",$C497&lt;&gt;"Despesa"),"",IF(COUNTIF(Cartoes_Nome,$F497)=0,"",DATE(P497,O497+IF(DAY($A497)&gt;=INDEX(Cartoes_Fech,MATCH($F497,Cartoes_Nome,0)),1,0),1)))</f>
        <v/>
      </c>
      <c r="T497" s="42" t="str">
        <f>IF($A497="","",IF(COUNTIFS(L_Data,$A497,L_Desc,$B497,L_Valor,$N497,L_Tipo,$C497)&gt;1,"⚠ Possível duplicidade",IF(OR(AND($C497="Despesa",COUNTIF(CatD_Nome,$D497)=0),AND($C497="Receita",COUNTIF(CatR_Nome,$D497)=0)),"⚠ Categoria não combina com o tipo",IF(OR($N497="",$C497=""),"⚠ Falta valor ou tipo",""))))</f>
        <v/>
      </c>
      <c r="U497" s="40">
        <f>IF($A497="",0,P497*12+O497)</f>
        <v>24320</v>
      </c>
      <c r="V497" s="40">
        <f>IF($A497="",0,U497+MAX(0,N($I497)-MAX(N($H497),1)))</f>
        <v>24320</v>
      </c>
      <c r="W497" s="40">
        <f>IF(S497="",0,YEAR(S497)*12+MONTH(S497))</f>
        <v>0</v>
      </c>
      <c r="X497" s="40">
        <f>IF(W497=0,0,W497+V497-U497)</f>
        <v>0</v>
      </c>
      <c r="Y497" s="36">
        <f>IF(W497=0,0,N(R497)*MAX(0,X497-MAX(W497,YEAR(Cfg_Hoje)*12+MONTH(Cfg_Hoje)+IF(DAY(Cfg_Hoje)&gt;=INDEX(Cartoes_Fech,MATCH($F497,Cartoes_Nome,0)),1,0))+1))</f>
        <v>0</v>
      </c>
      <c r="Z497" s="40">
        <f>IF($A497="",0,DAY($A497))</f>
        <v>10</v>
      </c>
      <c r="AA497" s="40">
        <f>IF($A497="",0,WEEKDAY($A497))</f>
        <v>2</v>
      </c>
      <c r="AB497" s="36">
        <f>IF(AND($C497="Despesa",U497&gt;0,U497&lt;=Sel_Idx,V497&gt;=Sel_Idx),N(R497)+ROW()/1000000000,0)</f>
        <v>0</v>
      </c>
      <c r="AC497" s="40">
        <f>IF(AND($C497="Despesa",U497&gt;0,U497&lt;=Sel_Idx,V497&gt;=Sel_Idx),Z497*10000+ROW(),0)</f>
        <v>0</v>
      </c>
      <c r="AD497" s="40">
        <f>IF(AC497=0,0,COUNTIFS(L_CalChave,"&gt;0",L_CalChave,"&lt;"&amp;AC497)+1)</f>
        <v>0</v>
      </c>
    </row>
    <row r="498">
      <c r="A498" s="38" t="n">
        <v>46244</v>
      </c>
      <c r="B498" s="39" t="inlineStr">
        <is>
          <t>Aluguel residencial</t>
        </is>
      </c>
      <c r="C498" s="34" t="inlineStr">
        <is>
          <t>Despesa</t>
        </is>
      </c>
      <c r="D498" s="34" t="inlineStr">
        <is>
          <t>Moradia</t>
        </is>
      </c>
      <c r="E498" s="34" t="inlineStr">
        <is>
          <t>Aluguel</t>
        </is>
      </c>
      <c r="F498" s="34" t="inlineStr">
        <is>
          <t>Conta Corrente Banco Azul</t>
        </is>
      </c>
      <c r="G498" s="34" t="inlineStr">
        <is>
          <t>Boleto</t>
        </is>
      </c>
      <c r="H498" s="37" t="n"/>
      <c r="I498" s="37" t="n"/>
      <c r="J498" s="34" t="inlineStr">
        <is>
          <t>Pago</t>
        </is>
      </c>
      <c r="K498" s="34" t="n"/>
      <c r="L498" s="34" t="n"/>
      <c r="M498" s="39" t="inlineStr">
        <is>
          <t>EXEMPLO</t>
        </is>
      </c>
      <c r="N498" s="35" t="n">
        <v>2400</v>
      </c>
      <c r="O498" s="40">
        <f>IF($A498="","",MONTH($A498))</f>
        <v>8</v>
      </c>
      <c r="P498" s="40">
        <f>IF($A498="","",YEAR($A498))</f>
        <v>2026</v>
      </c>
      <c r="Q498" s="41">
        <f>IF($A498="","",DATE(P498,O498,1))</f>
        <v>46235.0</v>
      </c>
      <c r="R498" s="36">
        <f>IF(OR($A498="",$N498=""),"",IF(AND($C498&lt;&gt;"Transferência",N($I498)&gt;1),$N498/$I498,$N498))</f>
        <v>2400</v>
      </c>
      <c r="S498" s="41" t="str">
        <f>IF(OR($A498="",$F498="",$C498&lt;&gt;"Despesa"),"",IF(COUNTIF(Cartoes_Nome,$F498)=0,"",DATE(P498,O498+IF(DAY($A498)&gt;=INDEX(Cartoes_Fech,MATCH($F498,Cartoes_Nome,0)),1,0),1)))</f>
        <v/>
      </c>
      <c r="T498" s="42" t="str">
        <f>IF($A498="","",IF(COUNTIFS(L_Data,$A498,L_Desc,$B498,L_Valor,$N498,L_Tipo,$C498)&gt;1,"⚠ Possível duplicidade",IF(OR(AND($C498="Despesa",COUNTIF(CatD_Nome,$D498)=0),AND($C498="Receita",COUNTIF(CatR_Nome,$D498)=0)),"⚠ Categoria não combina com o tipo",IF(OR($N498="",$C498=""),"⚠ Falta valor ou tipo",""))))</f>
        <v/>
      </c>
      <c r="U498" s="40">
        <f>IF($A498="",0,P498*12+O498)</f>
        <v>24320</v>
      </c>
      <c r="V498" s="40">
        <f>IF($A498="",0,U498+MAX(0,N($I498)-MAX(N($H498),1)))</f>
        <v>24320</v>
      </c>
      <c r="W498" s="40">
        <f>IF(S498="",0,YEAR(S498)*12+MONTH(S498))</f>
        <v>0</v>
      </c>
      <c r="X498" s="40">
        <f>IF(W498=0,0,W498+V498-U498)</f>
        <v>0</v>
      </c>
      <c r="Y498" s="36">
        <f>IF(W498=0,0,N(R498)*MAX(0,X498-MAX(W498,YEAR(Cfg_Hoje)*12+MONTH(Cfg_Hoje)+IF(DAY(Cfg_Hoje)&gt;=INDEX(Cartoes_Fech,MATCH($F498,Cartoes_Nome,0)),1,0))+1))</f>
        <v>0</v>
      </c>
      <c r="Z498" s="40">
        <f>IF($A498="",0,DAY($A498))</f>
        <v>10</v>
      </c>
      <c r="AA498" s="40">
        <f>IF($A498="",0,WEEKDAY($A498))</f>
        <v>2</v>
      </c>
      <c r="AB498" s="36">
        <f>IF(AND($C498="Despesa",U498&gt;0,U498&lt;=Sel_Idx,V498&gt;=Sel_Idx),N(R498)+ROW()/1000000000,0)</f>
        <v>0</v>
      </c>
      <c r="AC498" s="40">
        <f>IF(AND($C498="Despesa",U498&gt;0,U498&lt;=Sel_Idx,V498&gt;=Sel_Idx),Z498*10000+ROW(),0)</f>
        <v>0</v>
      </c>
      <c r="AD498" s="40">
        <f>IF(AC498=0,0,COUNTIFS(L_CalChave,"&gt;0",L_CalChave,"&lt;"&amp;AC498)+1)</f>
        <v>0</v>
      </c>
    </row>
    <row r="499">
      <c r="A499" s="38" t="n">
        <v>46244</v>
      </c>
      <c r="B499" s="39" t="inlineStr">
        <is>
          <t>Condomínio</t>
        </is>
      </c>
      <c r="C499" s="34" t="inlineStr">
        <is>
          <t>Despesa</t>
        </is>
      </c>
      <c r="D499" s="34" t="inlineStr">
        <is>
          <t>Moradia</t>
        </is>
      </c>
      <c r="E499" s="34" t="inlineStr">
        <is>
          <t>Condomínio</t>
        </is>
      </c>
      <c r="F499" s="34" t="inlineStr">
        <is>
          <t>Conta Corrente Banco Azul</t>
        </is>
      </c>
      <c r="G499" s="34" t="inlineStr">
        <is>
          <t>Boleto</t>
        </is>
      </c>
      <c r="H499" s="37" t="n"/>
      <c r="I499" s="37" t="n"/>
      <c r="J499" s="34" t="inlineStr">
        <is>
          <t>Pago</t>
        </is>
      </c>
      <c r="K499" s="34" t="n"/>
      <c r="L499" s="34" t="n"/>
      <c r="M499" s="39" t="inlineStr">
        <is>
          <t>EXEMPLO</t>
        </is>
      </c>
      <c r="N499" s="35" t="n">
        <v>650</v>
      </c>
      <c r="O499" s="40">
        <f>IF($A499="","",MONTH($A499))</f>
        <v>8</v>
      </c>
      <c r="P499" s="40">
        <f>IF($A499="","",YEAR($A499))</f>
        <v>2026</v>
      </c>
      <c r="Q499" s="41">
        <f>IF($A499="","",DATE(P499,O499,1))</f>
        <v>46235.0</v>
      </c>
      <c r="R499" s="36">
        <f>IF(OR($A499="",$N499=""),"",IF(AND($C499&lt;&gt;"Transferência",N($I499)&gt;1),$N499/$I499,$N499))</f>
        <v>650</v>
      </c>
      <c r="S499" s="41" t="str">
        <f>IF(OR($A499="",$F499="",$C499&lt;&gt;"Despesa"),"",IF(COUNTIF(Cartoes_Nome,$F499)=0,"",DATE(P499,O499+IF(DAY($A499)&gt;=INDEX(Cartoes_Fech,MATCH($F499,Cartoes_Nome,0)),1,0),1)))</f>
        <v/>
      </c>
      <c r="T499" s="42" t="str">
        <f>IF($A499="","",IF(COUNTIFS(L_Data,$A499,L_Desc,$B499,L_Valor,$N499,L_Tipo,$C499)&gt;1,"⚠ Possível duplicidade",IF(OR(AND($C499="Despesa",COUNTIF(CatD_Nome,$D499)=0),AND($C499="Receita",COUNTIF(CatR_Nome,$D499)=0)),"⚠ Categoria não combina com o tipo",IF(OR($N499="",$C499=""),"⚠ Falta valor ou tipo",""))))</f>
        <v/>
      </c>
      <c r="U499" s="40">
        <f>IF($A499="",0,P499*12+O499)</f>
        <v>24320</v>
      </c>
      <c r="V499" s="40">
        <f>IF($A499="",0,U499+MAX(0,N($I499)-MAX(N($H499),1)))</f>
        <v>24320</v>
      </c>
      <c r="W499" s="40">
        <f>IF(S499="",0,YEAR(S499)*12+MONTH(S499))</f>
        <v>0</v>
      </c>
      <c r="X499" s="40">
        <f>IF(W499=0,0,W499+V499-U499)</f>
        <v>0</v>
      </c>
      <c r="Y499" s="36">
        <f>IF(W499=0,0,N(R499)*MAX(0,X499-MAX(W499,YEAR(Cfg_Hoje)*12+MONTH(Cfg_Hoje)+IF(DAY(Cfg_Hoje)&gt;=INDEX(Cartoes_Fech,MATCH($F499,Cartoes_Nome,0)),1,0))+1))</f>
        <v>0</v>
      </c>
      <c r="Z499" s="40">
        <f>IF($A499="",0,DAY($A499))</f>
        <v>10</v>
      </c>
      <c r="AA499" s="40">
        <f>IF($A499="",0,WEEKDAY($A499))</f>
        <v>2</v>
      </c>
      <c r="AB499" s="36">
        <f>IF(AND($C499="Despesa",U499&gt;0,U499&lt;=Sel_Idx,V499&gt;=Sel_Idx),N(R499)+ROW()/1000000000,0)</f>
        <v>0</v>
      </c>
      <c r="AC499" s="40">
        <f>IF(AND($C499="Despesa",U499&gt;0,U499&lt;=Sel_Idx,V499&gt;=Sel_Idx),Z499*10000+ROW(),0)</f>
        <v>0</v>
      </c>
      <c r="AD499" s="40">
        <f>IF(AC499=0,0,COUNTIFS(L_CalChave,"&gt;0",L_CalChave,"&lt;"&amp;AC499)+1)</f>
        <v>0</v>
      </c>
    </row>
    <row r="500">
      <c r="A500" s="38" t="n">
        <v>46245</v>
      </c>
      <c r="B500" s="39" t="inlineStr">
        <is>
          <t>Combustível</t>
        </is>
      </c>
      <c r="C500" s="34" t="inlineStr">
        <is>
          <t>Despesa</t>
        </is>
      </c>
      <c r="D500" s="34" t="inlineStr">
        <is>
          <t>Transporte</t>
        </is>
      </c>
      <c r="E500" s="34" t="inlineStr">
        <is>
          <t>Combustível</t>
        </is>
      </c>
      <c r="F500" s="34" t="inlineStr">
        <is>
          <t>Cartão Azul Gold</t>
        </is>
      </c>
      <c r="G500" s="34" t="inlineStr">
        <is>
          <t>Crédito</t>
        </is>
      </c>
      <c r="H500" s="37" t="n"/>
      <c r="I500" s="37" t="n"/>
      <c r="J500" s="34" t="inlineStr">
        <is>
          <t>Pago</t>
        </is>
      </c>
      <c r="K500" s="34" t="n"/>
      <c r="L500" s="34" t="n"/>
      <c r="M500" s="39" t="inlineStr">
        <is>
          <t>EXEMPLO</t>
        </is>
      </c>
      <c r="N500" s="35" t="n">
        <v>166.6</v>
      </c>
      <c r="O500" s="40">
        <f>IF($A500="","",MONTH($A500))</f>
        <v>8</v>
      </c>
      <c r="P500" s="40">
        <f>IF($A500="","",YEAR($A500))</f>
        <v>2026</v>
      </c>
      <c r="Q500" s="41">
        <f>IF($A500="","",DATE(P500,O500,1))</f>
        <v>46235.0</v>
      </c>
      <c r="R500" s="36">
        <f>IF(OR($A500="",$N500=""),"",IF(AND($C500&lt;&gt;"Transferência",N($I500)&gt;1),$N500/$I500,$N500))</f>
        <v>166.6</v>
      </c>
      <c r="S500" s="41">
        <f>IF(OR($A500="",$F500="",$C500&lt;&gt;"Despesa"),"",IF(COUNTIF(Cartoes_Nome,$F500)=0,"",DATE(P500,O500+IF(DAY($A500)&gt;=INDEX(Cartoes_Fech,MATCH($F500,Cartoes_Nome,0)),1,0),1)))</f>
        <v>46266.0</v>
      </c>
      <c r="T500" s="42" t="str">
        <f>IF($A500="","",IF(COUNTIFS(L_Data,$A500,L_Desc,$B500,L_Valor,$N500,L_Tipo,$C500)&gt;1,"⚠ Possível duplicidade",IF(OR(AND($C500="Despesa",COUNTIF(CatD_Nome,$D500)=0),AND($C500="Receita",COUNTIF(CatR_Nome,$D500)=0)),"⚠ Categoria não combina com o tipo",IF(OR($N500="",$C500=""),"⚠ Falta valor ou tipo",""))))</f>
        <v/>
      </c>
      <c r="U500" s="40">
        <f>IF($A500="",0,P500*12+O500)</f>
        <v>24320</v>
      </c>
      <c r="V500" s="40">
        <f>IF($A500="",0,U500+MAX(0,N($I500)-MAX(N($H500),1)))</f>
        <v>24320</v>
      </c>
      <c r="W500" s="40">
        <f>IF(S500="",0,YEAR(S500)*12+MONTH(S500))</f>
        <v>24321</v>
      </c>
      <c r="X500" s="40">
        <f>IF(W500=0,0,W500+V500-U500)</f>
        <v>24321</v>
      </c>
      <c r="Y500" s="36">
        <f>IF(W500=0,0,N(R500)*MAX(0,X500-MAX(W500,YEAR(Cfg_Hoje)*12+MONTH(Cfg_Hoje)+IF(DAY(Cfg_Hoje)&gt;=INDEX(Cartoes_Fech,MATCH($F500,Cartoes_Nome,0)),1,0))+1))</f>
        <v>0</v>
      </c>
      <c r="Z500" s="40">
        <f>IF($A500="",0,DAY($A500))</f>
        <v>11</v>
      </c>
      <c r="AA500" s="40">
        <f>IF($A500="",0,WEEKDAY($A500))</f>
        <v>3</v>
      </c>
      <c r="AB500" s="36">
        <f>IF(AND($C500="Despesa",U500&gt;0,U500&lt;=Sel_Idx,V500&gt;=Sel_Idx),N(R500)+ROW()/1000000000,0)</f>
        <v>0</v>
      </c>
      <c r="AC500" s="40">
        <f>IF(AND($C500="Despesa",U500&gt;0,U500&lt;=Sel_Idx,V500&gt;=Sel_Idx),Z500*10000+ROW(),0)</f>
        <v>0</v>
      </c>
      <c r="AD500" s="40">
        <f>IF(AC500=0,0,COUNTIFS(L_CalChave,"&gt;0",L_CalChave,"&lt;"&amp;AC500)+1)</f>
        <v>0</v>
      </c>
    </row>
    <row r="501">
      <c r="A501" s="38" t="n">
        <v>46245</v>
      </c>
      <c r="B501" s="39" t="inlineStr">
        <is>
          <t>Corrida de aplicativo</t>
        </is>
      </c>
      <c r="C501" s="34" t="inlineStr">
        <is>
          <t>Despesa</t>
        </is>
      </c>
      <c r="D501" s="34" t="inlineStr">
        <is>
          <t>Transporte</t>
        </is>
      </c>
      <c r="E501" s="34" t="inlineStr">
        <is>
          <t>App de transporte</t>
        </is>
      </c>
      <c r="F501" s="34" t="inlineStr">
        <is>
          <t>Conta Corrente Banco Azul</t>
        </is>
      </c>
      <c r="G501" s="34" t="inlineStr">
        <is>
          <t>Pix</t>
        </is>
      </c>
      <c r="H501" s="37" t="n"/>
      <c r="I501" s="37" t="n"/>
      <c r="J501" s="34" t="inlineStr">
        <is>
          <t>Pago</t>
        </is>
      </c>
      <c r="K501" s="34" t="n"/>
      <c r="L501" s="34" t="n"/>
      <c r="M501" s="39" t="inlineStr">
        <is>
          <t>EXEMPLO</t>
        </is>
      </c>
      <c r="N501" s="35" t="n">
        <v>43.17</v>
      </c>
      <c r="O501" s="40">
        <f>IF($A501="","",MONTH($A501))</f>
        <v>8</v>
      </c>
      <c r="P501" s="40">
        <f>IF($A501="","",YEAR($A501))</f>
        <v>2026</v>
      </c>
      <c r="Q501" s="41">
        <f>IF($A501="","",DATE(P501,O501,1))</f>
        <v>46235.0</v>
      </c>
      <c r="R501" s="36">
        <f>IF(OR($A501="",$N501=""),"",IF(AND($C501&lt;&gt;"Transferência",N($I501)&gt;1),$N501/$I501,$N501))</f>
        <v>43.17</v>
      </c>
      <c r="S501" s="41" t="str">
        <f>IF(OR($A501="",$F501="",$C501&lt;&gt;"Despesa"),"",IF(COUNTIF(Cartoes_Nome,$F501)=0,"",DATE(P501,O501+IF(DAY($A501)&gt;=INDEX(Cartoes_Fech,MATCH($F501,Cartoes_Nome,0)),1,0),1)))</f>
        <v/>
      </c>
      <c r="T501" s="42" t="str">
        <f>IF($A501="","",IF(COUNTIFS(L_Data,$A501,L_Desc,$B501,L_Valor,$N501,L_Tipo,$C501)&gt;1,"⚠ Possível duplicidade",IF(OR(AND($C501="Despesa",COUNTIF(CatD_Nome,$D501)=0),AND($C501="Receita",COUNTIF(CatR_Nome,$D501)=0)),"⚠ Categoria não combina com o tipo",IF(OR($N501="",$C501=""),"⚠ Falta valor ou tipo",""))))</f>
        <v/>
      </c>
      <c r="U501" s="40">
        <f>IF($A501="",0,P501*12+O501)</f>
        <v>24320</v>
      </c>
      <c r="V501" s="40">
        <f>IF($A501="",0,U501+MAX(0,N($I501)-MAX(N($H501),1)))</f>
        <v>24320</v>
      </c>
      <c r="W501" s="40">
        <f>IF(S501="",0,YEAR(S501)*12+MONTH(S501))</f>
        <v>0</v>
      </c>
      <c r="X501" s="40">
        <f>IF(W501=0,0,W501+V501-U501)</f>
        <v>0</v>
      </c>
      <c r="Y501" s="36">
        <f>IF(W501=0,0,N(R501)*MAX(0,X501-MAX(W501,YEAR(Cfg_Hoje)*12+MONTH(Cfg_Hoje)+IF(DAY(Cfg_Hoje)&gt;=INDEX(Cartoes_Fech,MATCH($F501,Cartoes_Nome,0)),1,0))+1))</f>
        <v>0</v>
      </c>
      <c r="Z501" s="40">
        <f>IF($A501="",0,DAY($A501))</f>
        <v>11</v>
      </c>
      <c r="AA501" s="40">
        <f>IF($A501="",0,WEEKDAY($A501))</f>
        <v>3</v>
      </c>
      <c r="AB501" s="36">
        <f>IF(AND($C501="Despesa",U501&gt;0,U501&lt;=Sel_Idx,V501&gt;=Sel_Idx),N(R501)+ROW()/1000000000,0)</f>
        <v>0</v>
      </c>
      <c r="AC501" s="40">
        <f>IF(AND($C501="Despesa",U501&gt;0,U501&lt;=Sel_Idx,V501&gt;=Sel_Idx),Z501*10000+ROW(),0)</f>
        <v>0</v>
      </c>
      <c r="AD501" s="40">
        <f>IF(AC501=0,0,COUNTIFS(L_CalChave,"&gt;0",L_CalChave,"&lt;"&amp;AC501)+1)</f>
        <v>0</v>
      </c>
    </row>
    <row r="502">
      <c r="A502" s="38" t="n">
        <v>46246</v>
      </c>
      <c r="B502" s="39" t="inlineStr">
        <is>
          <t>Streaming de música</t>
        </is>
      </c>
      <c r="C502" s="34" t="inlineStr">
        <is>
          <t>Despesa</t>
        </is>
      </c>
      <c r="D502" s="34" t="inlineStr">
        <is>
          <t>Assinaturas</t>
        </is>
      </c>
      <c r="E502" s="34" t="inlineStr">
        <is>
          <t>Música</t>
        </is>
      </c>
      <c r="F502" s="34" t="inlineStr">
        <is>
          <t>Cartão Roxinho</t>
        </is>
      </c>
      <c r="G502" s="34" t="inlineStr">
        <is>
          <t>Crédito</t>
        </is>
      </c>
      <c r="H502" s="37" t="n"/>
      <c r="I502" s="37" t="n"/>
      <c r="J502" s="34" t="inlineStr">
        <is>
          <t>Pago</t>
        </is>
      </c>
      <c r="K502" s="34" t="n"/>
      <c r="L502" s="34" t="n"/>
      <c r="M502" s="39" t="inlineStr">
        <is>
          <t>EXEMPLO</t>
        </is>
      </c>
      <c r="N502" s="35" t="n">
        <v>21.9</v>
      </c>
      <c r="O502" s="40">
        <f>IF($A502="","",MONTH($A502))</f>
        <v>8</v>
      </c>
      <c r="P502" s="40">
        <f>IF($A502="","",YEAR($A502))</f>
        <v>2026</v>
      </c>
      <c r="Q502" s="41">
        <f>IF($A502="","",DATE(P502,O502,1))</f>
        <v>46235.0</v>
      </c>
      <c r="R502" s="36">
        <f>IF(OR($A502="",$N502=""),"",IF(AND($C502&lt;&gt;"Transferência",N($I502)&gt;1),$N502/$I502,$N502))</f>
        <v>21.9</v>
      </c>
      <c r="S502" s="41">
        <f>IF(OR($A502="",$F502="",$C502&lt;&gt;"Despesa"),"",IF(COUNTIF(Cartoes_Nome,$F502)=0,"",DATE(P502,O502+IF(DAY($A502)&gt;=INDEX(Cartoes_Fech,MATCH($F502,Cartoes_Nome,0)),1,0),1)))</f>
        <v>46235.0</v>
      </c>
      <c r="T502" s="42" t="str">
        <f>IF($A502="","",IF(COUNTIFS(L_Data,$A502,L_Desc,$B502,L_Valor,$N502,L_Tipo,$C502)&gt;1,"⚠ Possível duplicidade",IF(OR(AND($C502="Despesa",COUNTIF(CatD_Nome,$D502)=0),AND($C502="Receita",COUNTIF(CatR_Nome,$D502)=0)),"⚠ Categoria não combina com o tipo",IF(OR($N502="",$C502=""),"⚠ Falta valor ou tipo",""))))</f>
        <v/>
      </c>
      <c r="U502" s="40">
        <f>IF($A502="",0,P502*12+O502)</f>
        <v>24320</v>
      </c>
      <c r="V502" s="40">
        <f>IF($A502="",0,U502+MAX(0,N($I502)-MAX(N($H502),1)))</f>
        <v>24320</v>
      </c>
      <c r="W502" s="40">
        <f>IF(S502="",0,YEAR(S502)*12+MONTH(S502))</f>
        <v>24320</v>
      </c>
      <c r="X502" s="40">
        <f>IF(W502=0,0,W502+V502-U502)</f>
        <v>24320</v>
      </c>
      <c r="Y502" s="36">
        <f>IF(W502=0,0,N(R502)*MAX(0,X502-MAX(W502,YEAR(Cfg_Hoje)*12+MONTH(Cfg_Hoje)+IF(DAY(Cfg_Hoje)&gt;=INDEX(Cartoes_Fech,MATCH($F502,Cartoes_Nome,0)),1,0))+1))</f>
        <v>0</v>
      </c>
      <c r="Z502" s="40">
        <f>IF($A502="",0,DAY($A502))</f>
        <v>12</v>
      </c>
      <c r="AA502" s="40">
        <f>IF($A502="",0,WEEKDAY($A502))</f>
        <v>4</v>
      </c>
      <c r="AB502" s="36">
        <f>IF(AND($C502="Despesa",U502&gt;0,U502&lt;=Sel_Idx,V502&gt;=Sel_Idx),N(R502)+ROW()/1000000000,0)</f>
        <v>0</v>
      </c>
      <c r="AC502" s="40">
        <f>IF(AND($C502="Despesa",U502&gt;0,U502&lt;=Sel_Idx,V502&gt;=Sel_Idx),Z502*10000+ROW(),0)</f>
        <v>0</v>
      </c>
      <c r="AD502" s="40">
        <f>IF(AC502=0,0,COUNTIFS(L_CalChave,"&gt;0",L_CalChave,"&lt;"&amp;AC502)+1)</f>
        <v>0</v>
      </c>
    </row>
    <row r="503">
      <c r="A503" s="38" t="n">
        <v>46246</v>
      </c>
      <c r="B503" s="39" t="inlineStr">
        <is>
          <t>Streaming de vídeo</t>
        </is>
      </c>
      <c r="C503" s="34" t="inlineStr">
        <is>
          <t>Despesa</t>
        </is>
      </c>
      <c r="D503" s="34" t="inlineStr">
        <is>
          <t>Assinaturas</t>
        </is>
      </c>
      <c r="E503" s="34" t="inlineStr">
        <is>
          <t>Streaming</t>
        </is>
      </c>
      <c r="F503" s="34" t="inlineStr">
        <is>
          <t>Cartão Roxinho</t>
        </is>
      </c>
      <c r="G503" s="34" t="inlineStr">
        <is>
          <t>Crédito</t>
        </is>
      </c>
      <c r="H503" s="37" t="n"/>
      <c r="I503" s="37" t="n"/>
      <c r="J503" s="34" t="inlineStr">
        <is>
          <t>Pago</t>
        </is>
      </c>
      <c r="K503" s="34" t="n"/>
      <c r="L503" s="34" t="n"/>
      <c r="M503" s="39" t="inlineStr">
        <is>
          <t>EXEMPLO</t>
        </is>
      </c>
      <c r="N503" s="35" t="n">
        <v>55.9</v>
      </c>
      <c r="O503" s="40">
        <f>IF($A503="","",MONTH($A503))</f>
        <v>8</v>
      </c>
      <c r="P503" s="40">
        <f>IF($A503="","",YEAR($A503))</f>
        <v>2026</v>
      </c>
      <c r="Q503" s="41">
        <f>IF($A503="","",DATE(P503,O503,1))</f>
        <v>46235.0</v>
      </c>
      <c r="R503" s="36">
        <f>IF(OR($A503="",$N503=""),"",IF(AND($C503&lt;&gt;"Transferência",N($I503)&gt;1),$N503/$I503,$N503))</f>
        <v>55.9</v>
      </c>
      <c r="S503" s="41">
        <f>IF(OR($A503="",$F503="",$C503&lt;&gt;"Despesa"),"",IF(COUNTIF(Cartoes_Nome,$F503)=0,"",DATE(P503,O503+IF(DAY($A503)&gt;=INDEX(Cartoes_Fech,MATCH($F503,Cartoes_Nome,0)),1,0),1)))</f>
        <v>46235.0</v>
      </c>
      <c r="T503" s="42" t="str">
        <f>IF($A503="","",IF(COUNTIFS(L_Data,$A503,L_Desc,$B503,L_Valor,$N503,L_Tipo,$C503)&gt;1,"⚠ Possível duplicidade",IF(OR(AND($C503="Despesa",COUNTIF(CatD_Nome,$D503)=0),AND($C503="Receita",COUNTIF(CatR_Nome,$D503)=0)),"⚠ Categoria não combina com o tipo",IF(OR($N503="",$C503=""),"⚠ Falta valor ou tipo",""))))</f>
        <v/>
      </c>
      <c r="U503" s="40">
        <f>IF($A503="",0,P503*12+O503)</f>
        <v>24320</v>
      </c>
      <c r="V503" s="40">
        <f>IF($A503="",0,U503+MAX(0,N($I503)-MAX(N($H503),1)))</f>
        <v>24320</v>
      </c>
      <c r="W503" s="40">
        <f>IF(S503="",0,YEAR(S503)*12+MONTH(S503))</f>
        <v>24320</v>
      </c>
      <c r="X503" s="40">
        <f>IF(W503=0,0,W503+V503-U503)</f>
        <v>24320</v>
      </c>
      <c r="Y503" s="36">
        <f>IF(W503=0,0,N(R503)*MAX(0,X503-MAX(W503,YEAR(Cfg_Hoje)*12+MONTH(Cfg_Hoje)+IF(DAY(Cfg_Hoje)&gt;=INDEX(Cartoes_Fech,MATCH($F503,Cartoes_Nome,0)),1,0))+1))</f>
        <v>0</v>
      </c>
      <c r="Z503" s="40">
        <f>IF($A503="",0,DAY($A503))</f>
        <v>12</v>
      </c>
      <c r="AA503" s="40">
        <f>IF($A503="",0,WEEKDAY($A503))</f>
        <v>4</v>
      </c>
      <c r="AB503" s="36">
        <f>IF(AND($C503="Despesa",U503&gt;0,U503&lt;=Sel_Idx,V503&gt;=Sel_Idx),N(R503)+ROW()/1000000000,0)</f>
        <v>0</v>
      </c>
      <c r="AC503" s="40">
        <f>IF(AND($C503="Despesa",U503&gt;0,U503&lt;=Sel_Idx,V503&gt;=Sel_Idx),Z503*10000+ROW(),0)</f>
        <v>0</v>
      </c>
      <c r="AD503" s="40">
        <f>IF(AC503=0,0,COUNTIFS(L_CalChave,"&gt;0",L_CalChave,"&lt;"&amp;AC503)+1)</f>
        <v>0</v>
      </c>
    </row>
    <row r="504">
      <c r="A504" s="38" t="n">
        <v>46246</v>
      </c>
      <c r="B504" s="39" t="inlineStr">
        <is>
          <t>Supermercado</t>
        </is>
      </c>
      <c r="C504" s="34" t="inlineStr">
        <is>
          <t>Despesa</t>
        </is>
      </c>
      <c r="D504" s="34" t="inlineStr">
        <is>
          <t>Alimentação</t>
        </is>
      </c>
      <c r="E504" s="34" t="inlineStr">
        <is>
          <t>Mercado</t>
        </is>
      </c>
      <c r="F504" s="34" t="inlineStr">
        <is>
          <t>Cartão Azul Gold</t>
        </is>
      </c>
      <c r="G504" s="34" t="inlineStr">
        <is>
          <t>Crédito</t>
        </is>
      </c>
      <c r="H504" s="37" t="n"/>
      <c r="I504" s="37" t="n"/>
      <c r="J504" s="34" t="inlineStr">
        <is>
          <t>Pago</t>
        </is>
      </c>
      <c r="K504" s="34" t="n"/>
      <c r="L504" s="34" t="n"/>
      <c r="M504" s="39" t="inlineStr">
        <is>
          <t>EXEMPLO</t>
        </is>
      </c>
      <c r="N504" s="35" t="n">
        <v>414.74</v>
      </c>
      <c r="O504" s="40">
        <f>IF($A504="","",MONTH($A504))</f>
        <v>8</v>
      </c>
      <c r="P504" s="40">
        <f>IF($A504="","",YEAR($A504))</f>
        <v>2026</v>
      </c>
      <c r="Q504" s="41">
        <f>IF($A504="","",DATE(P504,O504,1))</f>
        <v>46235.0</v>
      </c>
      <c r="R504" s="36">
        <f>IF(OR($A504="",$N504=""),"",IF(AND($C504&lt;&gt;"Transferência",N($I504)&gt;1),$N504/$I504,$N504))</f>
        <v>414.74</v>
      </c>
      <c r="S504" s="41">
        <f>IF(OR($A504="",$F504="",$C504&lt;&gt;"Despesa"),"",IF(COUNTIF(Cartoes_Nome,$F504)=0,"",DATE(P504,O504+IF(DAY($A504)&gt;=INDEX(Cartoes_Fech,MATCH($F504,Cartoes_Nome,0)),1,0),1)))</f>
        <v>46266.0</v>
      </c>
      <c r="T504" s="42" t="str">
        <f>IF($A504="","",IF(COUNTIFS(L_Data,$A504,L_Desc,$B504,L_Valor,$N504,L_Tipo,$C504)&gt;1,"⚠ Possível duplicidade",IF(OR(AND($C504="Despesa",COUNTIF(CatD_Nome,$D504)=0),AND($C504="Receita",COUNTIF(CatR_Nome,$D504)=0)),"⚠ Categoria não combina com o tipo",IF(OR($N504="",$C504=""),"⚠ Falta valor ou tipo",""))))</f>
        <v/>
      </c>
      <c r="U504" s="40">
        <f>IF($A504="",0,P504*12+O504)</f>
        <v>24320</v>
      </c>
      <c r="V504" s="40">
        <f>IF($A504="",0,U504+MAX(0,N($I504)-MAX(N($H504),1)))</f>
        <v>24320</v>
      </c>
      <c r="W504" s="40">
        <f>IF(S504="",0,YEAR(S504)*12+MONTH(S504))</f>
        <v>24321</v>
      </c>
      <c r="X504" s="40">
        <f>IF(W504=0,0,W504+V504-U504)</f>
        <v>24321</v>
      </c>
      <c r="Y504" s="36">
        <f>IF(W504=0,0,N(R504)*MAX(0,X504-MAX(W504,YEAR(Cfg_Hoje)*12+MONTH(Cfg_Hoje)+IF(DAY(Cfg_Hoje)&gt;=INDEX(Cartoes_Fech,MATCH($F504,Cartoes_Nome,0)),1,0))+1))</f>
        <v>0</v>
      </c>
      <c r="Z504" s="40">
        <f>IF($A504="",0,DAY($A504))</f>
        <v>12</v>
      </c>
      <c r="AA504" s="40">
        <f>IF($A504="",0,WEEKDAY($A504))</f>
        <v>4</v>
      </c>
      <c r="AB504" s="36">
        <f>IF(AND($C504="Despesa",U504&gt;0,U504&lt;=Sel_Idx,V504&gt;=Sel_Idx),N(R504)+ROW()/1000000000,0)</f>
        <v>0</v>
      </c>
      <c r="AC504" s="40">
        <f>IF(AND($C504="Despesa",U504&gt;0,U504&lt;=Sel_Idx,V504&gt;=Sel_Idx),Z504*10000+ROW(),0)</f>
        <v>0</v>
      </c>
      <c r="AD504" s="40">
        <f>IF(AC504=0,0,COUNTIFS(L_CalChave,"&gt;0",L_CalChave,"&lt;"&amp;AC504)+1)</f>
        <v>0</v>
      </c>
    </row>
    <row r="505">
      <c r="A505" s="38" t="n">
        <v>46248</v>
      </c>
      <c r="B505" s="39" t="inlineStr">
        <is>
          <t>Armazenamento em nuvem</t>
        </is>
      </c>
      <c r="C505" s="34" t="inlineStr">
        <is>
          <t>Despesa</t>
        </is>
      </c>
      <c r="D505" s="34" t="inlineStr">
        <is>
          <t>Assinaturas</t>
        </is>
      </c>
      <c r="E505" s="34" t="inlineStr">
        <is>
          <t>Nuvem</t>
        </is>
      </c>
      <c r="F505" s="34" t="inlineStr">
        <is>
          <t>Cartão Azul Gold</t>
        </is>
      </c>
      <c r="G505" s="34" t="inlineStr">
        <is>
          <t>Crédito</t>
        </is>
      </c>
      <c r="H505" s="37" t="n"/>
      <c r="I505" s="37" t="n"/>
      <c r="J505" s="34" t="inlineStr">
        <is>
          <t>Pago</t>
        </is>
      </c>
      <c r="K505" s="34" t="n"/>
      <c r="L505" s="34" t="n"/>
      <c r="M505" s="39" t="inlineStr">
        <is>
          <t>EXEMPLO</t>
        </is>
      </c>
      <c r="N505" s="35" t="n">
        <v>14.9</v>
      </c>
      <c r="O505" s="40">
        <f>IF($A505="","",MONTH($A505))</f>
        <v>8</v>
      </c>
      <c r="P505" s="40">
        <f>IF($A505="","",YEAR($A505))</f>
        <v>2026</v>
      </c>
      <c r="Q505" s="41">
        <f>IF($A505="","",DATE(P505,O505,1))</f>
        <v>46235.0</v>
      </c>
      <c r="R505" s="36">
        <f>IF(OR($A505="",$N505=""),"",IF(AND($C505&lt;&gt;"Transferência",N($I505)&gt;1),$N505/$I505,$N505))</f>
        <v>14.9</v>
      </c>
      <c r="S505" s="41">
        <f>IF(OR($A505="",$F505="",$C505&lt;&gt;"Despesa"),"",IF(COUNTIF(Cartoes_Nome,$F505)=0,"",DATE(P505,O505+IF(DAY($A505)&gt;=INDEX(Cartoes_Fech,MATCH($F505,Cartoes_Nome,0)),1,0),1)))</f>
        <v>46266.0</v>
      </c>
      <c r="T505" s="42" t="str">
        <f>IF($A505="","",IF(COUNTIFS(L_Data,$A505,L_Desc,$B505,L_Valor,$N505,L_Tipo,$C505)&gt;1,"⚠ Possível duplicidade",IF(OR(AND($C505="Despesa",COUNTIF(CatD_Nome,$D505)=0),AND($C505="Receita",COUNTIF(CatR_Nome,$D505)=0)),"⚠ Categoria não combina com o tipo",IF(OR($N505="",$C505=""),"⚠ Falta valor ou tipo",""))))</f>
        <v/>
      </c>
      <c r="U505" s="40">
        <f>IF($A505="",0,P505*12+O505)</f>
        <v>24320</v>
      </c>
      <c r="V505" s="40">
        <f>IF($A505="",0,U505+MAX(0,N($I505)-MAX(N($H505),1)))</f>
        <v>24320</v>
      </c>
      <c r="W505" s="40">
        <f>IF(S505="",0,YEAR(S505)*12+MONTH(S505))</f>
        <v>24321</v>
      </c>
      <c r="X505" s="40">
        <f>IF(W505=0,0,W505+V505-U505)</f>
        <v>24321</v>
      </c>
      <c r="Y505" s="36">
        <f>IF(W505=0,0,N(R505)*MAX(0,X505-MAX(W505,YEAR(Cfg_Hoje)*12+MONTH(Cfg_Hoje)+IF(DAY(Cfg_Hoje)&gt;=INDEX(Cartoes_Fech,MATCH($F505,Cartoes_Nome,0)),1,0))+1))</f>
        <v>0</v>
      </c>
      <c r="Z505" s="40">
        <f>IF($A505="",0,DAY($A505))</f>
        <v>14</v>
      </c>
      <c r="AA505" s="40">
        <f>IF($A505="",0,WEEKDAY($A505))</f>
        <v>6</v>
      </c>
      <c r="AB505" s="36">
        <f>IF(AND($C505="Despesa",U505&gt;0,U505&lt;=Sel_Idx,V505&gt;=Sel_Idx),N(R505)+ROW()/1000000000,0)</f>
        <v>0</v>
      </c>
      <c r="AC505" s="40">
        <f>IF(AND($C505="Despesa",U505&gt;0,U505&lt;=Sel_Idx,V505&gt;=Sel_Idx),Z505*10000+ROW(),0)</f>
        <v>0</v>
      </c>
      <c r="AD505" s="40">
        <f>IF(AC505=0,0,COUNTIFS(L_CalChave,"&gt;0",L_CalChave,"&lt;"&amp;AC505)+1)</f>
        <v>0</v>
      </c>
    </row>
    <row r="506">
      <c r="A506" s="38" t="n">
        <v>46248</v>
      </c>
      <c r="B506" s="39" t="inlineStr">
        <is>
          <t>Restaurante</t>
        </is>
      </c>
      <c r="C506" s="34" t="inlineStr">
        <is>
          <t>Despesa</t>
        </is>
      </c>
      <c r="D506" s="34" t="inlineStr">
        <is>
          <t>Alimentação</t>
        </is>
      </c>
      <c r="E506" s="34" t="inlineStr">
        <is>
          <t>Restaurantes</t>
        </is>
      </c>
      <c r="F506" s="34" t="inlineStr">
        <is>
          <t>Cartão Roxinho</t>
        </is>
      </c>
      <c r="G506" s="34" t="inlineStr">
        <is>
          <t>Crédito</t>
        </is>
      </c>
      <c r="H506" s="37" t="n"/>
      <c r="I506" s="37" t="n"/>
      <c r="J506" s="34" t="inlineStr">
        <is>
          <t>Pago</t>
        </is>
      </c>
      <c r="K506" s="34" t="n"/>
      <c r="L506" s="34" t="n"/>
      <c r="M506" s="39" t="inlineStr">
        <is>
          <t>EXEMPLO</t>
        </is>
      </c>
      <c r="N506" s="35" t="n">
        <v>109.19</v>
      </c>
      <c r="O506" s="40">
        <f>IF($A506="","",MONTH($A506))</f>
        <v>8</v>
      </c>
      <c r="P506" s="40">
        <f>IF($A506="","",YEAR($A506))</f>
        <v>2026</v>
      </c>
      <c r="Q506" s="41">
        <f>IF($A506="","",DATE(P506,O506,1))</f>
        <v>46235.0</v>
      </c>
      <c r="R506" s="36">
        <f>IF(OR($A506="",$N506=""),"",IF(AND($C506&lt;&gt;"Transferência",N($I506)&gt;1),$N506/$I506,$N506))</f>
        <v>109.19</v>
      </c>
      <c r="S506" s="41">
        <f>IF(OR($A506="",$F506="",$C506&lt;&gt;"Despesa"),"",IF(COUNTIF(Cartoes_Nome,$F506)=0,"",DATE(P506,O506+IF(DAY($A506)&gt;=INDEX(Cartoes_Fech,MATCH($F506,Cartoes_Nome,0)),1,0),1)))</f>
        <v>46235.0</v>
      </c>
      <c r="T506" s="42" t="str">
        <f>IF($A506="","",IF(COUNTIFS(L_Data,$A506,L_Desc,$B506,L_Valor,$N506,L_Tipo,$C506)&gt;1,"⚠ Possível duplicidade",IF(OR(AND($C506="Despesa",COUNTIF(CatD_Nome,$D506)=0),AND($C506="Receita",COUNTIF(CatR_Nome,$D506)=0)),"⚠ Categoria não combina com o tipo",IF(OR($N506="",$C506=""),"⚠ Falta valor ou tipo",""))))</f>
        <v/>
      </c>
      <c r="U506" s="40">
        <f>IF($A506="",0,P506*12+O506)</f>
        <v>24320</v>
      </c>
      <c r="V506" s="40">
        <f>IF($A506="",0,U506+MAX(0,N($I506)-MAX(N($H506),1)))</f>
        <v>24320</v>
      </c>
      <c r="W506" s="40">
        <f>IF(S506="",0,YEAR(S506)*12+MONTH(S506))</f>
        <v>24320</v>
      </c>
      <c r="X506" s="40">
        <f>IF(W506=0,0,W506+V506-U506)</f>
        <v>24320</v>
      </c>
      <c r="Y506" s="36">
        <f>IF(W506=0,0,N(R506)*MAX(0,X506-MAX(W506,YEAR(Cfg_Hoje)*12+MONTH(Cfg_Hoje)+IF(DAY(Cfg_Hoje)&gt;=INDEX(Cartoes_Fech,MATCH($F506,Cartoes_Nome,0)),1,0))+1))</f>
        <v>0</v>
      </c>
      <c r="Z506" s="40">
        <f>IF($A506="",0,DAY($A506))</f>
        <v>14</v>
      </c>
      <c r="AA506" s="40">
        <f>IF($A506="",0,WEEKDAY($A506))</f>
        <v>6</v>
      </c>
      <c r="AB506" s="36">
        <f>IF(AND($C506="Despesa",U506&gt;0,U506&lt;=Sel_Idx,V506&gt;=Sel_Idx),N(R506)+ROW()/1000000000,0)</f>
        <v>0</v>
      </c>
      <c r="AC506" s="40">
        <f>IF(AND($C506="Despesa",U506&gt;0,U506&lt;=Sel_Idx,V506&gt;=Sel_Idx),Z506*10000+ROW(),0)</f>
        <v>0</v>
      </c>
      <c r="AD506" s="40">
        <f>IF(AC506=0,0,COUNTIFS(L_CalChave,"&gt;0",L_CalChave,"&lt;"&amp;AC506)+1)</f>
        <v>0</v>
      </c>
    </row>
    <row r="507">
      <c r="A507" s="38" t="n">
        <v>46249</v>
      </c>
      <c r="B507" s="39" t="inlineStr">
        <is>
          <t>Conta de energia</t>
        </is>
      </c>
      <c r="C507" s="34" t="inlineStr">
        <is>
          <t>Despesa</t>
        </is>
      </c>
      <c r="D507" s="34" t="inlineStr">
        <is>
          <t>Moradia</t>
        </is>
      </c>
      <c r="E507" s="34" t="inlineStr">
        <is>
          <t>Energia</t>
        </is>
      </c>
      <c r="F507" s="34" t="inlineStr">
        <is>
          <t>Conta Corrente Banco Azul</t>
        </is>
      </c>
      <c r="G507" s="34" t="inlineStr">
        <is>
          <t>Débito automático</t>
        </is>
      </c>
      <c r="H507" s="37" t="n"/>
      <c r="I507" s="37" t="n"/>
      <c r="J507" s="34" t="inlineStr">
        <is>
          <t>Pago</t>
        </is>
      </c>
      <c r="K507" s="34" t="n"/>
      <c r="L507" s="34" t="n"/>
      <c r="M507" s="39" t="inlineStr">
        <is>
          <t>EXEMPLO</t>
        </is>
      </c>
      <c r="N507" s="35" t="n">
        <v>147.11</v>
      </c>
      <c r="O507" s="40">
        <f>IF($A507="","",MONTH($A507))</f>
        <v>8</v>
      </c>
      <c r="P507" s="40">
        <f>IF($A507="","",YEAR($A507))</f>
        <v>2026</v>
      </c>
      <c r="Q507" s="41">
        <f>IF($A507="","",DATE(P507,O507,1))</f>
        <v>46235.0</v>
      </c>
      <c r="R507" s="36">
        <f>IF(OR($A507="",$N507=""),"",IF(AND($C507&lt;&gt;"Transferência",N($I507)&gt;1),$N507/$I507,$N507))</f>
        <v>147.11</v>
      </c>
      <c r="S507" s="41" t="str">
        <f>IF(OR($A507="",$F507="",$C507&lt;&gt;"Despesa"),"",IF(COUNTIF(Cartoes_Nome,$F507)=0,"",DATE(P507,O507+IF(DAY($A507)&gt;=INDEX(Cartoes_Fech,MATCH($F507,Cartoes_Nome,0)),1,0),1)))</f>
        <v/>
      </c>
      <c r="T507" s="42" t="str">
        <f>IF($A507="","",IF(COUNTIFS(L_Data,$A507,L_Desc,$B507,L_Valor,$N507,L_Tipo,$C507)&gt;1,"⚠ Possível duplicidade",IF(OR(AND($C507="Despesa",COUNTIF(CatD_Nome,$D507)=0),AND($C507="Receita",COUNTIF(CatR_Nome,$D507)=0)),"⚠ Categoria não combina com o tipo",IF(OR($N507="",$C507=""),"⚠ Falta valor ou tipo",""))))</f>
        <v/>
      </c>
      <c r="U507" s="40">
        <f>IF($A507="",0,P507*12+O507)</f>
        <v>24320</v>
      </c>
      <c r="V507" s="40">
        <f>IF($A507="",0,U507+MAX(0,N($I507)-MAX(N($H507),1)))</f>
        <v>24320</v>
      </c>
      <c r="W507" s="40">
        <f>IF(S507="",0,YEAR(S507)*12+MONTH(S507))</f>
        <v>0</v>
      </c>
      <c r="X507" s="40">
        <f>IF(W507=0,0,W507+V507-U507)</f>
        <v>0</v>
      </c>
      <c r="Y507" s="36">
        <f>IF(W507=0,0,N(R507)*MAX(0,X507-MAX(W507,YEAR(Cfg_Hoje)*12+MONTH(Cfg_Hoje)+IF(DAY(Cfg_Hoje)&gt;=INDEX(Cartoes_Fech,MATCH($F507,Cartoes_Nome,0)),1,0))+1))</f>
        <v>0</v>
      </c>
      <c r="Z507" s="40">
        <f>IF($A507="",0,DAY($A507))</f>
        <v>15</v>
      </c>
      <c r="AA507" s="40">
        <f>IF($A507="",0,WEEKDAY($A507))</f>
        <v>7</v>
      </c>
      <c r="AB507" s="36">
        <f>IF(AND($C507="Despesa",U507&gt;0,U507&lt;=Sel_Idx,V507&gt;=Sel_Idx),N(R507)+ROW()/1000000000,0)</f>
        <v>0</v>
      </c>
      <c r="AC507" s="40">
        <f>IF(AND($C507="Despesa",U507&gt;0,U507&lt;=Sel_Idx,V507&gt;=Sel_Idx),Z507*10000+ROW(),0)</f>
        <v>0</v>
      </c>
      <c r="AD507" s="40">
        <f>IF(AC507=0,0,COUNTIFS(L_CalChave,"&gt;0",L_CalChave,"&lt;"&amp;AC507)+1)</f>
        <v>0</v>
      </c>
    </row>
    <row r="508">
      <c r="A508" s="38" t="n">
        <v>46249</v>
      </c>
      <c r="B508" s="39" t="inlineStr">
        <is>
          <t>Conta de água</t>
        </is>
      </c>
      <c r="C508" s="34" t="inlineStr">
        <is>
          <t>Despesa</t>
        </is>
      </c>
      <c r="D508" s="34" t="inlineStr">
        <is>
          <t>Moradia</t>
        </is>
      </c>
      <c r="E508" s="34" t="inlineStr">
        <is>
          <t>Água</t>
        </is>
      </c>
      <c r="F508" s="34" t="inlineStr">
        <is>
          <t>Conta Corrente Banco Azul</t>
        </is>
      </c>
      <c r="G508" s="34" t="inlineStr">
        <is>
          <t>Débito automático</t>
        </is>
      </c>
      <c r="H508" s="37" t="n"/>
      <c r="I508" s="37" t="n"/>
      <c r="J508" s="34" t="inlineStr">
        <is>
          <t>Pago</t>
        </is>
      </c>
      <c r="K508" s="34" t="n"/>
      <c r="L508" s="34" t="n"/>
      <c r="M508" s="39" t="inlineStr">
        <is>
          <t>EXEMPLO</t>
        </is>
      </c>
      <c r="N508" s="35" t="n">
        <v>97.7</v>
      </c>
      <c r="O508" s="40">
        <f>IF($A508="","",MONTH($A508))</f>
        <v>8</v>
      </c>
      <c r="P508" s="40">
        <f>IF($A508="","",YEAR($A508))</f>
        <v>2026</v>
      </c>
      <c r="Q508" s="41">
        <f>IF($A508="","",DATE(P508,O508,1))</f>
        <v>46235.0</v>
      </c>
      <c r="R508" s="36">
        <f>IF(OR($A508="",$N508=""),"",IF(AND($C508&lt;&gt;"Transferência",N($I508)&gt;1),$N508/$I508,$N508))</f>
        <v>97.7</v>
      </c>
      <c r="S508" s="41" t="str">
        <f>IF(OR($A508="",$F508="",$C508&lt;&gt;"Despesa"),"",IF(COUNTIF(Cartoes_Nome,$F508)=0,"",DATE(P508,O508+IF(DAY($A508)&gt;=INDEX(Cartoes_Fech,MATCH($F508,Cartoes_Nome,0)),1,0),1)))</f>
        <v/>
      </c>
      <c r="T508" s="42" t="str">
        <f>IF($A508="","",IF(COUNTIFS(L_Data,$A508,L_Desc,$B508,L_Valor,$N508,L_Tipo,$C508)&gt;1,"⚠ Possível duplicidade",IF(OR(AND($C508="Despesa",COUNTIF(CatD_Nome,$D508)=0),AND($C508="Receita",COUNTIF(CatR_Nome,$D508)=0)),"⚠ Categoria não combina com o tipo",IF(OR($N508="",$C508=""),"⚠ Falta valor ou tipo",""))))</f>
        <v/>
      </c>
      <c r="U508" s="40">
        <f>IF($A508="",0,P508*12+O508)</f>
        <v>24320</v>
      </c>
      <c r="V508" s="40">
        <f>IF($A508="",0,U508+MAX(0,N($I508)-MAX(N($H508),1)))</f>
        <v>24320</v>
      </c>
      <c r="W508" s="40">
        <f>IF(S508="",0,YEAR(S508)*12+MONTH(S508))</f>
        <v>0</v>
      </c>
      <c r="X508" s="40">
        <f>IF(W508=0,0,W508+V508-U508)</f>
        <v>0</v>
      </c>
      <c r="Y508" s="36">
        <f>IF(W508=0,0,N(R508)*MAX(0,X508-MAX(W508,YEAR(Cfg_Hoje)*12+MONTH(Cfg_Hoje)+IF(DAY(Cfg_Hoje)&gt;=INDEX(Cartoes_Fech,MATCH($F508,Cartoes_Nome,0)),1,0))+1))</f>
        <v>0</v>
      </c>
      <c r="Z508" s="40">
        <f>IF($A508="",0,DAY($A508))</f>
        <v>15</v>
      </c>
      <c r="AA508" s="40">
        <f>IF($A508="",0,WEEKDAY($A508))</f>
        <v>7</v>
      </c>
      <c r="AB508" s="36">
        <f>IF(AND($C508="Despesa",U508&gt;0,U508&lt;=Sel_Idx,V508&gt;=Sel_Idx),N(R508)+ROW()/1000000000,0)</f>
        <v>0</v>
      </c>
      <c r="AC508" s="40">
        <f>IF(AND($C508="Despesa",U508&gt;0,U508&lt;=Sel_Idx,V508&gt;=Sel_Idx),Z508*10000+ROW(),0)</f>
        <v>0</v>
      </c>
      <c r="AD508" s="40">
        <f>IF(AC508=0,0,COUNTIFS(L_CalChave,"&gt;0",L_CalChave,"&lt;"&amp;AC508)+1)</f>
        <v>0</v>
      </c>
    </row>
    <row r="509">
      <c r="A509" s="38" t="n">
        <v>46250</v>
      </c>
      <c r="B509" s="39" t="inlineStr">
        <is>
          <t>Combustível</t>
        </is>
      </c>
      <c r="C509" s="34" t="inlineStr">
        <is>
          <t>Despesa</t>
        </is>
      </c>
      <c r="D509" s="34" t="inlineStr">
        <is>
          <t>Transporte</t>
        </is>
      </c>
      <c r="E509" s="34" t="inlineStr">
        <is>
          <t>Combustível</t>
        </is>
      </c>
      <c r="F509" s="34" t="inlineStr">
        <is>
          <t>Cartão Azul Gold</t>
        </is>
      </c>
      <c r="G509" s="34" t="inlineStr">
        <is>
          <t>Crédito</t>
        </is>
      </c>
      <c r="H509" s="37" t="n"/>
      <c r="I509" s="37" t="n"/>
      <c r="J509" s="34" t="inlineStr">
        <is>
          <t>Pago</t>
        </is>
      </c>
      <c r="K509" s="34" t="n"/>
      <c r="L509" s="34" t="n"/>
      <c r="M509" s="39" t="inlineStr">
        <is>
          <t>EXEMPLO</t>
        </is>
      </c>
      <c r="N509" s="35" t="n">
        <v>172.33</v>
      </c>
      <c r="O509" s="40">
        <f>IF($A509="","",MONTH($A509))</f>
        <v>8</v>
      </c>
      <c r="P509" s="40">
        <f>IF($A509="","",YEAR($A509))</f>
        <v>2026</v>
      </c>
      <c r="Q509" s="41">
        <f>IF($A509="","",DATE(P509,O509,1))</f>
        <v>46235.0</v>
      </c>
      <c r="R509" s="36">
        <f>IF(OR($A509="",$N509=""),"",IF(AND($C509&lt;&gt;"Transferência",N($I509)&gt;1),$N509/$I509,$N509))</f>
        <v>172.33</v>
      </c>
      <c r="S509" s="41">
        <f>IF(OR($A509="",$F509="",$C509&lt;&gt;"Despesa"),"",IF(COUNTIF(Cartoes_Nome,$F509)=0,"",DATE(P509,O509+IF(DAY($A509)&gt;=INDEX(Cartoes_Fech,MATCH($F509,Cartoes_Nome,0)),1,0),1)))</f>
        <v>46266.0</v>
      </c>
      <c r="T509" s="42" t="str">
        <f>IF($A509="","",IF(COUNTIFS(L_Data,$A509,L_Desc,$B509,L_Valor,$N509,L_Tipo,$C509)&gt;1,"⚠ Possível duplicidade",IF(OR(AND($C509="Despesa",COUNTIF(CatD_Nome,$D509)=0),AND($C509="Receita",COUNTIF(CatR_Nome,$D509)=0)),"⚠ Categoria não combina com o tipo",IF(OR($N509="",$C509=""),"⚠ Falta valor ou tipo",""))))</f>
        <v/>
      </c>
      <c r="U509" s="40">
        <f>IF($A509="",0,P509*12+O509)</f>
        <v>24320</v>
      </c>
      <c r="V509" s="40">
        <f>IF($A509="",0,U509+MAX(0,N($I509)-MAX(N($H509),1)))</f>
        <v>24320</v>
      </c>
      <c r="W509" s="40">
        <f>IF(S509="",0,YEAR(S509)*12+MONTH(S509))</f>
        <v>24321</v>
      </c>
      <c r="X509" s="40">
        <f>IF(W509=0,0,W509+V509-U509)</f>
        <v>24321</v>
      </c>
      <c r="Y509" s="36">
        <f>IF(W509=0,0,N(R509)*MAX(0,X509-MAX(W509,YEAR(Cfg_Hoje)*12+MONTH(Cfg_Hoje)+IF(DAY(Cfg_Hoje)&gt;=INDEX(Cartoes_Fech,MATCH($F509,Cartoes_Nome,0)),1,0))+1))</f>
        <v>0</v>
      </c>
      <c r="Z509" s="40">
        <f>IF($A509="",0,DAY($A509))</f>
        <v>16</v>
      </c>
      <c r="AA509" s="40">
        <f>IF($A509="",0,WEEKDAY($A509))</f>
        <v>1</v>
      </c>
      <c r="AB509" s="36">
        <f>IF(AND($C509="Despesa",U509&gt;0,U509&lt;=Sel_Idx,V509&gt;=Sel_Idx),N(R509)+ROW()/1000000000,0)</f>
        <v>0</v>
      </c>
      <c r="AC509" s="40">
        <f>IF(AND($C509="Despesa",U509&gt;0,U509&lt;=Sel_Idx,V509&gt;=Sel_Idx),Z509*10000+ROW(),0)</f>
        <v>0</v>
      </c>
      <c r="AD509" s="40">
        <f>IF(AC509=0,0,COUNTIFS(L_CalChave,"&gt;0",L_CalChave,"&lt;"&amp;AC509)+1)</f>
        <v>0</v>
      </c>
    </row>
    <row r="510">
      <c r="A510" s="38" t="n">
        <v>46250</v>
      </c>
      <c r="B510" s="39" t="inlineStr">
        <is>
          <t>Veterinário</t>
        </is>
      </c>
      <c r="C510" s="34" t="inlineStr">
        <is>
          <t>Despesa</t>
        </is>
      </c>
      <c r="D510" s="34" t="inlineStr">
        <is>
          <t>Família/Pets</t>
        </is>
      </c>
      <c r="E510" s="34" t="inlineStr">
        <is>
          <t>Veterinário</t>
        </is>
      </c>
      <c r="F510" s="34" t="inlineStr">
        <is>
          <t>Conta Corrente Banco Azul</t>
        </is>
      </c>
      <c r="G510" s="34" t="inlineStr">
        <is>
          <t>Pix</t>
        </is>
      </c>
      <c r="H510" s="37" t="n"/>
      <c r="I510" s="37" t="n"/>
      <c r="J510" s="34" t="inlineStr">
        <is>
          <t>Pago</t>
        </is>
      </c>
      <c r="K510" s="34" t="n"/>
      <c r="L510" s="34" t="n"/>
      <c r="M510" s="39" t="inlineStr">
        <is>
          <t>EXEMPLO</t>
        </is>
      </c>
      <c r="N510" s="35" t="n">
        <v>320</v>
      </c>
      <c r="O510" s="40">
        <f>IF($A510="","",MONTH($A510))</f>
        <v>8</v>
      </c>
      <c r="P510" s="40">
        <f>IF($A510="","",YEAR($A510))</f>
        <v>2026</v>
      </c>
      <c r="Q510" s="41">
        <f>IF($A510="","",DATE(P510,O510,1))</f>
        <v>46235.0</v>
      </c>
      <c r="R510" s="36">
        <f>IF(OR($A510="",$N510=""),"",IF(AND($C510&lt;&gt;"Transferência",N($I510)&gt;1),$N510/$I510,$N510))</f>
        <v>320</v>
      </c>
      <c r="S510" s="41" t="str">
        <f>IF(OR($A510="",$F510="",$C510&lt;&gt;"Despesa"),"",IF(COUNTIF(Cartoes_Nome,$F510)=0,"",DATE(P510,O510+IF(DAY($A510)&gt;=INDEX(Cartoes_Fech,MATCH($F510,Cartoes_Nome,0)),1,0),1)))</f>
        <v/>
      </c>
      <c r="T510" s="42" t="str">
        <f>IF($A510="","",IF(COUNTIFS(L_Data,$A510,L_Desc,$B510,L_Valor,$N510,L_Tipo,$C510)&gt;1,"⚠ Possível duplicidade",IF(OR(AND($C510="Despesa",COUNTIF(CatD_Nome,$D510)=0),AND($C510="Receita",COUNTIF(CatR_Nome,$D510)=0)),"⚠ Categoria não combina com o tipo",IF(OR($N510="",$C510=""),"⚠ Falta valor ou tipo",""))))</f>
        <v/>
      </c>
      <c r="U510" s="40">
        <f>IF($A510="",0,P510*12+O510)</f>
        <v>24320</v>
      </c>
      <c r="V510" s="40">
        <f>IF($A510="",0,U510+MAX(0,N($I510)-MAX(N($H510),1)))</f>
        <v>24320</v>
      </c>
      <c r="W510" s="40">
        <f>IF(S510="",0,YEAR(S510)*12+MONTH(S510))</f>
        <v>0</v>
      </c>
      <c r="X510" s="40">
        <f>IF(W510=0,0,W510+V510-U510)</f>
        <v>0</v>
      </c>
      <c r="Y510" s="36">
        <f>IF(W510=0,0,N(R510)*MAX(0,X510-MAX(W510,YEAR(Cfg_Hoje)*12+MONTH(Cfg_Hoje)+IF(DAY(Cfg_Hoje)&gt;=INDEX(Cartoes_Fech,MATCH($F510,Cartoes_Nome,0)),1,0))+1))</f>
        <v>0</v>
      </c>
      <c r="Z510" s="40">
        <f>IF($A510="",0,DAY($A510))</f>
        <v>16</v>
      </c>
      <c r="AA510" s="40">
        <f>IF($A510="",0,WEEKDAY($A510))</f>
        <v>1</v>
      </c>
      <c r="AB510" s="36">
        <f>IF(AND($C510="Despesa",U510&gt;0,U510&lt;=Sel_Idx,V510&gt;=Sel_Idx),N(R510)+ROW()/1000000000,0)</f>
        <v>0</v>
      </c>
      <c r="AC510" s="40">
        <f>IF(AND($C510="Despesa",U510&gt;0,U510&lt;=Sel_Idx,V510&gt;=Sel_Idx),Z510*10000+ROW(),0)</f>
        <v>0</v>
      </c>
      <c r="AD510" s="40">
        <f>IF(AC510=0,0,COUNTIFS(L_CalChave,"&gt;0",L_CalChave,"&lt;"&amp;AC510)+1)</f>
        <v>0</v>
      </c>
    </row>
    <row r="511">
      <c r="A511" s="38" t="n">
        <v>46251</v>
      </c>
      <c r="B511" s="39" t="inlineStr">
        <is>
          <t>Pagamento fatura Cartão Azul Gold</t>
        </is>
      </c>
      <c r="C511" s="34" t="inlineStr">
        <is>
          <t>Transferência</t>
        </is>
      </c>
      <c r="D511" s="34" t="n"/>
      <c r="E511" s="34" t="n"/>
      <c r="F511" s="34" t="inlineStr">
        <is>
          <t>Conta Corrente Banco Azul</t>
        </is>
      </c>
      <c r="G511" s="34" t="inlineStr">
        <is>
          <t>Débito automático</t>
        </is>
      </c>
      <c r="H511" s="37" t="n"/>
      <c r="I511" s="37" t="n"/>
      <c r="J511" s="34" t="inlineStr">
        <is>
          <t>Pago</t>
        </is>
      </c>
      <c r="K511" s="34" t="n"/>
      <c r="L511" s="34" t="n"/>
      <c r="M511" s="39" t="inlineStr">
        <is>
          <t>EXEMPLO</t>
        </is>
      </c>
      <c r="N511" s="35" t="n">
        <v>-1577.69</v>
      </c>
      <c r="O511" s="40">
        <f>IF($A511="","",MONTH($A511))</f>
        <v>8</v>
      </c>
      <c r="P511" s="40">
        <f>IF($A511="","",YEAR($A511))</f>
        <v>2026</v>
      </c>
      <c r="Q511" s="41">
        <f>IF($A511="","",DATE(P511,O511,1))</f>
        <v>46235.0</v>
      </c>
      <c r="R511" s="36">
        <f>IF(OR($A511="",$N511=""),"",IF(AND($C511&lt;&gt;"Transferência",N($I511)&gt;1),$N511/$I511,$N511))</f>
        <v>-1577.69</v>
      </c>
      <c r="S511" s="41" t="str">
        <f>IF(OR($A511="",$F511="",$C511&lt;&gt;"Despesa"),"",IF(COUNTIF(Cartoes_Nome,$F511)=0,"",DATE(P511,O511+IF(DAY($A511)&gt;=INDEX(Cartoes_Fech,MATCH($F511,Cartoes_Nome,0)),1,0),1)))</f>
        <v/>
      </c>
      <c r="T511" s="42" t="str">
        <f>IF($A511="","",IF(COUNTIFS(L_Data,$A511,L_Desc,$B511,L_Valor,$N511,L_Tipo,$C511)&gt;1,"⚠ Possível duplicidade",IF(OR(AND($C511="Despesa",COUNTIF(CatD_Nome,$D511)=0),AND($C511="Receita",COUNTIF(CatR_Nome,$D511)=0)),"⚠ Categoria não combina com o tipo",IF(OR($N511="",$C511=""),"⚠ Falta valor ou tipo",""))))</f>
        <v/>
      </c>
      <c r="U511" s="40">
        <f>IF($A511="",0,P511*12+O511)</f>
        <v>24320</v>
      </c>
      <c r="V511" s="40">
        <f>IF($A511="",0,U511+MAX(0,N($I511)-MAX(N($H511),1)))</f>
        <v>24320</v>
      </c>
      <c r="W511" s="40">
        <f>IF(S511="",0,YEAR(S511)*12+MONTH(S511))</f>
        <v>0</v>
      </c>
      <c r="X511" s="40">
        <f>IF(W511=0,0,W511+V511-U511)</f>
        <v>0</v>
      </c>
      <c r="Y511" s="36">
        <f>IF(W511=0,0,N(R511)*MAX(0,X511-MAX(W511,YEAR(Cfg_Hoje)*12+MONTH(Cfg_Hoje)+IF(DAY(Cfg_Hoje)&gt;=INDEX(Cartoes_Fech,MATCH($F511,Cartoes_Nome,0)),1,0))+1))</f>
        <v>0</v>
      </c>
      <c r="Z511" s="40">
        <f>IF($A511="",0,DAY($A511))</f>
        <v>17</v>
      </c>
      <c r="AA511" s="40">
        <f>IF($A511="",0,WEEKDAY($A511))</f>
        <v>2</v>
      </c>
      <c r="AB511" s="36">
        <f>IF(AND($C511="Despesa",U511&gt;0,U511&lt;=Sel_Idx,V511&gt;=Sel_Idx),N(R511)+ROW()/1000000000,0)</f>
        <v>0</v>
      </c>
      <c r="AC511" s="40">
        <f>IF(AND($C511="Despesa",U511&gt;0,U511&lt;=Sel_Idx,V511&gt;=Sel_Idx),Z511*10000+ROW(),0)</f>
        <v>0</v>
      </c>
      <c r="AD511" s="40">
        <f>IF(AC511=0,0,COUNTIFS(L_CalChave,"&gt;0",L_CalChave,"&lt;"&amp;AC511)+1)</f>
        <v>0</v>
      </c>
    </row>
    <row r="512">
      <c r="A512" s="38" t="n">
        <v>46252</v>
      </c>
      <c r="B512" s="39" t="inlineStr">
        <is>
          <t>Projeto freelance</t>
        </is>
      </c>
      <c r="C512" s="34" t="inlineStr">
        <is>
          <t>Receita</t>
        </is>
      </c>
      <c r="D512" s="34" t="inlineStr">
        <is>
          <t>Freelance/Extra</t>
        </is>
      </c>
      <c r="E512" s="34" t="n"/>
      <c r="F512" s="34" t="inlineStr">
        <is>
          <t>Conta Corrente Banco Azul</t>
        </is>
      </c>
      <c r="G512" s="34" t="inlineStr">
        <is>
          <t>Pix</t>
        </is>
      </c>
      <c r="H512" s="37" t="n"/>
      <c r="I512" s="37" t="n"/>
      <c r="J512" s="34" t="inlineStr">
        <is>
          <t>Pago</t>
        </is>
      </c>
      <c r="K512" s="34" t="n"/>
      <c r="L512" s="34" t="n"/>
      <c r="M512" s="39" t="inlineStr">
        <is>
          <t>EXEMPLO</t>
        </is>
      </c>
      <c r="N512" s="35" t="n">
        <v>2400</v>
      </c>
      <c r="O512" s="40">
        <f>IF($A512="","",MONTH($A512))</f>
        <v>8</v>
      </c>
      <c r="P512" s="40">
        <f>IF($A512="","",YEAR($A512))</f>
        <v>2026</v>
      </c>
      <c r="Q512" s="41">
        <f>IF($A512="","",DATE(P512,O512,1))</f>
        <v>46235.0</v>
      </c>
      <c r="R512" s="36">
        <f>IF(OR($A512="",$N512=""),"",IF(AND($C512&lt;&gt;"Transferência",N($I512)&gt;1),$N512/$I512,$N512))</f>
        <v>2400</v>
      </c>
      <c r="S512" s="41" t="str">
        <f>IF(OR($A512="",$F512="",$C512&lt;&gt;"Despesa"),"",IF(COUNTIF(Cartoes_Nome,$F512)=0,"",DATE(P512,O512+IF(DAY($A512)&gt;=INDEX(Cartoes_Fech,MATCH($F512,Cartoes_Nome,0)),1,0),1)))</f>
        <v/>
      </c>
      <c r="T512" s="42" t="str">
        <f>IF($A512="","",IF(COUNTIFS(L_Data,$A512,L_Desc,$B512,L_Valor,$N512,L_Tipo,$C512)&gt;1,"⚠ Possível duplicidade",IF(OR(AND($C512="Despesa",COUNTIF(CatD_Nome,$D512)=0),AND($C512="Receita",COUNTIF(CatR_Nome,$D512)=0)),"⚠ Categoria não combina com o tipo",IF(OR($N512="",$C512=""),"⚠ Falta valor ou tipo",""))))</f>
        <v/>
      </c>
      <c r="U512" s="40">
        <f>IF($A512="",0,P512*12+O512)</f>
        <v>24320</v>
      </c>
      <c r="V512" s="40">
        <f>IF($A512="",0,U512+MAX(0,N($I512)-MAX(N($H512),1)))</f>
        <v>24320</v>
      </c>
      <c r="W512" s="40">
        <f>IF(S512="",0,YEAR(S512)*12+MONTH(S512))</f>
        <v>0</v>
      </c>
      <c r="X512" s="40">
        <f>IF(W512=0,0,W512+V512-U512)</f>
        <v>0</v>
      </c>
      <c r="Y512" s="36">
        <f>IF(W512=0,0,N(R512)*MAX(0,X512-MAX(W512,YEAR(Cfg_Hoje)*12+MONTH(Cfg_Hoje)+IF(DAY(Cfg_Hoje)&gt;=INDEX(Cartoes_Fech,MATCH($F512,Cartoes_Nome,0)),1,0))+1))</f>
        <v>0</v>
      </c>
      <c r="Z512" s="40">
        <f>IF($A512="",0,DAY($A512))</f>
        <v>18</v>
      </c>
      <c r="AA512" s="40">
        <f>IF($A512="",0,WEEKDAY($A512))</f>
        <v>3</v>
      </c>
      <c r="AB512" s="36">
        <f>IF(AND($C512="Despesa",U512&gt;0,U512&lt;=Sel_Idx,V512&gt;=Sel_Idx),N(R512)+ROW()/1000000000,0)</f>
        <v>0</v>
      </c>
      <c r="AC512" s="40">
        <f>IF(AND($C512="Despesa",U512&gt;0,U512&lt;=Sel_Idx,V512&gt;=Sel_Idx),Z512*10000+ROW(),0)</f>
        <v>0</v>
      </c>
      <c r="AD512" s="40">
        <f>IF(AC512=0,0,COUNTIFS(L_CalChave,"&gt;0",L_CalChave,"&lt;"&amp;AC512)+1)</f>
        <v>0</v>
      </c>
    </row>
    <row r="513">
      <c r="A513" s="38" t="n">
        <v>46252</v>
      </c>
      <c r="B513" s="39" t="inlineStr">
        <is>
          <t>Supermercado</t>
        </is>
      </c>
      <c r="C513" s="34" t="inlineStr">
        <is>
          <t>Despesa</t>
        </is>
      </c>
      <c r="D513" s="34" t="inlineStr">
        <is>
          <t>Alimentação</t>
        </is>
      </c>
      <c r="E513" s="34" t="inlineStr">
        <is>
          <t>Mercado</t>
        </is>
      </c>
      <c r="F513" s="34" t="inlineStr">
        <is>
          <t>Cartão Azul Gold</t>
        </is>
      </c>
      <c r="G513" s="34" t="inlineStr">
        <is>
          <t>Crédito</t>
        </is>
      </c>
      <c r="H513" s="37" t="n"/>
      <c r="I513" s="37" t="n"/>
      <c r="J513" s="34" t="inlineStr">
        <is>
          <t>Pago</t>
        </is>
      </c>
      <c r="K513" s="34" t="n"/>
      <c r="L513" s="34" t="n"/>
      <c r="M513" s="39" t="inlineStr">
        <is>
          <t>EXEMPLO</t>
        </is>
      </c>
      <c r="N513" s="35" t="n">
        <v>345.16</v>
      </c>
      <c r="O513" s="40">
        <f>IF($A513="","",MONTH($A513))</f>
        <v>8</v>
      </c>
      <c r="P513" s="40">
        <f>IF($A513="","",YEAR($A513))</f>
        <v>2026</v>
      </c>
      <c r="Q513" s="41">
        <f>IF($A513="","",DATE(P513,O513,1))</f>
        <v>46235.0</v>
      </c>
      <c r="R513" s="36">
        <f>IF(OR($A513="",$N513=""),"",IF(AND($C513&lt;&gt;"Transferência",N($I513)&gt;1),$N513/$I513,$N513))</f>
        <v>345.16</v>
      </c>
      <c r="S513" s="41">
        <f>IF(OR($A513="",$F513="",$C513&lt;&gt;"Despesa"),"",IF(COUNTIF(Cartoes_Nome,$F513)=0,"",DATE(P513,O513+IF(DAY($A513)&gt;=INDEX(Cartoes_Fech,MATCH($F513,Cartoes_Nome,0)),1,0),1)))</f>
        <v>46266.0</v>
      </c>
      <c r="T513" s="42" t="str">
        <f>IF($A513="","",IF(COUNTIFS(L_Data,$A513,L_Desc,$B513,L_Valor,$N513,L_Tipo,$C513)&gt;1,"⚠ Possível duplicidade",IF(OR(AND($C513="Despesa",COUNTIF(CatD_Nome,$D513)=0),AND($C513="Receita",COUNTIF(CatR_Nome,$D513)=0)),"⚠ Categoria não combina com o tipo",IF(OR($N513="",$C513=""),"⚠ Falta valor ou tipo",""))))</f>
        <v/>
      </c>
      <c r="U513" s="40">
        <f>IF($A513="",0,P513*12+O513)</f>
        <v>24320</v>
      </c>
      <c r="V513" s="40">
        <f>IF($A513="",0,U513+MAX(0,N($I513)-MAX(N($H513),1)))</f>
        <v>24320</v>
      </c>
      <c r="W513" s="40">
        <f>IF(S513="",0,YEAR(S513)*12+MONTH(S513))</f>
        <v>24321</v>
      </c>
      <c r="X513" s="40">
        <f>IF(W513=0,0,W513+V513-U513)</f>
        <v>24321</v>
      </c>
      <c r="Y513" s="36">
        <f>IF(W513=0,0,N(R513)*MAX(0,X513-MAX(W513,YEAR(Cfg_Hoje)*12+MONTH(Cfg_Hoje)+IF(DAY(Cfg_Hoje)&gt;=INDEX(Cartoes_Fech,MATCH($F513,Cartoes_Nome,0)),1,0))+1))</f>
        <v>0</v>
      </c>
      <c r="Z513" s="40">
        <f>IF($A513="",0,DAY($A513))</f>
        <v>18</v>
      </c>
      <c r="AA513" s="40">
        <f>IF($A513="",0,WEEKDAY($A513))</f>
        <v>3</v>
      </c>
      <c r="AB513" s="36">
        <f>IF(AND($C513="Despesa",U513&gt;0,U513&lt;=Sel_Idx,V513&gt;=Sel_Idx),N(R513)+ROW()/1000000000,0)</f>
        <v>0</v>
      </c>
      <c r="AC513" s="40">
        <f>IF(AND($C513="Despesa",U513&gt;0,U513&lt;=Sel_Idx,V513&gt;=Sel_Idx),Z513*10000+ROW(),0)</f>
        <v>0</v>
      </c>
      <c r="AD513" s="40">
        <f>IF(AC513=0,0,COUNTIFS(L_CalChave,"&gt;0",L_CalChave,"&lt;"&amp;AC513)+1)</f>
        <v>0</v>
      </c>
    </row>
    <row r="514">
      <c r="A514" s="38" t="n">
        <v>46253</v>
      </c>
      <c r="B514" s="39" t="inlineStr">
        <is>
          <t>Delivery de comida</t>
        </is>
      </c>
      <c r="C514" s="34" t="inlineStr">
        <is>
          <t>Despesa</t>
        </is>
      </c>
      <c r="D514" s="34" t="inlineStr">
        <is>
          <t>Alimentação</t>
        </is>
      </c>
      <c r="E514" s="34" t="inlineStr">
        <is>
          <t>Restaurantes</t>
        </is>
      </c>
      <c r="F514" s="34" t="inlineStr">
        <is>
          <t>Cartão Roxinho</t>
        </is>
      </c>
      <c r="G514" s="34" t="inlineStr">
        <is>
          <t>Crédito</t>
        </is>
      </c>
      <c r="H514" s="37" t="n"/>
      <c r="I514" s="37" t="n"/>
      <c r="J514" s="34" t="inlineStr">
        <is>
          <t>Pago</t>
        </is>
      </c>
      <c r="K514" s="34" t="n"/>
      <c r="L514" s="34" t="n"/>
      <c r="M514" s="39" t="inlineStr">
        <is>
          <t>EXEMPLO</t>
        </is>
      </c>
      <c r="N514" s="35" t="n">
        <v>41.98</v>
      </c>
      <c r="O514" s="40">
        <f>IF($A514="","",MONTH($A514))</f>
        <v>8</v>
      </c>
      <c r="P514" s="40">
        <f>IF($A514="","",YEAR($A514))</f>
        <v>2026</v>
      </c>
      <c r="Q514" s="41">
        <f>IF($A514="","",DATE(P514,O514,1))</f>
        <v>46235.0</v>
      </c>
      <c r="R514" s="36">
        <f>IF(OR($A514="",$N514=""),"",IF(AND($C514&lt;&gt;"Transferência",N($I514)&gt;1),$N514/$I514,$N514))</f>
        <v>41.98</v>
      </c>
      <c r="S514" s="41">
        <f>IF(OR($A514="",$F514="",$C514&lt;&gt;"Despesa"),"",IF(COUNTIF(Cartoes_Nome,$F514)=0,"",DATE(P514,O514+IF(DAY($A514)&gt;=INDEX(Cartoes_Fech,MATCH($F514,Cartoes_Nome,0)),1,0),1)))</f>
        <v>46235.0</v>
      </c>
      <c r="T514" s="42" t="str">
        <f>IF($A514="","",IF(COUNTIFS(L_Data,$A514,L_Desc,$B514,L_Valor,$N514,L_Tipo,$C514)&gt;1,"⚠ Possível duplicidade",IF(OR(AND($C514="Despesa",COUNTIF(CatD_Nome,$D514)=0),AND($C514="Receita",COUNTIF(CatR_Nome,$D514)=0)),"⚠ Categoria não combina com o tipo",IF(OR($N514="",$C514=""),"⚠ Falta valor ou tipo",""))))</f>
        <v/>
      </c>
      <c r="U514" s="40">
        <f>IF($A514="",0,P514*12+O514)</f>
        <v>24320</v>
      </c>
      <c r="V514" s="40">
        <f>IF($A514="",0,U514+MAX(0,N($I514)-MAX(N($H514),1)))</f>
        <v>24320</v>
      </c>
      <c r="W514" s="40">
        <f>IF(S514="",0,YEAR(S514)*12+MONTH(S514))</f>
        <v>24320</v>
      </c>
      <c r="X514" s="40">
        <f>IF(W514=0,0,W514+V514-U514)</f>
        <v>24320</v>
      </c>
      <c r="Y514" s="36">
        <f>IF(W514=0,0,N(R514)*MAX(0,X514-MAX(W514,YEAR(Cfg_Hoje)*12+MONTH(Cfg_Hoje)+IF(DAY(Cfg_Hoje)&gt;=INDEX(Cartoes_Fech,MATCH($F514,Cartoes_Nome,0)),1,0))+1))</f>
        <v>0</v>
      </c>
      <c r="Z514" s="40">
        <f>IF($A514="",0,DAY($A514))</f>
        <v>19</v>
      </c>
      <c r="AA514" s="40">
        <f>IF($A514="",0,WEEKDAY($A514))</f>
        <v>4</v>
      </c>
      <c r="AB514" s="36">
        <f>IF(AND($C514="Despesa",U514&gt;0,U514&lt;=Sel_Idx,V514&gt;=Sel_Idx),N(R514)+ROW()/1000000000,0)</f>
        <v>0</v>
      </c>
      <c r="AC514" s="40">
        <f>IF(AND($C514="Despesa",U514&gt;0,U514&lt;=Sel_Idx,V514&gt;=Sel_Idx),Z514*10000+ROW(),0)</f>
        <v>0</v>
      </c>
      <c r="AD514" s="40">
        <f>IF(AC514=0,0,COUNTIFS(L_CalChave,"&gt;0",L_CalChave,"&lt;"&amp;AC514)+1)</f>
        <v>0</v>
      </c>
    </row>
    <row r="515">
      <c r="A515" s="38" t="n">
        <v>46254</v>
      </c>
      <c r="B515" s="39" t="inlineStr">
        <is>
          <t>Internet fibra</t>
        </is>
      </c>
      <c r="C515" s="34" t="inlineStr">
        <is>
          <t>Despesa</t>
        </is>
      </c>
      <c r="D515" s="34" t="inlineStr">
        <is>
          <t>Moradia</t>
        </is>
      </c>
      <c r="E515" s="34" t="inlineStr">
        <is>
          <t>Internet</t>
        </is>
      </c>
      <c r="F515" s="34" t="inlineStr">
        <is>
          <t>Conta Corrente Banco Azul</t>
        </is>
      </c>
      <c r="G515" s="34" t="inlineStr">
        <is>
          <t>Débito automático</t>
        </is>
      </c>
      <c r="H515" s="37" t="n"/>
      <c r="I515" s="37" t="n"/>
      <c r="J515" s="34" t="inlineStr">
        <is>
          <t>Pago</t>
        </is>
      </c>
      <c r="K515" s="34" t="n"/>
      <c r="L515" s="34" t="n"/>
      <c r="M515" s="39" t="inlineStr">
        <is>
          <t>EXEMPLO</t>
        </is>
      </c>
      <c r="N515" s="35" t="n">
        <v>129.9</v>
      </c>
      <c r="O515" s="40">
        <f>IF($A515="","",MONTH($A515))</f>
        <v>8</v>
      </c>
      <c r="P515" s="40">
        <f>IF($A515="","",YEAR($A515))</f>
        <v>2026</v>
      </c>
      <c r="Q515" s="41">
        <f>IF($A515="","",DATE(P515,O515,1))</f>
        <v>46235.0</v>
      </c>
      <c r="R515" s="36">
        <f>IF(OR($A515="",$N515=""),"",IF(AND($C515&lt;&gt;"Transferência",N($I515)&gt;1),$N515/$I515,$N515))</f>
        <v>129.9</v>
      </c>
      <c r="S515" s="41" t="str">
        <f>IF(OR($A515="",$F515="",$C515&lt;&gt;"Despesa"),"",IF(COUNTIF(Cartoes_Nome,$F515)=0,"",DATE(P515,O515+IF(DAY($A515)&gt;=INDEX(Cartoes_Fech,MATCH($F515,Cartoes_Nome,0)),1,0),1)))</f>
        <v/>
      </c>
      <c r="T515" s="42" t="str">
        <f>IF($A515="","",IF(COUNTIFS(L_Data,$A515,L_Desc,$B515,L_Valor,$N515,L_Tipo,$C515)&gt;1,"⚠ Possível duplicidade",IF(OR(AND($C515="Despesa",COUNTIF(CatD_Nome,$D515)=0),AND($C515="Receita",COUNTIF(CatR_Nome,$D515)=0)),"⚠ Categoria não combina com o tipo",IF(OR($N515="",$C515=""),"⚠ Falta valor ou tipo",""))))</f>
        <v/>
      </c>
      <c r="U515" s="40">
        <f>IF($A515="",0,P515*12+O515)</f>
        <v>24320</v>
      </c>
      <c r="V515" s="40">
        <f>IF($A515="",0,U515+MAX(0,N($I515)-MAX(N($H515),1)))</f>
        <v>24320</v>
      </c>
      <c r="W515" s="40">
        <f>IF(S515="",0,YEAR(S515)*12+MONTH(S515))</f>
        <v>0</v>
      </c>
      <c r="X515" s="40">
        <f>IF(W515=0,0,W515+V515-U515)</f>
        <v>0</v>
      </c>
      <c r="Y515" s="36">
        <f>IF(W515=0,0,N(R515)*MAX(0,X515-MAX(W515,YEAR(Cfg_Hoje)*12+MONTH(Cfg_Hoje)+IF(DAY(Cfg_Hoje)&gt;=INDEX(Cartoes_Fech,MATCH($F515,Cartoes_Nome,0)),1,0))+1))</f>
        <v>0</v>
      </c>
      <c r="Z515" s="40">
        <f>IF($A515="",0,DAY($A515))</f>
        <v>20</v>
      </c>
      <c r="AA515" s="40">
        <f>IF($A515="",0,WEEKDAY($A515))</f>
        <v>5</v>
      </c>
      <c r="AB515" s="36">
        <f>IF(AND($C515="Despesa",U515&gt;0,U515&lt;=Sel_Idx,V515&gt;=Sel_Idx),N(R515)+ROW()/1000000000,0)</f>
        <v>0</v>
      </c>
      <c r="AC515" s="40">
        <f>IF(AND($C515="Despesa",U515&gt;0,U515&lt;=Sel_Idx,V515&gt;=Sel_Idx),Z515*10000+ROW(),0)</f>
        <v>0</v>
      </c>
      <c r="AD515" s="40">
        <f>IF(AC515=0,0,COUNTIFS(L_CalChave,"&gt;0",L_CalChave,"&lt;"&amp;AC515)+1)</f>
        <v>0</v>
      </c>
    </row>
    <row r="516">
      <c r="A516" s="38" t="n">
        <v>46254</v>
      </c>
      <c r="B516" s="39" t="inlineStr">
        <is>
          <t>Parcela financiamento do carro</t>
        </is>
      </c>
      <c r="C516" s="34" t="inlineStr">
        <is>
          <t>Despesa</t>
        </is>
      </c>
      <c r="D516" s="34" t="inlineStr">
        <is>
          <t>Dívidas e Financiamentos</t>
        </is>
      </c>
      <c r="E516" s="34" t="inlineStr">
        <is>
          <t>Financiamento</t>
        </is>
      </c>
      <c r="F516" s="34" t="inlineStr">
        <is>
          <t>Conta Corrente Banco Azul</t>
        </is>
      </c>
      <c r="G516" s="34" t="inlineStr">
        <is>
          <t>Débito automático</t>
        </is>
      </c>
      <c r="H516" s="37" t="n"/>
      <c r="I516" s="37" t="n"/>
      <c r="J516" s="34" t="inlineStr">
        <is>
          <t>Pago</t>
        </is>
      </c>
      <c r="K516" s="34" t="n"/>
      <c r="L516" s="34" t="n"/>
      <c r="M516" s="39" t="inlineStr">
        <is>
          <t>EXEMPLO</t>
        </is>
      </c>
      <c r="N516" s="35" t="n">
        <v>1150</v>
      </c>
      <c r="O516" s="40">
        <f>IF($A516="","",MONTH($A516))</f>
        <v>8</v>
      </c>
      <c r="P516" s="40">
        <f>IF($A516="","",YEAR($A516))</f>
        <v>2026</v>
      </c>
      <c r="Q516" s="41">
        <f>IF($A516="","",DATE(P516,O516,1))</f>
        <v>46235.0</v>
      </c>
      <c r="R516" s="36">
        <f>IF(OR($A516="",$N516=""),"",IF(AND($C516&lt;&gt;"Transferência",N($I516)&gt;1),$N516/$I516,$N516))</f>
        <v>1150</v>
      </c>
      <c r="S516" s="41" t="str">
        <f>IF(OR($A516="",$F516="",$C516&lt;&gt;"Despesa"),"",IF(COUNTIF(Cartoes_Nome,$F516)=0,"",DATE(P516,O516+IF(DAY($A516)&gt;=INDEX(Cartoes_Fech,MATCH($F516,Cartoes_Nome,0)),1,0),1)))</f>
        <v/>
      </c>
      <c r="T516" s="42" t="str">
        <f>IF($A516="","",IF(COUNTIFS(L_Data,$A516,L_Desc,$B516,L_Valor,$N516,L_Tipo,$C516)&gt;1,"⚠ Possível duplicidade",IF(OR(AND($C516="Despesa",COUNTIF(CatD_Nome,$D516)=0),AND($C516="Receita",COUNTIF(CatR_Nome,$D516)=0)),"⚠ Categoria não combina com o tipo",IF(OR($N516="",$C516=""),"⚠ Falta valor ou tipo",""))))</f>
        <v/>
      </c>
      <c r="U516" s="40">
        <f>IF($A516="",0,P516*12+O516)</f>
        <v>24320</v>
      </c>
      <c r="V516" s="40">
        <f>IF($A516="",0,U516+MAX(0,N($I516)-MAX(N($H516),1)))</f>
        <v>24320</v>
      </c>
      <c r="W516" s="40">
        <f>IF(S516="",0,YEAR(S516)*12+MONTH(S516))</f>
        <v>0</v>
      </c>
      <c r="X516" s="40">
        <f>IF(W516=0,0,W516+V516-U516)</f>
        <v>0</v>
      </c>
      <c r="Y516" s="36">
        <f>IF(W516=0,0,N(R516)*MAX(0,X516-MAX(W516,YEAR(Cfg_Hoje)*12+MONTH(Cfg_Hoje)+IF(DAY(Cfg_Hoje)&gt;=INDEX(Cartoes_Fech,MATCH($F516,Cartoes_Nome,0)),1,0))+1))</f>
        <v>0</v>
      </c>
      <c r="Z516" s="40">
        <f>IF($A516="",0,DAY($A516))</f>
        <v>20</v>
      </c>
      <c r="AA516" s="40">
        <f>IF($A516="",0,WEEKDAY($A516))</f>
        <v>5</v>
      </c>
      <c r="AB516" s="36">
        <f>IF(AND($C516="Despesa",U516&gt;0,U516&lt;=Sel_Idx,V516&gt;=Sel_Idx),N(R516)+ROW()/1000000000,0)</f>
        <v>0</v>
      </c>
      <c r="AC516" s="40">
        <f>IF(AND($C516="Despesa",U516&gt;0,U516&lt;=Sel_Idx,V516&gt;=Sel_Idx),Z516*10000+ROW(),0)</f>
        <v>0</v>
      </c>
      <c r="AD516" s="40">
        <f>IF(AC516=0,0,COUNTIFS(L_CalChave,"&gt;0",L_CalChave,"&lt;"&amp;AC516)+1)</f>
        <v>0</v>
      </c>
    </row>
    <row r="517">
      <c r="A517" s="38" t="n">
        <v>46254</v>
      </c>
      <c r="B517" s="39" t="inlineStr">
        <is>
          <t>Passagens aéreas viagem (4x)</t>
        </is>
      </c>
      <c r="C517" s="34" t="inlineStr">
        <is>
          <t>Despesa</t>
        </is>
      </c>
      <c r="D517" s="34" t="inlineStr">
        <is>
          <t>Lazer</t>
        </is>
      </c>
      <c r="E517" s="34" t="inlineStr">
        <is>
          <t>Viagens</t>
        </is>
      </c>
      <c r="F517" s="34" t="inlineStr">
        <is>
          <t>Cartão Roxinho</t>
        </is>
      </c>
      <c r="G517" s="34" t="inlineStr">
        <is>
          <t>Crédito</t>
        </is>
      </c>
      <c r="H517" s="37" t="n">
        <v>1</v>
      </c>
      <c r="I517" s="37" t="n">
        <v>4</v>
      </c>
      <c r="J517" s="34" t="inlineStr">
        <is>
          <t>Pendente</t>
        </is>
      </c>
      <c r="K517" s="34" t="inlineStr">
        <is>
          <t>#viagem</t>
        </is>
      </c>
      <c r="L517" s="34" t="n"/>
      <c r="M517" s="39" t="inlineStr">
        <is>
          <t>EXEMPLO</t>
        </is>
      </c>
      <c r="N517" s="35" t="n">
        <v>1800</v>
      </c>
      <c r="O517" s="40">
        <f>IF($A517="","",MONTH($A517))</f>
        <v>8</v>
      </c>
      <c r="P517" s="40">
        <f>IF($A517="","",YEAR($A517))</f>
        <v>2026</v>
      </c>
      <c r="Q517" s="41">
        <f>IF($A517="","",DATE(P517,O517,1))</f>
        <v>46235.0</v>
      </c>
      <c r="R517" s="36">
        <f>IF(OR($A517="",$N517=""),"",IF(AND($C517&lt;&gt;"Transferência",N($I517)&gt;1),$N517/$I517,$N517))</f>
        <v>450</v>
      </c>
      <c r="S517" s="41">
        <f>IF(OR($A517="",$F517="",$C517&lt;&gt;"Despesa"),"",IF(COUNTIF(Cartoes_Nome,$F517)=0,"",DATE(P517,O517+IF(DAY($A517)&gt;=INDEX(Cartoes_Fech,MATCH($F517,Cartoes_Nome,0)),1,0),1)))</f>
        <v>46235.0</v>
      </c>
      <c r="T517" s="42" t="str">
        <f>IF($A517="","",IF(COUNTIFS(L_Data,$A517,L_Desc,$B517,L_Valor,$N517,L_Tipo,$C517)&gt;1,"⚠ Possível duplicidade",IF(OR(AND($C517="Despesa",COUNTIF(CatD_Nome,$D517)=0),AND($C517="Receita",COUNTIF(CatR_Nome,$D517)=0)),"⚠ Categoria não combina com o tipo",IF(OR($N517="",$C517=""),"⚠ Falta valor ou tipo",""))))</f>
        <v/>
      </c>
      <c r="U517" s="40">
        <f>IF($A517="",0,P517*12+O517)</f>
        <v>24320</v>
      </c>
      <c r="V517" s="40">
        <f>IF($A517="",0,U517+MAX(0,N($I517)-MAX(N($H517),1)))</f>
        <v>24323</v>
      </c>
      <c r="W517" s="40">
        <f>IF(S517="",0,YEAR(S517)*12+MONTH(S517))</f>
        <v>24320</v>
      </c>
      <c r="X517" s="40">
        <f>IF(W517=0,0,W517+V517-U517)</f>
        <v>24323</v>
      </c>
      <c r="Y517" s="36">
        <f>IF(W517=0,0,N(R517)*MAX(0,X517-MAX(W517,YEAR(Cfg_Hoje)*12+MONTH(Cfg_Hoje)+IF(DAY(Cfg_Hoje)&gt;=INDEX(Cartoes_Fech,MATCH($F517,Cartoes_Nome,0)),1,0))+1))</f>
        <v>900</v>
      </c>
      <c r="Z517" s="40">
        <f>IF($A517="",0,DAY($A517))</f>
        <v>20</v>
      </c>
      <c r="AA517" s="40">
        <f>IF($A517="",0,WEEKDAY($A517))</f>
        <v>5</v>
      </c>
      <c r="AB517" s="36">
        <f>IF(AND($C517="Despesa",U517&gt;0,U517&lt;=Sel_Idx,V517&gt;=Sel_Idx),N(R517)+ROW()/1000000000,0)</f>
        <v>450.000000517</v>
      </c>
      <c r="AC517" s="40">
        <f>IF(AND($C517="Despesa",U517&gt;0,U517&lt;=Sel_Idx,V517&gt;=Sel_Idx),Z517*10000+ROW(),0)</f>
        <v>200517</v>
      </c>
      <c r="AD517" s="40">
        <f>IF(AC517=0,0,COUNTIFS(L_CalChave,"&gt;0",L_CalChave,"&lt;"&amp;AC517)+1)</f>
        <v>26</v>
      </c>
    </row>
    <row r="518">
      <c r="A518" s="38" t="n">
        <v>46256</v>
      </c>
      <c r="B518" s="39" t="inlineStr">
        <is>
          <t>Despesa diversa</t>
        </is>
      </c>
      <c r="C518" s="34" t="inlineStr">
        <is>
          <t>Despesa</t>
        </is>
      </c>
      <c r="D518" s="34" t="inlineStr">
        <is>
          <t>Outros</t>
        </is>
      </c>
      <c r="E518" s="34" t="n"/>
      <c r="F518" s="34" t="inlineStr">
        <is>
          <t>Conta Corrente Banco Azul</t>
        </is>
      </c>
      <c r="G518" s="34" t="inlineStr">
        <is>
          <t>Pix</t>
        </is>
      </c>
      <c r="H518" s="37" t="n"/>
      <c r="I518" s="37" t="n"/>
      <c r="J518" s="34" t="inlineStr">
        <is>
          <t>Pago</t>
        </is>
      </c>
      <c r="K518" s="34" t="n"/>
      <c r="L518" s="34" t="n"/>
      <c r="M518" s="39" t="inlineStr">
        <is>
          <t>EXEMPLO</t>
        </is>
      </c>
      <c r="N518" s="35" t="n">
        <v>155.79</v>
      </c>
      <c r="O518" s="40">
        <f>IF($A518="","",MONTH($A518))</f>
        <v>8</v>
      </c>
      <c r="P518" s="40">
        <f>IF($A518="","",YEAR($A518))</f>
        <v>2026</v>
      </c>
      <c r="Q518" s="41">
        <f>IF($A518="","",DATE(P518,O518,1))</f>
        <v>46235.0</v>
      </c>
      <c r="R518" s="36">
        <f>IF(OR($A518="",$N518=""),"",IF(AND($C518&lt;&gt;"Transferência",N($I518)&gt;1),$N518/$I518,$N518))</f>
        <v>155.79</v>
      </c>
      <c r="S518" s="41" t="str">
        <f>IF(OR($A518="",$F518="",$C518&lt;&gt;"Despesa"),"",IF(COUNTIF(Cartoes_Nome,$F518)=0,"",DATE(P518,O518+IF(DAY($A518)&gt;=INDEX(Cartoes_Fech,MATCH($F518,Cartoes_Nome,0)),1,0),1)))</f>
        <v/>
      </c>
      <c r="T518" s="42" t="str">
        <f>IF($A518="","",IF(COUNTIFS(L_Data,$A518,L_Desc,$B518,L_Valor,$N518,L_Tipo,$C518)&gt;1,"⚠ Possível duplicidade",IF(OR(AND($C518="Despesa",COUNTIF(CatD_Nome,$D518)=0),AND($C518="Receita",COUNTIF(CatR_Nome,$D518)=0)),"⚠ Categoria não combina com o tipo",IF(OR($N518="",$C518=""),"⚠ Falta valor ou tipo",""))))</f>
        <v/>
      </c>
      <c r="U518" s="40">
        <f>IF($A518="",0,P518*12+O518)</f>
        <v>24320</v>
      </c>
      <c r="V518" s="40">
        <f>IF($A518="",0,U518+MAX(0,N($I518)-MAX(N($H518),1)))</f>
        <v>24320</v>
      </c>
      <c r="W518" s="40">
        <f>IF(S518="",0,YEAR(S518)*12+MONTH(S518))</f>
        <v>0</v>
      </c>
      <c r="X518" s="40">
        <f>IF(W518=0,0,W518+V518-U518)</f>
        <v>0</v>
      </c>
      <c r="Y518" s="36">
        <f>IF(W518=0,0,N(R518)*MAX(0,X518-MAX(W518,YEAR(Cfg_Hoje)*12+MONTH(Cfg_Hoje)+IF(DAY(Cfg_Hoje)&gt;=INDEX(Cartoes_Fech,MATCH($F518,Cartoes_Nome,0)),1,0))+1))</f>
        <v>0</v>
      </c>
      <c r="Z518" s="40">
        <f>IF($A518="",0,DAY($A518))</f>
        <v>22</v>
      </c>
      <c r="AA518" s="40">
        <f>IF($A518="",0,WEEKDAY($A518))</f>
        <v>7</v>
      </c>
      <c r="AB518" s="36">
        <f>IF(AND($C518="Despesa",U518&gt;0,U518&lt;=Sel_Idx,V518&gt;=Sel_Idx),N(R518)+ROW()/1000000000,0)</f>
        <v>0</v>
      </c>
      <c r="AC518" s="40">
        <f>IF(AND($C518="Despesa",U518&gt;0,U518&lt;=Sel_Idx,V518&gt;=Sel_Idx),Z518*10000+ROW(),0)</f>
        <v>0</v>
      </c>
      <c r="AD518" s="40">
        <f>IF(AC518=0,0,COUNTIFS(L_CalChave,"&gt;0",L_CalChave,"&lt;"&amp;AC518)+1)</f>
        <v>0</v>
      </c>
    </row>
    <row r="519">
      <c r="A519" s="38" t="n">
        <v>46256</v>
      </c>
      <c r="B519" s="39" t="inlineStr">
        <is>
          <t>Parcela empréstimo pessoal</t>
        </is>
      </c>
      <c r="C519" s="34" t="inlineStr">
        <is>
          <t>Despesa</t>
        </is>
      </c>
      <c r="D519" s="34" t="inlineStr">
        <is>
          <t>Dívidas e Financiamentos</t>
        </is>
      </c>
      <c r="E519" s="34" t="inlineStr">
        <is>
          <t>Empréstimo</t>
        </is>
      </c>
      <c r="F519" s="34" t="inlineStr">
        <is>
          <t>Conta Corrente Banco Azul</t>
        </is>
      </c>
      <c r="G519" s="34" t="inlineStr">
        <is>
          <t>Débito automático</t>
        </is>
      </c>
      <c r="H519" s="37" t="n"/>
      <c r="I519" s="37" t="n"/>
      <c r="J519" s="34" t="inlineStr">
        <is>
          <t>Pago</t>
        </is>
      </c>
      <c r="K519" s="34" t="n"/>
      <c r="L519" s="34" t="n"/>
      <c r="M519" s="39" t="inlineStr">
        <is>
          <t>EXEMPLO</t>
        </is>
      </c>
      <c r="N519" s="35" t="n">
        <v>580</v>
      </c>
      <c r="O519" s="40">
        <f>IF($A519="","",MONTH($A519))</f>
        <v>8</v>
      </c>
      <c r="P519" s="40">
        <f>IF($A519="","",YEAR($A519))</f>
        <v>2026</v>
      </c>
      <c r="Q519" s="41">
        <f>IF($A519="","",DATE(P519,O519,1))</f>
        <v>46235.0</v>
      </c>
      <c r="R519" s="36">
        <f>IF(OR($A519="",$N519=""),"",IF(AND($C519&lt;&gt;"Transferência",N($I519)&gt;1),$N519/$I519,$N519))</f>
        <v>580</v>
      </c>
      <c r="S519" s="41" t="str">
        <f>IF(OR($A519="",$F519="",$C519&lt;&gt;"Despesa"),"",IF(COUNTIF(Cartoes_Nome,$F519)=0,"",DATE(P519,O519+IF(DAY($A519)&gt;=INDEX(Cartoes_Fech,MATCH($F519,Cartoes_Nome,0)),1,0),1)))</f>
        <v/>
      </c>
      <c r="T519" s="42" t="str">
        <f>IF($A519="","",IF(COUNTIFS(L_Data,$A519,L_Desc,$B519,L_Valor,$N519,L_Tipo,$C519)&gt;1,"⚠ Possível duplicidade",IF(OR(AND($C519="Despesa",COUNTIF(CatD_Nome,$D519)=0),AND($C519="Receita",COUNTIF(CatR_Nome,$D519)=0)),"⚠ Categoria não combina com o tipo",IF(OR($N519="",$C519=""),"⚠ Falta valor ou tipo",""))))</f>
        <v/>
      </c>
      <c r="U519" s="40">
        <f>IF($A519="",0,P519*12+O519)</f>
        <v>24320</v>
      </c>
      <c r="V519" s="40">
        <f>IF($A519="",0,U519+MAX(0,N($I519)-MAX(N($H519),1)))</f>
        <v>24320</v>
      </c>
      <c r="W519" s="40">
        <f>IF(S519="",0,YEAR(S519)*12+MONTH(S519))</f>
        <v>0</v>
      </c>
      <c r="X519" s="40">
        <f>IF(W519=0,0,W519+V519-U519)</f>
        <v>0</v>
      </c>
      <c r="Y519" s="36">
        <f>IF(W519=0,0,N(R519)*MAX(0,X519-MAX(W519,YEAR(Cfg_Hoje)*12+MONTH(Cfg_Hoje)+IF(DAY(Cfg_Hoje)&gt;=INDEX(Cartoes_Fech,MATCH($F519,Cartoes_Nome,0)),1,0))+1))</f>
        <v>0</v>
      </c>
      <c r="Z519" s="40">
        <f>IF($A519="",0,DAY($A519))</f>
        <v>22</v>
      </c>
      <c r="AA519" s="40">
        <f>IF($A519="",0,WEEKDAY($A519))</f>
        <v>7</v>
      </c>
      <c r="AB519" s="36">
        <f>IF(AND($C519="Despesa",U519&gt;0,U519&lt;=Sel_Idx,V519&gt;=Sel_Idx),N(R519)+ROW()/1000000000,0)</f>
        <v>0</v>
      </c>
      <c r="AC519" s="40">
        <f>IF(AND($C519="Despesa",U519&gt;0,U519&lt;=Sel_Idx,V519&gt;=Sel_Idx),Z519*10000+ROW(),0)</f>
        <v>0</v>
      </c>
      <c r="AD519" s="40">
        <f>IF(AC519=0,0,COUNTIFS(L_CalChave,"&gt;0",L_CalChave,"&lt;"&amp;AC519)+1)</f>
        <v>0</v>
      </c>
    </row>
    <row r="520">
      <c r="A520" s="38" t="n">
        <v>46259</v>
      </c>
      <c r="B520" s="39" t="inlineStr">
        <is>
          <t>Parcela renegociação da fatura</t>
        </is>
      </c>
      <c r="C520" s="34" t="inlineStr">
        <is>
          <t>Despesa</t>
        </is>
      </c>
      <c r="D520" s="34" t="inlineStr">
        <is>
          <t>Dívidas e Financiamentos</t>
        </is>
      </c>
      <c r="E520" s="34" t="n"/>
      <c r="F520" s="34" t="inlineStr">
        <is>
          <t>Conta Corrente Banco Azul</t>
        </is>
      </c>
      <c r="G520" s="34" t="inlineStr">
        <is>
          <t>Boleto</t>
        </is>
      </c>
      <c r="H520" s="37" t="n"/>
      <c r="I520" s="37" t="n"/>
      <c r="J520" s="34" t="inlineStr">
        <is>
          <t>Pago</t>
        </is>
      </c>
      <c r="K520" s="34" t="n"/>
      <c r="L520" s="34" t="n"/>
      <c r="M520" s="39" t="inlineStr">
        <is>
          <t>EXEMPLO</t>
        </is>
      </c>
      <c r="N520" s="35" t="n">
        <v>460</v>
      </c>
      <c r="O520" s="40">
        <f>IF($A520="","",MONTH($A520))</f>
        <v>8</v>
      </c>
      <c r="P520" s="40">
        <f>IF($A520="","",YEAR($A520))</f>
        <v>2026</v>
      </c>
      <c r="Q520" s="41">
        <f>IF($A520="","",DATE(P520,O520,1))</f>
        <v>46235.0</v>
      </c>
      <c r="R520" s="36">
        <f>IF(OR($A520="",$N520=""),"",IF(AND($C520&lt;&gt;"Transferência",N($I520)&gt;1),$N520/$I520,$N520))</f>
        <v>460</v>
      </c>
      <c r="S520" s="41" t="str">
        <f>IF(OR($A520="",$F520="",$C520&lt;&gt;"Despesa"),"",IF(COUNTIF(Cartoes_Nome,$F520)=0,"",DATE(P520,O520+IF(DAY($A520)&gt;=INDEX(Cartoes_Fech,MATCH($F520,Cartoes_Nome,0)),1,0),1)))</f>
        <v/>
      </c>
      <c r="T520" s="42" t="str">
        <f>IF($A520="","",IF(COUNTIFS(L_Data,$A520,L_Desc,$B520,L_Valor,$N520,L_Tipo,$C520)&gt;1,"⚠ Possível duplicidade",IF(OR(AND($C520="Despesa",COUNTIF(CatD_Nome,$D520)=0),AND($C520="Receita",COUNTIF(CatR_Nome,$D520)=0)),"⚠ Categoria não combina com o tipo",IF(OR($N520="",$C520=""),"⚠ Falta valor ou tipo",""))))</f>
        <v/>
      </c>
      <c r="U520" s="40">
        <f>IF($A520="",0,P520*12+O520)</f>
        <v>24320</v>
      </c>
      <c r="V520" s="40">
        <f>IF($A520="",0,U520+MAX(0,N($I520)-MAX(N($H520),1)))</f>
        <v>24320</v>
      </c>
      <c r="W520" s="40">
        <f>IF(S520="",0,YEAR(S520)*12+MONTH(S520))</f>
        <v>0</v>
      </c>
      <c r="X520" s="40">
        <f>IF(W520=0,0,W520+V520-U520)</f>
        <v>0</v>
      </c>
      <c r="Y520" s="36">
        <f>IF(W520=0,0,N(R520)*MAX(0,X520-MAX(W520,YEAR(Cfg_Hoje)*12+MONTH(Cfg_Hoje)+IF(DAY(Cfg_Hoje)&gt;=INDEX(Cartoes_Fech,MATCH($F520,Cartoes_Nome,0)),1,0))+1))</f>
        <v>0</v>
      </c>
      <c r="Z520" s="40">
        <f>IF($A520="",0,DAY($A520))</f>
        <v>25</v>
      </c>
      <c r="AA520" s="40">
        <f>IF($A520="",0,WEEKDAY($A520))</f>
        <v>3</v>
      </c>
      <c r="AB520" s="36">
        <f>IF(AND($C520="Despesa",U520&gt;0,U520&lt;=Sel_Idx,V520&gt;=Sel_Idx),N(R520)+ROW()/1000000000,0)</f>
        <v>0</v>
      </c>
      <c r="AC520" s="40">
        <f>IF(AND($C520="Despesa",U520&gt;0,U520&lt;=Sel_Idx,V520&gt;=Sel_Idx),Z520*10000+ROW(),0)</f>
        <v>0</v>
      </c>
      <c r="AD520" s="40">
        <f>IF(AC520=0,0,COUNTIFS(L_CalChave,"&gt;0",L_CalChave,"&lt;"&amp;AC520)+1)</f>
        <v>0</v>
      </c>
    </row>
    <row r="521">
      <c r="A521" s="38" t="n">
        <v>46259</v>
      </c>
      <c r="B521" s="39" t="inlineStr">
        <is>
          <t>Show</t>
        </is>
      </c>
      <c r="C521" s="34" t="inlineStr">
        <is>
          <t>Despesa</t>
        </is>
      </c>
      <c r="D521" s="34" t="inlineStr">
        <is>
          <t>Lazer</t>
        </is>
      </c>
      <c r="E521" s="34" t="inlineStr">
        <is>
          <t>Cinema</t>
        </is>
      </c>
      <c r="F521" s="34" t="inlineStr">
        <is>
          <t>Cartão Azul Gold</t>
        </is>
      </c>
      <c r="G521" s="34" t="inlineStr">
        <is>
          <t>Crédito</t>
        </is>
      </c>
      <c r="H521" s="37" t="n"/>
      <c r="I521" s="37" t="n"/>
      <c r="J521" s="34" t="inlineStr">
        <is>
          <t>Pago</t>
        </is>
      </c>
      <c r="K521" s="34" t="n"/>
      <c r="L521" s="34" t="n"/>
      <c r="M521" s="39" t="inlineStr">
        <is>
          <t>EXEMPLO</t>
        </is>
      </c>
      <c r="N521" s="35" t="n">
        <v>95.56999999999999</v>
      </c>
      <c r="O521" s="40">
        <f>IF($A521="","",MONTH($A521))</f>
        <v>8</v>
      </c>
      <c r="P521" s="40">
        <f>IF($A521="","",YEAR($A521))</f>
        <v>2026</v>
      </c>
      <c r="Q521" s="41">
        <f>IF($A521="","",DATE(P521,O521,1))</f>
        <v>46235.0</v>
      </c>
      <c r="R521" s="36">
        <f>IF(OR($A521="",$N521=""),"",IF(AND($C521&lt;&gt;"Transferência",N($I521)&gt;1),$N521/$I521,$N521))</f>
        <v>95.57</v>
      </c>
      <c r="S521" s="41">
        <f>IF(OR($A521="",$F521="",$C521&lt;&gt;"Despesa"),"",IF(COUNTIF(Cartoes_Nome,$F521)=0,"",DATE(P521,O521+IF(DAY($A521)&gt;=INDEX(Cartoes_Fech,MATCH($F521,Cartoes_Nome,0)),1,0),1)))</f>
        <v>46266.0</v>
      </c>
      <c r="T521" s="42" t="str">
        <f>IF($A521="","",IF(COUNTIFS(L_Data,$A521,L_Desc,$B521,L_Valor,$N521,L_Tipo,$C521)&gt;1,"⚠ Possível duplicidade",IF(OR(AND($C521="Despesa",COUNTIF(CatD_Nome,$D521)=0),AND($C521="Receita",COUNTIF(CatR_Nome,$D521)=0)),"⚠ Categoria não combina com o tipo",IF(OR($N521="",$C521=""),"⚠ Falta valor ou tipo",""))))</f>
        <v/>
      </c>
      <c r="U521" s="40">
        <f>IF($A521="",0,P521*12+O521)</f>
        <v>24320</v>
      </c>
      <c r="V521" s="40">
        <f>IF($A521="",0,U521+MAX(0,N($I521)-MAX(N($H521),1)))</f>
        <v>24320</v>
      </c>
      <c r="W521" s="40">
        <f>IF(S521="",0,YEAR(S521)*12+MONTH(S521))</f>
        <v>24321</v>
      </c>
      <c r="X521" s="40">
        <f>IF(W521=0,0,W521+V521-U521)</f>
        <v>24321</v>
      </c>
      <c r="Y521" s="36">
        <f>IF(W521=0,0,N(R521)*MAX(0,X521-MAX(W521,YEAR(Cfg_Hoje)*12+MONTH(Cfg_Hoje)+IF(DAY(Cfg_Hoje)&gt;=INDEX(Cartoes_Fech,MATCH($F521,Cartoes_Nome,0)),1,0))+1))</f>
        <v>0</v>
      </c>
      <c r="Z521" s="40">
        <f>IF($A521="",0,DAY($A521))</f>
        <v>25</v>
      </c>
      <c r="AA521" s="40">
        <f>IF($A521="",0,WEEKDAY($A521))</f>
        <v>3</v>
      </c>
      <c r="AB521" s="36">
        <f>IF(AND($C521="Despesa",U521&gt;0,U521&lt;=Sel_Idx,V521&gt;=Sel_Idx),N(R521)+ROW()/1000000000,0)</f>
        <v>0</v>
      </c>
      <c r="AC521" s="40">
        <f>IF(AND($C521="Despesa",U521&gt;0,U521&lt;=Sel_Idx,V521&gt;=Sel_Idx),Z521*10000+ROW(),0)</f>
        <v>0</v>
      </c>
      <c r="AD521" s="40">
        <f>IF(AC521=0,0,COUNTIFS(L_CalChave,"&gt;0",L_CalChave,"&lt;"&amp;AC521)+1)</f>
        <v>0</v>
      </c>
    </row>
    <row r="522">
      <c r="A522" s="38" t="n">
        <v>46261</v>
      </c>
      <c r="B522" s="39" t="inlineStr">
        <is>
          <t>Bar com amigos</t>
        </is>
      </c>
      <c r="C522" s="34" t="inlineStr">
        <is>
          <t>Despesa</t>
        </is>
      </c>
      <c r="D522" s="34" t="inlineStr">
        <is>
          <t>Lazer</t>
        </is>
      </c>
      <c r="E522" s="34" t="inlineStr">
        <is>
          <t>Bares</t>
        </is>
      </c>
      <c r="F522" s="34" t="inlineStr">
        <is>
          <t>Cartão Azul Gold</t>
        </is>
      </c>
      <c r="G522" s="34" t="inlineStr">
        <is>
          <t>Crédito</t>
        </is>
      </c>
      <c r="H522" s="37" t="n"/>
      <c r="I522" s="37" t="n"/>
      <c r="J522" s="34" t="inlineStr">
        <is>
          <t>Pago</t>
        </is>
      </c>
      <c r="K522" s="34" t="n"/>
      <c r="L522" s="34" t="n"/>
      <c r="M522" s="39" t="inlineStr">
        <is>
          <t>EXEMPLO</t>
        </is>
      </c>
      <c r="N522" s="35" t="n">
        <v>88.38</v>
      </c>
      <c r="O522" s="40">
        <f>IF($A522="","",MONTH($A522))</f>
        <v>8</v>
      </c>
      <c r="P522" s="40">
        <f>IF($A522="","",YEAR($A522))</f>
        <v>2026</v>
      </c>
      <c r="Q522" s="41">
        <f>IF($A522="","",DATE(P522,O522,1))</f>
        <v>46235.0</v>
      </c>
      <c r="R522" s="36">
        <f>IF(OR($A522="",$N522=""),"",IF(AND($C522&lt;&gt;"Transferência",N($I522)&gt;1),$N522/$I522,$N522))</f>
        <v>88.38</v>
      </c>
      <c r="S522" s="41">
        <f>IF(OR($A522="",$F522="",$C522&lt;&gt;"Despesa"),"",IF(COUNTIF(Cartoes_Nome,$F522)=0,"",DATE(P522,O522+IF(DAY($A522)&gt;=INDEX(Cartoes_Fech,MATCH($F522,Cartoes_Nome,0)),1,0),1)))</f>
        <v>46266.0</v>
      </c>
      <c r="T522" s="42" t="str">
        <f>IF($A522="","",IF(COUNTIFS(L_Data,$A522,L_Desc,$B522,L_Valor,$N522,L_Tipo,$C522)&gt;1,"⚠ Possível duplicidade",IF(OR(AND($C522="Despesa",COUNTIF(CatD_Nome,$D522)=0),AND($C522="Receita",COUNTIF(CatR_Nome,$D522)=0)),"⚠ Categoria não combina com o tipo",IF(OR($N522="",$C522=""),"⚠ Falta valor ou tipo",""))))</f>
        <v/>
      </c>
      <c r="U522" s="40">
        <f>IF($A522="",0,P522*12+O522)</f>
        <v>24320</v>
      </c>
      <c r="V522" s="40">
        <f>IF($A522="",0,U522+MAX(0,N($I522)-MAX(N($H522),1)))</f>
        <v>24320</v>
      </c>
      <c r="W522" s="40">
        <f>IF(S522="",0,YEAR(S522)*12+MONTH(S522))</f>
        <v>24321</v>
      </c>
      <c r="X522" s="40">
        <f>IF(W522=0,0,W522+V522-U522)</f>
        <v>24321</v>
      </c>
      <c r="Y522" s="36">
        <f>IF(W522=0,0,N(R522)*MAX(0,X522-MAX(W522,YEAR(Cfg_Hoje)*12+MONTH(Cfg_Hoje)+IF(DAY(Cfg_Hoje)&gt;=INDEX(Cartoes_Fech,MATCH($F522,Cartoes_Nome,0)),1,0))+1))</f>
        <v>0</v>
      </c>
      <c r="Z522" s="40">
        <f>IF($A522="",0,DAY($A522))</f>
        <v>27</v>
      </c>
      <c r="AA522" s="40">
        <f>IF($A522="",0,WEEKDAY($A522))</f>
        <v>5</v>
      </c>
      <c r="AB522" s="36">
        <f>IF(AND($C522="Despesa",U522&gt;0,U522&lt;=Sel_Idx,V522&gt;=Sel_Idx),N(R522)+ROW()/1000000000,0)</f>
        <v>0</v>
      </c>
      <c r="AC522" s="40">
        <f>IF(AND($C522="Despesa",U522&gt;0,U522&lt;=Sel_Idx,V522&gt;=Sel_Idx),Z522*10000+ROW(),0)</f>
        <v>0</v>
      </c>
      <c r="AD522" s="40">
        <f>IF(AC522=0,0,COUNTIFS(L_CalChave,"&gt;0",L_CalChave,"&lt;"&amp;AC522)+1)</f>
        <v>0</v>
      </c>
    </row>
    <row r="523">
      <c r="A523" s="38" t="n">
        <v>46261</v>
      </c>
      <c r="B523" s="39" t="inlineStr">
        <is>
          <t>Farmácia</t>
        </is>
      </c>
      <c r="C523" s="34" t="inlineStr">
        <is>
          <t>Despesa</t>
        </is>
      </c>
      <c r="D523" s="34" t="inlineStr">
        <is>
          <t>Saúde</t>
        </is>
      </c>
      <c r="E523" s="34" t="inlineStr">
        <is>
          <t>Farmácia</t>
        </is>
      </c>
      <c r="F523" s="34" t="inlineStr">
        <is>
          <t>Cartão Azul Gold</t>
        </is>
      </c>
      <c r="G523" s="34" t="inlineStr">
        <is>
          <t>Crédito</t>
        </is>
      </c>
      <c r="H523" s="37" t="n"/>
      <c r="I523" s="37" t="n"/>
      <c r="J523" s="34" t="inlineStr">
        <is>
          <t>Pago</t>
        </is>
      </c>
      <c r="K523" s="34" t="n"/>
      <c r="L523" s="34" t="n"/>
      <c r="M523" s="39" t="inlineStr">
        <is>
          <t>EXEMPLO</t>
        </is>
      </c>
      <c r="N523" s="35" t="n">
        <v>73</v>
      </c>
      <c r="O523" s="40">
        <f>IF($A523="","",MONTH($A523))</f>
        <v>8</v>
      </c>
      <c r="P523" s="40">
        <f>IF($A523="","",YEAR($A523))</f>
        <v>2026</v>
      </c>
      <c r="Q523" s="41">
        <f>IF($A523="","",DATE(P523,O523,1))</f>
        <v>46235.0</v>
      </c>
      <c r="R523" s="36">
        <f>IF(OR($A523="",$N523=""),"",IF(AND($C523&lt;&gt;"Transferência",N($I523)&gt;1),$N523/$I523,$N523))</f>
        <v>73</v>
      </c>
      <c r="S523" s="41">
        <f>IF(OR($A523="",$F523="",$C523&lt;&gt;"Despesa"),"",IF(COUNTIF(Cartoes_Nome,$F523)=0,"",DATE(P523,O523+IF(DAY($A523)&gt;=INDEX(Cartoes_Fech,MATCH($F523,Cartoes_Nome,0)),1,0),1)))</f>
        <v>46266.0</v>
      </c>
      <c r="T523" s="42" t="str">
        <f>IF($A523="","",IF(COUNTIFS(L_Data,$A523,L_Desc,$B523,L_Valor,$N523,L_Tipo,$C523)&gt;1,"⚠ Possível duplicidade",IF(OR(AND($C523="Despesa",COUNTIF(CatD_Nome,$D523)=0),AND($C523="Receita",COUNTIF(CatR_Nome,$D523)=0)),"⚠ Categoria não combina com o tipo",IF(OR($N523="",$C523=""),"⚠ Falta valor ou tipo",""))))</f>
        <v/>
      </c>
      <c r="U523" s="40">
        <f>IF($A523="",0,P523*12+O523)</f>
        <v>24320</v>
      </c>
      <c r="V523" s="40">
        <f>IF($A523="",0,U523+MAX(0,N($I523)-MAX(N($H523),1)))</f>
        <v>24320</v>
      </c>
      <c r="W523" s="40">
        <f>IF(S523="",0,YEAR(S523)*12+MONTH(S523))</f>
        <v>24321</v>
      </c>
      <c r="X523" s="40">
        <f>IF(W523=0,0,W523+V523-U523)</f>
        <v>24321</v>
      </c>
      <c r="Y523" s="36">
        <f>IF(W523=0,0,N(R523)*MAX(0,X523-MAX(W523,YEAR(Cfg_Hoje)*12+MONTH(Cfg_Hoje)+IF(DAY(Cfg_Hoje)&gt;=INDEX(Cartoes_Fech,MATCH($F523,Cartoes_Nome,0)),1,0))+1))</f>
        <v>0</v>
      </c>
      <c r="Z523" s="40">
        <f>IF($A523="",0,DAY($A523))</f>
        <v>27</v>
      </c>
      <c r="AA523" s="40">
        <f>IF($A523="",0,WEEKDAY($A523))</f>
        <v>5</v>
      </c>
      <c r="AB523" s="36">
        <f>IF(AND($C523="Despesa",U523&gt;0,U523&lt;=Sel_Idx,V523&gt;=Sel_Idx),N(R523)+ROW()/1000000000,0)</f>
        <v>0</v>
      </c>
      <c r="AC523" s="40">
        <f>IF(AND($C523="Despesa",U523&gt;0,U523&lt;=Sel_Idx,V523&gt;=Sel_Idx),Z523*10000+ROW(),0)</f>
        <v>0</v>
      </c>
      <c r="AD523" s="40">
        <f>IF(AC523=0,0,COUNTIFS(L_CalChave,"&gt;0",L_CalChave,"&lt;"&amp;AC523)+1)</f>
        <v>0</v>
      </c>
    </row>
    <row r="524">
      <c r="A524" s="38" t="n">
        <v>46262</v>
      </c>
      <c r="B524" s="39" t="inlineStr">
        <is>
          <t>Rendimento da poupança</t>
        </is>
      </c>
      <c r="C524" s="34" t="inlineStr">
        <is>
          <t>Receita</t>
        </is>
      </c>
      <c r="D524" s="34" t="inlineStr">
        <is>
          <t>Rendimentos</t>
        </is>
      </c>
      <c r="E524" s="34" t="n"/>
      <c r="F524" s="34" t="inlineStr">
        <is>
          <t>Poupança Banco Azul</t>
        </is>
      </c>
      <c r="G524" s="34" t="inlineStr">
        <is>
          <t>Transferência</t>
        </is>
      </c>
      <c r="H524" s="37" t="n"/>
      <c r="I524" s="37" t="n"/>
      <c r="J524" s="34" t="inlineStr">
        <is>
          <t>Pago</t>
        </is>
      </c>
      <c r="K524" s="34" t="n"/>
      <c r="L524" s="34" t="n"/>
      <c r="M524" s="39" t="inlineStr">
        <is>
          <t>EXEMPLO</t>
        </is>
      </c>
      <c r="N524" s="35" t="n">
        <v>82.06</v>
      </c>
      <c r="O524" s="40">
        <f>IF($A524="","",MONTH($A524))</f>
        <v>8</v>
      </c>
      <c r="P524" s="40">
        <f>IF($A524="","",YEAR($A524))</f>
        <v>2026</v>
      </c>
      <c r="Q524" s="41">
        <f>IF($A524="","",DATE(P524,O524,1))</f>
        <v>46235.0</v>
      </c>
      <c r="R524" s="36">
        <f>IF(OR($A524="",$N524=""),"",IF(AND($C524&lt;&gt;"Transferência",N($I524)&gt;1),$N524/$I524,$N524))</f>
        <v>82.06</v>
      </c>
      <c r="S524" s="41" t="str">
        <f>IF(OR($A524="",$F524="",$C524&lt;&gt;"Despesa"),"",IF(COUNTIF(Cartoes_Nome,$F524)=0,"",DATE(P524,O524+IF(DAY($A524)&gt;=INDEX(Cartoes_Fech,MATCH($F524,Cartoes_Nome,0)),1,0),1)))</f>
        <v/>
      </c>
      <c r="T524" s="42" t="str">
        <f>IF($A524="","",IF(COUNTIFS(L_Data,$A524,L_Desc,$B524,L_Valor,$N524,L_Tipo,$C524)&gt;1,"⚠ Possível duplicidade",IF(OR(AND($C524="Despesa",COUNTIF(CatD_Nome,$D524)=0),AND($C524="Receita",COUNTIF(CatR_Nome,$D524)=0)),"⚠ Categoria não combina com o tipo",IF(OR($N524="",$C524=""),"⚠ Falta valor ou tipo",""))))</f>
        <v/>
      </c>
      <c r="U524" s="40">
        <f>IF($A524="",0,P524*12+O524)</f>
        <v>24320</v>
      </c>
      <c r="V524" s="40">
        <f>IF($A524="",0,U524+MAX(0,N($I524)-MAX(N($H524),1)))</f>
        <v>24320</v>
      </c>
      <c r="W524" s="40">
        <f>IF(S524="",0,YEAR(S524)*12+MONTH(S524))</f>
        <v>0</v>
      </c>
      <c r="X524" s="40">
        <f>IF(W524=0,0,W524+V524-U524)</f>
        <v>0</v>
      </c>
      <c r="Y524" s="36">
        <f>IF(W524=0,0,N(R524)*MAX(0,X524-MAX(W524,YEAR(Cfg_Hoje)*12+MONTH(Cfg_Hoje)+IF(DAY(Cfg_Hoje)&gt;=INDEX(Cartoes_Fech,MATCH($F524,Cartoes_Nome,0)),1,0))+1))</f>
        <v>0</v>
      </c>
      <c r="Z524" s="40">
        <f>IF($A524="",0,DAY($A524))</f>
        <v>28</v>
      </c>
      <c r="AA524" s="40">
        <f>IF($A524="",0,WEEKDAY($A524))</f>
        <v>6</v>
      </c>
      <c r="AB524" s="36">
        <f>IF(AND($C524="Despesa",U524&gt;0,U524&lt;=Sel_Idx,V524&gt;=Sel_Idx),N(R524)+ROW()/1000000000,0)</f>
        <v>0</v>
      </c>
      <c r="AC524" s="40">
        <f>IF(AND($C524="Despesa",U524&gt;0,U524&lt;=Sel_Idx,V524&gt;=Sel_Idx),Z524*10000+ROW(),0)</f>
        <v>0</v>
      </c>
      <c r="AD524" s="40">
        <f>IF(AC524=0,0,COUNTIFS(L_CalChave,"&gt;0",L_CalChave,"&lt;"&amp;AC524)+1)</f>
        <v>0</v>
      </c>
    </row>
    <row r="525">
      <c r="A525" s="38" t="n">
        <v>46262</v>
      </c>
      <c r="B525" s="39" t="inlineStr">
        <is>
          <t>Supermercado</t>
        </is>
      </c>
      <c r="C525" s="34" t="inlineStr">
        <is>
          <t>Despesa</t>
        </is>
      </c>
      <c r="D525" s="34" t="inlineStr">
        <is>
          <t>Alimentação</t>
        </is>
      </c>
      <c r="E525" s="34" t="inlineStr">
        <is>
          <t>Mercado</t>
        </is>
      </c>
      <c r="F525" s="34" t="inlineStr">
        <is>
          <t>Cartão Azul Gold</t>
        </is>
      </c>
      <c r="G525" s="34" t="inlineStr">
        <is>
          <t>Crédito</t>
        </is>
      </c>
      <c r="H525" s="37" t="n"/>
      <c r="I525" s="37" t="n"/>
      <c r="J525" s="34" t="inlineStr">
        <is>
          <t>Pago</t>
        </is>
      </c>
      <c r="K525" s="34" t="n"/>
      <c r="L525" s="34" t="n"/>
      <c r="M525" s="39" t="inlineStr">
        <is>
          <t>EXEMPLO</t>
        </is>
      </c>
      <c r="N525" s="35" t="n">
        <v>288.8</v>
      </c>
      <c r="O525" s="40">
        <f>IF($A525="","",MONTH($A525))</f>
        <v>8</v>
      </c>
      <c r="P525" s="40">
        <f>IF($A525="","",YEAR($A525))</f>
        <v>2026</v>
      </c>
      <c r="Q525" s="41">
        <f>IF($A525="","",DATE(P525,O525,1))</f>
        <v>46235.0</v>
      </c>
      <c r="R525" s="36">
        <f>IF(OR($A525="",$N525=""),"",IF(AND($C525&lt;&gt;"Transferência",N($I525)&gt;1),$N525/$I525,$N525))</f>
        <v>288.8</v>
      </c>
      <c r="S525" s="41">
        <f>IF(OR($A525="",$F525="",$C525&lt;&gt;"Despesa"),"",IF(COUNTIF(Cartoes_Nome,$F525)=0,"",DATE(P525,O525+IF(DAY($A525)&gt;=INDEX(Cartoes_Fech,MATCH($F525,Cartoes_Nome,0)),1,0),1)))</f>
        <v>46266.0</v>
      </c>
      <c r="T525" s="42" t="str">
        <f>IF($A525="","",IF(COUNTIFS(L_Data,$A525,L_Desc,$B525,L_Valor,$N525,L_Tipo,$C525)&gt;1,"⚠ Possível duplicidade",IF(OR(AND($C525="Despesa",COUNTIF(CatD_Nome,$D525)=0),AND($C525="Receita",COUNTIF(CatR_Nome,$D525)=0)),"⚠ Categoria não combina com o tipo",IF(OR($N525="",$C525=""),"⚠ Falta valor ou tipo",""))))</f>
        <v/>
      </c>
      <c r="U525" s="40">
        <f>IF($A525="",0,P525*12+O525)</f>
        <v>24320</v>
      </c>
      <c r="V525" s="40">
        <f>IF($A525="",0,U525+MAX(0,N($I525)-MAX(N($H525),1)))</f>
        <v>24320</v>
      </c>
      <c r="W525" s="40">
        <f>IF(S525="",0,YEAR(S525)*12+MONTH(S525))</f>
        <v>24321</v>
      </c>
      <c r="X525" s="40">
        <f>IF(W525=0,0,W525+V525-U525)</f>
        <v>24321</v>
      </c>
      <c r="Y525" s="36">
        <f>IF(W525=0,0,N(R525)*MAX(0,X525-MAX(W525,YEAR(Cfg_Hoje)*12+MONTH(Cfg_Hoje)+IF(DAY(Cfg_Hoje)&gt;=INDEX(Cartoes_Fech,MATCH($F525,Cartoes_Nome,0)),1,0))+1))</f>
        <v>0</v>
      </c>
      <c r="Z525" s="40">
        <f>IF($A525="",0,DAY($A525))</f>
        <v>28</v>
      </c>
      <c r="AA525" s="40">
        <f>IF($A525="",0,WEEKDAY($A525))</f>
        <v>6</v>
      </c>
      <c r="AB525" s="36">
        <f>IF(AND($C525="Despesa",U525&gt;0,U525&lt;=Sel_Idx,V525&gt;=Sel_Idx),N(R525)+ROW()/1000000000,0)</f>
        <v>0</v>
      </c>
      <c r="AC525" s="40">
        <f>IF(AND($C525="Despesa",U525&gt;0,U525&lt;=Sel_Idx,V525&gt;=Sel_Idx),Z525*10000+ROW(),0)</f>
        <v>0</v>
      </c>
      <c r="AD525" s="40">
        <f>IF(AC525=0,0,COUNTIFS(L_CalChave,"&gt;0",L_CalChave,"&lt;"&amp;AC525)+1)</f>
        <v>0</v>
      </c>
    </row>
    <row r="526">
      <c r="A526" s="38" t="n">
        <v>46268</v>
      </c>
      <c r="B526" s="39" t="inlineStr">
        <is>
          <t>Academia</t>
        </is>
      </c>
      <c r="C526" s="34" t="inlineStr">
        <is>
          <t>Despesa</t>
        </is>
      </c>
      <c r="D526" s="34" t="inlineStr">
        <is>
          <t>Assinaturas</t>
        </is>
      </c>
      <c r="E526" s="34" t="inlineStr">
        <is>
          <t>Academia</t>
        </is>
      </c>
      <c r="F526" s="34" t="inlineStr">
        <is>
          <t>Conta Corrente Banco Azul</t>
        </is>
      </c>
      <c r="G526" s="34" t="inlineStr">
        <is>
          <t>Débito automático</t>
        </is>
      </c>
      <c r="H526" s="37" t="n"/>
      <c r="I526" s="37" t="n"/>
      <c r="J526" s="34" t="inlineStr">
        <is>
          <t>Pago</t>
        </is>
      </c>
      <c r="K526" s="34" t="n"/>
      <c r="L526" s="34" t="n"/>
      <c r="M526" s="39" t="inlineStr">
        <is>
          <t>EXEMPLO</t>
        </is>
      </c>
      <c r="N526" s="35" t="n">
        <v>129</v>
      </c>
      <c r="O526" s="40">
        <f>IF($A526="","",MONTH($A526))</f>
        <v>9</v>
      </c>
      <c r="P526" s="40">
        <f>IF($A526="","",YEAR($A526))</f>
        <v>2026</v>
      </c>
      <c r="Q526" s="41">
        <f>IF($A526="","",DATE(P526,O526,1))</f>
        <v>46266.0</v>
      </c>
      <c r="R526" s="36">
        <f>IF(OR($A526="",$N526=""),"",IF(AND($C526&lt;&gt;"Transferência",N($I526)&gt;1),$N526/$I526,$N526))</f>
        <v>129</v>
      </c>
      <c r="S526" s="41" t="str">
        <f>IF(OR($A526="",$F526="",$C526&lt;&gt;"Despesa"),"",IF(COUNTIF(Cartoes_Nome,$F526)=0,"",DATE(P526,O526+IF(DAY($A526)&gt;=INDEX(Cartoes_Fech,MATCH($F526,Cartoes_Nome,0)),1,0),1)))</f>
        <v/>
      </c>
      <c r="T526" s="42" t="str">
        <f>IF($A526="","",IF(COUNTIFS(L_Data,$A526,L_Desc,$B526,L_Valor,$N526,L_Tipo,$C526)&gt;1,"⚠ Possível duplicidade",IF(OR(AND($C526="Despesa",COUNTIF(CatD_Nome,$D526)=0),AND($C526="Receita",COUNTIF(CatR_Nome,$D526)=0)),"⚠ Categoria não combina com o tipo",IF(OR($N526="",$C526=""),"⚠ Falta valor ou tipo",""))))</f>
        <v/>
      </c>
      <c r="U526" s="40">
        <f>IF($A526="",0,P526*12+O526)</f>
        <v>24321</v>
      </c>
      <c r="V526" s="40">
        <f>IF($A526="",0,U526+MAX(0,N($I526)-MAX(N($H526),1)))</f>
        <v>24321</v>
      </c>
      <c r="W526" s="40">
        <f>IF(S526="",0,YEAR(S526)*12+MONTH(S526))</f>
        <v>0</v>
      </c>
      <c r="X526" s="40">
        <f>IF(W526=0,0,W526+V526-U526)</f>
        <v>0</v>
      </c>
      <c r="Y526" s="36">
        <f>IF(W526=0,0,N(R526)*MAX(0,X526-MAX(W526,YEAR(Cfg_Hoje)*12+MONTH(Cfg_Hoje)+IF(DAY(Cfg_Hoje)&gt;=INDEX(Cartoes_Fech,MATCH($F526,Cartoes_Nome,0)),1,0))+1))</f>
        <v>0</v>
      </c>
      <c r="Z526" s="40">
        <f>IF($A526="",0,DAY($A526))</f>
        <v>3</v>
      </c>
      <c r="AA526" s="40">
        <f>IF($A526="",0,WEEKDAY($A526))</f>
        <v>5</v>
      </c>
      <c r="AB526" s="36">
        <f>IF(AND($C526="Despesa",U526&gt;0,U526&lt;=Sel_Idx,V526&gt;=Sel_Idx),N(R526)+ROW()/1000000000,0)</f>
        <v>129.000000526</v>
      </c>
      <c r="AC526" s="40">
        <f>IF(AND($C526="Despesa",U526&gt;0,U526&lt;=Sel_Idx,V526&gt;=Sel_Idx),Z526*10000+ROW(),0)</f>
        <v>30526</v>
      </c>
      <c r="AD526" s="40">
        <f>IF(AC526=0,0,COUNTIFS(L_CalChave,"&gt;0",L_CalChave,"&lt;"&amp;AC526)+1)</f>
        <v>1</v>
      </c>
    </row>
    <row r="527">
      <c r="A527" s="38" t="n">
        <v>46270</v>
      </c>
      <c r="B527" s="39" t="inlineStr">
        <is>
          <t>Bar com amigos</t>
        </is>
      </c>
      <c r="C527" s="34" t="inlineStr">
        <is>
          <t>Despesa</t>
        </is>
      </c>
      <c r="D527" s="34" t="inlineStr">
        <is>
          <t>Lazer</t>
        </is>
      </c>
      <c r="E527" s="34" t="inlineStr">
        <is>
          <t>Cinema</t>
        </is>
      </c>
      <c r="F527" s="34" t="inlineStr">
        <is>
          <t>Cartão Roxinho</t>
        </is>
      </c>
      <c r="G527" s="34" t="inlineStr">
        <is>
          <t>Crédito</t>
        </is>
      </c>
      <c r="H527" s="37" t="n"/>
      <c r="I527" s="37" t="n"/>
      <c r="J527" s="34" t="inlineStr">
        <is>
          <t>Pago</t>
        </is>
      </c>
      <c r="K527" s="34" t="n"/>
      <c r="L527" s="34" t="n"/>
      <c r="M527" s="39" t="inlineStr">
        <is>
          <t>EXEMPLO</t>
        </is>
      </c>
      <c r="N527" s="35" t="n">
        <v>96.45</v>
      </c>
      <c r="O527" s="40">
        <f>IF($A527="","",MONTH($A527))</f>
        <v>9</v>
      </c>
      <c r="P527" s="40">
        <f>IF($A527="","",YEAR($A527))</f>
        <v>2026</v>
      </c>
      <c r="Q527" s="41">
        <f>IF($A527="","",DATE(P527,O527,1))</f>
        <v>46266.0</v>
      </c>
      <c r="R527" s="36">
        <f>IF(OR($A527="",$N527=""),"",IF(AND($C527&lt;&gt;"Transferência",N($I527)&gt;1),$N527/$I527,$N527))</f>
        <v>96.45</v>
      </c>
      <c r="S527" s="41">
        <f>IF(OR($A527="",$F527="",$C527&lt;&gt;"Despesa"),"",IF(COUNTIF(Cartoes_Nome,$F527)=0,"",DATE(P527,O527+IF(DAY($A527)&gt;=INDEX(Cartoes_Fech,MATCH($F527,Cartoes_Nome,0)),1,0),1)))</f>
        <v>46266.0</v>
      </c>
      <c r="T527" s="42" t="str">
        <f>IF($A527="","",IF(COUNTIFS(L_Data,$A527,L_Desc,$B527,L_Valor,$N527,L_Tipo,$C527)&gt;1,"⚠ Possível duplicidade",IF(OR(AND($C527="Despesa",COUNTIF(CatD_Nome,$D527)=0),AND($C527="Receita",COUNTIF(CatR_Nome,$D527)=0)),"⚠ Categoria não combina com o tipo",IF(OR($N527="",$C527=""),"⚠ Falta valor ou tipo",""))))</f>
        <v/>
      </c>
      <c r="U527" s="40">
        <f>IF($A527="",0,P527*12+O527)</f>
        <v>24321</v>
      </c>
      <c r="V527" s="40">
        <f>IF($A527="",0,U527+MAX(0,N($I527)-MAX(N($H527),1)))</f>
        <v>24321</v>
      </c>
      <c r="W527" s="40">
        <f>IF(S527="",0,YEAR(S527)*12+MONTH(S527))</f>
        <v>24321</v>
      </c>
      <c r="X527" s="40">
        <f>IF(W527=0,0,W527+V527-U527)</f>
        <v>24321</v>
      </c>
      <c r="Y527" s="36">
        <f>IF(W527=0,0,N(R527)*MAX(0,X527-MAX(W527,YEAR(Cfg_Hoje)*12+MONTH(Cfg_Hoje)+IF(DAY(Cfg_Hoje)&gt;=INDEX(Cartoes_Fech,MATCH($F527,Cartoes_Nome,0)),1,0))+1))</f>
        <v>0</v>
      </c>
      <c r="Z527" s="40">
        <f>IF($A527="",0,DAY($A527))</f>
        <v>5</v>
      </c>
      <c r="AA527" s="40">
        <f>IF($A527="",0,WEEKDAY($A527))</f>
        <v>7</v>
      </c>
      <c r="AB527" s="36">
        <f>IF(AND($C527="Despesa",U527&gt;0,U527&lt;=Sel_Idx,V527&gt;=Sel_Idx),N(R527)+ROW()/1000000000,0)</f>
        <v>96.450000527</v>
      </c>
      <c r="AC527" s="40">
        <f>IF(AND($C527="Despesa",U527&gt;0,U527&lt;=Sel_Idx,V527&gt;=Sel_Idx),Z527*10000+ROW(),0)</f>
        <v>50527</v>
      </c>
      <c r="AD527" s="40">
        <f>IF(AC527=0,0,COUNTIFS(L_CalChave,"&gt;0",L_CalChave,"&lt;"&amp;AC527)+1)</f>
        <v>2</v>
      </c>
    </row>
    <row r="528">
      <c r="A528" s="38" t="n">
        <v>46270</v>
      </c>
      <c r="B528" s="39" t="inlineStr">
        <is>
          <t>Pagamento fatura Cartão Roxinho</t>
        </is>
      </c>
      <c r="C528" s="34" t="inlineStr">
        <is>
          <t>Transferência</t>
        </is>
      </c>
      <c r="D528" s="34" t="n"/>
      <c r="E528" s="34" t="n"/>
      <c r="F528" s="34" t="inlineStr">
        <is>
          <t>Conta Corrente Banco Azul</t>
        </is>
      </c>
      <c r="G528" s="34" t="inlineStr">
        <is>
          <t>Débito automático</t>
        </is>
      </c>
      <c r="H528" s="37" t="n"/>
      <c r="I528" s="37" t="n"/>
      <c r="J528" s="34" t="inlineStr">
        <is>
          <t>Pago</t>
        </is>
      </c>
      <c r="K528" s="34" t="n"/>
      <c r="L528" s="34" t="n"/>
      <c r="M528" s="39" t="inlineStr">
        <is>
          <t>EXEMPLO</t>
        </is>
      </c>
      <c r="N528" s="35" t="n">
        <v>-978.97</v>
      </c>
      <c r="O528" s="40">
        <f>IF($A528="","",MONTH($A528))</f>
        <v>9</v>
      </c>
      <c r="P528" s="40">
        <f>IF($A528="","",YEAR($A528))</f>
        <v>2026</v>
      </c>
      <c r="Q528" s="41">
        <f>IF($A528="","",DATE(P528,O528,1))</f>
        <v>46266.0</v>
      </c>
      <c r="R528" s="36">
        <f>IF(OR($A528="",$N528=""),"",IF(AND($C528&lt;&gt;"Transferência",N($I528)&gt;1),$N528/$I528,$N528))</f>
        <v>-978.97</v>
      </c>
      <c r="S528" s="41" t="str">
        <f>IF(OR($A528="",$F528="",$C528&lt;&gt;"Despesa"),"",IF(COUNTIF(Cartoes_Nome,$F528)=0,"",DATE(P528,O528+IF(DAY($A528)&gt;=INDEX(Cartoes_Fech,MATCH($F528,Cartoes_Nome,0)),1,0),1)))</f>
        <v/>
      </c>
      <c r="T528" s="42" t="str">
        <f>IF($A528="","",IF(COUNTIFS(L_Data,$A528,L_Desc,$B528,L_Valor,$N528,L_Tipo,$C528)&gt;1,"⚠ Possível duplicidade",IF(OR(AND($C528="Despesa",COUNTIF(CatD_Nome,$D528)=0),AND($C528="Receita",COUNTIF(CatR_Nome,$D528)=0)),"⚠ Categoria não combina com o tipo",IF(OR($N528="",$C528=""),"⚠ Falta valor ou tipo",""))))</f>
        <v/>
      </c>
      <c r="U528" s="40">
        <f>IF($A528="",0,P528*12+O528)</f>
        <v>24321</v>
      </c>
      <c r="V528" s="40">
        <f>IF($A528="",0,U528+MAX(0,N($I528)-MAX(N($H528),1)))</f>
        <v>24321</v>
      </c>
      <c r="W528" s="40">
        <f>IF(S528="",0,YEAR(S528)*12+MONTH(S528))</f>
        <v>0</v>
      </c>
      <c r="X528" s="40">
        <f>IF(W528=0,0,W528+V528-U528)</f>
        <v>0</v>
      </c>
      <c r="Y528" s="36">
        <f>IF(W528=0,0,N(R528)*MAX(0,X528-MAX(W528,YEAR(Cfg_Hoje)*12+MONTH(Cfg_Hoje)+IF(DAY(Cfg_Hoje)&gt;=INDEX(Cartoes_Fech,MATCH($F528,Cartoes_Nome,0)),1,0))+1))</f>
        <v>0</v>
      </c>
      <c r="Z528" s="40">
        <f>IF($A528="",0,DAY($A528))</f>
        <v>5</v>
      </c>
      <c r="AA528" s="40">
        <f>IF($A528="",0,WEEKDAY($A528))</f>
        <v>7</v>
      </c>
      <c r="AB528" s="36">
        <f>IF(AND($C528="Despesa",U528&gt;0,U528&lt;=Sel_Idx,V528&gt;=Sel_Idx),N(R528)+ROW()/1000000000,0)</f>
        <v>0</v>
      </c>
      <c r="AC528" s="40">
        <f>IF(AND($C528="Despesa",U528&gt;0,U528&lt;=Sel_Idx,V528&gt;=Sel_Idx),Z528*10000+ROW(),0)</f>
        <v>0</v>
      </c>
      <c r="AD528" s="40">
        <f>IF(AC528=0,0,COUNTIFS(L_CalChave,"&gt;0",L_CalChave,"&lt;"&amp;AC528)+1)</f>
        <v>0</v>
      </c>
    </row>
    <row r="529">
      <c r="A529" s="38" t="n">
        <v>46270</v>
      </c>
      <c r="B529" s="39" t="inlineStr">
        <is>
          <t>Plano de saúde</t>
        </is>
      </c>
      <c r="C529" s="34" t="inlineStr">
        <is>
          <t>Despesa</t>
        </is>
      </c>
      <c r="D529" s="34" t="inlineStr">
        <is>
          <t>Saúde</t>
        </is>
      </c>
      <c r="E529" s="34" t="inlineStr">
        <is>
          <t>Plano de saúde</t>
        </is>
      </c>
      <c r="F529" s="34" t="inlineStr">
        <is>
          <t>Conta Corrente Banco Azul</t>
        </is>
      </c>
      <c r="G529" s="34" t="inlineStr">
        <is>
          <t>Débito automático</t>
        </is>
      </c>
      <c r="H529" s="37" t="n"/>
      <c r="I529" s="37" t="n"/>
      <c r="J529" s="34" t="inlineStr">
        <is>
          <t>Pago</t>
        </is>
      </c>
      <c r="K529" s="34" t="n"/>
      <c r="L529" s="34" t="n"/>
      <c r="M529" s="39" t="inlineStr">
        <is>
          <t>EXEMPLO</t>
        </is>
      </c>
      <c r="N529" s="35" t="n">
        <v>780</v>
      </c>
      <c r="O529" s="40">
        <f>IF($A529="","",MONTH($A529))</f>
        <v>9</v>
      </c>
      <c r="P529" s="40">
        <f>IF($A529="","",YEAR($A529))</f>
        <v>2026</v>
      </c>
      <c r="Q529" s="41">
        <f>IF($A529="","",DATE(P529,O529,1))</f>
        <v>46266.0</v>
      </c>
      <c r="R529" s="36">
        <f>IF(OR($A529="",$N529=""),"",IF(AND($C529&lt;&gt;"Transferência",N($I529)&gt;1),$N529/$I529,$N529))</f>
        <v>780</v>
      </c>
      <c r="S529" s="41" t="str">
        <f>IF(OR($A529="",$F529="",$C529&lt;&gt;"Despesa"),"",IF(COUNTIF(Cartoes_Nome,$F529)=0,"",DATE(P529,O529+IF(DAY($A529)&gt;=INDEX(Cartoes_Fech,MATCH($F529,Cartoes_Nome,0)),1,0),1)))</f>
        <v/>
      </c>
      <c r="T529" s="42" t="str">
        <f>IF($A529="","",IF(COUNTIFS(L_Data,$A529,L_Desc,$B529,L_Valor,$N529,L_Tipo,$C529)&gt;1,"⚠ Possível duplicidade",IF(OR(AND($C529="Despesa",COUNTIF(CatD_Nome,$D529)=0),AND($C529="Receita",COUNTIF(CatR_Nome,$D529)=0)),"⚠ Categoria não combina com o tipo",IF(OR($N529="",$C529=""),"⚠ Falta valor ou tipo",""))))</f>
        <v/>
      </c>
      <c r="U529" s="40">
        <f>IF($A529="",0,P529*12+O529)</f>
        <v>24321</v>
      </c>
      <c r="V529" s="40">
        <f>IF($A529="",0,U529+MAX(0,N($I529)-MAX(N($H529),1)))</f>
        <v>24321</v>
      </c>
      <c r="W529" s="40">
        <f>IF(S529="",0,YEAR(S529)*12+MONTH(S529))</f>
        <v>0</v>
      </c>
      <c r="X529" s="40">
        <f>IF(W529=0,0,W529+V529-U529)</f>
        <v>0</v>
      </c>
      <c r="Y529" s="36">
        <f>IF(W529=0,0,N(R529)*MAX(0,X529-MAX(W529,YEAR(Cfg_Hoje)*12+MONTH(Cfg_Hoje)+IF(DAY(Cfg_Hoje)&gt;=INDEX(Cartoes_Fech,MATCH($F529,Cartoes_Nome,0)),1,0))+1))</f>
        <v>0</v>
      </c>
      <c r="Z529" s="40">
        <f>IF($A529="",0,DAY($A529))</f>
        <v>5</v>
      </c>
      <c r="AA529" s="40">
        <f>IF($A529="",0,WEEKDAY($A529))</f>
        <v>7</v>
      </c>
      <c r="AB529" s="36">
        <f>IF(AND($C529="Despesa",U529&gt;0,U529&lt;=Sel_Idx,V529&gt;=Sel_Idx),N(R529)+ROW()/1000000000,0)</f>
        <v>780.000000529</v>
      </c>
      <c r="AC529" s="40">
        <f>IF(AND($C529="Despesa",U529&gt;0,U529&lt;=Sel_Idx,V529&gt;=Sel_Idx),Z529*10000+ROW(),0)</f>
        <v>50529</v>
      </c>
      <c r="AD529" s="40">
        <f>IF(AC529=0,0,COUNTIFS(L_CalChave,"&gt;0",L_CalChave,"&lt;"&amp;AC529)+1)</f>
        <v>3</v>
      </c>
    </row>
    <row r="530">
      <c r="A530" s="38" t="n">
        <v>46270</v>
      </c>
      <c r="B530" s="39" t="inlineStr">
        <is>
          <t>Salário</t>
        </is>
      </c>
      <c r="C530" s="34" t="inlineStr">
        <is>
          <t>Receita</t>
        </is>
      </c>
      <c r="D530" s="34" t="inlineStr">
        <is>
          <t>Salário</t>
        </is>
      </c>
      <c r="E530" s="34" t="n"/>
      <c r="F530" s="34" t="inlineStr">
        <is>
          <t>Conta Corrente Banco Azul</t>
        </is>
      </c>
      <c r="G530" s="34" t="inlineStr">
        <is>
          <t>Transferência</t>
        </is>
      </c>
      <c r="H530" s="37" t="n"/>
      <c r="I530" s="37" t="n"/>
      <c r="J530" s="34" t="inlineStr">
        <is>
          <t>Pago</t>
        </is>
      </c>
      <c r="K530" s="34" t="n"/>
      <c r="L530" s="34" t="n"/>
      <c r="M530" s="39" t="inlineStr">
        <is>
          <t>EXEMPLO</t>
        </is>
      </c>
      <c r="N530" s="35" t="n">
        <v>10800</v>
      </c>
      <c r="O530" s="40">
        <f>IF($A530="","",MONTH($A530))</f>
        <v>9</v>
      </c>
      <c r="P530" s="40">
        <f>IF($A530="","",YEAR($A530))</f>
        <v>2026</v>
      </c>
      <c r="Q530" s="41">
        <f>IF($A530="","",DATE(P530,O530,1))</f>
        <v>46266.0</v>
      </c>
      <c r="R530" s="36">
        <f>IF(OR($A530="",$N530=""),"",IF(AND($C530&lt;&gt;"Transferência",N($I530)&gt;1),$N530/$I530,$N530))</f>
        <v>10800</v>
      </c>
      <c r="S530" s="41" t="str">
        <f>IF(OR($A530="",$F530="",$C530&lt;&gt;"Despesa"),"",IF(COUNTIF(Cartoes_Nome,$F530)=0,"",DATE(P530,O530+IF(DAY($A530)&gt;=INDEX(Cartoes_Fech,MATCH($F530,Cartoes_Nome,0)),1,0),1)))</f>
        <v/>
      </c>
      <c r="T530" s="42" t="str">
        <f>IF($A530="","",IF(COUNTIFS(L_Data,$A530,L_Desc,$B530,L_Valor,$N530,L_Tipo,$C530)&gt;1,"⚠ Possível duplicidade",IF(OR(AND($C530="Despesa",COUNTIF(CatD_Nome,$D530)=0),AND($C530="Receita",COUNTIF(CatR_Nome,$D530)=0)),"⚠ Categoria não combina com o tipo",IF(OR($N530="",$C530=""),"⚠ Falta valor ou tipo",""))))</f>
        <v/>
      </c>
      <c r="U530" s="40">
        <f>IF($A530="",0,P530*12+O530)</f>
        <v>24321</v>
      </c>
      <c r="V530" s="40">
        <f>IF($A530="",0,U530+MAX(0,N($I530)-MAX(N($H530),1)))</f>
        <v>24321</v>
      </c>
      <c r="W530" s="40">
        <f>IF(S530="",0,YEAR(S530)*12+MONTH(S530))</f>
        <v>0</v>
      </c>
      <c r="X530" s="40">
        <f>IF(W530=0,0,W530+V530-U530)</f>
        <v>0</v>
      </c>
      <c r="Y530" s="36">
        <f>IF(W530=0,0,N(R530)*MAX(0,X530-MAX(W530,YEAR(Cfg_Hoje)*12+MONTH(Cfg_Hoje)+IF(DAY(Cfg_Hoje)&gt;=INDEX(Cartoes_Fech,MATCH($F530,Cartoes_Nome,0)),1,0))+1))</f>
        <v>0</v>
      </c>
      <c r="Z530" s="40">
        <f>IF($A530="",0,DAY($A530))</f>
        <v>5</v>
      </c>
      <c r="AA530" s="40">
        <f>IF($A530="",0,WEEKDAY($A530))</f>
        <v>7</v>
      </c>
      <c r="AB530" s="36">
        <f>IF(AND($C530="Despesa",U530&gt;0,U530&lt;=Sel_Idx,V530&gt;=Sel_Idx),N(R530)+ROW()/1000000000,0)</f>
        <v>0</v>
      </c>
      <c r="AC530" s="40">
        <f>IF(AND($C530="Despesa",U530&gt;0,U530&lt;=Sel_Idx,V530&gt;=Sel_Idx),Z530*10000+ROW(),0)</f>
        <v>0</v>
      </c>
      <c r="AD530" s="40">
        <f>IF(AC530=0,0,COUNTIFS(L_CalChave,"&gt;0",L_CalChave,"&lt;"&amp;AC530)+1)</f>
        <v>0</v>
      </c>
    </row>
    <row r="531">
      <c r="A531" s="38" t="n">
        <v>46271</v>
      </c>
      <c r="B531" s="39" t="inlineStr">
        <is>
          <t>Aporte - MBA</t>
        </is>
      </c>
      <c r="C531" s="34" t="inlineStr">
        <is>
          <t>Investimento</t>
        </is>
      </c>
      <c r="D531" s="34" t="inlineStr">
        <is>
          <t>Investimento</t>
        </is>
      </c>
      <c r="E531" s="34" t="n"/>
      <c r="F531" s="34" t="inlineStr">
        <is>
          <t>Conta Corrente Banco Azul</t>
        </is>
      </c>
      <c r="G531" s="34" t="inlineStr">
        <is>
          <t>Transferência</t>
        </is>
      </c>
      <c r="H531" s="37" t="n"/>
      <c r="I531" s="37" t="n"/>
      <c r="J531" s="34" t="inlineStr">
        <is>
          <t>Pago</t>
        </is>
      </c>
      <c r="K531" s="34" t="n"/>
      <c r="L531" s="34" t="inlineStr">
        <is>
          <t>MBA</t>
        </is>
      </c>
      <c r="M531" s="39" t="inlineStr">
        <is>
          <t>EXEMPLO</t>
        </is>
      </c>
      <c r="N531" s="35" t="n">
        <v>150</v>
      </c>
      <c r="O531" s="40">
        <f>IF($A531="","",MONTH($A531))</f>
        <v>9</v>
      </c>
      <c r="P531" s="40">
        <f>IF($A531="","",YEAR($A531))</f>
        <v>2026</v>
      </c>
      <c r="Q531" s="41">
        <f>IF($A531="","",DATE(P531,O531,1))</f>
        <v>46266.0</v>
      </c>
      <c r="R531" s="36">
        <f>IF(OR($A531="",$N531=""),"",IF(AND($C531&lt;&gt;"Transferência",N($I531)&gt;1),$N531/$I531,$N531))</f>
        <v>150</v>
      </c>
      <c r="S531" s="41" t="str">
        <f>IF(OR($A531="",$F531="",$C531&lt;&gt;"Despesa"),"",IF(COUNTIF(Cartoes_Nome,$F531)=0,"",DATE(P531,O531+IF(DAY($A531)&gt;=INDEX(Cartoes_Fech,MATCH($F531,Cartoes_Nome,0)),1,0),1)))</f>
        <v/>
      </c>
      <c r="T531" s="42" t="str">
        <f>IF($A531="","",IF(COUNTIFS(L_Data,$A531,L_Desc,$B531,L_Valor,$N531,L_Tipo,$C531)&gt;1,"⚠ Possível duplicidade",IF(OR(AND($C531="Despesa",COUNTIF(CatD_Nome,$D531)=0),AND($C531="Receita",COUNTIF(CatR_Nome,$D531)=0)),"⚠ Categoria não combina com o tipo",IF(OR($N531="",$C531=""),"⚠ Falta valor ou tipo",""))))</f>
        <v/>
      </c>
      <c r="U531" s="40">
        <f>IF($A531="",0,P531*12+O531)</f>
        <v>24321</v>
      </c>
      <c r="V531" s="40">
        <f>IF($A531="",0,U531+MAX(0,N($I531)-MAX(N($H531),1)))</f>
        <v>24321</v>
      </c>
      <c r="W531" s="40">
        <f>IF(S531="",0,YEAR(S531)*12+MONTH(S531))</f>
        <v>0</v>
      </c>
      <c r="X531" s="40">
        <f>IF(W531=0,0,W531+V531-U531)</f>
        <v>0</v>
      </c>
      <c r="Y531" s="36">
        <f>IF(W531=0,0,N(R531)*MAX(0,X531-MAX(W531,YEAR(Cfg_Hoje)*12+MONTH(Cfg_Hoje)+IF(DAY(Cfg_Hoje)&gt;=INDEX(Cartoes_Fech,MATCH($F531,Cartoes_Nome,0)),1,0))+1))</f>
        <v>0</v>
      </c>
      <c r="Z531" s="40">
        <f>IF($A531="",0,DAY($A531))</f>
        <v>6</v>
      </c>
      <c r="AA531" s="40">
        <f>IF($A531="",0,WEEKDAY($A531))</f>
        <v>1</v>
      </c>
      <c r="AB531" s="36">
        <f>IF(AND($C531="Despesa",U531&gt;0,U531&lt;=Sel_Idx,V531&gt;=Sel_Idx),N(R531)+ROW()/1000000000,0)</f>
        <v>0</v>
      </c>
      <c r="AC531" s="40">
        <f>IF(AND($C531="Despesa",U531&gt;0,U531&lt;=Sel_Idx,V531&gt;=Sel_Idx),Z531*10000+ROW(),0)</f>
        <v>0</v>
      </c>
      <c r="AD531" s="40">
        <f>IF(AC531=0,0,COUNTIFS(L_CalChave,"&gt;0",L_CalChave,"&lt;"&amp;AC531)+1)</f>
        <v>0</v>
      </c>
    </row>
    <row r="532">
      <c r="A532" s="38" t="n">
        <v>46271</v>
      </c>
      <c r="B532" s="39" t="inlineStr">
        <is>
          <t>Aporte - aposentadoria (PGBL)</t>
        </is>
      </c>
      <c r="C532" s="34" t="inlineStr">
        <is>
          <t>Investimento</t>
        </is>
      </c>
      <c r="D532" s="34" t="inlineStr">
        <is>
          <t>Investimento</t>
        </is>
      </c>
      <c r="E532" s="34" t="n"/>
      <c r="F532" s="34" t="inlineStr">
        <is>
          <t>Conta Corrente Banco Azul</t>
        </is>
      </c>
      <c r="G532" s="34" t="inlineStr">
        <is>
          <t>Transferência</t>
        </is>
      </c>
      <c r="H532" s="37" t="n"/>
      <c r="I532" s="37" t="n"/>
      <c r="J532" s="34" t="inlineStr">
        <is>
          <t>Pago</t>
        </is>
      </c>
      <c r="K532" s="34" t="n"/>
      <c r="L532" s="34" t="inlineStr">
        <is>
          <t>Aposentadoria</t>
        </is>
      </c>
      <c r="M532" s="39" t="inlineStr">
        <is>
          <t>EXEMPLO</t>
        </is>
      </c>
      <c r="N532" s="35" t="n">
        <v>300</v>
      </c>
      <c r="O532" s="40">
        <f>IF($A532="","",MONTH($A532))</f>
        <v>9</v>
      </c>
      <c r="P532" s="40">
        <f>IF($A532="","",YEAR($A532))</f>
        <v>2026</v>
      </c>
      <c r="Q532" s="41">
        <f>IF($A532="","",DATE(P532,O532,1))</f>
        <v>46266.0</v>
      </c>
      <c r="R532" s="36">
        <f>IF(OR($A532="",$N532=""),"",IF(AND($C532&lt;&gt;"Transferência",N($I532)&gt;1),$N532/$I532,$N532))</f>
        <v>300</v>
      </c>
      <c r="S532" s="41" t="str">
        <f>IF(OR($A532="",$F532="",$C532&lt;&gt;"Despesa"),"",IF(COUNTIF(Cartoes_Nome,$F532)=0,"",DATE(P532,O532+IF(DAY($A532)&gt;=INDEX(Cartoes_Fech,MATCH($F532,Cartoes_Nome,0)),1,0),1)))</f>
        <v/>
      </c>
      <c r="T532" s="42" t="str">
        <f>IF($A532="","",IF(COUNTIFS(L_Data,$A532,L_Desc,$B532,L_Valor,$N532,L_Tipo,$C532)&gt;1,"⚠ Possível duplicidade",IF(OR(AND($C532="Despesa",COUNTIF(CatD_Nome,$D532)=0),AND($C532="Receita",COUNTIF(CatR_Nome,$D532)=0)),"⚠ Categoria não combina com o tipo",IF(OR($N532="",$C532=""),"⚠ Falta valor ou tipo",""))))</f>
        <v/>
      </c>
      <c r="U532" s="40">
        <f>IF($A532="",0,P532*12+O532)</f>
        <v>24321</v>
      </c>
      <c r="V532" s="40">
        <f>IF($A532="",0,U532+MAX(0,N($I532)-MAX(N($H532),1)))</f>
        <v>24321</v>
      </c>
      <c r="W532" s="40">
        <f>IF(S532="",0,YEAR(S532)*12+MONTH(S532))</f>
        <v>0</v>
      </c>
      <c r="X532" s="40">
        <f>IF(W532=0,0,W532+V532-U532)</f>
        <v>0</v>
      </c>
      <c r="Y532" s="36">
        <f>IF(W532=0,0,N(R532)*MAX(0,X532-MAX(W532,YEAR(Cfg_Hoje)*12+MONTH(Cfg_Hoje)+IF(DAY(Cfg_Hoje)&gt;=INDEX(Cartoes_Fech,MATCH($F532,Cartoes_Nome,0)),1,0))+1))</f>
        <v>0</v>
      </c>
      <c r="Z532" s="40">
        <f>IF($A532="",0,DAY($A532))</f>
        <v>6</v>
      </c>
      <c r="AA532" s="40">
        <f>IF($A532="",0,WEEKDAY($A532))</f>
        <v>1</v>
      </c>
      <c r="AB532" s="36">
        <f>IF(AND($C532="Despesa",U532&gt;0,U532&lt;=Sel_Idx,V532&gt;=Sel_Idx),N(R532)+ROW()/1000000000,0)</f>
        <v>0</v>
      </c>
      <c r="AC532" s="40">
        <f>IF(AND($C532="Despesa",U532&gt;0,U532&lt;=Sel_Idx,V532&gt;=Sel_Idx),Z532*10000+ROW(),0)</f>
        <v>0</v>
      </c>
      <c r="AD532" s="40">
        <f>IF(AC532=0,0,COUNTIFS(L_CalChave,"&gt;0",L_CalChave,"&lt;"&amp;AC532)+1)</f>
        <v>0</v>
      </c>
    </row>
    <row r="533">
      <c r="A533" s="38" t="n">
        <v>46271</v>
      </c>
      <c r="B533" s="39" t="inlineStr">
        <is>
          <t>Aporte - entrada do apartamento</t>
        </is>
      </c>
      <c r="C533" s="34" t="inlineStr">
        <is>
          <t>Investimento</t>
        </is>
      </c>
      <c r="D533" s="34" t="inlineStr">
        <is>
          <t>Investimento</t>
        </is>
      </c>
      <c r="E533" s="34" t="n"/>
      <c r="F533" s="34" t="inlineStr">
        <is>
          <t>Conta Corrente Banco Azul</t>
        </is>
      </c>
      <c r="G533" s="34" t="inlineStr">
        <is>
          <t>Transferência</t>
        </is>
      </c>
      <c r="H533" s="37" t="n"/>
      <c r="I533" s="37" t="n"/>
      <c r="J533" s="34" t="inlineStr">
        <is>
          <t>Pago</t>
        </is>
      </c>
      <c r="K533" s="34" t="n"/>
      <c r="L533" s="34" t="inlineStr">
        <is>
          <t>Entrada do apartamento</t>
        </is>
      </c>
      <c r="M533" s="39" t="inlineStr">
        <is>
          <t>EXEMPLO</t>
        </is>
      </c>
      <c r="N533" s="35" t="n">
        <v>250</v>
      </c>
      <c r="O533" s="40">
        <f>IF($A533="","",MONTH($A533))</f>
        <v>9</v>
      </c>
      <c r="P533" s="40">
        <f>IF($A533="","",YEAR($A533))</f>
        <v>2026</v>
      </c>
      <c r="Q533" s="41">
        <f>IF($A533="","",DATE(P533,O533,1))</f>
        <v>46266.0</v>
      </c>
      <c r="R533" s="36">
        <f>IF(OR($A533="",$N533=""),"",IF(AND($C533&lt;&gt;"Transferência",N($I533)&gt;1),$N533/$I533,$N533))</f>
        <v>250</v>
      </c>
      <c r="S533" s="41" t="str">
        <f>IF(OR($A533="",$F533="",$C533&lt;&gt;"Despesa"),"",IF(COUNTIF(Cartoes_Nome,$F533)=0,"",DATE(P533,O533+IF(DAY($A533)&gt;=INDEX(Cartoes_Fech,MATCH($F533,Cartoes_Nome,0)),1,0),1)))</f>
        <v/>
      </c>
      <c r="T533" s="42" t="str">
        <f>IF($A533="","",IF(COUNTIFS(L_Data,$A533,L_Desc,$B533,L_Valor,$N533,L_Tipo,$C533)&gt;1,"⚠ Possível duplicidade",IF(OR(AND($C533="Despesa",COUNTIF(CatD_Nome,$D533)=0),AND($C533="Receita",COUNTIF(CatR_Nome,$D533)=0)),"⚠ Categoria não combina com o tipo",IF(OR($N533="",$C533=""),"⚠ Falta valor ou tipo",""))))</f>
        <v/>
      </c>
      <c r="U533" s="40">
        <f>IF($A533="",0,P533*12+O533)</f>
        <v>24321</v>
      </c>
      <c r="V533" s="40">
        <f>IF($A533="",0,U533+MAX(0,N($I533)-MAX(N($H533),1)))</f>
        <v>24321</v>
      </c>
      <c r="W533" s="40">
        <f>IF(S533="",0,YEAR(S533)*12+MONTH(S533))</f>
        <v>0</v>
      </c>
      <c r="X533" s="40">
        <f>IF(W533=0,0,W533+V533-U533)</f>
        <v>0</v>
      </c>
      <c r="Y533" s="36">
        <f>IF(W533=0,0,N(R533)*MAX(0,X533-MAX(W533,YEAR(Cfg_Hoje)*12+MONTH(Cfg_Hoje)+IF(DAY(Cfg_Hoje)&gt;=INDEX(Cartoes_Fech,MATCH($F533,Cartoes_Nome,0)),1,0))+1))</f>
        <v>0</v>
      </c>
      <c r="Z533" s="40">
        <f>IF($A533="",0,DAY($A533))</f>
        <v>6</v>
      </c>
      <c r="AA533" s="40">
        <f>IF($A533="",0,WEEKDAY($A533))</f>
        <v>1</v>
      </c>
      <c r="AB533" s="36">
        <f>IF(AND($C533="Despesa",U533&gt;0,U533&lt;=Sel_Idx,V533&gt;=Sel_Idx),N(R533)+ROW()/1000000000,0)</f>
        <v>0</v>
      </c>
      <c r="AC533" s="40">
        <f>IF(AND($C533="Despesa",U533&gt;0,U533&lt;=Sel_Idx,V533&gt;=Sel_Idx),Z533*10000+ROW(),0)</f>
        <v>0</v>
      </c>
      <c r="AD533" s="40">
        <f>IF(AC533=0,0,COUNTIFS(L_CalChave,"&gt;0",L_CalChave,"&lt;"&amp;AC533)+1)</f>
        <v>0</v>
      </c>
    </row>
    <row r="534">
      <c r="A534" s="38" t="n">
        <v>46271</v>
      </c>
      <c r="B534" s="39" t="inlineStr">
        <is>
          <t>Aporte - quitar empréstimo</t>
        </is>
      </c>
      <c r="C534" s="34" t="inlineStr">
        <is>
          <t>Investimento</t>
        </is>
      </c>
      <c r="D534" s="34" t="inlineStr">
        <is>
          <t>Investimento</t>
        </is>
      </c>
      <c r="E534" s="34" t="n"/>
      <c r="F534" s="34" t="inlineStr">
        <is>
          <t>Conta Corrente Banco Azul</t>
        </is>
      </c>
      <c r="G534" s="34" t="inlineStr">
        <is>
          <t>Transferência</t>
        </is>
      </c>
      <c r="H534" s="37" t="n"/>
      <c r="I534" s="37" t="n"/>
      <c r="J534" s="34" t="inlineStr">
        <is>
          <t>Pago</t>
        </is>
      </c>
      <c r="K534" s="34" t="n"/>
      <c r="L534" s="34" t="inlineStr">
        <is>
          <t>Quitar empréstimo pessoal</t>
        </is>
      </c>
      <c r="M534" s="39" t="inlineStr">
        <is>
          <t>EXEMPLO</t>
        </is>
      </c>
      <c r="N534" s="35" t="n">
        <v>150</v>
      </c>
      <c r="O534" s="40">
        <f>IF($A534="","",MONTH($A534))</f>
        <v>9</v>
      </c>
      <c r="P534" s="40">
        <f>IF($A534="","",YEAR($A534))</f>
        <v>2026</v>
      </c>
      <c r="Q534" s="41">
        <f>IF($A534="","",DATE(P534,O534,1))</f>
        <v>46266.0</v>
      </c>
      <c r="R534" s="36">
        <f>IF(OR($A534="",$N534=""),"",IF(AND($C534&lt;&gt;"Transferência",N($I534)&gt;1),$N534/$I534,$N534))</f>
        <v>150</v>
      </c>
      <c r="S534" s="41" t="str">
        <f>IF(OR($A534="",$F534="",$C534&lt;&gt;"Despesa"),"",IF(COUNTIF(Cartoes_Nome,$F534)=0,"",DATE(P534,O534+IF(DAY($A534)&gt;=INDEX(Cartoes_Fech,MATCH($F534,Cartoes_Nome,0)),1,0),1)))</f>
        <v/>
      </c>
      <c r="T534" s="42" t="str">
        <f>IF($A534="","",IF(COUNTIFS(L_Data,$A534,L_Desc,$B534,L_Valor,$N534,L_Tipo,$C534)&gt;1,"⚠ Possível duplicidade",IF(OR(AND($C534="Despesa",COUNTIF(CatD_Nome,$D534)=0),AND($C534="Receita",COUNTIF(CatR_Nome,$D534)=0)),"⚠ Categoria não combina com o tipo",IF(OR($N534="",$C534=""),"⚠ Falta valor ou tipo",""))))</f>
        <v/>
      </c>
      <c r="U534" s="40">
        <f>IF($A534="",0,P534*12+O534)</f>
        <v>24321</v>
      </c>
      <c r="V534" s="40">
        <f>IF($A534="",0,U534+MAX(0,N($I534)-MAX(N($H534),1)))</f>
        <v>24321</v>
      </c>
      <c r="W534" s="40">
        <f>IF(S534="",0,YEAR(S534)*12+MONTH(S534))</f>
        <v>0</v>
      </c>
      <c r="X534" s="40">
        <f>IF(W534=0,0,W534+V534-U534)</f>
        <v>0</v>
      </c>
      <c r="Y534" s="36">
        <f>IF(W534=0,0,N(R534)*MAX(0,X534-MAX(W534,YEAR(Cfg_Hoje)*12+MONTH(Cfg_Hoje)+IF(DAY(Cfg_Hoje)&gt;=INDEX(Cartoes_Fech,MATCH($F534,Cartoes_Nome,0)),1,0))+1))</f>
        <v>0</v>
      </c>
      <c r="Z534" s="40">
        <f>IF($A534="",0,DAY($A534))</f>
        <v>6</v>
      </c>
      <c r="AA534" s="40">
        <f>IF($A534="",0,WEEKDAY($A534))</f>
        <v>1</v>
      </c>
      <c r="AB534" s="36">
        <f>IF(AND($C534="Despesa",U534&gt;0,U534&lt;=Sel_Idx,V534&gt;=Sel_Idx),N(R534)+ROW()/1000000000,0)</f>
        <v>0</v>
      </c>
      <c r="AC534" s="40">
        <f>IF(AND($C534="Despesa",U534&gt;0,U534&lt;=Sel_Idx,V534&gt;=Sel_Idx),Z534*10000+ROW(),0)</f>
        <v>0</v>
      </c>
      <c r="AD534" s="40">
        <f>IF(AC534=0,0,COUNTIFS(L_CalChave,"&gt;0",L_CalChave,"&lt;"&amp;AC534)+1)</f>
        <v>0</v>
      </c>
    </row>
    <row r="535">
      <c r="A535" s="38" t="n">
        <v>46271</v>
      </c>
      <c r="B535" s="39" t="inlineStr">
        <is>
          <t>Aporte - reserva de emergência</t>
        </is>
      </c>
      <c r="C535" s="34" t="inlineStr">
        <is>
          <t>Investimento</t>
        </is>
      </c>
      <c r="D535" s="34" t="inlineStr">
        <is>
          <t>Investimento</t>
        </is>
      </c>
      <c r="E535" s="34" t="n"/>
      <c r="F535" s="34" t="inlineStr">
        <is>
          <t>Conta Corrente Banco Azul</t>
        </is>
      </c>
      <c r="G535" s="34" t="inlineStr">
        <is>
          <t>Transferência</t>
        </is>
      </c>
      <c r="H535" s="37" t="n"/>
      <c r="I535" s="37" t="n"/>
      <c r="J535" s="34" t="inlineStr">
        <is>
          <t>Pago</t>
        </is>
      </c>
      <c r="K535" s="34" t="n"/>
      <c r="L535" s="34" t="inlineStr">
        <is>
          <t>Reserva de emergência</t>
        </is>
      </c>
      <c r="M535" s="39" t="inlineStr">
        <is>
          <t>EXEMPLO</t>
        </is>
      </c>
      <c r="N535" s="35" t="n">
        <v>700</v>
      </c>
      <c r="O535" s="40">
        <f>IF($A535="","",MONTH($A535))</f>
        <v>9</v>
      </c>
      <c r="P535" s="40">
        <f>IF($A535="","",YEAR($A535))</f>
        <v>2026</v>
      </c>
      <c r="Q535" s="41">
        <f>IF($A535="","",DATE(P535,O535,1))</f>
        <v>46266.0</v>
      </c>
      <c r="R535" s="36">
        <f>IF(OR($A535="",$N535=""),"",IF(AND($C535&lt;&gt;"Transferência",N($I535)&gt;1),$N535/$I535,$N535))</f>
        <v>700</v>
      </c>
      <c r="S535" s="41" t="str">
        <f>IF(OR($A535="",$F535="",$C535&lt;&gt;"Despesa"),"",IF(COUNTIF(Cartoes_Nome,$F535)=0,"",DATE(P535,O535+IF(DAY($A535)&gt;=INDEX(Cartoes_Fech,MATCH($F535,Cartoes_Nome,0)),1,0),1)))</f>
        <v/>
      </c>
      <c r="T535" s="42" t="str">
        <f>IF($A535="","",IF(COUNTIFS(L_Data,$A535,L_Desc,$B535,L_Valor,$N535,L_Tipo,$C535)&gt;1,"⚠ Possível duplicidade",IF(OR(AND($C535="Despesa",COUNTIF(CatD_Nome,$D535)=0),AND($C535="Receita",COUNTIF(CatR_Nome,$D535)=0)),"⚠ Categoria não combina com o tipo",IF(OR($N535="",$C535=""),"⚠ Falta valor ou tipo",""))))</f>
        <v/>
      </c>
      <c r="U535" s="40">
        <f>IF($A535="",0,P535*12+O535)</f>
        <v>24321</v>
      </c>
      <c r="V535" s="40">
        <f>IF($A535="",0,U535+MAX(0,N($I535)-MAX(N($H535),1)))</f>
        <v>24321</v>
      </c>
      <c r="W535" s="40">
        <f>IF(S535="",0,YEAR(S535)*12+MONTH(S535))</f>
        <v>0</v>
      </c>
      <c r="X535" s="40">
        <f>IF(W535=0,0,W535+V535-U535)</f>
        <v>0</v>
      </c>
      <c r="Y535" s="36">
        <f>IF(W535=0,0,N(R535)*MAX(0,X535-MAX(W535,YEAR(Cfg_Hoje)*12+MONTH(Cfg_Hoje)+IF(DAY(Cfg_Hoje)&gt;=INDEX(Cartoes_Fech,MATCH($F535,Cartoes_Nome,0)),1,0))+1))</f>
        <v>0</v>
      </c>
      <c r="Z535" s="40">
        <f>IF($A535="",0,DAY($A535))</f>
        <v>6</v>
      </c>
      <c r="AA535" s="40">
        <f>IF($A535="",0,WEEKDAY($A535))</f>
        <v>1</v>
      </c>
      <c r="AB535" s="36">
        <f>IF(AND($C535="Despesa",U535&gt;0,U535&lt;=Sel_Idx,V535&gt;=Sel_Idx),N(R535)+ROW()/1000000000,0)</f>
        <v>0</v>
      </c>
      <c r="AC535" s="40">
        <f>IF(AND($C535="Despesa",U535&gt;0,U535&lt;=Sel_Idx,V535&gt;=Sel_Idx),Z535*10000+ROW(),0)</f>
        <v>0</v>
      </c>
      <c r="AD535" s="40">
        <f>IF(AC535=0,0,COUNTIFS(L_CalChave,"&gt;0",L_CalChave,"&lt;"&amp;AC535)+1)</f>
        <v>0</v>
      </c>
    </row>
    <row r="536">
      <c r="A536" s="38" t="n">
        <v>46271</v>
      </c>
      <c r="B536" s="39" t="inlineStr">
        <is>
          <t>Aporte - troca de carro</t>
        </is>
      </c>
      <c r="C536" s="34" t="inlineStr">
        <is>
          <t>Investimento</t>
        </is>
      </c>
      <c r="D536" s="34" t="inlineStr">
        <is>
          <t>Investimento</t>
        </is>
      </c>
      <c r="E536" s="34" t="n"/>
      <c r="F536" s="34" t="inlineStr">
        <is>
          <t>Conta Corrente Banco Azul</t>
        </is>
      </c>
      <c r="G536" s="34" t="inlineStr">
        <is>
          <t>Transferência</t>
        </is>
      </c>
      <c r="H536" s="37" t="n"/>
      <c r="I536" s="37" t="n"/>
      <c r="J536" s="34" t="inlineStr">
        <is>
          <t>Pago</t>
        </is>
      </c>
      <c r="K536" s="34" t="n"/>
      <c r="L536" s="34" t="inlineStr">
        <is>
          <t>Troca de carro</t>
        </is>
      </c>
      <c r="M536" s="39" t="inlineStr">
        <is>
          <t>EXEMPLO</t>
        </is>
      </c>
      <c r="N536" s="35" t="n">
        <v>200</v>
      </c>
      <c r="O536" s="40">
        <f>IF($A536="","",MONTH($A536))</f>
        <v>9</v>
      </c>
      <c r="P536" s="40">
        <f>IF($A536="","",YEAR($A536))</f>
        <v>2026</v>
      </c>
      <c r="Q536" s="41">
        <f>IF($A536="","",DATE(P536,O536,1))</f>
        <v>46266.0</v>
      </c>
      <c r="R536" s="36">
        <f>IF(OR($A536="",$N536=""),"",IF(AND($C536&lt;&gt;"Transferência",N($I536)&gt;1),$N536/$I536,$N536))</f>
        <v>200</v>
      </c>
      <c r="S536" s="41" t="str">
        <f>IF(OR($A536="",$F536="",$C536&lt;&gt;"Despesa"),"",IF(COUNTIF(Cartoes_Nome,$F536)=0,"",DATE(P536,O536+IF(DAY($A536)&gt;=INDEX(Cartoes_Fech,MATCH($F536,Cartoes_Nome,0)),1,0),1)))</f>
        <v/>
      </c>
      <c r="T536" s="42" t="str">
        <f>IF($A536="","",IF(COUNTIFS(L_Data,$A536,L_Desc,$B536,L_Valor,$N536,L_Tipo,$C536)&gt;1,"⚠ Possível duplicidade",IF(OR(AND($C536="Despesa",COUNTIF(CatD_Nome,$D536)=0),AND($C536="Receita",COUNTIF(CatR_Nome,$D536)=0)),"⚠ Categoria não combina com o tipo",IF(OR($N536="",$C536=""),"⚠ Falta valor ou tipo",""))))</f>
        <v/>
      </c>
      <c r="U536" s="40">
        <f>IF($A536="",0,P536*12+O536)</f>
        <v>24321</v>
      </c>
      <c r="V536" s="40">
        <f>IF($A536="",0,U536+MAX(0,N($I536)-MAX(N($H536),1)))</f>
        <v>24321</v>
      </c>
      <c r="W536" s="40">
        <f>IF(S536="",0,YEAR(S536)*12+MONTH(S536))</f>
        <v>0</v>
      </c>
      <c r="X536" s="40">
        <f>IF(W536=0,0,W536+V536-U536)</f>
        <v>0</v>
      </c>
      <c r="Y536" s="36">
        <f>IF(W536=0,0,N(R536)*MAX(0,X536-MAX(W536,YEAR(Cfg_Hoje)*12+MONTH(Cfg_Hoje)+IF(DAY(Cfg_Hoje)&gt;=INDEX(Cartoes_Fech,MATCH($F536,Cartoes_Nome,0)),1,0))+1))</f>
        <v>0</v>
      </c>
      <c r="Z536" s="40">
        <f>IF($A536="",0,DAY($A536))</f>
        <v>6</v>
      </c>
      <c r="AA536" s="40">
        <f>IF($A536="",0,WEEKDAY($A536))</f>
        <v>1</v>
      </c>
      <c r="AB536" s="36">
        <f>IF(AND($C536="Despesa",U536&gt;0,U536&lt;=Sel_Idx,V536&gt;=Sel_Idx),N(R536)+ROW()/1000000000,0)</f>
        <v>0</v>
      </c>
      <c r="AC536" s="40">
        <f>IF(AND($C536="Despesa",U536&gt;0,U536&lt;=Sel_Idx,V536&gt;=Sel_Idx),Z536*10000+ROW(),0)</f>
        <v>0</v>
      </c>
      <c r="AD536" s="40">
        <f>IF(AC536=0,0,COUNTIFS(L_CalChave,"&gt;0",L_CalChave,"&lt;"&amp;AC536)+1)</f>
        <v>0</v>
      </c>
    </row>
    <row r="537">
      <c r="A537" s="38" t="n">
        <v>46271</v>
      </c>
      <c r="B537" s="39" t="inlineStr">
        <is>
          <t>Aporte - viagem</t>
        </is>
      </c>
      <c r="C537" s="34" t="inlineStr">
        <is>
          <t>Investimento</t>
        </is>
      </c>
      <c r="D537" s="34" t="inlineStr">
        <is>
          <t>Investimento</t>
        </is>
      </c>
      <c r="E537" s="34" t="n"/>
      <c r="F537" s="34" t="inlineStr">
        <is>
          <t>Conta Corrente Banco Azul</t>
        </is>
      </c>
      <c r="G537" s="34" t="inlineStr">
        <is>
          <t>Transferência</t>
        </is>
      </c>
      <c r="H537" s="37" t="n"/>
      <c r="I537" s="37" t="n"/>
      <c r="J537" s="34" t="inlineStr">
        <is>
          <t>Pago</t>
        </is>
      </c>
      <c r="K537" s="34" t="n"/>
      <c r="L537" s="34" t="inlineStr">
        <is>
          <t>Viagem Europa</t>
        </is>
      </c>
      <c r="M537" s="39" t="inlineStr">
        <is>
          <t>EXEMPLO</t>
        </is>
      </c>
      <c r="N537" s="35" t="n">
        <v>300</v>
      </c>
      <c r="O537" s="40">
        <f>IF($A537="","",MONTH($A537))</f>
        <v>9</v>
      </c>
      <c r="P537" s="40">
        <f>IF($A537="","",YEAR($A537))</f>
        <v>2026</v>
      </c>
      <c r="Q537" s="41">
        <f>IF($A537="","",DATE(P537,O537,1))</f>
        <v>46266.0</v>
      </c>
      <c r="R537" s="36">
        <f>IF(OR($A537="",$N537=""),"",IF(AND($C537&lt;&gt;"Transferência",N($I537)&gt;1),$N537/$I537,$N537))</f>
        <v>300</v>
      </c>
      <c r="S537" s="41" t="str">
        <f>IF(OR($A537="",$F537="",$C537&lt;&gt;"Despesa"),"",IF(COUNTIF(Cartoes_Nome,$F537)=0,"",DATE(P537,O537+IF(DAY($A537)&gt;=INDEX(Cartoes_Fech,MATCH($F537,Cartoes_Nome,0)),1,0),1)))</f>
        <v/>
      </c>
      <c r="T537" s="42" t="str">
        <f>IF($A537="","",IF(COUNTIFS(L_Data,$A537,L_Desc,$B537,L_Valor,$N537,L_Tipo,$C537)&gt;1,"⚠ Possível duplicidade",IF(OR(AND($C537="Despesa",COUNTIF(CatD_Nome,$D537)=0),AND($C537="Receita",COUNTIF(CatR_Nome,$D537)=0)),"⚠ Categoria não combina com o tipo",IF(OR($N537="",$C537=""),"⚠ Falta valor ou tipo",""))))</f>
        <v/>
      </c>
      <c r="U537" s="40">
        <f>IF($A537="",0,P537*12+O537)</f>
        <v>24321</v>
      </c>
      <c r="V537" s="40">
        <f>IF($A537="",0,U537+MAX(0,N($I537)-MAX(N($H537),1)))</f>
        <v>24321</v>
      </c>
      <c r="W537" s="40">
        <f>IF(S537="",0,YEAR(S537)*12+MONTH(S537))</f>
        <v>0</v>
      </c>
      <c r="X537" s="40">
        <f>IF(W537=0,0,W537+V537-U537)</f>
        <v>0</v>
      </c>
      <c r="Y537" s="36">
        <f>IF(W537=0,0,N(R537)*MAX(0,X537-MAX(W537,YEAR(Cfg_Hoje)*12+MONTH(Cfg_Hoje)+IF(DAY(Cfg_Hoje)&gt;=INDEX(Cartoes_Fech,MATCH($F537,Cartoes_Nome,0)),1,0))+1))</f>
        <v>0</v>
      </c>
      <c r="Z537" s="40">
        <f>IF($A537="",0,DAY($A537))</f>
        <v>6</v>
      </c>
      <c r="AA537" s="40">
        <f>IF($A537="",0,WEEKDAY($A537))</f>
        <v>1</v>
      </c>
      <c r="AB537" s="36">
        <f>IF(AND($C537="Despesa",U537&gt;0,U537&lt;=Sel_Idx,V537&gt;=Sel_Idx),N(R537)+ROW()/1000000000,0)</f>
        <v>0</v>
      </c>
      <c r="AC537" s="40">
        <f>IF(AND($C537="Despesa",U537&gt;0,U537&lt;=Sel_Idx,V537&gt;=Sel_Idx),Z537*10000+ROW(),0)</f>
        <v>0</v>
      </c>
      <c r="AD537" s="40">
        <f>IF(AC537=0,0,COUNTIFS(L_CalChave,"&gt;0",L_CalChave,"&lt;"&amp;AC537)+1)</f>
        <v>0</v>
      </c>
    </row>
    <row r="538">
      <c r="A538" s="38" t="n">
        <v>46271</v>
      </c>
      <c r="B538" s="39" t="inlineStr">
        <is>
          <t>Supermercado</t>
        </is>
      </c>
      <c r="C538" s="34" t="inlineStr">
        <is>
          <t>Despesa</t>
        </is>
      </c>
      <c r="D538" s="34" t="inlineStr">
        <is>
          <t>Alimentação</t>
        </is>
      </c>
      <c r="E538" s="34" t="inlineStr">
        <is>
          <t>Mercado</t>
        </is>
      </c>
      <c r="F538" s="34" t="inlineStr">
        <is>
          <t>Cartão Azul Gold</t>
        </is>
      </c>
      <c r="G538" s="34" t="inlineStr">
        <is>
          <t>Crédito</t>
        </is>
      </c>
      <c r="H538" s="37" t="n"/>
      <c r="I538" s="37" t="n"/>
      <c r="J538" s="34" t="inlineStr">
        <is>
          <t>Pago</t>
        </is>
      </c>
      <c r="K538" s="34" t="n"/>
      <c r="L538" s="34" t="n"/>
      <c r="M538" s="39" t="inlineStr">
        <is>
          <t>EXEMPLO</t>
        </is>
      </c>
      <c r="N538" s="35" t="n">
        <v>333.77</v>
      </c>
      <c r="O538" s="40">
        <f>IF($A538="","",MONTH($A538))</f>
        <v>9</v>
      </c>
      <c r="P538" s="40">
        <f>IF($A538="","",YEAR($A538))</f>
        <v>2026</v>
      </c>
      <c r="Q538" s="41">
        <f>IF($A538="","",DATE(P538,O538,1))</f>
        <v>46266.0</v>
      </c>
      <c r="R538" s="36">
        <f>IF(OR($A538="",$N538=""),"",IF(AND($C538&lt;&gt;"Transferência",N($I538)&gt;1),$N538/$I538,$N538))</f>
        <v>333.77</v>
      </c>
      <c r="S538" s="41">
        <f>IF(OR($A538="",$F538="",$C538&lt;&gt;"Despesa"),"",IF(COUNTIF(Cartoes_Nome,$F538)=0,"",DATE(P538,O538+IF(DAY($A538)&gt;=INDEX(Cartoes_Fech,MATCH($F538,Cartoes_Nome,0)),1,0),1)))</f>
        <v>46266.0</v>
      </c>
      <c r="T538" s="42" t="str">
        <f>IF($A538="","",IF(COUNTIFS(L_Data,$A538,L_Desc,$B538,L_Valor,$N538,L_Tipo,$C538)&gt;1,"⚠ Possível duplicidade",IF(OR(AND($C538="Despesa",COUNTIF(CatD_Nome,$D538)=0),AND($C538="Receita",COUNTIF(CatR_Nome,$D538)=0)),"⚠ Categoria não combina com o tipo",IF(OR($N538="",$C538=""),"⚠ Falta valor ou tipo",""))))</f>
        <v/>
      </c>
      <c r="U538" s="40">
        <f>IF($A538="",0,P538*12+O538)</f>
        <v>24321</v>
      </c>
      <c r="V538" s="40">
        <f>IF($A538="",0,U538+MAX(0,N($I538)-MAX(N($H538),1)))</f>
        <v>24321</v>
      </c>
      <c r="W538" s="40">
        <f>IF(S538="",0,YEAR(S538)*12+MONTH(S538))</f>
        <v>24321</v>
      </c>
      <c r="X538" s="40">
        <f>IF(W538=0,0,W538+V538-U538)</f>
        <v>24321</v>
      </c>
      <c r="Y538" s="36">
        <f>IF(W538=0,0,N(R538)*MAX(0,X538-MAX(W538,YEAR(Cfg_Hoje)*12+MONTH(Cfg_Hoje)+IF(DAY(Cfg_Hoje)&gt;=INDEX(Cartoes_Fech,MATCH($F538,Cartoes_Nome,0)),1,0))+1))</f>
        <v>0</v>
      </c>
      <c r="Z538" s="40">
        <f>IF($A538="",0,DAY($A538))</f>
        <v>6</v>
      </c>
      <c r="AA538" s="40">
        <f>IF($A538="",0,WEEKDAY($A538))</f>
        <v>1</v>
      </c>
      <c r="AB538" s="36">
        <f>IF(AND($C538="Despesa",U538&gt;0,U538&lt;=Sel_Idx,V538&gt;=Sel_Idx),N(R538)+ROW()/1000000000,0)</f>
        <v>333.770000538</v>
      </c>
      <c r="AC538" s="40">
        <f>IF(AND($C538="Despesa",U538&gt;0,U538&lt;=Sel_Idx,V538&gt;=Sel_Idx),Z538*10000+ROW(),0)</f>
        <v>60538</v>
      </c>
      <c r="AD538" s="40">
        <f>IF(AC538=0,0,COUNTIFS(L_CalChave,"&gt;0",L_CalChave,"&lt;"&amp;AC538)+1)</f>
        <v>4</v>
      </c>
    </row>
    <row r="539">
      <c r="A539" s="38" t="n">
        <v>46272</v>
      </c>
      <c r="B539" s="39" t="inlineStr">
        <is>
          <t>Despesa diversa</t>
        </is>
      </c>
      <c r="C539" s="34" t="inlineStr">
        <is>
          <t>Despesa</t>
        </is>
      </c>
      <c r="D539" s="34" t="inlineStr">
        <is>
          <t>Outros</t>
        </is>
      </c>
      <c r="E539" s="34" t="n"/>
      <c r="F539" s="34" t="inlineStr">
        <is>
          <t>Conta Corrente Banco Azul</t>
        </is>
      </c>
      <c r="G539" s="34" t="inlineStr">
        <is>
          <t>Pix</t>
        </is>
      </c>
      <c r="H539" s="37" t="n"/>
      <c r="I539" s="37" t="n"/>
      <c r="J539" s="34" t="inlineStr">
        <is>
          <t>Pago</t>
        </is>
      </c>
      <c r="K539" s="34" t="n"/>
      <c r="L539" s="34" t="n"/>
      <c r="M539" s="39" t="inlineStr">
        <is>
          <t>EXEMPLO</t>
        </is>
      </c>
      <c r="N539" s="35" t="n">
        <v>72.27</v>
      </c>
      <c r="O539" s="40">
        <f>IF($A539="","",MONTH($A539))</f>
        <v>9</v>
      </c>
      <c r="P539" s="40">
        <f>IF($A539="","",YEAR($A539))</f>
        <v>2026</v>
      </c>
      <c r="Q539" s="41">
        <f>IF($A539="","",DATE(P539,O539,1))</f>
        <v>46266.0</v>
      </c>
      <c r="R539" s="36">
        <f>IF(OR($A539="",$N539=""),"",IF(AND($C539&lt;&gt;"Transferência",N($I539)&gt;1),$N539/$I539,$N539))</f>
        <v>72.27</v>
      </c>
      <c r="S539" s="41" t="str">
        <f>IF(OR($A539="",$F539="",$C539&lt;&gt;"Despesa"),"",IF(COUNTIF(Cartoes_Nome,$F539)=0,"",DATE(P539,O539+IF(DAY($A539)&gt;=INDEX(Cartoes_Fech,MATCH($F539,Cartoes_Nome,0)),1,0),1)))</f>
        <v/>
      </c>
      <c r="T539" s="42" t="str">
        <f>IF($A539="","",IF(COUNTIFS(L_Data,$A539,L_Desc,$B539,L_Valor,$N539,L_Tipo,$C539)&gt;1,"⚠ Possível duplicidade",IF(OR(AND($C539="Despesa",COUNTIF(CatD_Nome,$D539)=0),AND($C539="Receita",COUNTIF(CatR_Nome,$D539)=0)),"⚠ Categoria não combina com o tipo",IF(OR($N539="",$C539=""),"⚠ Falta valor ou tipo",""))))</f>
        <v/>
      </c>
      <c r="U539" s="40">
        <f>IF($A539="",0,P539*12+O539)</f>
        <v>24321</v>
      </c>
      <c r="V539" s="40">
        <f>IF($A539="",0,U539+MAX(0,N($I539)-MAX(N($H539),1)))</f>
        <v>24321</v>
      </c>
      <c r="W539" s="40">
        <f>IF(S539="",0,YEAR(S539)*12+MONTH(S539))</f>
        <v>0</v>
      </c>
      <c r="X539" s="40">
        <f>IF(W539=0,0,W539+V539-U539)</f>
        <v>0</v>
      </c>
      <c r="Y539" s="36">
        <f>IF(W539=0,0,N(R539)*MAX(0,X539-MAX(W539,YEAR(Cfg_Hoje)*12+MONTH(Cfg_Hoje)+IF(DAY(Cfg_Hoje)&gt;=INDEX(Cartoes_Fech,MATCH($F539,Cartoes_Nome,0)),1,0))+1))</f>
        <v>0</v>
      </c>
      <c r="Z539" s="40">
        <f>IF($A539="",0,DAY($A539))</f>
        <v>7</v>
      </c>
      <c r="AA539" s="40">
        <f>IF($A539="",0,WEEKDAY($A539))</f>
        <v>2</v>
      </c>
      <c r="AB539" s="36">
        <f>IF(AND($C539="Despesa",U539&gt;0,U539&lt;=Sel_Idx,V539&gt;=Sel_Idx),N(R539)+ROW()/1000000000,0)</f>
        <v>72.270000539</v>
      </c>
      <c r="AC539" s="40">
        <f>IF(AND($C539="Despesa",U539&gt;0,U539&lt;=Sel_Idx,V539&gt;=Sel_Idx),Z539*10000+ROW(),0)</f>
        <v>70539</v>
      </c>
      <c r="AD539" s="40">
        <f>IF(AC539=0,0,COUNTIFS(L_CalChave,"&gt;0",L_CalChave,"&lt;"&amp;AC539)+1)</f>
        <v>5</v>
      </c>
    </row>
    <row r="540">
      <c r="A540" s="38" t="n">
        <v>46272</v>
      </c>
      <c r="B540" s="39" t="inlineStr">
        <is>
          <t>Doação mensal</t>
        </is>
      </c>
      <c r="C540" s="34" t="inlineStr">
        <is>
          <t>Despesa</t>
        </is>
      </c>
      <c r="D540" s="34" t="inlineStr">
        <is>
          <t>Doações</t>
        </is>
      </c>
      <c r="E540" s="34" t="inlineStr">
        <is>
          <t>ONG</t>
        </is>
      </c>
      <c r="F540" s="34" t="inlineStr">
        <is>
          <t>Conta Corrente Banco Azul</t>
        </is>
      </c>
      <c r="G540" s="34" t="inlineStr">
        <is>
          <t>Pix</t>
        </is>
      </c>
      <c r="H540" s="37" t="n"/>
      <c r="I540" s="37" t="n"/>
      <c r="J540" s="34" t="inlineStr">
        <is>
          <t>Pago</t>
        </is>
      </c>
      <c r="K540" s="34" t="n"/>
      <c r="L540" s="34" t="n"/>
      <c r="M540" s="39" t="inlineStr">
        <is>
          <t>EXEMPLO</t>
        </is>
      </c>
      <c r="N540" s="35" t="n">
        <v>100</v>
      </c>
      <c r="O540" s="40">
        <f>IF($A540="","",MONTH($A540))</f>
        <v>9</v>
      </c>
      <c r="P540" s="40">
        <f>IF($A540="","",YEAR($A540))</f>
        <v>2026</v>
      </c>
      <c r="Q540" s="41">
        <f>IF($A540="","",DATE(P540,O540,1))</f>
        <v>46266.0</v>
      </c>
      <c r="R540" s="36">
        <f>IF(OR($A540="",$N540=""),"",IF(AND($C540&lt;&gt;"Transferência",N($I540)&gt;1),$N540/$I540,$N540))</f>
        <v>100</v>
      </c>
      <c r="S540" s="41" t="str">
        <f>IF(OR($A540="",$F540="",$C540&lt;&gt;"Despesa"),"",IF(COUNTIF(Cartoes_Nome,$F540)=0,"",DATE(P540,O540+IF(DAY($A540)&gt;=INDEX(Cartoes_Fech,MATCH($F540,Cartoes_Nome,0)),1,0),1)))</f>
        <v/>
      </c>
      <c r="T540" s="42" t="str">
        <f>IF($A540="","",IF(COUNTIFS(L_Data,$A540,L_Desc,$B540,L_Valor,$N540,L_Tipo,$C540)&gt;1,"⚠ Possível duplicidade",IF(OR(AND($C540="Despesa",COUNTIF(CatD_Nome,$D540)=0),AND($C540="Receita",COUNTIF(CatR_Nome,$D540)=0)),"⚠ Categoria não combina com o tipo",IF(OR($N540="",$C540=""),"⚠ Falta valor ou tipo",""))))</f>
        <v/>
      </c>
      <c r="U540" s="40">
        <f>IF($A540="",0,P540*12+O540)</f>
        <v>24321</v>
      </c>
      <c r="V540" s="40">
        <f>IF($A540="",0,U540+MAX(0,N($I540)-MAX(N($H540),1)))</f>
        <v>24321</v>
      </c>
      <c r="W540" s="40">
        <f>IF(S540="",0,YEAR(S540)*12+MONTH(S540))</f>
        <v>0</v>
      </c>
      <c r="X540" s="40">
        <f>IF(W540=0,0,W540+V540-U540)</f>
        <v>0</v>
      </c>
      <c r="Y540" s="36">
        <f>IF(W540=0,0,N(R540)*MAX(0,X540-MAX(W540,YEAR(Cfg_Hoje)*12+MONTH(Cfg_Hoje)+IF(DAY(Cfg_Hoje)&gt;=INDEX(Cartoes_Fech,MATCH($F540,Cartoes_Nome,0)),1,0))+1))</f>
        <v>0</v>
      </c>
      <c r="Z540" s="40">
        <f>IF($A540="",0,DAY($A540))</f>
        <v>7</v>
      </c>
      <c r="AA540" s="40">
        <f>IF($A540="",0,WEEKDAY($A540))</f>
        <v>2</v>
      </c>
      <c r="AB540" s="36">
        <f>IF(AND($C540="Despesa",U540&gt;0,U540&lt;=Sel_Idx,V540&gt;=Sel_Idx),N(R540)+ROW()/1000000000,0)</f>
        <v>100.00000054</v>
      </c>
      <c r="AC540" s="40">
        <f>IF(AND($C540="Despesa",U540&gt;0,U540&lt;=Sel_Idx,V540&gt;=Sel_Idx),Z540*10000+ROW(),0)</f>
        <v>70540</v>
      </c>
      <c r="AD540" s="40">
        <f>IF(AC540=0,0,COUNTIFS(L_CalChave,"&gt;0",L_CalChave,"&lt;"&amp;AC540)+1)</f>
        <v>6</v>
      </c>
    </row>
    <row r="541">
      <c r="A541" s="38" t="n">
        <v>46273</v>
      </c>
      <c r="B541" s="39" t="inlineStr">
        <is>
          <t>Curso de inglês</t>
        </is>
      </c>
      <c r="C541" s="34" t="inlineStr">
        <is>
          <t>Despesa</t>
        </is>
      </c>
      <c r="D541" s="34" t="inlineStr">
        <is>
          <t>Educação</t>
        </is>
      </c>
      <c r="E541" s="34" t="inlineStr">
        <is>
          <t>Cursos</t>
        </is>
      </c>
      <c r="F541" s="34" t="inlineStr">
        <is>
          <t>Conta Corrente Banco Azul</t>
        </is>
      </c>
      <c r="G541" s="34" t="inlineStr">
        <is>
          <t>Boleto</t>
        </is>
      </c>
      <c r="H541" s="37" t="n"/>
      <c r="I541" s="37" t="n"/>
      <c r="J541" s="34" t="inlineStr">
        <is>
          <t>Pago</t>
        </is>
      </c>
      <c r="K541" s="34" t="n"/>
      <c r="L541" s="34" t="n"/>
      <c r="M541" s="39" t="inlineStr">
        <is>
          <t>EXEMPLO</t>
        </is>
      </c>
      <c r="N541" s="35" t="n">
        <v>390</v>
      </c>
      <c r="O541" s="40">
        <f>IF($A541="","",MONTH($A541))</f>
        <v>9</v>
      </c>
      <c r="P541" s="40">
        <f>IF($A541="","",YEAR($A541))</f>
        <v>2026</v>
      </c>
      <c r="Q541" s="41">
        <f>IF($A541="","",DATE(P541,O541,1))</f>
        <v>46266.0</v>
      </c>
      <c r="R541" s="36">
        <f>IF(OR($A541="",$N541=""),"",IF(AND($C541&lt;&gt;"Transferência",N($I541)&gt;1),$N541/$I541,$N541))</f>
        <v>390</v>
      </c>
      <c r="S541" s="41" t="str">
        <f>IF(OR($A541="",$F541="",$C541&lt;&gt;"Despesa"),"",IF(COUNTIF(Cartoes_Nome,$F541)=0,"",DATE(P541,O541+IF(DAY($A541)&gt;=INDEX(Cartoes_Fech,MATCH($F541,Cartoes_Nome,0)),1,0),1)))</f>
        <v/>
      </c>
      <c r="T541" s="42" t="str">
        <f>IF($A541="","",IF(COUNTIFS(L_Data,$A541,L_Desc,$B541,L_Valor,$N541,L_Tipo,$C541)&gt;1,"⚠ Possível duplicidade",IF(OR(AND($C541="Despesa",COUNTIF(CatD_Nome,$D541)=0),AND($C541="Receita",COUNTIF(CatR_Nome,$D541)=0)),"⚠ Categoria não combina com o tipo",IF(OR($N541="",$C541=""),"⚠ Falta valor ou tipo",""))))</f>
        <v/>
      </c>
      <c r="U541" s="40">
        <f>IF($A541="",0,P541*12+O541)</f>
        <v>24321</v>
      </c>
      <c r="V541" s="40">
        <f>IF($A541="",0,U541+MAX(0,N($I541)-MAX(N($H541),1)))</f>
        <v>24321</v>
      </c>
      <c r="W541" s="40">
        <f>IF(S541="",0,YEAR(S541)*12+MONTH(S541))</f>
        <v>0</v>
      </c>
      <c r="X541" s="40">
        <f>IF(W541=0,0,W541+V541-U541)</f>
        <v>0</v>
      </c>
      <c r="Y541" s="36">
        <f>IF(W541=0,0,N(R541)*MAX(0,X541-MAX(W541,YEAR(Cfg_Hoje)*12+MONTH(Cfg_Hoje)+IF(DAY(Cfg_Hoje)&gt;=INDEX(Cartoes_Fech,MATCH($F541,Cartoes_Nome,0)),1,0))+1))</f>
        <v>0</v>
      </c>
      <c r="Z541" s="40">
        <f>IF($A541="",0,DAY($A541))</f>
        <v>8</v>
      </c>
      <c r="AA541" s="40">
        <f>IF($A541="",0,WEEKDAY($A541))</f>
        <v>3</v>
      </c>
      <c r="AB541" s="36">
        <f>IF(AND($C541="Despesa",U541&gt;0,U541&lt;=Sel_Idx,V541&gt;=Sel_Idx),N(R541)+ROW()/1000000000,0)</f>
        <v>390.000000541</v>
      </c>
      <c r="AC541" s="40">
        <f>IF(AND($C541="Despesa",U541&gt;0,U541&lt;=Sel_Idx,V541&gt;=Sel_Idx),Z541*10000+ROW(),0)</f>
        <v>80541</v>
      </c>
      <c r="AD541" s="40">
        <f>IF(AC541=0,0,COUNTIFS(L_CalChave,"&gt;0",L_CalChave,"&lt;"&amp;AC541)+1)</f>
        <v>8</v>
      </c>
    </row>
    <row r="542">
      <c r="A542" s="38" t="n">
        <v>46274</v>
      </c>
      <c r="B542" s="39" t="inlineStr">
        <is>
          <t>Ração e petiscos</t>
        </is>
      </c>
      <c r="C542" s="34" t="inlineStr">
        <is>
          <t>Despesa</t>
        </is>
      </c>
      <c r="D542" s="34" t="inlineStr">
        <is>
          <t>Família/Pets</t>
        </is>
      </c>
      <c r="E542" s="34" t="inlineStr">
        <is>
          <t>Ração</t>
        </is>
      </c>
      <c r="F542" s="34" t="inlineStr">
        <is>
          <t>Cartão Azul Gold</t>
        </is>
      </c>
      <c r="G542" s="34" t="inlineStr">
        <is>
          <t>Crédito</t>
        </is>
      </c>
      <c r="H542" s="37" t="n"/>
      <c r="I542" s="37" t="n"/>
      <c r="J542" s="34" t="inlineStr">
        <is>
          <t>Pago</t>
        </is>
      </c>
      <c r="K542" s="34" t="n"/>
      <c r="L542" s="34" t="n"/>
      <c r="M542" s="39" t="inlineStr">
        <is>
          <t>EXEMPLO</t>
        </is>
      </c>
      <c r="N542" s="35" t="n">
        <v>207.96</v>
      </c>
      <c r="O542" s="40">
        <f>IF($A542="","",MONTH($A542))</f>
        <v>9</v>
      </c>
      <c r="P542" s="40">
        <f>IF($A542="","",YEAR($A542))</f>
        <v>2026</v>
      </c>
      <c r="Q542" s="41">
        <f>IF($A542="","",DATE(P542,O542,1))</f>
        <v>46266.0</v>
      </c>
      <c r="R542" s="36">
        <f>IF(OR($A542="",$N542=""),"",IF(AND($C542&lt;&gt;"Transferência",N($I542)&gt;1),$N542/$I542,$N542))</f>
        <v>207.96</v>
      </c>
      <c r="S542" s="41">
        <f>IF(OR($A542="",$F542="",$C542&lt;&gt;"Despesa"),"",IF(COUNTIF(Cartoes_Nome,$F542)=0,"",DATE(P542,O542+IF(DAY($A542)&gt;=INDEX(Cartoes_Fech,MATCH($F542,Cartoes_Nome,0)),1,0),1)))</f>
        <v>46266.0</v>
      </c>
      <c r="T542" s="42" t="str">
        <f>IF($A542="","",IF(COUNTIFS(L_Data,$A542,L_Desc,$B542,L_Valor,$N542,L_Tipo,$C542)&gt;1,"⚠ Possível duplicidade",IF(OR(AND($C542="Despesa",COUNTIF(CatD_Nome,$D542)=0),AND($C542="Receita",COUNTIF(CatR_Nome,$D542)=0)),"⚠ Categoria não combina com o tipo",IF(OR($N542="",$C542=""),"⚠ Falta valor ou tipo",""))))</f>
        <v/>
      </c>
      <c r="U542" s="40">
        <f>IF($A542="",0,P542*12+O542)</f>
        <v>24321</v>
      </c>
      <c r="V542" s="40">
        <f>IF($A542="",0,U542+MAX(0,N($I542)-MAX(N($H542),1)))</f>
        <v>24321</v>
      </c>
      <c r="W542" s="40">
        <f>IF(S542="",0,YEAR(S542)*12+MONTH(S542))</f>
        <v>24321</v>
      </c>
      <c r="X542" s="40">
        <f>IF(W542=0,0,W542+V542-U542)</f>
        <v>24321</v>
      </c>
      <c r="Y542" s="36">
        <f>IF(W542=0,0,N(R542)*MAX(0,X542-MAX(W542,YEAR(Cfg_Hoje)*12+MONTH(Cfg_Hoje)+IF(DAY(Cfg_Hoje)&gt;=INDEX(Cartoes_Fech,MATCH($F542,Cartoes_Nome,0)),1,0))+1))</f>
        <v>0</v>
      </c>
      <c r="Z542" s="40">
        <f>IF($A542="",0,DAY($A542))</f>
        <v>9</v>
      </c>
      <c r="AA542" s="40">
        <f>IF($A542="",0,WEEKDAY($A542))</f>
        <v>4</v>
      </c>
      <c r="AB542" s="36">
        <f>IF(AND($C542="Despesa",U542&gt;0,U542&lt;=Sel_Idx,V542&gt;=Sel_Idx),N(R542)+ROW()/1000000000,0)</f>
        <v>207.960000542</v>
      </c>
      <c r="AC542" s="40">
        <f>IF(AND($C542="Despesa",U542&gt;0,U542&lt;=Sel_Idx,V542&gt;=Sel_Idx),Z542*10000+ROW(),0)</f>
        <v>90542</v>
      </c>
      <c r="AD542" s="40">
        <f>IF(AC542=0,0,COUNTIFS(L_CalChave,"&gt;0",L_CalChave,"&lt;"&amp;AC542)+1)</f>
        <v>9</v>
      </c>
    </row>
    <row r="543">
      <c r="A543" s="38" t="n">
        <v>46275</v>
      </c>
      <c r="B543" s="39" t="inlineStr">
        <is>
          <t>Aluguel recebido - apto 12</t>
        </is>
      </c>
      <c r="C543" s="34" t="inlineStr">
        <is>
          <t>Receita</t>
        </is>
      </c>
      <c r="D543" s="34" t="inlineStr">
        <is>
          <t>Aluguel recebido</t>
        </is>
      </c>
      <c r="E543" s="34" t="n"/>
      <c r="F543" s="34" t="inlineStr">
        <is>
          <t>Conta Corrente Banco Azul</t>
        </is>
      </c>
      <c r="G543" s="34" t="inlineStr">
        <is>
          <t>Pix</t>
        </is>
      </c>
      <c r="H543" s="37" t="n"/>
      <c r="I543" s="37" t="n"/>
      <c r="J543" s="34" t="inlineStr">
        <is>
          <t>Pago</t>
        </is>
      </c>
      <c r="K543" s="34" t="n"/>
      <c r="L543" s="34" t="n"/>
      <c r="M543" s="39" t="inlineStr">
        <is>
          <t>EXEMPLO</t>
        </is>
      </c>
      <c r="N543" s="35" t="n">
        <v>1900</v>
      </c>
      <c r="O543" s="40">
        <f>IF($A543="","",MONTH($A543))</f>
        <v>9</v>
      </c>
      <c r="P543" s="40">
        <f>IF($A543="","",YEAR($A543))</f>
        <v>2026</v>
      </c>
      <c r="Q543" s="41">
        <f>IF($A543="","",DATE(P543,O543,1))</f>
        <v>46266.0</v>
      </c>
      <c r="R543" s="36">
        <f>IF(OR($A543="",$N543=""),"",IF(AND($C543&lt;&gt;"Transferência",N($I543)&gt;1),$N543/$I543,$N543))</f>
        <v>1900</v>
      </c>
      <c r="S543" s="41" t="str">
        <f>IF(OR($A543="",$F543="",$C543&lt;&gt;"Despesa"),"",IF(COUNTIF(Cartoes_Nome,$F543)=0,"",DATE(P543,O543+IF(DAY($A543)&gt;=INDEX(Cartoes_Fech,MATCH($F543,Cartoes_Nome,0)),1,0),1)))</f>
        <v/>
      </c>
      <c r="T543" s="42" t="str">
        <f>IF($A543="","",IF(COUNTIFS(L_Data,$A543,L_Desc,$B543,L_Valor,$N543,L_Tipo,$C543)&gt;1,"⚠ Possível duplicidade",IF(OR(AND($C543="Despesa",COUNTIF(CatD_Nome,$D543)=0),AND($C543="Receita",COUNTIF(CatR_Nome,$D543)=0)),"⚠ Categoria não combina com o tipo",IF(OR($N543="",$C543=""),"⚠ Falta valor ou tipo",""))))</f>
        <v/>
      </c>
      <c r="U543" s="40">
        <f>IF($A543="",0,P543*12+O543)</f>
        <v>24321</v>
      </c>
      <c r="V543" s="40">
        <f>IF($A543="",0,U543+MAX(0,N($I543)-MAX(N($H543),1)))</f>
        <v>24321</v>
      </c>
      <c r="W543" s="40">
        <f>IF(S543="",0,YEAR(S543)*12+MONTH(S543))</f>
        <v>0</v>
      </c>
      <c r="X543" s="40">
        <f>IF(W543=0,0,W543+V543-U543)</f>
        <v>0</v>
      </c>
      <c r="Y543" s="36">
        <f>IF(W543=0,0,N(R543)*MAX(0,X543-MAX(W543,YEAR(Cfg_Hoje)*12+MONTH(Cfg_Hoje)+IF(DAY(Cfg_Hoje)&gt;=INDEX(Cartoes_Fech,MATCH($F543,Cartoes_Nome,0)),1,0))+1))</f>
        <v>0</v>
      </c>
      <c r="Z543" s="40">
        <f>IF($A543="",0,DAY($A543))</f>
        <v>10</v>
      </c>
      <c r="AA543" s="40">
        <f>IF($A543="",0,WEEKDAY($A543))</f>
        <v>5</v>
      </c>
      <c r="AB543" s="36">
        <f>IF(AND($C543="Despesa",U543&gt;0,U543&lt;=Sel_Idx,V543&gt;=Sel_Idx),N(R543)+ROW()/1000000000,0)</f>
        <v>0</v>
      </c>
      <c r="AC543" s="40">
        <f>IF(AND($C543="Despesa",U543&gt;0,U543&lt;=Sel_Idx,V543&gt;=Sel_Idx),Z543*10000+ROW(),0)</f>
        <v>0</v>
      </c>
      <c r="AD543" s="40">
        <f>IF(AC543=0,0,COUNTIFS(L_CalChave,"&gt;0",L_CalChave,"&lt;"&amp;AC543)+1)</f>
        <v>0</v>
      </c>
    </row>
    <row r="544">
      <c r="A544" s="38" t="n">
        <v>46275</v>
      </c>
      <c r="B544" s="39" t="inlineStr">
        <is>
          <t>Aluguel residencial</t>
        </is>
      </c>
      <c r="C544" s="34" t="inlineStr">
        <is>
          <t>Despesa</t>
        </is>
      </c>
      <c r="D544" s="34" t="inlineStr">
        <is>
          <t>Moradia</t>
        </is>
      </c>
      <c r="E544" s="34" t="inlineStr">
        <is>
          <t>Aluguel</t>
        </is>
      </c>
      <c r="F544" s="34" t="inlineStr">
        <is>
          <t>Conta Corrente Banco Azul</t>
        </is>
      </c>
      <c r="G544" s="34" t="inlineStr">
        <is>
          <t>Boleto</t>
        </is>
      </c>
      <c r="H544" s="37" t="n"/>
      <c r="I544" s="37" t="n"/>
      <c r="J544" s="34" t="inlineStr">
        <is>
          <t>Pago</t>
        </is>
      </c>
      <c r="K544" s="34" t="n"/>
      <c r="L544" s="34" t="n"/>
      <c r="M544" s="39" t="inlineStr">
        <is>
          <t>EXEMPLO</t>
        </is>
      </c>
      <c r="N544" s="35" t="n">
        <v>2400</v>
      </c>
      <c r="O544" s="40">
        <f>IF($A544="","",MONTH($A544))</f>
        <v>9</v>
      </c>
      <c r="P544" s="40">
        <f>IF($A544="","",YEAR($A544))</f>
        <v>2026</v>
      </c>
      <c r="Q544" s="41">
        <f>IF($A544="","",DATE(P544,O544,1))</f>
        <v>46266.0</v>
      </c>
      <c r="R544" s="36">
        <f>IF(OR($A544="",$N544=""),"",IF(AND($C544&lt;&gt;"Transferência",N($I544)&gt;1),$N544/$I544,$N544))</f>
        <v>2400</v>
      </c>
      <c r="S544" s="41" t="str">
        <f>IF(OR($A544="",$F544="",$C544&lt;&gt;"Despesa"),"",IF(COUNTIF(Cartoes_Nome,$F544)=0,"",DATE(P544,O544+IF(DAY($A544)&gt;=INDEX(Cartoes_Fech,MATCH($F544,Cartoes_Nome,0)),1,0),1)))</f>
        <v/>
      </c>
      <c r="T544" s="42" t="str">
        <f>IF($A544="","",IF(COUNTIFS(L_Data,$A544,L_Desc,$B544,L_Valor,$N544,L_Tipo,$C544)&gt;1,"⚠ Possível duplicidade",IF(OR(AND($C544="Despesa",COUNTIF(CatD_Nome,$D544)=0),AND($C544="Receita",COUNTIF(CatR_Nome,$D544)=0)),"⚠ Categoria não combina com o tipo",IF(OR($N544="",$C544=""),"⚠ Falta valor ou tipo",""))))</f>
        <v/>
      </c>
      <c r="U544" s="40">
        <f>IF($A544="",0,P544*12+O544)</f>
        <v>24321</v>
      </c>
      <c r="V544" s="40">
        <f>IF($A544="",0,U544+MAX(0,N($I544)-MAX(N($H544),1)))</f>
        <v>24321</v>
      </c>
      <c r="W544" s="40">
        <f>IF(S544="",0,YEAR(S544)*12+MONTH(S544))</f>
        <v>0</v>
      </c>
      <c r="X544" s="40">
        <f>IF(W544=0,0,W544+V544-U544)</f>
        <v>0</v>
      </c>
      <c r="Y544" s="36">
        <f>IF(W544=0,0,N(R544)*MAX(0,X544-MAX(W544,YEAR(Cfg_Hoje)*12+MONTH(Cfg_Hoje)+IF(DAY(Cfg_Hoje)&gt;=INDEX(Cartoes_Fech,MATCH($F544,Cartoes_Nome,0)),1,0))+1))</f>
        <v>0</v>
      </c>
      <c r="Z544" s="40">
        <f>IF($A544="",0,DAY($A544))</f>
        <v>10</v>
      </c>
      <c r="AA544" s="40">
        <f>IF($A544="",0,WEEKDAY($A544))</f>
        <v>5</v>
      </c>
      <c r="AB544" s="36">
        <f>IF(AND($C544="Despesa",U544&gt;0,U544&lt;=Sel_Idx,V544&gt;=Sel_Idx),N(R544)+ROW()/1000000000,0)</f>
        <v>2400.000000544</v>
      </c>
      <c r="AC544" s="40">
        <f>IF(AND($C544="Despesa",U544&gt;0,U544&lt;=Sel_Idx,V544&gt;=Sel_Idx),Z544*10000+ROW(),0)</f>
        <v>100544</v>
      </c>
      <c r="AD544" s="40">
        <f>IF(AC544=0,0,COUNTIFS(L_CalChave,"&gt;0",L_CalChave,"&lt;"&amp;AC544)+1)</f>
        <v>10</v>
      </c>
    </row>
    <row r="545">
      <c r="A545" s="38" t="n">
        <v>46275</v>
      </c>
      <c r="B545" s="39" t="inlineStr">
        <is>
          <t>Condomínio</t>
        </is>
      </c>
      <c r="C545" s="34" t="inlineStr">
        <is>
          <t>Despesa</t>
        </is>
      </c>
      <c r="D545" s="34" t="inlineStr">
        <is>
          <t>Moradia</t>
        </is>
      </c>
      <c r="E545" s="34" t="inlineStr">
        <is>
          <t>Condomínio</t>
        </is>
      </c>
      <c r="F545" s="34" t="inlineStr">
        <is>
          <t>Conta Corrente Banco Azul</t>
        </is>
      </c>
      <c r="G545" s="34" t="inlineStr">
        <is>
          <t>Boleto</t>
        </is>
      </c>
      <c r="H545" s="37" t="n"/>
      <c r="I545" s="37" t="n"/>
      <c r="J545" s="34" t="inlineStr">
        <is>
          <t>Pago</t>
        </is>
      </c>
      <c r="K545" s="34" t="n"/>
      <c r="L545" s="34" t="n"/>
      <c r="M545" s="39" t="inlineStr">
        <is>
          <t>EXEMPLO</t>
        </is>
      </c>
      <c r="N545" s="35" t="n">
        <v>650</v>
      </c>
      <c r="O545" s="40">
        <f>IF($A545="","",MONTH($A545))</f>
        <v>9</v>
      </c>
      <c r="P545" s="40">
        <f>IF($A545="","",YEAR($A545))</f>
        <v>2026</v>
      </c>
      <c r="Q545" s="41">
        <f>IF($A545="","",DATE(P545,O545,1))</f>
        <v>46266.0</v>
      </c>
      <c r="R545" s="36">
        <f>IF(OR($A545="",$N545=""),"",IF(AND($C545&lt;&gt;"Transferência",N($I545)&gt;1),$N545/$I545,$N545))</f>
        <v>650</v>
      </c>
      <c r="S545" s="41" t="str">
        <f>IF(OR($A545="",$F545="",$C545&lt;&gt;"Despesa"),"",IF(COUNTIF(Cartoes_Nome,$F545)=0,"",DATE(P545,O545+IF(DAY($A545)&gt;=INDEX(Cartoes_Fech,MATCH($F545,Cartoes_Nome,0)),1,0),1)))</f>
        <v/>
      </c>
      <c r="T545" s="42" t="str">
        <f>IF($A545="","",IF(COUNTIFS(L_Data,$A545,L_Desc,$B545,L_Valor,$N545,L_Tipo,$C545)&gt;1,"⚠ Possível duplicidade",IF(OR(AND($C545="Despesa",COUNTIF(CatD_Nome,$D545)=0),AND($C545="Receita",COUNTIF(CatR_Nome,$D545)=0)),"⚠ Categoria não combina com o tipo",IF(OR($N545="",$C545=""),"⚠ Falta valor ou tipo",""))))</f>
        <v/>
      </c>
      <c r="U545" s="40">
        <f>IF($A545="",0,P545*12+O545)</f>
        <v>24321</v>
      </c>
      <c r="V545" s="40">
        <f>IF($A545="",0,U545+MAX(0,N($I545)-MAX(N($H545),1)))</f>
        <v>24321</v>
      </c>
      <c r="W545" s="40">
        <f>IF(S545="",0,YEAR(S545)*12+MONTH(S545))</f>
        <v>0</v>
      </c>
      <c r="X545" s="40">
        <f>IF(W545=0,0,W545+V545-U545)</f>
        <v>0</v>
      </c>
      <c r="Y545" s="36">
        <f>IF(W545=0,0,N(R545)*MAX(0,X545-MAX(W545,YEAR(Cfg_Hoje)*12+MONTH(Cfg_Hoje)+IF(DAY(Cfg_Hoje)&gt;=INDEX(Cartoes_Fech,MATCH($F545,Cartoes_Nome,0)),1,0))+1))</f>
        <v>0</v>
      </c>
      <c r="Z545" s="40">
        <f>IF($A545="",0,DAY($A545))</f>
        <v>10</v>
      </c>
      <c r="AA545" s="40">
        <f>IF($A545="",0,WEEKDAY($A545))</f>
        <v>5</v>
      </c>
      <c r="AB545" s="36">
        <f>IF(AND($C545="Despesa",U545&gt;0,U545&lt;=Sel_Idx,V545&gt;=Sel_Idx),N(R545)+ROW()/1000000000,0)</f>
        <v>650.000000545</v>
      </c>
      <c r="AC545" s="40">
        <f>IF(AND($C545="Despesa",U545&gt;0,U545&lt;=Sel_Idx,V545&gt;=Sel_Idx),Z545*10000+ROW(),0)</f>
        <v>100545</v>
      </c>
      <c r="AD545" s="40">
        <f>IF(AC545=0,0,COUNTIFS(L_CalChave,"&gt;0",L_CalChave,"&lt;"&amp;AC545)+1)</f>
        <v>11</v>
      </c>
    </row>
    <row r="546">
      <c r="A546" s="38" t="n">
        <v>46277</v>
      </c>
      <c r="B546" s="39" t="inlineStr">
        <is>
          <t>Streaming de música</t>
        </is>
      </c>
      <c r="C546" s="34" t="inlineStr">
        <is>
          <t>Despesa</t>
        </is>
      </c>
      <c r="D546" s="34" t="inlineStr">
        <is>
          <t>Assinaturas</t>
        </is>
      </c>
      <c r="E546" s="34" t="inlineStr">
        <is>
          <t>Música</t>
        </is>
      </c>
      <c r="F546" s="34" t="inlineStr">
        <is>
          <t>Cartão Roxinho</t>
        </is>
      </c>
      <c r="G546" s="34" t="inlineStr">
        <is>
          <t>Crédito</t>
        </is>
      </c>
      <c r="H546" s="37" t="n"/>
      <c r="I546" s="37" t="n"/>
      <c r="J546" s="34" t="inlineStr">
        <is>
          <t>Pago</t>
        </is>
      </c>
      <c r="K546" s="34" t="n"/>
      <c r="L546" s="34" t="n"/>
      <c r="M546" s="39" t="inlineStr">
        <is>
          <t>EXEMPLO</t>
        </is>
      </c>
      <c r="N546" s="35" t="n">
        <v>21.9</v>
      </c>
      <c r="O546" s="40">
        <f>IF($A546="","",MONTH($A546))</f>
        <v>9</v>
      </c>
      <c r="P546" s="40">
        <f>IF($A546="","",YEAR($A546))</f>
        <v>2026</v>
      </c>
      <c r="Q546" s="41">
        <f>IF($A546="","",DATE(P546,O546,1))</f>
        <v>46266.0</v>
      </c>
      <c r="R546" s="36">
        <f>IF(OR($A546="",$N546=""),"",IF(AND($C546&lt;&gt;"Transferência",N($I546)&gt;1),$N546/$I546,$N546))</f>
        <v>21.9</v>
      </c>
      <c r="S546" s="41">
        <f>IF(OR($A546="",$F546="",$C546&lt;&gt;"Despesa"),"",IF(COUNTIF(Cartoes_Nome,$F546)=0,"",DATE(P546,O546+IF(DAY($A546)&gt;=INDEX(Cartoes_Fech,MATCH($F546,Cartoes_Nome,0)),1,0),1)))</f>
        <v>46266.0</v>
      </c>
      <c r="T546" s="42" t="str">
        <f>IF($A546="","",IF(COUNTIFS(L_Data,$A546,L_Desc,$B546,L_Valor,$N546,L_Tipo,$C546)&gt;1,"⚠ Possível duplicidade",IF(OR(AND($C546="Despesa",COUNTIF(CatD_Nome,$D546)=0),AND($C546="Receita",COUNTIF(CatR_Nome,$D546)=0)),"⚠ Categoria não combina com o tipo",IF(OR($N546="",$C546=""),"⚠ Falta valor ou tipo",""))))</f>
        <v/>
      </c>
      <c r="U546" s="40">
        <f>IF($A546="",0,P546*12+O546)</f>
        <v>24321</v>
      </c>
      <c r="V546" s="40">
        <f>IF($A546="",0,U546+MAX(0,N($I546)-MAX(N($H546),1)))</f>
        <v>24321</v>
      </c>
      <c r="W546" s="40">
        <f>IF(S546="",0,YEAR(S546)*12+MONTH(S546))</f>
        <v>24321</v>
      </c>
      <c r="X546" s="40">
        <f>IF(W546=0,0,W546+V546-U546)</f>
        <v>24321</v>
      </c>
      <c r="Y546" s="36">
        <f>IF(W546=0,0,N(R546)*MAX(0,X546-MAX(W546,YEAR(Cfg_Hoje)*12+MONTH(Cfg_Hoje)+IF(DAY(Cfg_Hoje)&gt;=INDEX(Cartoes_Fech,MATCH($F546,Cartoes_Nome,0)),1,0))+1))</f>
        <v>0</v>
      </c>
      <c r="Z546" s="40">
        <f>IF($A546="",0,DAY($A546))</f>
        <v>12</v>
      </c>
      <c r="AA546" s="40">
        <f>IF($A546="",0,WEEKDAY($A546))</f>
        <v>7</v>
      </c>
      <c r="AB546" s="36">
        <f>IF(AND($C546="Despesa",U546&gt;0,U546&lt;=Sel_Idx,V546&gt;=Sel_Idx),N(R546)+ROW()/1000000000,0)</f>
        <v>21.900000546</v>
      </c>
      <c r="AC546" s="40">
        <f>IF(AND($C546="Despesa",U546&gt;0,U546&lt;=Sel_Idx,V546&gt;=Sel_Idx),Z546*10000+ROW(),0)</f>
        <v>120546</v>
      </c>
      <c r="AD546" s="40">
        <f>IF(AC546=0,0,COUNTIFS(L_CalChave,"&gt;0",L_CalChave,"&lt;"&amp;AC546)+1)</f>
        <v>14</v>
      </c>
    </row>
    <row r="547">
      <c r="A547" s="38" t="n">
        <v>46277</v>
      </c>
      <c r="B547" s="39" t="inlineStr">
        <is>
          <t>Streaming de vídeo</t>
        </is>
      </c>
      <c r="C547" s="34" t="inlineStr">
        <is>
          <t>Despesa</t>
        </is>
      </c>
      <c r="D547" s="34" t="inlineStr">
        <is>
          <t>Assinaturas</t>
        </is>
      </c>
      <c r="E547" s="34" t="inlineStr">
        <is>
          <t>Streaming</t>
        </is>
      </c>
      <c r="F547" s="34" t="inlineStr">
        <is>
          <t>Cartão Roxinho</t>
        </is>
      </c>
      <c r="G547" s="34" t="inlineStr">
        <is>
          <t>Crédito</t>
        </is>
      </c>
      <c r="H547" s="37" t="n"/>
      <c r="I547" s="37" t="n"/>
      <c r="J547" s="34" t="inlineStr">
        <is>
          <t>Pago</t>
        </is>
      </c>
      <c r="K547" s="34" t="n"/>
      <c r="L547" s="34" t="n"/>
      <c r="M547" s="39" t="inlineStr">
        <is>
          <t>EXEMPLO</t>
        </is>
      </c>
      <c r="N547" s="35" t="n">
        <v>55.9</v>
      </c>
      <c r="O547" s="40">
        <f>IF($A547="","",MONTH($A547))</f>
        <v>9</v>
      </c>
      <c r="P547" s="40">
        <f>IF($A547="","",YEAR($A547))</f>
        <v>2026</v>
      </c>
      <c r="Q547" s="41">
        <f>IF($A547="","",DATE(P547,O547,1))</f>
        <v>46266.0</v>
      </c>
      <c r="R547" s="36">
        <f>IF(OR($A547="",$N547=""),"",IF(AND($C547&lt;&gt;"Transferência",N($I547)&gt;1),$N547/$I547,$N547))</f>
        <v>55.9</v>
      </c>
      <c r="S547" s="41">
        <f>IF(OR($A547="",$F547="",$C547&lt;&gt;"Despesa"),"",IF(COUNTIF(Cartoes_Nome,$F547)=0,"",DATE(P547,O547+IF(DAY($A547)&gt;=INDEX(Cartoes_Fech,MATCH($F547,Cartoes_Nome,0)),1,0),1)))</f>
        <v>46266.0</v>
      </c>
      <c r="T547" s="42" t="str">
        <f>IF($A547="","",IF(COUNTIFS(L_Data,$A547,L_Desc,$B547,L_Valor,$N547,L_Tipo,$C547)&gt;1,"⚠ Possível duplicidade",IF(OR(AND($C547="Despesa",COUNTIF(CatD_Nome,$D547)=0),AND($C547="Receita",COUNTIF(CatR_Nome,$D547)=0)),"⚠ Categoria não combina com o tipo",IF(OR($N547="",$C547=""),"⚠ Falta valor ou tipo",""))))</f>
        <v/>
      </c>
      <c r="U547" s="40">
        <f>IF($A547="",0,P547*12+O547)</f>
        <v>24321</v>
      </c>
      <c r="V547" s="40">
        <f>IF($A547="",0,U547+MAX(0,N($I547)-MAX(N($H547),1)))</f>
        <v>24321</v>
      </c>
      <c r="W547" s="40">
        <f>IF(S547="",0,YEAR(S547)*12+MONTH(S547))</f>
        <v>24321</v>
      </c>
      <c r="X547" s="40">
        <f>IF(W547=0,0,W547+V547-U547)</f>
        <v>24321</v>
      </c>
      <c r="Y547" s="36">
        <f>IF(W547=0,0,N(R547)*MAX(0,X547-MAX(W547,YEAR(Cfg_Hoje)*12+MONTH(Cfg_Hoje)+IF(DAY(Cfg_Hoje)&gt;=INDEX(Cartoes_Fech,MATCH($F547,Cartoes_Nome,0)),1,0))+1))</f>
        <v>0</v>
      </c>
      <c r="Z547" s="40">
        <f>IF($A547="",0,DAY($A547))</f>
        <v>12</v>
      </c>
      <c r="AA547" s="40">
        <f>IF($A547="",0,WEEKDAY($A547))</f>
        <v>7</v>
      </c>
      <c r="AB547" s="36">
        <f>IF(AND($C547="Despesa",U547&gt;0,U547&lt;=Sel_Idx,V547&gt;=Sel_Idx),N(R547)+ROW()/1000000000,0)</f>
        <v>55.900000547</v>
      </c>
      <c r="AC547" s="40">
        <f>IF(AND($C547="Despesa",U547&gt;0,U547&lt;=Sel_Idx,V547&gt;=Sel_Idx),Z547*10000+ROW(),0)</f>
        <v>120547</v>
      </c>
      <c r="AD547" s="40">
        <f>IF(AC547=0,0,COUNTIFS(L_CalChave,"&gt;0",L_CalChave,"&lt;"&amp;AC547)+1)</f>
        <v>15</v>
      </c>
    </row>
    <row r="548">
      <c r="A548" s="38" t="n">
        <v>46278</v>
      </c>
      <c r="B548" s="39" t="inlineStr">
        <is>
          <t>Supermercado</t>
        </is>
      </c>
      <c r="C548" s="34" t="inlineStr">
        <is>
          <t>Despesa</t>
        </is>
      </c>
      <c r="D548" s="34" t="inlineStr">
        <is>
          <t>Alimentação</t>
        </is>
      </c>
      <c r="E548" s="34" t="inlineStr">
        <is>
          <t>Mercado</t>
        </is>
      </c>
      <c r="F548" s="34" t="inlineStr">
        <is>
          <t>Conta Corrente Banco Azul</t>
        </is>
      </c>
      <c r="G548" s="34" t="inlineStr">
        <is>
          <t>Débito</t>
        </is>
      </c>
      <c r="H548" s="37" t="n"/>
      <c r="I548" s="37" t="n"/>
      <c r="J548" s="34" t="inlineStr">
        <is>
          <t>Pago</t>
        </is>
      </c>
      <c r="K548" s="34" t="n"/>
      <c r="L548" s="34" t="n"/>
      <c r="M548" s="39" t="inlineStr">
        <is>
          <t>EXEMPLO</t>
        </is>
      </c>
      <c r="N548" s="35" t="n">
        <v>463.33</v>
      </c>
      <c r="O548" s="40">
        <f>IF($A548="","",MONTH($A548))</f>
        <v>9</v>
      </c>
      <c r="P548" s="40">
        <f>IF($A548="","",YEAR($A548))</f>
        <v>2026</v>
      </c>
      <c r="Q548" s="41">
        <f>IF($A548="","",DATE(P548,O548,1))</f>
        <v>46266.0</v>
      </c>
      <c r="R548" s="36">
        <f>IF(OR($A548="",$N548=""),"",IF(AND($C548&lt;&gt;"Transferência",N($I548)&gt;1),$N548/$I548,$N548))</f>
        <v>463.33</v>
      </c>
      <c r="S548" s="41" t="str">
        <f>IF(OR($A548="",$F548="",$C548&lt;&gt;"Despesa"),"",IF(COUNTIF(Cartoes_Nome,$F548)=0,"",DATE(P548,O548+IF(DAY($A548)&gt;=INDEX(Cartoes_Fech,MATCH($F548,Cartoes_Nome,0)),1,0),1)))</f>
        <v/>
      </c>
      <c r="T548" s="42" t="str">
        <f>IF($A548="","",IF(COUNTIFS(L_Data,$A548,L_Desc,$B548,L_Valor,$N548,L_Tipo,$C548)&gt;1,"⚠ Possível duplicidade",IF(OR(AND($C548="Despesa",COUNTIF(CatD_Nome,$D548)=0),AND($C548="Receita",COUNTIF(CatR_Nome,$D548)=0)),"⚠ Categoria não combina com o tipo",IF(OR($N548="",$C548=""),"⚠ Falta valor ou tipo",""))))</f>
        <v/>
      </c>
      <c r="U548" s="40">
        <f>IF($A548="",0,P548*12+O548)</f>
        <v>24321</v>
      </c>
      <c r="V548" s="40">
        <f>IF($A548="",0,U548+MAX(0,N($I548)-MAX(N($H548),1)))</f>
        <v>24321</v>
      </c>
      <c r="W548" s="40">
        <f>IF(S548="",0,YEAR(S548)*12+MONTH(S548))</f>
        <v>0</v>
      </c>
      <c r="X548" s="40">
        <f>IF(W548=0,0,W548+V548-U548)</f>
        <v>0</v>
      </c>
      <c r="Y548" s="36">
        <f>IF(W548=0,0,N(R548)*MAX(0,X548-MAX(W548,YEAR(Cfg_Hoje)*12+MONTH(Cfg_Hoje)+IF(DAY(Cfg_Hoje)&gt;=INDEX(Cartoes_Fech,MATCH($F548,Cartoes_Nome,0)),1,0))+1))</f>
        <v>0</v>
      </c>
      <c r="Z548" s="40">
        <f>IF($A548="",0,DAY($A548))</f>
        <v>13</v>
      </c>
      <c r="AA548" s="40">
        <f>IF($A548="",0,WEEKDAY($A548))</f>
        <v>1</v>
      </c>
      <c r="AB548" s="36">
        <f>IF(AND($C548="Despesa",U548&gt;0,U548&lt;=Sel_Idx,V548&gt;=Sel_Idx),N(R548)+ROW()/1000000000,0)</f>
        <v>463.330000548</v>
      </c>
      <c r="AC548" s="40">
        <f>IF(AND($C548="Despesa",U548&gt;0,U548&lt;=Sel_Idx,V548&gt;=Sel_Idx),Z548*10000+ROW(),0)</f>
        <v>130548</v>
      </c>
      <c r="AD548" s="40">
        <f>IF(AC548=0,0,COUNTIFS(L_CalChave,"&gt;0",L_CalChave,"&lt;"&amp;AC548)+1)</f>
        <v>16</v>
      </c>
    </row>
    <row r="549">
      <c r="A549" s="38" t="n">
        <v>46279</v>
      </c>
      <c r="B549" s="39" t="inlineStr">
        <is>
          <t>Armazenamento em nuvem</t>
        </is>
      </c>
      <c r="C549" s="34" t="inlineStr">
        <is>
          <t>Despesa</t>
        </is>
      </c>
      <c r="D549" s="34" t="inlineStr">
        <is>
          <t>Assinaturas</t>
        </is>
      </c>
      <c r="E549" s="34" t="inlineStr">
        <is>
          <t>Nuvem</t>
        </is>
      </c>
      <c r="F549" s="34" t="inlineStr">
        <is>
          <t>Cartão Azul Gold</t>
        </is>
      </c>
      <c r="G549" s="34" t="inlineStr">
        <is>
          <t>Crédito</t>
        </is>
      </c>
      <c r="H549" s="37" t="n"/>
      <c r="I549" s="37" t="n"/>
      <c r="J549" s="34" t="inlineStr">
        <is>
          <t>Pago</t>
        </is>
      </c>
      <c r="K549" s="34" t="n"/>
      <c r="L549" s="34" t="n"/>
      <c r="M549" s="39" t="inlineStr">
        <is>
          <t>EXEMPLO</t>
        </is>
      </c>
      <c r="N549" s="35" t="n">
        <v>14.9</v>
      </c>
      <c r="O549" s="40">
        <f>IF($A549="","",MONTH($A549))</f>
        <v>9</v>
      </c>
      <c r="P549" s="40">
        <f>IF($A549="","",YEAR($A549))</f>
        <v>2026</v>
      </c>
      <c r="Q549" s="41">
        <f>IF($A549="","",DATE(P549,O549,1))</f>
        <v>46266.0</v>
      </c>
      <c r="R549" s="36">
        <f>IF(OR($A549="",$N549=""),"",IF(AND($C549&lt;&gt;"Transferência",N($I549)&gt;1),$N549/$I549,$N549))</f>
        <v>14.9</v>
      </c>
      <c r="S549" s="41">
        <f>IF(OR($A549="",$F549="",$C549&lt;&gt;"Despesa"),"",IF(COUNTIF(Cartoes_Nome,$F549)=0,"",DATE(P549,O549+IF(DAY($A549)&gt;=INDEX(Cartoes_Fech,MATCH($F549,Cartoes_Nome,0)),1,0),1)))</f>
        <v>46296.0</v>
      </c>
      <c r="T549" s="42" t="str">
        <f>IF($A549="","",IF(COUNTIFS(L_Data,$A549,L_Desc,$B549,L_Valor,$N549,L_Tipo,$C549)&gt;1,"⚠ Possível duplicidade",IF(OR(AND($C549="Despesa",COUNTIF(CatD_Nome,$D549)=0),AND($C549="Receita",COUNTIF(CatR_Nome,$D549)=0)),"⚠ Categoria não combina com o tipo",IF(OR($N549="",$C549=""),"⚠ Falta valor ou tipo",""))))</f>
        <v/>
      </c>
      <c r="U549" s="40">
        <f>IF($A549="",0,P549*12+O549)</f>
        <v>24321</v>
      </c>
      <c r="V549" s="40">
        <f>IF($A549="",0,U549+MAX(0,N($I549)-MAX(N($H549),1)))</f>
        <v>24321</v>
      </c>
      <c r="W549" s="40">
        <f>IF(S549="",0,YEAR(S549)*12+MONTH(S549))</f>
        <v>24322</v>
      </c>
      <c r="X549" s="40">
        <f>IF(W549=0,0,W549+V549-U549)</f>
        <v>24322</v>
      </c>
      <c r="Y549" s="36">
        <f>IF(W549=0,0,N(R549)*MAX(0,X549-MAX(W549,YEAR(Cfg_Hoje)*12+MONTH(Cfg_Hoje)+IF(DAY(Cfg_Hoje)&gt;=INDEX(Cartoes_Fech,MATCH($F549,Cartoes_Nome,0)),1,0))+1))</f>
        <v>14.9</v>
      </c>
      <c r="Z549" s="40">
        <f>IF($A549="",0,DAY($A549))</f>
        <v>14</v>
      </c>
      <c r="AA549" s="40">
        <f>IF($A549="",0,WEEKDAY($A549))</f>
        <v>2</v>
      </c>
      <c r="AB549" s="36">
        <f>IF(AND($C549="Despesa",U549&gt;0,U549&lt;=Sel_Idx,V549&gt;=Sel_Idx),N(R549)+ROW()/1000000000,0)</f>
        <v>14.900000549</v>
      </c>
      <c r="AC549" s="40">
        <f>IF(AND($C549="Despesa",U549&gt;0,U549&lt;=Sel_Idx,V549&gt;=Sel_Idx),Z549*10000+ROW(),0)</f>
        <v>140549</v>
      </c>
      <c r="AD549" s="40">
        <f>IF(AC549=0,0,COUNTIFS(L_CalChave,"&gt;0",L_CalChave,"&lt;"&amp;AC549)+1)</f>
        <v>17</v>
      </c>
    </row>
    <row r="550">
      <c r="A550" s="38" t="n">
        <v>46279</v>
      </c>
      <c r="B550" s="39" t="inlineStr">
        <is>
          <t>Combustível</t>
        </is>
      </c>
      <c r="C550" s="34" t="inlineStr">
        <is>
          <t>Despesa</t>
        </is>
      </c>
      <c r="D550" s="34" t="inlineStr">
        <is>
          <t>Transporte</t>
        </is>
      </c>
      <c r="E550" s="34" t="inlineStr">
        <is>
          <t>Combustível</t>
        </is>
      </c>
      <c r="F550" s="34" t="inlineStr">
        <is>
          <t>Cartão Roxinho</t>
        </is>
      </c>
      <c r="G550" s="34" t="inlineStr">
        <is>
          <t>Crédito</t>
        </is>
      </c>
      <c r="H550" s="37" t="n"/>
      <c r="I550" s="37" t="n"/>
      <c r="J550" s="34" t="inlineStr">
        <is>
          <t>Pago</t>
        </is>
      </c>
      <c r="K550" s="34" t="n"/>
      <c r="L550" s="34" t="n"/>
      <c r="M550" s="39" t="inlineStr">
        <is>
          <t>EXEMPLO</t>
        </is>
      </c>
      <c r="N550" s="35" t="n">
        <v>183.39</v>
      </c>
      <c r="O550" s="40">
        <f>IF($A550="","",MONTH($A550))</f>
        <v>9</v>
      </c>
      <c r="P550" s="40">
        <f>IF($A550="","",YEAR($A550))</f>
        <v>2026</v>
      </c>
      <c r="Q550" s="41">
        <f>IF($A550="","",DATE(P550,O550,1))</f>
        <v>46266.0</v>
      </c>
      <c r="R550" s="36">
        <f>IF(OR($A550="",$N550=""),"",IF(AND($C550&lt;&gt;"Transferência",N($I550)&gt;1),$N550/$I550,$N550))</f>
        <v>183.39</v>
      </c>
      <c r="S550" s="41">
        <f>IF(OR($A550="",$F550="",$C550&lt;&gt;"Despesa"),"",IF(COUNTIF(Cartoes_Nome,$F550)=0,"",DATE(P550,O550+IF(DAY($A550)&gt;=INDEX(Cartoes_Fech,MATCH($F550,Cartoes_Nome,0)),1,0),1)))</f>
        <v>46266.0</v>
      </c>
      <c r="T550" s="42" t="str">
        <f>IF($A550="","",IF(COUNTIFS(L_Data,$A550,L_Desc,$B550,L_Valor,$N550,L_Tipo,$C550)&gt;1,"⚠ Possível duplicidade",IF(OR(AND($C550="Despesa",COUNTIF(CatD_Nome,$D550)=0),AND($C550="Receita",COUNTIF(CatR_Nome,$D550)=0)),"⚠ Categoria não combina com o tipo",IF(OR($N550="",$C550=""),"⚠ Falta valor ou tipo",""))))</f>
        <v/>
      </c>
      <c r="U550" s="40">
        <f>IF($A550="",0,P550*12+O550)</f>
        <v>24321</v>
      </c>
      <c r="V550" s="40">
        <f>IF($A550="",0,U550+MAX(0,N($I550)-MAX(N($H550),1)))</f>
        <v>24321</v>
      </c>
      <c r="W550" s="40">
        <f>IF(S550="",0,YEAR(S550)*12+MONTH(S550))</f>
        <v>24321</v>
      </c>
      <c r="X550" s="40">
        <f>IF(W550=0,0,W550+V550-U550)</f>
        <v>24321</v>
      </c>
      <c r="Y550" s="36">
        <f>IF(W550=0,0,N(R550)*MAX(0,X550-MAX(W550,YEAR(Cfg_Hoje)*12+MONTH(Cfg_Hoje)+IF(DAY(Cfg_Hoje)&gt;=INDEX(Cartoes_Fech,MATCH($F550,Cartoes_Nome,0)),1,0))+1))</f>
        <v>0</v>
      </c>
      <c r="Z550" s="40">
        <f>IF($A550="",0,DAY($A550))</f>
        <v>14</v>
      </c>
      <c r="AA550" s="40">
        <f>IF($A550="",0,WEEKDAY($A550))</f>
        <v>2</v>
      </c>
      <c r="AB550" s="36">
        <f>IF(AND($C550="Despesa",U550&gt;0,U550&lt;=Sel_Idx,V550&gt;=Sel_Idx),N(R550)+ROW()/1000000000,0)</f>
        <v>183.39000055</v>
      </c>
      <c r="AC550" s="40">
        <f>IF(AND($C550="Despesa",U550&gt;0,U550&lt;=Sel_Idx,V550&gt;=Sel_Idx),Z550*10000+ROW(),0)</f>
        <v>140550</v>
      </c>
      <c r="AD550" s="40">
        <f>IF(AC550=0,0,COUNTIFS(L_CalChave,"&gt;0",L_CalChave,"&lt;"&amp;AC550)+1)</f>
        <v>18</v>
      </c>
    </row>
    <row r="551">
      <c r="A551" s="38" t="n">
        <v>46280</v>
      </c>
      <c r="B551" s="39" t="inlineStr">
        <is>
          <t>Conta de energia</t>
        </is>
      </c>
      <c r="C551" s="34" t="inlineStr">
        <is>
          <t>Despesa</t>
        </is>
      </c>
      <c r="D551" s="34" t="inlineStr">
        <is>
          <t>Moradia</t>
        </is>
      </c>
      <c r="E551" s="34" t="inlineStr">
        <is>
          <t>Energia</t>
        </is>
      </c>
      <c r="F551" s="34" t="inlineStr">
        <is>
          <t>Conta Corrente Banco Azul</t>
        </is>
      </c>
      <c r="G551" s="34" t="inlineStr">
        <is>
          <t>Débito automático</t>
        </is>
      </c>
      <c r="H551" s="37" t="n"/>
      <c r="I551" s="37" t="n"/>
      <c r="J551" s="34" t="inlineStr">
        <is>
          <t>Pago</t>
        </is>
      </c>
      <c r="K551" s="34" t="n"/>
      <c r="L551" s="34" t="n"/>
      <c r="M551" s="39" t="inlineStr">
        <is>
          <t>EXEMPLO</t>
        </is>
      </c>
      <c r="N551" s="35" t="n">
        <v>208.93</v>
      </c>
      <c r="O551" s="40">
        <f>IF($A551="","",MONTH($A551))</f>
        <v>9</v>
      </c>
      <c r="P551" s="40">
        <f>IF($A551="","",YEAR($A551))</f>
        <v>2026</v>
      </c>
      <c r="Q551" s="41">
        <f>IF($A551="","",DATE(P551,O551,1))</f>
        <v>46266.0</v>
      </c>
      <c r="R551" s="36">
        <f>IF(OR($A551="",$N551=""),"",IF(AND($C551&lt;&gt;"Transferência",N($I551)&gt;1),$N551/$I551,$N551))</f>
        <v>208.93</v>
      </c>
      <c r="S551" s="41" t="str">
        <f>IF(OR($A551="",$F551="",$C551&lt;&gt;"Despesa"),"",IF(COUNTIF(Cartoes_Nome,$F551)=0,"",DATE(P551,O551+IF(DAY($A551)&gt;=INDEX(Cartoes_Fech,MATCH($F551,Cartoes_Nome,0)),1,0),1)))</f>
        <v/>
      </c>
      <c r="T551" s="42" t="str">
        <f>IF($A551="","",IF(COUNTIFS(L_Data,$A551,L_Desc,$B551,L_Valor,$N551,L_Tipo,$C551)&gt;1,"⚠ Possível duplicidade",IF(OR(AND($C551="Despesa",COUNTIF(CatD_Nome,$D551)=0),AND($C551="Receita",COUNTIF(CatR_Nome,$D551)=0)),"⚠ Categoria não combina com o tipo",IF(OR($N551="",$C551=""),"⚠ Falta valor ou tipo",""))))</f>
        <v/>
      </c>
      <c r="U551" s="40">
        <f>IF($A551="",0,P551*12+O551)</f>
        <v>24321</v>
      </c>
      <c r="V551" s="40">
        <f>IF($A551="",0,U551+MAX(0,N($I551)-MAX(N($H551),1)))</f>
        <v>24321</v>
      </c>
      <c r="W551" s="40">
        <f>IF(S551="",0,YEAR(S551)*12+MONTH(S551))</f>
        <v>0</v>
      </c>
      <c r="X551" s="40">
        <f>IF(W551=0,0,W551+V551-U551)</f>
        <v>0</v>
      </c>
      <c r="Y551" s="36">
        <f>IF(W551=0,0,N(R551)*MAX(0,X551-MAX(W551,YEAR(Cfg_Hoje)*12+MONTH(Cfg_Hoje)+IF(DAY(Cfg_Hoje)&gt;=INDEX(Cartoes_Fech,MATCH($F551,Cartoes_Nome,0)),1,0))+1))</f>
        <v>0</v>
      </c>
      <c r="Z551" s="40">
        <f>IF($A551="",0,DAY($A551))</f>
        <v>15</v>
      </c>
      <c r="AA551" s="40">
        <f>IF($A551="",0,WEEKDAY($A551))</f>
        <v>3</v>
      </c>
      <c r="AB551" s="36">
        <f>IF(AND($C551="Despesa",U551&gt;0,U551&lt;=Sel_Idx,V551&gt;=Sel_Idx),N(R551)+ROW()/1000000000,0)</f>
        <v>208.930000551</v>
      </c>
      <c r="AC551" s="40">
        <f>IF(AND($C551="Despesa",U551&gt;0,U551&lt;=Sel_Idx,V551&gt;=Sel_Idx),Z551*10000+ROW(),0)</f>
        <v>150551</v>
      </c>
      <c r="AD551" s="40">
        <f>IF(AC551=0,0,COUNTIFS(L_CalChave,"&gt;0",L_CalChave,"&lt;"&amp;AC551)+1)</f>
        <v>19</v>
      </c>
    </row>
    <row r="552">
      <c r="A552" s="38" t="n">
        <v>46280</v>
      </c>
      <c r="B552" s="39" t="inlineStr">
        <is>
          <t>Conta de água</t>
        </is>
      </c>
      <c r="C552" s="34" t="inlineStr">
        <is>
          <t>Despesa</t>
        </is>
      </c>
      <c r="D552" s="34" t="inlineStr">
        <is>
          <t>Moradia</t>
        </is>
      </c>
      <c r="E552" s="34" t="inlineStr">
        <is>
          <t>Água</t>
        </is>
      </c>
      <c r="F552" s="34" t="inlineStr">
        <is>
          <t>Conta Corrente Banco Azul</t>
        </is>
      </c>
      <c r="G552" s="34" t="inlineStr">
        <is>
          <t>Débito automático</t>
        </is>
      </c>
      <c r="H552" s="37" t="n"/>
      <c r="I552" s="37" t="n"/>
      <c r="J552" s="34" t="inlineStr">
        <is>
          <t>Pago</t>
        </is>
      </c>
      <c r="K552" s="34" t="n"/>
      <c r="L552" s="34" t="n"/>
      <c r="M552" s="39" t="inlineStr">
        <is>
          <t>EXEMPLO</t>
        </is>
      </c>
      <c r="N552" s="35" t="n">
        <v>81.94</v>
      </c>
      <c r="O552" s="40">
        <f>IF($A552="","",MONTH($A552))</f>
        <v>9</v>
      </c>
      <c r="P552" s="40">
        <f>IF($A552="","",YEAR($A552))</f>
        <v>2026</v>
      </c>
      <c r="Q552" s="41">
        <f>IF($A552="","",DATE(P552,O552,1))</f>
        <v>46266.0</v>
      </c>
      <c r="R552" s="36">
        <f>IF(OR($A552="",$N552=""),"",IF(AND($C552&lt;&gt;"Transferência",N($I552)&gt;1),$N552/$I552,$N552))</f>
        <v>81.94</v>
      </c>
      <c r="S552" s="41" t="str">
        <f>IF(OR($A552="",$F552="",$C552&lt;&gt;"Despesa"),"",IF(COUNTIF(Cartoes_Nome,$F552)=0,"",DATE(P552,O552+IF(DAY($A552)&gt;=INDEX(Cartoes_Fech,MATCH($F552,Cartoes_Nome,0)),1,0),1)))</f>
        <v/>
      </c>
      <c r="T552" s="42" t="str">
        <f>IF($A552="","",IF(COUNTIFS(L_Data,$A552,L_Desc,$B552,L_Valor,$N552,L_Tipo,$C552)&gt;1,"⚠ Possível duplicidade",IF(OR(AND($C552="Despesa",COUNTIF(CatD_Nome,$D552)=0),AND($C552="Receita",COUNTIF(CatR_Nome,$D552)=0)),"⚠ Categoria não combina com o tipo",IF(OR($N552="",$C552=""),"⚠ Falta valor ou tipo",""))))</f>
        <v/>
      </c>
      <c r="U552" s="40">
        <f>IF($A552="",0,P552*12+O552)</f>
        <v>24321</v>
      </c>
      <c r="V552" s="40">
        <f>IF($A552="",0,U552+MAX(0,N($I552)-MAX(N($H552),1)))</f>
        <v>24321</v>
      </c>
      <c r="W552" s="40">
        <f>IF(S552="",0,YEAR(S552)*12+MONTH(S552))</f>
        <v>0</v>
      </c>
      <c r="X552" s="40">
        <f>IF(W552=0,0,W552+V552-U552)</f>
        <v>0</v>
      </c>
      <c r="Y552" s="36">
        <f>IF(W552=0,0,N(R552)*MAX(0,X552-MAX(W552,YEAR(Cfg_Hoje)*12+MONTH(Cfg_Hoje)+IF(DAY(Cfg_Hoje)&gt;=INDEX(Cartoes_Fech,MATCH($F552,Cartoes_Nome,0)),1,0))+1))</f>
        <v>0</v>
      </c>
      <c r="Z552" s="40">
        <f>IF($A552="",0,DAY($A552))</f>
        <v>15</v>
      </c>
      <c r="AA552" s="40">
        <f>IF($A552="",0,WEEKDAY($A552))</f>
        <v>3</v>
      </c>
      <c r="AB552" s="36">
        <f>IF(AND($C552="Despesa",U552&gt;0,U552&lt;=Sel_Idx,V552&gt;=Sel_Idx),N(R552)+ROW()/1000000000,0)</f>
        <v>81.940000552</v>
      </c>
      <c r="AC552" s="40">
        <f>IF(AND($C552="Despesa",U552&gt;0,U552&lt;=Sel_Idx,V552&gt;=Sel_Idx),Z552*10000+ROW(),0)</f>
        <v>150552</v>
      </c>
      <c r="AD552" s="40">
        <f>IF(AC552=0,0,COUNTIFS(L_CalChave,"&gt;0",L_CalChave,"&lt;"&amp;AC552)+1)</f>
        <v>20</v>
      </c>
    </row>
    <row r="553">
      <c r="A553" s="38" t="n">
        <v>46282</v>
      </c>
      <c r="B553" s="39" t="inlineStr">
        <is>
          <t>Pagamento fatura Cartão Azul Gold</t>
        </is>
      </c>
      <c r="C553" s="34" t="inlineStr">
        <is>
          <t>Transferência</t>
        </is>
      </c>
      <c r="D553" s="34" t="n"/>
      <c r="E553" s="34" t="n"/>
      <c r="F553" s="34" t="inlineStr">
        <is>
          <t>Conta Corrente Banco Azul</t>
        </is>
      </c>
      <c r="G553" s="34" t="inlineStr">
        <is>
          <t>Débito automático</t>
        </is>
      </c>
      <c r="H553" s="37" t="n"/>
      <c r="I553" s="37" t="n"/>
      <c r="J553" s="34" t="inlineStr">
        <is>
          <t>Pago</t>
        </is>
      </c>
      <c r="K553" s="34" t="n"/>
      <c r="L553" s="34" t="n"/>
      <c r="M553" s="39" t="inlineStr">
        <is>
          <t>EXEMPLO</t>
        </is>
      </c>
      <c r="N553" s="35" t="n">
        <v>-2401.21</v>
      </c>
      <c r="O553" s="40">
        <f>IF($A553="","",MONTH($A553))</f>
        <v>9</v>
      </c>
      <c r="P553" s="40">
        <f>IF($A553="","",YEAR($A553))</f>
        <v>2026</v>
      </c>
      <c r="Q553" s="41">
        <f>IF($A553="","",DATE(P553,O553,1))</f>
        <v>46266.0</v>
      </c>
      <c r="R553" s="36">
        <f>IF(OR($A553="",$N553=""),"",IF(AND($C553&lt;&gt;"Transferência",N($I553)&gt;1),$N553/$I553,$N553))</f>
        <v>-2401.21</v>
      </c>
      <c r="S553" s="41" t="str">
        <f>IF(OR($A553="",$F553="",$C553&lt;&gt;"Despesa"),"",IF(COUNTIF(Cartoes_Nome,$F553)=0,"",DATE(P553,O553+IF(DAY($A553)&gt;=INDEX(Cartoes_Fech,MATCH($F553,Cartoes_Nome,0)),1,0),1)))</f>
        <v/>
      </c>
      <c r="T553" s="42" t="str">
        <f>IF($A553="","",IF(COUNTIFS(L_Data,$A553,L_Desc,$B553,L_Valor,$N553,L_Tipo,$C553)&gt;1,"⚠ Possível duplicidade",IF(OR(AND($C553="Despesa",COUNTIF(CatD_Nome,$D553)=0),AND($C553="Receita",COUNTIF(CatR_Nome,$D553)=0)),"⚠ Categoria não combina com o tipo",IF(OR($N553="",$C553=""),"⚠ Falta valor ou tipo",""))))</f>
        <v/>
      </c>
      <c r="U553" s="40">
        <f>IF($A553="",0,P553*12+O553)</f>
        <v>24321</v>
      </c>
      <c r="V553" s="40">
        <f>IF($A553="",0,U553+MAX(0,N($I553)-MAX(N($H553),1)))</f>
        <v>24321</v>
      </c>
      <c r="W553" s="40">
        <f>IF(S553="",0,YEAR(S553)*12+MONTH(S553))</f>
        <v>0</v>
      </c>
      <c r="X553" s="40">
        <f>IF(W553=0,0,W553+V553-U553)</f>
        <v>0</v>
      </c>
      <c r="Y553" s="36">
        <f>IF(W553=0,0,N(R553)*MAX(0,X553-MAX(W553,YEAR(Cfg_Hoje)*12+MONTH(Cfg_Hoje)+IF(DAY(Cfg_Hoje)&gt;=INDEX(Cartoes_Fech,MATCH($F553,Cartoes_Nome,0)),1,0))+1))</f>
        <v>0</v>
      </c>
      <c r="Z553" s="40">
        <f>IF($A553="",0,DAY($A553))</f>
        <v>17</v>
      </c>
      <c r="AA553" s="40">
        <f>IF($A553="",0,WEEKDAY($A553))</f>
        <v>5</v>
      </c>
      <c r="AB553" s="36">
        <f>IF(AND($C553="Despesa",U553&gt;0,U553&lt;=Sel_Idx,V553&gt;=Sel_Idx),N(R553)+ROW()/1000000000,0)</f>
        <v>0</v>
      </c>
      <c r="AC553" s="40">
        <f>IF(AND($C553="Despesa",U553&gt;0,U553&lt;=Sel_Idx,V553&gt;=Sel_Idx),Z553*10000+ROW(),0)</f>
        <v>0</v>
      </c>
      <c r="AD553" s="40">
        <f>IF(AC553=0,0,COUNTIFS(L_CalChave,"&gt;0",L_CalChave,"&lt;"&amp;AC553)+1)</f>
        <v>0</v>
      </c>
    </row>
    <row r="554">
      <c r="A554" s="38" t="n">
        <v>46283</v>
      </c>
      <c r="B554" s="39" t="inlineStr">
        <is>
          <t>Cinema</t>
        </is>
      </c>
      <c r="C554" s="34" t="inlineStr">
        <is>
          <t>Despesa</t>
        </is>
      </c>
      <c r="D554" s="34" t="inlineStr">
        <is>
          <t>Lazer</t>
        </is>
      </c>
      <c r="E554" s="34" t="inlineStr">
        <is>
          <t>Cinema</t>
        </is>
      </c>
      <c r="F554" s="34" t="inlineStr">
        <is>
          <t>Cartão Roxinho</t>
        </is>
      </c>
      <c r="G554" s="34" t="inlineStr">
        <is>
          <t>Crédito</t>
        </is>
      </c>
      <c r="H554" s="37" t="n"/>
      <c r="I554" s="37" t="n"/>
      <c r="J554" s="34" t="inlineStr">
        <is>
          <t>Pago</t>
        </is>
      </c>
      <c r="K554" s="34" t="n"/>
      <c r="L554" s="34" t="n"/>
      <c r="M554" s="39" t="inlineStr">
        <is>
          <t>EXEMPLO</t>
        </is>
      </c>
      <c r="N554" s="35" t="n">
        <v>154.74</v>
      </c>
      <c r="O554" s="40">
        <f>IF($A554="","",MONTH($A554))</f>
        <v>9</v>
      </c>
      <c r="P554" s="40">
        <f>IF($A554="","",YEAR($A554))</f>
        <v>2026</v>
      </c>
      <c r="Q554" s="41">
        <f>IF($A554="","",DATE(P554,O554,1))</f>
        <v>46266.0</v>
      </c>
      <c r="R554" s="36">
        <f>IF(OR($A554="",$N554=""),"",IF(AND($C554&lt;&gt;"Transferência",N($I554)&gt;1),$N554/$I554,$N554))</f>
        <v>154.74</v>
      </c>
      <c r="S554" s="41">
        <f>IF(OR($A554="",$F554="",$C554&lt;&gt;"Despesa"),"",IF(COUNTIF(Cartoes_Nome,$F554)=0,"",DATE(P554,O554+IF(DAY($A554)&gt;=INDEX(Cartoes_Fech,MATCH($F554,Cartoes_Nome,0)),1,0),1)))</f>
        <v>46266.0</v>
      </c>
      <c r="T554" s="42" t="str">
        <f>IF($A554="","",IF(COUNTIFS(L_Data,$A554,L_Desc,$B554,L_Valor,$N554,L_Tipo,$C554)&gt;1,"⚠ Possível duplicidade",IF(OR(AND($C554="Despesa",COUNTIF(CatD_Nome,$D554)=0),AND($C554="Receita",COUNTIF(CatR_Nome,$D554)=0)),"⚠ Categoria não combina com o tipo",IF(OR($N554="",$C554=""),"⚠ Falta valor ou tipo",""))))</f>
        <v/>
      </c>
      <c r="U554" s="40">
        <f>IF($A554="",0,P554*12+O554)</f>
        <v>24321</v>
      </c>
      <c r="V554" s="40">
        <f>IF($A554="",0,U554+MAX(0,N($I554)-MAX(N($H554),1)))</f>
        <v>24321</v>
      </c>
      <c r="W554" s="40">
        <f>IF(S554="",0,YEAR(S554)*12+MONTH(S554))</f>
        <v>24321</v>
      </c>
      <c r="X554" s="40">
        <f>IF(W554=0,0,W554+V554-U554)</f>
        <v>24321</v>
      </c>
      <c r="Y554" s="36">
        <f>IF(W554=0,0,N(R554)*MAX(0,X554-MAX(W554,YEAR(Cfg_Hoje)*12+MONTH(Cfg_Hoje)+IF(DAY(Cfg_Hoje)&gt;=INDEX(Cartoes_Fech,MATCH($F554,Cartoes_Nome,0)),1,0))+1))</f>
        <v>0</v>
      </c>
      <c r="Z554" s="40">
        <f>IF($A554="",0,DAY($A554))</f>
        <v>18</v>
      </c>
      <c r="AA554" s="40">
        <f>IF($A554="",0,WEEKDAY($A554))</f>
        <v>6</v>
      </c>
      <c r="AB554" s="36">
        <f>IF(AND($C554="Despesa",U554&gt;0,U554&lt;=Sel_Idx,V554&gt;=Sel_Idx),N(R554)+ROW()/1000000000,0)</f>
        <v>154.740000554</v>
      </c>
      <c r="AC554" s="40">
        <f>IF(AND($C554="Despesa",U554&gt;0,U554&lt;=Sel_Idx,V554&gt;=Sel_Idx),Z554*10000+ROW(),0)</f>
        <v>180554</v>
      </c>
      <c r="AD554" s="40">
        <f>IF(AC554=0,0,COUNTIFS(L_CalChave,"&gt;0",L_CalChave,"&lt;"&amp;AC554)+1)</f>
        <v>21</v>
      </c>
    </row>
    <row r="555">
      <c r="A555" s="38" t="n">
        <v>46283</v>
      </c>
      <c r="B555" s="39" t="inlineStr">
        <is>
          <t>Corrida de aplicativo</t>
        </is>
      </c>
      <c r="C555" s="34" t="inlineStr">
        <is>
          <t>Despesa</t>
        </is>
      </c>
      <c r="D555" s="34" t="inlineStr">
        <is>
          <t>Transporte</t>
        </is>
      </c>
      <c r="E555" s="34" t="inlineStr">
        <is>
          <t>App de transporte</t>
        </is>
      </c>
      <c r="F555" s="34" t="inlineStr">
        <is>
          <t>Conta Corrente Banco Azul</t>
        </is>
      </c>
      <c r="G555" s="34" t="inlineStr">
        <is>
          <t>Pix</t>
        </is>
      </c>
      <c r="H555" s="37" t="n"/>
      <c r="I555" s="37" t="n"/>
      <c r="J555" s="34" t="inlineStr">
        <is>
          <t>Pago</t>
        </is>
      </c>
      <c r="K555" s="34" t="n"/>
      <c r="L555" s="34" t="n"/>
      <c r="M555" s="39" t="inlineStr">
        <is>
          <t>EXEMPLO</t>
        </is>
      </c>
      <c r="N555" s="35" t="n">
        <v>38.35</v>
      </c>
      <c r="O555" s="40">
        <f>IF($A555="","",MONTH($A555))</f>
        <v>9</v>
      </c>
      <c r="P555" s="40">
        <f>IF($A555="","",YEAR($A555))</f>
        <v>2026</v>
      </c>
      <c r="Q555" s="41">
        <f>IF($A555="","",DATE(P555,O555,1))</f>
        <v>46266.0</v>
      </c>
      <c r="R555" s="36">
        <f>IF(OR($A555="",$N555=""),"",IF(AND($C555&lt;&gt;"Transferência",N($I555)&gt;1),$N555/$I555,$N555))</f>
        <v>38.35</v>
      </c>
      <c r="S555" s="41" t="str">
        <f>IF(OR($A555="",$F555="",$C555&lt;&gt;"Despesa"),"",IF(COUNTIF(Cartoes_Nome,$F555)=0,"",DATE(P555,O555+IF(DAY($A555)&gt;=INDEX(Cartoes_Fech,MATCH($F555,Cartoes_Nome,0)),1,0),1)))</f>
        <v/>
      </c>
      <c r="T555" s="42" t="str">
        <f>IF($A555="","",IF(COUNTIFS(L_Data,$A555,L_Desc,$B555,L_Valor,$N555,L_Tipo,$C555)&gt;1,"⚠ Possível duplicidade",IF(OR(AND($C555="Despesa",COUNTIF(CatD_Nome,$D555)=0),AND($C555="Receita",COUNTIF(CatR_Nome,$D555)=0)),"⚠ Categoria não combina com o tipo",IF(OR($N555="",$C555=""),"⚠ Falta valor ou tipo",""))))</f>
        <v/>
      </c>
      <c r="U555" s="40">
        <f>IF($A555="",0,P555*12+O555)</f>
        <v>24321</v>
      </c>
      <c r="V555" s="40">
        <f>IF($A555="",0,U555+MAX(0,N($I555)-MAX(N($H555),1)))</f>
        <v>24321</v>
      </c>
      <c r="W555" s="40">
        <f>IF(S555="",0,YEAR(S555)*12+MONTH(S555))</f>
        <v>0</v>
      </c>
      <c r="X555" s="40">
        <f>IF(W555=0,0,W555+V555-U555)</f>
        <v>0</v>
      </c>
      <c r="Y555" s="36">
        <f>IF(W555=0,0,N(R555)*MAX(0,X555-MAX(W555,YEAR(Cfg_Hoje)*12+MONTH(Cfg_Hoje)+IF(DAY(Cfg_Hoje)&gt;=INDEX(Cartoes_Fech,MATCH($F555,Cartoes_Nome,0)),1,0))+1))</f>
        <v>0</v>
      </c>
      <c r="Z555" s="40">
        <f>IF($A555="",0,DAY($A555))</f>
        <v>18</v>
      </c>
      <c r="AA555" s="40">
        <f>IF($A555="",0,WEEKDAY($A555))</f>
        <v>6</v>
      </c>
      <c r="AB555" s="36">
        <f>IF(AND($C555="Despesa",U555&gt;0,U555&lt;=Sel_Idx,V555&gt;=Sel_Idx),N(R555)+ROW()/1000000000,0)</f>
        <v>38.350000555</v>
      </c>
      <c r="AC555" s="40">
        <f>IF(AND($C555="Despesa",U555&gt;0,U555&lt;=Sel_Idx,V555&gt;=Sel_Idx),Z555*10000+ROW(),0)</f>
        <v>180555</v>
      </c>
      <c r="AD555" s="40">
        <f>IF(AC555=0,0,COUNTIFS(L_CalChave,"&gt;0",L_CalChave,"&lt;"&amp;AC555)+1)</f>
        <v>22</v>
      </c>
    </row>
    <row r="556">
      <c r="A556" s="38" t="n">
        <v>46283</v>
      </c>
      <c r="B556" s="39" t="inlineStr">
        <is>
          <t>Hospedagem viagem de fim de semana</t>
        </is>
      </c>
      <c r="C556" s="34" t="inlineStr">
        <is>
          <t>Despesa</t>
        </is>
      </c>
      <c r="D556" s="34" t="inlineStr">
        <is>
          <t>Lazer</t>
        </is>
      </c>
      <c r="E556" s="34" t="inlineStr">
        <is>
          <t>Viagens</t>
        </is>
      </c>
      <c r="F556" s="34" t="inlineStr">
        <is>
          <t>Cartão Azul Gold</t>
        </is>
      </c>
      <c r="G556" s="34" t="inlineStr">
        <is>
          <t>Crédito</t>
        </is>
      </c>
      <c r="H556" s="37" t="n"/>
      <c r="I556" s="37" t="n"/>
      <c r="J556" s="34" t="inlineStr">
        <is>
          <t>Pago</t>
        </is>
      </c>
      <c r="K556" s="34" t="inlineStr">
        <is>
          <t>#viagem</t>
        </is>
      </c>
      <c r="L556" s="34" t="n"/>
      <c r="M556" s="39" t="inlineStr">
        <is>
          <t>EXEMPLO</t>
        </is>
      </c>
      <c r="N556" s="35" t="n">
        <v>950</v>
      </c>
      <c r="O556" s="40">
        <f>IF($A556="","",MONTH($A556))</f>
        <v>9</v>
      </c>
      <c r="P556" s="40">
        <f>IF($A556="","",YEAR($A556))</f>
        <v>2026</v>
      </c>
      <c r="Q556" s="41">
        <f>IF($A556="","",DATE(P556,O556,1))</f>
        <v>46266.0</v>
      </c>
      <c r="R556" s="36">
        <f>IF(OR($A556="",$N556=""),"",IF(AND($C556&lt;&gt;"Transferência",N($I556)&gt;1),$N556/$I556,$N556))</f>
        <v>950</v>
      </c>
      <c r="S556" s="41">
        <f>IF(OR($A556="",$F556="",$C556&lt;&gt;"Despesa"),"",IF(COUNTIF(Cartoes_Nome,$F556)=0,"",DATE(P556,O556+IF(DAY($A556)&gt;=INDEX(Cartoes_Fech,MATCH($F556,Cartoes_Nome,0)),1,0),1)))</f>
        <v>46296.0</v>
      </c>
      <c r="T556" s="42" t="str">
        <f>IF($A556="","",IF(COUNTIFS(L_Data,$A556,L_Desc,$B556,L_Valor,$N556,L_Tipo,$C556)&gt;1,"⚠ Possível duplicidade",IF(OR(AND($C556="Despesa",COUNTIF(CatD_Nome,$D556)=0),AND($C556="Receita",COUNTIF(CatR_Nome,$D556)=0)),"⚠ Categoria não combina com o tipo",IF(OR($N556="",$C556=""),"⚠ Falta valor ou tipo",""))))</f>
        <v/>
      </c>
      <c r="U556" s="40">
        <f>IF($A556="",0,P556*12+O556)</f>
        <v>24321</v>
      </c>
      <c r="V556" s="40">
        <f>IF($A556="",0,U556+MAX(0,N($I556)-MAX(N($H556),1)))</f>
        <v>24321</v>
      </c>
      <c r="W556" s="40">
        <f>IF(S556="",0,YEAR(S556)*12+MONTH(S556))</f>
        <v>24322</v>
      </c>
      <c r="X556" s="40">
        <f>IF(W556=0,0,W556+V556-U556)</f>
        <v>24322</v>
      </c>
      <c r="Y556" s="36">
        <f>IF(W556=0,0,N(R556)*MAX(0,X556-MAX(W556,YEAR(Cfg_Hoje)*12+MONTH(Cfg_Hoje)+IF(DAY(Cfg_Hoje)&gt;=INDEX(Cartoes_Fech,MATCH($F556,Cartoes_Nome,0)),1,0))+1))</f>
        <v>950</v>
      </c>
      <c r="Z556" s="40">
        <f>IF($A556="",0,DAY($A556))</f>
        <v>18</v>
      </c>
      <c r="AA556" s="40">
        <f>IF($A556="",0,WEEKDAY($A556))</f>
        <v>6</v>
      </c>
      <c r="AB556" s="36">
        <f>IF(AND($C556="Despesa",U556&gt;0,U556&lt;=Sel_Idx,V556&gt;=Sel_Idx),N(R556)+ROW()/1000000000,0)</f>
        <v>950.000000556</v>
      </c>
      <c r="AC556" s="40">
        <f>IF(AND($C556="Despesa",U556&gt;0,U556&lt;=Sel_Idx,V556&gt;=Sel_Idx),Z556*10000+ROW(),0)</f>
        <v>180556</v>
      </c>
      <c r="AD556" s="40">
        <f>IF(AC556=0,0,COUNTIFS(L_CalChave,"&gt;0",L_CalChave,"&lt;"&amp;AC556)+1)</f>
        <v>23</v>
      </c>
    </row>
    <row r="557">
      <c r="A557" s="38" t="n">
        <v>46283</v>
      </c>
      <c r="B557" s="39" t="inlineStr">
        <is>
          <t>Restaurante</t>
        </is>
      </c>
      <c r="C557" s="34" t="inlineStr">
        <is>
          <t>Despesa</t>
        </is>
      </c>
      <c r="D557" s="34" t="inlineStr">
        <is>
          <t>Alimentação</t>
        </is>
      </c>
      <c r="E557" s="34" t="inlineStr">
        <is>
          <t>Delivery</t>
        </is>
      </c>
      <c r="F557" s="34" t="inlineStr">
        <is>
          <t>Cartão Azul Gold</t>
        </is>
      </c>
      <c r="G557" s="34" t="inlineStr">
        <is>
          <t>Crédito</t>
        </is>
      </c>
      <c r="H557" s="37" t="n"/>
      <c r="I557" s="37" t="n"/>
      <c r="J557" s="34" t="inlineStr">
        <is>
          <t>Pago</t>
        </is>
      </c>
      <c r="K557" s="34" t="n"/>
      <c r="L557" s="34" t="n"/>
      <c r="M557" s="39" t="inlineStr">
        <is>
          <t>EXEMPLO</t>
        </is>
      </c>
      <c r="N557" s="35" t="n">
        <v>84.14</v>
      </c>
      <c r="O557" s="40">
        <f>IF($A557="","",MONTH($A557))</f>
        <v>9</v>
      </c>
      <c r="P557" s="40">
        <f>IF($A557="","",YEAR($A557))</f>
        <v>2026</v>
      </c>
      <c r="Q557" s="41">
        <f>IF($A557="","",DATE(P557,O557,1))</f>
        <v>46266.0</v>
      </c>
      <c r="R557" s="36">
        <f>IF(OR($A557="",$N557=""),"",IF(AND($C557&lt;&gt;"Transferência",N($I557)&gt;1),$N557/$I557,$N557))</f>
        <v>84.14</v>
      </c>
      <c r="S557" s="41">
        <f>IF(OR($A557="",$F557="",$C557&lt;&gt;"Despesa"),"",IF(COUNTIF(Cartoes_Nome,$F557)=0,"",DATE(P557,O557+IF(DAY($A557)&gt;=INDEX(Cartoes_Fech,MATCH($F557,Cartoes_Nome,0)),1,0),1)))</f>
        <v>46296.0</v>
      </c>
      <c r="T557" s="42" t="str">
        <f>IF($A557="","",IF(COUNTIFS(L_Data,$A557,L_Desc,$B557,L_Valor,$N557,L_Tipo,$C557)&gt;1,"⚠ Possível duplicidade",IF(OR(AND($C557="Despesa",COUNTIF(CatD_Nome,$D557)=0),AND($C557="Receita",COUNTIF(CatR_Nome,$D557)=0)),"⚠ Categoria não combina com o tipo",IF(OR($N557="",$C557=""),"⚠ Falta valor ou tipo",""))))</f>
        <v/>
      </c>
      <c r="U557" s="40">
        <f>IF($A557="",0,P557*12+O557)</f>
        <v>24321</v>
      </c>
      <c r="V557" s="40">
        <f>IF($A557="",0,U557+MAX(0,N($I557)-MAX(N($H557),1)))</f>
        <v>24321</v>
      </c>
      <c r="W557" s="40">
        <f>IF(S557="",0,YEAR(S557)*12+MONTH(S557))</f>
        <v>24322</v>
      </c>
      <c r="X557" s="40">
        <f>IF(W557=0,0,W557+V557-U557)</f>
        <v>24322</v>
      </c>
      <c r="Y557" s="36">
        <f>IF(W557=0,0,N(R557)*MAX(0,X557-MAX(W557,YEAR(Cfg_Hoje)*12+MONTH(Cfg_Hoje)+IF(DAY(Cfg_Hoje)&gt;=INDEX(Cartoes_Fech,MATCH($F557,Cartoes_Nome,0)),1,0))+1))</f>
        <v>84.14</v>
      </c>
      <c r="Z557" s="40">
        <f>IF($A557="",0,DAY($A557))</f>
        <v>18</v>
      </c>
      <c r="AA557" s="40">
        <f>IF($A557="",0,WEEKDAY($A557))</f>
        <v>6</v>
      </c>
      <c r="AB557" s="36">
        <f>IF(AND($C557="Despesa",U557&gt;0,U557&lt;=Sel_Idx,V557&gt;=Sel_Idx),N(R557)+ROW()/1000000000,0)</f>
        <v>84.140000557</v>
      </c>
      <c r="AC557" s="40">
        <f>IF(AND($C557="Despesa",U557&gt;0,U557&lt;=Sel_Idx,V557&gt;=Sel_Idx),Z557*10000+ROW(),0)</f>
        <v>180557</v>
      </c>
      <c r="AD557" s="40">
        <f>IF(AC557=0,0,COUNTIFS(L_CalChave,"&gt;0",L_CalChave,"&lt;"&amp;AC557)+1)</f>
        <v>24</v>
      </c>
    </row>
    <row r="558">
      <c r="A558" s="38" t="n">
        <v>46284</v>
      </c>
      <c r="B558" s="39" t="inlineStr">
        <is>
          <t>Supermercado</t>
        </is>
      </c>
      <c r="C558" s="34" t="inlineStr">
        <is>
          <t>Despesa</t>
        </is>
      </c>
      <c r="D558" s="34" t="inlineStr">
        <is>
          <t>Alimentação</t>
        </is>
      </c>
      <c r="E558" s="34" t="inlineStr">
        <is>
          <t>Mercado</t>
        </is>
      </c>
      <c r="F558" s="34" t="inlineStr">
        <is>
          <t>Cartão Azul Gold</t>
        </is>
      </c>
      <c r="G558" s="34" t="inlineStr">
        <is>
          <t>Crédito</t>
        </is>
      </c>
      <c r="H558" s="37" t="n"/>
      <c r="I558" s="37" t="n"/>
      <c r="J558" s="34" t="inlineStr">
        <is>
          <t>Pago</t>
        </is>
      </c>
      <c r="K558" s="34" t="n"/>
      <c r="L558" s="34" t="n"/>
      <c r="M558" s="39" t="inlineStr">
        <is>
          <t>EXEMPLO</t>
        </is>
      </c>
      <c r="N558" s="35" t="n">
        <v>479.93</v>
      </c>
      <c r="O558" s="40">
        <f>IF($A558="","",MONTH($A558))</f>
        <v>9</v>
      </c>
      <c r="P558" s="40">
        <f>IF($A558="","",YEAR($A558))</f>
        <v>2026</v>
      </c>
      <c r="Q558" s="41">
        <f>IF($A558="","",DATE(P558,O558,1))</f>
        <v>46266.0</v>
      </c>
      <c r="R558" s="36">
        <f>IF(OR($A558="",$N558=""),"",IF(AND($C558&lt;&gt;"Transferência",N($I558)&gt;1),$N558/$I558,$N558))</f>
        <v>479.93</v>
      </c>
      <c r="S558" s="41">
        <f>IF(OR($A558="",$F558="",$C558&lt;&gt;"Despesa"),"",IF(COUNTIF(Cartoes_Nome,$F558)=0,"",DATE(P558,O558+IF(DAY($A558)&gt;=INDEX(Cartoes_Fech,MATCH($F558,Cartoes_Nome,0)),1,0),1)))</f>
        <v>46296.0</v>
      </c>
      <c r="T558" s="42" t="str">
        <f>IF($A558="","",IF(COUNTIFS(L_Data,$A558,L_Desc,$B558,L_Valor,$N558,L_Tipo,$C558)&gt;1,"⚠ Possível duplicidade",IF(OR(AND($C558="Despesa",COUNTIF(CatD_Nome,$D558)=0),AND($C558="Receita",COUNTIF(CatR_Nome,$D558)=0)),"⚠ Categoria não combina com o tipo",IF(OR($N558="",$C558=""),"⚠ Falta valor ou tipo",""))))</f>
        <v/>
      </c>
      <c r="U558" s="40">
        <f>IF($A558="",0,P558*12+O558)</f>
        <v>24321</v>
      </c>
      <c r="V558" s="40">
        <f>IF($A558="",0,U558+MAX(0,N($I558)-MAX(N($H558),1)))</f>
        <v>24321</v>
      </c>
      <c r="W558" s="40">
        <f>IF(S558="",0,YEAR(S558)*12+MONTH(S558))</f>
        <v>24322</v>
      </c>
      <c r="X558" s="40">
        <f>IF(W558=0,0,W558+V558-U558)</f>
        <v>24322</v>
      </c>
      <c r="Y558" s="36">
        <f>IF(W558=0,0,N(R558)*MAX(0,X558-MAX(W558,YEAR(Cfg_Hoje)*12+MONTH(Cfg_Hoje)+IF(DAY(Cfg_Hoje)&gt;=INDEX(Cartoes_Fech,MATCH($F558,Cartoes_Nome,0)),1,0))+1))</f>
        <v>479.93</v>
      </c>
      <c r="Z558" s="40">
        <f>IF($A558="",0,DAY($A558))</f>
        <v>19</v>
      </c>
      <c r="AA558" s="40">
        <f>IF($A558="",0,WEEKDAY($A558))</f>
        <v>7</v>
      </c>
      <c r="AB558" s="36">
        <f>IF(AND($C558="Despesa",U558&gt;0,U558&lt;=Sel_Idx,V558&gt;=Sel_Idx),N(R558)+ROW()/1000000000,0)</f>
        <v>479.930000558</v>
      </c>
      <c r="AC558" s="40">
        <f>IF(AND($C558="Despesa",U558&gt;0,U558&lt;=Sel_Idx,V558&gt;=Sel_Idx),Z558*10000+ROW(),0)</f>
        <v>190558</v>
      </c>
      <c r="AD558" s="40">
        <f>IF(AC558=0,0,COUNTIFS(L_CalChave,"&gt;0",L_CalChave,"&lt;"&amp;AC558)+1)</f>
        <v>25</v>
      </c>
    </row>
    <row r="559">
      <c r="A559" s="38" t="n">
        <v>46285</v>
      </c>
      <c r="B559" s="39" t="inlineStr">
        <is>
          <t>Internet fibra</t>
        </is>
      </c>
      <c r="C559" s="34" t="inlineStr">
        <is>
          <t>Despesa</t>
        </is>
      </c>
      <c r="D559" s="34" t="inlineStr">
        <is>
          <t>Moradia</t>
        </is>
      </c>
      <c r="E559" s="34" t="inlineStr">
        <is>
          <t>Internet</t>
        </is>
      </c>
      <c r="F559" s="34" t="inlineStr">
        <is>
          <t>Conta Corrente Banco Azul</t>
        </is>
      </c>
      <c r="G559" s="34" t="inlineStr">
        <is>
          <t>Débito automático</t>
        </is>
      </c>
      <c r="H559" s="37" t="n"/>
      <c r="I559" s="37" t="n"/>
      <c r="J559" s="34" t="inlineStr">
        <is>
          <t>Pago</t>
        </is>
      </c>
      <c r="K559" s="34" t="n"/>
      <c r="L559" s="34" t="n"/>
      <c r="M559" s="39" t="inlineStr">
        <is>
          <t>EXEMPLO</t>
        </is>
      </c>
      <c r="N559" s="35" t="n">
        <v>129.9</v>
      </c>
      <c r="O559" s="40">
        <f>IF($A559="","",MONTH($A559))</f>
        <v>9</v>
      </c>
      <c r="P559" s="40">
        <f>IF($A559="","",YEAR($A559))</f>
        <v>2026</v>
      </c>
      <c r="Q559" s="41">
        <f>IF($A559="","",DATE(P559,O559,1))</f>
        <v>46266.0</v>
      </c>
      <c r="R559" s="36">
        <f>IF(OR($A559="",$N559=""),"",IF(AND($C559&lt;&gt;"Transferência",N($I559)&gt;1),$N559/$I559,$N559))</f>
        <v>129.9</v>
      </c>
      <c r="S559" s="41" t="str">
        <f>IF(OR($A559="",$F559="",$C559&lt;&gt;"Despesa"),"",IF(COUNTIF(Cartoes_Nome,$F559)=0,"",DATE(P559,O559+IF(DAY($A559)&gt;=INDEX(Cartoes_Fech,MATCH($F559,Cartoes_Nome,0)),1,0),1)))</f>
        <v/>
      </c>
      <c r="T559" s="42" t="str">
        <f>IF($A559="","",IF(COUNTIFS(L_Data,$A559,L_Desc,$B559,L_Valor,$N559,L_Tipo,$C559)&gt;1,"⚠ Possível duplicidade",IF(OR(AND($C559="Despesa",COUNTIF(CatD_Nome,$D559)=0),AND($C559="Receita",COUNTIF(CatR_Nome,$D559)=0)),"⚠ Categoria não combina com o tipo",IF(OR($N559="",$C559=""),"⚠ Falta valor ou tipo",""))))</f>
        <v/>
      </c>
      <c r="U559" s="40">
        <f>IF($A559="",0,P559*12+O559)</f>
        <v>24321</v>
      </c>
      <c r="V559" s="40">
        <f>IF($A559="",0,U559+MAX(0,N($I559)-MAX(N($H559),1)))</f>
        <v>24321</v>
      </c>
      <c r="W559" s="40">
        <f>IF(S559="",0,YEAR(S559)*12+MONTH(S559))</f>
        <v>0</v>
      </c>
      <c r="X559" s="40">
        <f>IF(W559=0,0,W559+V559-U559)</f>
        <v>0</v>
      </c>
      <c r="Y559" s="36">
        <f>IF(W559=0,0,N(R559)*MAX(0,X559-MAX(W559,YEAR(Cfg_Hoje)*12+MONTH(Cfg_Hoje)+IF(DAY(Cfg_Hoje)&gt;=INDEX(Cartoes_Fech,MATCH($F559,Cartoes_Nome,0)),1,0))+1))</f>
        <v>0</v>
      </c>
      <c r="Z559" s="40">
        <f>IF($A559="",0,DAY($A559))</f>
        <v>20</v>
      </c>
      <c r="AA559" s="40">
        <f>IF($A559="",0,WEEKDAY($A559))</f>
        <v>1</v>
      </c>
      <c r="AB559" s="36">
        <f>IF(AND($C559="Despesa",U559&gt;0,U559&lt;=Sel_Idx,V559&gt;=Sel_Idx),N(R559)+ROW()/1000000000,0)</f>
        <v>129.900000559</v>
      </c>
      <c r="AC559" s="40">
        <f>IF(AND($C559="Despesa",U559&gt;0,U559&lt;=Sel_Idx,V559&gt;=Sel_Idx),Z559*10000+ROW(),0)</f>
        <v>200559</v>
      </c>
      <c r="AD559" s="40">
        <f>IF(AC559=0,0,COUNTIFS(L_CalChave,"&gt;0",L_CalChave,"&lt;"&amp;AC559)+1)</f>
        <v>27</v>
      </c>
    </row>
    <row r="560">
      <c r="A560" s="38" t="n">
        <v>46285</v>
      </c>
      <c r="B560" s="39" t="inlineStr">
        <is>
          <t>Parcela financiamento do carro</t>
        </is>
      </c>
      <c r="C560" s="34" t="inlineStr">
        <is>
          <t>Despesa</t>
        </is>
      </c>
      <c r="D560" s="34" t="inlineStr">
        <is>
          <t>Dívidas e Financiamentos</t>
        </is>
      </c>
      <c r="E560" s="34" t="inlineStr">
        <is>
          <t>Financiamento</t>
        </is>
      </c>
      <c r="F560" s="34" t="inlineStr">
        <is>
          <t>Conta Corrente Banco Azul</t>
        </is>
      </c>
      <c r="G560" s="34" t="inlineStr">
        <is>
          <t>Débito automático</t>
        </is>
      </c>
      <c r="H560" s="37" t="n"/>
      <c r="I560" s="37" t="n"/>
      <c r="J560" s="34" t="inlineStr">
        <is>
          <t>Pago</t>
        </is>
      </c>
      <c r="K560" s="34" t="n"/>
      <c r="L560" s="34" t="n"/>
      <c r="M560" s="39" t="inlineStr">
        <is>
          <t>EXEMPLO</t>
        </is>
      </c>
      <c r="N560" s="35" t="n">
        <v>1150</v>
      </c>
      <c r="O560" s="40">
        <f>IF($A560="","",MONTH($A560))</f>
        <v>9</v>
      </c>
      <c r="P560" s="40">
        <f>IF($A560="","",YEAR($A560))</f>
        <v>2026</v>
      </c>
      <c r="Q560" s="41">
        <f>IF($A560="","",DATE(P560,O560,1))</f>
        <v>46266.0</v>
      </c>
      <c r="R560" s="36">
        <f>IF(OR($A560="",$N560=""),"",IF(AND($C560&lt;&gt;"Transferência",N($I560)&gt;1),$N560/$I560,$N560))</f>
        <v>1150</v>
      </c>
      <c r="S560" s="41" t="str">
        <f>IF(OR($A560="",$F560="",$C560&lt;&gt;"Despesa"),"",IF(COUNTIF(Cartoes_Nome,$F560)=0,"",DATE(P560,O560+IF(DAY($A560)&gt;=INDEX(Cartoes_Fech,MATCH($F560,Cartoes_Nome,0)),1,0),1)))</f>
        <v/>
      </c>
      <c r="T560" s="42" t="str">
        <f>IF($A560="","",IF(COUNTIFS(L_Data,$A560,L_Desc,$B560,L_Valor,$N560,L_Tipo,$C560)&gt;1,"⚠ Possível duplicidade",IF(OR(AND($C560="Despesa",COUNTIF(CatD_Nome,$D560)=0),AND($C560="Receita",COUNTIF(CatR_Nome,$D560)=0)),"⚠ Categoria não combina com o tipo",IF(OR($N560="",$C560=""),"⚠ Falta valor ou tipo",""))))</f>
        <v/>
      </c>
      <c r="U560" s="40">
        <f>IF($A560="",0,P560*12+O560)</f>
        <v>24321</v>
      </c>
      <c r="V560" s="40">
        <f>IF($A560="",0,U560+MAX(0,N($I560)-MAX(N($H560),1)))</f>
        <v>24321</v>
      </c>
      <c r="W560" s="40">
        <f>IF(S560="",0,YEAR(S560)*12+MONTH(S560))</f>
        <v>0</v>
      </c>
      <c r="X560" s="40">
        <f>IF(W560=0,0,W560+V560-U560)</f>
        <v>0</v>
      </c>
      <c r="Y560" s="36">
        <f>IF(W560=0,0,N(R560)*MAX(0,X560-MAX(W560,YEAR(Cfg_Hoje)*12+MONTH(Cfg_Hoje)+IF(DAY(Cfg_Hoje)&gt;=INDEX(Cartoes_Fech,MATCH($F560,Cartoes_Nome,0)),1,0))+1))</f>
        <v>0</v>
      </c>
      <c r="Z560" s="40">
        <f>IF($A560="",0,DAY($A560))</f>
        <v>20</v>
      </c>
      <c r="AA560" s="40">
        <f>IF($A560="",0,WEEKDAY($A560))</f>
        <v>1</v>
      </c>
      <c r="AB560" s="36">
        <f>IF(AND($C560="Despesa",U560&gt;0,U560&lt;=Sel_Idx,V560&gt;=Sel_Idx),N(R560)+ROW()/1000000000,0)</f>
        <v>1150.00000056</v>
      </c>
      <c r="AC560" s="40">
        <f>IF(AND($C560="Despesa",U560&gt;0,U560&lt;=Sel_Idx,V560&gt;=Sel_Idx),Z560*10000+ROW(),0)</f>
        <v>200560</v>
      </c>
      <c r="AD560" s="40">
        <f>IF(AC560=0,0,COUNTIFS(L_CalChave,"&gt;0",L_CalChave,"&lt;"&amp;AC560)+1)</f>
        <v>28</v>
      </c>
    </row>
    <row r="561">
      <c r="A561" s="38" t="n">
        <v>46285</v>
      </c>
      <c r="B561" s="39" t="inlineStr">
        <is>
          <t>Restaurante</t>
        </is>
      </c>
      <c r="C561" s="34" t="inlineStr">
        <is>
          <t>Despesa</t>
        </is>
      </c>
      <c r="D561" s="34" t="inlineStr">
        <is>
          <t>Alimentação</t>
        </is>
      </c>
      <c r="E561" s="34" t="inlineStr">
        <is>
          <t>Restaurantes</t>
        </is>
      </c>
      <c r="F561" s="34" t="inlineStr">
        <is>
          <t>Cartão Azul Gold</t>
        </is>
      </c>
      <c r="G561" s="34" t="inlineStr">
        <is>
          <t>Crédito</t>
        </is>
      </c>
      <c r="H561" s="37" t="n"/>
      <c r="I561" s="37" t="n"/>
      <c r="J561" s="34" t="inlineStr">
        <is>
          <t>Pago</t>
        </is>
      </c>
      <c r="K561" s="34" t="n"/>
      <c r="L561" s="34" t="n"/>
      <c r="M561" s="39" t="inlineStr">
        <is>
          <t>EXEMPLO</t>
        </is>
      </c>
      <c r="N561" s="35" t="n">
        <v>56.86</v>
      </c>
      <c r="O561" s="40">
        <f>IF($A561="","",MONTH($A561))</f>
        <v>9</v>
      </c>
      <c r="P561" s="40">
        <f>IF($A561="","",YEAR($A561))</f>
        <v>2026</v>
      </c>
      <c r="Q561" s="41">
        <f>IF($A561="","",DATE(P561,O561,1))</f>
        <v>46266.0</v>
      </c>
      <c r="R561" s="36">
        <f>IF(OR($A561="",$N561=""),"",IF(AND($C561&lt;&gt;"Transferência",N($I561)&gt;1),$N561/$I561,$N561))</f>
        <v>56.86</v>
      </c>
      <c r="S561" s="41">
        <f>IF(OR($A561="",$F561="",$C561&lt;&gt;"Despesa"),"",IF(COUNTIF(Cartoes_Nome,$F561)=0,"",DATE(P561,O561+IF(DAY($A561)&gt;=INDEX(Cartoes_Fech,MATCH($F561,Cartoes_Nome,0)),1,0),1)))</f>
        <v>46296.0</v>
      </c>
      <c r="T561" s="42" t="str">
        <f>IF($A561="","",IF(COUNTIFS(L_Data,$A561,L_Desc,$B561,L_Valor,$N561,L_Tipo,$C561)&gt;1,"⚠ Possível duplicidade",IF(OR(AND($C561="Despesa",COUNTIF(CatD_Nome,$D561)=0),AND($C561="Receita",COUNTIF(CatR_Nome,$D561)=0)),"⚠ Categoria não combina com o tipo",IF(OR($N561="",$C561=""),"⚠ Falta valor ou tipo",""))))</f>
        <v/>
      </c>
      <c r="U561" s="40">
        <f>IF($A561="",0,P561*12+O561)</f>
        <v>24321</v>
      </c>
      <c r="V561" s="40">
        <f>IF($A561="",0,U561+MAX(0,N($I561)-MAX(N($H561),1)))</f>
        <v>24321</v>
      </c>
      <c r="W561" s="40">
        <f>IF(S561="",0,YEAR(S561)*12+MONTH(S561))</f>
        <v>24322</v>
      </c>
      <c r="X561" s="40">
        <f>IF(W561=0,0,W561+V561-U561)</f>
        <v>24322</v>
      </c>
      <c r="Y561" s="36">
        <f>IF(W561=0,0,N(R561)*MAX(0,X561-MAX(W561,YEAR(Cfg_Hoje)*12+MONTH(Cfg_Hoje)+IF(DAY(Cfg_Hoje)&gt;=INDEX(Cartoes_Fech,MATCH($F561,Cartoes_Nome,0)),1,0))+1))</f>
        <v>56.86</v>
      </c>
      <c r="Z561" s="40">
        <f>IF($A561="",0,DAY($A561))</f>
        <v>20</v>
      </c>
      <c r="AA561" s="40">
        <f>IF($A561="",0,WEEKDAY($A561))</f>
        <v>1</v>
      </c>
      <c r="AB561" s="36">
        <f>IF(AND($C561="Despesa",U561&gt;0,U561&lt;=Sel_Idx,V561&gt;=Sel_Idx),N(R561)+ROW()/1000000000,0)</f>
        <v>56.860000561</v>
      </c>
      <c r="AC561" s="40">
        <f>IF(AND($C561="Despesa",U561&gt;0,U561&lt;=Sel_Idx,V561&gt;=Sel_Idx),Z561*10000+ROW(),0)</f>
        <v>200561</v>
      </c>
      <c r="AD561" s="40">
        <f>IF(AC561=0,0,COUNTIFS(L_CalChave,"&gt;0",L_CalChave,"&lt;"&amp;AC561)+1)</f>
        <v>29</v>
      </c>
    </row>
    <row r="562">
      <c r="A562" s="38" t="n">
        <v>46287</v>
      </c>
      <c r="B562" s="39" t="inlineStr">
        <is>
          <t>Farmácia</t>
        </is>
      </c>
      <c r="C562" s="34" t="inlineStr">
        <is>
          <t>Despesa</t>
        </is>
      </c>
      <c r="D562" s="34" t="inlineStr">
        <is>
          <t>Saúde</t>
        </is>
      </c>
      <c r="E562" s="34" t="inlineStr">
        <is>
          <t>Farmácia</t>
        </is>
      </c>
      <c r="F562" s="34" t="inlineStr">
        <is>
          <t>Cartão Azul Gold</t>
        </is>
      </c>
      <c r="G562" s="34" t="inlineStr">
        <is>
          <t>Crédito</t>
        </is>
      </c>
      <c r="H562" s="37" t="n"/>
      <c r="I562" s="37" t="n"/>
      <c r="J562" s="34" t="inlineStr">
        <is>
          <t>Pago</t>
        </is>
      </c>
      <c r="K562" s="34" t="n"/>
      <c r="L562" s="34" t="n"/>
      <c r="M562" s="39" t="inlineStr">
        <is>
          <t>EXEMPLO</t>
        </is>
      </c>
      <c r="N562" s="35" t="n">
        <v>109.25</v>
      </c>
      <c r="O562" s="40">
        <f>IF($A562="","",MONTH($A562))</f>
        <v>9</v>
      </c>
      <c r="P562" s="40">
        <f>IF($A562="","",YEAR($A562))</f>
        <v>2026</v>
      </c>
      <c r="Q562" s="41">
        <f>IF($A562="","",DATE(P562,O562,1))</f>
        <v>46266.0</v>
      </c>
      <c r="R562" s="36">
        <f>IF(OR($A562="",$N562=""),"",IF(AND($C562&lt;&gt;"Transferência",N($I562)&gt;1),$N562/$I562,$N562))</f>
        <v>109.25</v>
      </c>
      <c r="S562" s="41">
        <f>IF(OR($A562="",$F562="",$C562&lt;&gt;"Despesa"),"",IF(COUNTIF(Cartoes_Nome,$F562)=0,"",DATE(P562,O562+IF(DAY($A562)&gt;=INDEX(Cartoes_Fech,MATCH($F562,Cartoes_Nome,0)),1,0),1)))</f>
        <v>46296.0</v>
      </c>
      <c r="T562" s="42" t="str">
        <f>IF($A562="","",IF(COUNTIFS(L_Data,$A562,L_Desc,$B562,L_Valor,$N562,L_Tipo,$C562)&gt;1,"⚠ Possível duplicidade",IF(OR(AND($C562="Despesa",COUNTIF(CatD_Nome,$D562)=0),AND($C562="Receita",COUNTIF(CatR_Nome,$D562)=0)),"⚠ Categoria não combina com o tipo",IF(OR($N562="",$C562=""),"⚠ Falta valor ou tipo",""))))</f>
        <v/>
      </c>
      <c r="U562" s="40">
        <f>IF($A562="",0,P562*12+O562)</f>
        <v>24321</v>
      </c>
      <c r="V562" s="40">
        <f>IF($A562="",0,U562+MAX(0,N($I562)-MAX(N($H562),1)))</f>
        <v>24321</v>
      </c>
      <c r="W562" s="40">
        <f>IF(S562="",0,YEAR(S562)*12+MONTH(S562))</f>
        <v>24322</v>
      </c>
      <c r="X562" s="40">
        <f>IF(W562=0,0,W562+V562-U562)</f>
        <v>24322</v>
      </c>
      <c r="Y562" s="36">
        <f>IF(W562=0,0,N(R562)*MAX(0,X562-MAX(W562,YEAR(Cfg_Hoje)*12+MONTH(Cfg_Hoje)+IF(DAY(Cfg_Hoje)&gt;=INDEX(Cartoes_Fech,MATCH($F562,Cartoes_Nome,0)),1,0))+1))</f>
        <v>109.25</v>
      </c>
      <c r="Z562" s="40">
        <f>IF($A562="",0,DAY($A562))</f>
        <v>22</v>
      </c>
      <c r="AA562" s="40">
        <f>IF($A562="",0,WEEKDAY($A562))</f>
        <v>3</v>
      </c>
      <c r="AB562" s="36">
        <f>IF(AND($C562="Despesa",U562&gt;0,U562&lt;=Sel_Idx,V562&gt;=Sel_Idx),N(R562)+ROW()/1000000000,0)</f>
        <v>109.250000562</v>
      </c>
      <c r="AC562" s="40">
        <f>IF(AND($C562="Despesa",U562&gt;0,U562&lt;=Sel_Idx,V562&gt;=Sel_Idx),Z562*10000+ROW(),0)</f>
        <v>220562</v>
      </c>
      <c r="AD562" s="40">
        <f>IF(AC562=0,0,COUNTIFS(L_CalChave,"&gt;0",L_CalChave,"&lt;"&amp;AC562)+1)</f>
        <v>30</v>
      </c>
    </row>
    <row r="563">
      <c r="A563" s="38" t="n">
        <v>46287</v>
      </c>
      <c r="B563" s="39" t="inlineStr">
        <is>
          <t>Parcela empréstimo pessoal</t>
        </is>
      </c>
      <c r="C563" s="34" t="inlineStr">
        <is>
          <t>Despesa</t>
        </is>
      </c>
      <c r="D563" s="34" t="inlineStr">
        <is>
          <t>Dívidas e Financiamentos</t>
        </is>
      </c>
      <c r="E563" s="34" t="inlineStr">
        <is>
          <t>Empréstimo</t>
        </is>
      </c>
      <c r="F563" s="34" t="inlineStr">
        <is>
          <t>Conta Corrente Banco Azul</t>
        </is>
      </c>
      <c r="G563" s="34" t="inlineStr">
        <is>
          <t>Débito automático</t>
        </is>
      </c>
      <c r="H563" s="37" t="n"/>
      <c r="I563" s="37" t="n"/>
      <c r="J563" s="34" t="inlineStr">
        <is>
          <t>Pago</t>
        </is>
      </c>
      <c r="K563" s="34" t="n"/>
      <c r="L563" s="34" t="n"/>
      <c r="M563" s="39" t="inlineStr">
        <is>
          <t>EXEMPLO</t>
        </is>
      </c>
      <c r="N563" s="35" t="n">
        <v>580</v>
      </c>
      <c r="O563" s="40">
        <f>IF($A563="","",MONTH($A563))</f>
        <v>9</v>
      </c>
      <c r="P563" s="40">
        <f>IF($A563="","",YEAR($A563))</f>
        <v>2026</v>
      </c>
      <c r="Q563" s="41">
        <f>IF($A563="","",DATE(P563,O563,1))</f>
        <v>46266.0</v>
      </c>
      <c r="R563" s="36">
        <f>IF(OR($A563="",$N563=""),"",IF(AND($C563&lt;&gt;"Transferência",N($I563)&gt;1),$N563/$I563,$N563))</f>
        <v>580</v>
      </c>
      <c r="S563" s="41" t="str">
        <f>IF(OR($A563="",$F563="",$C563&lt;&gt;"Despesa"),"",IF(COUNTIF(Cartoes_Nome,$F563)=0,"",DATE(P563,O563+IF(DAY($A563)&gt;=INDEX(Cartoes_Fech,MATCH($F563,Cartoes_Nome,0)),1,0),1)))</f>
        <v/>
      </c>
      <c r="T563" s="42" t="str">
        <f>IF($A563="","",IF(COUNTIFS(L_Data,$A563,L_Desc,$B563,L_Valor,$N563,L_Tipo,$C563)&gt;1,"⚠ Possível duplicidade",IF(OR(AND($C563="Despesa",COUNTIF(CatD_Nome,$D563)=0),AND($C563="Receita",COUNTIF(CatR_Nome,$D563)=0)),"⚠ Categoria não combina com o tipo",IF(OR($N563="",$C563=""),"⚠ Falta valor ou tipo",""))))</f>
        <v/>
      </c>
      <c r="U563" s="40">
        <f>IF($A563="",0,P563*12+O563)</f>
        <v>24321</v>
      </c>
      <c r="V563" s="40">
        <f>IF($A563="",0,U563+MAX(0,N($I563)-MAX(N($H563),1)))</f>
        <v>24321</v>
      </c>
      <c r="W563" s="40">
        <f>IF(S563="",0,YEAR(S563)*12+MONTH(S563))</f>
        <v>0</v>
      </c>
      <c r="X563" s="40">
        <f>IF(W563=0,0,W563+V563-U563)</f>
        <v>0</v>
      </c>
      <c r="Y563" s="36">
        <f>IF(W563=0,0,N(R563)*MAX(0,X563-MAX(W563,YEAR(Cfg_Hoje)*12+MONTH(Cfg_Hoje)+IF(DAY(Cfg_Hoje)&gt;=INDEX(Cartoes_Fech,MATCH($F563,Cartoes_Nome,0)),1,0))+1))</f>
        <v>0</v>
      </c>
      <c r="Z563" s="40">
        <f>IF($A563="",0,DAY($A563))</f>
        <v>22</v>
      </c>
      <c r="AA563" s="40">
        <f>IF($A563="",0,WEEKDAY($A563))</f>
        <v>3</v>
      </c>
      <c r="AB563" s="36">
        <f>IF(AND($C563="Despesa",U563&gt;0,U563&lt;=Sel_Idx,V563&gt;=Sel_Idx),N(R563)+ROW()/1000000000,0)</f>
        <v>580.000000563</v>
      </c>
      <c r="AC563" s="40">
        <f>IF(AND($C563="Despesa",U563&gt;0,U563&lt;=Sel_Idx,V563&gt;=Sel_Idx),Z563*10000+ROW(),0)</f>
        <v>220563</v>
      </c>
      <c r="AD563" s="40">
        <f>IF(AC563=0,0,COUNTIFS(L_CalChave,"&gt;0",L_CalChave,"&lt;"&amp;AC563)+1)</f>
        <v>31</v>
      </c>
    </row>
    <row r="564">
      <c r="A564" s="38" t="n">
        <v>46288</v>
      </c>
      <c r="B564" s="39" t="inlineStr">
        <is>
          <t>Corrida de aplicativo</t>
        </is>
      </c>
      <c r="C564" s="34" t="inlineStr">
        <is>
          <t>Despesa</t>
        </is>
      </c>
      <c r="D564" s="34" t="inlineStr">
        <is>
          <t>Transporte</t>
        </is>
      </c>
      <c r="E564" s="34" t="inlineStr">
        <is>
          <t>App de transporte</t>
        </is>
      </c>
      <c r="F564" s="34" t="inlineStr">
        <is>
          <t>Conta Corrente Banco Azul</t>
        </is>
      </c>
      <c r="G564" s="34" t="inlineStr">
        <is>
          <t>Pix</t>
        </is>
      </c>
      <c r="H564" s="37" t="n"/>
      <c r="I564" s="37" t="n"/>
      <c r="J564" s="34" t="inlineStr">
        <is>
          <t>Pago</t>
        </is>
      </c>
      <c r="K564" s="34" t="n"/>
      <c r="L564" s="34" t="n"/>
      <c r="M564" s="39" t="inlineStr">
        <is>
          <t>EXEMPLO</t>
        </is>
      </c>
      <c r="N564" s="35" t="n">
        <v>32.66</v>
      </c>
      <c r="O564" s="40">
        <f>IF($A564="","",MONTH($A564))</f>
        <v>9</v>
      </c>
      <c r="P564" s="40">
        <f>IF($A564="","",YEAR($A564))</f>
        <v>2026</v>
      </c>
      <c r="Q564" s="41">
        <f>IF($A564="","",DATE(P564,O564,1))</f>
        <v>46266.0</v>
      </c>
      <c r="R564" s="36">
        <f>IF(OR($A564="",$N564=""),"",IF(AND($C564&lt;&gt;"Transferência",N($I564)&gt;1),$N564/$I564,$N564))</f>
        <v>32.66</v>
      </c>
      <c r="S564" s="41" t="str">
        <f>IF(OR($A564="",$F564="",$C564&lt;&gt;"Despesa"),"",IF(COUNTIF(Cartoes_Nome,$F564)=0,"",DATE(P564,O564+IF(DAY($A564)&gt;=INDEX(Cartoes_Fech,MATCH($F564,Cartoes_Nome,0)),1,0),1)))</f>
        <v/>
      </c>
      <c r="T564" s="42" t="str">
        <f>IF($A564="","",IF(COUNTIFS(L_Data,$A564,L_Desc,$B564,L_Valor,$N564,L_Tipo,$C564)&gt;1,"⚠ Possível duplicidade",IF(OR(AND($C564="Despesa",COUNTIF(CatD_Nome,$D564)=0),AND($C564="Receita",COUNTIF(CatR_Nome,$D564)=0)),"⚠ Categoria não combina com o tipo",IF(OR($N564="",$C564=""),"⚠ Falta valor ou tipo",""))))</f>
        <v/>
      </c>
      <c r="U564" s="40">
        <f>IF($A564="",0,P564*12+O564)</f>
        <v>24321</v>
      </c>
      <c r="V564" s="40">
        <f>IF($A564="",0,U564+MAX(0,N($I564)-MAX(N($H564),1)))</f>
        <v>24321</v>
      </c>
      <c r="W564" s="40">
        <f>IF(S564="",0,YEAR(S564)*12+MONTH(S564))</f>
        <v>0</v>
      </c>
      <c r="X564" s="40">
        <f>IF(W564=0,0,W564+V564-U564)</f>
        <v>0</v>
      </c>
      <c r="Y564" s="36">
        <f>IF(W564=0,0,N(R564)*MAX(0,X564-MAX(W564,YEAR(Cfg_Hoje)*12+MONTH(Cfg_Hoje)+IF(DAY(Cfg_Hoje)&gt;=INDEX(Cartoes_Fech,MATCH($F564,Cartoes_Nome,0)),1,0))+1))</f>
        <v>0</v>
      </c>
      <c r="Z564" s="40">
        <f>IF($A564="",0,DAY($A564))</f>
        <v>23</v>
      </c>
      <c r="AA564" s="40">
        <f>IF($A564="",0,WEEKDAY($A564))</f>
        <v>4</v>
      </c>
      <c r="AB564" s="36">
        <f>IF(AND($C564="Despesa",U564&gt;0,U564&lt;=Sel_Idx,V564&gt;=Sel_Idx),N(R564)+ROW()/1000000000,0)</f>
        <v>32.660000564</v>
      </c>
      <c r="AC564" s="40">
        <f>IF(AND($C564="Despesa",U564&gt;0,U564&lt;=Sel_Idx,V564&gt;=Sel_Idx),Z564*10000+ROW(),0)</f>
        <v>230564</v>
      </c>
      <c r="AD564" s="40">
        <f>IF(AC564=0,0,COUNTIFS(L_CalChave,"&gt;0",L_CalChave,"&lt;"&amp;AC564)+1)</f>
        <v>32</v>
      </c>
    </row>
    <row r="565">
      <c r="A565" s="38" t="n">
        <v>46290</v>
      </c>
      <c r="B565" s="39" t="inlineStr">
        <is>
          <t>Consulta médica</t>
        </is>
      </c>
      <c r="C565" s="34" t="inlineStr">
        <is>
          <t>Despesa</t>
        </is>
      </c>
      <c r="D565" s="34" t="inlineStr">
        <is>
          <t>Saúde</t>
        </is>
      </c>
      <c r="E565" s="34" t="inlineStr">
        <is>
          <t>Consultas</t>
        </is>
      </c>
      <c r="F565" s="34" t="inlineStr">
        <is>
          <t>Conta Corrente Banco Azul</t>
        </is>
      </c>
      <c r="G565" s="34" t="inlineStr">
        <is>
          <t>Pix</t>
        </is>
      </c>
      <c r="H565" s="37" t="n"/>
      <c r="I565" s="37" t="n"/>
      <c r="J565" s="34" t="inlineStr">
        <is>
          <t>Pago</t>
        </is>
      </c>
      <c r="K565" s="34" t="n"/>
      <c r="L565" s="34" t="n"/>
      <c r="M565" s="39" t="inlineStr">
        <is>
          <t>EXEMPLO</t>
        </is>
      </c>
      <c r="N565" s="35" t="n">
        <v>280</v>
      </c>
      <c r="O565" s="40">
        <f>IF($A565="","",MONTH($A565))</f>
        <v>9</v>
      </c>
      <c r="P565" s="40">
        <f>IF($A565="","",YEAR($A565))</f>
        <v>2026</v>
      </c>
      <c r="Q565" s="41">
        <f>IF($A565="","",DATE(P565,O565,1))</f>
        <v>46266.0</v>
      </c>
      <c r="R565" s="36">
        <f>IF(OR($A565="",$N565=""),"",IF(AND($C565&lt;&gt;"Transferência",N($I565)&gt;1),$N565/$I565,$N565))</f>
        <v>280</v>
      </c>
      <c r="S565" s="41" t="str">
        <f>IF(OR($A565="",$F565="",$C565&lt;&gt;"Despesa"),"",IF(COUNTIF(Cartoes_Nome,$F565)=0,"",DATE(P565,O565+IF(DAY($A565)&gt;=INDEX(Cartoes_Fech,MATCH($F565,Cartoes_Nome,0)),1,0),1)))</f>
        <v/>
      </c>
      <c r="T565" s="42" t="str">
        <f>IF($A565="","",IF(COUNTIFS(L_Data,$A565,L_Desc,$B565,L_Valor,$N565,L_Tipo,$C565)&gt;1,"⚠ Possível duplicidade",IF(OR(AND($C565="Despesa",COUNTIF(CatD_Nome,$D565)=0),AND($C565="Receita",COUNTIF(CatR_Nome,$D565)=0)),"⚠ Categoria não combina com o tipo",IF(OR($N565="",$C565=""),"⚠ Falta valor ou tipo",""))))</f>
        <v/>
      </c>
      <c r="U565" s="40">
        <f>IF($A565="",0,P565*12+O565)</f>
        <v>24321</v>
      </c>
      <c r="V565" s="40">
        <f>IF($A565="",0,U565+MAX(0,N($I565)-MAX(N($H565),1)))</f>
        <v>24321</v>
      </c>
      <c r="W565" s="40">
        <f>IF(S565="",0,YEAR(S565)*12+MONTH(S565))</f>
        <v>0</v>
      </c>
      <c r="X565" s="40">
        <f>IF(W565=0,0,W565+V565-U565)</f>
        <v>0</v>
      </c>
      <c r="Y565" s="36">
        <f>IF(W565=0,0,N(R565)*MAX(0,X565-MAX(W565,YEAR(Cfg_Hoje)*12+MONTH(Cfg_Hoje)+IF(DAY(Cfg_Hoje)&gt;=INDEX(Cartoes_Fech,MATCH($F565,Cartoes_Nome,0)),1,0))+1))</f>
        <v>0</v>
      </c>
      <c r="Z565" s="40">
        <f>IF($A565="",0,DAY($A565))</f>
        <v>25</v>
      </c>
      <c r="AA565" s="40">
        <f>IF($A565="",0,WEEKDAY($A565))</f>
        <v>6</v>
      </c>
      <c r="AB565" s="36">
        <f>IF(AND($C565="Despesa",U565&gt;0,U565&lt;=Sel_Idx,V565&gt;=Sel_Idx),N(R565)+ROW()/1000000000,0)</f>
        <v>280.000000565</v>
      </c>
      <c r="AC565" s="40">
        <f>IF(AND($C565="Despesa",U565&gt;0,U565&lt;=Sel_Idx,V565&gt;=Sel_Idx),Z565*10000+ROW(),0)</f>
        <v>250565</v>
      </c>
      <c r="AD565" s="40">
        <f>IF(AC565=0,0,COUNTIFS(L_CalChave,"&gt;0",L_CalChave,"&lt;"&amp;AC565)+1)</f>
        <v>33</v>
      </c>
    </row>
    <row r="566">
      <c r="A566" s="38" t="n">
        <v>46290</v>
      </c>
      <c r="B566" s="39" t="inlineStr">
        <is>
          <t>Parcela renegociação da fatura</t>
        </is>
      </c>
      <c r="C566" s="34" t="inlineStr">
        <is>
          <t>Despesa</t>
        </is>
      </c>
      <c r="D566" s="34" t="inlineStr">
        <is>
          <t>Dívidas e Financiamentos</t>
        </is>
      </c>
      <c r="E566" s="34" t="n"/>
      <c r="F566" s="34" t="inlineStr">
        <is>
          <t>Conta Corrente Banco Azul</t>
        </is>
      </c>
      <c r="G566" s="34" t="inlineStr">
        <is>
          <t>Boleto</t>
        </is>
      </c>
      <c r="H566" s="37" t="n"/>
      <c r="I566" s="37" t="n"/>
      <c r="J566" s="34" t="inlineStr">
        <is>
          <t>Pago</t>
        </is>
      </c>
      <c r="K566" s="34" t="n"/>
      <c r="L566" s="34" t="n"/>
      <c r="M566" s="39" t="inlineStr">
        <is>
          <t>EXEMPLO</t>
        </is>
      </c>
      <c r="N566" s="35" t="n">
        <v>460</v>
      </c>
      <c r="O566" s="40">
        <f>IF($A566="","",MONTH($A566))</f>
        <v>9</v>
      </c>
      <c r="P566" s="40">
        <f>IF($A566="","",YEAR($A566))</f>
        <v>2026</v>
      </c>
      <c r="Q566" s="41">
        <f>IF($A566="","",DATE(P566,O566,1))</f>
        <v>46266.0</v>
      </c>
      <c r="R566" s="36">
        <f>IF(OR($A566="",$N566=""),"",IF(AND($C566&lt;&gt;"Transferência",N($I566)&gt;1),$N566/$I566,$N566))</f>
        <v>460</v>
      </c>
      <c r="S566" s="41" t="str">
        <f>IF(OR($A566="",$F566="",$C566&lt;&gt;"Despesa"),"",IF(COUNTIF(Cartoes_Nome,$F566)=0,"",DATE(P566,O566+IF(DAY($A566)&gt;=INDEX(Cartoes_Fech,MATCH($F566,Cartoes_Nome,0)),1,0),1)))</f>
        <v/>
      </c>
      <c r="T566" s="42" t="str">
        <f>IF($A566="","",IF(COUNTIFS(L_Data,$A566,L_Desc,$B566,L_Valor,$N566,L_Tipo,$C566)&gt;1,"⚠ Possível duplicidade",IF(OR(AND($C566="Despesa",COUNTIF(CatD_Nome,$D566)=0),AND($C566="Receita",COUNTIF(CatR_Nome,$D566)=0)),"⚠ Categoria não combina com o tipo",IF(OR($N566="",$C566=""),"⚠ Falta valor ou tipo",""))))</f>
        <v/>
      </c>
      <c r="U566" s="40">
        <f>IF($A566="",0,P566*12+O566)</f>
        <v>24321</v>
      </c>
      <c r="V566" s="40">
        <f>IF($A566="",0,U566+MAX(0,N($I566)-MAX(N($H566),1)))</f>
        <v>24321</v>
      </c>
      <c r="W566" s="40">
        <f>IF(S566="",0,YEAR(S566)*12+MONTH(S566))</f>
        <v>0</v>
      </c>
      <c r="X566" s="40">
        <f>IF(W566=0,0,W566+V566-U566)</f>
        <v>0</v>
      </c>
      <c r="Y566" s="36">
        <f>IF(W566=0,0,N(R566)*MAX(0,X566-MAX(W566,YEAR(Cfg_Hoje)*12+MONTH(Cfg_Hoje)+IF(DAY(Cfg_Hoje)&gt;=INDEX(Cartoes_Fech,MATCH($F566,Cartoes_Nome,0)),1,0))+1))</f>
        <v>0</v>
      </c>
      <c r="Z566" s="40">
        <f>IF($A566="",0,DAY($A566))</f>
        <v>25</v>
      </c>
      <c r="AA566" s="40">
        <f>IF($A566="",0,WEEKDAY($A566))</f>
        <v>6</v>
      </c>
      <c r="AB566" s="36">
        <f>IF(AND($C566="Despesa",U566&gt;0,U566&lt;=Sel_Idx,V566&gt;=Sel_Idx),N(R566)+ROW()/1000000000,0)</f>
        <v>460.000000566</v>
      </c>
      <c r="AC566" s="40">
        <f>IF(AND($C566="Despesa",U566&gt;0,U566&lt;=Sel_Idx,V566&gt;=Sel_Idx),Z566*10000+ROW(),0)</f>
        <v>250566</v>
      </c>
      <c r="AD566" s="40">
        <f>IF(AC566=0,0,COUNTIFS(L_CalChave,"&gt;0",L_CalChave,"&lt;"&amp;AC566)+1)</f>
        <v>34</v>
      </c>
    </row>
    <row r="567">
      <c r="A567" s="38" t="n">
        <v>46291</v>
      </c>
      <c r="B567" s="39" t="inlineStr">
        <is>
          <t>Combustível</t>
        </is>
      </c>
      <c r="C567" s="34" t="inlineStr">
        <is>
          <t>Despesa</t>
        </is>
      </c>
      <c r="D567" s="34" t="inlineStr">
        <is>
          <t>Transporte</t>
        </is>
      </c>
      <c r="E567" s="34" t="inlineStr">
        <is>
          <t>Combustível</t>
        </is>
      </c>
      <c r="F567" s="34" t="inlineStr">
        <is>
          <t>Cartão Azul Gold</t>
        </is>
      </c>
      <c r="G567" s="34" t="inlineStr">
        <is>
          <t>Crédito</t>
        </is>
      </c>
      <c r="H567" s="37" t="n"/>
      <c r="I567" s="37" t="n"/>
      <c r="J567" s="34" t="inlineStr">
        <is>
          <t>Pago</t>
        </is>
      </c>
      <c r="K567" s="34" t="n"/>
      <c r="L567" s="34" t="n"/>
      <c r="M567" s="39" t="inlineStr">
        <is>
          <t>EXEMPLO</t>
        </is>
      </c>
      <c r="N567" s="35" t="n">
        <v>200.43</v>
      </c>
      <c r="O567" s="40">
        <f>IF($A567="","",MONTH($A567))</f>
        <v>9</v>
      </c>
      <c r="P567" s="40">
        <f>IF($A567="","",YEAR($A567))</f>
        <v>2026</v>
      </c>
      <c r="Q567" s="41">
        <f>IF($A567="","",DATE(P567,O567,1))</f>
        <v>46266.0</v>
      </c>
      <c r="R567" s="36">
        <f>IF(OR($A567="",$N567=""),"",IF(AND($C567&lt;&gt;"Transferência",N($I567)&gt;1),$N567/$I567,$N567))</f>
        <v>200.43</v>
      </c>
      <c r="S567" s="41">
        <f>IF(OR($A567="",$F567="",$C567&lt;&gt;"Despesa"),"",IF(COUNTIF(Cartoes_Nome,$F567)=0,"",DATE(P567,O567+IF(DAY($A567)&gt;=INDEX(Cartoes_Fech,MATCH($F567,Cartoes_Nome,0)),1,0),1)))</f>
        <v>46296.0</v>
      </c>
      <c r="T567" s="42" t="str">
        <f>IF($A567="","",IF(COUNTIFS(L_Data,$A567,L_Desc,$B567,L_Valor,$N567,L_Tipo,$C567)&gt;1,"⚠ Possível duplicidade",IF(OR(AND($C567="Despesa",COUNTIF(CatD_Nome,$D567)=0),AND($C567="Receita",COUNTIF(CatR_Nome,$D567)=0)),"⚠ Categoria não combina com o tipo",IF(OR($N567="",$C567=""),"⚠ Falta valor ou tipo",""))))</f>
        <v/>
      </c>
      <c r="U567" s="40">
        <f>IF($A567="",0,P567*12+O567)</f>
        <v>24321</v>
      </c>
      <c r="V567" s="40">
        <f>IF($A567="",0,U567+MAX(0,N($I567)-MAX(N($H567),1)))</f>
        <v>24321</v>
      </c>
      <c r="W567" s="40">
        <f>IF(S567="",0,YEAR(S567)*12+MONTH(S567))</f>
        <v>24322</v>
      </c>
      <c r="X567" s="40">
        <f>IF(W567=0,0,W567+V567-U567)</f>
        <v>24322</v>
      </c>
      <c r="Y567" s="36">
        <f>IF(W567=0,0,N(R567)*MAX(0,X567-MAX(W567,YEAR(Cfg_Hoje)*12+MONTH(Cfg_Hoje)+IF(DAY(Cfg_Hoje)&gt;=INDEX(Cartoes_Fech,MATCH($F567,Cartoes_Nome,0)),1,0))+1))</f>
        <v>200.43</v>
      </c>
      <c r="Z567" s="40">
        <f>IF($A567="",0,DAY($A567))</f>
        <v>26</v>
      </c>
      <c r="AA567" s="40">
        <f>IF($A567="",0,WEEKDAY($A567))</f>
        <v>7</v>
      </c>
      <c r="AB567" s="36">
        <f>IF(AND($C567="Despesa",U567&gt;0,U567&lt;=Sel_Idx,V567&gt;=Sel_Idx),N(R567)+ROW()/1000000000,0)</f>
        <v>200.430000567</v>
      </c>
      <c r="AC567" s="40">
        <f>IF(AND($C567="Despesa",U567&gt;0,U567&lt;=Sel_Idx,V567&gt;=Sel_Idx),Z567*10000+ROW(),0)</f>
        <v>260567</v>
      </c>
      <c r="AD567" s="40">
        <f>IF(AC567=0,0,COUNTIFS(L_CalChave,"&gt;0",L_CalChave,"&lt;"&amp;AC567)+1)</f>
        <v>35</v>
      </c>
    </row>
    <row r="568">
      <c r="A568" s="38" t="n">
        <v>46291</v>
      </c>
      <c r="B568" s="39" t="inlineStr">
        <is>
          <t>Supermercado</t>
        </is>
      </c>
      <c r="C568" s="34" t="inlineStr">
        <is>
          <t>Despesa</t>
        </is>
      </c>
      <c r="D568" s="34" t="inlineStr">
        <is>
          <t>Alimentação</t>
        </is>
      </c>
      <c r="E568" s="34" t="inlineStr">
        <is>
          <t>Mercado</t>
        </is>
      </c>
      <c r="F568" s="34" t="inlineStr">
        <is>
          <t>Cartão Azul Gold</t>
        </is>
      </c>
      <c r="G568" s="34" t="inlineStr">
        <is>
          <t>Crédito</t>
        </is>
      </c>
      <c r="H568" s="37" t="n"/>
      <c r="I568" s="37" t="n"/>
      <c r="J568" s="34" t="inlineStr">
        <is>
          <t>Pago</t>
        </is>
      </c>
      <c r="K568" s="34" t="n"/>
      <c r="L568" s="34" t="n"/>
      <c r="M568" s="39" t="inlineStr">
        <is>
          <t>EXEMPLO</t>
        </is>
      </c>
      <c r="N568" s="35" t="n">
        <v>330.52</v>
      </c>
      <c r="O568" s="40">
        <f>IF($A568="","",MONTH($A568))</f>
        <v>9</v>
      </c>
      <c r="P568" s="40">
        <f>IF($A568="","",YEAR($A568))</f>
        <v>2026</v>
      </c>
      <c r="Q568" s="41">
        <f>IF($A568="","",DATE(P568,O568,1))</f>
        <v>46266.0</v>
      </c>
      <c r="R568" s="36">
        <f>IF(OR($A568="",$N568=""),"",IF(AND($C568&lt;&gt;"Transferência",N($I568)&gt;1),$N568/$I568,$N568))</f>
        <v>330.52</v>
      </c>
      <c r="S568" s="41">
        <f>IF(OR($A568="",$F568="",$C568&lt;&gt;"Despesa"),"",IF(COUNTIF(Cartoes_Nome,$F568)=0,"",DATE(P568,O568+IF(DAY($A568)&gt;=INDEX(Cartoes_Fech,MATCH($F568,Cartoes_Nome,0)),1,0),1)))</f>
        <v>46296.0</v>
      </c>
      <c r="T568" s="42" t="str">
        <f>IF($A568="","",IF(COUNTIFS(L_Data,$A568,L_Desc,$B568,L_Valor,$N568,L_Tipo,$C568)&gt;1,"⚠ Possível duplicidade",IF(OR(AND($C568="Despesa",COUNTIF(CatD_Nome,$D568)=0),AND($C568="Receita",COUNTIF(CatR_Nome,$D568)=0)),"⚠ Categoria não combina com o tipo",IF(OR($N568="",$C568=""),"⚠ Falta valor ou tipo",""))))</f>
        <v/>
      </c>
      <c r="U568" s="40">
        <f>IF($A568="",0,P568*12+O568)</f>
        <v>24321</v>
      </c>
      <c r="V568" s="40">
        <f>IF($A568="",0,U568+MAX(0,N($I568)-MAX(N($H568),1)))</f>
        <v>24321</v>
      </c>
      <c r="W568" s="40">
        <f>IF(S568="",0,YEAR(S568)*12+MONTH(S568))</f>
        <v>24322</v>
      </c>
      <c r="X568" s="40">
        <f>IF(W568=0,0,W568+V568-U568)</f>
        <v>24322</v>
      </c>
      <c r="Y568" s="36">
        <f>IF(W568=0,0,N(R568)*MAX(0,X568-MAX(W568,YEAR(Cfg_Hoje)*12+MONTH(Cfg_Hoje)+IF(DAY(Cfg_Hoje)&gt;=INDEX(Cartoes_Fech,MATCH($F568,Cartoes_Nome,0)),1,0))+1))</f>
        <v>330.52</v>
      </c>
      <c r="Z568" s="40">
        <f>IF($A568="",0,DAY($A568))</f>
        <v>26</v>
      </c>
      <c r="AA568" s="40">
        <f>IF($A568="",0,WEEKDAY($A568))</f>
        <v>7</v>
      </c>
      <c r="AB568" s="36">
        <f>IF(AND($C568="Despesa",U568&gt;0,U568&lt;=Sel_Idx,V568&gt;=Sel_Idx),N(R568)+ROW()/1000000000,0)</f>
        <v>330.520000568</v>
      </c>
      <c r="AC568" s="40">
        <f>IF(AND($C568="Despesa",U568&gt;0,U568&lt;=Sel_Idx,V568&gt;=Sel_Idx),Z568*10000+ROW(),0)</f>
        <v>260568</v>
      </c>
      <c r="AD568" s="40">
        <f>IF(AC568=0,0,COUNTIFS(L_CalChave,"&gt;0",L_CalChave,"&lt;"&amp;AC568)+1)</f>
        <v>36</v>
      </c>
    </row>
    <row r="569">
      <c r="A569" s="38" t="n">
        <v>46293</v>
      </c>
      <c r="B569" s="39" t="inlineStr">
        <is>
          <t>Corrida de aplicativo</t>
        </is>
      </c>
      <c r="C569" s="34" t="inlineStr">
        <is>
          <t>Despesa</t>
        </is>
      </c>
      <c r="D569" s="34" t="inlineStr">
        <is>
          <t>Transporte</t>
        </is>
      </c>
      <c r="E569" s="34" t="inlineStr">
        <is>
          <t>App de transporte</t>
        </is>
      </c>
      <c r="F569" s="34" t="inlineStr">
        <is>
          <t>Conta Corrente Banco Azul</t>
        </is>
      </c>
      <c r="G569" s="34" t="inlineStr">
        <is>
          <t>Pix</t>
        </is>
      </c>
      <c r="H569" s="37" t="n"/>
      <c r="I569" s="37" t="n"/>
      <c r="J569" s="34" t="inlineStr">
        <is>
          <t>Pago</t>
        </is>
      </c>
      <c r="K569" s="34" t="n"/>
      <c r="L569" s="34" t="n"/>
      <c r="M569" s="39" t="inlineStr">
        <is>
          <t>EXEMPLO</t>
        </is>
      </c>
      <c r="N569" s="35" t="n">
        <v>27.77</v>
      </c>
      <c r="O569" s="40">
        <f>IF($A569="","",MONTH($A569))</f>
        <v>9</v>
      </c>
      <c r="P569" s="40">
        <f>IF($A569="","",YEAR($A569))</f>
        <v>2026</v>
      </c>
      <c r="Q569" s="41">
        <f>IF($A569="","",DATE(P569,O569,1))</f>
        <v>46266.0</v>
      </c>
      <c r="R569" s="36">
        <f>IF(OR($A569="",$N569=""),"",IF(AND($C569&lt;&gt;"Transferência",N($I569)&gt;1),$N569/$I569,$N569))</f>
        <v>27.77</v>
      </c>
      <c r="S569" s="41" t="str">
        <f>IF(OR($A569="",$F569="",$C569&lt;&gt;"Despesa"),"",IF(COUNTIF(Cartoes_Nome,$F569)=0,"",DATE(P569,O569+IF(DAY($A569)&gt;=INDEX(Cartoes_Fech,MATCH($F569,Cartoes_Nome,0)),1,0),1)))</f>
        <v/>
      </c>
      <c r="T569" s="42" t="str">
        <f>IF($A569="","",IF(COUNTIFS(L_Data,$A569,L_Desc,$B569,L_Valor,$N569,L_Tipo,$C569)&gt;1,"⚠ Possível duplicidade",IF(OR(AND($C569="Despesa",COUNTIF(CatD_Nome,$D569)=0),AND($C569="Receita",COUNTIF(CatR_Nome,$D569)=0)),"⚠ Categoria não combina com o tipo",IF(OR($N569="",$C569=""),"⚠ Falta valor ou tipo",""))))</f>
        <v/>
      </c>
      <c r="U569" s="40">
        <f>IF($A569="",0,P569*12+O569)</f>
        <v>24321</v>
      </c>
      <c r="V569" s="40">
        <f>IF($A569="",0,U569+MAX(0,N($I569)-MAX(N($H569),1)))</f>
        <v>24321</v>
      </c>
      <c r="W569" s="40">
        <f>IF(S569="",0,YEAR(S569)*12+MONTH(S569))</f>
        <v>0</v>
      </c>
      <c r="X569" s="40">
        <f>IF(W569=0,0,W569+V569-U569)</f>
        <v>0</v>
      </c>
      <c r="Y569" s="36">
        <f>IF(W569=0,0,N(R569)*MAX(0,X569-MAX(W569,YEAR(Cfg_Hoje)*12+MONTH(Cfg_Hoje)+IF(DAY(Cfg_Hoje)&gt;=INDEX(Cartoes_Fech,MATCH($F569,Cartoes_Nome,0)),1,0))+1))</f>
        <v>0</v>
      </c>
      <c r="Z569" s="40">
        <f>IF($A569="",0,DAY($A569))</f>
        <v>28</v>
      </c>
      <c r="AA569" s="40">
        <f>IF($A569="",0,WEEKDAY($A569))</f>
        <v>2</v>
      </c>
      <c r="AB569" s="36">
        <f>IF(AND($C569="Despesa",U569&gt;0,U569&lt;=Sel_Idx,V569&gt;=Sel_Idx),N(R569)+ROW()/1000000000,0)</f>
        <v>27.770000569</v>
      </c>
      <c r="AC569" s="40">
        <f>IF(AND($C569="Despesa",U569&gt;0,U569&lt;=Sel_Idx,V569&gt;=Sel_Idx),Z569*10000+ROW(),0)</f>
        <v>280569</v>
      </c>
      <c r="AD569" s="40">
        <f>IF(AC569=0,0,COUNTIFS(L_CalChave,"&gt;0",L_CalChave,"&lt;"&amp;AC569)+1)</f>
        <v>37</v>
      </c>
    </row>
    <row r="570">
      <c r="A570" s="38" t="n">
        <v>46293</v>
      </c>
      <c r="B570" s="39" t="inlineStr">
        <is>
          <t>Rendimento da poupança</t>
        </is>
      </c>
      <c r="C570" s="34" t="inlineStr">
        <is>
          <t>Receita</t>
        </is>
      </c>
      <c r="D570" s="34" t="inlineStr">
        <is>
          <t>Rendimentos</t>
        </is>
      </c>
      <c r="E570" s="34" t="n"/>
      <c r="F570" s="34" t="inlineStr">
        <is>
          <t>Poupança Banco Azul</t>
        </is>
      </c>
      <c r="G570" s="34" t="inlineStr">
        <is>
          <t>Transferência</t>
        </is>
      </c>
      <c r="H570" s="37" t="n"/>
      <c r="I570" s="37" t="n"/>
      <c r="J570" s="34" t="inlineStr">
        <is>
          <t>Pago</t>
        </is>
      </c>
      <c r="K570" s="34" t="n"/>
      <c r="L570" s="34" t="n"/>
      <c r="M570" s="39" t="inlineStr">
        <is>
          <t>EXEMPLO</t>
        </is>
      </c>
      <c r="N570" s="35" t="n">
        <v>83.87</v>
      </c>
      <c r="O570" s="40">
        <f>IF($A570="","",MONTH($A570))</f>
        <v>9</v>
      </c>
      <c r="P570" s="40">
        <f>IF($A570="","",YEAR($A570))</f>
        <v>2026</v>
      </c>
      <c r="Q570" s="41">
        <f>IF($A570="","",DATE(P570,O570,1))</f>
        <v>46266.0</v>
      </c>
      <c r="R570" s="36">
        <f>IF(OR($A570="",$N570=""),"",IF(AND($C570&lt;&gt;"Transferência",N($I570)&gt;1),$N570/$I570,$N570))</f>
        <v>83.87</v>
      </c>
      <c r="S570" s="41" t="str">
        <f>IF(OR($A570="",$F570="",$C570&lt;&gt;"Despesa"),"",IF(COUNTIF(Cartoes_Nome,$F570)=0,"",DATE(P570,O570+IF(DAY($A570)&gt;=INDEX(Cartoes_Fech,MATCH($F570,Cartoes_Nome,0)),1,0),1)))</f>
        <v/>
      </c>
      <c r="T570" s="42" t="str">
        <f>IF($A570="","",IF(COUNTIFS(L_Data,$A570,L_Desc,$B570,L_Valor,$N570,L_Tipo,$C570)&gt;1,"⚠ Possível duplicidade",IF(OR(AND($C570="Despesa",COUNTIF(CatD_Nome,$D570)=0),AND($C570="Receita",COUNTIF(CatR_Nome,$D570)=0)),"⚠ Categoria não combina com o tipo",IF(OR($N570="",$C570=""),"⚠ Falta valor ou tipo",""))))</f>
        <v/>
      </c>
      <c r="U570" s="40">
        <f>IF($A570="",0,P570*12+O570)</f>
        <v>24321</v>
      </c>
      <c r="V570" s="40">
        <f>IF($A570="",0,U570+MAX(0,N($I570)-MAX(N($H570),1)))</f>
        <v>24321</v>
      </c>
      <c r="W570" s="40">
        <f>IF(S570="",0,YEAR(S570)*12+MONTH(S570))</f>
        <v>0</v>
      </c>
      <c r="X570" s="40">
        <f>IF(W570=0,0,W570+V570-U570)</f>
        <v>0</v>
      </c>
      <c r="Y570" s="36">
        <f>IF(W570=0,0,N(R570)*MAX(0,X570-MAX(W570,YEAR(Cfg_Hoje)*12+MONTH(Cfg_Hoje)+IF(DAY(Cfg_Hoje)&gt;=INDEX(Cartoes_Fech,MATCH($F570,Cartoes_Nome,0)),1,0))+1))</f>
        <v>0</v>
      </c>
      <c r="Z570" s="40">
        <f>IF($A570="",0,DAY($A570))</f>
        <v>28</v>
      </c>
      <c r="AA570" s="40">
        <f>IF($A570="",0,WEEKDAY($A570))</f>
        <v>2</v>
      </c>
      <c r="AB570" s="36">
        <f>IF(AND($C570="Despesa",U570&gt;0,U570&lt;=Sel_Idx,V570&gt;=Sel_Idx),N(R570)+ROW()/1000000000,0)</f>
        <v>0</v>
      </c>
      <c r="AC570" s="40">
        <f>IF(AND($C570="Despesa",U570&gt;0,U570&lt;=Sel_Idx,V570&gt;=Sel_Idx),Z570*10000+ROW(),0)</f>
        <v>0</v>
      </c>
      <c r="AD570" s="40">
        <f>IF(AC570=0,0,COUNTIFS(L_CalChave,"&gt;0",L_CalChave,"&lt;"&amp;AC570)+1)</f>
        <v>0</v>
      </c>
    </row>
    <row r="571">
      <c r="A571" s="38" t="n">
        <v>46296</v>
      </c>
      <c r="B571" s="39" t="inlineStr">
        <is>
          <t>Delivery de comida</t>
        </is>
      </c>
      <c r="C571" s="34" t="inlineStr">
        <is>
          <t>Despesa</t>
        </is>
      </c>
      <c r="D571" s="34" t="inlineStr">
        <is>
          <t>Alimentação</t>
        </is>
      </c>
      <c r="E571" s="34" t="inlineStr">
        <is>
          <t>Restaurantes</t>
        </is>
      </c>
      <c r="F571" s="34" t="inlineStr">
        <is>
          <t>Cartão Azul Gold</t>
        </is>
      </c>
      <c r="G571" s="34" t="inlineStr">
        <is>
          <t>Crédito</t>
        </is>
      </c>
      <c r="H571" s="37" t="n"/>
      <c r="I571" s="37" t="n"/>
      <c r="J571" s="34" t="inlineStr">
        <is>
          <t>Agendado</t>
        </is>
      </c>
      <c r="K571" s="34" t="n"/>
      <c r="L571" s="34" t="n"/>
      <c r="M571" s="39" t="inlineStr">
        <is>
          <t>EXEMPLO</t>
        </is>
      </c>
      <c r="N571" s="35" t="n">
        <v>102.16</v>
      </c>
      <c r="O571" s="40">
        <f>IF($A571="","",MONTH($A571))</f>
        <v>10</v>
      </c>
      <c r="P571" s="40">
        <f>IF($A571="","",YEAR($A571))</f>
        <v>2026</v>
      </c>
      <c r="Q571" s="41">
        <f>IF($A571="","",DATE(P571,O571,1))</f>
        <v>46296.0</v>
      </c>
      <c r="R571" s="36">
        <f>IF(OR($A571="",$N571=""),"",IF(AND($C571&lt;&gt;"Transferência",N($I571)&gt;1),$N571/$I571,$N571))</f>
        <v>102.16</v>
      </c>
      <c r="S571" s="41">
        <f>IF(OR($A571="",$F571="",$C571&lt;&gt;"Despesa"),"",IF(COUNTIF(Cartoes_Nome,$F571)=0,"",DATE(P571,O571+IF(DAY($A571)&gt;=INDEX(Cartoes_Fech,MATCH($F571,Cartoes_Nome,0)),1,0),1)))</f>
        <v>46296.0</v>
      </c>
      <c r="T571" s="42" t="str">
        <f>IF($A571="","",IF(COUNTIFS(L_Data,$A571,L_Desc,$B571,L_Valor,$N571,L_Tipo,$C571)&gt;1,"⚠ Possível duplicidade",IF(OR(AND($C571="Despesa",COUNTIF(CatD_Nome,$D571)=0),AND($C571="Receita",COUNTIF(CatR_Nome,$D571)=0)),"⚠ Categoria não combina com o tipo",IF(OR($N571="",$C571=""),"⚠ Falta valor ou tipo",""))))</f>
        <v/>
      </c>
      <c r="U571" s="40">
        <f>IF($A571="",0,P571*12+O571)</f>
        <v>24322</v>
      </c>
      <c r="V571" s="40">
        <f>IF($A571="",0,U571+MAX(0,N($I571)-MAX(N($H571),1)))</f>
        <v>24322</v>
      </c>
      <c r="W571" s="40">
        <f>IF(S571="",0,YEAR(S571)*12+MONTH(S571))</f>
        <v>24322</v>
      </c>
      <c r="X571" s="40">
        <f>IF(W571=0,0,W571+V571-U571)</f>
        <v>24322</v>
      </c>
      <c r="Y571" s="36">
        <f>IF(W571=0,0,N(R571)*MAX(0,X571-MAX(W571,YEAR(Cfg_Hoje)*12+MONTH(Cfg_Hoje)+IF(DAY(Cfg_Hoje)&gt;=INDEX(Cartoes_Fech,MATCH($F571,Cartoes_Nome,0)),1,0))+1))</f>
        <v>102.16</v>
      </c>
      <c r="Z571" s="40">
        <f>IF($A571="",0,DAY($A571))</f>
        <v>1</v>
      </c>
      <c r="AA571" s="40">
        <f>IF($A571="",0,WEEKDAY($A571))</f>
        <v>5</v>
      </c>
      <c r="AB571" s="36">
        <f>IF(AND($C571="Despesa",U571&gt;0,U571&lt;=Sel_Idx,V571&gt;=Sel_Idx),N(R571)+ROW()/1000000000,0)</f>
        <v>0</v>
      </c>
      <c r="AC571" s="40">
        <f>IF(AND($C571="Despesa",U571&gt;0,U571&lt;=Sel_Idx,V571&gt;=Sel_Idx),Z571*10000+ROW(),0)</f>
        <v>0</v>
      </c>
      <c r="AD571" s="40">
        <f>IF(AC571=0,0,COUNTIFS(L_CalChave,"&gt;0",L_CalChave,"&lt;"&amp;AC571)+1)</f>
        <v>0</v>
      </c>
    </row>
    <row r="572">
      <c r="A572" s="38" t="n">
        <v>46297</v>
      </c>
      <c r="B572" s="39" t="inlineStr">
        <is>
          <t>Combustível</t>
        </is>
      </c>
      <c r="C572" s="34" t="inlineStr">
        <is>
          <t>Despesa</t>
        </is>
      </c>
      <c r="D572" s="34" t="inlineStr">
        <is>
          <t>Transporte</t>
        </is>
      </c>
      <c r="E572" s="34" t="inlineStr">
        <is>
          <t>Combustível</t>
        </is>
      </c>
      <c r="F572" s="34" t="inlineStr">
        <is>
          <t>Cartão Roxinho</t>
        </is>
      </c>
      <c r="G572" s="34" t="inlineStr">
        <is>
          <t>Crédito</t>
        </is>
      </c>
      <c r="H572" s="37" t="n"/>
      <c r="I572" s="37" t="n"/>
      <c r="J572" s="34" t="inlineStr">
        <is>
          <t>Agendado</t>
        </is>
      </c>
      <c r="K572" s="34" t="n"/>
      <c r="L572" s="34" t="n"/>
      <c r="M572" s="39" t="inlineStr">
        <is>
          <t>EXEMPLO</t>
        </is>
      </c>
      <c r="N572" s="35" t="n">
        <v>172.95</v>
      </c>
      <c r="O572" s="40">
        <f>IF($A572="","",MONTH($A572))</f>
        <v>10</v>
      </c>
      <c r="P572" s="40">
        <f>IF($A572="","",YEAR($A572))</f>
        <v>2026</v>
      </c>
      <c r="Q572" s="41">
        <f>IF($A572="","",DATE(P572,O572,1))</f>
        <v>46296.0</v>
      </c>
      <c r="R572" s="36">
        <f>IF(OR($A572="",$N572=""),"",IF(AND($C572&lt;&gt;"Transferência",N($I572)&gt;1),$N572/$I572,$N572))</f>
        <v>172.95</v>
      </c>
      <c r="S572" s="41">
        <f>IF(OR($A572="",$F572="",$C572&lt;&gt;"Despesa"),"",IF(COUNTIF(Cartoes_Nome,$F572)=0,"",DATE(P572,O572+IF(DAY($A572)&gt;=INDEX(Cartoes_Fech,MATCH($F572,Cartoes_Nome,0)),1,0),1)))</f>
        <v>46296.0</v>
      </c>
      <c r="T572" s="42" t="str">
        <f>IF($A572="","",IF(COUNTIFS(L_Data,$A572,L_Desc,$B572,L_Valor,$N572,L_Tipo,$C572)&gt;1,"⚠ Possível duplicidade",IF(OR(AND($C572="Despesa",COUNTIF(CatD_Nome,$D572)=0),AND($C572="Receita",COUNTIF(CatR_Nome,$D572)=0)),"⚠ Categoria não combina com o tipo",IF(OR($N572="",$C572=""),"⚠ Falta valor ou tipo",""))))</f>
        <v/>
      </c>
      <c r="U572" s="40">
        <f>IF($A572="",0,P572*12+O572)</f>
        <v>24322</v>
      </c>
      <c r="V572" s="40">
        <f>IF($A572="",0,U572+MAX(0,N($I572)-MAX(N($H572),1)))</f>
        <v>24322</v>
      </c>
      <c r="W572" s="40">
        <f>IF(S572="",0,YEAR(S572)*12+MONTH(S572))</f>
        <v>24322</v>
      </c>
      <c r="X572" s="40">
        <f>IF(W572=0,0,W572+V572-U572)</f>
        <v>24322</v>
      </c>
      <c r="Y572" s="36">
        <f>IF(W572=0,0,N(R572)*MAX(0,X572-MAX(W572,YEAR(Cfg_Hoje)*12+MONTH(Cfg_Hoje)+IF(DAY(Cfg_Hoje)&gt;=INDEX(Cartoes_Fech,MATCH($F572,Cartoes_Nome,0)),1,0))+1))</f>
        <v>172.95</v>
      </c>
      <c r="Z572" s="40">
        <f>IF($A572="",0,DAY($A572))</f>
        <v>2</v>
      </c>
      <c r="AA572" s="40">
        <f>IF($A572="",0,WEEKDAY($A572))</f>
        <v>6</v>
      </c>
      <c r="AB572" s="36">
        <f>IF(AND($C572="Despesa",U572&gt;0,U572&lt;=Sel_Idx,V572&gt;=Sel_Idx),N(R572)+ROW()/1000000000,0)</f>
        <v>0</v>
      </c>
      <c r="AC572" s="40">
        <f>IF(AND($C572="Despesa",U572&gt;0,U572&lt;=Sel_Idx,V572&gt;=Sel_Idx),Z572*10000+ROW(),0)</f>
        <v>0</v>
      </c>
      <c r="AD572" s="40">
        <f>IF(AC572=0,0,COUNTIFS(L_CalChave,"&gt;0",L_CalChave,"&lt;"&amp;AC572)+1)</f>
        <v>0</v>
      </c>
    </row>
    <row r="573">
      <c r="A573" s="38" t="n">
        <v>46298</v>
      </c>
      <c r="B573" s="39" t="inlineStr">
        <is>
          <t>Academia</t>
        </is>
      </c>
      <c r="C573" s="34" t="inlineStr">
        <is>
          <t>Despesa</t>
        </is>
      </c>
      <c r="D573" s="34" t="inlineStr">
        <is>
          <t>Assinaturas</t>
        </is>
      </c>
      <c r="E573" s="34" t="inlineStr">
        <is>
          <t>Academia</t>
        </is>
      </c>
      <c r="F573" s="34" t="inlineStr">
        <is>
          <t>Conta Corrente Banco Azul</t>
        </is>
      </c>
      <c r="G573" s="34" t="inlineStr">
        <is>
          <t>Débito automático</t>
        </is>
      </c>
      <c r="H573" s="37" t="n"/>
      <c r="I573" s="37" t="n"/>
      <c r="J573" s="34" t="inlineStr">
        <is>
          <t>Agendado</t>
        </is>
      </c>
      <c r="K573" s="34" t="n"/>
      <c r="L573" s="34" t="n"/>
      <c r="M573" s="39" t="inlineStr">
        <is>
          <t>EXEMPLO</t>
        </is>
      </c>
      <c r="N573" s="35" t="n">
        <v>129</v>
      </c>
      <c r="O573" s="40">
        <f>IF($A573="","",MONTH($A573))</f>
        <v>10</v>
      </c>
      <c r="P573" s="40">
        <f>IF($A573="","",YEAR($A573))</f>
        <v>2026</v>
      </c>
      <c r="Q573" s="41">
        <f>IF($A573="","",DATE(P573,O573,1))</f>
        <v>46296.0</v>
      </c>
      <c r="R573" s="36">
        <f>IF(OR($A573="",$N573=""),"",IF(AND($C573&lt;&gt;"Transferência",N($I573)&gt;1),$N573/$I573,$N573))</f>
        <v>129</v>
      </c>
      <c r="S573" s="41" t="str">
        <f>IF(OR($A573="",$F573="",$C573&lt;&gt;"Despesa"),"",IF(COUNTIF(Cartoes_Nome,$F573)=0,"",DATE(P573,O573+IF(DAY($A573)&gt;=INDEX(Cartoes_Fech,MATCH($F573,Cartoes_Nome,0)),1,0),1)))</f>
        <v/>
      </c>
      <c r="T573" s="42" t="str">
        <f>IF($A573="","",IF(COUNTIFS(L_Data,$A573,L_Desc,$B573,L_Valor,$N573,L_Tipo,$C573)&gt;1,"⚠ Possível duplicidade",IF(OR(AND($C573="Despesa",COUNTIF(CatD_Nome,$D573)=0),AND($C573="Receita",COUNTIF(CatR_Nome,$D573)=0)),"⚠ Categoria não combina com o tipo",IF(OR($N573="",$C573=""),"⚠ Falta valor ou tipo",""))))</f>
        <v/>
      </c>
      <c r="U573" s="40">
        <f>IF($A573="",0,P573*12+O573)</f>
        <v>24322</v>
      </c>
      <c r="V573" s="40">
        <f>IF($A573="",0,U573+MAX(0,N($I573)-MAX(N($H573),1)))</f>
        <v>24322</v>
      </c>
      <c r="W573" s="40">
        <f>IF(S573="",0,YEAR(S573)*12+MONTH(S573))</f>
        <v>0</v>
      </c>
      <c r="X573" s="40">
        <f>IF(W573=0,0,W573+V573-U573)</f>
        <v>0</v>
      </c>
      <c r="Y573" s="36">
        <f>IF(W573=0,0,N(R573)*MAX(0,X573-MAX(W573,YEAR(Cfg_Hoje)*12+MONTH(Cfg_Hoje)+IF(DAY(Cfg_Hoje)&gt;=INDEX(Cartoes_Fech,MATCH($F573,Cartoes_Nome,0)),1,0))+1))</f>
        <v>0</v>
      </c>
      <c r="Z573" s="40">
        <f>IF($A573="",0,DAY($A573))</f>
        <v>3</v>
      </c>
      <c r="AA573" s="40">
        <f>IF($A573="",0,WEEKDAY($A573))</f>
        <v>7</v>
      </c>
      <c r="AB573" s="36">
        <f>IF(AND($C573="Despesa",U573&gt;0,U573&lt;=Sel_Idx,V573&gt;=Sel_Idx),N(R573)+ROW()/1000000000,0)</f>
        <v>0</v>
      </c>
      <c r="AC573" s="40">
        <f>IF(AND($C573="Despesa",U573&gt;0,U573&lt;=Sel_Idx,V573&gt;=Sel_Idx),Z573*10000+ROW(),0)</f>
        <v>0</v>
      </c>
      <c r="AD573" s="40">
        <f>IF(AC573=0,0,COUNTIFS(L_CalChave,"&gt;0",L_CalChave,"&lt;"&amp;AC573)+1)</f>
        <v>0</v>
      </c>
    </row>
    <row r="574">
      <c r="A574" s="38" t="n">
        <v>46298</v>
      </c>
      <c r="B574" s="39" t="inlineStr">
        <is>
          <t>Delivery de comida</t>
        </is>
      </c>
      <c r="C574" s="34" t="inlineStr">
        <is>
          <t>Despesa</t>
        </is>
      </c>
      <c r="D574" s="34" t="inlineStr">
        <is>
          <t>Alimentação</t>
        </is>
      </c>
      <c r="E574" s="34" t="inlineStr">
        <is>
          <t>Delivery</t>
        </is>
      </c>
      <c r="F574" s="34" t="inlineStr">
        <is>
          <t>Cartão Roxinho</t>
        </is>
      </c>
      <c r="G574" s="34" t="inlineStr">
        <is>
          <t>Crédito</t>
        </is>
      </c>
      <c r="H574" s="37" t="n"/>
      <c r="I574" s="37" t="n"/>
      <c r="J574" s="34" t="inlineStr">
        <is>
          <t>Agendado</t>
        </is>
      </c>
      <c r="K574" s="34" t="n"/>
      <c r="L574" s="34" t="n"/>
      <c r="M574" s="39" t="inlineStr">
        <is>
          <t>EXEMPLO</t>
        </is>
      </c>
      <c r="N574" s="35" t="n">
        <v>103.01</v>
      </c>
      <c r="O574" s="40">
        <f>IF($A574="","",MONTH($A574))</f>
        <v>10</v>
      </c>
      <c r="P574" s="40">
        <f>IF($A574="","",YEAR($A574))</f>
        <v>2026</v>
      </c>
      <c r="Q574" s="41">
        <f>IF($A574="","",DATE(P574,O574,1))</f>
        <v>46296.0</v>
      </c>
      <c r="R574" s="36">
        <f>IF(OR($A574="",$N574=""),"",IF(AND($C574&lt;&gt;"Transferência",N($I574)&gt;1),$N574/$I574,$N574))</f>
        <v>103.01</v>
      </c>
      <c r="S574" s="41">
        <f>IF(OR($A574="",$F574="",$C574&lt;&gt;"Despesa"),"",IF(COUNTIF(Cartoes_Nome,$F574)=0,"",DATE(P574,O574+IF(DAY($A574)&gt;=INDEX(Cartoes_Fech,MATCH($F574,Cartoes_Nome,0)),1,0),1)))</f>
        <v>46296.0</v>
      </c>
      <c r="T574" s="42" t="str">
        <f>IF($A574="","",IF(COUNTIFS(L_Data,$A574,L_Desc,$B574,L_Valor,$N574,L_Tipo,$C574)&gt;1,"⚠ Possível duplicidade",IF(OR(AND($C574="Despesa",COUNTIF(CatD_Nome,$D574)=0),AND($C574="Receita",COUNTIF(CatR_Nome,$D574)=0)),"⚠ Categoria não combina com o tipo",IF(OR($N574="",$C574=""),"⚠ Falta valor ou tipo",""))))</f>
        <v/>
      </c>
      <c r="U574" s="40">
        <f>IF($A574="",0,P574*12+O574)</f>
        <v>24322</v>
      </c>
      <c r="V574" s="40">
        <f>IF($A574="",0,U574+MAX(0,N($I574)-MAX(N($H574),1)))</f>
        <v>24322</v>
      </c>
      <c r="W574" s="40">
        <f>IF(S574="",0,YEAR(S574)*12+MONTH(S574))</f>
        <v>24322</v>
      </c>
      <c r="X574" s="40">
        <f>IF(W574=0,0,W574+V574-U574)</f>
        <v>24322</v>
      </c>
      <c r="Y574" s="36">
        <f>IF(W574=0,0,N(R574)*MAX(0,X574-MAX(W574,YEAR(Cfg_Hoje)*12+MONTH(Cfg_Hoje)+IF(DAY(Cfg_Hoje)&gt;=INDEX(Cartoes_Fech,MATCH($F574,Cartoes_Nome,0)),1,0))+1))</f>
        <v>103.01</v>
      </c>
      <c r="Z574" s="40">
        <f>IF($A574="",0,DAY($A574))</f>
        <v>3</v>
      </c>
      <c r="AA574" s="40">
        <f>IF($A574="",0,WEEKDAY($A574))</f>
        <v>7</v>
      </c>
      <c r="AB574" s="36">
        <f>IF(AND($C574="Despesa",U574&gt;0,U574&lt;=Sel_Idx,V574&gt;=Sel_Idx),N(R574)+ROW()/1000000000,0)</f>
        <v>0</v>
      </c>
      <c r="AC574" s="40">
        <f>IF(AND($C574="Despesa",U574&gt;0,U574&lt;=Sel_Idx,V574&gt;=Sel_Idx),Z574*10000+ROW(),0)</f>
        <v>0</v>
      </c>
      <c r="AD574" s="40">
        <f>IF(AC574=0,0,COUNTIFS(L_CalChave,"&gt;0",L_CalChave,"&lt;"&amp;AC574)+1)</f>
        <v>0</v>
      </c>
    </row>
    <row r="575">
      <c r="A575" s="38" t="n">
        <v>46298</v>
      </c>
      <c r="B575" s="39" t="inlineStr">
        <is>
          <t>Show</t>
        </is>
      </c>
      <c r="C575" s="34" t="inlineStr">
        <is>
          <t>Despesa</t>
        </is>
      </c>
      <c r="D575" s="34" t="inlineStr">
        <is>
          <t>Lazer</t>
        </is>
      </c>
      <c r="E575" s="34" t="inlineStr">
        <is>
          <t>Bares</t>
        </is>
      </c>
      <c r="F575" s="34" t="inlineStr">
        <is>
          <t>Cartão Roxinho</t>
        </is>
      </c>
      <c r="G575" s="34" t="inlineStr">
        <is>
          <t>Crédito</t>
        </is>
      </c>
      <c r="H575" s="37" t="n"/>
      <c r="I575" s="37" t="n"/>
      <c r="J575" s="34" t="inlineStr">
        <is>
          <t>Agendado</t>
        </is>
      </c>
      <c r="K575" s="34" t="n"/>
      <c r="L575" s="34" t="n"/>
      <c r="M575" s="39" t="inlineStr">
        <is>
          <t>EXEMPLO</t>
        </is>
      </c>
      <c r="N575" s="35" t="n">
        <v>168.3</v>
      </c>
      <c r="O575" s="40">
        <f>IF($A575="","",MONTH($A575))</f>
        <v>10</v>
      </c>
      <c r="P575" s="40">
        <f>IF($A575="","",YEAR($A575))</f>
        <v>2026</v>
      </c>
      <c r="Q575" s="41">
        <f>IF($A575="","",DATE(P575,O575,1))</f>
        <v>46296.0</v>
      </c>
      <c r="R575" s="36">
        <f>IF(OR($A575="",$N575=""),"",IF(AND($C575&lt;&gt;"Transferência",N($I575)&gt;1),$N575/$I575,$N575))</f>
        <v>168.3</v>
      </c>
      <c r="S575" s="41">
        <f>IF(OR($A575="",$F575="",$C575&lt;&gt;"Despesa"),"",IF(COUNTIF(Cartoes_Nome,$F575)=0,"",DATE(P575,O575+IF(DAY($A575)&gt;=INDEX(Cartoes_Fech,MATCH($F575,Cartoes_Nome,0)),1,0),1)))</f>
        <v>46296.0</v>
      </c>
      <c r="T575" s="42" t="str">
        <f>IF($A575="","",IF(COUNTIFS(L_Data,$A575,L_Desc,$B575,L_Valor,$N575,L_Tipo,$C575)&gt;1,"⚠ Possível duplicidade",IF(OR(AND($C575="Despesa",COUNTIF(CatD_Nome,$D575)=0),AND($C575="Receita",COUNTIF(CatR_Nome,$D575)=0)),"⚠ Categoria não combina com o tipo",IF(OR($N575="",$C575=""),"⚠ Falta valor ou tipo",""))))</f>
        <v/>
      </c>
      <c r="U575" s="40">
        <f>IF($A575="",0,P575*12+O575)</f>
        <v>24322</v>
      </c>
      <c r="V575" s="40">
        <f>IF($A575="",0,U575+MAX(0,N($I575)-MAX(N($H575),1)))</f>
        <v>24322</v>
      </c>
      <c r="W575" s="40">
        <f>IF(S575="",0,YEAR(S575)*12+MONTH(S575))</f>
        <v>24322</v>
      </c>
      <c r="X575" s="40">
        <f>IF(W575=0,0,W575+V575-U575)</f>
        <v>24322</v>
      </c>
      <c r="Y575" s="36">
        <f>IF(W575=0,0,N(R575)*MAX(0,X575-MAX(W575,YEAR(Cfg_Hoje)*12+MONTH(Cfg_Hoje)+IF(DAY(Cfg_Hoje)&gt;=INDEX(Cartoes_Fech,MATCH($F575,Cartoes_Nome,0)),1,0))+1))</f>
        <v>168.3</v>
      </c>
      <c r="Z575" s="40">
        <f>IF($A575="",0,DAY($A575))</f>
        <v>3</v>
      </c>
      <c r="AA575" s="40">
        <f>IF($A575="",0,WEEKDAY($A575))</f>
        <v>7</v>
      </c>
      <c r="AB575" s="36">
        <f>IF(AND($C575="Despesa",U575&gt;0,U575&lt;=Sel_Idx,V575&gt;=Sel_Idx),N(R575)+ROW()/1000000000,0)</f>
        <v>0</v>
      </c>
      <c r="AC575" s="40">
        <f>IF(AND($C575="Despesa",U575&gt;0,U575&lt;=Sel_Idx,V575&gt;=Sel_Idx),Z575*10000+ROW(),0)</f>
        <v>0</v>
      </c>
      <c r="AD575" s="40">
        <f>IF(AC575=0,0,COUNTIFS(L_CalChave,"&gt;0",L_CalChave,"&lt;"&amp;AC575)+1)</f>
        <v>0</v>
      </c>
    </row>
    <row r="576">
      <c r="A576" s="38" t="n">
        <v>46300</v>
      </c>
      <c r="B576" s="39" t="inlineStr">
        <is>
          <t>Combustível</t>
        </is>
      </c>
      <c r="C576" s="34" t="inlineStr">
        <is>
          <t>Despesa</t>
        </is>
      </c>
      <c r="D576" s="34" t="inlineStr">
        <is>
          <t>Transporte</t>
        </is>
      </c>
      <c r="E576" s="34" t="inlineStr">
        <is>
          <t>Combustível</t>
        </is>
      </c>
      <c r="F576" s="34" t="inlineStr">
        <is>
          <t>Cartão Roxinho</t>
        </is>
      </c>
      <c r="G576" s="34" t="inlineStr">
        <is>
          <t>Crédito</t>
        </is>
      </c>
      <c r="H576" s="37" t="n"/>
      <c r="I576" s="37" t="n"/>
      <c r="J576" s="34" t="inlineStr">
        <is>
          <t>Agendado</t>
        </is>
      </c>
      <c r="K576" s="34" t="n"/>
      <c r="L576" s="34" t="n"/>
      <c r="M576" s="39" t="inlineStr">
        <is>
          <t>EXEMPLO</t>
        </is>
      </c>
      <c r="N576" s="35" t="n">
        <v>180.6</v>
      </c>
      <c r="O576" s="40">
        <f>IF($A576="","",MONTH($A576))</f>
        <v>10</v>
      </c>
      <c r="P576" s="40">
        <f>IF($A576="","",YEAR($A576))</f>
        <v>2026</v>
      </c>
      <c r="Q576" s="41">
        <f>IF($A576="","",DATE(P576,O576,1))</f>
        <v>46296.0</v>
      </c>
      <c r="R576" s="36">
        <f>IF(OR($A576="",$N576=""),"",IF(AND($C576&lt;&gt;"Transferência",N($I576)&gt;1),$N576/$I576,$N576))</f>
        <v>180.6</v>
      </c>
      <c r="S576" s="41">
        <f>IF(OR($A576="",$F576="",$C576&lt;&gt;"Despesa"),"",IF(COUNTIF(Cartoes_Nome,$F576)=0,"",DATE(P576,O576+IF(DAY($A576)&gt;=INDEX(Cartoes_Fech,MATCH($F576,Cartoes_Nome,0)),1,0),1)))</f>
        <v>46296.0</v>
      </c>
      <c r="T576" s="42" t="str">
        <f>IF($A576="","",IF(COUNTIFS(L_Data,$A576,L_Desc,$B576,L_Valor,$N576,L_Tipo,$C576)&gt;1,"⚠ Possível duplicidade",IF(OR(AND($C576="Despesa",COUNTIF(CatD_Nome,$D576)=0),AND($C576="Receita",COUNTIF(CatR_Nome,$D576)=0)),"⚠ Categoria não combina com o tipo",IF(OR($N576="",$C576=""),"⚠ Falta valor ou tipo",""))))</f>
        <v/>
      </c>
      <c r="U576" s="40">
        <f>IF($A576="",0,P576*12+O576)</f>
        <v>24322</v>
      </c>
      <c r="V576" s="40">
        <f>IF($A576="",0,U576+MAX(0,N($I576)-MAX(N($H576),1)))</f>
        <v>24322</v>
      </c>
      <c r="W576" s="40">
        <f>IF(S576="",0,YEAR(S576)*12+MONTH(S576))</f>
        <v>24322</v>
      </c>
      <c r="X576" s="40">
        <f>IF(W576=0,0,W576+V576-U576)</f>
        <v>24322</v>
      </c>
      <c r="Y576" s="36">
        <f>IF(W576=0,0,N(R576)*MAX(0,X576-MAX(W576,YEAR(Cfg_Hoje)*12+MONTH(Cfg_Hoje)+IF(DAY(Cfg_Hoje)&gt;=INDEX(Cartoes_Fech,MATCH($F576,Cartoes_Nome,0)),1,0))+1))</f>
        <v>180.6</v>
      </c>
      <c r="Z576" s="40">
        <f>IF($A576="",0,DAY($A576))</f>
        <v>5</v>
      </c>
      <c r="AA576" s="40">
        <f>IF($A576="",0,WEEKDAY($A576))</f>
        <v>2</v>
      </c>
      <c r="AB576" s="36">
        <f>IF(AND($C576="Despesa",U576&gt;0,U576&lt;=Sel_Idx,V576&gt;=Sel_Idx),N(R576)+ROW()/1000000000,0)</f>
        <v>0</v>
      </c>
      <c r="AC576" s="40">
        <f>IF(AND($C576="Despesa",U576&gt;0,U576&lt;=Sel_Idx,V576&gt;=Sel_Idx),Z576*10000+ROW(),0)</f>
        <v>0</v>
      </c>
      <c r="AD576" s="40">
        <f>IF(AC576=0,0,COUNTIFS(L_CalChave,"&gt;0",L_CalChave,"&lt;"&amp;AC576)+1)</f>
        <v>0</v>
      </c>
    </row>
    <row r="577">
      <c r="A577" s="38" t="n">
        <v>46300</v>
      </c>
      <c r="B577" s="39" t="inlineStr">
        <is>
          <t>Pagamento fatura Cartão Roxinho</t>
        </is>
      </c>
      <c r="C577" s="34" t="inlineStr">
        <is>
          <t>Transferência</t>
        </is>
      </c>
      <c r="D577" s="34" t="n"/>
      <c r="E577" s="34" t="n"/>
      <c r="F577" s="34" t="inlineStr">
        <is>
          <t>Conta Corrente Banco Azul</t>
        </is>
      </c>
      <c r="G577" s="34" t="inlineStr">
        <is>
          <t>Débito automático</t>
        </is>
      </c>
      <c r="H577" s="37" t="n"/>
      <c r="I577" s="37" t="n"/>
      <c r="J577" s="34" t="inlineStr">
        <is>
          <t>Agendado</t>
        </is>
      </c>
      <c r="K577" s="34" t="n"/>
      <c r="L577" s="34" t="n"/>
      <c r="M577" s="39" t="inlineStr">
        <is>
          <t>EXEMPLO</t>
        </is>
      </c>
      <c r="N577" s="35" t="n">
        <v>-1262.38</v>
      </c>
      <c r="O577" s="40">
        <f>IF($A577="","",MONTH($A577))</f>
        <v>10</v>
      </c>
      <c r="P577" s="40">
        <f>IF($A577="","",YEAR($A577))</f>
        <v>2026</v>
      </c>
      <c r="Q577" s="41">
        <f>IF($A577="","",DATE(P577,O577,1))</f>
        <v>46296.0</v>
      </c>
      <c r="R577" s="36">
        <f>IF(OR($A577="",$N577=""),"",IF(AND($C577&lt;&gt;"Transferência",N($I577)&gt;1),$N577/$I577,$N577))</f>
        <v>-1262.38</v>
      </c>
      <c r="S577" s="41" t="str">
        <f>IF(OR($A577="",$F577="",$C577&lt;&gt;"Despesa"),"",IF(COUNTIF(Cartoes_Nome,$F577)=0,"",DATE(P577,O577+IF(DAY($A577)&gt;=INDEX(Cartoes_Fech,MATCH($F577,Cartoes_Nome,0)),1,0),1)))</f>
        <v/>
      </c>
      <c r="T577" s="42" t="str">
        <f>IF($A577="","",IF(COUNTIFS(L_Data,$A577,L_Desc,$B577,L_Valor,$N577,L_Tipo,$C577)&gt;1,"⚠ Possível duplicidade",IF(OR(AND($C577="Despesa",COUNTIF(CatD_Nome,$D577)=0),AND($C577="Receita",COUNTIF(CatR_Nome,$D577)=0)),"⚠ Categoria não combina com o tipo",IF(OR($N577="",$C577=""),"⚠ Falta valor ou tipo",""))))</f>
        <v/>
      </c>
      <c r="U577" s="40">
        <f>IF($A577="",0,P577*12+O577)</f>
        <v>24322</v>
      </c>
      <c r="V577" s="40">
        <f>IF($A577="",0,U577+MAX(0,N($I577)-MAX(N($H577),1)))</f>
        <v>24322</v>
      </c>
      <c r="W577" s="40">
        <f>IF(S577="",0,YEAR(S577)*12+MONTH(S577))</f>
        <v>0</v>
      </c>
      <c r="X577" s="40">
        <f>IF(W577=0,0,W577+V577-U577)</f>
        <v>0</v>
      </c>
      <c r="Y577" s="36">
        <f>IF(W577=0,0,N(R577)*MAX(0,X577-MAX(W577,YEAR(Cfg_Hoje)*12+MONTH(Cfg_Hoje)+IF(DAY(Cfg_Hoje)&gt;=INDEX(Cartoes_Fech,MATCH($F577,Cartoes_Nome,0)),1,0))+1))</f>
        <v>0</v>
      </c>
      <c r="Z577" s="40">
        <f>IF($A577="",0,DAY($A577))</f>
        <v>5</v>
      </c>
      <c r="AA577" s="40">
        <f>IF($A577="",0,WEEKDAY($A577))</f>
        <v>2</v>
      </c>
      <c r="AB577" s="36">
        <f>IF(AND($C577="Despesa",U577&gt;0,U577&lt;=Sel_Idx,V577&gt;=Sel_Idx),N(R577)+ROW()/1000000000,0)</f>
        <v>0</v>
      </c>
      <c r="AC577" s="40">
        <f>IF(AND($C577="Despesa",U577&gt;0,U577&lt;=Sel_Idx,V577&gt;=Sel_Idx),Z577*10000+ROW(),0)</f>
        <v>0</v>
      </c>
      <c r="AD577" s="40">
        <f>IF(AC577=0,0,COUNTIFS(L_CalChave,"&gt;0",L_CalChave,"&lt;"&amp;AC577)+1)</f>
        <v>0</v>
      </c>
    </row>
    <row r="578">
      <c r="A578" s="38" t="n">
        <v>46300</v>
      </c>
      <c r="B578" s="39" t="inlineStr">
        <is>
          <t>Plano de saúde</t>
        </is>
      </c>
      <c r="C578" s="34" t="inlineStr">
        <is>
          <t>Despesa</t>
        </is>
      </c>
      <c r="D578" s="34" t="inlineStr">
        <is>
          <t>Saúde</t>
        </is>
      </c>
      <c r="E578" s="34" t="inlineStr">
        <is>
          <t>Plano de saúde</t>
        </is>
      </c>
      <c r="F578" s="34" t="inlineStr">
        <is>
          <t>Conta Corrente Banco Azul</t>
        </is>
      </c>
      <c r="G578" s="34" t="inlineStr">
        <is>
          <t>Débito automático</t>
        </is>
      </c>
      <c r="H578" s="37" t="n"/>
      <c r="I578" s="37" t="n"/>
      <c r="J578" s="34" t="inlineStr">
        <is>
          <t>Agendado</t>
        </is>
      </c>
      <c r="K578" s="34" t="n"/>
      <c r="L578" s="34" t="n"/>
      <c r="M578" s="39" t="inlineStr">
        <is>
          <t>EXEMPLO</t>
        </is>
      </c>
      <c r="N578" s="35" t="n">
        <v>780</v>
      </c>
      <c r="O578" s="40">
        <f>IF($A578="","",MONTH($A578))</f>
        <v>10</v>
      </c>
      <c r="P578" s="40">
        <f>IF($A578="","",YEAR($A578))</f>
        <v>2026</v>
      </c>
      <c r="Q578" s="41">
        <f>IF($A578="","",DATE(P578,O578,1))</f>
        <v>46296.0</v>
      </c>
      <c r="R578" s="36">
        <f>IF(OR($A578="",$N578=""),"",IF(AND($C578&lt;&gt;"Transferência",N($I578)&gt;1),$N578/$I578,$N578))</f>
        <v>780</v>
      </c>
      <c r="S578" s="41" t="str">
        <f>IF(OR($A578="",$F578="",$C578&lt;&gt;"Despesa"),"",IF(COUNTIF(Cartoes_Nome,$F578)=0,"",DATE(P578,O578+IF(DAY($A578)&gt;=INDEX(Cartoes_Fech,MATCH($F578,Cartoes_Nome,0)),1,0),1)))</f>
        <v/>
      </c>
      <c r="T578" s="42" t="str">
        <f>IF($A578="","",IF(COUNTIFS(L_Data,$A578,L_Desc,$B578,L_Valor,$N578,L_Tipo,$C578)&gt;1,"⚠ Possível duplicidade",IF(OR(AND($C578="Despesa",COUNTIF(CatD_Nome,$D578)=0),AND($C578="Receita",COUNTIF(CatR_Nome,$D578)=0)),"⚠ Categoria não combina com o tipo",IF(OR($N578="",$C578=""),"⚠ Falta valor ou tipo",""))))</f>
        <v/>
      </c>
      <c r="U578" s="40">
        <f>IF($A578="",0,P578*12+O578)</f>
        <v>24322</v>
      </c>
      <c r="V578" s="40">
        <f>IF($A578="",0,U578+MAX(0,N($I578)-MAX(N($H578),1)))</f>
        <v>24322</v>
      </c>
      <c r="W578" s="40">
        <f>IF(S578="",0,YEAR(S578)*12+MONTH(S578))</f>
        <v>0</v>
      </c>
      <c r="X578" s="40">
        <f>IF(W578=0,0,W578+V578-U578)</f>
        <v>0</v>
      </c>
      <c r="Y578" s="36">
        <f>IF(W578=0,0,N(R578)*MAX(0,X578-MAX(W578,YEAR(Cfg_Hoje)*12+MONTH(Cfg_Hoje)+IF(DAY(Cfg_Hoje)&gt;=INDEX(Cartoes_Fech,MATCH($F578,Cartoes_Nome,0)),1,0))+1))</f>
        <v>0</v>
      </c>
      <c r="Z578" s="40">
        <f>IF($A578="",0,DAY($A578))</f>
        <v>5</v>
      </c>
      <c r="AA578" s="40">
        <f>IF($A578="",0,WEEKDAY($A578))</f>
        <v>2</v>
      </c>
      <c r="AB578" s="36">
        <f>IF(AND($C578="Despesa",U578&gt;0,U578&lt;=Sel_Idx,V578&gt;=Sel_Idx),N(R578)+ROW()/1000000000,0)</f>
        <v>0</v>
      </c>
      <c r="AC578" s="40">
        <f>IF(AND($C578="Despesa",U578&gt;0,U578&lt;=Sel_Idx,V578&gt;=Sel_Idx),Z578*10000+ROW(),0)</f>
        <v>0</v>
      </c>
      <c r="AD578" s="40">
        <f>IF(AC578=0,0,COUNTIFS(L_CalChave,"&gt;0",L_CalChave,"&lt;"&amp;AC578)+1)</f>
        <v>0</v>
      </c>
    </row>
    <row r="579">
      <c r="A579" s="38" t="n">
        <v>46300</v>
      </c>
      <c r="B579" s="39" t="inlineStr">
        <is>
          <t>Salário</t>
        </is>
      </c>
      <c r="C579" s="34" t="inlineStr">
        <is>
          <t>Receita</t>
        </is>
      </c>
      <c r="D579" s="34" t="inlineStr">
        <is>
          <t>Salário</t>
        </is>
      </c>
      <c r="E579" s="34" t="n"/>
      <c r="F579" s="34" t="inlineStr">
        <is>
          <t>Conta Corrente Banco Azul</t>
        </is>
      </c>
      <c r="G579" s="34" t="inlineStr">
        <is>
          <t>Transferência</t>
        </is>
      </c>
      <c r="H579" s="37" t="n"/>
      <c r="I579" s="37" t="n"/>
      <c r="J579" s="34" t="inlineStr">
        <is>
          <t>Agendado</t>
        </is>
      </c>
      <c r="K579" s="34" t="n"/>
      <c r="L579" s="34" t="n"/>
      <c r="M579" s="39" t="inlineStr">
        <is>
          <t>EXEMPLO</t>
        </is>
      </c>
      <c r="N579" s="35" t="n">
        <v>10800</v>
      </c>
      <c r="O579" s="40">
        <f>IF($A579="","",MONTH($A579))</f>
        <v>10</v>
      </c>
      <c r="P579" s="40">
        <f>IF($A579="","",YEAR($A579))</f>
        <v>2026</v>
      </c>
      <c r="Q579" s="41">
        <f>IF($A579="","",DATE(P579,O579,1))</f>
        <v>46296.0</v>
      </c>
      <c r="R579" s="36">
        <f>IF(OR($A579="",$N579=""),"",IF(AND($C579&lt;&gt;"Transferência",N($I579)&gt;1),$N579/$I579,$N579))</f>
        <v>10800</v>
      </c>
      <c r="S579" s="41" t="str">
        <f>IF(OR($A579="",$F579="",$C579&lt;&gt;"Despesa"),"",IF(COUNTIF(Cartoes_Nome,$F579)=0,"",DATE(P579,O579+IF(DAY($A579)&gt;=INDEX(Cartoes_Fech,MATCH($F579,Cartoes_Nome,0)),1,0),1)))</f>
        <v/>
      </c>
      <c r="T579" s="42" t="str">
        <f>IF($A579="","",IF(COUNTIFS(L_Data,$A579,L_Desc,$B579,L_Valor,$N579,L_Tipo,$C579)&gt;1,"⚠ Possível duplicidade",IF(OR(AND($C579="Despesa",COUNTIF(CatD_Nome,$D579)=0),AND($C579="Receita",COUNTIF(CatR_Nome,$D579)=0)),"⚠ Categoria não combina com o tipo",IF(OR($N579="",$C579=""),"⚠ Falta valor ou tipo",""))))</f>
        <v/>
      </c>
      <c r="U579" s="40">
        <f>IF($A579="",0,P579*12+O579)</f>
        <v>24322</v>
      </c>
      <c r="V579" s="40">
        <f>IF($A579="",0,U579+MAX(0,N($I579)-MAX(N($H579),1)))</f>
        <v>24322</v>
      </c>
      <c r="W579" s="40">
        <f>IF(S579="",0,YEAR(S579)*12+MONTH(S579))</f>
        <v>0</v>
      </c>
      <c r="X579" s="40">
        <f>IF(W579=0,0,W579+V579-U579)</f>
        <v>0</v>
      </c>
      <c r="Y579" s="36">
        <f>IF(W579=0,0,N(R579)*MAX(0,X579-MAX(W579,YEAR(Cfg_Hoje)*12+MONTH(Cfg_Hoje)+IF(DAY(Cfg_Hoje)&gt;=INDEX(Cartoes_Fech,MATCH($F579,Cartoes_Nome,0)),1,0))+1))</f>
        <v>0</v>
      </c>
      <c r="Z579" s="40">
        <f>IF($A579="",0,DAY($A579))</f>
        <v>5</v>
      </c>
      <c r="AA579" s="40">
        <f>IF($A579="",0,WEEKDAY($A579))</f>
        <v>2</v>
      </c>
      <c r="AB579" s="36">
        <f>IF(AND($C579="Despesa",U579&gt;0,U579&lt;=Sel_Idx,V579&gt;=Sel_Idx),N(R579)+ROW()/1000000000,0)</f>
        <v>0</v>
      </c>
      <c r="AC579" s="40">
        <f>IF(AND($C579="Despesa",U579&gt;0,U579&lt;=Sel_Idx,V579&gt;=Sel_Idx),Z579*10000+ROW(),0)</f>
        <v>0</v>
      </c>
      <c r="AD579" s="40">
        <f>IF(AC579=0,0,COUNTIFS(L_CalChave,"&gt;0",L_CalChave,"&lt;"&amp;AC579)+1)</f>
        <v>0</v>
      </c>
    </row>
    <row r="580">
      <c r="A580" s="38" t="n">
        <v>46300</v>
      </c>
      <c r="B580" s="39" t="inlineStr">
        <is>
          <t>Supermercado</t>
        </is>
      </c>
      <c r="C580" s="34" t="inlineStr">
        <is>
          <t>Despesa</t>
        </is>
      </c>
      <c r="D580" s="34" t="inlineStr">
        <is>
          <t>Alimentação</t>
        </is>
      </c>
      <c r="E580" s="34" t="inlineStr">
        <is>
          <t>Mercado</t>
        </is>
      </c>
      <c r="F580" s="34" t="inlineStr">
        <is>
          <t>Cartão Azul Gold</t>
        </is>
      </c>
      <c r="G580" s="34" t="inlineStr">
        <is>
          <t>Crédito</t>
        </is>
      </c>
      <c r="H580" s="37" t="n"/>
      <c r="I580" s="37" t="n"/>
      <c r="J580" s="34" t="inlineStr">
        <is>
          <t>Agendado</t>
        </is>
      </c>
      <c r="K580" s="34" t="n"/>
      <c r="L580" s="34" t="n"/>
      <c r="M580" s="39" t="inlineStr">
        <is>
          <t>EXEMPLO</t>
        </is>
      </c>
      <c r="N580" s="35" t="n">
        <v>261.98</v>
      </c>
      <c r="O580" s="40">
        <f>IF($A580="","",MONTH($A580))</f>
        <v>10</v>
      </c>
      <c r="P580" s="40">
        <f>IF($A580="","",YEAR($A580))</f>
        <v>2026</v>
      </c>
      <c r="Q580" s="41">
        <f>IF($A580="","",DATE(P580,O580,1))</f>
        <v>46296.0</v>
      </c>
      <c r="R580" s="36">
        <f>IF(OR($A580="",$N580=""),"",IF(AND($C580&lt;&gt;"Transferência",N($I580)&gt;1),$N580/$I580,$N580))</f>
        <v>261.98</v>
      </c>
      <c r="S580" s="41">
        <f>IF(OR($A580="",$F580="",$C580&lt;&gt;"Despesa"),"",IF(COUNTIF(Cartoes_Nome,$F580)=0,"",DATE(P580,O580+IF(DAY($A580)&gt;=INDEX(Cartoes_Fech,MATCH($F580,Cartoes_Nome,0)),1,0),1)))</f>
        <v>46296.0</v>
      </c>
      <c r="T580" s="42" t="str">
        <f>IF($A580="","",IF(COUNTIFS(L_Data,$A580,L_Desc,$B580,L_Valor,$N580,L_Tipo,$C580)&gt;1,"⚠ Possível duplicidade",IF(OR(AND($C580="Despesa",COUNTIF(CatD_Nome,$D580)=0),AND($C580="Receita",COUNTIF(CatR_Nome,$D580)=0)),"⚠ Categoria não combina com o tipo",IF(OR($N580="",$C580=""),"⚠ Falta valor ou tipo",""))))</f>
        <v/>
      </c>
      <c r="U580" s="40">
        <f>IF($A580="",0,P580*12+O580)</f>
        <v>24322</v>
      </c>
      <c r="V580" s="40">
        <f>IF($A580="",0,U580+MAX(0,N($I580)-MAX(N($H580),1)))</f>
        <v>24322</v>
      </c>
      <c r="W580" s="40">
        <f>IF(S580="",0,YEAR(S580)*12+MONTH(S580))</f>
        <v>24322</v>
      </c>
      <c r="X580" s="40">
        <f>IF(W580=0,0,W580+V580-U580)</f>
        <v>24322</v>
      </c>
      <c r="Y580" s="36">
        <f>IF(W580=0,0,N(R580)*MAX(0,X580-MAX(W580,YEAR(Cfg_Hoje)*12+MONTH(Cfg_Hoje)+IF(DAY(Cfg_Hoje)&gt;=INDEX(Cartoes_Fech,MATCH($F580,Cartoes_Nome,0)),1,0))+1))</f>
        <v>261.98</v>
      </c>
      <c r="Z580" s="40">
        <f>IF($A580="",0,DAY($A580))</f>
        <v>5</v>
      </c>
      <c r="AA580" s="40">
        <f>IF($A580="",0,WEEKDAY($A580))</f>
        <v>2</v>
      </c>
      <c r="AB580" s="36">
        <f>IF(AND($C580="Despesa",U580&gt;0,U580&lt;=Sel_Idx,V580&gt;=Sel_Idx),N(R580)+ROW()/1000000000,0)</f>
        <v>0</v>
      </c>
      <c r="AC580" s="40">
        <f>IF(AND($C580="Despesa",U580&gt;0,U580&lt;=Sel_Idx,V580&gt;=Sel_Idx),Z580*10000+ROW(),0)</f>
        <v>0</v>
      </c>
      <c r="AD580" s="40">
        <f>IF(AC580=0,0,COUNTIFS(L_CalChave,"&gt;0",L_CalChave,"&lt;"&amp;AC580)+1)</f>
        <v>0</v>
      </c>
    </row>
    <row r="581">
      <c r="A581" s="38" t="n">
        <v>46301</v>
      </c>
      <c r="B581" s="39" t="inlineStr">
        <is>
          <t>Aporte - MBA</t>
        </is>
      </c>
      <c r="C581" s="34" t="inlineStr">
        <is>
          <t>Investimento</t>
        </is>
      </c>
      <c r="D581" s="34" t="inlineStr">
        <is>
          <t>Investimento</t>
        </is>
      </c>
      <c r="E581" s="34" t="n"/>
      <c r="F581" s="34" t="inlineStr">
        <is>
          <t>Conta Corrente Banco Azul</t>
        </is>
      </c>
      <c r="G581" s="34" t="inlineStr">
        <is>
          <t>Transferência</t>
        </is>
      </c>
      <c r="H581" s="37" t="n"/>
      <c r="I581" s="37" t="n"/>
      <c r="J581" s="34" t="inlineStr">
        <is>
          <t>Agendado</t>
        </is>
      </c>
      <c r="K581" s="34" t="n"/>
      <c r="L581" s="34" t="inlineStr">
        <is>
          <t>MBA</t>
        </is>
      </c>
      <c r="M581" s="39" t="inlineStr">
        <is>
          <t>EXEMPLO</t>
        </is>
      </c>
      <c r="N581" s="35" t="n">
        <v>150</v>
      </c>
      <c r="O581" s="40">
        <f>IF($A581="","",MONTH($A581))</f>
        <v>10</v>
      </c>
      <c r="P581" s="40">
        <f>IF($A581="","",YEAR($A581))</f>
        <v>2026</v>
      </c>
      <c r="Q581" s="41">
        <f>IF($A581="","",DATE(P581,O581,1))</f>
        <v>46296.0</v>
      </c>
      <c r="R581" s="36">
        <f>IF(OR($A581="",$N581=""),"",IF(AND($C581&lt;&gt;"Transferência",N($I581)&gt;1),$N581/$I581,$N581))</f>
        <v>150</v>
      </c>
      <c r="S581" s="41" t="str">
        <f>IF(OR($A581="",$F581="",$C581&lt;&gt;"Despesa"),"",IF(COUNTIF(Cartoes_Nome,$F581)=0,"",DATE(P581,O581+IF(DAY($A581)&gt;=INDEX(Cartoes_Fech,MATCH($F581,Cartoes_Nome,0)),1,0),1)))</f>
        <v/>
      </c>
      <c r="T581" s="42" t="str">
        <f>IF($A581="","",IF(COUNTIFS(L_Data,$A581,L_Desc,$B581,L_Valor,$N581,L_Tipo,$C581)&gt;1,"⚠ Possível duplicidade",IF(OR(AND($C581="Despesa",COUNTIF(CatD_Nome,$D581)=0),AND($C581="Receita",COUNTIF(CatR_Nome,$D581)=0)),"⚠ Categoria não combina com o tipo",IF(OR($N581="",$C581=""),"⚠ Falta valor ou tipo",""))))</f>
        <v/>
      </c>
      <c r="U581" s="40">
        <f>IF($A581="",0,P581*12+O581)</f>
        <v>24322</v>
      </c>
      <c r="V581" s="40">
        <f>IF($A581="",0,U581+MAX(0,N($I581)-MAX(N($H581),1)))</f>
        <v>24322</v>
      </c>
      <c r="W581" s="40">
        <f>IF(S581="",0,YEAR(S581)*12+MONTH(S581))</f>
        <v>0</v>
      </c>
      <c r="X581" s="40">
        <f>IF(W581=0,0,W581+V581-U581)</f>
        <v>0</v>
      </c>
      <c r="Y581" s="36">
        <f>IF(W581=0,0,N(R581)*MAX(0,X581-MAX(W581,YEAR(Cfg_Hoje)*12+MONTH(Cfg_Hoje)+IF(DAY(Cfg_Hoje)&gt;=INDEX(Cartoes_Fech,MATCH($F581,Cartoes_Nome,0)),1,0))+1))</f>
        <v>0</v>
      </c>
      <c r="Z581" s="40">
        <f>IF($A581="",0,DAY($A581))</f>
        <v>6</v>
      </c>
      <c r="AA581" s="40">
        <f>IF($A581="",0,WEEKDAY($A581))</f>
        <v>3</v>
      </c>
      <c r="AB581" s="36">
        <f>IF(AND($C581="Despesa",U581&gt;0,U581&lt;=Sel_Idx,V581&gt;=Sel_Idx),N(R581)+ROW()/1000000000,0)</f>
        <v>0</v>
      </c>
      <c r="AC581" s="40">
        <f>IF(AND($C581="Despesa",U581&gt;0,U581&lt;=Sel_Idx,V581&gt;=Sel_Idx),Z581*10000+ROW(),0)</f>
        <v>0</v>
      </c>
      <c r="AD581" s="40">
        <f>IF(AC581=0,0,COUNTIFS(L_CalChave,"&gt;0",L_CalChave,"&lt;"&amp;AC581)+1)</f>
        <v>0</v>
      </c>
    </row>
    <row r="582">
      <c r="A582" s="38" t="n">
        <v>46301</v>
      </c>
      <c r="B582" s="39" t="inlineStr">
        <is>
          <t>Aporte - aposentadoria (PGBL)</t>
        </is>
      </c>
      <c r="C582" s="34" t="inlineStr">
        <is>
          <t>Investimento</t>
        </is>
      </c>
      <c r="D582" s="34" t="inlineStr">
        <is>
          <t>Investimento</t>
        </is>
      </c>
      <c r="E582" s="34" t="n"/>
      <c r="F582" s="34" t="inlineStr">
        <is>
          <t>Conta Corrente Banco Azul</t>
        </is>
      </c>
      <c r="G582" s="34" t="inlineStr">
        <is>
          <t>Transferência</t>
        </is>
      </c>
      <c r="H582" s="37" t="n"/>
      <c r="I582" s="37" t="n"/>
      <c r="J582" s="34" t="inlineStr">
        <is>
          <t>Agendado</t>
        </is>
      </c>
      <c r="K582" s="34" t="n"/>
      <c r="L582" s="34" t="inlineStr">
        <is>
          <t>Aposentadoria</t>
        </is>
      </c>
      <c r="M582" s="39" t="inlineStr">
        <is>
          <t>EXEMPLO</t>
        </is>
      </c>
      <c r="N582" s="35" t="n">
        <v>300</v>
      </c>
      <c r="O582" s="40">
        <f>IF($A582="","",MONTH($A582))</f>
        <v>10</v>
      </c>
      <c r="P582" s="40">
        <f>IF($A582="","",YEAR($A582))</f>
        <v>2026</v>
      </c>
      <c r="Q582" s="41">
        <f>IF($A582="","",DATE(P582,O582,1))</f>
        <v>46296.0</v>
      </c>
      <c r="R582" s="36">
        <f>IF(OR($A582="",$N582=""),"",IF(AND($C582&lt;&gt;"Transferência",N($I582)&gt;1),$N582/$I582,$N582))</f>
        <v>300</v>
      </c>
      <c r="S582" s="41" t="str">
        <f>IF(OR($A582="",$F582="",$C582&lt;&gt;"Despesa"),"",IF(COUNTIF(Cartoes_Nome,$F582)=0,"",DATE(P582,O582+IF(DAY($A582)&gt;=INDEX(Cartoes_Fech,MATCH($F582,Cartoes_Nome,0)),1,0),1)))</f>
        <v/>
      </c>
      <c r="T582" s="42" t="str">
        <f>IF($A582="","",IF(COUNTIFS(L_Data,$A582,L_Desc,$B582,L_Valor,$N582,L_Tipo,$C582)&gt;1,"⚠ Possível duplicidade",IF(OR(AND($C582="Despesa",COUNTIF(CatD_Nome,$D582)=0),AND($C582="Receita",COUNTIF(CatR_Nome,$D582)=0)),"⚠ Categoria não combina com o tipo",IF(OR($N582="",$C582=""),"⚠ Falta valor ou tipo",""))))</f>
        <v/>
      </c>
      <c r="U582" s="40">
        <f>IF($A582="",0,P582*12+O582)</f>
        <v>24322</v>
      </c>
      <c r="V582" s="40">
        <f>IF($A582="",0,U582+MAX(0,N($I582)-MAX(N($H582),1)))</f>
        <v>24322</v>
      </c>
      <c r="W582" s="40">
        <f>IF(S582="",0,YEAR(S582)*12+MONTH(S582))</f>
        <v>0</v>
      </c>
      <c r="X582" s="40">
        <f>IF(W582=0,0,W582+V582-U582)</f>
        <v>0</v>
      </c>
      <c r="Y582" s="36">
        <f>IF(W582=0,0,N(R582)*MAX(0,X582-MAX(W582,YEAR(Cfg_Hoje)*12+MONTH(Cfg_Hoje)+IF(DAY(Cfg_Hoje)&gt;=INDEX(Cartoes_Fech,MATCH($F582,Cartoes_Nome,0)),1,0))+1))</f>
        <v>0</v>
      </c>
      <c r="Z582" s="40">
        <f>IF($A582="",0,DAY($A582))</f>
        <v>6</v>
      </c>
      <c r="AA582" s="40">
        <f>IF($A582="",0,WEEKDAY($A582))</f>
        <v>3</v>
      </c>
      <c r="AB582" s="36">
        <f>IF(AND($C582="Despesa",U582&gt;0,U582&lt;=Sel_Idx,V582&gt;=Sel_Idx),N(R582)+ROW()/1000000000,0)</f>
        <v>0</v>
      </c>
      <c r="AC582" s="40">
        <f>IF(AND($C582="Despesa",U582&gt;0,U582&lt;=Sel_Idx,V582&gt;=Sel_Idx),Z582*10000+ROW(),0)</f>
        <v>0</v>
      </c>
      <c r="AD582" s="40">
        <f>IF(AC582=0,0,COUNTIFS(L_CalChave,"&gt;0",L_CalChave,"&lt;"&amp;AC582)+1)</f>
        <v>0</v>
      </c>
    </row>
    <row r="583">
      <c r="A583" s="38" t="n">
        <v>46301</v>
      </c>
      <c r="B583" s="39" t="inlineStr">
        <is>
          <t>Aporte - entrada do apartamento</t>
        </is>
      </c>
      <c r="C583" s="34" t="inlineStr">
        <is>
          <t>Investimento</t>
        </is>
      </c>
      <c r="D583" s="34" t="inlineStr">
        <is>
          <t>Investimento</t>
        </is>
      </c>
      <c r="E583" s="34" t="n"/>
      <c r="F583" s="34" t="inlineStr">
        <is>
          <t>Conta Corrente Banco Azul</t>
        </is>
      </c>
      <c r="G583" s="34" t="inlineStr">
        <is>
          <t>Transferência</t>
        </is>
      </c>
      <c r="H583" s="37" t="n"/>
      <c r="I583" s="37" t="n"/>
      <c r="J583" s="34" t="inlineStr">
        <is>
          <t>Agendado</t>
        </is>
      </c>
      <c r="K583" s="34" t="n"/>
      <c r="L583" s="34" t="inlineStr">
        <is>
          <t>Entrada do apartamento</t>
        </is>
      </c>
      <c r="M583" s="39" t="inlineStr">
        <is>
          <t>EXEMPLO</t>
        </is>
      </c>
      <c r="N583" s="35" t="n">
        <v>250</v>
      </c>
      <c r="O583" s="40">
        <f>IF($A583="","",MONTH($A583))</f>
        <v>10</v>
      </c>
      <c r="P583" s="40">
        <f>IF($A583="","",YEAR($A583))</f>
        <v>2026</v>
      </c>
      <c r="Q583" s="41">
        <f>IF($A583="","",DATE(P583,O583,1))</f>
        <v>46296.0</v>
      </c>
      <c r="R583" s="36">
        <f>IF(OR($A583="",$N583=""),"",IF(AND($C583&lt;&gt;"Transferência",N($I583)&gt;1),$N583/$I583,$N583))</f>
        <v>250</v>
      </c>
      <c r="S583" s="41" t="str">
        <f>IF(OR($A583="",$F583="",$C583&lt;&gt;"Despesa"),"",IF(COUNTIF(Cartoes_Nome,$F583)=0,"",DATE(P583,O583+IF(DAY($A583)&gt;=INDEX(Cartoes_Fech,MATCH($F583,Cartoes_Nome,0)),1,0),1)))</f>
        <v/>
      </c>
      <c r="T583" s="42" t="str">
        <f>IF($A583="","",IF(COUNTIFS(L_Data,$A583,L_Desc,$B583,L_Valor,$N583,L_Tipo,$C583)&gt;1,"⚠ Possível duplicidade",IF(OR(AND($C583="Despesa",COUNTIF(CatD_Nome,$D583)=0),AND($C583="Receita",COUNTIF(CatR_Nome,$D583)=0)),"⚠ Categoria não combina com o tipo",IF(OR($N583="",$C583=""),"⚠ Falta valor ou tipo",""))))</f>
        <v/>
      </c>
      <c r="U583" s="40">
        <f>IF($A583="",0,P583*12+O583)</f>
        <v>24322</v>
      </c>
      <c r="V583" s="40">
        <f>IF($A583="",0,U583+MAX(0,N($I583)-MAX(N($H583),1)))</f>
        <v>24322</v>
      </c>
      <c r="W583" s="40">
        <f>IF(S583="",0,YEAR(S583)*12+MONTH(S583))</f>
        <v>0</v>
      </c>
      <c r="X583" s="40">
        <f>IF(W583=0,0,W583+V583-U583)</f>
        <v>0</v>
      </c>
      <c r="Y583" s="36">
        <f>IF(W583=0,0,N(R583)*MAX(0,X583-MAX(W583,YEAR(Cfg_Hoje)*12+MONTH(Cfg_Hoje)+IF(DAY(Cfg_Hoje)&gt;=INDEX(Cartoes_Fech,MATCH($F583,Cartoes_Nome,0)),1,0))+1))</f>
        <v>0</v>
      </c>
      <c r="Z583" s="40">
        <f>IF($A583="",0,DAY($A583))</f>
        <v>6</v>
      </c>
      <c r="AA583" s="40">
        <f>IF($A583="",0,WEEKDAY($A583))</f>
        <v>3</v>
      </c>
      <c r="AB583" s="36">
        <f>IF(AND($C583="Despesa",U583&gt;0,U583&lt;=Sel_Idx,V583&gt;=Sel_Idx),N(R583)+ROW()/1000000000,0)</f>
        <v>0</v>
      </c>
      <c r="AC583" s="40">
        <f>IF(AND($C583="Despesa",U583&gt;0,U583&lt;=Sel_Idx,V583&gt;=Sel_Idx),Z583*10000+ROW(),0)</f>
        <v>0</v>
      </c>
      <c r="AD583" s="40">
        <f>IF(AC583=0,0,COUNTIFS(L_CalChave,"&gt;0",L_CalChave,"&lt;"&amp;AC583)+1)</f>
        <v>0</v>
      </c>
    </row>
    <row r="584">
      <c r="A584" s="38" t="n">
        <v>46301</v>
      </c>
      <c r="B584" s="39" t="inlineStr">
        <is>
          <t>Aporte - quitar empréstimo</t>
        </is>
      </c>
      <c r="C584" s="34" t="inlineStr">
        <is>
          <t>Investimento</t>
        </is>
      </c>
      <c r="D584" s="34" t="inlineStr">
        <is>
          <t>Investimento</t>
        </is>
      </c>
      <c r="E584" s="34" t="n"/>
      <c r="F584" s="34" t="inlineStr">
        <is>
          <t>Conta Corrente Banco Azul</t>
        </is>
      </c>
      <c r="G584" s="34" t="inlineStr">
        <is>
          <t>Transferência</t>
        </is>
      </c>
      <c r="H584" s="37" t="n"/>
      <c r="I584" s="37" t="n"/>
      <c r="J584" s="34" t="inlineStr">
        <is>
          <t>Agendado</t>
        </is>
      </c>
      <c r="K584" s="34" t="n"/>
      <c r="L584" s="34" t="inlineStr">
        <is>
          <t>Quitar empréstimo pessoal</t>
        </is>
      </c>
      <c r="M584" s="39" t="inlineStr">
        <is>
          <t>EXEMPLO</t>
        </is>
      </c>
      <c r="N584" s="35" t="n">
        <v>150</v>
      </c>
      <c r="O584" s="40">
        <f>IF($A584="","",MONTH($A584))</f>
        <v>10</v>
      </c>
      <c r="P584" s="40">
        <f>IF($A584="","",YEAR($A584))</f>
        <v>2026</v>
      </c>
      <c r="Q584" s="41">
        <f>IF($A584="","",DATE(P584,O584,1))</f>
        <v>46296.0</v>
      </c>
      <c r="R584" s="36">
        <f>IF(OR($A584="",$N584=""),"",IF(AND($C584&lt;&gt;"Transferência",N($I584)&gt;1),$N584/$I584,$N584))</f>
        <v>150</v>
      </c>
      <c r="S584" s="41" t="str">
        <f>IF(OR($A584="",$F584="",$C584&lt;&gt;"Despesa"),"",IF(COUNTIF(Cartoes_Nome,$F584)=0,"",DATE(P584,O584+IF(DAY($A584)&gt;=INDEX(Cartoes_Fech,MATCH($F584,Cartoes_Nome,0)),1,0),1)))</f>
        <v/>
      </c>
      <c r="T584" s="42" t="str">
        <f>IF($A584="","",IF(COUNTIFS(L_Data,$A584,L_Desc,$B584,L_Valor,$N584,L_Tipo,$C584)&gt;1,"⚠ Possível duplicidade",IF(OR(AND($C584="Despesa",COUNTIF(CatD_Nome,$D584)=0),AND($C584="Receita",COUNTIF(CatR_Nome,$D584)=0)),"⚠ Categoria não combina com o tipo",IF(OR($N584="",$C584=""),"⚠ Falta valor ou tipo",""))))</f>
        <v/>
      </c>
      <c r="U584" s="40">
        <f>IF($A584="",0,P584*12+O584)</f>
        <v>24322</v>
      </c>
      <c r="V584" s="40">
        <f>IF($A584="",0,U584+MAX(0,N($I584)-MAX(N($H584),1)))</f>
        <v>24322</v>
      </c>
      <c r="W584" s="40">
        <f>IF(S584="",0,YEAR(S584)*12+MONTH(S584))</f>
        <v>0</v>
      </c>
      <c r="X584" s="40">
        <f>IF(W584=0,0,W584+V584-U584)</f>
        <v>0</v>
      </c>
      <c r="Y584" s="36">
        <f>IF(W584=0,0,N(R584)*MAX(0,X584-MAX(W584,YEAR(Cfg_Hoje)*12+MONTH(Cfg_Hoje)+IF(DAY(Cfg_Hoje)&gt;=INDEX(Cartoes_Fech,MATCH($F584,Cartoes_Nome,0)),1,0))+1))</f>
        <v>0</v>
      </c>
      <c r="Z584" s="40">
        <f>IF($A584="",0,DAY($A584))</f>
        <v>6</v>
      </c>
      <c r="AA584" s="40">
        <f>IF($A584="",0,WEEKDAY($A584))</f>
        <v>3</v>
      </c>
      <c r="AB584" s="36">
        <f>IF(AND($C584="Despesa",U584&gt;0,U584&lt;=Sel_Idx,V584&gt;=Sel_Idx),N(R584)+ROW()/1000000000,0)</f>
        <v>0</v>
      </c>
      <c r="AC584" s="40">
        <f>IF(AND($C584="Despesa",U584&gt;0,U584&lt;=Sel_Idx,V584&gt;=Sel_Idx),Z584*10000+ROW(),0)</f>
        <v>0</v>
      </c>
      <c r="AD584" s="40">
        <f>IF(AC584=0,0,COUNTIFS(L_CalChave,"&gt;0",L_CalChave,"&lt;"&amp;AC584)+1)</f>
        <v>0</v>
      </c>
    </row>
    <row r="585">
      <c r="A585" s="38" t="n">
        <v>46301</v>
      </c>
      <c r="B585" s="39" t="inlineStr">
        <is>
          <t>Aporte - reserva de emergência</t>
        </is>
      </c>
      <c r="C585" s="34" t="inlineStr">
        <is>
          <t>Investimento</t>
        </is>
      </c>
      <c r="D585" s="34" t="inlineStr">
        <is>
          <t>Investimento</t>
        </is>
      </c>
      <c r="E585" s="34" t="n"/>
      <c r="F585" s="34" t="inlineStr">
        <is>
          <t>Conta Corrente Banco Azul</t>
        </is>
      </c>
      <c r="G585" s="34" t="inlineStr">
        <is>
          <t>Transferência</t>
        </is>
      </c>
      <c r="H585" s="37" t="n"/>
      <c r="I585" s="37" t="n"/>
      <c r="J585" s="34" t="inlineStr">
        <is>
          <t>Agendado</t>
        </is>
      </c>
      <c r="K585" s="34" t="n"/>
      <c r="L585" s="34" t="inlineStr">
        <is>
          <t>Reserva de emergência</t>
        </is>
      </c>
      <c r="M585" s="39" t="inlineStr">
        <is>
          <t>EXEMPLO</t>
        </is>
      </c>
      <c r="N585" s="35" t="n">
        <v>700</v>
      </c>
      <c r="O585" s="40">
        <f>IF($A585="","",MONTH($A585))</f>
        <v>10</v>
      </c>
      <c r="P585" s="40">
        <f>IF($A585="","",YEAR($A585))</f>
        <v>2026</v>
      </c>
      <c r="Q585" s="41">
        <f>IF($A585="","",DATE(P585,O585,1))</f>
        <v>46296.0</v>
      </c>
      <c r="R585" s="36">
        <f>IF(OR($A585="",$N585=""),"",IF(AND($C585&lt;&gt;"Transferência",N($I585)&gt;1),$N585/$I585,$N585))</f>
        <v>700</v>
      </c>
      <c r="S585" s="41" t="str">
        <f>IF(OR($A585="",$F585="",$C585&lt;&gt;"Despesa"),"",IF(COUNTIF(Cartoes_Nome,$F585)=0,"",DATE(P585,O585+IF(DAY($A585)&gt;=INDEX(Cartoes_Fech,MATCH($F585,Cartoes_Nome,0)),1,0),1)))</f>
        <v/>
      </c>
      <c r="T585" s="42" t="str">
        <f>IF($A585="","",IF(COUNTIFS(L_Data,$A585,L_Desc,$B585,L_Valor,$N585,L_Tipo,$C585)&gt;1,"⚠ Possível duplicidade",IF(OR(AND($C585="Despesa",COUNTIF(CatD_Nome,$D585)=0),AND($C585="Receita",COUNTIF(CatR_Nome,$D585)=0)),"⚠ Categoria não combina com o tipo",IF(OR($N585="",$C585=""),"⚠ Falta valor ou tipo",""))))</f>
        <v/>
      </c>
      <c r="U585" s="40">
        <f>IF($A585="",0,P585*12+O585)</f>
        <v>24322</v>
      </c>
      <c r="V585" s="40">
        <f>IF($A585="",0,U585+MAX(0,N($I585)-MAX(N($H585),1)))</f>
        <v>24322</v>
      </c>
      <c r="W585" s="40">
        <f>IF(S585="",0,YEAR(S585)*12+MONTH(S585))</f>
        <v>0</v>
      </c>
      <c r="X585" s="40">
        <f>IF(W585=0,0,W585+V585-U585)</f>
        <v>0</v>
      </c>
      <c r="Y585" s="36">
        <f>IF(W585=0,0,N(R585)*MAX(0,X585-MAX(W585,YEAR(Cfg_Hoje)*12+MONTH(Cfg_Hoje)+IF(DAY(Cfg_Hoje)&gt;=INDEX(Cartoes_Fech,MATCH($F585,Cartoes_Nome,0)),1,0))+1))</f>
        <v>0</v>
      </c>
      <c r="Z585" s="40">
        <f>IF($A585="",0,DAY($A585))</f>
        <v>6</v>
      </c>
      <c r="AA585" s="40">
        <f>IF($A585="",0,WEEKDAY($A585))</f>
        <v>3</v>
      </c>
      <c r="AB585" s="36">
        <f>IF(AND($C585="Despesa",U585&gt;0,U585&lt;=Sel_Idx,V585&gt;=Sel_Idx),N(R585)+ROW()/1000000000,0)</f>
        <v>0</v>
      </c>
      <c r="AC585" s="40">
        <f>IF(AND($C585="Despesa",U585&gt;0,U585&lt;=Sel_Idx,V585&gt;=Sel_Idx),Z585*10000+ROW(),0)</f>
        <v>0</v>
      </c>
      <c r="AD585" s="40">
        <f>IF(AC585=0,0,COUNTIFS(L_CalChave,"&gt;0",L_CalChave,"&lt;"&amp;AC585)+1)</f>
        <v>0</v>
      </c>
    </row>
    <row r="586">
      <c r="A586" s="38" t="n">
        <v>46301</v>
      </c>
      <c r="B586" s="39" t="inlineStr">
        <is>
          <t>Aporte - troca de carro</t>
        </is>
      </c>
      <c r="C586" s="34" t="inlineStr">
        <is>
          <t>Investimento</t>
        </is>
      </c>
      <c r="D586" s="34" t="inlineStr">
        <is>
          <t>Investimento</t>
        </is>
      </c>
      <c r="E586" s="34" t="n"/>
      <c r="F586" s="34" t="inlineStr">
        <is>
          <t>Conta Corrente Banco Azul</t>
        </is>
      </c>
      <c r="G586" s="34" t="inlineStr">
        <is>
          <t>Transferência</t>
        </is>
      </c>
      <c r="H586" s="37" t="n"/>
      <c r="I586" s="37" t="n"/>
      <c r="J586" s="34" t="inlineStr">
        <is>
          <t>Agendado</t>
        </is>
      </c>
      <c r="K586" s="34" t="n"/>
      <c r="L586" s="34" t="inlineStr">
        <is>
          <t>Troca de carro</t>
        </is>
      </c>
      <c r="M586" s="39" t="inlineStr">
        <is>
          <t>EXEMPLO</t>
        </is>
      </c>
      <c r="N586" s="35" t="n">
        <v>200</v>
      </c>
      <c r="O586" s="40">
        <f>IF($A586="","",MONTH($A586))</f>
        <v>10</v>
      </c>
      <c r="P586" s="40">
        <f>IF($A586="","",YEAR($A586))</f>
        <v>2026</v>
      </c>
      <c r="Q586" s="41">
        <f>IF($A586="","",DATE(P586,O586,1))</f>
        <v>46296.0</v>
      </c>
      <c r="R586" s="36">
        <f>IF(OR($A586="",$N586=""),"",IF(AND($C586&lt;&gt;"Transferência",N($I586)&gt;1),$N586/$I586,$N586))</f>
        <v>200</v>
      </c>
      <c r="S586" s="41" t="str">
        <f>IF(OR($A586="",$F586="",$C586&lt;&gt;"Despesa"),"",IF(COUNTIF(Cartoes_Nome,$F586)=0,"",DATE(P586,O586+IF(DAY($A586)&gt;=INDEX(Cartoes_Fech,MATCH($F586,Cartoes_Nome,0)),1,0),1)))</f>
        <v/>
      </c>
      <c r="T586" s="42" t="str">
        <f>IF($A586="","",IF(COUNTIFS(L_Data,$A586,L_Desc,$B586,L_Valor,$N586,L_Tipo,$C586)&gt;1,"⚠ Possível duplicidade",IF(OR(AND($C586="Despesa",COUNTIF(CatD_Nome,$D586)=0),AND($C586="Receita",COUNTIF(CatR_Nome,$D586)=0)),"⚠ Categoria não combina com o tipo",IF(OR($N586="",$C586=""),"⚠ Falta valor ou tipo",""))))</f>
        <v/>
      </c>
      <c r="U586" s="40">
        <f>IF($A586="",0,P586*12+O586)</f>
        <v>24322</v>
      </c>
      <c r="V586" s="40">
        <f>IF($A586="",0,U586+MAX(0,N($I586)-MAX(N($H586),1)))</f>
        <v>24322</v>
      </c>
      <c r="W586" s="40">
        <f>IF(S586="",0,YEAR(S586)*12+MONTH(S586))</f>
        <v>0</v>
      </c>
      <c r="X586" s="40">
        <f>IF(W586=0,0,W586+V586-U586)</f>
        <v>0</v>
      </c>
      <c r="Y586" s="36">
        <f>IF(W586=0,0,N(R586)*MAX(0,X586-MAX(W586,YEAR(Cfg_Hoje)*12+MONTH(Cfg_Hoje)+IF(DAY(Cfg_Hoje)&gt;=INDEX(Cartoes_Fech,MATCH($F586,Cartoes_Nome,0)),1,0))+1))</f>
        <v>0</v>
      </c>
      <c r="Z586" s="40">
        <f>IF($A586="",0,DAY($A586))</f>
        <v>6</v>
      </c>
      <c r="AA586" s="40">
        <f>IF($A586="",0,WEEKDAY($A586))</f>
        <v>3</v>
      </c>
      <c r="AB586" s="36">
        <f>IF(AND($C586="Despesa",U586&gt;0,U586&lt;=Sel_Idx,V586&gt;=Sel_Idx),N(R586)+ROW()/1000000000,0)</f>
        <v>0</v>
      </c>
      <c r="AC586" s="40">
        <f>IF(AND($C586="Despesa",U586&gt;0,U586&lt;=Sel_Idx,V586&gt;=Sel_Idx),Z586*10000+ROW(),0)</f>
        <v>0</v>
      </c>
      <c r="AD586" s="40">
        <f>IF(AC586=0,0,COUNTIFS(L_CalChave,"&gt;0",L_CalChave,"&lt;"&amp;AC586)+1)</f>
        <v>0</v>
      </c>
    </row>
    <row r="587">
      <c r="A587" s="38" t="n">
        <v>46301</v>
      </c>
      <c r="B587" s="39" t="inlineStr">
        <is>
          <t>Aporte - viagem</t>
        </is>
      </c>
      <c r="C587" s="34" t="inlineStr">
        <is>
          <t>Investimento</t>
        </is>
      </c>
      <c r="D587" s="34" t="inlineStr">
        <is>
          <t>Investimento</t>
        </is>
      </c>
      <c r="E587" s="34" t="n"/>
      <c r="F587" s="34" t="inlineStr">
        <is>
          <t>Conta Corrente Banco Azul</t>
        </is>
      </c>
      <c r="G587" s="34" t="inlineStr">
        <is>
          <t>Transferência</t>
        </is>
      </c>
      <c r="H587" s="37" t="n"/>
      <c r="I587" s="37" t="n"/>
      <c r="J587" s="34" t="inlineStr">
        <is>
          <t>Agendado</t>
        </is>
      </c>
      <c r="K587" s="34" t="n"/>
      <c r="L587" s="34" t="inlineStr">
        <is>
          <t>Viagem Europa</t>
        </is>
      </c>
      <c r="M587" s="39" t="inlineStr">
        <is>
          <t>EXEMPLO</t>
        </is>
      </c>
      <c r="N587" s="35" t="n">
        <v>300</v>
      </c>
      <c r="O587" s="40">
        <f>IF($A587="","",MONTH($A587))</f>
        <v>10</v>
      </c>
      <c r="P587" s="40">
        <f>IF($A587="","",YEAR($A587))</f>
        <v>2026</v>
      </c>
      <c r="Q587" s="41">
        <f>IF($A587="","",DATE(P587,O587,1))</f>
        <v>46296.0</v>
      </c>
      <c r="R587" s="36">
        <f>IF(OR($A587="",$N587=""),"",IF(AND($C587&lt;&gt;"Transferência",N($I587)&gt;1),$N587/$I587,$N587))</f>
        <v>300</v>
      </c>
      <c r="S587" s="41" t="str">
        <f>IF(OR($A587="",$F587="",$C587&lt;&gt;"Despesa"),"",IF(COUNTIF(Cartoes_Nome,$F587)=0,"",DATE(P587,O587+IF(DAY($A587)&gt;=INDEX(Cartoes_Fech,MATCH($F587,Cartoes_Nome,0)),1,0),1)))</f>
        <v/>
      </c>
      <c r="T587" s="42" t="str">
        <f>IF($A587="","",IF(COUNTIFS(L_Data,$A587,L_Desc,$B587,L_Valor,$N587,L_Tipo,$C587)&gt;1,"⚠ Possível duplicidade",IF(OR(AND($C587="Despesa",COUNTIF(CatD_Nome,$D587)=0),AND($C587="Receita",COUNTIF(CatR_Nome,$D587)=0)),"⚠ Categoria não combina com o tipo",IF(OR($N587="",$C587=""),"⚠ Falta valor ou tipo",""))))</f>
        <v/>
      </c>
      <c r="U587" s="40">
        <f>IF($A587="",0,P587*12+O587)</f>
        <v>24322</v>
      </c>
      <c r="V587" s="40">
        <f>IF($A587="",0,U587+MAX(0,N($I587)-MAX(N($H587),1)))</f>
        <v>24322</v>
      </c>
      <c r="W587" s="40">
        <f>IF(S587="",0,YEAR(S587)*12+MONTH(S587))</f>
        <v>0</v>
      </c>
      <c r="X587" s="40">
        <f>IF(W587=0,0,W587+V587-U587)</f>
        <v>0</v>
      </c>
      <c r="Y587" s="36">
        <f>IF(W587=0,0,N(R587)*MAX(0,X587-MAX(W587,YEAR(Cfg_Hoje)*12+MONTH(Cfg_Hoje)+IF(DAY(Cfg_Hoje)&gt;=INDEX(Cartoes_Fech,MATCH($F587,Cartoes_Nome,0)),1,0))+1))</f>
        <v>0</v>
      </c>
      <c r="Z587" s="40">
        <f>IF($A587="",0,DAY($A587))</f>
        <v>6</v>
      </c>
      <c r="AA587" s="40">
        <f>IF($A587="",0,WEEKDAY($A587))</f>
        <v>3</v>
      </c>
      <c r="AB587" s="36">
        <f>IF(AND($C587="Despesa",U587&gt;0,U587&lt;=Sel_Idx,V587&gt;=Sel_Idx),N(R587)+ROW()/1000000000,0)</f>
        <v>0</v>
      </c>
      <c r="AC587" s="40">
        <f>IF(AND($C587="Despesa",U587&gt;0,U587&lt;=Sel_Idx,V587&gt;=Sel_Idx),Z587*10000+ROW(),0)</f>
        <v>0</v>
      </c>
      <c r="AD587" s="40">
        <f>IF(AC587=0,0,COUNTIFS(L_CalChave,"&gt;0",L_CalChave,"&lt;"&amp;AC587)+1)</f>
        <v>0</v>
      </c>
    </row>
    <row r="588">
      <c r="A588" s="38" t="n">
        <v>46301</v>
      </c>
      <c r="B588" s="39" t="inlineStr">
        <is>
          <t>Cinema</t>
        </is>
      </c>
      <c r="C588" s="34" t="inlineStr">
        <is>
          <t>Despesa</t>
        </is>
      </c>
      <c r="D588" s="34" t="inlineStr">
        <is>
          <t>Lazer</t>
        </is>
      </c>
      <c r="E588" s="34" t="inlineStr">
        <is>
          <t>Cinema</t>
        </is>
      </c>
      <c r="F588" s="34" t="inlineStr">
        <is>
          <t>Cartão Azul Gold</t>
        </is>
      </c>
      <c r="G588" s="34" t="inlineStr">
        <is>
          <t>Crédito</t>
        </is>
      </c>
      <c r="H588" s="37" t="n"/>
      <c r="I588" s="37" t="n"/>
      <c r="J588" s="34" t="inlineStr">
        <is>
          <t>Agendado</t>
        </is>
      </c>
      <c r="K588" s="34" t="n"/>
      <c r="L588" s="34" t="n"/>
      <c r="M588" s="39" t="inlineStr">
        <is>
          <t>EXEMPLO</t>
        </is>
      </c>
      <c r="N588" s="35" t="n">
        <v>87.65000000000001</v>
      </c>
      <c r="O588" s="40">
        <f>IF($A588="","",MONTH($A588))</f>
        <v>10</v>
      </c>
      <c r="P588" s="40">
        <f>IF($A588="","",YEAR($A588))</f>
        <v>2026</v>
      </c>
      <c r="Q588" s="41">
        <f>IF($A588="","",DATE(P588,O588,1))</f>
        <v>46296.0</v>
      </c>
      <c r="R588" s="36">
        <f>IF(OR($A588="",$N588=""),"",IF(AND($C588&lt;&gt;"Transferência",N($I588)&gt;1),$N588/$I588,$N588))</f>
        <v>87.65</v>
      </c>
      <c r="S588" s="41">
        <f>IF(OR($A588="",$F588="",$C588&lt;&gt;"Despesa"),"",IF(COUNTIF(Cartoes_Nome,$F588)=0,"",DATE(P588,O588+IF(DAY($A588)&gt;=INDEX(Cartoes_Fech,MATCH($F588,Cartoes_Nome,0)),1,0),1)))</f>
        <v>46296.0</v>
      </c>
      <c r="T588" s="42" t="str">
        <f>IF($A588="","",IF(COUNTIFS(L_Data,$A588,L_Desc,$B588,L_Valor,$N588,L_Tipo,$C588)&gt;1,"⚠ Possível duplicidade",IF(OR(AND($C588="Despesa",COUNTIF(CatD_Nome,$D588)=0),AND($C588="Receita",COUNTIF(CatR_Nome,$D588)=0)),"⚠ Categoria não combina com o tipo",IF(OR($N588="",$C588=""),"⚠ Falta valor ou tipo",""))))</f>
        <v/>
      </c>
      <c r="U588" s="40">
        <f>IF($A588="",0,P588*12+O588)</f>
        <v>24322</v>
      </c>
      <c r="V588" s="40">
        <f>IF($A588="",0,U588+MAX(0,N($I588)-MAX(N($H588),1)))</f>
        <v>24322</v>
      </c>
      <c r="W588" s="40">
        <f>IF(S588="",0,YEAR(S588)*12+MONTH(S588))</f>
        <v>24322</v>
      </c>
      <c r="X588" s="40">
        <f>IF(W588=0,0,W588+V588-U588)</f>
        <v>24322</v>
      </c>
      <c r="Y588" s="36">
        <f>IF(W588=0,0,N(R588)*MAX(0,X588-MAX(W588,YEAR(Cfg_Hoje)*12+MONTH(Cfg_Hoje)+IF(DAY(Cfg_Hoje)&gt;=INDEX(Cartoes_Fech,MATCH($F588,Cartoes_Nome,0)),1,0))+1))</f>
        <v>87.65</v>
      </c>
      <c r="Z588" s="40">
        <f>IF($A588="",0,DAY($A588))</f>
        <v>6</v>
      </c>
      <c r="AA588" s="40">
        <f>IF($A588="",0,WEEKDAY($A588))</f>
        <v>3</v>
      </c>
      <c r="AB588" s="36">
        <f>IF(AND($C588="Despesa",U588&gt;0,U588&lt;=Sel_Idx,V588&gt;=Sel_Idx),N(R588)+ROW()/1000000000,0)</f>
        <v>0</v>
      </c>
      <c r="AC588" s="40">
        <f>IF(AND($C588="Despesa",U588&gt;0,U588&lt;=Sel_Idx,V588&gt;=Sel_Idx),Z588*10000+ROW(),0)</f>
        <v>0</v>
      </c>
      <c r="AD588" s="40">
        <f>IF(AC588=0,0,COUNTIFS(L_CalChave,"&gt;0",L_CalChave,"&lt;"&amp;AC588)+1)</f>
        <v>0</v>
      </c>
    </row>
    <row r="589">
      <c r="A589" s="38" t="n">
        <v>46301</v>
      </c>
      <c r="B589" s="39" t="inlineStr">
        <is>
          <t>Roupas</t>
        </is>
      </c>
      <c r="C589" s="34" t="inlineStr">
        <is>
          <t>Despesa</t>
        </is>
      </c>
      <c r="D589" s="34" t="inlineStr">
        <is>
          <t>Vestuário</t>
        </is>
      </c>
      <c r="E589" s="34" t="inlineStr">
        <is>
          <t>Roupas</t>
        </is>
      </c>
      <c r="F589" s="34" t="inlineStr">
        <is>
          <t>Cartão Azul Gold</t>
        </is>
      </c>
      <c r="G589" s="34" t="inlineStr">
        <is>
          <t>Crédito</t>
        </is>
      </c>
      <c r="H589" s="37" t="n"/>
      <c r="I589" s="37" t="n"/>
      <c r="J589" s="34" t="inlineStr">
        <is>
          <t>Agendado</t>
        </is>
      </c>
      <c r="K589" s="34" t="n"/>
      <c r="L589" s="34" t="n"/>
      <c r="M589" s="39" t="inlineStr">
        <is>
          <t>EXEMPLO</t>
        </is>
      </c>
      <c r="N589" s="35" t="n">
        <v>366.33</v>
      </c>
      <c r="O589" s="40">
        <f>IF($A589="","",MONTH($A589))</f>
        <v>10</v>
      </c>
      <c r="P589" s="40">
        <f>IF($A589="","",YEAR($A589))</f>
        <v>2026</v>
      </c>
      <c r="Q589" s="41">
        <f>IF($A589="","",DATE(P589,O589,1))</f>
        <v>46296.0</v>
      </c>
      <c r="R589" s="36">
        <f>IF(OR($A589="",$N589=""),"",IF(AND($C589&lt;&gt;"Transferência",N($I589)&gt;1),$N589/$I589,$N589))</f>
        <v>366.33</v>
      </c>
      <c r="S589" s="41">
        <f>IF(OR($A589="",$F589="",$C589&lt;&gt;"Despesa"),"",IF(COUNTIF(Cartoes_Nome,$F589)=0,"",DATE(P589,O589+IF(DAY($A589)&gt;=INDEX(Cartoes_Fech,MATCH($F589,Cartoes_Nome,0)),1,0),1)))</f>
        <v>46296.0</v>
      </c>
      <c r="T589" s="42" t="str">
        <f>IF($A589="","",IF(COUNTIFS(L_Data,$A589,L_Desc,$B589,L_Valor,$N589,L_Tipo,$C589)&gt;1,"⚠ Possível duplicidade",IF(OR(AND($C589="Despesa",COUNTIF(CatD_Nome,$D589)=0),AND($C589="Receita",COUNTIF(CatR_Nome,$D589)=0)),"⚠ Categoria não combina com o tipo",IF(OR($N589="",$C589=""),"⚠ Falta valor ou tipo",""))))</f>
        <v/>
      </c>
      <c r="U589" s="40">
        <f>IF($A589="",0,P589*12+O589)</f>
        <v>24322</v>
      </c>
      <c r="V589" s="40">
        <f>IF($A589="",0,U589+MAX(0,N($I589)-MAX(N($H589),1)))</f>
        <v>24322</v>
      </c>
      <c r="W589" s="40">
        <f>IF(S589="",0,YEAR(S589)*12+MONTH(S589))</f>
        <v>24322</v>
      </c>
      <c r="X589" s="40">
        <f>IF(W589=0,0,W589+V589-U589)</f>
        <v>24322</v>
      </c>
      <c r="Y589" s="36">
        <f>IF(W589=0,0,N(R589)*MAX(0,X589-MAX(W589,YEAR(Cfg_Hoje)*12+MONTH(Cfg_Hoje)+IF(DAY(Cfg_Hoje)&gt;=INDEX(Cartoes_Fech,MATCH($F589,Cartoes_Nome,0)),1,0))+1))</f>
        <v>366.33</v>
      </c>
      <c r="Z589" s="40">
        <f>IF($A589="",0,DAY($A589))</f>
        <v>6</v>
      </c>
      <c r="AA589" s="40">
        <f>IF($A589="",0,WEEKDAY($A589))</f>
        <v>3</v>
      </c>
      <c r="AB589" s="36">
        <f>IF(AND($C589="Despesa",U589&gt;0,U589&lt;=Sel_Idx,V589&gt;=Sel_Idx),N(R589)+ROW()/1000000000,0)</f>
        <v>0</v>
      </c>
      <c r="AC589" s="40">
        <f>IF(AND($C589="Despesa",U589&gt;0,U589&lt;=Sel_Idx,V589&gt;=Sel_Idx),Z589*10000+ROW(),0)</f>
        <v>0</v>
      </c>
      <c r="AD589" s="40">
        <f>IF(AC589=0,0,COUNTIFS(L_CalChave,"&gt;0",L_CalChave,"&lt;"&amp;AC589)+1)</f>
        <v>0</v>
      </c>
    </row>
    <row r="590">
      <c r="A590" s="38" t="n">
        <v>46302</v>
      </c>
      <c r="B590" s="39" t="inlineStr">
        <is>
          <t>Doação mensal</t>
        </is>
      </c>
      <c r="C590" s="34" t="inlineStr">
        <is>
          <t>Despesa</t>
        </is>
      </c>
      <c r="D590" s="34" t="inlineStr">
        <is>
          <t>Doações</t>
        </is>
      </c>
      <c r="E590" s="34" t="inlineStr">
        <is>
          <t>ONG</t>
        </is>
      </c>
      <c r="F590" s="34" t="inlineStr">
        <is>
          <t>Conta Corrente Banco Azul</t>
        </is>
      </c>
      <c r="G590" s="34" t="inlineStr">
        <is>
          <t>Pix</t>
        </is>
      </c>
      <c r="H590" s="37" t="n"/>
      <c r="I590" s="37" t="n"/>
      <c r="J590" s="34" t="inlineStr">
        <is>
          <t>Agendado</t>
        </is>
      </c>
      <c r="K590" s="34" t="n"/>
      <c r="L590" s="34" t="n"/>
      <c r="M590" s="39" t="inlineStr">
        <is>
          <t>EXEMPLO</t>
        </is>
      </c>
      <c r="N590" s="35" t="n">
        <v>100</v>
      </c>
      <c r="O590" s="40">
        <f>IF($A590="","",MONTH($A590))</f>
        <v>10</v>
      </c>
      <c r="P590" s="40">
        <f>IF($A590="","",YEAR($A590))</f>
        <v>2026</v>
      </c>
      <c r="Q590" s="41">
        <f>IF($A590="","",DATE(P590,O590,1))</f>
        <v>46296.0</v>
      </c>
      <c r="R590" s="36">
        <f>IF(OR($A590="",$N590=""),"",IF(AND($C590&lt;&gt;"Transferência",N($I590)&gt;1),$N590/$I590,$N590))</f>
        <v>100</v>
      </c>
      <c r="S590" s="41" t="str">
        <f>IF(OR($A590="",$F590="",$C590&lt;&gt;"Despesa"),"",IF(COUNTIF(Cartoes_Nome,$F590)=0,"",DATE(P590,O590+IF(DAY($A590)&gt;=INDEX(Cartoes_Fech,MATCH($F590,Cartoes_Nome,0)),1,0),1)))</f>
        <v/>
      </c>
      <c r="T590" s="42" t="str">
        <f>IF($A590="","",IF(COUNTIFS(L_Data,$A590,L_Desc,$B590,L_Valor,$N590,L_Tipo,$C590)&gt;1,"⚠ Possível duplicidade",IF(OR(AND($C590="Despesa",COUNTIF(CatD_Nome,$D590)=0),AND($C590="Receita",COUNTIF(CatR_Nome,$D590)=0)),"⚠ Categoria não combina com o tipo",IF(OR($N590="",$C590=""),"⚠ Falta valor ou tipo",""))))</f>
        <v/>
      </c>
      <c r="U590" s="40">
        <f>IF($A590="",0,P590*12+O590)</f>
        <v>24322</v>
      </c>
      <c r="V590" s="40">
        <f>IF($A590="",0,U590+MAX(0,N($I590)-MAX(N($H590),1)))</f>
        <v>24322</v>
      </c>
      <c r="W590" s="40">
        <f>IF(S590="",0,YEAR(S590)*12+MONTH(S590))</f>
        <v>0</v>
      </c>
      <c r="X590" s="40">
        <f>IF(W590=0,0,W590+V590-U590)</f>
        <v>0</v>
      </c>
      <c r="Y590" s="36">
        <f>IF(W590=0,0,N(R590)*MAX(0,X590-MAX(W590,YEAR(Cfg_Hoje)*12+MONTH(Cfg_Hoje)+IF(DAY(Cfg_Hoje)&gt;=INDEX(Cartoes_Fech,MATCH($F590,Cartoes_Nome,0)),1,0))+1))</f>
        <v>0</v>
      </c>
      <c r="Z590" s="40">
        <f>IF($A590="",0,DAY($A590))</f>
        <v>7</v>
      </c>
      <c r="AA590" s="40">
        <f>IF($A590="",0,WEEKDAY($A590))</f>
        <v>4</v>
      </c>
      <c r="AB590" s="36">
        <f>IF(AND($C590="Despesa",U590&gt;0,U590&lt;=Sel_Idx,V590&gt;=Sel_Idx),N(R590)+ROW()/1000000000,0)</f>
        <v>0</v>
      </c>
      <c r="AC590" s="40">
        <f>IF(AND($C590="Despesa",U590&gt;0,U590&lt;=Sel_Idx,V590&gt;=Sel_Idx),Z590*10000+ROW(),0)</f>
        <v>0</v>
      </c>
      <c r="AD590" s="40">
        <f>IF(AC590=0,0,COUNTIFS(L_CalChave,"&gt;0",L_CalChave,"&lt;"&amp;AC590)+1)</f>
        <v>0</v>
      </c>
    </row>
    <row r="591">
      <c r="A591" s="38" t="n">
        <v>46302</v>
      </c>
      <c r="B591" s="39" t="inlineStr">
        <is>
          <t>Farmácia</t>
        </is>
      </c>
      <c r="C591" s="34" t="inlineStr">
        <is>
          <t>Despesa</t>
        </is>
      </c>
      <c r="D591" s="34" t="inlineStr">
        <is>
          <t>Saúde</t>
        </is>
      </c>
      <c r="E591" s="34" t="inlineStr">
        <is>
          <t>Farmácia</t>
        </is>
      </c>
      <c r="F591" s="34" t="inlineStr">
        <is>
          <t>Cartão Roxinho</t>
        </is>
      </c>
      <c r="G591" s="34" t="inlineStr">
        <is>
          <t>Crédito</t>
        </is>
      </c>
      <c r="H591" s="37" t="n"/>
      <c r="I591" s="37" t="n"/>
      <c r="J591" s="34" t="inlineStr">
        <is>
          <t>Agendado</t>
        </is>
      </c>
      <c r="K591" s="34" t="n"/>
      <c r="L591" s="34" t="n"/>
      <c r="M591" s="39" t="inlineStr">
        <is>
          <t>EXEMPLO</t>
        </is>
      </c>
      <c r="N591" s="35" t="n">
        <v>152.98</v>
      </c>
      <c r="O591" s="40">
        <f>IF($A591="","",MONTH($A591))</f>
        <v>10</v>
      </c>
      <c r="P591" s="40">
        <f>IF($A591="","",YEAR($A591))</f>
        <v>2026</v>
      </c>
      <c r="Q591" s="41">
        <f>IF($A591="","",DATE(P591,O591,1))</f>
        <v>46296.0</v>
      </c>
      <c r="R591" s="36">
        <f>IF(OR($A591="",$N591=""),"",IF(AND($C591&lt;&gt;"Transferência",N($I591)&gt;1),$N591/$I591,$N591))</f>
        <v>152.98</v>
      </c>
      <c r="S591" s="41">
        <f>IF(OR($A591="",$F591="",$C591&lt;&gt;"Despesa"),"",IF(COUNTIF(Cartoes_Nome,$F591)=0,"",DATE(P591,O591+IF(DAY($A591)&gt;=INDEX(Cartoes_Fech,MATCH($F591,Cartoes_Nome,0)),1,0),1)))</f>
        <v>46296.0</v>
      </c>
      <c r="T591" s="42" t="str">
        <f>IF($A591="","",IF(COUNTIFS(L_Data,$A591,L_Desc,$B591,L_Valor,$N591,L_Tipo,$C591)&gt;1,"⚠ Possível duplicidade",IF(OR(AND($C591="Despesa",COUNTIF(CatD_Nome,$D591)=0),AND($C591="Receita",COUNTIF(CatR_Nome,$D591)=0)),"⚠ Categoria não combina com o tipo",IF(OR($N591="",$C591=""),"⚠ Falta valor ou tipo",""))))</f>
        <v/>
      </c>
      <c r="U591" s="40">
        <f>IF($A591="",0,P591*12+O591)</f>
        <v>24322</v>
      </c>
      <c r="V591" s="40">
        <f>IF($A591="",0,U591+MAX(0,N($I591)-MAX(N($H591),1)))</f>
        <v>24322</v>
      </c>
      <c r="W591" s="40">
        <f>IF(S591="",0,YEAR(S591)*12+MONTH(S591))</f>
        <v>24322</v>
      </c>
      <c r="X591" s="40">
        <f>IF(W591=0,0,W591+V591-U591)</f>
        <v>24322</v>
      </c>
      <c r="Y591" s="36">
        <f>IF(W591=0,0,N(R591)*MAX(0,X591-MAX(W591,YEAR(Cfg_Hoje)*12+MONTH(Cfg_Hoje)+IF(DAY(Cfg_Hoje)&gt;=INDEX(Cartoes_Fech,MATCH($F591,Cartoes_Nome,0)),1,0))+1))</f>
        <v>152.98</v>
      </c>
      <c r="Z591" s="40">
        <f>IF($A591="",0,DAY($A591))</f>
        <v>7</v>
      </c>
      <c r="AA591" s="40">
        <f>IF($A591="",0,WEEKDAY($A591))</f>
        <v>4</v>
      </c>
      <c r="AB591" s="36">
        <f>IF(AND($C591="Despesa",U591&gt;0,U591&lt;=Sel_Idx,V591&gt;=Sel_Idx),N(R591)+ROW()/1000000000,0)</f>
        <v>0</v>
      </c>
      <c r="AC591" s="40">
        <f>IF(AND($C591="Despesa",U591&gt;0,U591&lt;=Sel_Idx,V591&gt;=Sel_Idx),Z591*10000+ROW(),0)</f>
        <v>0</v>
      </c>
      <c r="AD591" s="40">
        <f>IF(AC591=0,0,COUNTIFS(L_CalChave,"&gt;0",L_CalChave,"&lt;"&amp;AC591)+1)</f>
        <v>0</v>
      </c>
    </row>
    <row r="592">
      <c r="A592" s="38" t="n">
        <v>46303</v>
      </c>
      <c r="B592" s="39" t="inlineStr">
        <is>
          <t>Curso de inglês</t>
        </is>
      </c>
      <c r="C592" s="34" t="inlineStr">
        <is>
          <t>Despesa</t>
        </is>
      </c>
      <c r="D592" s="34" t="inlineStr">
        <is>
          <t>Educação</t>
        </is>
      </c>
      <c r="E592" s="34" t="inlineStr">
        <is>
          <t>Cursos</t>
        </is>
      </c>
      <c r="F592" s="34" t="inlineStr">
        <is>
          <t>Conta Corrente Banco Azul</t>
        </is>
      </c>
      <c r="G592" s="34" t="inlineStr">
        <is>
          <t>Boleto</t>
        </is>
      </c>
      <c r="H592" s="37" t="n"/>
      <c r="I592" s="37" t="n"/>
      <c r="J592" s="34" t="inlineStr">
        <is>
          <t>Agendado</t>
        </is>
      </c>
      <c r="K592" s="34" t="n"/>
      <c r="L592" s="34" t="n"/>
      <c r="M592" s="39" t="inlineStr">
        <is>
          <t>EXEMPLO</t>
        </is>
      </c>
      <c r="N592" s="35" t="n">
        <v>390</v>
      </c>
      <c r="O592" s="40">
        <f>IF($A592="","",MONTH($A592))</f>
        <v>10</v>
      </c>
      <c r="P592" s="40">
        <f>IF($A592="","",YEAR($A592))</f>
        <v>2026</v>
      </c>
      <c r="Q592" s="41">
        <f>IF($A592="","",DATE(P592,O592,1))</f>
        <v>46296.0</v>
      </c>
      <c r="R592" s="36">
        <f>IF(OR($A592="",$N592=""),"",IF(AND($C592&lt;&gt;"Transferência",N($I592)&gt;1),$N592/$I592,$N592))</f>
        <v>390</v>
      </c>
      <c r="S592" s="41" t="str">
        <f>IF(OR($A592="",$F592="",$C592&lt;&gt;"Despesa"),"",IF(COUNTIF(Cartoes_Nome,$F592)=0,"",DATE(P592,O592+IF(DAY($A592)&gt;=INDEX(Cartoes_Fech,MATCH($F592,Cartoes_Nome,0)),1,0),1)))</f>
        <v/>
      </c>
      <c r="T592" s="42" t="str">
        <f>IF($A592="","",IF(COUNTIFS(L_Data,$A592,L_Desc,$B592,L_Valor,$N592,L_Tipo,$C592)&gt;1,"⚠ Possível duplicidade",IF(OR(AND($C592="Despesa",COUNTIF(CatD_Nome,$D592)=0),AND($C592="Receita",COUNTIF(CatR_Nome,$D592)=0)),"⚠ Categoria não combina com o tipo",IF(OR($N592="",$C592=""),"⚠ Falta valor ou tipo",""))))</f>
        <v/>
      </c>
      <c r="U592" s="40">
        <f>IF($A592="",0,P592*12+O592)</f>
        <v>24322</v>
      </c>
      <c r="V592" s="40">
        <f>IF($A592="",0,U592+MAX(0,N($I592)-MAX(N($H592),1)))</f>
        <v>24322</v>
      </c>
      <c r="W592" s="40">
        <f>IF(S592="",0,YEAR(S592)*12+MONTH(S592))</f>
        <v>0</v>
      </c>
      <c r="X592" s="40">
        <f>IF(W592=0,0,W592+V592-U592)</f>
        <v>0</v>
      </c>
      <c r="Y592" s="36">
        <f>IF(W592=0,0,N(R592)*MAX(0,X592-MAX(W592,YEAR(Cfg_Hoje)*12+MONTH(Cfg_Hoje)+IF(DAY(Cfg_Hoje)&gt;=INDEX(Cartoes_Fech,MATCH($F592,Cartoes_Nome,0)),1,0))+1))</f>
        <v>0</v>
      </c>
      <c r="Z592" s="40">
        <f>IF($A592="",0,DAY($A592))</f>
        <v>8</v>
      </c>
      <c r="AA592" s="40">
        <f>IF($A592="",0,WEEKDAY($A592))</f>
        <v>5</v>
      </c>
      <c r="AB592" s="36">
        <f>IF(AND($C592="Despesa",U592&gt;0,U592&lt;=Sel_Idx,V592&gt;=Sel_Idx),N(R592)+ROW()/1000000000,0)</f>
        <v>0</v>
      </c>
      <c r="AC592" s="40">
        <f>IF(AND($C592="Despesa",U592&gt;0,U592&lt;=Sel_Idx,V592&gt;=Sel_Idx),Z592*10000+ROW(),0)</f>
        <v>0</v>
      </c>
      <c r="AD592" s="40">
        <f>IF(AC592=0,0,COUNTIFS(L_CalChave,"&gt;0",L_CalChave,"&lt;"&amp;AC592)+1)</f>
        <v>0</v>
      </c>
    </row>
    <row r="593">
      <c r="A593" s="38" t="n">
        <v>46304</v>
      </c>
      <c r="B593" s="39" t="inlineStr">
        <is>
          <t>Ração e petiscos</t>
        </is>
      </c>
      <c r="C593" s="34" t="inlineStr">
        <is>
          <t>Despesa</t>
        </is>
      </c>
      <c r="D593" s="34" t="inlineStr">
        <is>
          <t>Família/Pets</t>
        </is>
      </c>
      <c r="E593" s="34" t="inlineStr">
        <is>
          <t>Ração</t>
        </is>
      </c>
      <c r="F593" s="34" t="inlineStr">
        <is>
          <t>Cartão Azul Gold</t>
        </is>
      </c>
      <c r="G593" s="34" t="inlineStr">
        <is>
          <t>Crédito</t>
        </is>
      </c>
      <c r="H593" s="37" t="n"/>
      <c r="I593" s="37" t="n"/>
      <c r="J593" s="34" t="inlineStr">
        <is>
          <t>Agendado</t>
        </is>
      </c>
      <c r="K593" s="34" t="n"/>
      <c r="L593" s="34" t="n"/>
      <c r="M593" s="39" t="inlineStr">
        <is>
          <t>EXEMPLO</t>
        </is>
      </c>
      <c r="N593" s="35" t="n">
        <v>217.56</v>
      </c>
      <c r="O593" s="40">
        <f>IF($A593="","",MONTH($A593))</f>
        <v>10</v>
      </c>
      <c r="P593" s="40">
        <f>IF($A593="","",YEAR($A593))</f>
        <v>2026</v>
      </c>
      <c r="Q593" s="41">
        <f>IF($A593="","",DATE(P593,O593,1))</f>
        <v>46296.0</v>
      </c>
      <c r="R593" s="36">
        <f>IF(OR($A593="",$N593=""),"",IF(AND($C593&lt;&gt;"Transferência",N($I593)&gt;1),$N593/$I593,$N593))</f>
        <v>217.56</v>
      </c>
      <c r="S593" s="41">
        <f>IF(OR($A593="",$F593="",$C593&lt;&gt;"Despesa"),"",IF(COUNTIF(Cartoes_Nome,$F593)=0,"",DATE(P593,O593+IF(DAY($A593)&gt;=INDEX(Cartoes_Fech,MATCH($F593,Cartoes_Nome,0)),1,0),1)))</f>
        <v>46296.0</v>
      </c>
      <c r="T593" s="42" t="str">
        <f>IF($A593="","",IF(COUNTIFS(L_Data,$A593,L_Desc,$B593,L_Valor,$N593,L_Tipo,$C593)&gt;1,"⚠ Possível duplicidade",IF(OR(AND($C593="Despesa",COUNTIF(CatD_Nome,$D593)=0),AND($C593="Receita",COUNTIF(CatR_Nome,$D593)=0)),"⚠ Categoria não combina com o tipo",IF(OR($N593="",$C593=""),"⚠ Falta valor ou tipo",""))))</f>
        <v/>
      </c>
      <c r="U593" s="40">
        <f>IF($A593="",0,P593*12+O593)</f>
        <v>24322</v>
      </c>
      <c r="V593" s="40">
        <f>IF($A593="",0,U593+MAX(0,N($I593)-MAX(N($H593),1)))</f>
        <v>24322</v>
      </c>
      <c r="W593" s="40">
        <f>IF(S593="",0,YEAR(S593)*12+MONTH(S593))</f>
        <v>24322</v>
      </c>
      <c r="X593" s="40">
        <f>IF(W593=0,0,W593+V593-U593)</f>
        <v>24322</v>
      </c>
      <c r="Y593" s="36">
        <f>IF(W593=0,0,N(R593)*MAX(0,X593-MAX(W593,YEAR(Cfg_Hoje)*12+MONTH(Cfg_Hoje)+IF(DAY(Cfg_Hoje)&gt;=INDEX(Cartoes_Fech,MATCH($F593,Cartoes_Nome,0)),1,0))+1))</f>
        <v>217.56</v>
      </c>
      <c r="Z593" s="40">
        <f>IF($A593="",0,DAY($A593))</f>
        <v>9</v>
      </c>
      <c r="AA593" s="40">
        <f>IF($A593="",0,WEEKDAY($A593))</f>
        <v>6</v>
      </c>
      <c r="AB593" s="36">
        <f>IF(AND($C593="Despesa",U593&gt;0,U593&lt;=Sel_Idx,V593&gt;=Sel_Idx),N(R593)+ROW()/1000000000,0)</f>
        <v>0</v>
      </c>
      <c r="AC593" s="40">
        <f>IF(AND($C593="Despesa",U593&gt;0,U593&lt;=Sel_Idx,V593&gt;=Sel_Idx),Z593*10000+ROW(),0)</f>
        <v>0</v>
      </c>
      <c r="AD593" s="40">
        <f>IF(AC593=0,0,COUNTIFS(L_CalChave,"&gt;0",L_CalChave,"&lt;"&amp;AC593)+1)</f>
        <v>0</v>
      </c>
    </row>
    <row r="594">
      <c r="A594" s="38" t="n">
        <v>46305</v>
      </c>
      <c r="B594" s="39" t="inlineStr">
        <is>
          <t>Aluguel recebido - apto 12</t>
        </is>
      </c>
      <c r="C594" s="34" t="inlineStr">
        <is>
          <t>Receita</t>
        </is>
      </c>
      <c r="D594" s="34" t="inlineStr">
        <is>
          <t>Aluguel recebido</t>
        </is>
      </c>
      <c r="E594" s="34" t="n"/>
      <c r="F594" s="34" t="inlineStr">
        <is>
          <t>Conta Corrente Banco Azul</t>
        </is>
      </c>
      <c r="G594" s="34" t="inlineStr">
        <is>
          <t>Pix</t>
        </is>
      </c>
      <c r="H594" s="37" t="n"/>
      <c r="I594" s="37" t="n"/>
      <c r="J594" s="34" t="inlineStr">
        <is>
          <t>Agendado</t>
        </is>
      </c>
      <c r="K594" s="34" t="n"/>
      <c r="L594" s="34" t="n"/>
      <c r="M594" s="39" t="inlineStr">
        <is>
          <t>EXEMPLO</t>
        </is>
      </c>
      <c r="N594" s="35" t="n">
        <v>1900</v>
      </c>
      <c r="O594" s="40">
        <f>IF($A594="","",MONTH($A594))</f>
        <v>10</v>
      </c>
      <c r="P594" s="40">
        <f>IF($A594="","",YEAR($A594))</f>
        <v>2026</v>
      </c>
      <c r="Q594" s="41">
        <f>IF($A594="","",DATE(P594,O594,1))</f>
        <v>46296.0</v>
      </c>
      <c r="R594" s="36">
        <f>IF(OR($A594="",$N594=""),"",IF(AND($C594&lt;&gt;"Transferência",N($I594)&gt;1),$N594/$I594,$N594))</f>
        <v>1900</v>
      </c>
      <c r="S594" s="41" t="str">
        <f>IF(OR($A594="",$F594="",$C594&lt;&gt;"Despesa"),"",IF(COUNTIF(Cartoes_Nome,$F594)=0,"",DATE(P594,O594+IF(DAY($A594)&gt;=INDEX(Cartoes_Fech,MATCH($F594,Cartoes_Nome,0)),1,0),1)))</f>
        <v/>
      </c>
      <c r="T594" s="42" t="str">
        <f>IF($A594="","",IF(COUNTIFS(L_Data,$A594,L_Desc,$B594,L_Valor,$N594,L_Tipo,$C594)&gt;1,"⚠ Possível duplicidade",IF(OR(AND($C594="Despesa",COUNTIF(CatD_Nome,$D594)=0),AND($C594="Receita",COUNTIF(CatR_Nome,$D594)=0)),"⚠ Categoria não combina com o tipo",IF(OR($N594="",$C594=""),"⚠ Falta valor ou tipo",""))))</f>
        <v/>
      </c>
      <c r="U594" s="40">
        <f>IF($A594="",0,P594*12+O594)</f>
        <v>24322</v>
      </c>
      <c r="V594" s="40">
        <f>IF($A594="",0,U594+MAX(0,N($I594)-MAX(N($H594),1)))</f>
        <v>24322</v>
      </c>
      <c r="W594" s="40">
        <f>IF(S594="",0,YEAR(S594)*12+MONTH(S594))</f>
        <v>0</v>
      </c>
      <c r="X594" s="40">
        <f>IF(W594=0,0,W594+V594-U594)</f>
        <v>0</v>
      </c>
      <c r="Y594" s="36">
        <f>IF(W594=0,0,N(R594)*MAX(0,X594-MAX(W594,YEAR(Cfg_Hoje)*12+MONTH(Cfg_Hoje)+IF(DAY(Cfg_Hoje)&gt;=INDEX(Cartoes_Fech,MATCH($F594,Cartoes_Nome,0)),1,0))+1))</f>
        <v>0</v>
      </c>
      <c r="Z594" s="40">
        <f>IF($A594="",0,DAY($A594))</f>
        <v>10</v>
      </c>
      <c r="AA594" s="40">
        <f>IF($A594="",0,WEEKDAY($A594))</f>
        <v>7</v>
      </c>
      <c r="AB594" s="36">
        <f>IF(AND($C594="Despesa",U594&gt;0,U594&lt;=Sel_Idx,V594&gt;=Sel_Idx),N(R594)+ROW()/1000000000,0)</f>
        <v>0</v>
      </c>
      <c r="AC594" s="40">
        <f>IF(AND($C594="Despesa",U594&gt;0,U594&lt;=Sel_Idx,V594&gt;=Sel_Idx),Z594*10000+ROW(),0)</f>
        <v>0</v>
      </c>
      <c r="AD594" s="40">
        <f>IF(AC594=0,0,COUNTIFS(L_CalChave,"&gt;0",L_CalChave,"&lt;"&amp;AC594)+1)</f>
        <v>0</v>
      </c>
    </row>
    <row r="595">
      <c r="A595" s="38" t="n">
        <v>46305</v>
      </c>
      <c r="B595" s="39" t="inlineStr">
        <is>
          <t>Aluguel residencial</t>
        </is>
      </c>
      <c r="C595" s="34" t="inlineStr">
        <is>
          <t>Despesa</t>
        </is>
      </c>
      <c r="D595" s="34" t="inlineStr">
        <is>
          <t>Moradia</t>
        </is>
      </c>
      <c r="E595" s="34" t="inlineStr">
        <is>
          <t>Aluguel</t>
        </is>
      </c>
      <c r="F595" s="34" t="inlineStr">
        <is>
          <t>Conta Corrente Banco Azul</t>
        </is>
      </c>
      <c r="G595" s="34" t="inlineStr">
        <is>
          <t>Boleto</t>
        </is>
      </c>
      <c r="H595" s="37" t="n"/>
      <c r="I595" s="37" t="n"/>
      <c r="J595" s="34" t="inlineStr">
        <is>
          <t>Agendado</t>
        </is>
      </c>
      <c r="K595" s="34" t="n"/>
      <c r="L595" s="34" t="n"/>
      <c r="M595" s="39" t="inlineStr">
        <is>
          <t>EXEMPLO</t>
        </is>
      </c>
      <c r="N595" s="35" t="n">
        <v>2400</v>
      </c>
      <c r="O595" s="40">
        <f>IF($A595="","",MONTH($A595))</f>
        <v>10</v>
      </c>
      <c r="P595" s="40">
        <f>IF($A595="","",YEAR($A595))</f>
        <v>2026</v>
      </c>
      <c r="Q595" s="41">
        <f>IF($A595="","",DATE(P595,O595,1))</f>
        <v>46296.0</v>
      </c>
      <c r="R595" s="36">
        <f>IF(OR($A595="",$N595=""),"",IF(AND($C595&lt;&gt;"Transferência",N($I595)&gt;1),$N595/$I595,$N595))</f>
        <v>2400</v>
      </c>
      <c r="S595" s="41" t="str">
        <f>IF(OR($A595="",$F595="",$C595&lt;&gt;"Despesa"),"",IF(COUNTIF(Cartoes_Nome,$F595)=0,"",DATE(P595,O595+IF(DAY($A595)&gt;=INDEX(Cartoes_Fech,MATCH($F595,Cartoes_Nome,0)),1,0),1)))</f>
        <v/>
      </c>
      <c r="T595" s="42" t="str">
        <f>IF($A595="","",IF(COUNTIFS(L_Data,$A595,L_Desc,$B595,L_Valor,$N595,L_Tipo,$C595)&gt;1,"⚠ Possível duplicidade",IF(OR(AND($C595="Despesa",COUNTIF(CatD_Nome,$D595)=0),AND($C595="Receita",COUNTIF(CatR_Nome,$D595)=0)),"⚠ Categoria não combina com o tipo",IF(OR($N595="",$C595=""),"⚠ Falta valor ou tipo",""))))</f>
        <v/>
      </c>
      <c r="U595" s="40">
        <f>IF($A595="",0,P595*12+O595)</f>
        <v>24322</v>
      </c>
      <c r="V595" s="40">
        <f>IF($A595="",0,U595+MAX(0,N($I595)-MAX(N($H595),1)))</f>
        <v>24322</v>
      </c>
      <c r="W595" s="40">
        <f>IF(S595="",0,YEAR(S595)*12+MONTH(S595))</f>
        <v>0</v>
      </c>
      <c r="X595" s="40">
        <f>IF(W595=0,0,W595+V595-U595)</f>
        <v>0</v>
      </c>
      <c r="Y595" s="36">
        <f>IF(W595=0,0,N(R595)*MAX(0,X595-MAX(W595,YEAR(Cfg_Hoje)*12+MONTH(Cfg_Hoje)+IF(DAY(Cfg_Hoje)&gt;=INDEX(Cartoes_Fech,MATCH($F595,Cartoes_Nome,0)),1,0))+1))</f>
        <v>0</v>
      </c>
      <c r="Z595" s="40">
        <f>IF($A595="",0,DAY($A595))</f>
        <v>10</v>
      </c>
      <c r="AA595" s="40">
        <f>IF($A595="",0,WEEKDAY($A595))</f>
        <v>7</v>
      </c>
      <c r="AB595" s="36">
        <f>IF(AND($C595="Despesa",U595&gt;0,U595&lt;=Sel_Idx,V595&gt;=Sel_Idx),N(R595)+ROW()/1000000000,0)</f>
        <v>0</v>
      </c>
      <c r="AC595" s="40">
        <f>IF(AND($C595="Despesa",U595&gt;0,U595&lt;=Sel_Idx,V595&gt;=Sel_Idx),Z595*10000+ROW(),0)</f>
        <v>0</v>
      </c>
      <c r="AD595" s="40">
        <f>IF(AC595=0,0,COUNTIFS(L_CalChave,"&gt;0",L_CalChave,"&lt;"&amp;AC595)+1)</f>
        <v>0</v>
      </c>
    </row>
    <row r="596">
      <c r="A596" s="38" t="n">
        <v>46305</v>
      </c>
      <c r="B596" s="39" t="inlineStr">
        <is>
          <t>Condomínio</t>
        </is>
      </c>
      <c r="C596" s="34" t="inlineStr">
        <is>
          <t>Despesa</t>
        </is>
      </c>
      <c r="D596" s="34" t="inlineStr">
        <is>
          <t>Moradia</t>
        </is>
      </c>
      <c r="E596" s="34" t="inlineStr">
        <is>
          <t>Condomínio</t>
        </is>
      </c>
      <c r="F596" s="34" t="inlineStr">
        <is>
          <t>Conta Corrente Banco Azul</t>
        </is>
      </c>
      <c r="G596" s="34" t="inlineStr">
        <is>
          <t>Boleto</t>
        </is>
      </c>
      <c r="H596" s="37" t="n"/>
      <c r="I596" s="37" t="n"/>
      <c r="J596" s="34" t="inlineStr">
        <is>
          <t>Agendado</t>
        </is>
      </c>
      <c r="K596" s="34" t="n"/>
      <c r="L596" s="34" t="n"/>
      <c r="M596" s="39" t="inlineStr">
        <is>
          <t>EXEMPLO</t>
        </is>
      </c>
      <c r="N596" s="35" t="n">
        <v>650</v>
      </c>
      <c r="O596" s="40">
        <f>IF($A596="","",MONTH($A596))</f>
        <v>10</v>
      </c>
      <c r="P596" s="40">
        <f>IF($A596="","",YEAR($A596))</f>
        <v>2026</v>
      </c>
      <c r="Q596" s="41">
        <f>IF($A596="","",DATE(P596,O596,1))</f>
        <v>46296.0</v>
      </c>
      <c r="R596" s="36">
        <f>IF(OR($A596="",$N596=""),"",IF(AND($C596&lt;&gt;"Transferência",N($I596)&gt;1),$N596/$I596,$N596))</f>
        <v>650</v>
      </c>
      <c r="S596" s="41" t="str">
        <f>IF(OR($A596="",$F596="",$C596&lt;&gt;"Despesa"),"",IF(COUNTIF(Cartoes_Nome,$F596)=0,"",DATE(P596,O596+IF(DAY($A596)&gt;=INDEX(Cartoes_Fech,MATCH($F596,Cartoes_Nome,0)),1,0),1)))</f>
        <v/>
      </c>
      <c r="T596" s="42" t="str">
        <f>IF($A596="","",IF(COUNTIFS(L_Data,$A596,L_Desc,$B596,L_Valor,$N596,L_Tipo,$C596)&gt;1,"⚠ Possível duplicidade",IF(OR(AND($C596="Despesa",COUNTIF(CatD_Nome,$D596)=0),AND($C596="Receita",COUNTIF(CatR_Nome,$D596)=0)),"⚠ Categoria não combina com o tipo",IF(OR($N596="",$C596=""),"⚠ Falta valor ou tipo",""))))</f>
        <v/>
      </c>
      <c r="U596" s="40">
        <f>IF($A596="",0,P596*12+O596)</f>
        <v>24322</v>
      </c>
      <c r="V596" s="40">
        <f>IF($A596="",0,U596+MAX(0,N($I596)-MAX(N($H596),1)))</f>
        <v>24322</v>
      </c>
      <c r="W596" s="40">
        <f>IF(S596="",0,YEAR(S596)*12+MONTH(S596))</f>
        <v>0</v>
      </c>
      <c r="X596" s="40">
        <f>IF(W596=0,0,W596+V596-U596)</f>
        <v>0</v>
      </c>
      <c r="Y596" s="36">
        <f>IF(W596=0,0,N(R596)*MAX(0,X596-MAX(W596,YEAR(Cfg_Hoje)*12+MONTH(Cfg_Hoje)+IF(DAY(Cfg_Hoje)&gt;=INDEX(Cartoes_Fech,MATCH($F596,Cartoes_Nome,0)),1,0))+1))</f>
        <v>0</v>
      </c>
      <c r="Z596" s="40">
        <f>IF($A596="",0,DAY($A596))</f>
        <v>10</v>
      </c>
      <c r="AA596" s="40">
        <f>IF($A596="",0,WEEKDAY($A596))</f>
        <v>7</v>
      </c>
      <c r="AB596" s="36">
        <f>IF(AND($C596="Despesa",U596&gt;0,U596&lt;=Sel_Idx,V596&gt;=Sel_Idx),N(R596)+ROW()/1000000000,0)</f>
        <v>0</v>
      </c>
      <c r="AC596" s="40">
        <f>IF(AND($C596="Despesa",U596&gt;0,U596&lt;=Sel_Idx,V596&gt;=Sel_Idx),Z596*10000+ROW(),0)</f>
        <v>0</v>
      </c>
      <c r="AD596" s="40">
        <f>IF(AC596=0,0,COUNTIFS(L_CalChave,"&gt;0",L_CalChave,"&lt;"&amp;AC596)+1)</f>
        <v>0</v>
      </c>
    </row>
    <row r="597">
      <c r="A597" s="38" t="n">
        <v>46306</v>
      </c>
      <c r="B597" s="39" t="inlineStr">
        <is>
          <t>Corrida de aplicativo</t>
        </is>
      </c>
      <c r="C597" s="34" t="inlineStr">
        <is>
          <t>Despesa</t>
        </is>
      </c>
      <c r="D597" s="34" t="inlineStr">
        <is>
          <t>Transporte</t>
        </is>
      </c>
      <c r="E597" s="34" t="inlineStr">
        <is>
          <t>App de transporte</t>
        </is>
      </c>
      <c r="F597" s="34" t="inlineStr">
        <is>
          <t>Conta Corrente Banco Azul</t>
        </is>
      </c>
      <c r="G597" s="34" t="inlineStr">
        <is>
          <t>Pix</t>
        </is>
      </c>
      <c r="H597" s="37" t="n"/>
      <c r="I597" s="37" t="n"/>
      <c r="J597" s="34" t="inlineStr">
        <is>
          <t>Agendado</t>
        </is>
      </c>
      <c r="K597" s="34" t="n"/>
      <c r="L597" s="34" t="n"/>
      <c r="M597" s="39" t="inlineStr">
        <is>
          <t>EXEMPLO</t>
        </is>
      </c>
      <c r="N597" s="35" t="n">
        <v>40.7</v>
      </c>
      <c r="O597" s="40">
        <f>IF($A597="","",MONTH($A597))</f>
        <v>10</v>
      </c>
      <c r="P597" s="40">
        <f>IF($A597="","",YEAR($A597))</f>
        <v>2026</v>
      </c>
      <c r="Q597" s="41">
        <f>IF($A597="","",DATE(P597,O597,1))</f>
        <v>46296.0</v>
      </c>
      <c r="R597" s="36">
        <f>IF(OR($A597="",$N597=""),"",IF(AND($C597&lt;&gt;"Transferência",N($I597)&gt;1),$N597/$I597,$N597))</f>
        <v>40.7</v>
      </c>
      <c r="S597" s="41" t="str">
        <f>IF(OR($A597="",$F597="",$C597&lt;&gt;"Despesa"),"",IF(COUNTIF(Cartoes_Nome,$F597)=0,"",DATE(P597,O597+IF(DAY($A597)&gt;=INDEX(Cartoes_Fech,MATCH($F597,Cartoes_Nome,0)),1,0),1)))</f>
        <v/>
      </c>
      <c r="T597" s="42" t="str">
        <f>IF($A597="","",IF(COUNTIFS(L_Data,$A597,L_Desc,$B597,L_Valor,$N597,L_Tipo,$C597)&gt;1,"⚠ Possível duplicidade",IF(OR(AND($C597="Despesa",COUNTIF(CatD_Nome,$D597)=0),AND($C597="Receita",COUNTIF(CatR_Nome,$D597)=0)),"⚠ Categoria não combina com o tipo",IF(OR($N597="",$C597=""),"⚠ Falta valor ou tipo",""))))</f>
        <v/>
      </c>
      <c r="U597" s="40">
        <f>IF($A597="",0,P597*12+O597)</f>
        <v>24322</v>
      </c>
      <c r="V597" s="40">
        <f>IF($A597="",0,U597+MAX(0,N($I597)-MAX(N($H597),1)))</f>
        <v>24322</v>
      </c>
      <c r="W597" s="40">
        <f>IF(S597="",0,YEAR(S597)*12+MONTH(S597))</f>
        <v>0</v>
      </c>
      <c r="X597" s="40">
        <f>IF(W597=0,0,W597+V597-U597)</f>
        <v>0</v>
      </c>
      <c r="Y597" s="36">
        <f>IF(W597=0,0,N(R597)*MAX(0,X597-MAX(W597,YEAR(Cfg_Hoje)*12+MONTH(Cfg_Hoje)+IF(DAY(Cfg_Hoje)&gt;=INDEX(Cartoes_Fech,MATCH($F597,Cartoes_Nome,0)),1,0))+1))</f>
        <v>0</v>
      </c>
      <c r="Z597" s="40">
        <f>IF($A597="",0,DAY($A597))</f>
        <v>11</v>
      </c>
      <c r="AA597" s="40">
        <f>IF($A597="",0,WEEKDAY($A597))</f>
        <v>1</v>
      </c>
      <c r="AB597" s="36">
        <f>IF(AND($C597="Despesa",U597&gt;0,U597&lt;=Sel_Idx,V597&gt;=Sel_Idx),N(R597)+ROW()/1000000000,0)</f>
        <v>0</v>
      </c>
      <c r="AC597" s="40">
        <f>IF(AND($C597="Despesa",U597&gt;0,U597&lt;=Sel_Idx,V597&gt;=Sel_Idx),Z597*10000+ROW(),0)</f>
        <v>0</v>
      </c>
      <c r="AD597" s="40">
        <f>IF(AC597=0,0,COUNTIFS(L_CalChave,"&gt;0",L_CalChave,"&lt;"&amp;AC597)+1)</f>
        <v>0</v>
      </c>
    </row>
    <row r="598">
      <c r="A598" s="38" t="n">
        <v>46306</v>
      </c>
      <c r="B598" s="39" t="inlineStr">
        <is>
          <t>Supermercado</t>
        </is>
      </c>
      <c r="C598" s="34" t="inlineStr">
        <is>
          <t>Despesa</t>
        </is>
      </c>
      <c r="D598" s="34" t="inlineStr">
        <is>
          <t>Alimentação</t>
        </is>
      </c>
      <c r="E598" s="34" t="inlineStr">
        <is>
          <t>Mercado</t>
        </is>
      </c>
      <c r="F598" s="34" t="inlineStr">
        <is>
          <t>Conta Corrente Banco Azul</t>
        </is>
      </c>
      <c r="G598" s="34" t="inlineStr">
        <is>
          <t>Débito</t>
        </is>
      </c>
      <c r="H598" s="37" t="n"/>
      <c r="I598" s="37" t="n"/>
      <c r="J598" s="34" t="inlineStr">
        <is>
          <t>Agendado</t>
        </is>
      </c>
      <c r="K598" s="34" t="n"/>
      <c r="L598" s="34" t="n"/>
      <c r="M598" s="39" t="inlineStr">
        <is>
          <t>EXEMPLO</t>
        </is>
      </c>
      <c r="N598" s="35" t="n">
        <v>372.76</v>
      </c>
      <c r="O598" s="40">
        <f>IF($A598="","",MONTH($A598))</f>
        <v>10</v>
      </c>
      <c r="P598" s="40">
        <f>IF($A598="","",YEAR($A598))</f>
        <v>2026</v>
      </c>
      <c r="Q598" s="41">
        <f>IF($A598="","",DATE(P598,O598,1))</f>
        <v>46296.0</v>
      </c>
      <c r="R598" s="36">
        <f>IF(OR($A598="",$N598=""),"",IF(AND($C598&lt;&gt;"Transferência",N($I598)&gt;1),$N598/$I598,$N598))</f>
        <v>372.76</v>
      </c>
      <c r="S598" s="41" t="str">
        <f>IF(OR($A598="",$F598="",$C598&lt;&gt;"Despesa"),"",IF(COUNTIF(Cartoes_Nome,$F598)=0,"",DATE(P598,O598+IF(DAY($A598)&gt;=INDEX(Cartoes_Fech,MATCH($F598,Cartoes_Nome,0)),1,0),1)))</f>
        <v/>
      </c>
      <c r="T598" s="42" t="str">
        <f>IF($A598="","",IF(COUNTIFS(L_Data,$A598,L_Desc,$B598,L_Valor,$N598,L_Tipo,$C598)&gt;1,"⚠ Possível duplicidade",IF(OR(AND($C598="Despesa",COUNTIF(CatD_Nome,$D598)=0),AND($C598="Receita",COUNTIF(CatR_Nome,$D598)=0)),"⚠ Categoria não combina com o tipo",IF(OR($N598="",$C598=""),"⚠ Falta valor ou tipo",""))))</f>
        <v/>
      </c>
      <c r="U598" s="40">
        <f>IF($A598="",0,P598*12+O598)</f>
        <v>24322</v>
      </c>
      <c r="V598" s="40">
        <f>IF($A598="",0,U598+MAX(0,N($I598)-MAX(N($H598),1)))</f>
        <v>24322</v>
      </c>
      <c r="W598" s="40">
        <f>IF(S598="",0,YEAR(S598)*12+MONTH(S598))</f>
        <v>0</v>
      </c>
      <c r="X598" s="40">
        <f>IF(W598=0,0,W598+V598-U598)</f>
        <v>0</v>
      </c>
      <c r="Y598" s="36">
        <f>IF(W598=0,0,N(R598)*MAX(0,X598-MAX(W598,YEAR(Cfg_Hoje)*12+MONTH(Cfg_Hoje)+IF(DAY(Cfg_Hoje)&gt;=INDEX(Cartoes_Fech,MATCH($F598,Cartoes_Nome,0)),1,0))+1))</f>
        <v>0</v>
      </c>
      <c r="Z598" s="40">
        <f>IF($A598="",0,DAY($A598))</f>
        <v>11</v>
      </c>
      <c r="AA598" s="40">
        <f>IF($A598="",0,WEEKDAY($A598))</f>
        <v>1</v>
      </c>
      <c r="AB598" s="36">
        <f>IF(AND($C598="Despesa",U598&gt;0,U598&lt;=Sel_Idx,V598&gt;=Sel_Idx),N(R598)+ROW()/1000000000,0)</f>
        <v>0</v>
      </c>
      <c r="AC598" s="40">
        <f>IF(AND($C598="Despesa",U598&gt;0,U598&lt;=Sel_Idx,V598&gt;=Sel_Idx),Z598*10000+ROW(),0)</f>
        <v>0</v>
      </c>
      <c r="AD598" s="40">
        <f>IF(AC598=0,0,COUNTIFS(L_CalChave,"&gt;0",L_CalChave,"&lt;"&amp;AC598)+1)</f>
        <v>0</v>
      </c>
    </row>
    <row r="599">
      <c r="A599" s="38" t="n">
        <v>46307</v>
      </c>
      <c r="B599" s="39" t="inlineStr">
        <is>
          <t>Streaming de música</t>
        </is>
      </c>
      <c r="C599" s="34" t="inlineStr">
        <is>
          <t>Despesa</t>
        </is>
      </c>
      <c r="D599" s="34" t="inlineStr">
        <is>
          <t>Assinaturas</t>
        </is>
      </c>
      <c r="E599" s="34" t="inlineStr">
        <is>
          <t>Música</t>
        </is>
      </c>
      <c r="F599" s="34" t="inlineStr">
        <is>
          <t>Cartão Roxinho</t>
        </is>
      </c>
      <c r="G599" s="34" t="inlineStr">
        <is>
          <t>Crédito</t>
        </is>
      </c>
      <c r="H599" s="37" t="n"/>
      <c r="I599" s="37" t="n"/>
      <c r="J599" s="34" t="inlineStr">
        <is>
          <t>Agendado</t>
        </is>
      </c>
      <c r="K599" s="34" t="n"/>
      <c r="L599" s="34" t="n"/>
      <c r="M599" s="39" t="inlineStr">
        <is>
          <t>EXEMPLO</t>
        </is>
      </c>
      <c r="N599" s="35" t="n">
        <v>21.9</v>
      </c>
      <c r="O599" s="40">
        <f>IF($A599="","",MONTH($A599))</f>
        <v>10</v>
      </c>
      <c r="P599" s="40">
        <f>IF($A599="","",YEAR($A599))</f>
        <v>2026</v>
      </c>
      <c r="Q599" s="41">
        <f>IF($A599="","",DATE(P599,O599,1))</f>
        <v>46296.0</v>
      </c>
      <c r="R599" s="36">
        <f>IF(OR($A599="",$N599=""),"",IF(AND($C599&lt;&gt;"Transferência",N($I599)&gt;1),$N599/$I599,$N599))</f>
        <v>21.9</v>
      </c>
      <c r="S599" s="41">
        <f>IF(OR($A599="",$F599="",$C599&lt;&gt;"Despesa"),"",IF(COUNTIF(Cartoes_Nome,$F599)=0,"",DATE(P599,O599+IF(DAY($A599)&gt;=INDEX(Cartoes_Fech,MATCH($F599,Cartoes_Nome,0)),1,0),1)))</f>
        <v>46296.0</v>
      </c>
      <c r="T599" s="42" t="str">
        <f>IF($A599="","",IF(COUNTIFS(L_Data,$A599,L_Desc,$B599,L_Valor,$N599,L_Tipo,$C599)&gt;1,"⚠ Possível duplicidade",IF(OR(AND($C599="Despesa",COUNTIF(CatD_Nome,$D599)=0),AND($C599="Receita",COUNTIF(CatR_Nome,$D599)=0)),"⚠ Categoria não combina com o tipo",IF(OR($N599="",$C599=""),"⚠ Falta valor ou tipo",""))))</f>
        <v/>
      </c>
      <c r="U599" s="40">
        <f>IF($A599="",0,P599*12+O599)</f>
        <v>24322</v>
      </c>
      <c r="V599" s="40">
        <f>IF($A599="",0,U599+MAX(0,N($I599)-MAX(N($H599),1)))</f>
        <v>24322</v>
      </c>
      <c r="W599" s="40">
        <f>IF(S599="",0,YEAR(S599)*12+MONTH(S599))</f>
        <v>24322</v>
      </c>
      <c r="X599" s="40">
        <f>IF(W599=0,0,W599+V599-U599)</f>
        <v>24322</v>
      </c>
      <c r="Y599" s="36">
        <f>IF(W599=0,0,N(R599)*MAX(0,X599-MAX(W599,YEAR(Cfg_Hoje)*12+MONTH(Cfg_Hoje)+IF(DAY(Cfg_Hoje)&gt;=INDEX(Cartoes_Fech,MATCH($F599,Cartoes_Nome,0)),1,0))+1))</f>
        <v>21.9</v>
      </c>
      <c r="Z599" s="40">
        <f>IF($A599="",0,DAY($A599))</f>
        <v>12</v>
      </c>
      <c r="AA599" s="40">
        <f>IF($A599="",0,WEEKDAY($A599))</f>
        <v>2</v>
      </c>
      <c r="AB599" s="36">
        <f>IF(AND($C599="Despesa",U599&gt;0,U599&lt;=Sel_Idx,V599&gt;=Sel_Idx),N(R599)+ROW()/1000000000,0)</f>
        <v>0</v>
      </c>
      <c r="AC599" s="40">
        <f>IF(AND($C599="Despesa",U599&gt;0,U599&lt;=Sel_Idx,V599&gt;=Sel_Idx),Z599*10000+ROW(),0)</f>
        <v>0</v>
      </c>
      <c r="AD599" s="40">
        <f>IF(AC599=0,0,COUNTIFS(L_CalChave,"&gt;0",L_CalChave,"&lt;"&amp;AC599)+1)</f>
        <v>0</v>
      </c>
    </row>
    <row r="600">
      <c r="A600" s="38" t="n">
        <v>46307</v>
      </c>
      <c r="B600" s="39" t="inlineStr">
        <is>
          <t>Streaming de vídeo</t>
        </is>
      </c>
      <c r="C600" s="34" t="inlineStr">
        <is>
          <t>Despesa</t>
        </is>
      </c>
      <c r="D600" s="34" t="inlineStr">
        <is>
          <t>Assinaturas</t>
        </is>
      </c>
      <c r="E600" s="34" t="inlineStr">
        <is>
          <t>Streaming</t>
        </is>
      </c>
      <c r="F600" s="34" t="inlineStr">
        <is>
          <t>Cartão Roxinho</t>
        </is>
      </c>
      <c r="G600" s="34" t="inlineStr">
        <is>
          <t>Crédito</t>
        </is>
      </c>
      <c r="H600" s="37" t="n"/>
      <c r="I600" s="37" t="n"/>
      <c r="J600" s="34" t="inlineStr">
        <is>
          <t>Agendado</t>
        </is>
      </c>
      <c r="K600" s="34" t="n"/>
      <c r="L600" s="34" t="n"/>
      <c r="M600" s="39" t="inlineStr">
        <is>
          <t>EXEMPLO</t>
        </is>
      </c>
      <c r="N600" s="35" t="n">
        <v>55.9</v>
      </c>
      <c r="O600" s="40">
        <f>IF($A600="","",MONTH($A600))</f>
        <v>10</v>
      </c>
      <c r="P600" s="40">
        <f>IF($A600="","",YEAR($A600))</f>
        <v>2026</v>
      </c>
      <c r="Q600" s="41">
        <f>IF($A600="","",DATE(P600,O600,1))</f>
        <v>46296.0</v>
      </c>
      <c r="R600" s="36">
        <f>IF(OR($A600="",$N600=""),"",IF(AND($C600&lt;&gt;"Transferência",N($I600)&gt;1),$N600/$I600,$N600))</f>
        <v>55.9</v>
      </c>
      <c r="S600" s="41">
        <f>IF(OR($A600="",$F600="",$C600&lt;&gt;"Despesa"),"",IF(COUNTIF(Cartoes_Nome,$F600)=0,"",DATE(P600,O600+IF(DAY($A600)&gt;=INDEX(Cartoes_Fech,MATCH($F600,Cartoes_Nome,0)),1,0),1)))</f>
        <v>46296.0</v>
      </c>
      <c r="T600" s="42" t="str">
        <f>IF($A600="","",IF(COUNTIFS(L_Data,$A600,L_Desc,$B600,L_Valor,$N600,L_Tipo,$C600)&gt;1,"⚠ Possível duplicidade",IF(OR(AND($C600="Despesa",COUNTIF(CatD_Nome,$D600)=0),AND($C600="Receita",COUNTIF(CatR_Nome,$D600)=0)),"⚠ Categoria não combina com o tipo",IF(OR($N600="",$C600=""),"⚠ Falta valor ou tipo",""))))</f>
        <v/>
      </c>
      <c r="U600" s="40">
        <f>IF($A600="",0,P600*12+O600)</f>
        <v>24322</v>
      </c>
      <c r="V600" s="40">
        <f>IF($A600="",0,U600+MAX(0,N($I600)-MAX(N($H600),1)))</f>
        <v>24322</v>
      </c>
      <c r="W600" s="40">
        <f>IF(S600="",0,YEAR(S600)*12+MONTH(S600))</f>
        <v>24322</v>
      </c>
      <c r="X600" s="40">
        <f>IF(W600=0,0,W600+V600-U600)</f>
        <v>24322</v>
      </c>
      <c r="Y600" s="36">
        <f>IF(W600=0,0,N(R600)*MAX(0,X600-MAX(W600,YEAR(Cfg_Hoje)*12+MONTH(Cfg_Hoje)+IF(DAY(Cfg_Hoje)&gt;=INDEX(Cartoes_Fech,MATCH($F600,Cartoes_Nome,0)),1,0))+1))</f>
        <v>55.9</v>
      </c>
      <c r="Z600" s="40">
        <f>IF($A600="",0,DAY($A600))</f>
        <v>12</v>
      </c>
      <c r="AA600" s="40">
        <f>IF($A600="",0,WEEKDAY($A600))</f>
        <v>2</v>
      </c>
      <c r="AB600" s="36">
        <f>IF(AND($C600="Despesa",U600&gt;0,U600&lt;=Sel_Idx,V600&gt;=Sel_Idx),N(R600)+ROW()/1000000000,0)</f>
        <v>0</v>
      </c>
      <c r="AC600" s="40">
        <f>IF(AND($C600="Despesa",U600&gt;0,U600&lt;=Sel_Idx,V600&gt;=Sel_Idx),Z600*10000+ROW(),0)</f>
        <v>0</v>
      </c>
      <c r="AD600" s="40">
        <f>IF(AC600=0,0,COUNTIFS(L_CalChave,"&gt;0",L_CalChave,"&lt;"&amp;AC600)+1)</f>
        <v>0</v>
      </c>
    </row>
    <row r="601">
      <c r="A601" s="38" t="n">
        <v>46308</v>
      </c>
      <c r="B601" s="39" t="inlineStr">
        <is>
          <t>Despesa diversa</t>
        </is>
      </c>
      <c r="C601" s="34" t="inlineStr">
        <is>
          <t>Despesa</t>
        </is>
      </c>
      <c r="D601" s="34" t="inlineStr">
        <is>
          <t>Outros</t>
        </is>
      </c>
      <c r="E601" s="34" t="n"/>
      <c r="F601" s="34" t="inlineStr">
        <is>
          <t>Conta Corrente Banco Azul</t>
        </is>
      </c>
      <c r="G601" s="34" t="inlineStr">
        <is>
          <t>Pix</t>
        </is>
      </c>
      <c r="H601" s="37" t="n"/>
      <c r="I601" s="37" t="n"/>
      <c r="J601" s="34" t="inlineStr">
        <is>
          <t>Agendado</t>
        </is>
      </c>
      <c r="K601" s="34" t="n"/>
      <c r="L601" s="34" t="n"/>
      <c r="M601" s="39" t="inlineStr">
        <is>
          <t>EXEMPLO</t>
        </is>
      </c>
      <c r="N601" s="35" t="n">
        <v>162.81</v>
      </c>
      <c r="O601" s="40">
        <f>IF($A601="","",MONTH($A601))</f>
        <v>10</v>
      </c>
      <c r="P601" s="40">
        <f>IF($A601="","",YEAR($A601))</f>
        <v>2026</v>
      </c>
      <c r="Q601" s="41">
        <f>IF($A601="","",DATE(P601,O601,1))</f>
        <v>46296.0</v>
      </c>
      <c r="R601" s="36">
        <f>IF(OR($A601="",$N601=""),"",IF(AND($C601&lt;&gt;"Transferência",N($I601)&gt;1),$N601/$I601,$N601))</f>
        <v>162.81</v>
      </c>
      <c r="S601" s="41" t="str">
        <f>IF(OR($A601="",$F601="",$C601&lt;&gt;"Despesa"),"",IF(COUNTIF(Cartoes_Nome,$F601)=0,"",DATE(P601,O601+IF(DAY($A601)&gt;=INDEX(Cartoes_Fech,MATCH($F601,Cartoes_Nome,0)),1,0),1)))</f>
        <v/>
      </c>
      <c r="T601" s="42" t="str">
        <f>IF($A601="","",IF(COUNTIFS(L_Data,$A601,L_Desc,$B601,L_Valor,$N601,L_Tipo,$C601)&gt;1,"⚠ Possível duplicidade",IF(OR(AND($C601="Despesa",COUNTIF(CatD_Nome,$D601)=0),AND($C601="Receita",COUNTIF(CatR_Nome,$D601)=0)),"⚠ Categoria não combina com o tipo",IF(OR($N601="",$C601=""),"⚠ Falta valor ou tipo",""))))</f>
        <v/>
      </c>
      <c r="U601" s="40">
        <f>IF($A601="",0,P601*12+O601)</f>
        <v>24322</v>
      </c>
      <c r="V601" s="40">
        <f>IF($A601="",0,U601+MAX(0,N($I601)-MAX(N($H601),1)))</f>
        <v>24322</v>
      </c>
      <c r="W601" s="40">
        <f>IF(S601="",0,YEAR(S601)*12+MONTH(S601))</f>
        <v>0</v>
      </c>
      <c r="X601" s="40">
        <f>IF(W601=0,0,W601+V601-U601)</f>
        <v>0</v>
      </c>
      <c r="Y601" s="36">
        <f>IF(W601=0,0,N(R601)*MAX(0,X601-MAX(W601,YEAR(Cfg_Hoje)*12+MONTH(Cfg_Hoje)+IF(DAY(Cfg_Hoje)&gt;=INDEX(Cartoes_Fech,MATCH($F601,Cartoes_Nome,0)),1,0))+1))</f>
        <v>0</v>
      </c>
      <c r="Z601" s="40">
        <f>IF($A601="",0,DAY($A601))</f>
        <v>13</v>
      </c>
      <c r="AA601" s="40">
        <f>IF($A601="",0,WEEKDAY($A601))</f>
        <v>3</v>
      </c>
      <c r="AB601" s="36">
        <f>IF(AND($C601="Despesa",U601&gt;0,U601&lt;=Sel_Idx,V601&gt;=Sel_Idx),N(R601)+ROW()/1000000000,0)</f>
        <v>0</v>
      </c>
      <c r="AC601" s="40">
        <f>IF(AND($C601="Despesa",U601&gt;0,U601&lt;=Sel_Idx,V601&gt;=Sel_Idx),Z601*10000+ROW(),0)</f>
        <v>0</v>
      </c>
      <c r="AD601" s="40">
        <f>IF(AC601=0,0,COUNTIFS(L_CalChave,"&gt;0",L_CalChave,"&lt;"&amp;AC601)+1)</f>
        <v>0</v>
      </c>
    </row>
    <row r="602">
      <c r="A602" s="38" t="n">
        <v>46309</v>
      </c>
      <c r="B602" s="39" t="inlineStr">
        <is>
          <t>Armazenamento em nuvem</t>
        </is>
      </c>
      <c r="C602" s="34" t="inlineStr">
        <is>
          <t>Despesa</t>
        </is>
      </c>
      <c r="D602" s="34" t="inlineStr">
        <is>
          <t>Assinaturas</t>
        </is>
      </c>
      <c r="E602" s="34" t="inlineStr">
        <is>
          <t>Nuvem</t>
        </is>
      </c>
      <c r="F602" s="34" t="inlineStr">
        <is>
          <t>Cartão Azul Gold</t>
        </is>
      </c>
      <c r="G602" s="34" t="inlineStr">
        <is>
          <t>Crédito</t>
        </is>
      </c>
      <c r="H602" s="37" t="n"/>
      <c r="I602" s="37" t="n"/>
      <c r="J602" s="34" t="inlineStr">
        <is>
          <t>Agendado</t>
        </is>
      </c>
      <c r="K602" s="34" t="n"/>
      <c r="L602" s="34" t="n"/>
      <c r="M602" s="39" t="inlineStr">
        <is>
          <t>EXEMPLO</t>
        </is>
      </c>
      <c r="N602" s="35" t="n">
        <v>14.9</v>
      </c>
      <c r="O602" s="40">
        <f>IF($A602="","",MONTH($A602))</f>
        <v>10</v>
      </c>
      <c r="P602" s="40">
        <f>IF($A602="","",YEAR($A602))</f>
        <v>2026</v>
      </c>
      <c r="Q602" s="41">
        <f>IF($A602="","",DATE(P602,O602,1))</f>
        <v>46296.0</v>
      </c>
      <c r="R602" s="36">
        <f>IF(OR($A602="",$N602=""),"",IF(AND($C602&lt;&gt;"Transferência",N($I602)&gt;1),$N602/$I602,$N602))</f>
        <v>14.9</v>
      </c>
      <c r="S602" s="41">
        <f>IF(OR($A602="",$F602="",$C602&lt;&gt;"Despesa"),"",IF(COUNTIF(Cartoes_Nome,$F602)=0,"",DATE(P602,O602+IF(DAY($A602)&gt;=INDEX(Cartoes_Fech,MATCH($F602,Cartoes_Nome,0)),1,0),1)))</f>
        <v>46327.0</v>
      </c>
      <c r="T602" s="42" t="str">
        <f>IF($A602="","",IF(COUNTIFS(L_Data,$A602,L_Desc,$B602,L_Valor,$N602,L_Tipo,$C602)&gt;1,"⚠ Possível duplicidade",IF(OR(AND($C602="Despesa",COUNTIF(CatD_Nome,$D602)=0),AND($C602="Receita",COUNTIF(CatR_Nome,$D602)=0)),"⚠ Categoria não combina com o tipo",IF(OR($N602="",$C602=""),"⚠ Falta valor ou tipo",""))))</f>
        <v/>
      </c>
      <c r="U602" s="40">
        <f>IF($A602="",0,P602*12+O602)</f>
        <v>24322</v>
      </c>
      <c r="V602" s="40">
        <f>IF($A602="",0,U602+MAX(0,N($I602)-MAX(N($H602),1)))</f>
        <v>24322</v>
      </c>
      <c r="W602" s="40">
        <f>IF(S602="",0,YEAR(S602)*12+MONTH(S602))</f>
        <v>24323</v>
      </c>
      <c r="X602" s="40">
        <f>IF(W602=0,0,W602+V602-U602)</f>
        <v>24323</v>
      </c>
      <c r="Y602" s="36">
        <f>IF(W602=0,0,N(R602)*MAX(0,X602-MAX(W602,YEAR(Cfg_Hoje)*12+MONTH(Cfg_Hoje)+IF(DAY(Cfg_Hoje)&gt;=INDEX(Cartoes_Fech,MATCH($F602,Cartoes_Nome,0)),1,0))+1))</f>
        <v>14.9</v>
      </c>
      <c r="Z602" s="40">
        <f>IF($A602="",0,DAY($A602))</f>
        <v>14</v>
      </c>
      <c r="AA602" s="40">
        <f>IF($A602="",0,WEEKDAY($A602))</f>
        <v>4</v>
      </c>
      <c r="AB602" s="36">
        <f>IF(AND($C602="Despesa",U602&gt;0,U602&lt;=Sel_Idx,V602&gt;=Sel_Idx),N(R602)+ROW()/1000000000,0)</f>
        <v>0</v>
      </c>
      <c r="AC602" s="40">
        <f>IF(AND($C602="Despesa",U602&gt;0,U602&lt;=Sel_Idx,V602&gt;=Sel_Idx),Z602*10000+ROW(),0)</f>
        <v>0</v>
      </c>
      <c r="AD602" s="40">
        <f>IF(AC602=0,0,COUNTIFS(L_CalChave,"&gt;0",L_CalChave,"&lt;"&amp;AC602)+1)</f>
        <v>0</v>
      </c>
    </row>
    <row r="603">
      <c r="A603" s="38" t="n">
        <v>46310</v>
      </c>
      <c r="B603" s="39" t="inlineStr">
        <is>
          <t>Conta de energia</t>
        </is>
      </c>
      <c r="C603" s="34" t="inlineStr">
        <is>
          <t>Despesa</t>
        </is>
      </c>
      <c r="D603" s="34" t="inlineStr">
        <is>
          <t>Moradia</t>
        </is>
      </c>
      <c r="E603" s="34" t="inlineStr">
        <is>
          <t>Energia</t>
        </is>
      </c>
      <c r="F603" s="34" t="inlineStr">
        <is>
          <t>Conta Corrente Banco Azul</t>
        </is>
      </c>
      <c r="G603" s="34" t="inlineStr">
        <is>
          <t>Débito automático</t>
        </is>
      </c>
      <c r="H603" s="37" t="n"/>
      <c r="I603" s="37" t="n"/>
      <c r="J603" s="34" t="inlineStr">
        <is>
          <t>Agendado</t>
        </is>
      </c>
      <c r="K603" s="34" t="n"/>
      <c r="L603" s="34" t="n"/>
      <c r="M603" s="39" t="inlineStr">
        <is>
          <t>EXEMPLO</t>
        </is>
      </c>
      <c r="N603" s="35" t="n">
        <v>226.68</v>
      </c>
      <c r="O603" s="40">
        <f>IF($A603="","",MONTH($A603))</f>
        <v>10</v>
      </c>
      <c r="P603" s="40">
        <f>IF($A603="","",YEAR($A603))</f>
        <v>2026</v>
      </c>
      <c r="Q603" s="41">
        <f>IF($A603="","",DATE(P603,O603,1))</f>
        <v>46296.0</v>
      </c>
      <c r="R603" s="36">
        <f>IF(OR($A603="",$N603=""),"",IF(AND($C603&lt;&gt;"Transferência",N($I603)&gt;1),$N603/$I603,$N603))</f>
        <v>226.68</v>
      </c>
      <c r="S603" s="41" t="str">
        <f>IF(OR($A603="",$F603="",$C603&lt;&gt;"Despesa"),"",IF(COUNTIF(Cartoes_Nome,$F603)=0,"",DATE(P603,O603+IF(DAY($A603)&gt;=INDEX(Cartoes_Fech,MATCH($F603,Cartoes_Nome,0)),1,0),1)))</f>
        <v/>
      </c>
      <c r="T603" s="42" t="str">
        <f>IF($A603="","",IF(COUNTIFS(L_Data,$A603,L_Desc,$B603,L_Valor,$N603,L_Tipo,$C603)&gt;1,"⚠ Possível duplicidade",IF(OR(AND($C603="Despesa",COUNTIF(CatD_Nome,$D603)=0),AND($C603="Receita",COUNTIF(CatR_Nome,$D603)=0)),"⚠ Categoria não combina com o tipo",IF(OR($N603="",$C603=""),"⚠ Falta valor ou tipo",""))))</f>
        <v/>
      </c>
      <c r="U603" s="40">
        <f>IF($A603="",0,P603*12+O603)</f>
        <v>24322</v>
      </c>
      <c r="V603" s="40">
        <f>IF($A603="",0,U603+MAX(0,N($I603)-MAX(N($H603),1)))</f>
        <v>24322</v>
      </c>
      <c r="W603" s="40">
        <f>IF(S603="",0,YEAR(S603)*12+MONTH(S603))</f>
        <v>0</v>
      </c>
      <c r="X603" s="40">
        <f>IF(W603=0,0,W603+V603-U603)</f>
        <v>0</v>
      </c>
      <c r="Y603" s="36">
        <f>IF(W603=0,0,N(R603)*MAX(0,X603-MAX(W603,YEAR(Cfg_Hoje)*12+MONTH(Cfg_Hoje)+IF(DAY(Cfg_Hoje)&gt;=INDEX(Cartoes_Fech,MATCH($F603,Cartoes_Nome,0)),1,0))+1))</f>
        <v>0</v>
      </c>
      <c r="Z603" s="40">
        <f>IF($A603="",0,DAY($A603))</f>
        <v>15</v>
      </c>
      <c r="AA603" s="40">
        <f>IF($A603="",0,WEEKDAY($A603))</f>
        <v>5</v>
      </c>
      <c r="AB603" s="36">
        <f>IF(AND($C603="Despesa",U603&gt;0,U603&lt;=Sel_Idx,V603&gt;=Sel_Idx),N(R603)+ROW()/1000000000,0)</f>
        <v>0</v>
      </c>
      <c r="AC603" s="40">
        <f>IF(AND($C603="Despesa",U603&gt;0,U603&lt;=Sel_Idx,V603&gt;=Sel_Idx),Z603*10000+ROW(),0)</f>
        <v>0</v>
      </c>
      <c r="AD603" s="40">
        <f>IF(AC603=0,0,COUNTIFS(L_CalChave,"&gt;0",L_CalChave,"&lt;"&amp;AC603)+1)</f>
        <v>0</v>
      </c>
    </row>
    <row r="604">
      <c r="A604" s="38" t="n">
        <v>46310</v>
      </c>
      <c r="B604" s="39" t="inlineStr">
        <is>
          <t>Conta de água</t>
        </is>
      </c>
      <c r="C604" s="34" t="inlineStr">
        <is>
          <t>Despesa</t>
        </is>
      </c>
      <c r="D604" s="34" t="inlineStr">
        <is>
          <t>Moradia</t>
        </is>
      </c>
      <c r="E604" s="34" t="inlineStr">
        <is>
          <t>Água</t>
        </is>
      </c>
      <c r="F604" s="34" t="inlineStr">
        <is>
          <t>Conta Corrente Banco Azul</t>
        </is>
      </c>
      <c r="G604" s="34" t="inlineStr">
        <is>
          <t>Débito automático</t>
        </is>
      </c>
      <c r="H604" s="37" t="n"/>
      <c r="I604" s="37" t="n"/>
      <c r="J604" s="34" t="inlineStr">
        <is>
          <t>Agendado</t>
        </is>
      </c>
      <c r="K604" s="34" t="n"/>
      <c r="L604" s="34" t="n"/>
      <c r="M604" s="39" t="inlineStr">
        <is>
          <t>EXEMPLO</t>
        </is>
      </c>
      <c r="N604" s="35" t="n">
        <v>97.72</v>
      </c>
      <c r="O604" s="40">
        <f>IF($A604="","",MONTH($A604))</f>
        <v>10</v>
      </c>
      <c r="P604" s="40">
        <f>IF($A604="","",YEAR($A604))</f>
        <v>2026</v>
      </c>
      <c r="Q604" s="41">
        <f>IF($A604="","",DATE(P604,O604,1))</f>
        <v>46296.0</v>
      </c>
      <c r="R604" s="36">
        <f>IF(OR($A604="",$N604=""),"",IF(AND($C604&lt;&gt;"Transferência",N($I604)&gt;1),$N604/$I604,$N604))</f>
        <v>97.72</v>
      </c>
      <c r="S604" s="41" t="str">
        <f>IF(OR($A604="",$F604="",$C604&lt;&gt;"Despesa"),"",IF(COUNTIF(Cartoes_Nome,$F604)=0,"",DATE(P604,O604+IF(DAY($A604)&gt;=INDEX(Cartoes_Fech,MATCH($F604,Cartoes_Nome,0)),1,0),1)))</f>
        <v/>
      </c>
      <c r="T604" s="42" t="str">
        <f>IF($A604="","",IF(COUNTIFS(L_Data,$A604,L_Desc,$B604,L_Valor,$N604,L_Tipo,$C604)&gt;1,"⚠ Possível duplicidade",IF(OR(AND($C604="Despesa",COUNTIF(CatD_Nome,$D604)=0),AND($C604="Receita",COUNTIF(CatR_Nome,$D604)=0)),"⚠ Categoria não combina com o tipo",IF(OR($N604="",$C604=""),"⚠ Falta valor ou tipo",""))))</f>
        <v/>
      </c>
      <c r="U604" s="40">
        <f>IF($A604="",0,P604*12+O604)</f>
        <v>24322</v>
      </c>
      <c r="V604" s="40">
        <f>IF($A604="",0,U604+MAX(0,N($I604)-MAX(N($H604),1)))</f>
        <v>24322</v>
      </c>
      <c r="W604" s="40">
        <f>IF(S604="",0,YEAR(S604)*12+MONTH(S604))</f>
        <v>0</v>
      </c>
      <c r="X604" s="40">
        <f>IF(W604=0,0,W604+V604-U604)</f>
        <v>0</v>
      </c>
      <c r="Y604" s="36">
        <f>IF(W604=0,0,N(R604)*MAX(0,X604-MAX(W604,YEAR(Cfg_Hoje)*12+MONTH(Cfg_Hoje)+IF(DAY(Cfg_Hoje)&gt;=INDEX(Cartoes_Fech,MATCH($F604,Cartoes_Nome,0)),1,0))+1))</f>
        <v>0</v>
      </c>
      <c r="Z604" s="40">
        <f>IF($A604="",0,DAY($A604))</f>
        <v>15</v>
      </c>
      <c r="AA604" s="40">
        <f>IF($A604="",0,WEEKDAY($A604))</f>
        <v>5</v>
      </c>
      <c r="AB604" s="36">
        <f>IF(AND($C604="Despesa",U604&gt;0,U604&lt;=Sel_Idx,V604&gt;=Sel_Idx),N(R604)+ROW()/1000000000,0)</f>
        <v>0</v>
      </c>
      <c r="AC604" s="40">
        <f>IF(AND($C604="Despesa",U604&gt;0,U604&lt;=Sel_Idx,V604&gt;=Sel_Idx),Z604*10000+ROW(),0)</f>
        <v>0</v>
      </c>
      <c r="AD604" s="40">
        <f>IF(AC604=0,0,COUNTIFS(L_CalChave,"&gt;0",L_CalChave,"&lt;"&amp;AC604)+1)</f>
        <v>0</v>
      </c>
    </row>
    <row r="605">
      <c r="A605" s="38" t="n">
        <v>46312</v>
      </c>
      <c r="B605" s="39" t="inlineStr">
        <is>
          <t>Pagamento fatura Cartão Azul Gold</t>
        </is>
      </c>
      <c r="C605" s="34" t="inlineStr">
        <is>
          <t>Transferência</t>
        </is>
      </c>
      <c r="D605" s="34" t="n"/>
      <c r="E605" s="34" t="n"/>
      <c r="F605" s="34" t="inlineStr">
        <is>
          <t>Conta Corrente Banco Azul</t>
        </is>
      </c>
      <c r="G605" s="34" t="inlineStr">
        <is>
          <t>Débito automático</t>
        </is>
      </c>
      <c r="H605" s="37" t="n"/>
      <c r="I605" s="37" t="n"/>
      <c r="J605" s="34" t="inlineStr">
        <is>
          <t>Agendado</t>
        </is>
      </c>
      <c r="K605" s="34" t="n"/>
      <c r="L605" s="34" t="n"/>
      <c r="M605" s="39" t="inlineStr">
        <is>
          <t>EXEMPLO</t>
        </is>
      </c>
      <c r="N605" s="35" t="n">
        <v>-3461.71</v>
      </c>
      <c r="O605" s="40">
        <f>IF($A605="","",MONTH($A605))</f>
        <v>10</v>
      </c>
      <c r="P605" s="40">
        <f>IF($A605="","",YEAR($A605))</f>
        <v>2026</v>
      </c>
      <c r="Q605" s="41">
        <f>IF($A605="","",DATE(P605,O605,1))</f>
        <v>46296.0</v>
      </c>
      <c r="R605" s="36">
        <f>IF(OR($A605="",$N605=""),"",IF(AND($C605&lt;&gt;"Transferência",N($I605)&gt;1),$N605/$I605,$N605))</f>
        <v>-3461.71</v>
      </c>
      <c r="S605" s="41" t="str">
        <f>IF(OR($A605="",$F605="",$C605&lt;&gt;"Despesa"),"",IF(COUNTIF(Cartoes_Nome,$F605)=0,"",DATE(P605,O605+IF(DAY($A605)&gt;=INDEX(Cartoes_Fech,MATCH($F605,Cartoes_Nome,0)),1,0),1)))</f>
        <v/>
      </c>
      <c r="T605" s="42" t="str">
        <f>IF($A605="","",IF(COUNTIFS(L_Data,$A605,L_Desc,$B605,L_Valor,$N605,L_Tipo,$C605)&gt;1,"⚠ Possível duplicidade",IF(OR(AND($C605="Despesa",COUNTIF(CatD_Nome,$D605)=0),AND($C605="Receita",COUNTIF(CatR_Nome,$D605)=0)),"⚠ Categoria não combina com o tipo",IF(OR($N605="",$C605=""),"⚠ Falta valor ou tipo",""))))</f>
        <v/>
      </c>
      <c r="U605" s="40">
        <f>IF($A605="",0,P605*12+O605)</f>
        <v>24322</v>
      </c>
      <c r="V605" s="40">
        <f>IF($A605="",0,U605+MAX(0,N($I605)-MAX(N($H605),1)))</f>
        <v>24322</v>
      </c>
      <c r="W605" s="40">
        <f>IF(S605="",0,YEAR(S605)*12+MONTH(S605))</f>
        <v>0</v>
      </c>
      <c r="X605" s="40">
        <f>IF(W605=0,0,W605+V605-U605)</f>
        <v>0</v>
      </c>
      <c r="Y605" s="36">
        <f>IF(W605=0,0,N(R605)*MAX(0,X605-MAX(W605,YEAR(Cfg_Hoje)*12+MONTH(Cfg_Hoje)+IF(DAY(Cfg_Hoje)&gt;=INDEX(Cartoes_Fech,MATCH($F605,Cartoes_Nome,0)),1,0))+1))</f>
        <v>0</v>
      </c>
      <c r="Z605" s="40">
        <f>IF($A605="",0,DAY($A605))</f>
        <v>17</v>
      </c>
      <c r="AA605" s="40">
        <f>IF($A605="",0,WEEKDAY($A605))</f>
        <v>7</v>
      </c>
      <c r="AB605" s="36">
        <f>IF(AND($C605="Despesa",U605&gt;0,U605&lt;=Sel_Idx,V605&gt;=Sel_Idx),N(R605)+ROW()/1000000000,0)</f>
        <v>0</v>
      </c>
      <c r="AC605" s="40">
        <f>IF(AND($C605="Despesa",U605&gt;0,U605&lt;=Sel_Idx,V605&gt;=Sel_Idx),Z605*10000+ROW(),0)</f>
        <v>0</v>
      </c>
      <c r="AD605" s="40">
        <f>IF(AC605=0,0,COUNTIFS(L_CalChave,"&gt;0",L_CalChave,"&lt;"&amp;AC605)+1)</f>
        <v>0</v>
      </c>
    </row>
    <row r="606">
      <c r="A606" s="38" t="n">
        <v>46313</v>
      </c>
      <c r="B606" s="39" t="inlineStr">
        <is>
          <t>Seguro do carro (anual, em 3x)</t>
        </is>
      </c>
      <c r="C606" s="34" t="inlineStr">
        <is>
          <t>Despesa</t>
        </is>
      </c>
      <c r="D606" s="34" t="inlineStr">
        <is>
          <t>Transporte</t>
        </is>
      </c>
      <c r="E606" s="34" t="inlineStr">
        <is>
          <t>Manutenção</t>
        </is>
      </c>
      <c r="F606" s="34" t="inlineStr">
        <is>
          <t>Conta Corrente Banco Azul</t>
        </is>
      </c>
      <c r="G606" s="34" t="inlineStr">
        <is>
          <t>Boleto</t>
        </is>
      </c>
      <c r="H606" s="37" t="n">
        <v>1</v>
      </c>
      <c r="I606" s="37" t="n">
        <v>3</v>
      </c>
      <c r="J606" s="34" t="inlineStr">
        <is>
          <t>Agendado</t>
        </is>
      </c>
      <c r="K606" s="34" t="n"/>
      <c r="L606" s="34" t="n"/>
      <c r="M606" s="39" t="inlineStr">
        <is>
          <t>EXEMPLO</t>
        </is>
      </c>
      <c r="N606" s="35" t="n">
        <v>2700</v>
      </c>
      <c r="O606" s="40">
        <f>IF($A606="","",MONTH($A606))</f>
        <v>10</v>
      </c>
      <c r="P606" s="40">
        <f>IF($A606="","",YEAR($A606))</f>
        <v>2026</v>
      </c>
      <c r="Q606" s="41">
        <f>IF($A606="","",DATE(P606,O606,1))</f>
        <v>46296.0</v>
      </c>
      <c r="R606" s="36">
        <f>IF(OR($A606="",$N606=""),"",IF(AND($C606&lt;&gt;"Transferência",N($I606)&gt;1),$N606/$I606,$N606))</f>
        <v>900</v>
      </c>
      <c r="S606" s="41" t="str">
        <f>IF(OR($A606="",$F606="",$C606&lt;&gt;"Despesa"),"",IF(COUNTIF(Cartoes_Nome,$F606)=0,"",DATE(P606,O606+IF(DAY($A606)&gt;=INDEX(Cartoes_Fech,MATCH($F606,Cartoes_Nome,0)),1,0),1)))</f>
        <v/>
      </c>
      <c r="T606" s="42" t="str">
        <f>IF($A606="","",IF(COUNTIFS(L_Data,$A606,L_Desc,$B606,L_Valor,$N606,L_Tipo,$C606)&gt;1,"⚠ Possível duplicidade",IF(OR(AND($C606="Despesa",COUNTIF(CatD_Nome,$D606)=0),AND($C606="Receita",COUNTIF(CatR_Nome,$D606)=0)),"⚠ Categoria não combina com o tipo",IF(OR($N606="",$C606=""),"⚠ Falta valor ou tipo",""))))</f>
        <v/>
      </c>
      <c r="U606" s="40">
        <f>IF($A606="",0,P606*12+O606)</f>
        <v>24322</v>
      </c>
      <c r="V606" s="40">
        <f>IF($A606="",0,U606+MAX(0,N($I606)-MAX(N($H606),1)))</f>
        <v>24324</v>
      </c>
      <c r="W606" s="40">
        <f>IF(S606="",0,YEAR(S606)*12+MONTH(S606))</f>
        <v>0</v>
      </c>
      <c r="X606" s="40">
        <f>IF(W606=0,0,W606+V606-U606)</f>
        <v>0</v>
      </c>
      <c r="Y606" s="36">
        <f>IF(W606=0,0,N(R606)*MAX(0,X606-MAX(W606,YEAR(Cfg_Hoje)*12+MONTH(Cfg_Hoje)+IF(DAY(Cfg_Hoje)&gt;=INDEX(Cartoes_Fech,MATCH($F606,Cartoes_Nome,0)),1,0))+1))</f>
        <v>0</v>
      </c>
      <c r="Z606" s="40">
        <f>IF($A606="",0,DAY($A606))</f>
        <v>18</v>
      </c>
      <c r="AA606" s="40">
        <f>IF($A606="",0,WEEKDAY($A606))</f>
        <v>1</v>
      </c>
      <c r="AB606" s="36">
        <f>IF(AND($C606="Despesa",U606&gt;0,U606&lt;=Sel_Idx,V606&gt;=Sel_Idx),N(R606)+ROW()/1000000000,0)</f>
        <v>0</v>
      </c>
      <c r="AC606" s="40">
        <f>IF(AND($C606="Despesa",U606&gt;0,U606&lt;=Sel_Idx,V606&gt;=Sel_Idx),Z606*10000+ROW(),0)</f>
        <v>0</v>
      </c>
      <c r="AD606" s="40">
        <f>IF(AC606=0,0,COUNTIFS(L_CalChave,"&gt;0",L_CalChave,"&lt;"&amp;AC606)+1)</f>
        <v>0</v>
      </c>
    </row>
    <row r="607">
      <c r="A607" s="38" t="n">
        <v>46313</v>
      </c>
      <c r="B607" s="39" t="inlineStr">
        <is>
          <t>Supermercado</t>
        </is>
      </c>
      <c r="C607" s="34" t="inlineStr">
        <is>
          <t>Despesa</t>
        </is>
      </c>
      <c r="D607" s="34" t="inlineStr">
        <is>
          <t>Alimentação</t>
        </is>
      </c>
      <c r="E607" s="34" t="inlineStr">
        <is>
          <t>Mercado</t>
        </is>
      </c>
      <c r="F607" s="34" t="inlineStr">
        <is>
          <t>Conta Corrente Banco Azul</t>
        </is>
      </c>
      <c r="G607" s="34" t="inlineStr">
        <is>
          <t>Débito</t>
        </is>
      </c>
      <c r="H607" s="37" t="n"/>
      <c r="I607" s="37" t="n"/>
      <c r="J607" s="34" t="inlineStr">
        <is>
          <t>Agendado</t>
        </is>
      </c>
      <c r="K607" s="34" t="n"/>
      <c r="L607" s="34" t="n"/>
      <c r="M607" s="39" t="inlineStr">
        <is>
          <t>EXEMPLO</t>
        </is>
      </c>
      <c r="N607" s="35" t="n">
        <v>308.64</v>
      </c>
      <c r="O607" s="40">
        <f>IF($A607="","",MONTH($A607))</f>
        <v>10</v>
      </c>
      <c r="P607" s="40">
        <f>IF($A607="","",YEAR($A607))</f>
        <v>2026</v>
      </c>
      <c r="Q607" s="41">
        <f>IF($A607="","",DATE(P607,O607,1))</f>
        <v>46296.0</v>
      </c>
      <c r="R607" s="36">
        <f>IF(OR($A607="",$N607=""),"",IF(AND($C607&lt;&gt;"Transferência",N($I607)&gt;1),$N607/$I607,$N607))</f>
        <v>308.64</v>
      </c>
      <c r="S607" s="41" t="str">
        <f>IF(OR($A607="",$F607="",$C607&lt;&gt;"Despesa"),"",IF(COUNTIF(Cartoes_Nome,$F607)=0,"",DATE(P607,O607+IF(DAY($A607)&gt;=INDEX(Cartoes_Fech,MATCH($F607,Cartoes_Nome,0)),1,0),1)))</f>
        <v/>
      </c>
      <c r="T607" s="42" t="str">
        <f>IF($A607="","",IF(COUNTIFS(L_Data,$A607,L_Desc,$B607,L_Valor,$N607,L_Tipo,$C607)&gt;1,"⚠ Possível duplicidade",IF(OR(AND($C607="Despesa",COUNTIF(CatD_Nome,$D607)=0),AND($C607="Receita",COUNTIF(CatR_Nome,$D607)=0)),"⚠ Categoria não combina com o tipo",IF(OR($N607="",$C607=""),"⚠ Falta valor ou tipo",""))))</f>
        <v/>
      </c>
      <c r="U607" s="40">
        <f>IF($A607="",0,P607*12+O607)</f>
        <v>24322</v>
      </c>
      <c r="V607" s="40">
        <f>IF($A607="",0,U607+MAX(0,N($I607)-MAX(N($H607),1)))</f>
        <v>24322</v>
      </c>
      <c r="W607" s="40">
        <f>IF(S607="",0,YEAR(S607)*12+MONTH(S607))</f>
        <v>0</v>
      </c>
      <c r="X607" s="40">
        <f>IF(W607=0,0,W607+V607-U607)</f>
        <v>0</v>
      </c>
      <c r="Y607" s="36">
        <f>IF(W607=0,0,N(R607)*MAX(0,X607-MAX(W607,YEAR(Cfg_Hoje)*12+MONTH(Cfg_Hoje)+IF(DAY(Cfg_Hoje)&gt;=INDEX(Cartoes_Fech,MATCH($F607,Cartoes_Nome,0)),1,0))+1))</f>
        <v>0</v>
      </c>
      <c r="Z607" s="40">
        <f>IF($A607="",0,DAY($A607))</f>
        <v>18</v>
      </c>
      <c r="AA607" s="40">
        <f>IF($A607="",0,WEEKDAY($A607))</f>
        <v>1</v>
      </c>
      <c r="AB607" s="36">
        <f>IF(AND($C607="Despesa",U607&gt;0,U607&lt;=Sel_Idx,V607&gt;=Sel_Idx),N(R607)+ROW()/1000000000,0)</f>
        <v>0</v>
      </c>
      <c r="AC607" s="40">
        <f>IF(AND($C607="Despesa",U607&gt;0,U607&lt;=Sel_Idx,V607&gt;=Sel_Idx),Z607*10000+ROW(),0)</f>
        <v>0</v>
      </c>
      <c r="AD607" s="40">
        <f>IF(AC607=0,0,COUNTIFS(L_CalChave,"&gt;0",L_CalChave,"&lt;"&amp;AC607)+1)</f>
        <v>0</v>
      </c>
    </row>
    <row r="608">
      <c r="A608" s="38" t="n">
        <v>46315</v>
      </c>
      <c r="B608" s="39" t="inlineStr">
        <is>
          <t>Internet fibra</t>
        </is>
      </c>
      <c r="C608" s="34" t="inlineStr">
        <is>
          <t>Despesa</t>
        </is>
      </c>
      <c r="D608" s="34" t="inlineStr">
        <is>
          <t>Moradia</t>
        </is>
      </c>
      <c r="E608" s="34" t="inlineStr">
        <is>
          <t>Internet</t>
        </is>
      </c>
      <c r="F608" s="34" t="inlineStr">
        <is>
          <t>Conta Corrente Banco Azul</t>
        </is>
      </c>
      <c r="G608" s="34" t="inlineStr">
        <is>
          <t>Débito automático</t>
        </is>
      </c>
      <c r="H608" s="37" t="n"/>
      <c r="I608" s="37" t="n"/>
      <c r="J608" s="34" t="inlineStr">
        <is>
          <t>Agendado</t>
        </is>
      </c>
      <c r="K608" s="34" t="n"/>
      <c r="L608" s="34" t="n"/>
      <c r="M608" s="39" t="inlineStr">
        <is>
          <t>EXEMPLO</t>
        </is>
      </c>
      <c r="N608" s="35" t="n">
        <v>129.9</v>
      </c>
      <c r="O608" s="40">
        <f>IF($A608="","",MONTH($A608))</f>
        <v>10</v>
      </c>
      <c r="P608" s="40">
        <f>IF($A608="","",YEAR($A608))</f>
        <v>2026</v>
      </c>
      <c r="Q608" s="41">
        <f>IF($A608="","",DATE(P608,O608,1))</f>
        <v>46296.0</v>
      </c>
      <c r="R608" s="36">
        <f>IF(OR($A608="",$N608=""),"",IF(AND($C608&lt;&gt;"Transferência",N($I608)&gt;1),$N608/$I608,$N608))</f>
        <v>129.9</v>
      </c>
      <c r="S608" s="41" t="str">
        <f>IF(OR($A608="",$F608="",$C608&lt;&gt;"Despesa"),"",IF(COUNTIF(Cartoes_Nome,$F608)=0,"",DATE(P608,O608+IF(DAY($A608)&gt;=INDEX(Cartoes_Fech,MATCH($F608,Cartoes_Nome,0)),1,0),1)))</f>
        <v/>
      </c>
      <c r="T608" s="42" t="str">
        <f>IF($A608="","",IF(COUNTIFS(L_Data,$A608,L_Desc,$B608,L_Valor,$N608,L_Tipo,$C608)&gt;1,"⚠ Possível duplicidade",IF(OR(AND($C608="Despesa",COUNTIF(CatD_Nome,$D608)=0),AND($C608="Receita",COUNTIF(CatR_Nome,$D608)=0)),"⚠ Categoria não combina com o tipo",IF(OR($N608="",$C608=""),"⚠ Falta valor ou tipo",""))))</f>
        <v/>
      </c>
      <c r="U608" s="40">
        <f>IF($A608="",0,P608*12+O608)</f>
        <v>24322</v>
      </c>
      <c r="V608" s="40">
        <f>IF($A608="",0,U608+MAX(0,N($I608)-MAX(N($H608),1)))</f>
        <v>24322</v>
      </c>
      <c r="W608" s="40">
        <f>IF(S608="",0,YEAR(S608)*12+MONTH(S608))</f>
        <v>0</v>
      </c>
      <c r="X608" s="40">
        <f>IF(W608=0,0,W608+V608-U608)</f>
        <v>0</v>
      </c>
      <c r="Y608" s="36">
        <f>IF(W608=0,0,N(R608)*MAX(0,X608-MAX(W608,YEAR(Cfg_Hoje)*12+MONTH(Cfg_Hoje)+IF(DAY(Cfg_Hoje)&gt;=INDEX(Cartoes_Fech,MATCH($F608,Cartoes_Nome,0)),1,0))+1))</f>
        <v>0</v>
      </c>
      <c r="Z608" s="40">
        <f>IF($A608="",0,DAY($A608))</f>
        <v>20</v>
      </c>
      <c r="AA608" s="40">
        <f>IF($A608="",0,WEEKDAY($A608))</f>
        <v>3</v>
      </c>
      <c r="AB608" s="36">
        <f>IF(AND($C608="Despesa",U608&gt;0,U608&lt;=Sel_Idx,V608&gt;=Sel_Idx),N(R608)+ROW()/1000000000,0)</f>
        <v>0</v>
      </c>
      <c r="AC608" s="40">
        <f>IF(AND($C608="Despesa",U608&gt;0,U608&lt;=Sel_Idx,V608&gt;=Sel_Idx),Z608*10000+ROW(),0)</f>
        <v>0</v>
      </c>
      <c r="AD608" s="40">
        <f>IF(AC608=0,0,COUNTIFS(L_CalChave,"&gt;0",L_CalChave,"&lt;"&amp;AC608)+1)</f>
        <v>0</v>
      </c>
    </row>
    <row r="609">
      <c r="A609" s="38" t="n">
        <v>46315</v>
      </c>
      <c r="B609" s="39" t="inlineStr">
        <is>
          <t>Parcela financiamento do carro</t>
        </is>
      </c>
      <c r="C609" s="34" t="inlineStr">
        <is>
          <t>Despesa</t>
        </is>
      </c>
      <c r="D609" s="34" t="inlineStr">
        <is>
          <t>Dívidas e Financiamentos</t>
        </is>
      </c>
      <c r="E609" s="34" t="inlineStr">
        <is>
          <t>Financiamento</t>
        </is>
      </c>
      <c r="F609" s="34" t="inlineStr">
        <is>
          <t>Conta Corrente Banco Azul</t>
        </is>
      </c>
      <c r="G609" s="34" t="inlineStr">
        <is>
          <t>Débito automático</t>
        </is>
      </c>
      <c r="H609" s="37" t="n"/>
      <c r="I609" s="37" t="n"/>
      <c r="J609" s="34" t="inlineStr">
        <is>
          <t>Agendado</t>
        </is>
      </c>
      <c r="K609" s="34" t="n"/>
      <c r="L609" s="34" t="n"/>
      <c r="M609" s="39" t="inlineStr">
        <is>
          <t>EXEMPLO</t>
        </is>
      </c>
      <c r="N609" s="35" t="n">
        <v>1150</v>
      </c>
      <c r="O609" s="40">
        <f>IF($A609="","",MONTH($A609))</f>
        <v>10</v>
      </c>
      <c r="P609" s="40">
        <f>IF($A609="","",YEAR($A609))</f>
        <v>2026</v>
      </c>
      <c r="Q609" s="41">
        <f>IF($A609="","",DATE(P609,O609,1))</f>
        <v>46296.0</v>
      </c>
      <c r="R609" s="36">
        <f>IF(OR($A609="",$N609=""),"",IF(AND($C609&lt;&gt;"Transferência",N($I609)&gt;1),$N609/$I609,$N609))</f>
        <v>1150</v>
      </c>
      <c r="S609" s="41" t="str">
        <f>IF(OR($A609="",$F609="",$C609&lt;&gt;"Despesa"),"",IF(COUNTIF(Cartoes_Nome,$F609)=0,"",DATE(P609,O609+IF(DAY($A609)&gt;=INDEX(Cartoes_Fech,MATCH($F609,Cartoes_Nome,0)),1,0),1)))</f>
        <v/>
      </c>
      <c r="T609" s="42" t="str">
        <f>IF($A609="","",IF(COUNTIFS(L_Data,$A609,L_Desc,$B609,L_Valor,$N609,L_Tipo,$C609)&gt;1,"⚠ Possível duplicidade",IF(OR(AND($C609="Despesa",COUNTIF(CatD_Nome,$D609)=0),AND($C609="Receita",COUNTIF(CatR_Nome,$D609)=0)),"⚠ Categoria não combina com o tipo",IF(OR($N609="",$C609=""),"⚠ Falta valor ou tipo",""))))</f>
        <v/>
      </c>
      <c r="U609" s="40">
        <f>IF($A609="",0,P609*12+O609)</f>
        <v>24322</v>
      </c>
      <c r="V609" s="40">
        <f>IF($A609="",0,U609+MAX(0,N($I609)-MAX(N($H609),1)))</f>
        <v>24322</v>
      </c>
      <c r="W609" s="40">
        <f>IF(S609="",0,YEAR(S609)*12+MONTH(S609))</f>
        <v>0</v>
      </c>
      <c r="X609" s="40">
        <f>IF(W609=0,0,W609+V609-U609)</f>
        <v>0</v>
      </c>
      <c r="Y609" s="36">
        <f>IF(W609=0,0,N(R609)*MAX(0,X609-MAX(W609,YEAR(Cfg_Hoje)*12+MONTH(Cfg_Hoje)+IF(DAY(Cfg_Hoje)&gt;=INDEX(Cartoes_Fech,MATCH($F609,Cartoes_Nome,0)),1,0))+1))</f>
        <v>0</v>
      </c>
      <c r="Z609" s="40">
        <f>IF($A609="",0,DAY($A609))</f>
        <v>20</v>
      </c>
      <c r="AA609" s="40">
        <f>IF($A609="",0,WEEKDAY($A609))</f>
        <v>3</v>
      </c>
      <c r="AB609" s="36">
        <f>IF(AND($C609="Despesa",U609&gt;0,U609&lt;=Sel_Idx,V609&gt;=Sel_Idx),N(R609)+ROW()/1000000000,0)</f>
        <v>0</v>
      </c>
      <c r="AC609" s="40">
        <f>IF(AND($C609="Despesa",U609&gt;0,U609&lt;=Sel_Idx,V609&gt;=Sel_Idx),Z609*10000+ROW(),0)</f>
        <v>0</v>
      </c>
      <c r="AD609" s="40">
        <f>IF(AC609=0,0,COUNTIFS(L_CalChave,"&gt;0",L_CalChave,"&lt;"&amp;AC609)+1)</f>
        <v>0</v>
      </c>
    </row>
    <row r="610">
      <c r="A610" s="38" t="n">
        <v>46317</v>
      </c>
      <c r="B610" s="39" t="inlineStr">
        <is>
          <t>Parcela empréstimo pessoal</t>
        </is>
      </c>
      <c r="C610" s="34" t="inlineStr">
        <is>
          <t>Despesa</t>
        </is>
      </c>
      <c r="D610" s="34" t="inlineStr">
        <is>
          <t>Dívidas e Financiamentos</t>
        </is>
      </c>
      <c r="E610" s="34" t="inlineStr">
        <is>
          <t>Empréstimo</t>
        </is>
      </c>
      <c r="F610" s="34" t="inlineStr">
        <is>
          <t>Conta Corrente Banco Azul</t>
        </is>
      </c>
      <c r="G610" s="34" t="inlineStr">
        <is>
          <t>Débito automático</t>
        </is>
      </c>
      <c r="H610" s="37" t="n"/>
      <c r="I610" s="37" t="n"/>
      <c r="J610" s="34" t="inlineStr">
        <is>
          <t>Agendado</t>
        </is>
      </c>
      <c r="K610" s="34" t="n"/>
      <c r="L610" s="34" t="n"/>
      <c r="M610" s="39" t="inlineStr">
        <is>
          <t>EXEMPLO</t>
        </is>
      </c>
      <c r="N610" s="35" t="n">
        <v>580</v>
      </c>
      <c r="O610" s="40">
        <f>IF($A610="","",MONTH($A610))</f>
        <v>10</v>
      </c>
      <c r="P610" s="40">
        <f>IF($A610="","",YEAR($A610))</f>
        <v>2026</v>
      </c>
      <c r="Q610" s="41">
        <f>IF($A610="","",DATE(P610,O610,1))</f>
        <v>46296.0</v>
      </c>
      <c r="R610" s="36">
        <f>IF(OR($A610="",$N610=""),"",IF(AND($C610&lt;&gt;"Transferência",N($I610)&gt;1),$N610/$I610,$N610))</f>
        <v>580</v>
      </c>
      <c r="S610" s="41" t="str">
        <f>IF(OR($A610="",$F610="",$C610&lt;&gt;"Despesa"),"",IF(COUNTIF(Cartoes_Nome,$F610)=0,"",DATE(P610,O610+IF(DAY($A610)&gt;=INDEX(Cartoes_Fech,MATCH($F610,Cartoes_Nome,0)),1,0),1)))</f>
        <v/>
      </c>
      <c r="T610" s="42" t="str">
        <f>IF($A610="","",IF(COUNTIFS(L_Data,$A610,L_Desc,$B610,L_Valor,$N610,L_Tipo,$C610)&gt;1,"⚠ Possível duplicidade",IF(OR(AND($C610="Despesa",COUNTIF(CatD_Nome,$D610)=0),AND($C610="Receita",COUNTIF(CatR_Nome,$D610)=0)),"⚠ Categoria não combina com o tipo",IF(OR($N610="",$C610=""),"⚠ Falta valor ou tipo",""))))</f>
        <v/>
      </c>
      <c r="U610" s="40">
        <f>IF($A610="",0,P610*12+O610)</f>
        <v>24322</v>
      </c>
      <c r="V610" s="40">
        <f>IF($A610="",0,U610+MAX(0,N($I610)-MAX(N($H610),1)))</f>
        <v>24322</v>
      </c>
      <c r="W610" s="40">
        <f>IF(S610="",0,YEAR(S610)*12+MONTH(S610))</f>
        <v>0</v>
      </c>
      <c r="X610" s="40">
        <f>IF(W610=0,0,W610+V610-U610)</f>
        <v>0</v>
      </c>
      <c r="Y610" s="36">
        <f>IF(W610=0,0,N(R610)*MAX(0,X610-MAX(W610,YEAR(Cfg_Hoje)*12+MONTH(Cfg_Hoje)+IF(DAY(Cfg_Hoje)&gt;=INDEX(Cartoes_Fech,MATCH($F610,Cartoes_Nome,0)),1,0))+1))</f>
        <v>0</v>
      </c>
      <c r="Z610" s="40">
        <f>IF($A610="",0,DAY($A610))</f>
        <v>22</v>
      </c>
      <c r="AA610" s="40">
        <f>IF($A610="",0,WEEKDAY($A610))</f>
        <v>5</v>
      </c>
      <c r="AB610" s="36">
        <f>IF(AND($C610="Despesa",U610&gt;0,U610&lt;=Sel_Idx,V610&gt;=Sel_Idx),N(R610)+ROW()/1000000000,0)</f>
        <v>0</v>
      </c>
      <c r="AC610" s="40">
        <f>IF(AND($C610="Despesa",U610&gt;0,U610&lt;=Sel_Idx,V610&gt;=Sel_Idx),Z610*10000+ROW(),0)</f>
        <v>0</v>
      </c>
      <c r="AD610" s="40">
        <f>IF(AC610=0,0,COUNTIFS(L_CalChave,"&gt;0",L_CalChave,"&lt;"&amp;AC610)+1)</f>
        <v>0</v>
      </c>
    </row>
    <row r="611">
      <c r="A611" s="38" t="n">
        <v>46320</v>
      </c>
      <c r="B611" s="39" t="inlineStr">
        <is>
          <t>Parcela renegociação da fatura</t>
        </is>
      </c>
      <c r="C611" s="34" t="inlineStr">
        <is>
          <t>Despesa</t>
        </is>
      </c>
      <c r="D611" s="34" t="inlineStr">
        <is>
          <t>Dívidas e Financiamentos</t>
        </is>
      </c>
      <c r="E611" s="34" t="n"/>
      <c r="F611" s="34" t="inlineStr">
        <is>
          <t>Conta Corrente Banco Azul</t>
        </is>
      </c>
      <c r="G611" s="34" t="inlineStr">
        <is>
          <t>Boleto</t>
        </is>
      </c>
      <c r="H611" s="37" t="n"/>
      <c r="I611" s="37" t="n"/>
      <c r="J611" s="34" t="inlineStr">
        <is>
          <t>Agendado</t>
        </is>
      </c>
      <c r="K611" s="34" t="n"/>
      <c r="L611" s="34" t="n"/>
      <c r="M611" s="39" t="inlineStr">
        <is>
          <t>EXEMPLO</t>
        </is>
      </c>
      <c r="N611" s="35" t="n">
        <v>460</v>
      </c>
      <c r="O611" s="40">
        <f>IF($A611="","",MONTH($A611))</f>
        <v>10</v>
      </c>
      <c r="P611" s="40">
        <f>IF($A611="","",YEAR($A611))</f>
        <v>2026</v>
      </c>
      <c r="Q611" s="41">
        <f>IF($A611="","",DATE(P611,O611,1))</f>
        <v>46296.0</v>
      </c>
      <c r="R611" s="36">
        <f>IF(OR($A611="",$N611=""),"",IF(AND($C611&lt;&gt;"Transferência",N($I611)&gt;1),$N611/$I611,$N611))</f>
        <v>460</v>
      </c>
      <c r="S611" s="41" t="str">
        <f>IF(OR($A611="",$F611="",$C611&lt;&gt;"Despesa"),"",IF(COUNTIF(Cartoes_Nome,$F611)=0,"",DATE(P611,O611+IF(DAY($A611)&gt;=INDEX(Cartoes_Fech,MATCH($F611,Cartoes_Nome,0)),1,0),1)))</f>
        <v/>
      </c>
      <c r="T611" s="42" t="str">
        <f>IF($A611="","",IF(COUNTIFS(L_Data,$A611,L_Desc,$B611,L_Valor,$N611,L_Tipo,$C611)&gt;1,"⚠ Possível duplicidade",IF(OR(AND($C611="Despesa",COUNTIF(CatD_Nome,$D611)=0),AND($C611="Receita",COUNTIF(CatR_Nome,$D611)=0)),"⚠ Categoria não combina com o tipo",IF(OR($N611="",$C611=""),"⚠ Falta valor ou tipo",""))))</f>
        <v/>
      </c>
      <c r="U611" s="40">
        <f>IF($A611="",0,P611*12+O611)</f>
        <v>24322</v>
      </c>
      <c r="V611" s="40">
        <f>IF($A611="",0,U611+MAX(0,N($I611)-MAX(N($H611),1)))</f>
        <v>24322</v>
      </c>
      <c r="W611" s="40">
        <f>IF(S611="",0,YEAR(S611)*12+MONTH(S611))</f>
        <v>0</v>
      </c>
      <c r="X611" s="40">
        <f>IF(W611=0,0,W611+V611-U611)</f>
        <v>0</v>
      </c>
      <c r="Y611" s="36">
        <f>IF(W611=0,0,N(R611)*MAX(0,X611-MAX(W611,YEAR(Cfg_Hoje)*12+MONTH(Cfg_Hoje)+IF(DAY(Cfg_Hoje)&gt;=INDEX(Cartoes_Fech,MATCH($F611,Cartoes_Nome,0)),1,0))+1))</f>
        <v>0</v>
      </c>
      <c r="Z611" s="40">
        <f>IF($A611="",0,DAY($A611))</f>
        <v>25</v>
      </c>
      <c r="AA611" s="40">
        <f>IF($A611="",0,WEEKDAY($A611))</f>
        <v>1</v>
      </c>
      <c r="AB611" s="36">
        <f>IF(AND($C611="Despesa",U611&gt;0,U611&lt;=Sel_Idx,V611&gt;=Sel_Idx),N(R611)+ROW()/1000000000,0)</f>
        <v>0</v>
      </c>
      <c r="AC611" s="40">
        <f>IF(AND($C611="Despesa",U611&gt;0,U611&lt;=Sel_Idx,V611&gt;=Sel_Idx),Z611*10000+ROW(),0)</f>
        <v>0</v>
      </c>
      <c r="AD611" s="40">
        <f>IF(AC611=0,0,COUNTIFS(L_CalChave,"&gt;0",L_CalChave,"&lt;"&amp;AC611)+1)</f>
        <v>0</v>
      </c>
    </row>
    <row r="612">
      <c r="A612" s="38" t="n">
        <v>46322</v>
      </c>
      <c r="B612" s="39" t="inlineStr">
        <is>
          <t>Corrida de aplicativo</t>
        </is>
      </c>
      <c r="C612" s="34" t="inlineStr">
        <is>
          <t>Despesa</t>
        </is>
      </c>
      <c r="D612" s="34" t="inlineStr">
        <is>
          <t>Transporte</t>
        </is>
      </c>
      <c r="E612" s="34" t="inlineStr">
        <is>
          <t>App de transporte</t>
        </is>
      </c>
      <c r="F612" s="34" t="inlineStr">
        <is>
          <t>Conta Corrente Banco Azul</t>
        </is>
      </c>
      <c r="G612" s="34" t="inlineStr">
        <is>
          <t>Pix</t>
        </is>
      </c>
      <c r="H612" s="37" t="n"/>
      <c r="I612" s="37" t="n"/>
      <c r="J612" s="34" t="inlineStr">
        <is>
          <t>Agendado</t>
        </is>
      </c>
      <c r="K612" s="34" t="n"/>
      <c r="L612" s="34" t="n"/>
      <c r="M612" s="39" t="inlineStr">
        <is>
          <t>EXEMPLO</t>
        </is>
      </c>
      <c r="N612" s="35" t="n">
        <v>42.51</v>
      </c>
      <c r="O612" s="40">
        <f>IF($A612="","",MONTH($A612))</f>
        <v>10</v>
      </c>
      <c r="P612" s="40">
        <f>IF($A612="","",YEAR($A612))</f>
        <v>2026</v>
      </c>
      <c r="Q612" s="41">
        <f>IF($A612="","",DATE(P612,O612,1))</f>
        <v>46296.0</v>
      </c>
      <c r="R612" s="36">
        <f>IF(OR($A612="",$N612=""),"",IF(AND($C612&lt;&gt;"Transferência",N($I612)&gt;1),$N612/$I612,$N612))</f>
        <v>42.51</v>
      </c>
      <c r="S612" s="41" t="str">
        <f>IF(OR($A612="",$F612="",$C612&lt;&gt;"Despesa"),"",IF(COUNTIF(Cartoes_Nome,$F612)=0,"",DATE(P612,O612+IF(DAY($A612)&gt;=INDEX(Cartoes_Fech,MATCH($F612,Cartoes_Nome,0)),1,0),1)))</f>
        <v/>
      </c>
      <c r="T612" s="42" t="str">
        <f>IF($A612="","",IF(COUNTIFS(L_Data,$A612,L_Desc,$B612,L_Valor,$N612,L_Tipo,$C612)&gt;1,"⚠ Possível duplicidade",IF(OR(AND($C612="Despesa",COUNTIF(CatD_Nome,$D612)=0),AND($C612="Receita",COUNTIF(CatR_Nome,$D612)=0)),"⚠ Categoria não combina com o tipo",IF(OR($N612="",$C612=""),"⚠ Falta valor ou tipo",""))))</f>
        <v/>
      </c>
      <c r="U612" s="40">
        <f>IF($A612="",0,P612*12+O612)</f>
        <v>24322</v>
      </c>
      <c r="V612" s="40">
        <f>IF($A612="",0,U612+MAX(0,N($I612)-MAX(N($H612),1)))</f>
        <v>24322</v>
      </c>
      <c r="W612" s="40">
        <f>IF(S612="",0,YEAR(S612)*12+MONTH(S612))</f>
        <v>0</v>
      </c>
      <c r="X612" s="40">
        <f>IF(W612=0,0,W612+V612-U612)</f>
        <v>0</v>
      </c>
      <c r="Y612" s="36">
        <f>IF(W612=0,0,N(R612)*MAX(0,X612-MAX(W612,YEAR(Cfg_Hoje)*12+MONTH(Cfg_Hoje)+IF(DAY(Cfg_Hoje)&gt;=INDEX(Cartoes_Fech,MATCH($F612,Cartoes_Nome,0)),1,0))+1))</f>
        <v>0</v>
      </c>
      <c r="Z612" s="40">
        <f>IF($A612="",0,DAY($A612))</f>
        <v>27</v>
      </c>
      <c r="AA612" s="40">
        <f>IF($A612="",0,WEEKDAY($A612))</f>
        <v>3</v>
      </c>
      <c r="AB612" s="36">
        <f>IF(AND($C612="Despesa",U612&gt;0,U612&lt;=Sel_Idx,V612&gt;=Sel_Idx),N(R612)+ROW()/1000000000,0)</f>
        <v>0</v>
      </c>
      <c r="AC612" s="40">
        <f>IF(AND($C612="Despesa",U612&gt;0,U612&lt;=Sel_Idx,V612&gt;=Sel_Idx),Z612*10000+ROW(),0)</f>
        <v>0</v>
      </c>
      <c r="AD612" s="40">
        <f>IF(AC612=0,0,COUNTIFS(L_CalChave,"&gt;0",L_CalChave,"&lt;"&amp;AC612)+1)</f>
        <v>0</v>
      </c>
    </row>
    <row r="613">
      <c r="A613" s="38" t="n">
        <v>46322</v>
      </c>
      <c r="B613" s="39" t="inlineStr">
        <is>
          <t>Supermercado</t>
        </is>
      </c>
      <c r="C613" s="34" t="inlineStr">
        <is>
          <t>Despesa</t>
        </is>
      </c>
      <c r="D613" s="34" t="inlineStr">
        <is>
          <t>Alimentação</t>
        </is>
      </c>
      <c r="E613" s="34" t="inlineStr">
        <is>
          <t>Mercado</t>
        </is>
      </c>
      <c r="F613" s="34" t="inlineStr">
        <is>
          <t>Conta Corrente Banco Azul</t>
        </is>
      </c>
      <c r="G613" s="34" t="inlineStr">
        <is>
          <t>Débito</t>
        </is>
      </c>
      <c r="H613" s="37" t="n"/>
      <c r="I613" s="37" t="n"/>
      <c r="J613" s="34" t="inlineStr">
        <is>
          <t>Agendado</t>
        </is>
      </c>
      <c r="K613" s="34" t="n"/>
      <c r="L613" s="34" t="n"/>
      <c r="M613" s="39" t="inlineStr">
        <is>
          <t>EXEMPLO</t>
        </is>
      </c>
      <c r="N613" s="35" t="n">
        <v>403.35</v>
      </c>
      <c r="O613" s="40">
        <f>IF($A613="","",MONTH($A613))</f>
        <v>10</v>
      </c>
      <c r="P613" s="40">
        <f>IF($A613="","",YEAR($A613))</f>
        <v>2026</v>
      </c>
      <c r="Q613" s="41">
        <f>IF($A613="","",DATE(P613,O613,1))</f>
        <v>46296.0</v>
      </c>
      <c r="R613" s="36">
        <f>IF(OR($A613="",$N613=""),"",IF(AND($C613&lt;&gt;"Transferência",N($I613)&gt;1),$N613/$I613,$N613))</f>
        <v>403.35</v>
      </c>
      <c r="S613" s="41" t="str">
        <f>IF(OR($A613="",$F613="",$C613&lt;&gt;"Despesa"),"",IF(COUNTIF(Cartoes_Nome,$F613)=0,"",DATE(P613,O613+IF(DAY($A613)&gt;=INDEX(Cartoes_Fech,MATCH($F613,Cartoes_Nome,0)),1,0),1)))</f>
        <v/>
      </c>
      <c r="T613" s="42" t="str">
        <f>IF($A613="","",IF(COUNTIFS(L_Data,$A613,L_Desc,$B613,L_Valor,$N613,L_Tipo,$C613)&gt;1,"⚠ Possível duplicidade",IF(OR(AND($C613="Despesa",COUNTIF(CatD_Nome,$D613)=0),AND($C613="Receita",COUNTIF(CatR_Nome,$D613)=0)),"⚠ Categoria não combina com o tipo",IF(OR($N613="",$C613=""),"⚠ Falta valor ou tipo",""))))</f>
        <v/>
      </c>
      <c r="U613" s="40">
        <f>IF($A613="",0,P613*12+O613)</f>
        <v>24322</v>
      </c>
      <c r="V613" s="40">
        <f>IF($A613="",0,U613+MAX(0,N($I613)-MAX(N($H613),1)))</f>
        <v>24322</v>
      </c>
      <c r="W613" s="40">
        <f>IF(S613="",0,YEAR(S613)*12+MONTH(S613))</f>
        <v>0</v>
      </c>
      <c r="X613" s="40">
        <f>IF(W613=0,0,W613+V613-U613)</f>
        <v>0</v>
      </c>
      <c r="Y613" s="36">
        <f>IF(W613=0,0,N(R613)*MAX(0,X613-MAX(W613,YEAR(Cfg_Hoje)*12+MONTH(Cfg_Hoje)+IF(DAY(Cfg_Hoje)&gt;=INDEX(Cartoes_Fech,MATCH($F613,Cartoes_Nome,0)),1,0))+1))</f>
        <v>0</v>
      </c>
      <c r="Z613" s="40">
        <f>IF($A613="",0,DAY($A613))</f>
        <v>27</v>
      </c>
      <c r="AA613" s="40">
        <f>IF($A613="",0,WEEKDAY($A613))</f>
        <v>3</v>
      </c>
      <c r="AB613" s="36">
        <f>IF(AND($C613="Despesa",U613&gt;0,U613&lt;=Sel_Idx,V613&gt;=Sel_Idx),N(R613)+ROW()/1000000000,0)</f>
        <v>0</v>
      </c>
      <c r="AC613" s="40">
        <f>IF(AND($C613="Despesa",U613&gt;0,U613&lt;=Sel_Idx,V613&gt;=Sel_Idx),Z613*10000+ROW(),0)</f>
        <v>0</v>
      </c>
      <c r="AD613" s="40">
        <f>IF(AC613=0,0,COUNTIFS(L_CalChave,"&gt;0",L_CalChave,"&lt;"&amp;AC613)+1)</f>
        <v>0</v>
      </c>
    </row>
    <row r="614">
      <c r="A614" s="38" t="n">
        <v>46323</v>
      </c>
      <c r="B614" s="39" t="inlineStr">
        <is>
          <t>Corrida de aplicativo</t>
        </is>
      </c>
      <c r="C614" s="34" t="inlineStr">
        <is>
          <t>Despesa</t>
        </is>
      </c>
      <c r="D614" s="34" t="inlineStr">
        <is>
          <t>Transporte</t>
        </is>
      </c>
      <c r="E614" s="34" t="inlineStr">
        <is>
          <t>App de transporte</t>
        </is>
      </c>
      <c r="F614" s="34" t="inlineStr">
        <is>
          <t>Conta Corrente Banco Azul</t>
        </is>
      </c>
      <c r="G614" s="34" t="inlineStr">
        <is>
          <t>Pix</t>
        </is>
      </c>
      <c r="H614" s="37" t="n"/>
      <c r="I614" s="37" t="n"/>
      <c r="J614" s="34" t="inlineStr">
        <is>
          <t>Agendado</t>
        </is>
      </c>
      <c r="K614" s="34" t="n"/>
      <c r="L614" s="34" t="n"/>
      <c r="M614" s="39" t="inlineStr">
        <is>
          <t>EXEMPLO</t>
        </is>
      </c>
      <c r="N614" s="35" t="n">
        <v>39.14</v>
      </c>
      <c r="O614" s="40">
        <f>IF($A614="","",MONTH($A614))</f>
        <v>10</v>
      </c>
      <c r="P614" s="40">
        <f>IF($A614="","",YEAR($A614))</f>
        <v>2026</v>
      </c>
      <c r="Q614" s="41">
        <f>IF($A614="","",DATE(P614,O614,1))</f>
        <v>46296.0</v>
      </c>
      <c r="R614" s="36">
        <f>IF(OR($A614="",$N614=""),"",IF(AND($C614&lt;&gt;"Transferência",N($I614)&gt;1),$N614/$I614,$N614))</f>
        <v>39.14</v>
      </c>
      <c r="S614" s="41" t="str">
        <f>IF(OR($A614="",$F614="",$C614&lt;&gt;"Despesa"),"",IF(COUNTIF(Cartoes_Nome,$F614)=0,"",DATE(P614,O614+IF(DAY($A614)&gt;=INDEX(Cartoes_Fech,MATCH($F614,Cartoes_Nome,0)),1,0),1)))</f>
        <v/>
      </c>
      <c r="T614" s="42" t="str">
        <f>IF($A614="","",IF(COUNTIFS(L_Data,$A614,L_Desc,$B614,L_Valor,$N614,L_Tipo,$C614)&gt;1,"⚠ Possível duplicidade",IF(OR(AND($C614="Despesa",COUNTIF(CatD_Nome,$D614)=0),AND($C614="Receita",COUNTIF(CatR_Nome,$D614)=0)),"⚠ Categoria não combina com o tipo",IF(OR($N614="",$C614=""),"⚠ Falta valor ou tipo",""))))</f>
        <v/>
      </c>
      <c r="U614" s="40">
        <f>IF($A614="",0,P614*12+O614)</f>
        <v>24322</v>
      </c>
      <c r="V614" s="40">
        <f>IF($A614="",0,U614+MAX(0,N($I614)-MAX(N($H614),1)))</f>
        <v>24322</v>
      </c>
      <c r="W614" s="40">
        <f>IF(S614="",0,YEAR(S614)*12+MONTH(S614))</f>
        <v>0</v>
      </c>
      <c r="X614" s="40">
        <f>IF(W614=0,0,W614+V614-U614)</f>
        <v>0</v>
      </c>
      <c r="Y614" s="36">
        <f>IF(W614=0,0,N(R614)*MAX(0,X614-MAX(W614,YEAR(Cfg_Hoje)*12+MONTH(Cfg_Hoje)+IF(DAY(Cfg_Hoje)&gt;=INDEX(Cartoes_Fech,MATCH($F614,Cartoes_Nome,0)),1,0))+1))</f>
        <v>0</v>
      </c>
      <c r="Z614" s="40">
        <f>IF($A614="",0,DAY($A614))</f>
        <v>28</v>
      </c>
      <c r="AA614" s="40">
        <f>IF($A614="",0,WEEKDAY($A614))</f>
        <v>4</v>
      </c>
      <c r="AB614" s="36">
        <f>IF(AND($C614="Despesa",U614&gt;0,U614&lt;=Sel_Idx,V614&gt;=Sel_Idx),N(R614)+ROW()/1000000000,0)</f>
        <v>0</v>
      </c>
      <c r="AC614" s="40">
        <f>IF(AND($C614="Despesa",U614&gt;0,U614&lt;=Sel_Idx,V614&gt;=Sel_Idx),Z614*10000+ROW(),0)</f>
        <v>0</v>
      </c>
      <c r="AD614" s="40">
        <f>IF(AC614=0,0,COUNTIFS(L_CalChave,"&gt;0",L_CalChave,"&lt;"&amp;AC614)+1)</f>
        <v>0</v>
      </c>
    </row>
    <row r="615">
      <c r="A615" s="38" t="n">
        <v>46331</v>
      </c>
      <c r="B615" s="39" t="inlineStr">
        <is>
          <t>Pagamento fatura Cartão Roxinho</t>
        </is>
      </c>
      <c r="C615" s="34" t="inlineStr">
        <is>
          <t>Transferência</t>
        </is>
      </c>
      <c r="D615" s="34" t="n"/>
      <c r="E615" s="34" t="n"/>
      <c r="F615" s="34" t="inlineStr">
        <is>
          <t>Conta Corrente Banco Azul</t>
        </is>
      </c>
      <c r="G615" s="34" t="inlineStr">
        <is>
          <t>Débito automático</t>
        </is>
      </c>
      <c r="H615" s="37" t="n"/>
      <c r="I615" s="37" t="n"/>
      <c r="J615" s="34" t="inlineStr">
        <is>
          <t>Agendado</t>
        </is>
      </c>
      <c r="K615" s="34" t="n"/>
      <c r="L615" s="34" t="n"/>
      <c r="M615" s="39" t="inlineStr">
        <is>
          <t>EXEMPLO</t>
        </is>
      </c>
      <c r="N615" s="35" t="n">
        <v>-1605.64</v>
      </c>
      <c r="O615" s="40">
        <f>IF($A615="","",MONTH($A615))</f>
        <v>11</v>
      </c>
      <c r="P615" s="40">
        <f>IF($A615="","",YEAR($A615))</f>
        <v>2026</v>
      </c>
      <c r="Q615" s="41">
        <f>IF($A615="","",DATE(P615,O615,1))</f>
        <v>46327.0</v>
      </c>
      <c r="R615" s="36">
        <f>IF(OR($A615="",$N615=""),"",IF(AND($C615&lt;&gt;"Transferência",N($I615)&gt;1),$N615/$I615,$N615))</f>
        <v>-1605.64</v>
      </c>
      <c r="S615" s="41" t="str">
        <f>IF(OR($A615="",$F615="",$C615&lt;&gt;"Despesa"),"",IF(COUNTIF(Cartoes_Nome,$F615)=0,"",DATE(P615,O615+IF(DAY($A615)&gt;=INDEX(Cartoes_Fech,MATCH($F615,Cartoes_Nome,0)),1,0),1)))</f>
        <v/>
      </c>
      <c r="T615" s="42" t="str">
        <f>IF($A615="","",IF(COUNTIFS(L_Data,$A615,L_Desc,$B615,L_Valor,$N615,L_Tipo,$C615)&gt;1,"⚠ Possível duplicidade",IF(OR(AND($C615="Despesa",COUNTIF(CatD_Nome,$D615)=0),AND($C615="Receita",COUNTIF(CatR_Nome,$D615)=0)),"⚠ Categoria não combina com o tipo",IF(OR($N615="",$C615=""),"⚠ Falta valor ou tipo",""))))</f>
        <v/>
      </c>
      <c r="U615" s="40">
        <f>IF($A615="",0,P615*12+O615)</f>
        <v>24323</v>
      </c>
      <c r="V615" s="40">
        <f>IF($A615="",0,U615+MAX(0,N($I615)-MAX(N($H615),1)))</f>
        <v>24323</v>
      </c>
      <c r="W615" s="40">
        <f>IF(S615="",0,YEAR(S615)*12+MONTH(S615))</f>
        <v>0</v>
      </c>
      <c r="X615" s="40">
        <f>IF(W615=0,0,W615+V615-U615)</f>
        <v>0</v>
      </c>
      <c r="Y615" s="36">
        <f>IF(W615=0,0,N(R615)*MAX(0,X615-MAX(W615,YEAR(Cfg_Hoje)*12+MONTH(Cfg_Hoje)+IF(DAY(Cfg_Hoje)&gt;=INDEX(Cartoes_Fech,MATCH($F615,Cartoes_Nome,0)),1,0))+1))</f>
        <v>0</v>
      </c>
      <c r="Z615" s="40">
        <f>IF($A615="",0,DAY($A615))</f>
        <v>5</v>
      </c>
      <c r="AA615" s="40">
        <f>IF($A615="",0,WEEKDAY($A615))</f>
        <v>5</v>
      </c>
      <c r="AB615" s="36">
        <f>IF(AND($C615="Despesa",U615&gt;0,U615&lt;=Sel_Idx,V615&gt;=Sel_Idx),N(R615)+ROW()/1000000000,0)</f>
        <v>0</v>
      </c>
      <c r="AC615" s="40">
        <f>IF(AND($C615="Despesa",U615&gt;0,U615&lt;=Sel_Idx,V615&gt;=Sel_Idx),Z615*10000+ROW(),0)</f>
        <v>0</v>
      </c>
      <c r="AD615" s="40">
        <f>IF(AC615=0,0,COUNTIFS(L_CalChave,"&gt;0",L_CalChave,"&lt;"&amp;AC615)+1)</f>
        <v>0</v>
      </c>
    </row>
    <row r="616">
      <c r="A616" s="38" t="n">
        <v>46336</v>
      </c>
      <c r="B616" s="39" t="inlineStr">
        <is>
          <t>Aporte extra - 13º (previsto)</t>
        </is>
      </c>
      <c r="C616" s="34" t="inlineStr">
        <is>
          <t>Investimento</t>
        </is>
      </c>
      <c r="D616" s="34" t="inlineStr">
        <is>
          <t>Investimento</t>
        </is>
      </c>
      <c r="E616" s="34" t="n"/>
      <c r="F616" s="34" t="inlineStr">
        <is>
          <t>Conta Corrente Banco Azul</t>
        </is>
      </c>
      <c r="G616" s="34" t="inlineStr">
        <is>
          <t>Transferência</t>
        </is>
      </c>
      <c r="H616" s="37" t="n"/>
      <c r="I616" s="37" t="n"/>
      <c r="J616" s="34" t="inlineStr">
        <is>
          <t>Agendado</t>
        </is>
      </c>
      <c r="K616" s="34" t="n"/>
      <c r="L616" s="34" t="inlineStr">
        <is>
          <t>MBA</t>
        </is>
      </c>
      <c r="M616" s="39" t="inlineStr">
        <is>
          <t>EXEMPLO</t>
        </is>
      </c>
      <c r="N616" s="35" t="n">
        <v>1500</v>
      </c>
      <c r="O616" s="40">
        <f>IF($A616="","",MONTH($A616))</f>
        <v>11</v>
      </c>
      <c r="P616" s="40">
        <f>IF($A616="","",YEAR($A616))</f>
        <v>2026</v>
      </c>
      <c r="Q616" s="41">
        <f>IF($A616="","",DATE(P616,O616,1))</f>
        <v>46327.0</v>
      </c>
      <c r="R616" s="36">
        <f>IF(OR($A616="",$N616=""),"",IF(AND($C616&lt;&gt;"Transferência",N($I616)&gt;1),$N616/$I616,$N616))</f>
        <v>1500</v>
      </c>
      <c r="S616" s="41" t="str">
        <f>IF(OR($A616="",$F616="",$C616&lt;&gt;"Despesa"),"",IF(COUNTIF(Cartoes_Nome,$F616)=0,"",DATE(P616,O616+IF(DAY($A616)&gt;=INDEX(Cartoes_Fech,MATCH($F616,Cartoes_Nome,0)),1,0),1)))</f>
        <v/>
      </c>
      <c r="T616" s="42" t="str">
        <f>IF($A616="","",IF(COUNTIFS(L_Data,$A616,L_Desc,$B616,L_Valor,$N616,L_Tipo,$C616)&gt;1,"⚠ Possível duplicidade",IF(OR(AND($C616="Despesa",COUNTIF(CatD_Nome,$D616)=0),AND($C616="Receita",COUNTIF(CatR_Nome,$D616)=0)),"⚠ Categoria não combina com o tipo",IF(OR($N616="",$C616=""),"⚠ Falta valor ou tipo",""))))</f>
        <v/>
      </c>
      <c r="U616" s="40">
        <f>IF($A616="",0,P616*12+O616)</f>
        <v>24323</v>
      </c>
      <c r="V616" s="40">
        <f>IF($A616="",0,U616+MAX(0,N($I616)-MAX(N($H616),1)))</f>
        <v>24323</v>
      </c>
      <c r="W616" s="40">
        <f>IF(S616="",0,YEAR(S616)*12+MONTH(S616))</f>
        <v>0</v>
      </c>
      <c r="X616" s="40">
        <f>IF(W616=0,0,W616+V616-U616)</f>
        <v>0</v>
      </c>
      <c r="Y616" s="36">
        <f>IF(W616=0,0,N(R616)*MAX(0,X616-MAX(W616,YEAR(Cfg_Hoje)*12+MONTH(Cfg_Hoje)+IF(DAY(Cfg_Hoje)&gt;=INDEX(Cartoes_Fech,MATCH($F616,Cartoes_Nome,0)),1,0))+1))</f>
        <v>0</v>
      </c>
      <c r="Z616" s="40">
        <f>IF($A616="",0,DAY($A616))</f>
        <v>10</v>
      </c>
      <c r="AA616" s="40">
        <f>IF($A616="",0,WEEKDAY($A616))</f>
        <v>3</v>
      </c>
      <c r="AB616" s="36">
        <f>IF(AND($C616="Despesa",U616&gt;0,U616&lt;=Sel_Idx,V616&gt;=Sel_Idx),N(R616)+ROW()/1000000000,0)</f>
        <v>0</v>
      </c>
      <c r="AC616" s="40">
        <f>IF(AND($C616="Despesa",U616&gt;0,U616&lt;=Sel_Idx,V616&gt;=Sel_Idx),Z616*10000+ROW(),0)</f>
        <v>0</v>
      </c>
      <c r="AD616" s="40">
        <f>IF(AC616=0,0,COUNTIFS(L_CalChave,"&gt;0",L_CalChave,"&lt;"&amp;AC616)+1)</f>
        <v>0</v>
      </c>
    </row>
    <row r="617">
      <c r="A617" s="38" t="n">
        <v>46343</v>
      </c>
      <c r="B617" s="39" t="inlineStr">
        <is>
          <t>Pagamento fatura Cartão Azul Gold</t>
        </is>
      </c>
      <c r="C617" s="34" t="inlineStr">
        <is>
          <t>Transferência</t>
        </is>
      </c>
      <c r="D617" s="34" t="n"/>
      <c r="E617" s="34" t="n"/>
      <c r="F617" s="34" t="inlineStr">
        <is>
          <t>Conta Corrente Banco Azul</t>
        </is>
      </c>
      <c r="G617" s="34" t="inlineStr">
        <is>
          <t>Débito automático</t>
        </is>
      </c>
      <c r="H617" s="37" t="n"/>
      <c r="I617" s="37" t="n"/>
      <c r="J617" s="34" t="inlineStr">
        <is>
          <t>Agendado</t>
        </is>
      </c>
      <c r="K617" s="34" t="n"/>
      <c r="L617" s="34" t="n"/>
      <c r="M617" s="39" t="inlineStr">
        <is>
          <t>EXEMPLO</t>
        </is>
      </c>
      <c r="N617" s="35" t="n">
        <v>-214.9</v>
      </c>
      <c r="O617" s="40">
        <f>IF($A617="","",MONTH($A617))</f>
        <v>11</v>
      </c>
      <c r="P617" s="40">
        <f>IF($A617="","",YEAR($A617))</f>
        <v>2026</v>
      </c>
      <c r="Q617" s="41">
        <f>IF($A617="","",DATE(P617,O617,1))</f>
        <v>46327.0</v>
      </c>
      <c r="R617" s="36">
        <f>IF(OR($A617="",$N617=""),"",IF(AND($C617&lt;&gt;"Transferência",N($I617)&gt;1),$N617/$I617,$N617))</f>
        <v>-214.9</v>
      </c>
      <c r="S617" s="41" t="str">
        <f>IF(OR($A617="",$F617="",$C617&lt;&gt;"Despesa"),"",IF(COUNTIF(Cartoes_Nome,$F617)=0,"",DATE(P617,O617+IF(DAY($A617)&gt;=INDEX(Cartoes_Fech,MATCH($F617,Cartoes_Nome,0)),1,0),1)))</f>
        <v/>
      </c>
      <c r="T617" s="42" t="str">
        <f>IF($A617="","",IF(COUNTIFS(L_Data,$A617,L_Desc,$B617,L_Valor,$N617,L_Tipo,$C617)&gt;1,"⚠ Possível duplicidade",IF(OR(AND($C617="Despesa",COUNTIF(CatD_Nome,$D617)=0),AND($C617="Receita",COUNTIF(CatR_Nome,$D617)=0)),"⚠ Categoria não combina com o tipo",IF(OR($N617="",$C617=""),"⚠ Falta valor ou tipo",""))))</f>
        <v/>
      </c>
      <c r="U617" s="40">
        <f>IF($A617="",0,P617*12+O617)</f>
        <v>24323</v>
      </c>
      <c r="V617" s="40">
        <f>IF($A617="",0,U617+MAX(0,N($I617)-MAX(N($H617),1)))</f>
        <v>24323</v>
      </c>
      <c r="W617" s="40">
        <f>IF(S617="",0,YEAR(S617)*12+MONTH(S617))</f>
        <v>0</v>
      </c>
      <c r="X617" s="40">
        <f>IF(W617=0,0,W617+V617-U617)</f>
        <v>0</v>
      </c>
      <c r="Y617" s="36">
        <f>IF(W617=0,0,N(R617)*MAX(0,X617-MAX(W617,YEAR(Cfg_Hoje)*12+MONTH(Cfg_Hoje)+IF(DAY(Cfg_Hoje)&gt;=INDEX(Cartoes_Fech,MATCH($F617,Cartoes_Nome,0)),1,0))+1))</f>
        <v>0</v>
      </c>
      <c r="Z617" s="40">
        <f>IF($A617="",0,DAY($A617))</f>
        <v>17</v>
      </c>
      <c r="AA617" s="40">
        <f>IF($A617="",0,WEEKDAY($A617))</f>
        <v>3</v>
      </c>
      <c r="AB617" s="36">
        <f>IF(AND($C617="Despesa",U617&gt;0,U617&lt;=Sel_Idx,V617&gt;=Sel_Idx),N(R617)+ROW()/1000000000,0)</f>
        <v>0</v>
      </c>
      <c r="AC617" s="40">
        <f>IF(AND($C617="Despesa",U617&gt;0,U617&lt;=Sel_Idx,V617&gt;=Sel_Idx),Z617*10000+ROW(),0)</f>
        <v>0</v>
      </c>
      <c r="AD617" s="40">
        <f>IF(AC617=0,0,COUNTIFS(L_CalChave,"&gt;0",L_CalChave,"&lt;"&amp;AC617)+1)</f>
        <v>0</v>
      </c>
    </row>
    <row r="618">
      <c r="A618" s="38" t="n">
        <v>46361</v>
      </c>
      <c r="B618" s="39" t="inlineStr">
        <is>
          <t>Pagamento fatura Cartão Roxinho</t>
        </is>
      </c>
      <c r="C618" s="34" t="inlineStr">
        <is>
          <t>Transferência</t>
        </is>
      </c>
      <c r="D618" s="34" t="n"/>
      <c r="E618" s="34" t="n"/>
      <c r="F618" s="34" t="inlineStr">
        <is>
          <t>Conta Corrente Banco Azul</t>
        </is>
      </c>
      <c r="G618" s="34" t="inlineStr">
        <is>
          <t>Débito automático</t>
        </is>
      </c>
      <c r="H618" s="37" t="n"/>
      <c r="I618" s="37" t="n"/>
      <c r="J618" s="34" t="inlineStr">
        <is>
          <t>Agendado</t>
        </is>
      </c>
      <c r="K618" s="34" t="n"/>
      <c r="L618" s="34" t="n"/>
      <c r="M618" s="39" t="inlineStr">
        <is>
          <t>EXEMPLO</t>
        </is>
      </c>
      <c r="N618" s="35" t="n">
        <v>-750</v>
      </c>
      <c r="O618" s="40">
        <f>IF($A618="","",MONTH($A618))</f>
        <v>12</v>
      </c>
      <c r="P618" s="40">
        <f>IF($A618="","",YEAR($A618))</f>
        <v>2026</v>
      </c>
      <c r="Q618" s="41">
        <f>IF($A618="","",DATE(P618,O618,1))</f>
        <v>46357.0</v>
      </c>
      <c r="R618" s="36">
        <f>IF(OR($A618="",$N618=""),"",IF(AND($C618&lt;&gt;"Transferência",N($I618)&gt;1),$N618/$I618,$N618))</f>
        <v>-750</v>
      </c>
      <c r="S618" s="41" t="str">
        <f>IF(OR($A618="",$F618="",$C618&lt;&gt;"Despesa"),"",IF(COUNTIF(Cartoes_Nome,$F618)=0,"",DATE(P618,O618+IF(DAY($A618)&gt;=INDEX(Cartoes_Fech,MATCH($F618,Cartoes_Nome,0)),1,0),1)))</f>
        <v/>
      </c>
      <c r="T618" s="42" t="str">
        <f>IF($A618="","",IF(COUNTIFS(L_Data,$A618,L_Desc,$B618,L_Valor,$N618,L_Tipo,$C618)&gt;1,"⚠ Possível duplicidade",IF(OR(AND($C618="Despesa",COUNTIF(CatD_Nome,$D618)=0),AND($C618="Receita",COUNTIF(CatR_Nome,$D618)=0)),"⚠ Categoria não combina com o tipo",IF(OR($N618="",$C618=""),"⚠ Falta valor ou tipo",""))))</f>
        <v/>
      </c>
      <c r="U618" s="40">
        <f>IF($A618="",0,P618*12+O618)</f>
        <v>24324</v>
      </c>
      <c r="V618" s="40">
        <f>IF($A618="",0,U618+MAX(0,N($I618)-MAX(N($H618),1)))</f>
        <v>24324</v>
      </c>
      <c r="W618" s="40">
        <f>IF(S618="",0,YEAR(S618)*12+MONTH(S618))</f>
        <v>0</v>
      </c>
      <c r="X618" s="40">
        <f>IF(W618=0,0,W618+V618-U618)</f>
        <v>0</v>
      </c>
      <c r="Y618" s="36">
        <f>IF(W618=0,0,N(R618)*MAX(0,X618-MAX(W618,YEAR(Cfg_Hoje)*12+MONTH(Cfg_Hoje)+IF(DAY(Cfg_Hoje)&gt;=INDEX(Cartoes_Fech,MATCH($F618,Cartoes_Nome,0)),1,0))+1))</f>
        <v>0</v>
      </c>
      <c r="Z618" s="40">
        <f>IF($A618="",0,DAY($A618))</f>
        <v>5</v>
      </c>
      <c r="AA618" s="40">
        <f>IF($A618="",0,WEEKDAY($A618))</f>
        <v>7</v>
      </c>
      <c r="AB618" s="36">
        <f>IF(AND($C618="Despesa",U618&gt;0,U618&lt;=Sel_Idx,V618&gt;=Sel_Idx),N(R618)+ROW()/1000000000,0)</f>
        <v>0</v>
      </c>
      <c r="AC618" s="40">
        <f>IF(AND($C618="Despesa",U618&gt;0,U618&lt;=Sel_Idx,V618&gt;=Sel_Idx),Z618*10000+ROW(),0)</f>
        <v>0</v>
      </c>
      <c r="AD618" s="40">
        <f>IF(AC618=0,0,COUNTIFS(L_CalChave,"&gt;0",L_CalChave,"&lt;"&amp;AC618)+1)</f>
        <v>0</v>
      </c>
    </row>
    <row r="619">
      <c r="A619" s="38" t="n">
        <v>46373</v>
      </c>
      <c r="B619" s="39" t="inlineStr">
        <is>
          <t>Pagamento fatura Cartão Azul Gold</t>
        </is>
      </c>
      <c r="C619" s="34" t="inlineStr">
        <is>
          <t>Transferência</t>
        </is>
      </c>
      <c r="D619" s="34" t="n"/>
      <c r="E619" s="34" t="n"/>
      <c r="F619" s="34" t="inlineStr">
        <is>
          <t>Conta Corrente Banco Azul</t>
        </is>
      </c>
      <c r="G619" s="34" t="inlineStr">
        <is>
          <t>Débito automático</t>
        </is>
      </c>
      <c r="H619" s="37" t="n"/>
      <c r="I619" s="37" t="n"/>
      <c r="J619" s="34" t="inlineStr">
        <is>
          <t>Agendado</t>
        </is>
      </c>
      <c r="K619" s="34" t="n"/>
      <c r="L619" s="34" t="n"/>
      <c r="M619" s="39" t="inlineStr">
        <is>
          <t>EXEMPLO</t>
        </is>
      </c>
      <c r="N619" s="35" t="n">
        <v>-200</v>
      </c>
      <c r="O619" s="40">
        <f>IF($A619="","",MONTH($A619))</f>
        <v>12</v>
      </c>
      <c r="P619" s="40">
        <f>IF($A619="","",YEAR($A619))</f>
        <v>2026</v>
      </c>
      <c r="Q619" s="41">
        <f>IF($A619="","",DATE(P619,O619,1))</f>
        <v>46357.0</v>
      </c>
      <c r="R619" s="36">
        <f>IF(OR($A619="",$N619=""),"",IF(AND($C619&lt;&gt;"Transferência",N($I619)&gt;1),$N619/$I619,$N619))</f>
        <v>-200</v>
      </c>
      <c r="S619" s="41" t="str">
        <f>IF(OR($A619="",$F619="",$C619&lt;&gt;"Despesa"),"",IF(COUNTIF(Cartoes_Nome,$F619)=0,"",DATE(P619,O619+IF(DAY($A619)&gt;=INDEX(Cartoes_Fech,MATCH($F619,Cartoes_Nome,0)),1,0),1)))</f>
        <v/>
      </c>
      <c r="T619" s="42" t="str">
        <f>IF($A619="","",IF(COUNTIFS(L_Data,$A619,L_Desc,$B619,L_Valor,$N619,L_Tipo,$C619)&gt;1,"⚠ Possível duplicidade",IF(OR(AND($C619="Despesa",COUNTIF(CatD_Nome,$D619)=0),AND($C619="Receita",COUNTIF(CatR_Nome,$D619)=0)),"⚠ Categoria não combina com o tipo",IF(OR($N619="",$C619=""),"⚠ Falta valor ou tipo",""))))</f>
        <v/>
      </c>
      <c r="U619" s="40">
        <f>IF($A619="",0,P619*12+O619)</f>
        <v>24324</v>
      </c>
      <c r="V619" s="40">
        <f>IF($A619="",0,U619+MAX(0,N($I619)-MAX(N($H619),1)))</f>
        <v>24324</v>
      </c>
      <c r="W619" s="40">
        <f>IF(S619="",0,YEAR(S619)*12+MONTH(S619))</f>
        <v>0</v>
      </c>
      <c r="X619" s="40">
        <f>IF(W619=0,0,W619+V619-U619)</f>
        <v>0</v>
      </c>
      <c r="Y619" s="36">
        <f>IF(W619=0,0,N(R619)*MAX(0,X619-MAX(W619,YEAR(Cfg_Hoje)*12+MONTH(Cfg_Hoje)+IF(DAY(Cfg_Hoje)&gt;=INDEX(Cartoes_Fech,MATCH($F619,Cartoes_Nome,0)),1,0))+1))</f>
        <v>0</v>
      </c>
      <c r="Z619" s="40">
        <f>IF($A619="",0,DAY($A619))</f>
        <v>17</v>
      </c>
      <c r="AA619" s="40">
        <f>IF($A619="",0,WEEKDAY($A619))</f>
        <v>5</v>
      </c>
      <c r="AB619" s="36">
        <f>IF(AND($C619="Despesa",U619&gt;0,U619&lt;=Sel_Idx,V619&gt;=Sel_Idx),N(R619)+ROW()/1000000000,0)</f>
        <v>0</v>
      </c>
      <c r="AC619" s="40">
        <f>IF(AND($C619="Despesa",U619&gt;0,U619&lt;=Sel_Idx,V619&gt;=Sel_Idx),Z619*10000+ROW(),0)</f>
        <v>0</v>
      </c>
      <c r="AD619" s="40">
        <f>IF(AC619=0,0,COUNTIFS(L_CalChave,"&gt;0",L_CalChave,"&lt;"&amp;AC619)+1)</f>
        <v>0</v>
      </c>
    </row>
    <row r="620">
      <c r="A620" s="38" t="n"/>
      <c r="B620" s="39" t="n"/>
      <c r="C620" s="34" t="n"/>
      <c r="D620" s="34" t="n"/>
      <c r="E620" s="34" t="n"/>
      <c r="F620" s="34" t="n"/>
      <c r="G620" s="34" t="n"/>
      <c r="H620" s="37" t="n"/>
      <c r="I620" s="37" t="n"/>
      <c r="J620" s="34" t="n"/>
      <c r="K620" s="34" t="n"/>
      <c r="L620" s="34" t="n"/>
      <c r="M620" s="39" t="n"/>
      <c r="N620" s="35" t="n"/>
      <c r="O620" s="40" t="str">
        <f>IF($A620="","",MONTH($A620))</f>
        <v/>
      </c>
      <c r="P620" s="40" t="str">
        <f>IF($A620="","",YEAR($A620))</f>
        <v/>
      </c>
      <c r="Q620" s="41" t="str">
        <f>IF($A620="","",DATE(P620,O620,1))</f>
        <v/>
      </c>
      <c r="R620" s="36" t="str">
        <f>IF(OR($A620="",$N620=""),"",IF(AND($C620&lt;&gt;"Transferência",N($I620)&gt;1),$N620/$I620,$N620))</f>
        <v/>
      </c>
      <c r="S620" s="41" t="str">
        <f>IF(OR($A620="",$F620="",$C620&lt;&gt;"Despesa"),"",IF(COUNTIF(Cartoes_Nome,$F620)=0,"",DATE(P620,O620+IF(DAY($A620)&gt;=INDEX(Cartoes_Fech,MATCH($F620,Cartoes_Nome,0)),1,0),1)))</f>
        <v/>
      </c>
      <c r="T620" s="42" t="str">
        <f>IF($A620="","",IF(COUNTIFS(L_Data,$A620,L_Desc,$B620,L_Valor,$N620,L_Tipo,$C620)&gt;1,"⚠ Possível duplicidade",IF(OR(AND($C620="Despesa",COUNTIF(CatD_Nome,$D620)=0),AND($C620="Receita",COUNTIF(CatR_Nome,$D620)=0)),"⚠ Categoria não combina com o tipo",IF(OR($N620="",$C620=""),"⚠ Falta valor ou tipo",""))))</f>
        <v/>
      </c>
      <c r="U620" s="40">
        <f>IF($A620="",0,P620*12+O620)</f>
        <v>0</v>
      </c>
      <c r="V620" s="40">
        <f>IF($A620="",0,U620+MAX(0,N($I620)-MAX(N($H620),1)))</f>
        <v>0</v>
      </c>
      <c r="W620" s="40">
        <f>IF(S620="",0,YEAR(S620)*12+MONTH(S620))</f>
        <v>0</v>
      </c>
      <c r="X620" s="40">
        <f>IF(W620=0,0,W620+V620-U620)</f>
        <v>0</v>
      </c>
      <c r="Y620" s="36">
        <f>IF(W620=0,0,N(R620)*MAX(0,X620-MAX(W620,YEAR(Cfg_Hoje)*12+MONTH(Cfg_Hoje)+IF(DAY(Cfg_Hoje)&gt;=INDEX(Cartoes_Fech,MATCH($F620,Cartoes_Nome,0)),1,0))+1))</f>
        <v>0</v>
      </c>
      <c r="Z620" s="40">
        <f>IF($A620="",0,DAY($A620))</f>
        <v>0</v>
      </c>
      <c r="AA620" s="40">
        <f>IF($A620="",0,WEEKDAY($A620))</f>
        <v>0</v>
      </c>
      <c r="AB620" s="36">
        <f>IF(AND($C620="Despesa",U620&gt;0,U620&lt;=Sel_Idx,V620&gt;=Sel_Idx),N(R620)+ROW()/1000000000,0)</f>
        <v>0</v>
      </c>
      <c r="AC620" s="40">
        <f>IF(AND($C620="Despesa",U620&gt;0,U620&lt;=Sel_Idx,V620&gt;=Sel_Idx),Z620*10000+ROW(),0)</f>
        <v>0</v>
      </c>
      <c r="AD620" s="40">
        <f>IF(AC620=0,0,COUNTIFS(L_CalChave,"&gt;0",L_CalChave,"&lt;"&amp;AC620)+1)</f>
        <v>0</v>
      </c>
    </row>
    <row r="621">
      <c r="A621" s="38" t="n"/>
      <c r="B621" s="39" t="n"/>
      <c r="C621" s="34" t="n"/>
      <c r="D621" s="34" t="n"/>
      <c r="E621" s="34" t="n"/>
      <c r="F621" s="34" t="n"/>
      <c r="G621" s="34" t="n"/>
      <c r="H621" s="37" t="n"/>
      <c r="I621" s="37" t="n"/>
      <c r="J621" s="34" t="n"/>
      <c r="K621" s="34" t="n"/>
      <c r="L621" s="34" t="n"/>
      <c r="M621" s="39" t="n"/>
      <c r="N621" s="35" t="n"/>
      <c r="O621" s="40" t="str">
        <f>IF($A621="","",MONTH($A621))</f>
        <v/>
      </c>
      <c r="P621" s="40" t="str">
        <f>IF($A621="","",YEAR($A621))</f>
        <v/>
      </c>
      <c r="Q621" s="41" t="str">
        <f>IF($A621="","",DATE(P621,O621,1))</f>
        <v/>
      </c>
      <c r="R621" s="36" t="str">
        <f>IF(OR($A621="",$N621=""),"",IF(AND($C621&lt;&gt;"Transferência",N($I621)&gt;1),$N621/$I621,$N621))</f>
        <v/>
      </c>
      <c r="S621" s="41" t="str">
        <f>IF(OR($A621="",$F621="",$C621&lt;&gt;"Despesa"),"",IF(COUNTIF(Cartoes_Nome,$F621)=0,"",DATE(P621,O621+IF(DAY($A621)&gt;=INDEX(Cartoes_Fech,MATCH($F621,Cartoes_Nome,0)),1,0),1)))</f>
        <v/>
      </c>
      <c r="T621" s="42" t="str">
        <f>IF($A621="","",IF(COUNTIFS(L_Data,$A621,L_Desc,$B621,L_Valor,$N621,L_Tipo,$C621)&gt;1,"⚠ Possível duplicidade",IF(OR(AND($C621="Despesa",COUNTIF(CatD_Nome,$D621)=0),AND($C621="Receita",COUNTIF(CatR_Nome,$D621)=0)),"⚠ Categoria não combina com o tipo",IF(OR($N621="",$C621=""),"⚠ Falta valor ou tipo",""))))</f>
        <v/>
      </c>
      <c r="U621" s="40">
        <f>IF($A621="",0,P621*12+O621)</f>
        <v>0</v>
      </c>
      <c r="V621" s="40">
        <f>IF($A621="",0,U621+MAX(0,N($I621)-MAX(N($H621),1)))</f>
        <v>0</v>
      </c>
      <c r="W621" s="40">
        <f>IF(S621="",0,YEAR(S621)*12+MONTH(S621))</f>
        <v>0</v>
      </c>
      <c r="X621" s="40">
        <f>IF(W621=0,0,W621+V621-U621)</f>
        <v>0</v>
      </c>
      <c r="Y621" s="36">
        <f>IF(W621=0,0,N(R621)*MAX(0,X621-MAX(W621,YEAR(Cfg_Hoje)*12+MONTH(Cfg_Hoje)+IF(DAY(Cfg_Hoje)&gt;=INDEX(Cartoes_Fech,MATCH($F621,Cartoes_Nome,0)),1,0))+1))</f>
        <v>0</v>
      </c>
      <c r="Z621" s="40">
        <f>IF($A621="",0,DAY($A621))</f>
        <v>0</v>
      </c>
      <c r="AA621" s="40">
        <f>IF($A621="",0,WEEKDAY($A621))</f>
        <v>0</v>
      </c>
      <c r="AB621" s="36">
        <f>IF(AND($C621="Despesa",U621&gt;0,U621&lt;=Sel_Idx,V621&gt;=Sel_Idx),N(R621)+ROW()/1000000000,0)</f>
        <v>0</v>
      </c>
      <c r="AC621" s="40">
        <f>IF(AND($C621="Despesa",U621&gt;0,U621&lt;=Sel_Idx,V621&gt;=Sel_Idx),Z621*10000+ROW(),0)</f>
        <v>0</v>
      </c>
      <c r="AD621" s="40">
        <f>IF(AC621=0,0,COUNTIFS(L_CalChave,"&gt;0",L_CalChave,"&lt;"&amp;AC621)+1)</f>
        <v>0</v>
      </c>
    </row>
    <row r="622">
      <c r="A622" s="38" t="n"/>
      <c r="B622" s="39" t="n"/>
      <c r="C622" s="34" t="n"/>
      <c r="D622" s="34" t="n"/>
      <c r="E622" s="34" t="n"/>
      <c r="F622" s="34" t="n"/>
      <c r="G622" s="34" t="n"/>
      <c r="H622" s="37" t="n"/>
      <c r="I622" s="37" t="n"/>
      <c r="J622" s="34" t="n"/>
      <c r="K622" s="34" t="n"/>
      <c r="L622" s="34" t="n"/>
      <c r="M622" s="39" t="n"/>
      <c r="N622" s="35" t="n"/>
      <c r="O622" s="40" t="str">
        <f>IF($A622="","",MONTH($A622))</f>
        <v/>
      </c>
      <c r="P622" s="40" t="str">
        <f>IF($A622="","",YEAR($A622))</f>
        <v/>
      </c>
      <c r="Q622" s="41" t="str">
        <f>IF($A622="","",DATE(P622,O622,1))</f>
        <v/>
      </c>
      <c r="R622" s="36" t="str">
        <f>IF(OR($A622="",$N622=""),"",IF(AND($C622&lt;&gt;"Transferência",N($I622)&gt;1),$N622/$I622,$N622))</f>
        <v/>
      </c>
      <c r="S622" s="41" t="str">
        <f>IF(OR($A622="",$F622="",$C622&lt;&gt;"Despesa"),"",IF(COUNTIF(Cartoes_Nome,$F622)=0,"",DATE(P622,O622+IF(DAY($A622)&gt;=INDEX(Cartoes_Fech,MATCH($F622,Cartoes_Nome,0)),1,0),1)))</f>
        <v/>
      </c>
      <c r="T622" s="42" t="str">
        <f>IF($A622="","",IF(COUNTIFS(L_Data,$A622,L_Desc,$B622,L_Valor,$N622,L_Tipo,$C622)&gt;1,"⚠ Possível duplicidade",IF(OR(AND($C622="Despesa",COUNTIF(CatD_Nome,$D622)=0),AND($C622="Receita",COUNTIF(CatR_Nome,$D622)=0)),"⚠ Categoria não combina com o tipo",IF(OR($N622="",$C622=""),"⚠ Falta valor ou tipo",""))))</f>
        <v/>
      </c>
      <c r="U622" s="40">
        <f>IF($A622="",0,P622*12+O622)</f>
        <v>0</v>
      </c>
      <c r="V622" s="40">
        <f>IF($A622="",0,U622+MAX(0,N($I622)-MAX(N($H622),1)))</f>
        <v>0</v>
      </c>
      <c r="W622" s="40">
        <f>IF(S622="",0,YEAR(S622)*12+MONTH(S622))</f>
        <v>0</v>
      </c>
      <c r="X622" s="40">
        <f>IF(W622=0,0,W622+V622-U622)</f>
        <v>0</v>
      </c>
      <c r="Y622" s="36">
        <f>IF(W622=0,0,N(R622)*MAX(0,X622-MAX(W622,YEAR(Cfg_Hoje)*12+MONTH(Cfg_Hoje)+IF(DAY(Cfg_Hoje)&gt;=INDEX(Cartoes_Fech,MATCH($F622,Cartoes_Nome,0)),1,0))+1))</f>
        <v>0</v>
      </c>
      <c r="Z622" s="40">
        <f>IF($A622="",0,DAY($A622))</f>
        <v>0</v>
      </c>
      <c r="AA622" s="40">
        <f>IF($A622="",0,WEEKDAY($A622))</f>
        <v>0</v>
      </c>
      <c r="AB622" s="36">
        <f>IF(AND($C622="Despesa",U622&gt;0,U622&lt;=Sel_Idx,V622&gt;=Sel_Idx),N(R622)+ROW()/1000000000,0)</f>
        <v>0</v>
      </c>
      <c r="AC622" s="40">
        <f>IF(AND($C622="Despesa",U622&gt;0,U622&lt;=Sel_Idx,V622&gt;=Sel_Idx),Z622*10000+ROW(),0)</f>
        <v>0</v>
      </c>
      <c r="AD622" s="40">
        <f>IF(AC622=0,0,COUNTIFS(L_CalChave,"&gt;0",L_CalChave,"&lt;"&amp;AC622)+1)</f>
        <v>0</v>
      </c>
    </row>
    <row r="623">
      <c r="A623" s="38" t="n"/>
      <c r="B623" s="39" t="n"/>
      <c r="C623" s="34" t="n"/>
      <c r="D623" s="34" t="n"/>
      <c r="E623" s="34" t="n"/>
      <c r="F623" s="34" t="n"/>
      <c r="G623" s="34" t="n"/>
      <c r="H623" s="37" t="n"/>
      <c r="I623" s="37" t="n"/>
      <c r="J623" s="34" t="n"/>
      <c r="K623" s="34" t="n"/>
      <c r="L623" s="34" t="n"/>
      <c r="M623" s="39" t="n"/>
      <c r="N623" s="35" t="n"/>
      <c r="O623" s="40" t="str">
        <f>IF($A623="","",MONTH($A623))</f>
        <v/>
      </c>
      <c r="P623" s="40" t="str">
        <f>IF($A623="","",YEAR($A623))</f>
        <v/>
      </c>
      <c r="Q623" s="41" t="str">
        <f>IF($A623="","",DATE(P623,O623,1))</f>
        <v/>
      </c>
      <c r="R623" s="36" t="str">
        <f>IF(OR($A623="",$N623=""),"",IF(AND($C623&lt;&gt;"Transferência",N($I623)&gt;1),$N623/$I623,$N623))</f>
        <v/>
      </c>
      <c r="S623" s="41" t="str">
        <f>IF(OR($A623="",$F623="",$C623&lt;&gt;"Despesa"),"",IF(COUNTIF(Cartoes_Nome,$F623)=0,"",DATE(P623,O623+IF(DAY($A623)&gt;=INDEX(Cartoes_Fech,MATCH($F623,Cartoes_Nome,0)),1,0),1)))</f>
        <v/>
      </c>
      <c r="T623" s="42" t="str">
        <f>IF($A623="","",IF(COUNTIFS(L_Data,$A623,L_Desc,$B623,L_Valor,$N623,L_Tipo,$C623)&gt;1,"⚠ Possível duplicidade",IF(OR(AND($C623="Despesa",COUNTIF(CatD_Nome,$D623)=0),AND($C623="Receita",COUNTIF(CatR_Nome,$D623)=0)),"⚠ Categoria não combina com o tipo",IF(OR($N623="",$C623=""),"⚠ Falta valor ou tipo",""))))</f>
        <v/>
      </c>
      <c r="U623" s="40">
        <f>IF($A623="",0,P623*12+O623)</f>
        <v>0</v>
      </c>
      <c r="V623" s="40">
        <f>IF($A623="",0,U623+MAX(0,N($I623)-MAX(N($H623),1)))</f>
        <v>0</v>
      </c>
      <c r="W623" s="40">
        <f>IF(S623="",0,YEAR(S623)*12+MONTH(S623))</f>
        <v>0</v>
      </c>
      <c r="X623" s="40">
        <f>IF(W623=0,0,W623+V623-U623)</f>
        <v>0</v>
      </c>
      <c r="Y623" s="36">
        <f>IF(W623=0,0,N(R623)*MAX(0,X623-MAX(W623,YEAR(Cfg_Hoje)*12+MONTH(Cfg_Hoje)+IF(DAY(Cfg_Hoje)&gt;=INDEX(Cartoes_Fech,MATCH($F623,Cartoes_Nome,0)),1,0))+1))</f>
        <v>0</v>
      </c>
      <c r="Z623" s="40">
        <f>IF($A623="",0,DAY($A623))</f>
        <v>0</v>
      </c>
      <c r="AA623" s="40">
        <f>IF($A623="",0,WEEKDAY($A623))</f>
        <v>0</v>
      </c>
      <c r="AB623" s="36">
        <f>IF(AND($C623="Despesa",U623&gt;0,U623&lt;=Sel_Idx,V623&gt;=Sel_Idx),N(R623)+ROW()/1000000000,0)</f>
        <v>0</v>
      </c>
      <c r="AC623" s="40">
        <f>IF(AND($C623="Despesa",U623&gt;0,U623&lt;=Sel_Idx,V623&gt;=Sel_Idx),Z623*10000+ROW(),0)</f>
        <v>0</v>
      </c>
      <c r="AD623" s="40">
        <f>IF(AC623=0,0,COUNTIFS(L_CalChave,"&gt;0",L_CalChave,"&lt;"&amp;AC623)+1)</f>
        <v>0</v>
      </c>
    </row>
    <row r="624">
      <c r="A624" s="38" t="n"/>
      <c r="B624" s="39" t="n"/>
      <c r="C624" s="34" t="n"/>
      <c r="D624" s="34" t="n"/>
      <c r="E624" s="34" t="n"/>
      <c r="F624" s="34" t="n"/>
      <c r="G624" s="34" t="n"/>
      <c r="H624" s="37" t="n"/>
      <c r="I624" s="37" t="n"/>
      <c r="J624" s="34" t="n"/>
      <c r="K624" s="34" t="n"/>
      <c r="L624" s="34" t="n"/>
      <c r="M624" s="39" t="n"/>
      <c r="N624" s="35" t="n"/>
      <c r="O624" s="40" t="str">
        <f>IF($A624="","",MONTH($A624))</f>
        <v/>
      </c>
      <c r="P624" s="40" t="str">
        <f>IF($A624="","",YEAR($A624))</f>
        <v/>
      </c>
      <c r="Q624" s="41" t="str">
        <f>IF($A624="","",DATE(P624,O624,1))</f>
        <v/>
      </c>
      <c r="R624" s="36" t="str">
        <f>IF(OR($A624="",$N624=""),"",IF(AND($C624&lt;&gt;"Transferência",N($I624)&gt;1),$N624/$I624,$N624))</f>
        <v/>
      </c>
      <c r="S624" s="41" t="str">
        <f>IF(OR($A624="",$F624="",$C624&lt;&gt;"Despesa"),"",IF(COUNTIF(Cartoes_Nome,$F624)=0,"",DATE(P624,O624+IF(DAY($A624)&gt;=INDEX(Cartoes_Fech,MATCH($F624,Cartoes_Nome,0)),1,0),1)))</f>
        <v/>
      </c>
      <c r="T624" s="42" t="str">
        <f>IF($A624="","",IF(COUNTIFS(L_Data,$A624,L_Desc,$B624,L_Valor,$N624,L_Tipo,$C624)&gt;1,"⚠ Possível duplicidade",IF(OR(AND($C624="Despesa",COUNTIF(CatD_Nome,$D624)=0),AND($C624="Receita",COUNTIF(CatR_Nome,$D624)=0)),"⚠ Categoria não combina com o tipo",IF(OR($N624="",$C624=""),"⚠ Falta valor ou tipo",""))))</f>
        <v/>
      </c>
      <c r="U624" s="40">
        <f>IF($A624="",0,P624*12+O624)</f>
        <v>0</v>
      </c>
      <c r="V624" s="40">
        <f>IF($A624="",0,U624+MAX(0,N($I624)-MAX(N($H624),1)))</f>
        <v>0</v>
      </c>
      <c r="W624" s="40">
        <f>IF(S624="",0,YEAR(S624)*12+MONTH(S624))</f>
        <v>0</v>
      </c>
      <c r="X624" s="40">
        <f>IF(W624=0,0,W624+V624-U624)</f>
        <v>0</v>
      </c>
      <c r="Y624" s="36">
        <f>IF(W624=0,0,N(R624)*MAX(0,X624-MAX(W624,YEAR(Cfg_Hoje)*12+MONTH(Cfg_Hoje)+IF(DAY(Cfg_Hoje)&gt;=INDEX(Cartoes_Fech,MATCH($F624,Cartoes_Nome,0)),1,0))+1))</f>
        <v>0</v>
      </c>
      <c r="Z624" s="40">
        <f>IF($A624="",0,DAY($A624))</f>
        <v>0</v>
      </c>
      <c r="AA624" s="40">
        <f>IF($A624="",0,WEEKDAY($A624))</f>
        <v>0</v>
      </c>
      <c r="AB624" s="36">
        <f>IF(AND($C624="Despesa",U624&gt;0,U624&lt;=Sel_Idx,V624&gt;=Sel_Idx),N(R624)+ROW()/1000000000,0)</f>
        <v>0</v>
      </c>
      <c r="AC624" s="40">
        <f>IF(AND($C624="Despesa",U624&gt;0,U624&lt;=Sel_Idx,V624&gt;=Sel_Idx),Z624*10000+ROW(),0)</f>
        <v>0</v>
      </c>
      <c r="AD624" s="40">
        <f>IF(AC624=0,0,COUNTIFS(L_CalChave,"&gt;0",L_CalChave,"&lt;"&amp;AC624)+1)</f>
        <v>0</v>
      </c>
    </row>
    <row r="625">
      <c r="A625" s="38" t="n"/>
      <c r="B625" s="39" t="n"/>
      <c r="C625" s="34" t="n"/>
      <c r="D625" s="34" t="n"/>
      <c r="E625" s="34" t="n"/>
      <c r="F625" s="34" t="n"/>
      <c r="G625" s="34" t="n"/>
      <c r="H625" s="37" t="n"/>
      <c r="I625" s="37" t="n"/>
      <c r="J625" s="34" t="n"/>
      <c r="K625" s="34" t="n"/>
      <c r="L625" s="34" t="n"/>
      <c r="M625" s="39" t="n"/>
      <c r="N625" s="35" t="n"/>
      <c r="O625" s="40" t="str">
        <f>IF($A625="","",MONTH($A625))</f>
        <v/>
      </c>
      <c r="P625" s="40" t="str">
        <f>IF($A625="","",YEAR($A625))</f>
        <v/>
      </c>
      <c r="Q625" s="41" t="str">
        <f>IF($A625="","",DATE(P625,O625,1))</f>
        <v/>
      </c>
      <c r="R625" s="36" t="str">
        <f>IF(OR($A625="",$N625=""),"",IF(AND($C625&lt;&gt;"Transferência",N($I625)&gt;1),$N625/$I625,$N625))</f>
        <v/>
      </c>
      <c r="S625" s="41" t="str">
        <f>IF(OR($A625="",$F625="",$C625&lt;&gt;"Despesa"),"",IF(COUNTIF(Cartoes_Nome,$F625)=0,"",DATE(P625,O625+IF(DAY($A625)&gt;=INDEX(Cartoes_Fech,MATCH($F625,Cartoes_Nome,0)),1,0),1)))</f>
        <v/>
      </c>
      <c r="T625" s="42" t="str">
        <f>IF($A625="","",IF(COUNTIFS(L_Data,$A625,L_Desc,$B625,L_Valor,$N625,L_Tipo,$C625)&gt;1,"⚠ Possível duplicidade",IF(OR(AND($C625="Despesa",COUNTIF(CatD_Nome,$D625)=0),AND($C625="Receita",COUNTIF(CatR_Nome,$D625)=0)),"⚠ Categoria não combina com o tipo",IF(OR($N625="",$C625=""),"⚠ Falta valor ou tipo",""))))</f>
        <v/>
      </c>
      <c r="U625" s="40">
        <f>IF($A625="",0,P625*12+O625)</f>
        <v>0</v>
      </c>
      <c r="V625" s="40">
        <f>IF($A625="",0,U625+MAX(0,N($I625)-MAX(N($H625),1)))</f>
        <v>0</v>
      </c>
      <c r="W625" s="40">
        <f>IF(S625="",0,YEAR(S625)*12+MONTH(S625))</f>
        <v>0</v>
      </c>
      <c r="X625" s="40">
        <f>IF(W625=0,0,W625+V625-U625)</f>
        <v>0</v>
      </c>
      <c r="Y625" s="36">
        <f>IF(W625=0,0,N(R625)*MAX(0,X625-MAX(W625,YEAR(Cfg_Hoje)*12+MONTH(Cfg_Hoje)+IF(DAY(Cfg_Hoje)&gt;=INDEX(Cartoes_Fech,MATCH($F625,Cartoes_Nome,0)),1,0))+1))</f>
        <v>0</v>
      </c>
      <c r="Z625" s="40">
        <f>IF($A625="",0,DAY($A625))</f>
        <v>0</v>
      </c>
      <c r="AA625" s="40">
        <f>IF($A625="",0,WEEKDAY($A625))</f>
        <v>0</v>
      </c>
      <c r="AB625" s="36">
        <f>IF(AND($C625="Despesa",U625&gt;0,U625&lt;=Sel_Idx,V625&gt;=Sel_Idx),N(R625)+ROW()/1000000000,0)</f>
        <v>0</v>
      </c>
      <c r="AC625" s="40">
        <f>IF(AND($C625="Despesa",U625&gt;0,U625&lt;=Sel_Idx,V625&gt;=Sel_Idx),Z625*10000+ROW(),0)</f>
        <v>0</v>
      </c>
      <c r="AD625" s="40">
        <f>IF(AC625=0,0,COUNTIFS(L_CalChave,"&gt;0",L_CalChave,"&lt;"&amp;AC625)+1)</f>
        <v>0</v>
      </c>
    </row>
    <row r="626">
      <c r="A626" s="38" t="n"/>
      <c r="B626" s="39" t="n"/>
      <c r="C626" s="34" t="n"/>
      <c r="D626" s="34" t="n"/>
      <c r="E626" s="34" t="n"/>
      <c r="F626" s="34" t="n"/>
      <c r="G626" s="34" t="n"/>
      <c r="H626" s="37" t="n"/>
      <c r="I626" s="37" t="n"/>
      <c r="J626" s="34" t="n"/>
      <c r="K626" s="34" t="n"/>
      <c r="L626" s="34" t="n"/>
      <c r="M626" s="39" t="n"/>
      <c r="N626" s="35" t="n"/>
      <c r="O626" s="40" t="str">
        <f>IF($A626="","",MONTH($A626))</f>
        <v/>
      </c>
      <c r="P626" s="40" t="str">
        <f>IF($A626="","",YEAR($A626))</f>
        <v/>
      </c>
      <c r="Q626" s="41" t="str">
        <f>IF($A626="","",DATE(P626,O626,1))</f>
        <v/>
      </c>
      <c r="R626" s="36" t="str">
        <f>IF(OR($A626="",$N626=""),"",IF(AND($C626&lt;&gt;"Transferência",N($I626)&gt;1),$N626/$I626,$N626))</f>
        <v/>
      </c>
      <c r="S626" s="41" t="str">
        <f>IF(OR($A626="",$F626="",$C626&lt;&gt;"Despesa"),"",IF(COUNTIF(Cartoes_Nome,$F626)=0,"",DATE(P626,O626+IF(DAY($A626)&gt;=INDEX(Cartoes_Fech,MATCH($F626,Cartoes_Nome,0)),1,0),1)))</f>
        <v/>
      </c>
      <c r="T626" s="42" t="str">
        <f>IF($A626="","",IF(COUNTIFS(L_Data,$A626,L_Desc,$B626,L_Valor,$N626,L_Tipo,$C626)&gt;1,"⚠ Possível duplicidade",IF(OR(AND($C626="Despesa",COUNTIF(CatD_Nome,$D626)=0),AND($C626="Receita",COUNTIF(CatR_Nome,$D626)=0)),"⚠ Categoria não combina com o tipo",IF(OR($N626="",$C626=""),"⚠ Falta valor ou tipo",""))))</f>
        <v/>
      </c>
      <c r="U626" s="40">
        <f>IF($A626="",0,P626*12+O626)</f>
        <v>0</v>
      </c>
      <c r="V626" s="40">
        <f>IF($A626="",0,U626+MAX(0,N($I626)-MAX(N($H626),1)))</f>
        <v>0</v>
      </c>
      <c r="W626" s="40">
        <f>IF(S626="",0,YEAR(S626)*12+MONTH(S626))</f>
        <v>0</v>
      </c>
      <c r="X626" s="40">
        <f>IF(W626=0,0,W626+V626-U626)</f>
        <v>0</v>
      </c>
      <c r="Y626" s="36">
        <f>IF(W626=0,0,N(R626)*MAX(0,X626-MAX(W626,YEAR(Cfg_Hoje)*12+MONTH(Cfg_Hoje)+IF(DAY(Cfg_Hoje)&gt;=INDEX(Cartoes_Fech,MATCH($F626,Cartoes_Nome,0)),1,0))+1))</f>
        <v>0</v>
      </c>
      <c r="Z626" s="40">
        <f>IF($A626="",0,DAY($A626))</f>
        <v>0</v>
      </c>
      <c r="AA626" s="40">
        <f>IF($A626="",0,WEEKDAY($A626))</f>
        <v>0</v>
      </c>
      <c r="AB626" s="36">
        <f>IF(AND($C626="Despesa",U626&gt;0,U626&lt;=Sel_Idx,V626&gt;=Sel_Idx),N(R626)+ROW()/1000000000,0)</f>
        <v>0</v>
      </c>
      <c r="AC626" s="40">
        <f>IF(AND($C626="Despesa",U626&gt;0,U626&lt;=Sel_Idx,V626&gt;=Sel_Idx),Z626*10000+ROW(),0)</f>
        <v>0</v>
      </c>
      <c r="AD626" s="40">
        <f>IF(AC626=0,0,COUNTIFS(L_CalChave,"&gt;0",L_CalChave,"&lt;"&amp;AC626)+1)</f>
        <v>0</v>
      </c>
    </row>
    <row r="627">
      <c r="A627" s="38" t="n"/>
      <c r="B627" s="39" t="n"/>
      <c r="C627" s="34" t="n"/>
      <c r="D627" s="34" t="n"/>
      <c r="E627" s="34" t="n"/>
      <c r="F627" s="34" t="n"/>
      <c r="G627" s="34" t="n"/>
      <c r="H627" s="37" t="n"/>
      <c r="I627" s="37" t="n"/>
      <c r="J627" s="34" t="n"/>
      <c r="K627" s="34" t="n"/>
      <c r="L627" s="34" t="n"/>
      <c r="M627" s="39" t="n"/>
      <c r="N627" s="35" t="n"/>
      <c r="O627" s="40" t="str">
        <f>IF($A627="","",MONTH($A627))</f>
        <v/>
      </c>
      <c r="P627" s="40" t="str">
        <f>IF($A627="","",YEAR($A627))</f>
        <v/>
      </c>
      <c r="Q627" s="41" t="str">
        <f>IF($A627="","",DATE(P627,O627,1))</f>
        <v/>
      </c>
      <c r="R627" s="36" t="str">
        <f>IF(OR($A627="",$N627=""),"",IF(AND($C627&lt;&gt;"Transferência",N($I627)&gt;1),$N627/$I627,$N627))</f>
        <v/>
      </c>
      <c r="S627" s="41" t="str">
        <f>IF(OR($A627="",$F627="",$C627&lt;&gt;"Despesa"),"",IF(COUNTIF(Cartoes_Nome,$F627)=0,"",DATE(P627,O627+IF(DAY($A627)&gt;=INDEX(Cartoes_Fech,MATCH($F627,Cartoes_Nome,0)),1,0),1)))</f>
        <v/>
      </c>
      <c r="T627" s="42" t="str">
        <f>IF($A627="","",IF(COUNTIFS(L_Data,$A627,L_Desc,$B627,L_Valor,$N627,L_Tipo,$C627)&gt;1,"⚠ Possível duplicidade",IF(OR(AND($C627="Despesa",COUNTIF(CatD_Nome,$D627)=0),AND($C627="Receita",COUNTIF(CatR_Nome,$D627)=0)),"⚠ Categoria não combina com o tipo",IF(OR($N627="",$C627=""),"⚠ Falta valor ou tipo",""))))</f>
        <v/>
      </c>
      <c r="U627" s="40">
        <f>IF($A627="",0,P627*12+O627)</f>
        <v>0</v>
      </c>
      <c r="V627" s="40">
        <f>IF($A627="",0,U627+MAX(0,N($I627)-MAX(N($H627),1)))</f>
        <v>0</v>
      </c>
      <c r="W627" s="40">
        <f>IF(S627="",0,YEAR(S627)*12+MONTH(S627))</f>
        <v>0</v>
      </c>
      <c r="X627" s="40">
        <f>IF(W627=0,0,W627+V627-U627)</f>
        <v>0</v>
      </c>
      <c r="Y627" s="36">
        <f>IF(W627=0,0,N(R627)*MAX(0,X627-MAX(W627,YEAR(Cfg_Hoje)*12+MONTH(Cfg_Hoje)+IF(DAY(Cfg_Hoje)&gt;=INDEX(Cartoes_Fech,MATCH($F627,Cartoes_Nome,0)),1,0))+1))</f>
        <v>0</v>
      </c>
      <c r="Z627" s="40">
        <f>IF($A627="",0,DAY($A627))</f>
        <v>0</v>
      </c>
      <c r="AA627" s="40">
        <f>IF($A627="",0,WEEKDAY($A627))</f>
        <v>0</v>
      </c>
      <c r="AB627" s="36">
        <f>IF(AND($C627="Despesa",U627&gt;0,U627&lt;=Sel_Idx,V627&gt;=Sel_Idx),N(R627)+ROW()/1000000000,0)</f>
        <v>0</v>
      </c>
      <c r="AC627" s="40">
        <f>IF(AND($C627="Despesa",U627&gt;0,U627&lt;=Sel_Idx,V627&gt;=Sel_Idx),Z627*10000+ROW(),0)</f>
        <v>0</v>
      </c>
      <c r="AD627" s="40">
        <f>IF(AC627=0,0,COUNTIFS(L_CalChave,"&gt;0",L_CalChave,"&lt;"&amp;AC627)+1)</f>
        <v>0</v>
      </c>
    </row>
    <row r="628">
      <c r="A628" s="38" t="n"/>
      <c r="B628" s="39" t="n"/>
      <c r="C628" s="34" t="n"/>
      <c r="D628" s="34" t="n"/>
      <c r="E628" s="34" t="n"/>
      <c r="F628" s="34" t="n"/>
      <c r="G628" s="34" t="n"/>
      <c r="H628" s="37" t="n"/>
      <c r="I628" s="37" t="n"/>
      <c r="J628" s="34" t="n"/>
      <c r="K628" s="34" t="n"/>
      <c r="L628" s="34" t="n"/>
      <c r="M628" s="39" t="n"/>
      <c r="N628" s="35" t="n"/>
      <c r="O628" s="40" t="str">
        <f>IF($A628="","",MONTH($A628))</f>
        <v/>
      </c>
      <c r="P628" s="40" t="str">
        <f>IF($A628="","",YEAR($A628))</f>
        <v/>
      </c>
      <c r="Q628" s="41" t="str">
        <f>IF($A628="","",DATE(P628,O628,1))</f>
        <v/>
      </c>
      <c r="R628" s="36" t="str">
        <f>IF(OR($A628="",$N628=""),"",IF(AND($C628&lt;&gt;"Transferência",N($I628)&gt;1),$N628/$I628,$N628))</f>
        <v/>
      </c>
      <c r="S628" s="41" t="str">
        <f>IF(OR($A628="",$F628="",$C628&lt;&gt;"Despesa"),"",IF(COUNTIF(Cartoes_Nome,$F628)=0,"",DATE(P628,O628+IF(DAY($A628)&gt;=INDEX(Cartoes_Fech,MATCH($F628,Cartoes_Nome,0)),1,0),1)))</f>
        <v/>
      </c>
      <c r="T628" s="42" t="str">
        <f>IF($A628="","",IF(COUNTIFS(L_Data,$A628,L_Desc,$B628,L_Valor,$N628,L_Tipo,$C628)&gt;1,"⚠ Possível duplicidade",IF(OR(AND($C628="Despesa",COUNTIF(CatD_Nome,$D628)=0),AND($C628="Receita",COUNTIF(CatR_Nome,$D628)=0)),"⚠ Categoria não combina com o tipo",IF(OR($N628="",$C628=""),"⚠ Falta valor ou tipo",""))))</f>
        <v/>
      </c>
      <c r="U628" s="40">
        <f>IF($A628="",0,P628*12+O628)</f>
        <v>0</v>
      </c>
      <c r="V628" s="40">
        <f>IF($A628="",0,U628+MAX(0,N($I628)-MAX(N($H628),1)))</f>
        <v>0</v>
      </c>
      <c r="W628" s="40">
        <f>IF(S628="",0,YEAR(S628)*12+MONTH(S628))</f>
        <v>0</v>
      </c>
      <c r="X628" s="40">
        <f>IF(W628=0,0,W628+V628-U628)</f>
        <v>0</v>
      </c>
      <c r="Y628" s="36">
        <f>IF(W628=0,0,N(R628)*MAX(0,X628-MAX(W628,YEAR(Cfg_Hoje)*12+MONTH(Cfg_Hoje)+IF(DAY(Cfg_Hoje)&gt;=INDEX(Cartoes_Fech,MATCH($F628,Cartoes_Nome,0)),1,0))+1))</f>
        <v>0</v>
      </c>
      <c r="Z628" s="40">
        <f>IF($A628="",0,DAY($A628))</f>
        <v>0</v>
      </c>
      <c r="AA628" s="40">
        <f>IF($A628="",0,WEEKDAY($A628))</f>
        <v>0</v>
      </c>
      <c r="AB628" s="36">
        <f>IF(AND($C628="Despesa",U628&gt;0,U628&lt;=Sel_Idx,V628&gt;=Sel_Idx),N(R628)+ROW()/1000000000,0)</f>
        <v>0</v>
      </c>
      <c r="AC628" s="40">
        <f>IF(AND($C628="Despesa",U628&gt;0,U628&lt;=Sel_Idx,V628&gt;=Sel_Idx),Z628*10000+ROW(),0)</f>
        <v>0</v>
      </c>
      <c r="AD628" s="40">
        <f>IF(AC628=0,0,COUNTIFS(L_CalChave,"&gt;0",L_CalChave,"&lt;"&amp;AC628)+1)</f>
        <v>0</v>
      </c>
    </row>
    <row r="629">
      <c r="A629" s="38" t="n"/>
      <c r="B629" s="39" t="n"/>
      <c r="C629" s="34" t="n"/>
      <c r="D629" s="34" t="n"/>
      <c r="E629" s="34" t="n"/>
      <c r="F629" s="34" t="n"/>
      <c r="G629" s="34" t="n"/>
      <c r="H629" s="37" t="n"/>
      <c r="I629" s="37" t="n"/>
      <c r="J629" s="34" t="n"/>
      <c r="K629" s="34" t="n"/>
      <c r="L629" s="34" t="n"/>
      <c r="M629" s="39" t="n"/>
      <c r="N629" s="35" t="n"/>
      <c r="O629" s="40" t="str">
        <f>IF($A629="","",MONTH($A629))</f>
        <v/>
      </c>
      <c r="P629" s="40" t="str">
        <f>IF($A629="","",YEAR($A629))</f>
        <v/>
      </c>
      <c r="Q629" s="41" t="str">
        <f>IF($A629="","",DATE(P629,O629,1))</f>
        <v/>
      </c>
      <c r="R629" s="36" t="str">
        <f>IF(OR($A629="",$N629=""),"",IF(AND($C629&lt;&gt;"Transferência",N($I629)&gt;1),$N629/$I629,$N629))</f>
        <v/>
      </c>
      <c r="S629" s="41" t="str">
        <f>IF(OR($A629="",$F629="",$C629&lt;&gt;"Despesa"),"",IF(COUNTIF(Cartoes_Nome,$F629)=0,"",DATE(P629,O629+IF(DAY($A629)&gt;=INDEX(Cartoes_Fech,MATCH($F629,Cartoes_Nome,0)),1,0),1)))</f>
        <v/>
      </c>
      <c r="T629" s="42" t="str">
        <f>IF($A629="","",IF(COUNTIFS(L_Data,$A629,L_Desc,$B629,L_Valor,$N629,L_Tipo,$C629)&gt;1,"⚠ Possível duplicidade",IF(OR(AND($C629="Despesa",COUNTIF(CatD_Nome,$D629)=0),AND($C629="Receita",COUNTIF(CatR_Nome,$D629)=0)),"⚠ Categoria não combina com o tipo",IF(OR($N629="",$C629=""),"⚠ Falta valor ou tipo",""))))</f>
        <v/>
      </c>
      <c r="U629" s="40">
        <f>IF($A629="",0,P629*12+O629)</f>
        <v>0</v>
      </c>
      <c r="V629" s="40">
        <f>IF($A629="",0,U629+MAX(0,N($I629)-MAX(N($H629),1)))</f>
        <v>0</v>
      </c>
      <c r="W629" s="40">
        <f>IF(S629="",0,YEAR(S629)*12+MONTH(S629))</f>
        <v>0</v>
      </c>
      <c r="X629" s="40">
        <f>IF(W629=0,0,W629+V629-U629)</f>
        <v>0</v>
      </c>
      <c r="Y629" s="36">
        <f>IF(W629=0,0,N(R629)*MAX(0,X629-MAX(W629,YEAR(Cfg_Hoje)*12+MONTH(Cfg_Hoje)+IF(DAY(Cfg_Hoje)&gt;=INDEX(Cartoes_Fech,MATCH($F629,Cartoes_Nome,0)),1,0))+1))</f>
        <v>0</v>
      </c>
      <c r="Z629" s="40">
        <f>IF($A629="",0,DAY($A629))</f>
        <v>0</v>
      </c>
      <c r="AA629" s="40">
        <f>IF($A629="",0,WEEKDAY($A629))</f>
        <v>0</v>
      </c>
      <c r="AB629" s="36">
        <f>IF(AND($C629="Despesa",U629&gt;0,U629&lt;=Sel_Idx,V629&gt;=Sel_Idx),N(R629)+ROW()/1000000000,0)</f>
        <v>0</v>
      </c>
      <c r="AC629" s="40">
        <f>IF(AND($C629="Despesa",U629&gt;0,U629&lt;=Sel_Idx,V629&gt;=Sel_Idx),Z629*10000+ROW(),0)</f>
        <v>0</v>
      </c>
      <c r="AD629" s="40">
        <f>IF(AC629=0,0,COUNTIFS(L_CalChave,"&gt;0",L_CalChave,"&lt;"&amp;AC629)+1)</f>
        <v>0</v>
      </c>
    </row>
    <row r="630">
      <c r="A630" s="38" t="n"/>
      <c r="B630" s="39" t="n"/>
      <c r="C630" s="34" t="n"/>
      <c r="D630" s="34" t="n"/>
      <c r="E630" s="34" t="n"/>
      <c r="F630" s="34" t="n"/>
      <c r="G630" s="34" t="n"/>
      <c r="H630" s="37" t="n"/>
      <c r="I630" s="37" t="n"/>
      <c r="J630" s="34" t="n"/>
      <c r="K630" s="34" t="n"/>
      <c r="L630" s="34" t="n"/>
      <c r="M630" s="39" t="n"/>
      <c r="N630" s="35" t="n"/>
      <c r="O630" s="40" t="str">
        <f>IF($A630="","",MONTH($A630))</f>
        <v/>
      </c>
      <c r="P630" s="40" t="str">
        <f>IF($A630="","",YEAR($A630))</f>
        <v/>
      </c>
      <c r="Q630" s="41" t="str">
        <f>IF($A630="","",DATE(P630,O630,1))</f>
        <v/>
      </c>
      <c r="R630" s="36" t="str">
        <f>IF(OR($A630="",$N630=""),"",IF(AND($C630&lt;&gt;"Transferência",N($I630)&gt;1),$N630/$I630,$N630))</f>
        <v/>
      </c>
      <c r="S630" s="41" t="str">
        <f>IF(OR($A630="",$F630="",$C630&lt;&gt;"Despesa"),"",IF(COUNTIF(Cartoes_Nome,$F630)=0,"",DATE(P630,O630+IF(DAY($A630)&gt;=INDEX(Cartoes_Fech,MATCH($F630,Cartoes_Nome,0)),1,0),1)))</f>
        <v/>
      </c>
      <c r="T630" s="42" t="str">
        <f>IF($A630="","",IF(COUNTIFS(L_Data,$A630,L_Desc,$B630,L_Valor,$N630,L_Tipo,$C630)&gt;1,"⚠ Possível duplicidade",IF(OR(AND($C630="Despesa",COUNTIF(CatD_Nome,$D630)=0),AND($C630="Receita",COUNTIF(CatR_Nome,$D630)=0)),"⚠ Categoria não combina com o tipo",IF(OR($N630="",$C630=""),"⚠ Falta valor ou tipo",""))))</f>
        <v/>
      </c>
      <c r="U630" s="40">
        <f>IF($A630="",0,P630*12+O630)</f>
        <v>0</v>
      </c>
      <c r="V630" s="40">
        <f>IF($A630="",0,U630+MAX(0,N($I630)-MAX(N($H630),1)))</f>
        <v>0</v>
      </c>
      <c r="W630" s="40">
        <f>IF(S630="",0,YEAR(S630)*12+MONTH(S630))</f>
        <v>0</v>
      </c>
      <c r="X630" s="40">
        <f>IF(W630=0,0,W630+V630-U630)</f>
        <v>0</v>
      </c>
      <c r="Y630" s="36">
        <f>IF(W630=0,0,N(R630)*MAX(0,X630-MAX(W630,YEAR(Cfg_Hoje)*12+MONTH(Cfg_Hoje)+IF(DAY(Cfg_Hoje)&gt;=INDEX(Cartoes_Fech,MATCH($F630,Cartoes_Nome,0)),1,0))+1))</f>
        <v>0</v>
      </c>
      <c r="Z630" s="40">
        <f>IF($A630="",0,DAY($A630))</f>
        <v>0</v>
      </c>
      <c r="AA630" s="40">
        <f>IF($A630="",0,WEEKDAY($A630))</f>
        <v>0</v>
      </c>
      <c r="AB630" s="36">
        <f>IF(AND($C630="Despesa",U630&gt;0,U630&lt;=Sel_Idx,V630&gt;=Sel_Idx),N(R630)+ROW()/1000000000,0)</f>
        <v>0</v>
      </c>
      <c r="AC630" s="40">
        <f>IF(AND($C630="Despesa",U630&gt;0,U630&lt;=Sel_Idx,V630&gt;=Sel_Idx),Z630*10000+ROW(),0)</f>
        <v>0</v>
      </c>
      <c r="AD630" s="40">
        <f>IF(AC630=0,0,COUNTIFS(L_CalChave,"&gt;0",L_CalChave,"&lt;"&amp;AC630)+1)</f>
        <v>0</v>
      </c>
    </row>
    <row r="631">
      <c r="A631" s="38" t="n"/>
      <c r="B631" s="39" t="n"/>
      <c r="C631" s="34" t="n"/>
      <c r="D631" s="34" t="n"/>
      <c r="E631" s="34" t="n"/>
      <c r="F631" s="34" t="n"/>
      <c r="G631" s="34" t="n"/>
      <c r="H631" s="37" t="n"/>
      <c r="I631" s="37" t="n"/>
      <c r="J631" s="34" t="n"/>
      <c r="K631" s="34" t="n"/>
      <c r="L631" s="34" t="n"/>
      <c r="M631" s="39" t="n"/>
      <c r="N631" s="35" t="n"/>
      <c r="O631" s="40" t="str">
        <f>IF($A631="","",MONTH($A631))</f>
        <v/>
      </c>
      <c r="P631" s="40" t="str">
        <f>IF($A631="","",YEAR($A631))</f>
        <v/>
      </c>
      <c r="Q631" s="41" t="str">
        <f>IF($A631="","",DATE(P631,O631,1))</f>
        <v/>
      </c>
      <c r="R631" s="36" t="str">
        <f>IF(OR($A631="",$N631=""),"",IF(AND($C631&lt;&gt;"Transferência",N($I631)&gt;1),$N631/$I631,$N631))</f>
        <v/>
      </c>
      <c r="S631" s="41" t="str">
        <f>IF(OR($A631="",$F631="",$C631&lt;&gt;"Despesa"),"",IF(COUNTIF(Cartoes_Nome,$F631)=0,"",DATE(P631,O631+IF(DAY($A631)&gt;=INDEX(Cartoes_Fech,MATCH($F631,Cartoes_Nome,0)),1,0),1)))</f>
        <v/>
      </c>
      <c r="T631" s="42" t="str">
        <f>IF($A631="","",IF(COUNTIFS(L_Data,$A631,L_Desc,$B631,L_Valor,$N631,L_Tipo,$C631)&gt;1,"⚠ Possível duplicidade",IF(OR(AND($C631="Despesa",COUNTIF(CatD_Nome,$D631)=0),AND($C631="Receita",COUNTIF(CatR_Nome,$D631)=0)),"⚠ Categoria não combina com o tipo",IF(OR($N631="",$C631=""),"⚠ Falta valor ou tipo",""))))</f>
        <v/>
      </c>
      <c r="U631" s="40">
        <f>IF($A631="",0,P631*12+O631)</f>
        <v>0</v>
      </c>
      <c r="V631" s="40">
        <f>IF($A631="",0,U631+MAX(0,N($I631)-MAX(N($H631),1)))</f>
        <v>0</v>
      </c>
      <c r="W631" s="40">
        <f>IF(S631="",0,YEAR(S631)*12+MONTH(S631))</f>
        <v>0</v>
      </c>
      <c r="X631" s="40">
        <f>IF(W631=0,0,W631+V631-U631)</f>
        <v>0</v>
      </c>
      <c r="Y631" s="36">
        <f>IF(W631=0,0,N(R631)*MAX(0,X631-MAX(W631,YEAR(Cfg_Hoje)*12+MONTH(Cfg_Hoje)+IF(DAY(Cfg_Hoje)&gt;=INDEX(Cartoes_Fech,MATCH($F631,Cartoes_Nome,0)),1,0))+1))</f>
        <v>0</v>
      </c>
      <c r="Z631" s="40">
        <f>IF($A631="",0,DAY($A631))</f>
        <v>0</v>
      </c>
      <c r="AA631" s="40">
        <f>IF($A631="",0,WEEKDAY($A631))</f>
        <v>0</v>
      </c>
      <c r="AB631" s="36">
        <f>IF(AND($C631="Despesa",U631&gt;0,U631&lt;=Sel_Idx,V631&gt;=Sel_Idx),N(R631)+ROW()/1000000000,0)</f>
        <v>0</v>
      </c>
      <c r="AC631" s="40">
        <f>IF(AND($C631="Despesa",U631&gt;0,U631&lt;=Sel_Idx,V631&gt;=Sel_Idx),Z631*10000+ROW(),0)</f>
        <v>0</v>
      </c>
      <c r="AD631" s="40">
        <f>IF(AC631=0,0,COUNTIFS(L_CalChave,"&gt;0",L_CalChave,"&lt;"&amp;AC631)+1)</f>
        <v>0</v>
      </c>
    </row>
    <row r="632">
      <c r="A632" s="38" t="n"/>
      <c r="B632" s="39" t="n"/>
      <c r="C632" s="34" t="n"/>
      <c r="D632" s="34" t="n"/>
      <c r="E632" s="34" t="n"/>
      <c r="F632" s="34" t="n"/>
      <c r="G632" s="34" t="n"/>
      <c r="H632" s="37" t="n"/>
      <c r="I632" s="37" t="n"/>
      <c r="J632" s="34" t="n"/>
      <c r="K632" s="34" t="n"/>
      <c r="L632" s="34" t="n"/>
      <c r="M632" s="39" t="n"/>
      <c r="N632" s="35" t="n"/>
      <c r="O632" s="40" t="str">
        <f>IF($A632="","",MONTH($A632))</f>
        <v/>
      </c>
      <c r="P632" s="40" t="str">
        <f>IF($A632="","",YEAR($A632))</f>
        <v/>
      </c>
      <c r="Q632" s="41" t="str">
        <f>IF($A632="","",DATE(P632,O632,1))</f>
        <v/>
      </c>
      <c r="R632" s="36" t="str">
        <f>IF(OR($A632="",$N632=""),"",IF(AND($C632&lt;&gt;"Transferência",N($I632)&gt;1),$N632/$I632,$N632))</f>
        <v/>
      </c>
      <c r="S632" s="41" t="str">
        <f>IF(OR($A632="",$F632="",$C632&lt;&gt;"Despesa"),"",IF(COUNTIF(Cartoes_Nome,$F632)=0,"",DATE(P632,O632+IF(DAY($A632)&gt;=INDEX(Cartoes_Fech,MATCH($F632,Cartoes_Nome,0)),1,0),1)))</f>
        <v/>
      </c>
      <c r="T632" s="42" t="str">
        <f>IF($A632="","",IF(COUNTIFS(L_Data,$A632,L_Desc,$B632,L_Valor,$N632,L_Tipo,$C632)&gt;1,"⚠ Possível duplicidade",IF(OR(AND($C632="Despesa",COUNTIF(CatD_Nome,$D632)=0),AND($C632="Receita",COUNTIF(CatR_Nome,$D632)=0)),"⚠ Categoria não combina com o tipo",IF(OR($N632="",$C632=""),"⚠ Falta valor ou tipo",""))))</f>
        <v/>
      </c>
      <c r="U632" s="40">
        <f>IF($A632="",0,P632*12+O632)</f>
        <v>0</v>
      </c>
      <c r="V632" s="40">
        <f>IF($A632="",0,U632+MAX(0,N($I632)-MAX(N($H632),1)))</f>
        <v>0</v>
      </c>
      <c r="W632" s="40">
        <f>IF(S632="",0,YEAR(S632)*12+MONTH(S632))</f>
        <v>0</v>
      </c>
      <c r="X632" s="40">
        <f>IF(W632=0,0,W632+V632-U632)</f>
        <v>0</v>
      </c>
      <c r="Y632" s="36">
        <f>IF(W632=0,0,N(R632)*MAX(0,X632-MAX(W632,YEAR(Cfg_Hoje)*12+MONTH(Cfg_Hoje)+IF(DAY(Cfg_Hoje)&gt;=INDEX(Cartoes_Fech,MATCH($F632,Cartoes_Nome,0)),1,0))+1))</f>
        <v>0</v>
      </c>
      <c r="Z632" s="40">
        <f>IF($A632="",0,DAY($A632))</f>
        <v>0</v>
      </c>
      <c r="AA632" s="40">
        <f>IF($A632="",0,WEEKDAY($A632))</f>
        <v>0</v>
      </c>
      <c r="AB632" s="36">
        <f>IF(AND($C632="Despesa",U632&gt;0,U632&lt;=Sel_Idx,V632&gt;=Sel_Idx),N(R632)+ROW()/1000000000,0)</f>
        <v>0</v>
      </c>
      <c r="AC632" s="40">
        <f>IF(AND($C632="Despesa",U632&gt;0,U632&lt;=Sel_Idx,V632&gt;=Sel_Idx),Z632*10000+ROW(),0)</f>
        <v>0</v>
      </c>
      <c r="AD632" s="40">
        <f>IF(AC632=0,0,COUNTIFS(L_CalChave,"&gt;0",L_CalChave,"&lt;"&amp;AC632)+1)</f>
        <v>0</v>
      </c>
    </row>
    <row r="633">
      <c r="A633" s="38" t="n"/>
      <c r="B633" s="39" t="n"/>
      <c r="C633" s="34" t="n"/>
      <c r="D633" s="34" t="n"/>
      <c r="E633" s="34" t="n"/>
      <c r="F633" s="34" t="n"/>
      <c r="G633" s="34" t="n"/>
      <c r="H633" s="37" t="n"/>
      <c r="I633" s="37" t="n"/>
      <c r="J633" s="34" t="n"/>
      <c r="K633" s="34" t="n"/>
      <c r="L633" s="34" t="n"/>
      <c r="M633" s="39" t="n"/>
      <c r="N633" s="35" t="n"/>
      <c r="O633" s="40" t="str">
        <f>IF($A633="","",MONTH($A633))</f>
        <v/>
      </c>
      <c r="P633" s="40" t="str">
        <f>IF($A633="","",YEAR($A633))</f>
        <v/>
      </c>
      <c r="Q633" s="41" t="str">
        <f>IF($A633="","",DATE(P633,O633,1))</f>
        <v/>
      </c>
      <c r="R633" s="36" t="str">
        <f>IF(OR($A633="",$N633=""),"",IF(AND($C633&lt;&gt;"Transferência",N($I633)&gt;1),$N633/$I633,$N633))</f>
        <v/>
      </c>
      <c r="S633" s="41" t="str">
        <f>IF(OR($A633="",$F633="",$C633&lt;&gt;"Despesa"),"",IF(COUNTIF(Cartoes_Nome,$F633)=0,"",DATE(P633,O633+IF(DAY($A633)&gt;=INDEX(Cartoes_Fech,MATCH($F633,Cartoes_Nome,0)),1,0),1)))</f>
        <v/>
      </c>
      <c r="T633" s="42" t="str">
        <f>IF($A633="","",IF(COUNTIFS(L_Data,$A633,L_Desc,$B633,L_Valor,$N633,L_Tipo,$C633)&gt;1,"⚠ Possível duplicidade",IF(OR(AND($C633="Despesa",COUNTIF(CatD_Nome,$D633)=0),AND($C633="Receita",COUNTIF(CatR_Nome,$D633)=0)),"⚠ Categoria não combina com o tipo",IF(OR($N633="",$C633=""),"⚠ Falta valor ou tipo",""))))</f>
        <v/>
      </c>
      <c r="U633" s="40">
        <f>IF($A633="",0,P633*12+O633)</f>
        <v>0</v>
      </c>
      <c r="V633" s="40">
        <f>IF($A633="",0,U633+MAX(0,N($I633)-MAX(N($H633),1)))</f>
        <v>0</v>
      </c>
      <c r="W633" s="40">
        <f>IF(S633="",0,YEAR(S633)*12+MONTH(S633))</f>
        <v>0</v>
      </c>
      <c r="X633" s="40">
        <f>IF(W633=0,0,W633+V633-U633)</f>
        <v>0</v>
      </c>
      <c r="Y633" s="36">
        <f>IF(W633=0,0,N(R633)*MAX(0,X633-MAX(W633,YEAR(Cfg_Hoje)*12+MONTH(Cfg_Hoje)+IF(DAY(Cfg_Hoje)&gt;=INDEX(Cartoes_Fech,MATCH($F633,Cartoes_Nome,0)),1,0))+1))</f>
        <v>0</v>
      </c>
      <c r="Z633" s="40">
        <f>IF($A633="",0,DAY($A633))</f>
        <v>0</v>
      </c>
      <c r="AA633" s="40">
        <f>IF($A633="",0,WEEKDAY($A633))</f>
        <v>0</v>
      </c>
      <c r="AB633" s="36">
        <f>IF(AND($C633="Despesa",U633&gt;0,U633&lt;=Sel_Idx,V633&gt;=Sel_Idx),N(R633)+ROW()/1000000000,0)</f>
        <v>0</v>
      </c>
      <c r="AC633" s="40">
        <f>IF(AND($C633="Despesa",U633&gt;0,U633&lt;=Sel_Idx,V633&gt;=Sel_Idx),Z633*10000+ROW(),0)</f>
        <v>0</v>
      </c>
      <c r="AD633" s="40">
        <f>IF(AC633=0,0,COUNTIFS(L_CalChave,"&gt;0",L_CalChave,"&lt;"&amp;AC633)+1)</f>
        <v>0</v>
      </c>
    </row>
    <row r="634">
      <c r="A634" s="38" t="n"/>
      <c r="B634" s="39" t="n"/>
      <c r="C634" s="34" t="n"/>
      <c r="D634" s="34" t="n"/>
      <c r="E634" s="34" t="n"/>
      <c r="F634" s="34" t="n"/>
      <c r="G634" s="34" t="n"/>
      <c r="H634" s="37" t="n"/>
      <c r="I634" s="37" t="n"/>
      <c r="J634" s="34" t="n"/>
      <c r="K634" s="34" t="n"/>
      <c r="L634" s="34" t="n"/>
      <c r="M634" s="39" t="n"/>
      <c r="N634" s="35" t="n"/>
      <c r="O634" s="40" t="str">
        <f>IF($A634="","",MONTH($A634))</f>
        <v/>
      </c>
      <c r="P634" s="40" t="str">
        <f>IF($A634="","",YEAR($A634))</f>
        <v/>
      </c>
      <c r="Q634" s="41" t="str">
        <f>IF($A634="","",DATE(P634,O634,1))</f>
        <v/>
      </c>
      <c r="R634" s="36" t="str">
        <f>IF(OR($A634="",$N634=""),"",IF(AND($C634&lt;&gt;"Transferência",N($I634)&gt;1),$N634/$I634,$N634))</f>
        <v/>
      </c>
      <c r="S634" s="41" t="str">
        <f>IF(OR($A634="",$F634="",$C634&lt;&gt;"Despesa"),"",IF(COUNTIF(Cartoes_Nome,$F634)=0,"",DATE(P634,O634+IF(DAY($A634)&gt;=INDEX(Cartoes_Fech,MATCH($F634,Cartoes_Nome,0)),1,0),1)))</f>
        <v/>
      </c>
      <c r="T634" s="42" t="str">
        <f>IF($A634="","",IF(COUNTIFS(L_Data,$A634,L_Desc,$B634,L_Valor,$N634,L_Tipo,$C634)&gt;1,"⚠ Possível duplicidade",IF(OR(AND($C634="Despesa",COUNTIF(CatD_Nome,$D634)=0),AND($C634="Receita",COUNTIF(CatR_Nome,$D634)=0)),"⚠ Categoria não combina com o tipo",IF(OR($N634="",$C634=""),"⚠ Falta valor ou tipo",""))))</f>
        <v/>
      </c>
      <c r="U634" s="40">
        <f>IF($A634="",0,P634*12+O634)</f>
        <v>0</v>
      </c>
      <c r="V634" s="40">
        <f>IF($A634="",0,U634+MAX(0,N($I634)-MAX(N($H634),1)))</f>
        <v>0</v>
      </c>
      <c r="W634" s="40">
        <f>IF(S634="",0,YEAR(S634)*12+MONTH(S634))</f>
        <v>0</v>
      </c>
      <c r="X634" s="40">
        <f>IF(W634=0,0,W634+V634-U634)</f>
        <v>0</v>
      </c>
      <c r="Y634" s="36">
        <f>IF(W634=0,0,N(R634)*MAX(0,X634-MAX(W634,YEAR(Cfg_Hoje)*12+MONTH(Cfg_Hoje)+IF(DAY(Cfg_Hoje)&gt;=INDEX(Cartoes_Fech,MATCH($F634,Cartoes_Nome,0)),1,0))+1))</f>
        <v>0</v>
      </c>
      <c r="Z634" s="40">
        <f>IF($A634="",0,DAY($A634))</f>
        <v>0</v>
      </c>
      <c r="AA634" s="40">
        <f>IF($A634="",0,WEEKDAY($A634))</f>
        <v>0</v>
      </c>
      <c r="AB634" s="36">
        <f>IF(AND($C634="Despesa",U634&gt;0,U634&lt;=Sel_Idx,V634&gt;=Sel_Idx),N(R634)+ROW()/1000000000,0)</f>
        <v>0</v>
      </c>
      <c r="AC634" s="40">
        <f>IF(AND($C634="Despesa",U634&gt;0,U634&lt;=Sel_Idx,V634&gt;=Sel_Idx),Z634*10000+ROW(),0)</f>
        <v>0</v>
      </c>
      <c r="AD634" s="40">
        <f>IF(AC634=0,0,COUNTIFS(L_CalChave,"&gt;0",L_CalChave,"&lt;"&amp;AC634)+1)</f>
        <v>0</v>
      </c>
    </row>
    <row r="635">
      <c r="A635" s="38" t="n"/>
      <c r="B635" s="39" t="n"/>
      <c r="C635" s="34" t="n"/>
      <c r="D635" s="34" t="n"/>
      <c r="E635" s="34" t="n"/>
      <c r="F635" s="34" t="n"/>
      <c r="G635" s="34" t="n"/>
      <c r="H635" s="37" t="n"/>
      <c r="I635" s="37" t="n"/>
      <c r="J635" s="34" t="n"/>
      <c r="K635" s="34" t="n"/>
      <c r="L635" s="34" t="n"/>
      <c r="M635" s="39" t="n"/>
      <c r="N635" s="35" t="n"/>
      <c r="O635" s="40" t="str">
        <f>IF($A635="","",MONTH($A635))</f>
        <v/>
      </c>
      <c r="P635" s="40" t="str">
        <f>IF($A635="","",YEAR($A635))</f>
        <v/>
      </c>
      <c r="Q635" s="41" t="str">
        <f>IF($A635="","",DATE(P635,O635,1))</f>
        <v/>
      </c>
      <c r="R635" s="36" t="str">
        <f>IF(OR($A635="",$N635=""),"",IF(AND($C635&lt;&gt;"Transferência",N($I635)&gt;1),$N635/$I635,$N635))</f>
        <v/>
      </c>
      <c r="S635" s="41" t="str">
        <f>IF(OR($A635="",$F635="",$C635&lt;&gt;"Despesa"),"",IF(COUNTIF(Cartoes_Nome,$F635)=0,"",DATE(P635,O635+IF(DAY($A635)&gt;=INDEX(Cartoes_Fech,MATCH($F635,Cartoes_Nome,0)),1,0),1)))</f>
        <v/>
      </c>
      <c r="T635" s="42" t="str">
        <f>IF($A635="","",IF(COUNTIFS(L_Data,$A635,L_Desc,$B635,L_Valor,$N635,L_Tipo,$C635)&gt;1,"⚠ Possível duplicidade",IF(OR(AND($C635="Despesa",COUNTIF(CatD_Nome,$D635)=0),AND($C635="Receita",COUNTIF(CatR_Nome,$D635)=0)),"⚠ Categoria não combina com o tipo",IF(OR($N635="",$C635=""),"⚠ Falta valor ou tipo",""))))</f>
        <v/>
      </c>
      <c r="U635" s="40">
        <f>IF($A635="",0,P635*12+O635)</f>
        <v>0</v>
      </c>
      <c r="V635" s="40">
        <f>IF($A635="",0,U635+MAX(0,N($I635)-MAX(N($H635),1)))</f>
        <v>0</v>
      </c>
      <c r="W635" s="40">
        <f>IF(S635="",0,YEAR(S635)*12+MONTH(S635))</f>
        <v>0</v>
      </c>
      <c r="X635" s="40">
        <f>IF(W635=0,0,W635+V635-U635)</f>
        <v>0</v>
      </c>
      <c r="Y635" s="36">
        <f>IF(W635=0,0,N(R635)*MAX(0,X635-MAX(W635,YEAR(Cfg_Hoje)*12+MONTH(Cfg_Hoje)+IF(DAY(Cfg_Hoje)&gt;=INDEX(Cartoes_Fech,MATCH($F635,Cartoes_Nome,0)),1,0))+1))</f>
        <v>0</v>
      </c>
      <c r="Z635" s="40">
        <f>IF($A635="",0,DAY($A635))</f>
        <v>0</v>
      </c>
      <c r="AA635" s="40">
        <f>IF($A635="",0,WEEKDAY($A635))</f>
        <v>0</v>
      </c>
      <c r="AB635" s="36">
        <f>IF(AND($C635="Despesa",U635&gt;0,U635&lt;=Sel_Idx,V635&gt;=Sel_Idx),N(R635)+ROW()/1000000000,0)</f>
        <v>0</v>
      </c>
      <c r="AC635" s="40">
        <f>IF(AND($C635="Despesa",U635&gt;0,U635&lt;=Sel_Idx,V635&gt;=Sel_Idx),Z635*10000+ROW(),0)</f>
        <v>0</v>
      </c>
      <c r="AD635" s="40">
        <f>IF(AC635=0,0,COUNTIFS(L_CalChave,"&gt;0",L_CalChave,"&lt;"&amp;AC635)+1)</f>
        <v>0</v>
      </c>
    </row>
    <row r="636">
      <c r="A636" s="38" t="n"/>
      <c r="B636" s="39" t="n"/>
      <c r="C636" s="34" t="n"/>
      <c r="D636" s="34" t="n"/>
      <c r="E636" s="34" t="n"/>
      <c r="F636" s="34" t="n"/>
      <c r="G636" s="34" t="n"/>
      <c r="H636" s="37" t="n"/>
      <c r="I636" s="37" t="n"/>
      <c r="J636" s="34" t="n"/>
      <c r="K636" s="34" t="n"/>
      <c r="L636" s="34" t="n"/>
      <c r="M636" s="39" t="n"/>
      <c r="N636" s="35" t="n"/>
      <c r="O636" s="40" t="str">
        <f>IF($A636="","",MONTH($A636))</f>
        <v/>
      </c>
      <c r="P636" s="40" t="str">
        <f>IF($A636="","",YEAR($A636))</f>
        <v/>
      </c>
      <c r="Q636" s="41" t="str">
        <f>IF($A636="","",DATE(P636,O636,1))</f>
        <v/>
      </c>
      <c r="R636" s="36" t="str">
        <f>IF(OR($A636="",$N636=""),"",IF(AND($C636&lt;&gt;"Transferência",N($I636)&gt;1),$N636/$I636,$N636))</f>
        <v/>
      </c>
      <c r="S636" s="41" t="str">
        <f>IF(OR($A636="",$F636="",$C636&lt;&gt;"Despesa"),"",IF(COUNTIF(Cartoes_Nome,$F636)=0,"",DATE(P636,O636+IF(DAY($A636)&gt;=INDEX(Cartoes_Fech,MATCH($F636,Cartoes_Nome,0)),1,0),1)))</f>
        <v/>
      </c>
      <c r="T636" s="42" t="str">
        <f>IF($A636="","",IF(COUNTIFS(L_Data,$A636,L_Desc,$B636,L_Valor,$N636,L_Tipo,$C636)&gt;1,"⚠ Possível duplicidade",IF(OR(AND($C636="Despesa",COUNTIF(CatD_Nome,$D636)=0),AND($C636="Receita",COUNTIF(CatR_Nome,$D636)=0)),"⚠ Categoria não combina com o tipo",IF(OR($N636="",$C636=""),"⚠ Falta valor ou tipo",""))))</f>
        <v/>
      </c>
      <c r="U636" s="40">
        <f>IF($A636="",0,P636*12+O636)</f>
        <v>0</v>
      </c>
      <c r="V636" s="40">
        <f>IF($A636="",0,U636+MAX(0,N($I636)-MAX(N($H636),1)))</f>
        <v>0</v>
      </c>
      <c r="W636" s="40">
        <f>IF(S636="",0,YEAR(S636)*12+MONTH(S636))</f>
        <v>0</v>
      </c>
      <c r="X636" s="40">
        <f>IF(W636=0,0,W636+V636-U636)</f>
        <v>0</v>
      </c>
      <c r="Y636" s="36">
        <f>IF(W636=0,0,N(R636)*MAX(0,X636-MAX(W636,YEAR(Cfg_Hoje)*12+MONTH(Cfg_Hoje)+IF(DAY(Cfg_Hoje)&gt;=INDEX(Cartoes_Fech,MATCH($F636,Cartoes_Nome,0)),1,0))+1))</f>
        <v>0</v>
      </c>
      <c r="Z636" s="40">
        <f>IF($A636="",0,DAY($A636))</f>
        <v>0</v>
      </c>
      <c r="AA636" s="40">
        <f>IF($A636="",0,WEEKDAY($A636))</f>
        <v>0</v>
      </c>
      <c r="AB636" s="36">
        <f>IF(AND($C636="Despesa",U636&gt;0,U636&lt;=Sel_Idx,V636&gt;=Sel_Idx),N(R636)+ROW()/1000000000,0)</f>
        <v>0</v>
      </c>
      <c r="AC636" s="40">
        <f>IF(AND($C636="Despesa",U636&gt;0,U636&lt;=Sel_Idx,V636&gt;=Sel_Idx),Z636*10000+ROW(),0)</f>
        <v>0</v>
      </c>
      <c r="AD636" s="40">
        <f>IF(AC636=0,0,COUNTIFS(L_CalChave,"&gt;0",L_CalChave,"&lt;"&amp;AC636)+1)</f>
        <v>0</v>
      </c>
    </row>
    <row r="637">
      <c r="A637" s="38" t="n"/>
      <c r="B637" s="39" t="n"/>
      <c r="C637" s="34" t="n"/>
      <c r="D637" s="34" t="n"/>
      <c r="E637" s="34" t="n"/>
      <c r="F637" s="34" t="n"/>
      <c r="G637" s="34" t="n"/>
      <c r="H637" s="37" t="n"/>
      <c r="I637" s="37" t="n"/>
      <c r="J637" s="34" t="n"/>
      <c r="K637" s="34" t="n"/>
      <c r="L637" s="34" t="n"/>
      <c r="M637" s="39" t="n"/>
      <c r="N637" s="35" t="n"/>
      <c r="O637" s="40" t="str">
        <f>IF($A637="","",MONTH($A637))</f>
        <v/>
      </c>
      <c r="P637" s="40" t="str">
        <f>IF($A637="","",YEAR($A637))</f>
        <v/>
      </c>
      <c r="Q637" s="41" t="str">
        <f>IF($A637="","",DATE(P637,O637,1))</f>
        <v/>
      </c>
      <c r="R637" s="36" t="str">
        <f>IF(OR($A637="",$N637=""),"",IF(AND($C637&lt;&gt;"Transferência",N($I637)&gt;1),$N637/$I637,$N637))</f>
        <v/>
      </c>
      <c r="S637" s="41" t="str">
        <f>IF(OR($A637="",$F637="",$C637&lt;&gt;"Despesa"),"",IF(COUNTIF(Cartoes_Nome,$F637)=0,"",DATE(P637,O637+IF(DAY($A637)&gt;=INDEX(Cartoes_Fech,MATCH($F637,Cartoes_Nome,0)),1,0),1)))</f>
        <v/>
      </c>
      <c r="T637" s="42" t="str">
        <f>IF($A637="","",IF(COUNTIFS(L_Data,$A637,L_Desc,$B637,L_Valor,$N637,L_Tipo,$C637)&gt;1,"⚠ Possível duplicidade",IF(OR(AND($C637="Despesa",COUNTIF(CatD_Nome,$D637)=0),AND($C637="Receita",COUNTIF(CatR_Nome,$D637)=0)),"⚠ Categoria não combina com o tipo",IF(OR($N637="",$C637=""),"⚠ Falta valor ou tipo",""))))</f>
        <v/>
      </c>
      <c r="U637" s="40">
        <f>IF($A637="",0,P637*12+O637)</f>
        <v>0</v>
      </c>
      <c r="V637" s="40">
        <f>IF($A637="",0,U637+MAX(0,N($I637)-MAX(N($H637),1)))</f>
        <v>0</v>
      </c>
      <c r="W637" s="40">
        <f>IF(S637="",0,YEAR(S637)*12+MONTH(S637))</f>
        <v>0</v>
      </c>
      <c r="X637" s="40">
        <f>IF(W637=0,0,W637+V637-U637)</f>
        <v>0</v>
      </c>
      <c r="Y637" s="36">
        <f>IF(W637=0,0,N(R637)*MAX(0,X637-MAX(W637,YEAR(Cfg_Hoje)*12+MONTH(Cfg_Hoje)+IF(DAY(Cfg_Hoje)&gt;=INDEX(Cartoes_Fech,MATCH($F637,Cartoes_Nome,0)),1,0))+1))</f>
        <v>0</v>
      </c>
      <c r="Z637" s="40">
        <f>IF($A637="",0,DAY($A637))</f>
        <v>0</v>
      </c>
      <c r="AA637" s="40">
        <f>IF($A637="",0,WEEKDAY($A637))</f>
        <v>0</v>
      </c>
      <c r="AB637" s="36">
        <f>IF(AND($C637="Despesa",U637&gt;0,U637&lt;=Sel_Idx,V637&gt;=Sel_Idx),N(R637)+ROW()/1000000000,0)</f>
        <v>0</v>
      </c>
      <c r="AC637" s="40">
        <f>IF(AND($C637="Despesa",U637&gt;0,U637&lt;=Sel_Idx,V637&gt;=Sel_Idx),Z637*10000+ROW(),0)</f>
        <v>0</v>
      </c>
      <c r="AD637" s="40">
        <f>IF(AC637=0,0,COUNTIFS(L_CalChave,"&gt;0",L_CalChave,"&lt;"&amp;AC637)+1)</f>
        <v>0</v>
      </c>
    </row>
    <row r="638">
      <c r="A638" s="38" t="n"/>
      <c r="B638" s="39" t="n"/>
      <c r="C638" s="34" t="n"/>
      <c r="D638" s="34" t="n"/>
      <c r="E638" s="34" t="n"/>
      <c r="F638" s="34" t="n"/>
      <c r="G638" s="34" t="n"/>
      <c r="H638" s="37" t="n"/>
      <c r="I638" s="37" t="n"/>
      <c r="J638" s="34" t="n"/>
      <c r="K638" s="34" t="n"/>
      <c r="L638" s="34" t="n"/>
      <c r="M638" s="39" t="n"/>
      <c r="N638" s="35" t="n"/>
      <c r="O638" s="40" t="str">
        <f>IF($A638="","",MONTH($A638))</f>
        <v/>
      </c>
      <c r="P638" s="40" t="str">
        <f>IF($A638="","",YEAR($A638))</f>
        <v/>
      </c>
      <c r="Q638" s="41" t="str">
        <f>IF($A638="","",DATE(P638,O638,1))</f>
        <v/>
      </c>
      <c r="R638" s="36" t="str">
        <f>IF(OR($A638="",$N638=""),"",IF(AND($C638&lt;&gt;"Transferência",N($I638)&gt;1),$N638/$I638,$N638))</f>
        <v/>
      </c>
      <c r="S638" s="41" t="str">
        <f>IF(OR($A638="",$F638="",$C638&lt;&gt;"Despesa"),"",IF(COUNTIF(Cartoes_Nome,$F638)=0,"",DATE(P638,O638+IF(DAY($A638)&gt;=INDEX(Cartoes_Fech,MATCH($F638,Cartoes_Nome,0)),1,0),1)))</f>
        <v/>
      </c>
      <c r="T638" s="42" t="str">
        <f>IF($A638="","",IF(COUNTIFS(L_Data,$A638,L_Desc,$B638,L_Valor,$N638,L_Tipo,$C638)&gt;1,"⚠ Possível duplicidade",IF(OR(AND($C638="Despesa",COUNTIF(CatD_Nome,$D638)=0),AND($C638="Receita",COUNTIF(CatR_Nome,$D638)=0)),"⚠ Categoria não combina com o tipo",IF(OR($N638="",$C638=""),"⚠ Falta valor ou tipo",""))))</f>
        <v/>
      </c>
      <c r="U638" s="40">
        <f>IF($A638="",0,P638*12+O638)</f>
        <v>0</v>
      </c>
      <c r="V638" s="40">
        <f>IF($A638="",0,U638+MAX(0,N($I638)-MAX(N($H638),1)))</f>
        <v>0</v>
      </c>
      <c r="W638" s="40">
        <f>IF(S638="",0,YEAR(S638)*12+MONTH(S638))</f>
        <v>0</v>
      </c>
      <c r="X638" s="40">
        <f>IF(W638=0,0,W638+V638-U638)</f>
        <v>0</v>
      </c>
      <c r="Y638" s="36">
        <f>IF(W638=0,0,N(R638)*MAX(0,X638-MAX(W638,YEAR(Cfg_Hoje)*12+MONTH(Cfg_Hoje)+IF(DAY(Cfg_Hoje)&gt;=INDEX(Cartoes_Fech,MATCH($F638,Cartoes_Nome,0)),1,0))+1))</f>
        <v>0</v>
      </c>
      <c r="Z638" s="40">
        <f>IF($A638="",0,DAY($A638))</f>
        <v>0</v>
      </c>
      <c r="AA638" s="40">
        <f>IF($A638="",0,WEEKDAY($A638))</f>
        <v>0</v>
      </c>
      <c r="AB638" s="36">
        <f>IF(AND($C638="Despesa",U638&gt;0,U638&lt;=Sel_Idx,V638&gt;=Sel_Idx),N(R638)+ROW()/1000000000,0)</f>
        <v>0</v>
      </c>
      <c r="AC638" s="40">
        <f>IF(AND($C638="Despesa",U638&gt;0,U638&lt;=Sel_Idx,V638&gt;=Sel_Idx),Z638*10000+ROW(),0)</f>
        <v>0</v>
      </c>
      <c r="AD638" s="40">
        <f>IF(AC638=0,0,COUNTIFS(L_CalChave,"&gt;0",L_CalChave,"&lt;"&amp;AC638)+1)</f>
        <v>0</v>
      </c>
    </row>
    <row r="639">
      <c r="A639" s="38" t="n"/>
      <c r="B639" s="39" t="n"/>
      <c r="C639" s="34" t="n"/>
      <c r="D639" s="34" t="n"/>
      <c r="E639" s="34" t="n"/>
      <c r="F639" s="34" t="n"/>
      <c r="G639" s="34" t="n"/>
      <c r="H639" s="37" t="n"/>
      <c r="I639" s="37" t="n"/>
      <c r="J639" s="34" t="n"/>
      <c r="K639" s="34" t="n"/>
      <c r="L639" s="34" t="n"/>
      <c r="M639" s="39" t="n"/>
      <c r="N639" s="35" t="n"/>
      <c r="O639" s="40" t="str">
        <f>IF($A639="","",MONTH($A639))</f>
        <v/>
      </c>
      <c r="P639" s="40" t="str">
        <f>IF($A639="","",YEAR($A639))</f>
        <v/>
      </c>
      <c r="Q639" s="41" t="str">
        <f>IF($A639="","",DATE(P639,O639,1))</f>
        <v/>
      </c>
      <c r="R639" s="36" t="str">
        <f>IF(OR($A639="",$N639=""),"",IF(AND($C639&lt;&gt;"Transferência",N($I639)&gt;1),$N639/$I639,$N639))</f>
        <v/>
      </c>
      <c r="S639" s="41" t="str">
        <f>IF(OR($A639="",$F639="",$C639&lt;&gt;"Despesa"),"",IF(COUNTIF(Cartoes_Nome,$F639)=0,"",DATE(P639,O639+IF(DAY($A639)&gt;=INDEX(Cartoes_Fech,MATCH($F639,Cartoes_Nome,0)),1,0),1)))</f>
        <v/>
      </c>
      <c r="T639" s="42" t="str">
        <f>IF($A639="","",IF(COUNTIFS(L_Data,$A639,L_Desc,$B639,L_Valor,$N639,L_Tipo,$C639)&gt;1,"⚠ Possível duplicidade",IF(OR(AND($C639="Despesa",COUNTIF(CatD_Nome,$D639)=0),AND($C639="Receita",COUNTIF(CatR_Nome,$D639)=0)),"⚠ Categoria não combina com o tipo",IF(OR($N639="",$C639=""),"⚠ Falta valor ou tipo",""))))</f>
        <v/>
      </c>
      <c r="U639" s="40">
        <f>IF($A639="",0,P639*12+O639)</f>
        <v>0</v>
      </c>
      <c r="V639" s="40">
        <f>IF($A639="",0,U639+MAX(0,N($I639)-MAX(N($H639),1)))</f>
        <v>0</v>
      </c>
      <c r="W639" s="40">
        <f>IF(S639="",0,YEAR(S639)*12+MONTH(S639))</f>
        <v>0</v>
      </c>
      <c r="X639" s="40">
        <f>IF(W639=0,0,W639+V639-U639)</f>
        <v>0</v>
      </c>
      <c r="Y639" s="36">
        <f>IF(W639=0,0,N(R639)*MAX(0,X639-MAX(W639,YEAR(Cfg_Hoje)*12+MONTH(Cfg_Hoje)+IF(DAY(Cfg_Hoje)&gt;=INDEX(Cartoes_Fech,MATCH($F639,Cartoes_Nome,0)),1,0))+1))</f>
        <v>0</v>
      </c>
      <c r="Z639" s="40">
        <f>IF($A639="",0,DAY($A639))</f>
        <v>0</v>
      </c>
      <c r="AA639" s="40">
        <f>IF($A639="",0,WEEKDAY($A639))</f>
        <v>0</v>
      </c>
      <c r="AB639" s="36">
        <f>IF(AND($C639="Despesa",U639&gt;0,U639&lt;=Sel_Idx,V639&gt;=Sel_Idx),N(R639)+ROW()/1000000000,0)</f>
        <v>0</v>
      </c>
      <c r="AC639" s="40">
        <f>IF(AND($C639="Despesa",U639&gt;0,U639&lt;=Sel_Idx,V639&gt;=Sel_Idx),Z639*10000+ROW(),0)</f>
        <v>0</v>
      </c>
      <c r="AD639" s="40">
        <f>IF(AC639=0,0,COUNTIFS(L_CalChave,"&gt;0",L_CalChave,"&lt;"&amp;AC639)+1)</f>
        <v>0</v>
      </c>
    </row>
    <row r="640">
      <c r="A640" s="38" t="n"/>
      <c r="B640" s="39" t="n"/>
      <c r="C640" s="34" t="n"/>
      <c r="D640" s="34" t="n"/>
      <c r="E640" s="34" t="n"/>
      <c r="F640" s="34" t="n"/>
      <c r="G640" s="34" t="n"/>
      <c r="H640" s="37" t="n"/>
      <c r="I640" s="37" t="n"/>
      <c r="J640" s="34" t="n"/>
      <c r="K640" s="34" t="n"/>
      <c r="L640" s="34" t="n"/>
      <c r="M640" s="39" t="n"/>
      <c r="N640" s="35" t="n"/>
      <c r="O640" s="40" t="str">
        <f>IF($A640="","",MONTH($A640))</f>
        <v/>
      </c>
      <c r="P640" s="40" t="str">
        <f>IF($A640="","",YEAR($A640))</f>
        <v/>
      </c>
      <c r="Q640" s="41" t="str">
        <f>IF($A640="","",DATE(P640,O640,1))</f>
        <v/>
      </c>
      <c r="R640" s="36" t="str">
        <f>IF(OR($A640="",$N640=""),"",IF(AND($C640&lt;&gt;"Transferência",N($I640)&gt;1),$N640/$I640,$N640))</f>
        <v/>
      </c>
      <c r="S640" s="41" t="str">
        <f>IF(OR($A640="",$F640="",$C640&lt;&gt;"Despesa"),"",IF(COUNTIF(Cartoes_Nome,$F640)=0,"",DATE(P640,O640+IF(DAY($A640)&gt;=INDEX(Cartoes_Fech,MATCH($F640,Cartoes_Nome,0)),1,0),1)))</f>
        <v/>
      </c>
      <c r="T640" s="42" t="str">
        <f>IF($A640="","",IF(COUNTIFS(L_Data,$A640,L_Desc,$B640,L_Valor,$N640,L_Tipo,$C640)&gt;1,"⚠ Possível duplicidade",IF(OR(AND($C640="Despesa",COUNTIF(CatD_Nome,$D640)=0),AND($C640="Receita",COUNTIF(CatR_Nome,$D640)=0)),"⚠ Categoria não combina com o tipo",IF(OR($N640="",$C640=""),"⚠ Falta valor ou tipo",""))))</f>
        <v/>
      </c>
      <c r="U640" s="40">
        <f>IF($A640="",0,P640*12+O640)</f>
        <v>0</v>
      </c>
      <c r="V640" s="40">
        <f>IF($A640="",0,U640+MAX(0,N($I640)-MAX(N($H640),1)))</f>
        <v>0</v>
      </c>
      <c r="W640" s="40">
        <f>IF(S640="",0,YEAR(S640)*12+MONTH(S640))</f>
        <v>0</v>
      </c>
      <c r="X640" s="40">
        <f>IF(W640=0,0,W640+V640-U640)</f>
        <v>0</v>
      </c>
      <c r="Y640" s="36">
        <f>IF(W640=0,0,N(R640)*MAX(0,X640-MAX(W640,YEAR(Cfg_Hoje)*12+MONTH(Cfg_Hoje)+IF(DAY(Cfg_Hoje)&gt;=INDEX(Cartoes_Fech,MATCH($F640,Cartoes_Nome,0)),1,0))+1))</f>
        <v>0</v>
      </c>
      <c r="Z640" s="40">
        <f>IF($A640="",0,DAY($A640))</f>
        <v>0</v>
      </c>
      <c r="AA640" s="40">
        <f>IF($A640="",0,WEEKDAY($A640))</f>
        <v>0</v>
      </c>
      <c r="AB640" s="36">
        <f>IF(AND($C640="Despesa",U640&gt;0,U640&lt;=Sel_Idx,V640&gt;=Sel_Idx),N(R640)+ROW()/1000000000,0)</f>
        <v>0</v>
      </c>
      <c r="AC640" s="40">
        <f>IF(AND($C640="Despesa",U640&gt;0,U640&lt;=Sel_Idx,V640&gt;=Sel_Idx),Z640*10000+ROW(),0)</f>
        <v>0</v>
      </c>
      <c r="AD640" s="40">
        <f>IF(AC640=0,0,COUNTIFS(L_CalChave,"&gt;0",L_CalChave,"&lt;"&amp;AC640)+1)</f>
        <v>0</v>
      </c>
    </row>
    <row r="641">
      <c r="A641" s="38" t="n"/>
      <c r="B641" s="39" t="n"/>
      <c r="C641" s="34" t="n"/>
      <c r="D641" s="34" t="n"/>
      <c r="E641" s="34" t="n"/>
      <c r="F641" s="34" t="n"/>
      <c r="G641" s="34" t="n"/>
      <c r="H641" s="37" t="n"/>
      <c r="I641" s="37" t="n"/>
      <c r="J641" s="34" t="n"/>
      <c r="K641" s="34" t="n"/>
      <c r="L641" s="34" t="n"/>
      <c r="M641" s="39" t="n"/>
      <c r="N641" s="35" t="n"/>
      <c r="O641" s="40" t="str">
        <f>IF($A641="","",MONTH($A641))</f>
        <v/>
      </c>
      <c r="P641" s="40" t="str">
        <f>IF($A641="","",YEAR($A641))</f>
        <v/>
      </c>
      <c r="Q641" s="41" t="str">
        <f>IF($A641="","",DATE(P641,O641,1))</f>
        <v/>
      </c>
      <c r="R641" s="36" t="str">
        <f>IF(OR($A641="",$N641=""),"",IF(AND($C641&lt;&gt;"Transferência",N($I641)&gt;1),$N641/$I641,$N641))</f>
        <v/>
      </c>
      <c r="S641" s="41" t="str">
        <f>IF(OR($A641="",$F641="",$C641&lt;&gt;"Despesa"),"",IF(COUNTIF(Cartoes_Nome,$F641)=0,"",DATE(P641,O641+IF(DAY($A641)&gt;=INDEX(Cartoes_Fech,MATCH($F641,Cartoes_Nome,0)),1,0),1)))</f>
        <v/>
      </c>
      <c r="T641" s="42" t="str">
        <f>IF($A641="","",IF(COUNTIFS(L_Data,$A641,L_Desc,$B641,L_Valor,$N641,L_Tipo,$C641)&gt;1,"⚠ Possível duplicidade",IF(OR(AND($C641="Despesa",COUNTIF(CatD_Nome,$D641)=0),AND($C641="Receita",COUNTIF(CatR_Nome,$D641)=0)),"⚠ Categoria não combina com o tipo",IF(OR($N641="",$C641=""),"⚠ Falta valor ou tipo",""))))</f>
        <v/>
      </c>
      <c r="U641" s="40">
        <f>IF($A641="",0,P641*12+O641)</f>
        <v>0</v>
      </c>
      <c r="V641" s="40">
        <f>IF($A641="",0,U641+MAX(0,N($I641)-MAX(N($H641),1)))</f>
        <v>0</v>
      </c>
      <c r="W641" s="40">
        <f>IF(S641="",0,YEAR(S641)*12+MONTH(S641))</f>
        <v>0</v>
      </c>
      <c r="X641" s="40">
        <f>IF(W641=0,0,W641+V641-U641)</f>
        <v>0</v>
      </c>
      <c r="Y641" s="36">
        <f>IF(W641=0,0,N(R641)*MAX(0,X641-MAX(W641,YEAR(Cfg_Hoje)*12+MONTH(Cfg_Hoje)+IF(DAY(Cfg_Hoje)&gt;=INDEX(Cartoes_Fech,MATCH($F641,Cartoes_Nome,0)),1,0))+1))</f>
        <v>0</v>
      </c>
      <c r="Z641" s="40">
        <f>IF($A641="",0,DAY($A641))</f>
        <v>0</v>
      </c>
      <c r="AA641" s="40">
        <f>IF($A641="",0,WEEKDAY($A641))</f>
        <v>0</v>
      </c>
      <c r="AB641" s="36">
        <f>IF(AND($C641="Despesa",U641&gt;0,U641&lt;=Sel_Idx,V641&gt;=Sel_Idx),N(R641)+ROW()/1000000000,0)</f>
        <v>0</v>
      </c>
      <c r="AC641" s="40">
        <f>IF(AND($C641="Despesa",U641&gt;0,U641&lt;=Sel_Idx,V641&gt;=Sel_Idx),Z641*10000+ROW(),0)</f>
        <v>0</v>
      </c>
      <c r="AD641" s="40">
        <f>IF(AC641=0,0,COUNTIFS(L_CalChave,"&gt;0",L_CalChave,"&lt;"&amp;AC641)+1)</f>
        <v>0</v>
      </c>
    </row>
    <row r="642">
      <c r="A642" s="38" t="n"/>
      <c r="B642" s="39" t="n"/>
      <c r="C642" s="34" t="n"/>
      <c r="D642" s="34" t="n"/>
      <c r="E642" s="34" t="n"/>
      <c r="F642" s="34" t="n"/>
      <c r="G642" s="34" t="n"/>
      <c r="H642" s="37" t="n"/>
      <c r="I642" s="37" t="n"/>
      <c r="J642" s="34" t="n"/>
      <c r="K642" s="34" t="n"/>
      <c r="L642" s="34" t="n"/>
      <c r="M642" s="39" t="n"/>
      <c r="N642" s="35" t="n"/>
      <c r="O642" s="40" t="str">
        <f>IF($A642="","",MONTH($A642))</f>
        <v/>
      </c>
      <c r="P642" s="40" t="str">
        <f>IF($A642="","",YEAR($A642))</f>
        <v/>
      </c>
      <c r="Q642" s="41" t="str">
        <f>IF($A642="","",DATE(P642,O642,1))</f>
        <v/>
      </c>
      <c r="R642" s="36" t="str">
        <f>IF(OR($A642="",$N642=""),"",IF(AND($C642&lt;&gt;"Transferência",N($I642)&gt;1),$N642/$I642,$N642))</f>
        <v/>
      </c>
      <c r="S642" s="41" t="str">
        <f>IF(OR($A642="",$F642="",$C642&lt;&gt;"Despesa"),"",IF(COUNTIF(Cartoes_Nome,$F642)=0,"",DATE(P642,O642+IF(DAY($A642)&gt;=INDEX(Cartoes_Fech,MATCH($F642,Cartoes_Nome,0)),1,0),1)))</f>
        <v/>
      </c>
      <c r="T642" s="42" t="str">
        <f>IF($A642="","",IF(COUNTIFS(L_Data,$A642,L_Desc,$B642,L_Valor,$N642,L_Tipo,$C642)&gt;1,"⚠ Possível duplicidade",IF(OR(AND($C642="Despesa",COUNTIF(CatD_Nome,$D642)=0),AND($C642="Receita",COUNTIF(CatR_Nome,$D642)=0)),"⚠ Categoria não combina com o tipo",IF(OR($N642="",$C642=""),"⚠ Falta valor ou tipo",""))))</f>
        <v/>
      </c>
      <c r="U642" s="40">
        <f>IF($A642="",0,P642*12+O642)</f>
        <v>0</v>
      </c>
      <c r="V642" s="40">
        <f>IF($A642="",0,U642+MAX(0,N($I642)-MAX(N($H642),1)))</f>
        <v>0</v>
      </c>
      <c r="W642" s="40">
        <f>IF(S642="",0,YEAR(S642)*12+MONTH(S642))</f>
        <v>0</v>
      </c>
      <c r="X642" s="40">
        <f>IF(W642=0,0,W642+V642-U642)</f>
        <v>0</v>
      </c>
      <c r="Y642" s="36">
        <f>IF(W642=0,0,N(R642)*MAX(0,X642-MAX(W642,YEAR(Cfg_Hoje)*12+MONTH(Cfg_Hoje)+IF(DAY(Cfg_Hoje)&gt;=INDEX(Cartoes_Fech,MATCH($F642,Cartoes_Nome,0)),1,0))+1))</f>
        <v>0</v>
      </c>
      <c r="Z642" s="40">
        <f>IF($A642="",0,DAY($A642))</f>
        <v>0</v>
      </c>
      <c r="AA642" s="40">
        <f>IF($A642="",0,WEEKDAY($A642))</f>
        <v>0</v>
      </c>
      <c r="AB642" s="36">
        <f>IF(AND($C642="Despesa",U642&gt;0,U642&lt;=Sel_Idx,V642&gt;=Sel_Idx),N(R642)+ROW()/1000000000,0)</f>
        <v>0</v>
      </c>
      <c r="AC642" s="40">
        <f>IF(AND($C642="Despesa",U642&gt;0,U642&lt;=Sel_Idx,V642&gt;=Sel_Idx),Z642*10000+ROW(),0)</f>
        <v>0</v>
      </c>
      <c r="AD642" s="40">
        <f>IF(AC642=0,0,COUNTIFS(L_CalChave,"&gt;0",L_CalChave,"&lt;"&amp;AC642)+1)</f>
        <v>0</v>
      </c>
    </row>
    <row r="643">
      <c r="A643" s="38" t="n"/>
      <c r="B643" s="39" t="n"/>
      <c r="C643" s="34" t="n"/>
      <c r="D643" s="34" t="n"/>
      <c r="E643" s="34" t="n"/>
      <c r="F643" s="34" t="n"/>
      <c r="G643" s="34" t="n"/>
      <c r="H643" s="37" t="n"/>
      <c r="I643" s="37" t="n"/>
      <c r="J643" s="34" t="n"/>
      <c r="K643" s="34" t="n"/>
      <c r="L643" s="34" t="n"/>
      <c r="M643" s="39" t="n"/>
      <c r="N643" s="35" t="n"/>
      <c r="O643" s="40" t="str">
        <f>IF($A643="","",MONTH($A643))</f>
        <v/>
      </c>
      <c r="P643" s="40" t="str">
        <f>IF($A643="","",YEAR($A643))</f>
        <v/>
      </c>
      <c r="Q643" s="41" t="str">
        <f>IF($A643="","",DATE(P643,O643,1))</f>
        <v/>
      </c>
      <c r="R643" s="36" t="str">
        <f>IF(OR($A643="",$N643=""),"",IF(AND($C643&lt;&gt;"Transferência",N($I643)&gt;1),$N643/$I643,$N643))</f>
        <v/>
      </c>
      <c r="S643" s="41" t="str">
        <f>IF(OR($A643="",$F643="",$C643&lt;&gt;"Despesa"),"",IF(COUNTIF(Cartoes_Nome,$F643)=0,"",DATE(P643,O643+IF(DAY($A643)&gt;=INDEX(Cartoes_Fech,MATCH($F643,Cartoes_Nome,0)),1,0),1)))</f>
        <v/>
      </c>
      <c r="T643" s="42" t="str">
        <f>IF($A643="","",IF(COUNTIFS(L_Data,$A643,L_Desc,$B643,L_Valor,$N643,L_Tipo,$C643)&gt;1,"⚠ Possível duplicidade",IF(OR(AND($C643="Despesa",COUNTIF(CatD_Nome,$D643)=0),AND($C643="Receita",COUNTIF(CatR_Nome,$D643)=0)),"⚠ Categoria não combina com o tipo",IF(OR($N643="",$C643=""),"⚠ Falta valor ou tipo",""))))</f>
        <v/>
      </c>
      <c r="U643" s="40">
        <f>IF($A643="",0,P643*12+O643)</f>
        <v>0</v>
      </c>
      <c r="V643" s="40">
        <f>IF($A643="",0,U643+MAX(0,N($I643)-MAX(N($H643),1)))</f>
        <v>0</v>
      </c>
      <c r="W643" s="40">
        <f>IF(S643="",0,YEAR(S643)*12+MONTH(S643))</f>
        <v>0</v>
      </c>
      <c r="X643" s="40">
        <f>IF(W643=0,0,W643+V643-U643)</f>
        <v>0</v>
      </c>
      <c r="Y643" s="36">
        <f>IF(W643=0,0,N(R643)*MAX(0,X643-MAX(W643,YEAR(Cfg_Hoje)*12+MONTH(Cfg_Hoje)+IF(DAY(Cfg_Hoje)&gt;=INDEX(Cartoes_Fech,MATCH($F643,Cartoes_Nome,0)),1,0))+1))</f>
        <v>0</v>
      </c>
      <c r="Z643" s="40">
        <f>IF($A643="",0,DAY($A643))</f>
        <v>0</v>
      </c>
      <c r="AA643" s="40">
        <f>IF($A643="",0,WEEKDAY($A643))</f>
        <v>0</v>
      </c>
      <c r="AB643" s="36">
        <f>IF(AND($C643="Despesa",U643&gt;0,U643&lt;=Sel_Idx,V643&gt;=Sel_Idx),N(R643)+ROW()/1000000000,0)</f>
        <v>0</v>
      </c>
      <c r="AC643" s="40">
        <f>IF(AND($C643="Despesa",U643&gt;0,U643&lt;=Sel_Idx,V643&gt;=Sel_Idx),Z643*10000+ROW(),0)</f>
        <v>0</v>
      </c>
      <c r="AD643" s="40">
        <f>IF(AC643=0,0,COUNTIFS(L_CalChave,"&gt;0",L_CalChave,"&lt;"&amp;AC643)+1)</f>
        <v>0</v>
      </c>
    </row>
    <row r="644">
      <c r="A644" s="38" t="n"/>
      <c r="B644" s="39" t="n"/>
      <c r="C644" s="34" t="n"/>
      <c r="D644" s="34" t="n"/>
      <c r="E644" s="34" t="n"/>
      <c r="F644" s="34" t="n"/>
      <c r="G644" s="34" t="n"/>
      <c r="H644" s="37" t="n"/>
      <c r="I644" s="37" t="n"/>
      <c r="J644" s="34" t="n"/>
      <c r="K644" s="34" t="n"/>
      <c r="L644" s="34" t="n"/>
      <c r="M644" s="39" t="n"/>
      <c r="N644" s="35" t="n"/>
      <c r="O644" s="40" t="str">
        <f>IF($A644="","",MONTH($A644))</f>
        <v/>
      </c>
      <c r="P644" s="40" t="str">
        <f>IF($A644="","",YEAR($A644))</f>
        <v/>
      </c>
      <c r="Q644" s="41" t="str">
        <f>IF($A644="","",DATE(P644,O644,1))</f>
        <v/>
      </c>
      <c r="R644" s="36" t="str">
        <f>IF(OR($A644="",$N644=""),"",IF(AND($C644&lt;&gt;"Transferência",N($I644)&gt;1),$N644/$I644,$N644))</f>
        <v/>
      </c>
      <c r="S644" s="41" t="str">
        <f>IF(OR($A644="",$F644="",$C644&lt;&gt;"Despesa"),"",IF(COUNTIF(Cartoes_Nome,$F644)=0,"",DATE(P644,O644+IF(DAY($A644)&gt;=INDEX(Cartoes_Fech,MATCH($F644,Cartoes_Nome,0)),1,0),1)))</f>
        <v/>
      </c>
      <c r="T644" s="42" t="str">
        <f>IF($A644="","",IF(COUNTIFS(L_Data,$A644,L_Desc,$B644,L_Valor,$N644,L_Tipo,$C644)&gt;1,"⚠ Possível duplicidade",IF(OR(AND($C644="Despesa",COUNTIF(CatD_Nome,$D644)=0),AND($C644="Receita",COUNTIF(CatR_Nome,$D644)=0)),"⚠ Categoria não combina com o tipo",IF(OR($N644="",$C644=""),"⚠ Falta valor ou tipo",""))))</f>
        <v/>
      </c>
      <c r="U644" s="40">
        <f>IF($A644="",0,P644*12+O644)</f>
        <v>0</v>
      </c>
      <c r="V644" s="40">
        <f>IF($A644="",0,U644+MAX(0,N($I644)-MAX(N($H644),1)))</f>
        <v>0</v>
      </c>
      <c r="W644" s="40">
        <f>IF(S644="",0,YEAR(S644)*12+MONTH(S644))</f>
        <v>0</v>
      </c>
      <c r="X644" s="40">
        <f>IF(W644=0,0,W644+V644-U644)</f>
        <v>0</v>
      </c>
      <c r="Y644" s="36">
        <f>IF(W644=0,0,N(R644)*MAX(0,X644-MAX(W644,YEAR(Cfg_Hoje)*12+MONTH(Cfg_Hoje)+IF(DAY(Cfg_Hoje)&gt;=INDEX(Cartoes_Fech,MATCH($F644,Cartoes_Nome,0)),1,0))+1))</f>
        <v>0</v>
      </c>
      <c r="Z644" s="40">
        <f>IF($A644="",0,DAY($A644))</f>
        <v>0</v>
      </c>
      <c r="AA644" s="40">
        <f>IF($A644="",0,WEEKDAY($A644))</f>
        <v>0</v>
      </c>
      <c r="AB644" s="36">
        <f>IF(AND($C644="Despesa",U644&gt;0,U644&lt;=Sel_Idx,V644&gt;=Sel_Idx),N(R644)+ROW()/1000000000,0)</f>
        <v>0</v>
      </c>
      <c r="AC644" s="40">
        <f>IF(AND($C644="Despesa",U644&gt;0,U644&lt;=Sel_Idx,V644&gt;=Sel_Idx),Z644*10000+ROW(),0)</f>
        <v>0</v>
      </c>
      <c r="AD644" s="40">
        <f>IF(AC644=0,0,COUNTIFS(L_CalChave,"&gt;0",L_CalChave,"&lt;"&amp;AC644)+1)</f>
        <v>0</v>
      </c>
    </row>
    <row r="645">
      <c r="A645" s="38" t="n"/>
      <c r="B645" s="39" t="n"/>
      <c r="C645" s="34" t="n"/>
      <c r="D645" s="34" t="n"/>
      <c r="E645" s="34" t="n"/>
      <c r="F645" s="34" t="n"/>
      <c r="G645" s="34" t="n"/>
      <c r="H645" s="37" t="n"/>
      <c r="I645" s="37" t="n"/>
      <c r="J645" s="34" t="n"/>
      <c r="K645" s="34" t="n"/>
      <c r="L645" s="34" t="n"/>
      <c r="M645" s="39" t="n"/>
      <c r="N645" s="35" t="n"/>
      <c r="O645" s="40" t="str">
        <f>IF($A645="","",MONTH($A645))</f>
        <v/>
      </c>
      <c r="P645" s="40" t="str">
        <f>IF($A645="","",YEAR($A645))</f>
        <v/>
      </c>
      <c r="Q645" s="41" t="str">
        <f>IF($A645="","",DATE(P645,O645,1))</f>
        <v/>
      </c>
      <c r="R645" s="36" t="str">
        <f>IF(OR($A645="",$N645=""),"",IF(AND($C645&lt;&gt;"Transferência",N($I645)&gt;1),$N645/$I645,$N645))</f>
        <v/>
      </c>
      <c r="S645" s="41" t="str">
        <f>IF(OR($A645="",$F645="",$C645&lt;&gt;"Despesa"),"",IF(COUNTIF(Cartoes_Nome,$F645)=0,"",DATE(P645,O645+IF(DAY($A645)&gt;=INDEX(Cartoes_Fech,MATCH($F645,Cartoes_Nome,0)),1,0),1)))</f>
        <v/>
      </c>
      <c r="T645" s="42" t="str">
        <f>IF($A645="","",IF(COUNTIFS(L_Data,$A645,L_Desc,$B645,L_Valor,$N645,L_Tipo,$C645)&gt;1,"⚠ Possível duplicidade",IF(OR(AND($C645="Despesa",COUNTIF(CatD_Nome,$D645)=0),AND($C645="Receita",COUNTIF(CatR_Nome,$D645)=0)),"⚠ Categoria não combina com o tipo",IF(OR($N645="",$C645=""),"⚠ Falta valor ou tipo",""))))</f>
        <v/>
      </c>
      <c r="U645" s="40">
        <f>IF($A645="",0,P645*12+O645)</f>
        <v>0</v>
      </c>
      <c r="V645" s="40">
        <f>IF($A645="",0,U645+MAX(0,N($I645)-MAX(N($H645),1)))</f>
        <v>0</v>
      </c>
      <c r="W645" s="40">
        <f>IF(S645="",0,YEAR(S645)*12+MONTH(S645))</f>
        <v>0</v>
      </c>
      <c r="X645" s="40">
        <f>IF(W645=0,0,W645+V645-U645)</f>
        <v>0</v>
      </c>
      <c r="Y645" s="36">
        <f>IF(W645=0,0,N(R645)*MAX(0,X645-MAX(W645,YEAR(Cfg_Hoje)*12+MONTH(Cfg_Hoje)+IF(DAY(Cfg_Hoje)&gt;=INDEX(Cartoes_Fech,MATCH($F645,Cartoes_Nome,0)),1,0))+1))</f>
        <v>0</v>
      </c>
      <c r="Z645" s="40">
        <f>IF($A645="",0,DAY($A645))</f>
        <v>0</v>
      </c>
      <c r="AA645" s="40">
        <f>IF($A645="",0,WEEKDAY($A645))</f>
        <v>0</v>
      </c>
      <c r="AB645" s="36">
        <f>IF(AND($C645="Despesa",U645&gt;0,U645&lt;=Sel_Idx,V645&gt;=Sel_Idx),N(R645)+ROW()/1000000000,0)</f>
        <v>0</v>
      </c>
      <c r="AC645" s="40">
        <f>IF(AND($C645="Despesa",U645&gt;0,U645&lt;=Sel_Idx,V645&gt;=Sel_Idx),Z645*10000+ROW(),0)</f>
        <v>0</v>
      </c>
      <c r="AD645" s="40">
        <f>IF(AC645=0,0,COUNTIFS(L_CalChave,"&gt;0",L_CalChave,"&lt;"&amp;AC645)+1)</f>
        <v>0</v>
      </c>
    </row>
    <row r="646">
      <c r="A646" s="38" t="n"/>
      <c r="B646" s="39" t="n"/>
      <c r="C646" s="34" t="n"/>
      <c r="D646" s="34" t="n"/>
      <c r="E646" s="34" t="n"/>
      <c r="F646" s="34" t="n"/>
      <c r="G646" s="34" t="n"/>
      <c r="H646" s="37" t="n"/>
      <c r="I646" s="37" t="n"/>
      <c r="J646" s="34" t="n"/>
      <c r="K646" s="34" t="n"/>
      <c r="L646" s="34" t="n"/>
      <c r="M646" s="39" t="n"/>
      <c r="N646" s="35" t="n"/>
      <c r="O646" s="40" t="str">
        <f>IF($A646="","",MONTH($A646))</f>
        <v/>
      </c>
      <c r="P646" s="40" t="str">
        <f>IF($A646="","",YEAR($A646))</f>
        <v/>
      </c>
      <c r="Q646" s="41" t="str">
        <f>IF($A646="","",DATE(P646,O646,1))</f>
        <v/>
      </c>
      <c r="R646" s="36" t="str">
        <f>IF(OR($A646="",$N646=""),"",IF(AND($C646&lt;&gt;"Transferência",N($I646)&gt;1),$N646/$I646,$N646))</f>
        <v/>
      </c>
      <c r="S646" s="41" t="str">
        <f>IF(OR($A646="",$F646="",$C646&lt;&gt;"Despesa"),"",IF(COUNTIF(Cartoes_Nome,$F646)=0,"",DATE(P646,O646+IF(DAY($A646)&gt;=INDEX(Cartoes_Fech,MATCH($F646,Cartoes_Nome,0)),1,0),1)))</f>
        <v/>
      </c>
      <c r="T646" s="42" t="str">
        <f>IF($A646="","",IF(COUNTIFS(L_Data,$A646,L_Desc,$B646,L_Valor,$N646,L_Tipo,$C646)&gt;1,"⚠ Possível duplicidade",IF(OR(AND($C646="Despesa",COUNTIF(CatD_Nome,$D646)=0),AND($C646="Receita",COUNTIF(CatR_Nome,$D646)=0)),"⚠ Categoria não combina com o tipo",IF(OR($N646="",$C646=""),"⚠ Falta valor ou tipo",""))))</f>
        <v/>
      </c>
      <c r="U646" s="40">
        <f>IF($A646="",0,P646*12+O646)</f>
        <v>0</v>
      </c>
      <c r="V646" s="40">
        <f>IF($A646="",0,U646+MAX(0,N($I646)-MAX(N($H646),1)))</f>
        <v>0</v>
      </c>
      <c r="W646" s="40">
        <f>IF(S646="",0,YEAR(S646)*12+MONTH(S646))</f>
        <v>0</v>
      </c>
      <c r="X646" s="40">
        <f>IF(W646=0,0,W646+V646-U646)</f>
        <v>0</v>
      </c>
      <c r="Y646" s="36">
        <f>IF(W646=0,0,N(R646)*MAX(0,X646-MAX(W646,YEAR(Cfg_Hoje)*12+MONTH(Cfg_Hoje)+IF(DAY(Cfg_Hoje)&gt;=INDEX(Cartoes_Fech,MATCH($F646,Cartoes_Nome,0)),1,0))+1))</f>
        <v>0</v>
      </c>
      <c r="Z646" s="40">
        <f>IF($A646="",0,DAY($A646))</f>
        <v>0</v>
      </c>
      <c r="AA646" s="40">
        <f>IF($A646="",0,WEEKDAY($A646))</f>
        <v>0</v>
      </c>
      <c r="AB646" s="36">
        <f>IF(AND($C646="Despesa",U646&gt;0,U646&lt;=Sel_Idx,V646&gt;=Sel_Idx),N(R646)+ROW()/1000000000,0)</f>
        <v>0</v>
      </c>
      <c r="AC646" s="40">
        <f>IF(AND($C646="Despesa",U646&gt;0,U646&lt;=Sel_Idx,V646&gt;=Sel_Idx),Z646*10000+ROW(),0)</f>
        <v>0</v>
      </c>
      <c r="AD646" s="40">
        <f>IF(AC646=0,0,COUNTIFS(L_CalChave,"&gt;0",L_CalChave,"&lt;"&amp;AC646)+1)</f>
        <v>0</v>
      </c>
    </row>
    <row r="647">
      <c r="A647" s="38" t="n"/>
      <c r="B647" s="39" t="n"/>
      <c r="C647" s="34" t="n"/>
      <c r="D647" s="34" t="n"/>
      <c r="E647" s="34" t="n"/>
      <c r="F647" s="34" t="n"/>
      <c r="G647" s="34" t="n"/>
      <c r="H647" s="37" t="n"/>
      <c r="I647" s="37" t="n"/>
      <c r="J647" s="34" t="n"/>
      <c r="K647" s="34" t="n"/>
      <c r="L647" s="34" t="n"/>
      <c r="M647" s="39" t="n"/>
      <c r="N647" s="35" t="n"/>
      <c r="O647" s="40" t="str">
        <f>IF($A647="","",MONTH($A647))</f>
        <v/>
      </c>
      <c r="P647" s="40" t="str">
        <f>IF($A647="","",YEAR($A647))</f>
        <v/>
      </c>
      <c r="Q647" s="41" t="str">
        <f>IF($A647="","",DATE(P647,O647,1))</f>
        <v/>
      </c>
      <c r="R647" s="36" t="str">
        <f>IF(OR($A647="",$N647=""),"",IF(AND($C647&lt;&gt;"Transferência",N($I647)&gt;1),$N647/$I647,$N647))</f>
        <v/>
      </c>
      <c r="S647" s="41" t="str">
        <f>IF(OR($A647="",$F647="",$C647&lt;&gt;"Despesa"),"",IF(COUNTIF(Cartoes_Nome,$F647)=0,"",DATE(P647,O647+IF(DAY($A647)&gt;=INDEX(Cartoes_Fech,MATCH($F647,Cartoes_Nome,0)),1,0),1)))</f>
        <v/>
      </c>
      <c r="T647" s="42" t="str">
        <f>IF($A647="","",IF(COUNTIFS(L_Data,$A647,L_Desc,$B647,L_Valor,$N647,L_Tipo,$C647)&gt;1,"⚠ Possível duplicidade",IF(OR(AND($C647="Despesa",COUNTIF(CatD_Nome,$D647)=0),AND($C647="Receita",COUNTIF(CatR_Nome,$D647)=0)),"⚠ Categoria não combina com o tipo",IF(OR($N647="",$C647=""),"⚠ Falta valor ou tipo",""))))</f>
        <v/>
      </c>
      <c r="U647" s="40">
        <f>IF($A647="",0,P647*12+O647)</f>
        <v>0</v>
      </c>
      <c r="V647" s="40">
        <f>IF($A647="",0,U647+MAX(0,N($I647)-MAX(N($H647),1)))</f>
        <v>0</v>
      </c>
      <c r="W647" s="40">
        <f>IF(S647="",0,YEAR(S647)*12+MONTH(S647))</f>
        <v>0</v>
      </c>
      <c r="X647" s="40">
        <f>IF(W647=0,0,W647+V647-U647)</f>
        <v>0</v>
      </c>
      <c r="Y647" s="36">
        <f>IF(W647=0,0,N(R647)*MAX(0,X647-MAX(W647,YEAR(Cfg_Hoje)*12+MONTH(Cfg_Hoje)+IF(DAY(Cfg_Hoje)&gt;=INDEX(Cartoes_Fech,MATCH($F647,Cartoes_Nome,0)),1,0))+1))</f>
        <v>0</v>
      </c>
      <c r="Z647" s="40">
        <f>IF($A647="",0,DAY($A647))</f>
        <v>0</v>
      </c>
      <c r="AA647" s="40">
        <f>IF($A647="",0,WEEKDAY($A647))</f>
        <v>0</v>
      </c>
      <c r="AB647" s="36">
        <f>IF(AND($C647="Despesa",U647&gt;0,U647&lt;=Sel_Idx,V647&gt;=Sel_Idx),N(R647)+ROW()/1000000000,0)</f>
        <v>0</v>
      </c>
      <c r="AC647" s="40">
        <f>IF(AND($C647="Despesa",U647&gt;0,U647&lt;=Sel_Idx,V647&gt;=Sel_Idx),Z647*10000+ROW(),0)</f>
        <v>0</v>
      </c>
      <c r="AD647" s="40">
        <f>IF(AC647=0,0,COUNTIFS(L_CalChave,"&gt;0",L_CalChave,"&lt;"&amp;AC647)+1)</f>
        <v>0</v>
      </c>
    </row>
    <row r="648">
      <c r="A648" s="38" t="n"/>
      <c r="B648" s="39" t="n"/>
      <c r="C648" s="34" t="n"/>
      <c r="D648" s="34" t="n"/>
      <c r="E648" s="34" t="n"/>
      <c r="F648" s="34" t="n"/>
      <c r="G648" s="34" t="n"/>
      <c r="H648" s="37" t="n"/>
      <c r="I648" s="37" t="n"/>
      <c r="J648" s="34" t="n"/>
      <c r="K648" s="34" t="n"/>
      <c r="L648" s="34" t="n"/>
      <c r="M648" s="39" t="n"/>
      <c r="N648" s="35" t="n"/>
      <c r="O648" s="40" t="str">
        <f>IF($A648="","",MONTH($A648))</f>
        <v/>
      </c>
      <c r="P648" s="40" t="str">
        <f>IF($A648="","",YEAR($A648))</f>
        <v/>
      </c>
      <c r="Q648" s="41" t="str">
        <f>IF($A648="","",DATE(P648,O648,1))</f>
        <v/>
      </c>
      <c r="R648" s="36" t="str">
        <f>IF(OR($A648="",$N648=""),"",IF(AND($C648&lt;&gt;"Transferência",N($I648)&gt;1),$N648/$I648,$N648))</f>
        <v/>
      </c>
      <c r="S648" s="41" t="str">
        <f>IF(OR($A648="",$F648="",$C648&lt;&gt;"Despesa"),"",IF(COUNTIF(Cartoes_Nome,$F648)=0,"",DATE(P648,O648+IF(DAY($A648)&gt;=INDEX(Cartoes_Fech,MATCH($F648,Cartoes_Nome,0)),1,0),1)))</f>
        <v/>
      </c>
      <c r="T648" s="42" t="str">
        <f>IF($A648="","",IF(COUNTIFS(L_Data,$A648,L_Desc,$B648,L_Valor,$N648,L_Tipo,$C648)&gt;1,"⚠ Possível duplicidade",IF(OR(AND($C648="Despesa",COUNTIF(CatD_Nome,$D648)=0),AND($C648="Receita",COUNTIF(CatR_Nome,$D648)=0)),"⚠ Categoria não combina com o tipo",IF(OR($N648="",$C648=""),"⚠ Falta valor ou tipo",""))))</f>
        <v/>
      </c>
      <c r="U648" s="40">
        <f>IF($A648="",0,P648*12+O648)</f>
        <v>0</v>
      </c>
      <c r="V648" s="40">
        <f>IF($A648="",0,U648+MAX(0,N($I648)-MAX(N($H648),1)))</f>
        <v>0</v>
      </c>
      <c r="W648" s="40">
        <f>IF(S648="",0,YEAR(S648)*12+MONTH(S648))</f>
        <v>0</v>
      </c>
      <c r="X648" s="40">
        <f>IF(W648=0,0,W648+V648-U648)</f>
        <v>0</v>
      </c>
      <c r="Y648" s="36">
        <f>IF(W648=0,0,N(R648)*MAX(0,X648-MAX(W648,YEAR(Cfg_Hoje)*12+MONTH(Cfg_Hoje)+IF(DAY(Cfg_Hoje)&gt;=INDEX(Cartoes_Fech,MATCH($F648,Cartoes_Nome,0)),1,0))+1))</f>
        <v>0</v>
      </c>
      <c r="Z648" s="40">
        <f>IF($A648="",0,DAY($A648))</f>
        <v>0</v>
      </c>
      <c r="AA648" s="40">
        <f>IF($A648="",0,WEEKDAY($A648))</f>
        <v>0</v>
      </c>
      <c r="AB648" s="36">
        <f>IF(AND($C648="Despesa",U648&gt;0,U648&lt;=Sel_Idx,V648&gt;=Sel_Idx),N(R648)+ROW()/1000000000,0)</f>
        <v>0</v>
      </c>
      <c r="AC648" s="40">
        <f>IF(AND($C648="Despesa",U648&gt;0,U648&lt;=Sel_Idx,V648&gt;=Sel_Idx),Z648*10000+ROW(),0)</f>
        <v>0</v>
      </c>
      <c r="AD648" s="40">
        <f>IF(AC648=0,0,COUNTIFS(L_CalChave,"&gt;0",L_CalChave,"&lt;"&amp;AC648)+1)</f>
        <v>0</v>
      </c>
    </row>
    <row r="649">
      <c r="A649" s="38" t="n"/>
      <c r="B649" s="39" t="n"/>
      <c r="C649" s="34" t="n"/>
      <c r="D649" s="34" t="n"/>
      <c r="E649" s="34" t="n"/>
      <c r="F649" s="34" t="n"/>
      <c r="G649" s="34" t="n"/>
      <c r="H649" s="37" t="n"/>
      <c r="I649" s="37" t="n"/>
      <c r="J649" s="34" t="n"/>
      <c r="K649" s="34" t="n"/>
      <c r="L649" s="34" t="n"/>
      <c r="M649" s="39" t="n"/>
      <c r="N649" s="35" t="n"/>
      <c r="O649" s="40" t="str">
        <f>IF($A649="","",MONTH($A649))</f>
        <v/>
      </c>
      <c r="P649" s="40" t="str">
        <f>IF($A649="","",YEAR($A649))</f>
        <v/>
      </c>
      <c r="Q649" s="41" t="str">
        <f>IF($A649="","",DATE(P649,O649,1))</f>
        <v/>
      </c>
      <c r="R649" s="36" t="str">
        <f>IF(OR($A649="",$N649=""),"",IF(AND($C649&lt;&gt;"Transferência",N($I649)&gt;1),$N649/$I649,$N649))</f>
        <v/>
      </c>
      <c r="S649" s="41" t="str">
        <f>IF(OR($A649="",$F649="",$C649&lt;&gt;"Despesa"),"",IF(COUNTIF(Cartoes_Nome,$F649)=0,"",DATE(P649,O649+IF(DAY($A649)&gt;=INDEX(Cartoes_Fech,MATCH($F649,Cartoes_Nome,0)),1,0),1)))</f>
        <v/>
      </c>
      <c r="T649" s="42" t="str">
        <f>IF($A649="","",IF(COUNTIFS(L_Data,$A649,L_Desc,$B649,L_Valor,$N649,L_Tipo,$C649)&gt;1,"⚠ Possível duplicidade",IF(OR(AND($C649="Despesa",COUNTIF(CatD_Nome,$D649)=0),AND($C649="Receita",COUNTIF(CatR_Nome,$D649)=0)),"⚠ Categoria não combina com o tipo",IF(OR($N649="",$C649=""),"⚠ Falta valor ou tipo",""))))</f>
        <v/>
      </c>
      <c r="U649" s="40">
        <f>IF($A649="",0,P649*12+O649)</f>
        <v>0</v>
      </c>
      <c r="V649" s="40">
        <f>IF($A649="",0,U649+MAX(0,N($I649)-MAX(N($H649),1)))</f>
        <v>0</v>
      </c>
      <c r="W649" s="40">
        <f>IF(S649="",0,YEAR(S649)*12+MONTH(S649))</f>
        <v>0</v>
      </c>
      <c r="X649" s="40">
        <f>IF(W649=0,0,W649+V649-U649)</f>
        <v>0</v>
      </c>
      <c r="Y649" s="36">
        <f>IF(W649=0,0,N(R649)*MAX(0,X649-MAX(W649,YEAR(Cfg_Hoje)*12+MONTH(Cfg_Hoje)+IF(DAY(Cfg_Hoje)&gt;=INDEX(Cartoes_Fech,MATCH($F649,Cartoes_Nome,0)),1,0))+1))</f>
        <v>0</v>
      </c>
      <c r="Z649" s="40">
        <f>IF($A649="",0,DAY($A649))</f>
        <v>0</v>
      </c>
      <c r="AA649" s="40">
        <f>IF($A649="",0,WEEKDAY($A649))</f>
        <v>0</v>
      </c>
      <c r="AB649" s="36">
        <f>IF(AND($C649="Despesa",U649&gt;0,U649&lt;=Sel_Idx,V649&gt;=Sel_Idx),N(R649)+ROW()/1000000000,0)</f>
        <v>0</v>
      </c>
      <c r="AC649" s="40">
        <f>IF(AND($C649="Despesa",U649&gt;0,U649&lt;=Sel_Idx,V649&gt;=Sel_Idx),Z649*10000+ROW(),0)</f>
        <v>0</v>
      </c>
      <c r="AD649" s="40">
        <f>IF(AC649=0,0,COUNTIFS(L_CalChave,"&gt;0",L_CalChave,"&lt;"&amp;AC649)+1)</f>
        <v>0</v>
      </c>
    </row>
    <row r="650">
      <c r="A650" s="38" t="n"/>
      <c r="B650" s="39" t="n"/>
      <c r="C650" s="34" t="n"/>
      <c r="D650" s="34" t="n"/>
      <c r="E650" s="34" t="n"/>
      <c r="F650" s="34" t="n"/>
      <c r="G650" s="34" t="n"/>
      <c r="H650" s="37" t="n"/>
      <c r="I650" s="37" t="n"/>
      <c r="J650" s="34" t="n"/>
      <c r="K650" s="34" t="n"/>
      <c r="L650" s="34" t="n"/>
      <c r="M650" s="39" t="n"/>
      <c r="N650" s="35" t="n"/>
      <c r="O650" s="40" t="str">
        <f>IF($A650="","",MONTH($A650))</f>
        <v/>
      </c>
      <c r="P650" s="40" t="str">
        <f>IF($A650="","",YEAR($A650))</f>
        <v/>
      </c>
      <c r="Q650" s="41" t="str">
        <f>IF($A650="","",DATE(P650,O650,1))</f>
        <v/>
      </c>
      <c r="R650" s="36" t="str">
        <f>IF(OR($A650="",$N650=""),"",IF(AND($C650&lt;&gt;"Transferência",N($I650)&gt;1),$N650/$I650,$N650))</f>
        <v/>
      </c>
      <c r="S650" s="41" t="str">
        <f>IF(OR($A650="",$F650="",$C650&lt;&gt;"Despesa"),"",IF(COUNTIF(Cartoes_Nome,$F650)=0,"",DATE(P650,O650+IF(DAY($A650)&gt;=INDEX(Cartoes_Fech,MATCH($F650,Cartoes_Nome,0)),1,0),1)))</f>
        <v/>
      </c>
      <c r="T650" s="42" t="str">
        <f>IF($A650="","",IF(COUNTIFS(L_Data,$A650,L_Desc,$B650,L_Valor,$N650,L_Tipo,$C650)&gt;1,"⚠ Possível duplicidade",IF(OR(AND($C650="Despesa",COUNTIF(CatD_Nome,$D650)=0),AND($C650="Receita",COUNTIF(CatR_Nome,$D650)=0)),"⚠ Categoria não combina com o tipo",IF(OR($N650="",$C650=""),"⚠ Falta valor ou tipo",""))))</f>
        <v/>
      </c>
      <c r="U650" s="40">
        <f>IF($A650="",0,P650*12+O650)</f>
        <v>0</v>
      </c>
      <c r="V650" s="40">
        <f>IF($A650="",0,U650+MAX(0,N($I650)-MAX(N($H650),1)))</f>
        <v>0</v>
      </c>
      <c r="W650" s="40">
        <f>IF(S650="",0,YEAR(S650)*12+MONTH(S650))</f>
        <v>0</v>
      </c>
      <c r="X650" s="40">
        <f>IF(W650=0,0,W650+V650-U650)</f>
        <v>0</v>
      </c>
      <c r="Y650" s="36">
        <f>IF(W650=0,0,N(R650)*MAX(0,X650-MAX(W650,YEAR(Cfg_Hoje)*12+MONTH(Cfg_Hoje)+IF(DAY(Cfg_Hoje)&gt;=INDEX(Cartoes_Fech,MATCH($F650,Cartoes_Nome,0)),1,0))+1))</f>
        <v>0</v>
      </c>
      <c r="Z650" s="40">
        <f>IF($A650="",0,DAY($A650))</f>
        <v>0</v>
      </c>
      <c r="AA650" s="40">
        <f>IF($A650="",0,WEEKDAY($A650))</f>
        <v>0</v>
      </c>
      <c r="AB650" s="36">
        <f>IF(AND($C650="Despesa",U650&gt;0,U650&lt;=Sel_Idx,V650&gt;=Sel_Idx),N(R650)+ROW()/1000000000,0)</f>
        <v>0</v>
      </c>
      <c r="AC650" s="40">
        <f>IF(AND($C650="Despesa",U650&gt;0,U650&lt;=Sel_Idx,V650&gt;=Sel_Idx),Z650*10000+ROW(),0)</f>
        <v>0</v>
      </c>
      <c r="AD650" s="40">
        <f>IF(AC650=0,0,COUNTIFS(L_CalChave,"&gt;0",L_CalChave,"&lt;"&amp;AC650)+1)</f>
        <v>0</v>
      </c>
    </row>
    <row r="651">
      <c r="A651" s="38" t="n"/>
      <c r="B651" s="39" t="n"/>
      <c r="C651" s="34" t="n"/>
      <c r="D651" s="34" t="n"/>
      <c r="E651" s="34" t="n"/>
      <c r="F651" s="34" t="n"/>
      <c r="G651" s="34" t="n"/>
      <c r="H651" s="37" t="n"/>
      <c r="I651" s="37" t="n"/>
      <c r="J651" s="34" t="n"/>
      <c r="K651" s="34" t="n"/>
      <c r="L651" s="34" t="n"/>
      <c r="M651" s="39" t="n"/>
      <c r="N651" s="35" t="n"/>
      <c r="O651" s="40" t="str">
        <f>IF($A651="","",MONTH($A651))</f>
        <v/>
      </c>
      <c r="P651" s="40" t="str">
        <f>IF($A651="","",YEAR($A651))</f>
        <v/>
      </c>
      <c r="Q651" s="41" t="str">
        <f>IF($A651="","",DATE(P651,O651,1))</f>
        <v/>
      </c>
      <c r="R651" s="36" t="str">
        <f>IF(OR($A651="",$N651=""),"",IF(AND($C651&lt;&gt;"Transferência",N($I651)&gt;1),$N651/$I651,$N651))</f>
        <v/>
      </c>
      <c r="S651" s="41" t="str">
        <f>IF(OR($A651="",$F651="",$C651&lt;&gt;"Despesa"),"",IF(COUNTIF(Cartoes_Nome,$F651)=0,"",DATE(P651,O651+IF(DAY($A651)&gt;=INDEX(Cartoes_Fech,MATCH($F651,Cartoes_Nome,0)),1,0),1)))</f>
        <v/>
      </c>
      <c r="T651" s="42" t="str">
        <f>IF($A651="","",IF(COUNTIFS(L_Data,$A651,L_Desc,$B651,L_Valor,$N651,L_Tipo,$C651)&gt;1,"⚠ Possível duplicidade",IF(OR(AND($C651="Despesa",COUNTIF(CatD_Nome,$D651)=0),AND($C651="Receita",COUNTIF(CatR_Nome,$D651)=0)),"⚠ Categoria não combina com o tipo",IF(OR($N651="",$C651=""),"⚠ Falta valor ou tipo",""))))</f>
        <v/>
      </c>
      <c r="U651" s="40">
        <f>IF($A651="",0,P651*12+O651)</f>
        <v>0</v>
      </c>
      <c r="V651" s="40">
        <f>IF($A651="",0,U651+MAX(0,N($I651)-MAX(N($H651),1)))</f>
        <v>0</v>
      </c>
      <c r="W651" s="40">
        <f>IF(S651="",0,YEAR(S651)*12+MONTH(S651))</f>
        <v>0</v>
      </c>
      <c r="X651" s="40">
        <f>IF(W651=0,0,W651+V651-U651)</f>
        <v>0</v>
      </c>
      <c r="Y651" s="36">
        <f>IF(W651=0,0,N(R651)*MAX(0,X651-MAX(W651,YEAR(Cfg_Hoje)*12+MONTH(Cfg_Hoje)+IF(DAY(Cfg_Hoje)&gt;=INDEX(Cartoes_Fech,MATCH($F651,Cartoes_Nome,0)),1,0))+1))</f>
        <v>0</v>
      </c>
      <c r="Z651" s="40">
        <f>IF($A651="",0,DAY($A651))</f>
        <v>0</v>
      </c>
      <c r="AA651" s="40">
        <f>IF($A651="",0,WEEKDAY($A651))</f>
        <v>0</v>
      </c>
      <c r="AB651" s="36">
        <f>IF(AND($C651="Despesa",U651&gt;0,U651&lt;=Sel_Idx,V651&gt;=Sel_Idx),N(R651)+ROW()/1000000000,0)</f>
        <v>0</v>
      </c>
      <c r="AC651" s="40">
        <f>IF(AND($C651="Despesa",U651&gt;0,U651&lt;=Sel_Idx,V651&gt;=Sel_Idx),Z651*10000+ROW(),0)</f>
        <v>0</v>
      </c>
      <c r="AD651" s="40">
        <f>IF(AC651=0,0,COUNTIFS(L_CalChave,"&gt;0",L_CalChave,"&lt;"&amp;AC651)+1)</f>
        <v>0</v>
      </c>
    </row>
    <row r="652">
      <c r="A652" s="38" t="n"/>
      <c r="B652" s="39" t="n"/>
      <c r="C652" s="34" t="n"/>
      <c r="D652" s="34" t="n"/>
      <c r="E652" s="34" t="n"/>
      <c r="F652" s="34" t="n"/>
      <c r="G652" s="34" t="n"/>
      <c r="H652" s="37" t="n"/>
      <c r="I652" s="37" t="n"/>
      <c r="J652" s="34" t="n"/>
      <c r="K652" s="34" t="n"/>
      <c r="L652" s="34" t="n"/>
      <c r="M652" s="39" t="n"/>
      <c r="N652" s="35" t="n"/>
      <c r="O652" s="40" t="str">
        <f>IF($A652="","",MONTH($A652))</f>
        <v/>
      </c>
      <c r="P652" s="40" t="str">
        <f>IF($A652="","",YEAR($A652))</f>
        <v/>
      </c>
      <c r="Q652" s="41" t="str">
        <f>IF($A652="","",DATE(P652,O652,1))</f>
        <v/>
      </c>
      <c r="R652" s="36" t="str">
        <f>IF(OR($A652="",$N652=""),"",IF(AND($C652&lt;&gt;"Transferência",N($I652)&gt;1),$N652/$I652,$N652))</f>
        <v/>
      </c>
      <c r="S652" s="41" t="str">
        <f>IF(OR($A652="",$F652="",$C652&lt;&gt;"Despesa"),"",IF(COUNTIF(Cartoes_Nome,$F652)=0,"",DATE(P652,O652+IF(DAY($A652)&gt;=INDEX(Cartoes_Fech,MATCH($F652,Cartoes_Nome,0)),1,0),1)))</f>
        <v/>
      </c>
      <c r="T652" s="42" t="str">
        <f>IF($A652="","",IF(COUNTIFS(L_Data,$A652,L_Desc,$B652,L_Valor,$N652,L_Tipo,$C652)&gt;1,"⚠ Possível duplicidade",IF(OR(AND($C652="Despesa",COUNTIF(CatD_Nome,$D652)=0),AND($C652="Receita",COUNTIF(CatR_Nome,$D652)=0)),"⚠ Categoria não combina com o tipo",IF(OR($N652="",$C652=""),"⚠ Falta valor ou tipo",""))))</f>
        <v/>
      </c>
      <c r="U652" s="40">
        <f>IF($A652="",0,P652*12+O652)</f>
        <v>0</v>
      </c>
      <c r="V652" s="40">
        <f>IF($A652="",0,U652+MAX(0,N($I652)-MAX(N($H652),1)))</f>
        <v>0</v>
      </c>
      <c r="W652" s="40">
        <f>IF(S652="",0,YEAR(S652)*12+MONTH(S652))</f>
        <v>0</v>
      </c>
      <c r="X652" s="40">
        <f>IF(W652=0,0,W652+V652-U652)</f>
        <v>0</v>
      </c>
      <c r="Y652" s="36">
        <f>IF(W652=0,0,N(R652)*MAX(0,X652-MAX(W652,YEAR(Cfg_Hoje)*12+MONTH(Cfg_Hoje)+IF(DAY(Cfg_Hoje)&gt;=INDEX(Cartoes_Fech,MATCH($F652,Cartoes_Nome,0)),1,0))+1))</f>
        <v>0</v>
      </c>
      <c r="Z652" s="40">
        <f>IF($A652="",0,DAY($A652))</f>
        <v>0</v>
      </c>
      <c r="AA652" s="40">
        <f>IF($A652="",0,WEEKDAY($A652))</f>
        <v>0</v>
      </c>
      <c r="AB652" s="36">
        <f>IF(AND($C652="Despesa",U652&gt;0,U652&lt;=Sel_Idx,V652&gt;=Sel_Idx),N(R652)+ROW()/1000000000,0)</f>
        <v>0</v>
      </c>
      <c r="AC652" s="40">
        <f>IF(AND($C652="Despesa",U652&gt;0,U652&lt;=Sel_Idx,V652&gt;=Sel_Idx),Z652*10000+ROW(),0)</f>
        <v>0</v>
      </c>
      <c r="AD652" s="40">
        <f>IF(AC652=0,0,COUNTIFS(L_CalChave,"&gt;0",L_CalChave,"&lt;"&amp;AC652)+1)</f>
        <v>0</v>
      </c>
    </row>
    <row r="653">
      <c r="A653" s="38" t="n"/>
      <c r="B653" s="39" t="n"/>
      <c r="C653" s="34" t="n"/>
      <c r="D653" s="34" t="n"/>
      <c r="E653" s="34" t="n"/>
      <c r="F653" s="34" t="n"/>
      <c r="G653" s="34" t="n"/>
      <c r="H653" s="37" t="n"/>
      <c r="I653" s="37" t="n"/>
      <c r="J653" s="34" t="n"/>
      <c r="K653" s="34" t="n"/>
      <c r="L653" s="34" t="n"/>
      <c r="M653" s="39" t="n"/>
      <c r="N653" s="35" t="n"/>
      <c r="O653" s="40" t="str">
        <f>IF($A653="","",MONTH($A653))</f>
        <v/>
      </c>
      <c r="P653" s="40" t="str">
        <f>IF($A653="","",YEAR($A653))</f>
        <v/>
      </c>
      <c r="Q653" s="41" t="str">
        <f>IF($A653="","",DATE(P653,O653,1))</f>
        <v/>
      </c>
      <c r="R653" s="36" t="str">
        <f>IF(OR($A653="",$N653=""),"",IF(AND($C653&lt;&gt;"Transferência",N($I653)&gt;1),$N653/$I653,$N653))</f>
        <v/>
      </c>
      <c r="S653" s="41" t="str">
        <f>IF(OR($A653="",$F653="",$C653&lt;&gt;"Despesa"),"",IF(COUNTIF(Cartoes_Nome,$F653)=0,"",DATE(P653,O653+IF(DAY($A653)&gt;=INDEX(Cartoes_Fech,MATCH($F653,Cartoes_Nome,0)),1,0),1)))</f>
        <v/>
      </c>
      <c r="T653" s="42" t="str">
        <f>IF($A653="","",IF(COUNTIFS(L_Data,$A653,L_Desc,$B653,L_Valor,$N653,L_Tipo,$C653)&gt;1,"⚠ Possível duplicidade",IF(OR(AND($C653="Despesa",COUNTIF(CatD_Nome,$D653)=0),AND($C653="Receita",COUNTIF(CatR_Nome,$D653)=0)),"⚠ Categoria não combina com o tipo",IF(OR($N653="",$C653=""),"⚠ Falta valor ou tipo",""))))</f>
        <v/>
      </c>
      <c r="U653" s="40">
        <f>IF($A653="",0,P653*12+O653)</f>
        <v>0</v>
      </c>
      <c r="V653" s="40">
        <f>IF($A653="",0,U653+MAX(0,N($I653)-MAX(N($H653),1)))</f>
        <v>0</v>
      </c>
      <c r="W653" s="40">
        <f>IF(S653="",0,YEAR(S653)*12+MONTH(S653))</f>
        <v>0</v>
      </c>
      <c r="X653" s="40">
        <f>IF(W653=0,0,W653+V653-U653)</f>
        <v>0</v>
      </c>
      <c r="Y653" s="36">
        <f>IF(W653=0,0,N(R653)*MAX(0,X653-MAX(W653,YEAR(Cfg_Hoje)*12+MONTH(Cfg_Hoje)+IF(DAY(Cfg_Hoje)&gt;=INDEX(Cartoes_Fech,MATCH($F653,Cartoes_Nome,0)),1,0))+1))</f>
        <v>0</v>
      </c>
      <c r="Z653" s="40">
        <f>IF($A653="",0,DAY($A653))</f>
        <v>0</v>
      </c>
      <c r="AA653" s="40">
        <f>IF($A653="",0,WEEKDAY($A653))</f>
        <v>0</v>
      </c>
      <c r="AB653" s="36">
        <f>IF(AND($C653="Despesa",U653&gt;0,U653&lt;=Sel_Idx,V653&gt;=Sel_Idx),N(R653)+ROW()/1000000000,0)</f>
        <v>0</v>
      </c>
      <c r="AC653" s="40">
        <f>IF(AND($C653="Despesa",U653&gt;0,U653&lt;=Sel_Idx,V653&gt;=Sel_Idx),Z653*10000+ROW(),0)</f>
        <v>0</v>
      </c>
      <c r="AD653" s="40">
        <f>IF(AC653=0,0,COUNTIFS(L_CalChave,"&gt;0",L_CalChave,"&lt;"&amp;AC653)+1)</f>
        <v>0</v>
      </c>
    </row>
    <row r="654">
      <c r="A654" s="38" t="n"/>
      <c r="B654" s="39" t="n"/>
      <c r="C654" s="34" t="n"/>
      <c r="D654" s="34" t="n"/>
      <c r="E654" s="34" t="n"/>
      <c r="F654" s="34" t="n"/>
      <c r="G654" s="34" t="n"/>
      <c r="H654" s="37" t="n"/>
      <c r="I654" s="37" t="n"/>
      <c r="J654" s="34" t="n"/>
      <c r="K654" s="34" t="n"/>
      <c r="L654" s="34" t="n"/>
      <c r="M654" s="39" t="n"/>
      <c r="N654" s="35" t="n"/>
      <c r="O654" s="40" t="str">
        <f>IF($A654="","",MONTH($A654))</f>
        <v/>
      </c>
      <c r="P654" s="40" t="str">
        <f>IF($A654="","",YEAR($A654))</f>
        <v/>
      </c>
      <c r="Q654" s="41" t="str">
        <f>IF($A654="","",DATE(P654,O654,1))</f>
        <v/>
      </c>
      <c r="R654" s="36" t="str">
        <f>IF(OR($A654="",$N654=""),"",IF(AND($C654&lt;&gt;"Transferência",N($I654)&gt;1),$N654/$I654,$N654))</f>
        <v/>
      </c>
      <c r="S654" s="41" t="str">
        <f>IF(OR($A654="",$F654="",$C654&lt;&gt;"Despesa"),"",IF(COUNTIF(Cartoes_Nome,$F654)=0,"",DATE(P654,O654+IF(DAY($A654)&gt;=INDEX(Cartoes_Fech,MATCH($F654,Cartoes_Nome,0)),1,0),1)))</f>
        <v/>
      </c>
      <c r="T654" s="42" t="str">
        <f>IF($A654="","",IF(COUNTIFS(L_Data,$A654,L_Desc,$B654,L_Valor,$N654,L_Tipo,$C654)&gt;1,"⚠ Possível duplicidade",IF(OR(AND($C654="Despesa",COUNTIF(CatD_Nome,$D654)=0),AND($C654="Receita",COUNTIF(CatR_Nome,$D654)=0)),"⚠ Categoria não combina com o tipo",IF(OR($N654="",$C654=""),"⚠ Falta valor ou tipo",""))))</f>
        <v/>
      </c>
      <c r="U654" s="40">
        <f>IF($A654="",0,P654*12+O654)</f>
        <v>0</v>
      </c>
      <c r="V654" s="40">
        <f>IF($A654="",0,U654+MAX(0,N($I654)-MAX(N($H654),1)))</f>
        <v>0</v>
      </c>
      <c r="W654" s="40">
        <f>IF(S654="",0,YEAR(S654)*12+MONTH(S654))</f>
        <v>0</v>
      </c>
      <c r="X654" s="40">
        <f>IF(W654=0,0,W654+V654-U654)</f>
        <v>0</v>
      </c>
      <c r="Y654" s="36">
        <f>IF(W654=0,0,N(R654)*MAX(0,X654-MAX(W654,YEAR(Cfg_Hoje)*12+MONTH(Cfg_Hoje)+IF(DAY(Cfg_Hoje)&gt;=INDEX(Cartoes_Fech,MATCH($F654,Cartoes_Nome,0)),1,0))+1))</f>
        <v>0</v>
      </c>
      <c r="Z654" s="40">
        <f>IF($A654="",0,DAY($A654))</f>
        <v>0</v>
      </c>
      <c r="AA654" s="40">
        <f>IF($A654="",0,WEEKDAY($A654))</f>
        <v>0</v>
      </c>
      <c r="AB654" s="36">
        <f>IF(AND($C654="Despesa",U654&gt;0,U654&lt;=Sel_Idx,V654&gt;=Sel_Idx),N(R654)+ROW()/1000000000,0)</f>
        <v>0</v>
      </c>
      <c r="AC654" s="40">
        <f>IF(AND($C654="Despesa",U654&gt;0,U654&lt;=Sel_Idx,V654&gt;=Sel_Idx),Z654*10000+ROW(),0)</f>
        <v>0</v>
      </c>
      <c r="AD654" s="40">
        <f>IF(AC654=0,0,COUNTIFS(L_CalChave,"&gt;0",L_CalChave,"&lt;"&amp;AC654)+1)</f>
        <v>0</v>
      </c>
    </row>
    <row r="655">
      <c r="A655" s="38" t="n"/>
      <c r="B655" s="39" t="n"/>
      <c r="C655" s="34" t="n"/>
      <c r="D655" s="34" t="n"/>
      <c r="E655" s="34" t="n"/>
      <c r="F655" s="34" t="n"/>
      <c r="G655" s="34" t="n"/>
      <c r="H655" s="37" t="n"/>
      <c r="I655" s="37" t="n"/>
      <c r="J655" s="34" t="n"/>
      <c r="K655" s="34" t="n"/>
      <c r="L655" s="34" t="n"/>
      <c r="M655" s="39" t="n"/>
      <c r="N655" s="35" t="n"/>
      <c r="O655" s="40" t="str">
        <f>IF($A655="","",MONTH($A655))</f>
        <v/>
      </c>
      <c r="P655" s="40" t="str">
        <f>IF($A655="","",YEAR($A655))</f>
        <v/>
      </c>
      <c r="Q655" s="41" t="str">
        <f>IF($A655="","",DATE(P655,O655,1))</f>
        <v/>
      </c>
      <c r="R655" s="36" t="str">
        <f>IF(OR($A655="",$N655=""),"",IF(AND($C655&lt;&gt;"Transferência",N($I655)&gt;1),$N655/$I655,$N655))</f>
        <v/>
      </c>
      <c r="S655" s="41" t="str">
        <f>IF(OR($A655="",$F655="",$C655&lt;&gt;"Despesa"),"",IF(COUNTIF(Cartoes_Nome,$F655)=0,"",DATE(P655,O655+IF(DAY($A655)&gt;=INDEX(Cartoes_Fech,MATCH($F655,Cartoes_Nome,0)),1,0),1)))</f>
        <v/>
      </c>
      <c r="T655" s="42" t="str">
        <f>IF($A655="","",IF(COUNTIFS(L_Data,$A655,L_Desc,$B655,L_Valor,$N655,L_Tipo,$C655)&gt;1,"⚠ Possível duplicidade",IF(OR(AND($C655="Despesa",COUNTIF(CatD_Nome,$D655)=0),AND($C655="Receita",COUNTIF(CatR_Nome,$D655)=0)),"⚠ Categoria não combina com o tipo",IF(OR($N655="",$C655=""),"⚠ Falta valor ou tipo",""))))</f>
        <v/>
      </c>
      <c r="U655" s="40">
        <f>IF($A655="",0,P655*12+O655)</f>
        <v>0</v>
      </c>
      <c r="V655" s="40">
        <f>IF($A655="",0,U655+MAX(0,N($I655)-MAX(N($H655),1)))</f>
        <v>0</v>
      </c>
      <c r="W655" s="40">
        <f>IF(S655="",0,YEAR(S655)*12+MONTH(S655))</f>
        <v>0</v>
      </c>
      <c r="X655" s="40">
        <f>IF(W655=0,0,W655+V655-U655)</f>
        <v>0</v>
      </c>
      <c r="Y655" s="36">
        <f>IF(W655=0,0,N(R655)*MAX(0,X655-MAX(W655,YEAR(Cfg_Hoje)*12+MONTH(Cfg_Hoje)+IF(DAY(Cfg_Hoje)&gt;=INDEX(Cartoes_Fech,MATCH($F655,Cartoes_Nome,0)),1,0))+1))</f>
        <v>0</v>
      </c>
      <c r="Z655" s="40">
        <f>IF($A655="",0,DAY($A655))</f>
        <v>0</v>
      </c>
      <c r="AA655" s="40">
        <f>IF($A655="",0,WEEKDAY($A655))</f>
        <v>0</v>
      </c>
      <c r="AB655" s="36">
        <f>IF(AND($C655="Despesa",U655&gt;0,U655&lt;=Sel_Idx,V655&gt;=Sel_Idx),N(R655)+ROW()/1000000000,0)</f>
        <v>0</v>
      </c>
      <c r="AC655" s="40">
        <f>IF(AND($C655="Despesa",U655&gt;0,U655&lt;=Sel_Idx,V655&gt;=Sel_Idx),Z655*10000+ROW(),0)</f>
        <v>0</v>
      </c>
      <c r="AD655" s="40">
        <f>IF(AC655=0,0,COUNTIFS(L_CalChave,"&gt;0",L_CalChave,"&lt;"&amp;AC655)+1)</f>
        <v>0</v>
      </c>
    </row>
    <row r="656">
      <c r="A656" s="38" t="n"/>
      <c r="B656" s="39" t="n"/>
      <c r="C656" s="34" t="n"/>
      <c r="D656" s="34" t="n"/>
      <c r="E656" s="34" t="n"/>
      <c r="F656" s="34" t="n"/>
      <c r="G656" s="34" t="n"/>
      <c r="H656" s="37" t="n"/>
      <c r="I656" s="37" t="n"/>
      <c r="J656" s="34" t="n"/>
      <c r="K656" s="34" t="n"/>
      <c r="L656" s="34" t="n"/>
      <c r="M656" s="39" t="n"/>
      <c r="N656" s="35" t="n"/>
      <c r="O656" s="40" t="str">
        <f>IF($A656="","",MONTH($A656))</f>
        <v/>
      </c>
      <c r="P656" s="40" t="str">
        <f>IF($A656="","",YEAR($A656))</f>
        <v/>
      </c>
      <c r="Q656" s="41" t="str">
        <f>IF($A656="","",DATE(P656,O656,1))</f>
        <v/>
      </c>
      <c r="R656" s="36" t="str">
        <f>IF(OR($A656="",$N656=""),"",IF(AND($C656&lt;&gt;"Transferência",N($I656)&gt;1),$N656/$I656,$N656))</f>
        <v/>
      </c>
      <c r="S656" s="41" t="str">
        <f>IF(OR($A656="",$F656="",$C656&lt;&gt;"Despesa"),"",IF(COUNTIF(Cartoes_Nome,$F656)=0,"",DATE(P656,O656+IF(DAY($A656)&gt;=INDEX(Cartoes_Fech,MATCH($F656,Cartoes_Nome,0)),1,0),1)))</f>
        <v/>
      </c>
      <c r="T656" s="42" t="str">
        <f>IF($A656="","",IF(COUNTIFS(L_Data,$A656,L_Desc,$B656,L_Valor,$N656,L_Tipo,$C656)&gt;1,"⚠ Possível duplicidade",IF(OR(AND($C656="Despesa",COUNTIF(CatD_Nome,$D656)=0),AND($C656="Receita",COUNTIF(CatR_Nome,$D656)=0)),"⚠ Categoria não combina com o tipo",IF(OR($N656="",$C656=""),"⚠ Falta valor ou tipo",""))))</f>
        <v/>
      </c>
      <c r="U656" s="40">
        <f>IF($A656="",0,P656*12+O656)</f>
        <v>0</v>
      </c>
      <c r="V656" s="40">
        <f>IF($A656="",0,U656+MAX(0,N($I656)-MAX(N($H656),1)))</f>
        <v>0</v>
      </c>
      <c r="W656" s="40">
        <f>IF(S656="",0,YEAR(S656)*12+MONTH(S656))</f>
        <v>0</v>
      </c>
      <c r="X656" s="40">
        <f>IF(W656=0,0,W656+V656-U656)</f>
        <v>0</v>
      </c>
      <c r="Y656" s="36">
        <f>IF(W656=0,0,N(R656)*MAX(0,X656-MAX(W656,YEAR(Cfg_Hoje)*12+MONTH(Cfg_Hoje)+IF(DAY(Cfg_Hoje)&gt;=INDEX(Cartoes_Fech,MATCH($F656,Cartoes_Nome,0)),1,0))+1))</f>
        <v>0</v>
      </c>
      <c r="Z656" s="40">
        <f>IF($A656="",0,DAY($A656))</f>
        <v>0</v>
      </c>
      <c r="AA656" s="40">
        <f>IF($A656="",0,WEEKDAY($A656))</f>
        <v>0</v>
      </c>
      <c r="AB656" s="36">
        <f>IF(AND($C656="Despesa",U656&gt;0,U656&lt;=Sel_Idx,V656&gt;=Sel_Idx),N(R656)+ROW()/1000000000,0)</f>
        <v>0</v>
      </c>
      <c r="AC656" s="40">
        <f>IF(AND($C656="Despesa",U656&gt;0,U656&lt;=Sel_Idx,V656&gt;=Sel_Idx),Z656*10000+ROW(),0)</f>
        <v>0</v>
      </c>
      <c r="AD656" s="40">
        <f>IF(AC656=0,0,COUNTIFS(L_CalChave,"&gt;0",L_CalChave,"&lt;"&amp;AC656)+1)</f>
        <v>0</v>
      </c>
    </row>
    <row r="657">
      <c r="A657" s="38" t="n"/>
      <c r="B657" s="39" t="n"/>
      <c r="C657" s="34" t="n"/>
      <c r="D657" s="34" t="n"/>
      <c r="E657" s="34" t="n"/>
      <c r="F657" s="34" t="n"/>
      <c r="G657" s="34" t="n"/>
      <c r="H657" s="37" t="n"/>
      <c r="I657" s="37" t="n"/>
      <c r="J657" s="34" t="n"/>
      <c r="K657" s="34" t="n"/>
      <c r="L657" s="34" t="n"/>
      <c r="M657" s="39" t="n"/>
      <c r="N657" s="35" t="n"/>
      <c r="O657" s="40" t="str">
        <f>IF($A657="","",MONTH($A657))</f>
        <v/>
      </c>
      <c r="P657" s="40" t="str">
        <f>IF($A657="","",YEAR($A657))</f>
        <v/>
      </c>
      <c r="Q657" s="41" t="str">
        <f>IF($A657="","",DATE(P657,O657,1))</f>
        <v/>
      </c>
      <c r="R657" s="36" t="str">
        <f>IF(OR($A657="",$N657=""),"",IF(AND($C657&lt;&gt;"Transferência",N($I657)&gt;1),$N657/$I657,$N657))</f>
        <v/>
      </c>
      <c r="S657" s="41" t="str">
        <f>IF(OR($A657="",$F657="",$C657&lt;&gt;"Despesa"),"",IF(COUNTIF(Cartoes_Nome,$F657)=0,"",DATE(P657,O657+IF(DAY($A657)&gt;=INDEX(Cartoes_Fech,MATCH($F657,Cartoes_Nome,0)),1,0),1)))</f>
        <v/>
      </c>
      <c r="T657" s="42" t="str">
        <f>IF($A657="","",IF(COUNTIFS(L_Data,$A657,L_Desc,$B657,L_Valor,$N657,L_Tipo,$C657)&gt;1,"⚠ Possível duplicidade",IF(OR(AND($C657="Despesa",COUNTIF(CatD_Nome,$D657)=0),AND($C657="Receita",COUNTIF(CatR_Nome,$D657)=0)),"⚠ Categoria não combina com o tipo",IF(OR($N657="",$C657=""),"⚠ Falta valor ou tipo",""))))</f>
        <v/>
      </c>
      <c r="U657" s="40">
        <f>IF($A657="",0,P657*12+O657)</f>
        <v>0</v>
      </c>
      <c r="V657" s="40">
        <f>IF($A657="",0,U657+MAX(0,N($I657)-MAX(N($H657),1)))</f>
        <v>0</v>
      </c>
      <c r="W657" s="40">
        <f>IF(S657="",0,YEAR(S657)*12+MONTH(S657))</f>
        <v>0</v>
      </c>
      <c r="X657" s="40">
        <f>IF(W657=0,0,W657+V657-U657)</f>
        <v>0</v>
      </c>
      <c r="Y657" s="36">
        <f>IF(W657=0,0,N(R657)*MAX(0,X657-MAX(W657,YEAR(Cfg_Hoje)*12+MONTH(Cfg_Hoje)+IF(DAY(Cfg_Hoje)&gt;=INDEX(Cartoes_Fech,MATCH($F657,Cartoes_Nome,0)),1,0))+1))</f>
        <v>0</v>
      </c>
      <c r="Z657" s="40">
        <f>IF($A657="",0,DAY($A657))</f>
        <v>0</v>
      </c>
      <c r="AA657" s="40">
        <f>IF($A657="",0,WEEKDAY($A657))</f>
        <v>0</v>
      </c>
      <c r="AB657" s="36">
        <f>IF(AND($C657="Despesa",U657&gt;0,U657&lt;=Sel_Idx,V657&gt;=Sel_Idx),N(R657)+ROW()/1000000000,0)</f>
        <v>0</v>
      </c>
      <c r="AC657" s="40">
        <f>IF(AND($C657="Despesa",U657&gt;0,U657&lt;=Sel_Idx,V657&gt;=Sel_Idx),Z657*10000+ROW(),0)</f>
        <v>0</v>
      </c>
      <c r="AD657" s="40">
        <f>IF(AC657=0,0,COUNTIFS(L_CalChave,"&gt;0",L_CalChave,"&lt;"&amp;AC657)+1)</f>
        <v>0</v>
      </c>
    </row>
    <row r="658">
      <c r="A658" s="38" t="n"/>
      <c r="B658" s="39" t="n"/>
      <c r="C658" s="34" t="n"/>
      <c r="D658" s="34" t="n"/>
      <c r="E658" s="34" t="n"/>
      <c r="F658" s="34" t="n"/>
      <c r="G658" s="34" t="n"/>
      <c r="H658" s="37" t="n"/>
      <c r="I658" s="37" t="n"/>
      <c r="J658" s="34" t="n"/>
      <c r="K658" s="34" t="n"/>
      <c r="L658" s="34" t="n"/>
      <c r="M658" s="39" t="n"/>
      <c r="N658" s="35" t="n"/>
      <c r="O658" s="40" t="str">
        <f>IF($A658="","",MONTH($A658))</f>
        <v/>
      </c>
      <c r="P658" s="40" t="str">
        <f>IF($A658="","",YEAR($A658))</f>
        <v/>
      </c>
      <c r="Q658" s="41" t="str">
        <f>IF($A658="","",DATE(P658,O658,1))</f>
        <v/>
      </c>
      <c r="R658" s="36" t="str">
        <f>IF(OR($A658="",$N658=""),"",IF(AND($C658&lt;&gt;"Transferência",N($I658)&gt;1),$N658/$I658,$N658))</f>
        <v/>
      </c>
      <c r="S658" s="41" t="str">
        <f>IF(OR($A658="",$F658="",$C658&lt;&gt;"Despesa"),"",IF(COUNTIF(Cartoes_Nome,$F658)=0,"",DATE(P658,O658+IF(DAY($A658)&gt;=INDEX(Cartoes_Fech,MATCH($F658,Cartoes_Nome,0)),1,0),1)))</f>
        <v/>
      </c>
      <c r="T658" s="42" t="str">
        <f>IF($A658="","",IF(COUNTIFS(L_Data,$A658,L_Desc,$B658,L_Valor,$N658,L_Tipo,$C658)&gt;1,"⚠ Possível duplicidade",IF(OR(AND($C658="Despesa",COUNTIF(CatD_Nome,$D658)=0),AND($C658="Receita",COUNTIF(CatR_Nome,$D658)=0)),"⚠ Categoria não combina com o tipo",IF(OR($N658="",$C658=""),"⚠ Falta valor ou tipo",""))))</f>
        <v/>
      </c>
      <c r="U658" s="40">
        <f>IF($A658="",0,P658*12+O658)</f>
        <v>0</v>
      </c>
      <c r="V658" s="40">
        <f>IF($A658="",0,U658+MAX(0,N($I658)-MAX(N($H658),1)))</f>
        <v>0</v>
      </c>
      <c r="W658" s="40">
        <f>IF(S658="",0,YEAR(S658)*12+MONTH(S658))</f>
        <v>0</v>
      </c>
      <c r="X658" s="40">
        <f>IF(W658=0,0,W658+V658-U658)</f>
        <v>0</v>
      </c>
      <c r="Y658" s="36">
        <f>IF(W658=0,0,N(R658)*MAX(0,X658-MAX(W658,YEAR(Cfg_Hoje)*12+MONTH(Cfg_Hoje)+IF(DAY(Cfg_Hoje)&gt;=INDEX(Cartoes_Fech,MATCH($F658,Cartoes_Nome,0)),1,0))+1))</f>
        <v>0</v>
      </c>
      <c r="Z658" s="40">
        <f>IF($A658="",0,DAY($A658))</f>
        <v>0</v>
      </c>
      <c r="AA658" s="40">
        <f>IF($A658="",0,WEEKDAY($A658))</f>
        <v>0</v>
      </c>
      <c r="AB658" s="36">
        <f>IF(AND($C658="Despesa",U658&gt;0,U658&lt;=Sel_Idx,V658&gt;=Sel_Idx),N(R658)+ROW()/1000000000,0)</f>
        <v>0</v>
      </c>
      <c r="AC658" s="40">
        <f>IF(AND($C658="Despesa",U658&gt;0,U658&lt;=Sel_Idx,V658&gt;=Sel_Idx),Z658*10000+ROW(),0)</f>
        <v>0</v>
      </c>
      <c r="AD658" s="40">
        <f>IF(AC658=0,0,COUNTIFS(L_CalChave,"&gt;0",L_CalChave,"&lt;"&amp;AC658)+1)</f>
        <v>0</v>
      </c>
    </row>
    <row r="659">
      <c r="A659" s="38" t="n"/>
      <c r="B659" s="39" t="n"/>
      <c r="C659" s="34" t="n"/>
      <c r="D659" s="34" t="n"/>
      <c r="E659" s="34" t="n"/>
      <c r="F659" s="34" t="n"/>
      <c r="G659" s="34" t="n"/>
      <c r="H659" s="37" t="n"/>
      <c r="I659" s="37" t="n"/>
      <c r="J659" s="34" t="n"/>
      <c r="K659" s="34" t="n"/>
      <c r="L659" s="34" t="n"/>
      <c r="M659" s="39" t="n"/>
      <c r="N659" s="35" t="n"/>
      <c r="O659" s="40" t="str">
        <f>IF($A659="","",MONTH($A659))</f>
        <v/>
      </c>
      <c r="P659" s="40" t="str">
        <f>IF($A659="","",YEAR($A659))</f>
        <v/>
      </c>
      <c r="Q659" s="41" t="str">
        <f>IF($A659="","",DATE(P659,O659,1))</f>
        <v/>
      </c>
      <c r="R659" s="36" t="str">
        <f>IF(OR($A659="",$N659=""),"",IF(AND($C659&lt;&gt;"Transferência",N($I659)&gt;1),$N659/$I659,$N659))</f>
        <v/>
      </c>
      <c r="S659" s="41" t="str">
        <f>IF(OR($A659="",$F659="",$C659&lt;&gt;"Despesa"),"",IF(COUNTIF(Cartoes_Nome,$F659)=0,"",DATE(P659,O659+IF(DAY($A659)&gt;=INDEX(Cartoes_Fech,MATCH($F659,Cartoes_Nome,0)),1,0),1)))</f>
        <v/>
      </c>
      <c r="T659" s="42" t="str">
        <f>IF($A659="","",IF(COUNTIFS(L_Data,$A659,L_Desc,$B659,L_Valor,$N659,L_Tipo,$C659)&gt;1,"⚠ Possível duplicidade",IF(OR(AND($C659="Despesa",COUNTIF(CatD_Nome,$D659)=0),AND($C659="Receita",COUNTIF(CatR_Nome,$D659)=0)),"⚠ Categoria não combina com o tipo",IF(OR($N659="",$C659=""),"⚠ Falta valor ou tipo",""))))</f>
        <v/>
      </c>
      <c r="U659" s="40">
        <f>IF($A659="",0,P659*12+O659)</f>
        <v>0</v>
      </c>
      <c r="V659" s="40">
        <f>IF($A659="",0,U659+MAX(0,N($I659)-MAX(N($H659),1)))</f>
        <v>0</v>
      </c>
      <c r="W659" s="40">
        <f>IF(S659="",0,YEAR(S659)*12+MONTH(S659))</f>
        <v>0</v>
      </c>
      <c r="X659" s="40">
        <f>IF(W659=0,0,W659+V659-U659)</f>
        <v>0</v>
      </c>
      <c r="Y659" s="36">
        <f>IF(W659=0,0,N(R659)*MAX(0,X659-MAX(W659,YEAR(Cfg_Hoje)*12+MONTH(Cfg_Hoje)+IF(DAY(Cfg_Hoje)&gt;=INDEX(Cartoes_Fech,MATCH($F659,Cartoes_Nome,0)),1,0))+1))</f>
        <v>0</v>
      </c>
      <c r="Z659" s="40">
        <f>IF($A659="",0,DAY($A659))</f>
        <v>0</v>
      </c>
      <c r="AA659" s="40">
        <f>IF($A659="",0,WEEKDAY($A659))</f>
        <v>0</v>
      </c>
      <c r="AB659" s="36">
        <f>IF(AND($C659="Despesa",U659&gt;0,U659&lt;=Sel_Idx,V659&gt;=Sel_Idx),N(R659)+ROW()/1000000000,0)</f>
        <v>0</v>
      </c>
      <c r="AC659" s="40">
        <f>IF(AND($C659="Despesa",U659&gt;0,U659&lt;=Sel_Idx,V659&gt;=Sel_Idx),Z659*10000+ROW(),0)</f>
        <v>0</v>
      </c>
      <c r="AD659" s="40">
        <f>IF(AC659=0,0,COUNTIFS(L_CalChave,"&gt;0",L_CalChave,"&lt;"&amp;AC659)+1)</f>
        <v>0</v>
      </c>
    </row>
    <row r="660">
      <c r="A660" s="38" t="n"/>
      <c r="B660" s="39" t="n"/>
      <c r="C660" s="34" t="n"/>
      <c r="D660" s="34" t="n"/>
      <c r="E660" s="34" t="n"/>
      <c r="F660" s="34" t="n"/>
      <c r="G660" s="34" t="n"/>
      <c r="H660" s="37" t="n"/>
      <c r="I660" s="37" t="n"/>
      <c r="J660" s="34" t="n"/>
      <c r="K660" s="34" t="n"/>
      <c r="L660" s="34" t="n"/>
      <c r="M660" s="39" t="n"/>
      <c r="N660" s="35" t="n"/>
      <c r="O660" s="40" t="str">
        <f>IF($A660="","",MONTH($A660))</f>
        <v/>
      </c>
      <c r="P660" s="40" t="str">
        <f>IF($A660="","",YEAR($A660))</f>
        <v/>
      </c>
      <c r="Q660" s="41" t="str">
        <f>IF($A660="","",DATE(P660,O660,1))</f>
        <v/>
      </c>
      <c r="R660" s="36" t="str">
        <f>IF(OR($A660="",$N660=""),"",IF(AND($C660&lt;&gt;"Transferência",N($I660)&gt;1),$N660/$I660,$N660))</f>
        <v/>
      </c>
      <c r="S660" s="41" t="str">
        <f>IF(OR($A660="",$F660="",$C660&lt;&gt;"Despesa"),"",IF(COUNTIF(Cartoes_Nome,$F660)=0,"",DATE(P660,O660+IF(DAY($A660)&gt;=INDEX(Cartoes_Fech,MATCH($F660,Cartoes_Nome,0)),1,0),1)))</f>
        <v/>
      </c>
      <c r="T660" s="42" t="str">
        <f>IF($A660="","",IF(COUNTIFS(L_Data,$A660,L_Desc,$B660,L_Valor,$N660,L_Tipo,$C660)&gt;1,"⚠ Possível duplicidade",IF(OR(AND($C660="Despesa",COUNTIF(CatD_Nome,$D660)=0),AND($C660="Receita",COUNTIF(CatR_Nome,$D660)=0)),"⚠ Categoria não combina com o tipo",IF(OR($N660="",$C660=""),"⚠ Falta valor ou tipo",""))))</f>
        <v/>
      </c>
      <c r="U660" s="40">
        <f>IF($A660="",0,P660*12+O660)</f>
        <v>0</v>
      </c>
      <c r="V660" s="40">
        <f>IF($A660="",0,U660+MAX(0,N($I660)-MAX(N($H660),1)))</f>
        <v>0</v>
      </c>
      <c r="W660" s="40">
        <f>IF(S660="",0,YEAR(S660)*12+MONTH(S660))</f>
        <v>0</v>
      </c>
      <c r="X660" s="40">
        <f>IF(W660=0,0,W660+V660-U660)</f>
        <v>0</v>
      </c>
      <c r="Y660" s="36">
        <f>IF(W660=0,0,N(R660)*MAX(0,X660-MAX(W660,YEAR(Cfg_Hoje)*12+MONTH(Cfg_Hoje)+IF(DAY(Cfg_Hoje)&gt;=INDEX(Cartoes_Fech,MATCH($F660,Cartoes_Nome,0)),1,0))+1))</f>
        <v>0</v>
      </c>
      <c r="Z660" s="40">
        <f>IF($A660="",0,DAY($A660))</f>
        <v>0</v>
      </c>
      <c r="AA660" s="40">
        <f>IF($A660="",0,WEEKDAY($A660))</f>
        <v>0</v>
      </c>
      <c r="AB660" s="36">
        <f>IF(AND($C660="Despesa",U660&gt;0,U660&lt;=Sel_Idx,V660&gt;=Sel_Idx),N(R660)+ROW()/1000000000,0)</f>
        <v>0</v>
      </c>
      <c r="AC660" s="40">
        <f>IF(AND($C660="Despesa",U660&gt;0,U660&lt;=Sel_Idx,V660&gt;=Sel_Idx),Z660*10000+ROW(),0)</f>
        <v>0</v>
      </c>
      <c r="AD660" s="40">
        <f>IF(AC660=0,0,COUNTIFS(L_CalChave,"&gt;0",L_CalChave,"&lt;"&amp;AC660)+1)</f>
        <v>0</v>
      </c>
    </row>
    <row r="661">
      <c r="A661" s="38" t="n"/>
      <c r="B661" s="39" t="n"/>
      <c r="C661" s="34" t="n"/>
      <c r="D661" s="34" t="n"/>
      <c r="E661" s="34" t="n"/>
      <c r="F661" s="34" t="n"/>
      <c r="G661" s="34" t="n"/>
      <c r="H661" s="37" t="n"/>
      <c r="I661" s="37" t="n"/>
      <c r="J661" s="34" t="n"/>
      <c r="K661" s="34" t="n"/>
      <c r="L661" s="34" t="n"/>
      <c r="M661" s="39" t="n"/>
      <c r="N661" s="35" t="n"/>
      <c r="O661" s="40" t="str">
        <f>IF($A661="","",MONTH($A661))</f>
        <v/>
      </c>
      <c r="P661" s="40" t="str">
        <f>IF($A661="","",YEAR($A661))</f>
        <v/>
      </c>
      <c r="Q661" s="41" t="str">
        <f>IF($A661="","",DATE(P661,O661,1))</f>
        <v/>
      </c>
      <c r="R661" s="36" t="str">
        <f>IF(OR($A661="",$N661=""),"",IF(AND($C661&lt;&gt;"Transferência",N($I661)&gt;1),$N661/$I661,$N661))</f>
        <v/>
      </c>
      <c r="S661" s="41" t="str">
        <f>IF(OR($A661="",$F661="",$C661&lt;&gt;"Despesa"),"",IF(COUNTIF(Cartoes_Nome,$F661)=0,"",DATE(P661,O661+IF(DAY($A661)&gt;=INDEX(Cartoes_Fech,MATCH($F661,Cartoes_Nome,0)),1,0),1)))</f>
        <v/>
      </c>
      <c r="T661" s="42" t="str">
        <f>IF($A661="","",IF(COUNTIFS(L_Data,$A661,L_Desc,$B661,L_Valor,$N661,L_Tipo,$C661)&gt;1,"⚠ Possível duplicidade",IF(OR(AND($C661="Despesa",COUNTIF(CatD_Nome,$D661)=0),AND($C661="Receita",COUNTIF(CatR_Nome,$D661)=0)),"⚠ Categoria não combina com o tipo",IF(OR($N661="",$C661=""),"⚠ Falta valor ou tipo",""))))</f>
        <v/>
      </c>
      <c r="U661" s="40">
        <f>IF($A661="",0,P661*12+O661)</f>
        <v>0</v>
      </c>
      <c r="V661" s="40">
        <f>IF($A661="",0,U661+MAX(0,N($I661)-MAX(N($H661),1)))</f>
        <v>0</v>
      </c>
      <c r="W661" s="40">
        <f>IF(S661="",0,YEAR(S661)*12+MONTH(S661))</f>
        <v>0</v>
      </c>
      <c r="X661" s="40">
        <f>IF(W661=0,0,W661+V661-U661)</f>
        <v>0</v>
      </c>
      <c r="Y661" s="36">
        <f>IF(W661=0,0,N(R661)*MAX(0,X661-MAX(W661,YEAR(Cfg_Hoje)*12+MONTH(Cfg_Hoje)+IF(DAY(Cfg_Hoje)&gt;=INDEX(Cartoes_Fech,MATCH($F661,Cartoes_Nome,0)),1,0))+1))</f>
        <v>0</v>
      </c>
      <c r="Z661" s="40">
        <f>IF($A661="",0,DAY($A661))</f>
        <v>0</v>
      </c>
      <c r="AA661" s="40">
        <f>IF($A661="",0,WEEKDAY($A661))</f>
        <v>0</v>
      </c>
      <c r="AB661" s="36">
        <f>IF(AND($C661="Despesa",U661&gt;0,U661&lt;=Sel_Idx,V661&gt;=Sel_Idx),N(R661)+ROW()/1000000000,0)</f>
        <v>0</v>
      </c>
      <c r="AC661" s="40">
        <f>IF(AND($C661="Despesa",U661&gt;0,U661&lt;=Sel_Idx,V661&gt;=Sel_Idx),Z661*10000+ROW(),0)</f>
        <v>0</v>
      </c>
      <c r="AD661" s="40">
        <f>IF(AC661=0,0,COUNTIFS(L_CalChave,"&gt;0",L_CalChave,"&lt;"&amp;AC661)+1)</f>
        <v>0</v>
      </c>
    </row>
    <row r="662">
      <c r="A662" s="38" t="n"/>
      <c r="B662" s="39" t="n"/>
      <c r="C662" s="34" t="n"/>
      <c r="D662" s="34" t="n"/>
      <c r="E662" s="34" t="n"/>
      <c r="F662" s="34" t="n"/>
      <c r="G662" s="34" t="n"/>
      <c r="H662" s="37" t="n"/>
      <c r="I662" s="37" t="n"/>
      <c r="J662" s="34" t="n"/>
      <c r="K662" s="34" t="n"/>
      <c r="L662" s="34" t="n"/>
      <c r="M662" s="39" t="n"/>
      <c r="N662" s="35" t="n"/>
      <c r="O662" s="40" t="str">
        <f>IF($A662="","",MONTH($A662))</f>
        <v/>
      </c>
      <c r="P662" s="40" t="str">
        <f>IF($A662="","",YEAR($A662))</f>
        <v/>
      </c>
      <c r="Q662" s="41" t="str">
        <f>IF($A662="","",DATE(P662,O662,1))</f>
        <v/>
      </c>
      <c r="R662" s="36" t="str">
        <f>IF(OR($A662="",$N662=""),"",IF(AND($C662&lt;&gt;"Transferência",N($I662)&gt;1),$N662/$I662,$N662))</f>
        <v/>
      </c>
      <c r="S662" s="41" t="str">
        <f>IF(OR($A662="",$F662="",$C662&lt;&gt;"Despesa"),"",IF(COUNTIF(Cartoes_Nome,$F662)=0,"",DATE(P662,O662+IF(DAY($A662)&gt;=INDEX(Cartoes_Fech,MATCH($F662,Cartoes_Nome,0)),1,0),1)))</f>
        <v/>
      </c>
      <c r="T662" s="42" t="str">
        <f>IF($A662="","",IF(COUNTIFS(L_Data,$A662,L_Desc,$B662,L_Valor,$N662,L_Tipo,$C662)&gt;1,"⚠ Possível duplicidade",IF(OR(AND($C662="Despesa",COUNTIF(CatD_Nome,$D662)=0),AND($C662="Receita",COUNTIF(CatR_Nome,$D662)=0)),"⚠ Categoria não combina com o tipo",IF(OR($N662="",$C662=""),"⚠ Falta valor ou tipo",""))))</f>
        <v/>
      </c>
      <c r="U662" s="40">
        <f>IF($A662="",0,P662*12+O662)</f>
        <v>0</v>
      </c>
      <c r="V662" s="40">
        <f>IF($A662="",0,U662+MAX(0,N($I662)-MAX(N($H662),1)))</f>
        <v>0</v>
      </c>
      <c r="W662" s="40">
        <f>IF(S662="",0,YEAR(S662)*12+MONTH(S662))</f>
        <v>0</v>
      </c>
      <c r="X662" s="40">
        <f>IF(W662=0,0,W662+V662-U662)</f>
        <v>0</v>
      </c>
      <c r="Y662" s="36">
        <f>IF(W662=0,0,N(R662)*MAX(0,X662-MAX(W662,YEAR(Cfg_Hoje)*12+MONTH(Cfg_Hoje)+IF(DAY(Cfg_Hoje)&gt;=INDEX(Cartoes_Fech,MATCH($F662,Cartoes_Nome,0)),1,0))+1))</f>
        <v>0</v>
      </c>
      <c r="Z662" s="40">
        <f>IF($A662="",0,DAY($A662))</f>
        <v>0</v>
      </c>
      <c r="AA662" s="40">
        <f>IF($A662="",0,WEEKDAY($A662))</f>
        <v>0</v>
      </c>
      <c r="AB662" s="36">
        <f>IF(AND($C662="Despesa",U662&gt;0,U662&lt;=Sel_Idx,V662&gt;=Sel_Idx),N(R662)+ROW()/1000000000,0)</f>
        <v>0</v>
      </c>
      <c r="AC662" s="40">
        <f>IF(AND($C662="Despesa",U662&gt;0,U662&lt;=Sel_Idx,V662&gt;=Sel_Idx),Z662*10000+ROW(),0)</f>
        <v>0</v>
      </c>
      <c r="AD662" s="40">
        <f>IF(AC662=0,0,COUNTIFS(L_CalChave,"&gt;0",L_CalChave,"&lt;"&amp;AC662)+1)</f>
        <v>0</v>
      </c>
    </row>
    <row r="663">
      <c r="A663" s="38" t="n"/>
      <c r="B663" s="39" t="n"/>
      <c r="C663" s="34" t="n"/>
      <c r="D663" s="34" t="n"/>
      <c r="E663" s="34" t="n"/>
      <c r="F663" s="34" t="n"/>
      <c r="G663" s="34" t="n"/>
      <c r="H663" s="37" t="n"/>
      <c r="I663" s="37" t="n"/>
      <c r="J663" s="34" t="n"/>
      <c r="K663" s="34" t="n"/>
      <c r="L663" s="34" t="n"/>
      <c r="M663" s="39" t="n"/>
      <c r="N663" s="35" t="n"/>
      <c r="O663" s="40" t="str">
        <f>IF($A663="","",MONTH($A663))</f>
        <v/>
      </c>
      <c r="P663" s="40" t="str">
        <f>IF($A663="","",YEAR($A663))</f>
        <v/>
      </c>
      <c r="Q663" s="41" t="str">
        <f>IF($A663="","",DATE(P663,O663,1))</f>
        <v/>
      </c>
      <c r="R663" s="36" t="str">
        <f>IF(OR($A663="",$N663=""),"",IF(AND($C663&lt;&gt;"Transferência",N($I663)&gt;1),$N663/$I663,$N663))</f>
        <v/>
      </c>
      <c r="S663" s="41" t="str">
        <f>IF(OR($A663="",$F663="",$C663&lt;&gt;"Despesa"),"",IF(COUNTIF(Cartoes_Nome,$F663)=0,"",DATE(P663,O663+IF(DAY($A663)&gt;=INDEX(Cartoes_Fech,MATCH($F663,Cartoes_Nome,0)),1,0),1)))</f>
        <v/>
      </c>
      <c r="T663" s="42" t="str">
        <f>IF($A663="","",IF(COUNTIFS(L_Data,$A663,L_Desc,$B663,L_Valor,$N663,L_Tipo,$C663)&gt;1,"⚠ Possível duplicidade",IF(OR(AND($C663="Despesa",COUNTIF(CatD_Nome,$D663)=0),AND($C663="Receita",COUNTIF(CatR_Nome,$D663)=0)),"⚠ Categoria não combina com o tipo",IF(OR($N663="",$C663=""),"⚠ Falta valor ou tipo",""))))</f>
        <v/>
      </c>
      <c r="U663" s="40">
        <f>IF($A663="",0,P663*12+O663)</f>
        <v>0</v>
      </c>
      <c r="V663" s="40">
        <f>IF($A663="",0,U663+MAX(0,N($I663)-MAX(N($H663),1)))</f>
        <v>0</v>
      </c>
      <c r="W663" s="40">
        <f>IF(S663="",0,YEAR(S663)*12+MONTH(S663))</f>
        <v>0</v>
      </c>
      <c r="X663" s="40">
        <f>IF(W663=0,0,W663+V663-U663)</f>
        <v>0</v>
      </c>
      <c r="Y663" s="36">
        <f>IF(W663=0,0,N(R663)*MAX(0,X663-MAX(W663,YEAR(Cfg_Hoje)*12+MONTH(Cfg_Hoje)+IF(DAY(Cfg_Hoje)&gt;=INDEX(Cartoes_Fech,MATCH($F663,Cartoes_Nome,0)),1,0))+1))</f>
        <v>0</v>
      </c>
      <c r="Z663" s="40">
        <f>IF($A663="",0,DAY($A663))</f>
        <v>0</v>
      </c>
      <c r="AA663" s="40">
        <f>IF($A663="",0,WEEKDAY($A663))</f>
        <v>0</v>
      </c>
      <c r="AB663" s="36">
        <f>IF(AND($C663="Despesa",U663&gt;0,U663&lt;=Sel_Idx,V663&gt;=Sel_Idx),N(R663)+ROW()/1000000000,0)</f>
        <v>0</v>
      </c>
      <c r="AC663" s="40">
        <f>IF(AND($C663="Despesa",U663&gt;0,U663&lt;=Sel_Idx,V663&gt;=Sel_Idx),Z663*10000+ROW(),0)</f>
        <v>0</v>
      </c>
      <c r="AD663" s="40">
        <f>IF(AC663=0,0,COUNTIFS(L_CalChave,"&gt;0",L_CalChave,"&lt;"&amp;AC663)+1)</f>
        <v>0</v>
      </c>
    </row>
    <row r="664">
      <c r="A664" s="38" t="n"/>
      <c r="B664" s="39" t="n"/>
      <c r="C664" s="34" t="n"/>
      <c r="D664" s="34" t="n"/>
      <c r="E664" s="34" t="n"/>
      <c r="F664" s="34" t="n"/>
      <c r="G664" s="34" t="n"/>
      <c r="H664" s="37" t="n"/>
      <c r="I664" s="37" t="n"/>
      <c r="J664" s="34" t="n"/>
      <c r="K664" s="34" t="n"/>
      <c r="L664" s="34" t="n"/>
      <c r="M664" s="39" t="n"/>
      <c r="N664" s="35" t="n"/>
      <c r="O664" s="40" t="str">
        <f>IF($A664="","",MONTH($A664))</f>
        <v/>
      </c>
      <c r="P664" s="40" t="str">
        <f>IF($A664="","",YEAR($A664))</f>
        <v/>
      </c>
      <c r="Q664" s="41" t="str">
        <f>IF($A664="","",DATE(P664,O664,1))</f>
        <v/>
      </c>
      <c r="R664" s="36" t="str">
        <f>IF(OR($A664="",$N664=""),"",IF(AND($C664&lt;&gt;"Transferência",N($I664)&gt;1),$N664/$I664,$N664))</f>
        <v/>
      </c>
      <c r="S664" s="41" t="str">
        <f>IF(OR($A664="",$F664="",$C664&lt;&gt;"Despesa"),"",IF(COUNTIF(Cartoes_Nome,$F664)=0,"",DATE(P664,O664+IF(DAY($A664)&gt;=INDEX(Cartoes_Fech,MATCH($F664,Cartoes_Nome,0)),1,0),1)))</f>
        <v/>
      </c>
      <c r="T664" s="42" t="str">
        <f>IF($A664="","",IF(COUNTIFS(L_Data,$A664,L_Desc,$B664,L_Valor,$N664,L_Tipo,$C664)&gt;1,"⚠ Possível duplicidade",IF(OR(AND($C664="Despesa",COUNTIF(CatD_Nome,$D664)=0),AND($C664="Receita",COUNTIF(CatR_Nome,$D664)=0)),"⚠ Categoria não combina com o tipo",IF(OR($N664="",$C664=""),"⚠ Falta valor ou tipo",""))))</f>
        <v/>
      </c>
      <c r="U664" s="40">
        <f>IF($A664="",0,P664*12+O664)</f>
        <v>0</v>
      </c>
      <c r="V664" s="40">
        <f>IF($A664="",0,U664+MAX(0,N($I664)-MAX(N($H664),1)))</f>
        <v>0</v>
      </c>
      <c r="W664" s="40">
        <f>IF(S664="",0,YEAR(S664)*12+MONTH(S664))</f>
        <v>0</v>
      </c>
      <c r="X664" s="40">
        <f>IF(W664=0,0,W664+V664-U664)</f>
        <v>0</v>
      </c>
      <c r="Y664" s="36">
        <f>IF(W664=0,0,N(R664)*MAX(0,X664-MAX(W664,YEAR(Cfg_Hoje)*12+MONTH(Cfg_Hoje)+IF(DAY(Cfg_Hoje)&gt;=INDEX(Cartoes_Fech,MATCH($F664,Cartoes_Nome,0)),1,0))+1))</f>
        <v>0</v>
      </c>
      <c r="Z664" s="40">
        <f>IF($A664="",0,DAY($A664))</f>
        <v>0</v>
      </c>
      <c r="AA664" s="40">
        <f>IF($A664="",0,WEEKDAY($A664))</f>
        <v>0</v>
      </c>
      <c r="AB664" s="36">
        <f>IF(AND($C664="Despesa",U664&gt;0,U664&lt;=Sel_Idx,V664&gt;=Sel_Idx),N(R664)+ROW()/1000000000,0)</f>
        <v>0</v>
      </c>
      <c r="AC664" s="40">
        <f>IF(AND($C664="Despesa",U664&gt;0,U664&lt;=Sel_Idx,V664&gt;=Sel_Idx),Z664*10000+ROW(),0)</f>
        <v>0</v>
      </c>
      <c r="AD664" s="40">
        <f>IF(AC664=0,0,COUNTIFS(L_CalChave,"&gt;0",L_CalChave,"&lt;"&amp;AC664)+1)</f>
        <v>0</v>
      </c>
    </row>
    <row r="665">
      <c r="A665" s="38" t="n"/>
      <c r="B665" s="39" t="n"/>
      <c r="C665" s="34" t="n"/>
      <c r="D665" s="34" t="n"/>
      <c r="E665" s="34" t="n"/>
      <c r="F665" s="34" t="n"/>
      <c r="G665" s="34" t="n"/>
      <c r="H665" s="37" t="n"/>
      <c r="I665" s="37" t="n"/>
      <c r="J665" s="34" t="n"/>
      <c r="K665" s="34" t="n"/>
      <c r="L665" s="34" t="n"/>
      <c r="M665" s="39" t="n"/>
      <c r="N665" s="35" t="n"/>
      <c r="O665" s="40" t="str">
        <f>IF($A665="","",MONTH($A665))</f>
        <v/>
      </c>
      <c r="P665" s="40" t="str">
        <f>IF($A665="","",YEAR($A665))</f>
        <v/>
      </c>
      <c r="Q665" s="41" t="str">
        <f>IF($A665="","",DATE(P665,O665,1))</f>
        <v/>
      </c>
      <c r="R665" s="36" t="str">
        <f>IF(OR($A665="",$N665=""),"",IF(AND($C665&lt;&gt;"Transferência",N($I665)&gt;1),$N665/$I665,$N665))</f>
        <v/>
      </c>
      <c r="S665" s="41" t="str">
        <f>IF(OR($A665="",$F665="",$C665&lt;&gt;"Despesa"),"",IF(COUNTIF(Cartoes_Nome,$F665)=0,"",DATE(P665,O665+IF(DAY($A665)&gt;=INDEX(Cartoes_Fech,MATCH($F665,Cartoes_Nome,0)),1,0),1)))</f>
        <v/>
      </c>
      <c r="T665" s="42" t="str">
        <f>IF($A665="","",IF(COUNTIFS(L_Data,$A665,L_Desc,$B665,L_Valor,$N665,L_Tipo,$C665)&gt;1,"⚠ Possível duplicidade",IF(OR(AND($C665="Despesa",COUNTIF(CatD_Nome,$D665)=0),AND($C665="Receita",COUNTIF(CatR_Nome,$D665)=0)),"⚠ Categoria não combina com o tipo",IF(OR($N665="",$C665=""),"⚠ Falta valor ou tipo",""))))</f>
        <v/>
      </c>
      <c r="U665" s="40">
        <f>IF($A665="",0,P665*12+O665)</f>
        <v>0</v>
      </c>
      <c r="V665" s="40">
        <f>IF($A665="",0,U665+MAX(0,N($I665)-MAX(N($H665),1)))</f>
        <v>0</v>
      </c>
      <c r="W665" s="40">
        <f>IF(S665="",0,YEAR(S665)*12+MONTH(S665))</f>
        <v>0</v>
      </c>
      <c r="X665" s="40">
        <f>IF(W665=0,0,W665+V665-U665)</f>
        <v>0</v>
      </c>
      <c r="Y665" s="36">
        <f>IF(W665=0,0,N(R665)*MAX(0,X665-MAX(W665,YEAR(Cfg_Hoje)*12+MONTH(Cfg_Hoje)+IF(DAY(Cfg_Hoje)&gt;=INDEX(Cartoes_Fech,MATCH($F665,Cartoes_Nome,0)),1,0))+1))</f>
        <v>0</v>
      </c>
      <c r="Z665" s="40">
        <f>IF($A665="",0,DAY($A665))</f>
        <v>0</v>
      </c>
      <c r="AA665" s="40">
        <f>IF($A665="",0,WEEKDAY($A665))</f>
        <v>0</v>
      </c>
      <c r="AB665" s="36">
        <f>IF(AND($C665="Despesa",U665&gt;0,U665&lt;=Sel_Idx,V665&gt;=Sel_Idx),N(R665)+ROW()/1000000000,0)</f>
        <v>0</v>
      </c>
      <c r="AC665" s="40">
        <f>IF(AND($C665="Despesa",U665&gt;0,U665&lt;=Sel_Idx,V665&gt;=Sel_Idx),Z665*10000+ROW(),0)</f>
        <v>0</v>
      </c>
      <c r="AD665" s="40">
        <f>IF(AC665=0,0,COUNTIFS(L_CalChave,"&gt;0",L_CalChave,"&lt;"&amp;AC665)+1)</f>
        <v>0</v>
      </c>
    </row>
    <row r="666">
      <c r="A666" s="38" t="n"/>
      <c r="B666" s="39" t="n"/>
      <c r="C666" s="34" t="n"/>
      <c r="D666" s="34" t="n"/>
      <c r="E666" s="34" t="n"/>
      <c r="F666" s="34" t="n"/>
      <c r="G666" s="34" t="n"/>
      <c r="H666" s="37" t="n"/>
      <c r="I666" s="37" t="n"/>
      <c r="J666" s="34" t="n"/>
      <c r="K666" s="34" t="n"/>
      <c r="L666" s="34" t="n"/>
      <c r="M666" s="39" t="n"/>
      <c r="N666" s="35" t="n"/>
      <c r="O666" s="40" t="str">
        <f>IF($A666="","",MONTH($A666))</f>
        <v/>
      </c>
      <c r="P666" s="40" t="str">
        <f>IF($A666="","",YEAR($A666))</f>
        <v/>
      </c>
      <c r="Q666" s="41" t="str">
        <f>IF($A666="","",DATE(P666,O666,1))</f>
        <v/>
      </c>
      <c r="R666" s="36" t="str">
        <f>IF(OR($A666="",$N666=""),"",IF(AND($C666&lt;&gt;"Transferência",N($I666)&gt;1),$N666/$I666,$N666))</f>
        <v/>
      </c>
      <c r="S666" s="41" t="str">
        <f>IF(OR($A666="",$F666="",$C666&lt;&gt;"Despesa"),"",IF(COUNTIF(Cartoes_Nome,$F666)=0,"",DATE(P666,O666+IF(DAY($A666)&gt;=INDEX(Cartoes_Fech,MATCH($F666,Cartoes_Nome,0)),1,0),1)))</f>
        <v/>
      </c>
      <c r="T666" s="42" t="str">
        <f>IF($A666="","",IF(COUNTIFS(L_Data,$A666,L_Desc,$B666,L_Valor,$N666,L_Tipo,$C666)&gt;1,"⚠ Possível duplicidade",IF(OR(AND($C666="Despesa",COUNTIF(CatD_Nome,$D666)=0),AND($C666="Receita",COUNTIF(CatR_Nome,$D666)=0)),"⚠ Categoria não combina com o tipo",IF(OR($N666="",$C666=""),"⚠ Falta valor ou tipo",""))))</f>
        <v/>
      </c>
      <c r="U666" s="40">
        <f>IF($A666="",0,P666*12+O666)</f>
        <v>0</v>
      </c>
      <c r="V666" s="40">
        <f>IF($A666="",0,U666+MAX(0,N($I666)-MAX(N($H666),1)))</f>
        <v>0</v>
      </c>
      <c r="W666" s="40">
        <f>IF(S666="",0,YEAR(S666)*12+MONTH(S666))</f>
        <v>0</v>
      </c>
      <c r="X666" s="40">
        <f>IF(W666=0,0,W666+V666-U666)</f>
        <v>0</v>
      </c>
      <c r="Y666" s="36">
        <f>IF(W666=0,0,N(R666)*MAX(0,X666-MAX(W666,YEAR(Cfg_Hoje)*12+MONTH(Cfg_Hoje)+IF(DAY(Cfg_Hoje)&gt;=INDEX(Cartoes_Fech,MATCH($F666,Cartoes_Nome,0)),1,0))+1))</f>
        <v>0</v>
      </c>
      <c r="Z666" s="40">
        <f>IF($A666="",0,DAY($A666))</f>
        <v>0</v>
      </c>
      <c r="AA666" s="40">
        <f>IF($A666="",0,WEEKDAY($A666))</f>
        <v>0</v>
      </c>
      <c r="AB666" s="36">
        <f>IF(AND($C666="Despesa",U666&gt;0,U666&lt;=Sel_Idx,V666&gt;=Sel_Idx),N(R666)+ROW()/1000000000,0)</f>
        <v>0</v>
      </c>
      <c r="AC666" s="40">
        <f>IF(AND($C666="Despesa",U666&gt;0,U666&lt;=Sel_Idx,V666&gt;=Sel_Idx),Z666*10000+ROW(),0)</f>
        <v>0</v>
      </c>
      <c r="AD666" s="40">
        <f>IF(AC666=0,0,COUNTIFS(L_CalChave,"&gt;0",L_CalChave,"&lt;"&amp;AC666)+1)</f>
        <v>0</v>
      </c>
    </row>
    <row r="667">
      <c r="A667" s="38" t="n"/>
      <c r="B667" s="39" t="n"/>
      <c r="C667" s="34" t="n"/>
      <c r="D667" s="34" t="n"/>
      <c r="E667" s="34" t="n"/>
      <c r="F667" s="34" t="n"/>
      <c r="G667" s="34" t="n"/>
      <c r="H667" s="37" t="n"/>
      <c r="I667" s="37" t="n"/>
      <c r="J667" s="34" t="n"/>
      <c r="K667" s="34" t="n"/>
      <c r="L667" s="34" t="n"/>
      <c r="M667" s="39" t="n"/>
      <c r="N667" s="35" t="n"/>
      <c r="O667" s="40" t="str">
        <f>IF($A667="","",MONTH($A667))</f>
        <v/>
      </c>
      <c r="P667" s="40" t="str">
        <f>IF($A667="","",YEAR($A667))</f>
        <v/>
      </c>
      <c r="Q667" s="41" t="str">
        <f>IF($A667="","",DATE(P667,O667,1))</f>
        <v/>
      </c>
      <c r="R667" s="36" t="str">
        <f>IF(OR($A667="",$N667=""),"",IF(AND($C667&lt;&gt;"Transferência",N($I667)&gt;1),$N667/$I667,$N667))</f>
        <v/>
      </c>
      <c r="S667" s="41" t="str">
        <f>IF(OR($A667="",$F667="",$C667&lt;&gt;"Despesa"),"",IF(COUNTIF(Cartoes_Nome,$F667)=0,"",DATE(P667,O667+IF(DAY($A667)&gt;=INDEX(Cartoes_Fech,MATCH($F667,Cartoes_Nome,0)),1,0),1)))</f>
        <v/>
      </c>
      <c r="T667" s="42" t="str">
        <f>IF($A667="","",IF(COUNTIFS(L_Data,$A667,L_Desc,$B667,L_Valor,$N667,L_Tipo,$C667)&gt;1,"⚠ Possível duplicidade",IF(OR(AND($C667="Despesa",COUNTIF(CatD_Nome,$D667)=0),AND($C667="Receita",COUNTIF(CatR_Nome,$D667)=0)),"⚠ Categoria não combina com o tipo",IF(OR($N667="",$C667=""),"⚠ Falta valor ou tipo",""))))</f>
        <v/>
      </c>
      <c r="U667" s="40">
        <f>IF($A667="",0,P667*12+O667)</f>
        <v>0</v>
      </c>
      <c r="V667" s="40">
        <f>IF($A667="",0,U667+MAX(0,N($I667)-MAX(N($H667),1)))</f>
        <v>0</v>
      </c>
      <c r="W667" s="40">
        <f>IF(S667="",0,YEAR(S667)*12+MONTH(S667))</f>
        <v>0</v>
      </c>
      <c r="X667" s="40">
        <f>IF(W667=0,0,W667+V667-U667)</f>
        <v>0</v>
      </c>
      <c r="Y667" s="36">
        <f>IF(W667=0,0,N(R667)*MAX(0,X667-MAX(W667,YEAR(Cfg_Hoje)*12+MONTH(Cfg_Hoje)+IF(DAY(Cfg_Hoje)&gt;=INDEX(Cartoes_Fech,MATCH($F667,Cartoes_Nome,0)),1,0))+1))</f>
        <v>0</v>
      </c>
      <c r="Z667" s="40">
        <f>IF($A667="",0,DAY($A667))</f>
        <v>0</v>
      </c>
      <c r="AA667" s="40">
        <f>IF($A667="",0,WEEKDAY($A667))</f>
        <v>0</v>
      </c>
      <c r="AB667" s="36">
        <f>IF(AND($C667="Despesa",U667&gt;0,U667&lt;=Sel_Idx,V667&gt;=Sel_Idx),N(R667)+ROW()/1000000000,0)</f>
        <v>0</v>
      </c>
      <c r="AC667" s="40">
        <f>IF(AND($C667="Despesa",U667&gt;0,U667&lt;=Sel_Idx,V667&gt;=Sel_Idx),Z667*10000+ROW(),0)</f>
        <v>0</v>
      </c>
      <c r="AD667" s="40">
        <f>IF(AC667=0,0,COUNTIFS(L_CalChave,"&gt;0",L_CalChave,"&lt;"&amp;AC667)+1)</f>
        <v>0</v>
      </c>
    </row>
    <row r="668">
      <c r="A668" s="38" t="n"/>
      <c r="B668" s="39" t="n"/>
      <c r="C668" s="34" t="n"/>
      <c r="D668" s="34" t="n"/>
      <c r="E668" s="34" t="n"/>
      <c r="F668" s="34" t="n"/>
      <c r="G668" s="34" t="n"/>
      <c r="H668" s="37" t="n"/>
      <c r="I668" s="37" t="n"/>
      <c r="J668" s="34" t="n"/>
      <c r="K668" s="34" t="n"/>
      <c r="L668" s="34" t="n"/>
      <c r="M668" s="39" t="n"/>
      <c r="N668" s="35" t="n"/>
      <c r="O668" s="40" t="str">
        <f>IF($A668="","",MONTH($A668))</f>
        <v/>
      </c>
      <c r="P668" s="40" t="str">
        <f>IF($A668="","",YEAR($A668))</f>
        <v/>
      </c>
      <c r="Q668" s="41" t="str">
        <f>IF($A668="","",DATE(P668,O668,1))</f>
        <v/>
      </c>
      <c r="R668" s="36" t="str">
        <f>IF(OR($A668="",$N668=""),"",IF(AND($C668&lt;&gt;"Transferência",N($I668)&gt;1),$N668/$I668,$N668))</f>
        <v/>
      </c>
      <c r="S668" s="41" t="str">
        <f>IF(OR($A668="",$F668="",$C668&lt;&gt;"Despesa"),"",IF(COUNTIF(Cartoes_Nome,$F668)=0,"",DATE(P668,O668+IF(DAY($A668)&gt;=INDEX(Cartoes_Fech,MATCH($F668,Cartoes_Nome,0)),1,0),1)))</f>
        <v/>
      </c>
      <c r="T668" s="42" t="str">
        <f>IF($A668="","",IF(COUNTIFS(L_Data,$A668,L_Desc,$B668,L_Valor,$N668,L_Tipo,$C668)&gt;1,"⚠ Possível duplicidade",IF(OR(AND($C668="Despesa",COUNTIF(CatD_Nome,$D668)=0),AND($C668="Receita",COUNTIF(CatR_Nome,$D668)=0)),"⚠ Categoria não combina com o tipo",IF(OR($N668="",$C668=""),"⚠ Falta valor ou tipo",""))))</f>
        <v/>
      </c>
      <c r="U668" s="40">
        <f>IF($A668="",0,P668*12+O668)</f>
        <v>0</v>
      </c>
      <c r="V668" s="40">
        <f>IF($A668="",0,U668+MAX(0,N($I668)-MAX(N($H668),1)))</f>
        <v>0</v>
      </c>
      <c r="W668" s="40">
        <f>IF(S668="",0,YEAR(S668)*12+MONTH(S668))</f>
        <v>0</v>
      </c>
      <c r="X668" s="40">
        <f>IF(W668=0,0,W668+V668-U668)</f>
        <v>0</v>
      </c>
      <c r="Y668" s="36">
        <f>IF(W668=0,0,N(R668)*MAX(0,X668-MAX(W668,YEAR(Cfg_Hoje)*12+MONTH(Cfg_Hoje)+IF(DAY(Cfg_Hoje)&gt;=INDEX(Cartoes_Fech,MATCH($F668,Cartoes_Nome,0)),1,0))+1))</f>
        <v>0</v>
      </c>
      <c r="Z668" s="40">
        <f>IF($A668="",0,DAY($A668))</f>
        <v>0</v>
      </c>
      <c r="AA668" s="40">
        <f>IF($A668="",0,WEEKDAY($A668))</f>
        <v>0</v>
      </c>
      <c r="AB668" s="36">
        <f>IF(AND($C668="Despesa",U668&gt;0,U668&lt;=Sel_Idx,V668&gt;=Sel_Idx),N(R668)+ROW()/1000000000,0)</f>
        <v>0</v>
      </c>
      <c r="AC668" s="40">
        <f>IF(AND($C668="Despesa",U668&gt;0,U668&lt;=Sel_Idx,V668&gt;=Sel_Idx),Z668*10000+ROW(),0)</f>
        <v>0</v>
      </c>
      <c r="AD668" s="40">
        <f>IF(AC668=0,0,COUNTIFS(L_CalChave,"&gt;0",L_CalChave,"&lt;"&amp;AC668)+1)</f>
        <v>0</v>
      </c>
    </row>
    <row r="669">
      <c r="A669" s="38" t="n"/>
      <c r="B669" s="39" t="n"/>
      <c r="C669" s="34" t="n"/>
      <c r="D669" s="34" t="n"/>
      <c r="E669" s="34" t="n"/>
      <c r="F669" s="34" t="n"/>
      <c r="G669" s="34" t="n"/>
      <c r="H669" s="37" t="n"/>
      <c r="I669" s="37" t="n"/>
      <c r="J669" s="34" t="n"/>
      <c r="K669" s="34" t="n"/>
      <c r="L669" s="34" t="n"/>
      <c r="M669" s="39" t="n"/>
      <c r="N669" s="35" t="n"/>
      <c r="O669" s="40" t="str">
        <f>IF($A669="","",MONTH($A669))</f>
        <v/>
      </c>
      <c r="P669" s="40" t="str">
        <f>IF($A669="","",YEAR($A669))</f>
        <v/>
      </c>
      <c r="Q669" s="41" t="str">
        <f>IF($A669="","",DATE(P669,O669,1))</f>
        <v/>
      </c>
      <c r="R669" s="36" t="str">
        <f>IF(OR($A669="",$N669=""),"",IF(AND($C669&lt;&gt;"Transferência",N($I669)&gt;1),$N669/$I669,$N669))</f>
        <v/>
      </c>
      <c r="S669" s="41" t="str">
        <f>IF(OR($A669="",$F669="",$C669&lt;&gt;"Despesa"),"",IF(COUNTIF(Cartoes_Nome,$F669)=0,"",DATE(P669,O669+IF(DAY($A669)&gt;=INDEX(Cartoes_Fech,MATCH($F669,Cartoes_Nome,0)),1,0),1)))</f>
        <v/>
      </c>
      <c r="T669" s="42" t="str">
        <f>IF($A669="","",IF(COUNTIFS(L_Data,$A669,L_Desc,$B669,L_Valor,$N669,L_Tipo,$C669)&gt;1,"⚠ Possível duplicidade",IF(OR(AND($C669="Despesa",COUNTIF(CatD_Nome,$D669)=0),AND($C669="Receita",COUNTIF(CatR_Nome,$D669)=0)),"⚠ Categoria não combina com o tipo",IF(OR($N669="",$C669=""),"⚠ Falta valor ou tipo",""))))</f>
        <v/>
      </c>
      <c r="U669" s="40">
        <f>IF($A669="",0,P669*12+O669)</f>
        <v>0</v>
      </c>
      <c r="V669" s="40">
        <f>IF($A669="",0,U669+MAX(0,N($I669)-MAX(N($H669),1)))</f>
        <v>0</v>
      </c>
      <c r="W669" s="40">
        <f>IF(S669="",0,YEAR(S669)*12+MONTH(S669))</f>
        <v>0</v>
      </c>
      <c r="X669" s="40">
        <f>IF(W669=0,0,W669+V669-U669)</f>
        <v>0</v>
      </c>
      <c r="Y669" s="36">
        <f>IF(W669=0,0,N(R669)*MAX(0,X669-MAX(W669,YEAR(Cfg_Hoje)*12+MONTH(Cfg_Hoje)+IF(DAY(Cfg_Hoje)&gt;=INDEX(Cartoes_Fech,MATCH($F669,Cartoes_Nome,0)),1,0))+1))</f>
        <v>0</v>
      </c>
      <c r="Z669" s="40">
        <f>IF($A669="",0,DAY($A669))</f>
        <v>0</v>
      </c>
      <c r="AA669" s="40">
        <f>IF($A669="",0,WEEKDAY($A669))</f>
        <v>0</v>
      </c>
      <c r="AB669" s="36">
        <f>IF(AND($C669="Despesa",U669&gt;0,U669&lt;=Sel_Idx,V669&gt;=Sel_Idx),N(R669)+ROW()/1000000000,0)</f>
        <v>0</v>
      </c>
      <c r="AC669" s="40">
        <f>IF(AND($C669="Despesa",U669&gt;0,U669&lt;=Sel_Idx,V669&gt;=Sel_Idx),Z669*10000+ROW(),0)</f>
        <v>0</v>
      </c>
      <c r="AD669" s="40">
        <f>IF(AC669=0,0,COUNTIFS(L_CalChave,"&gt;0",L_CalChave,"&lt;"&amp;AC669)+1)</f>
        <v>0</v>
      </c>
    </row>
    <row r="670">
      <c r="A670" s="38" t="n"/>
      <c r="B670" s="39" t="n"/>
      <c r="C670" s="34" t="n"/>
      <c r="D670" s="34" t="n"/>
      <c r="E670" s="34" t="n"/>
      <c r="F670" s="34" t="n"/>
      <c r="G670" s="34" t="n"/>
      <c r="H670" s="37" t="n"/>
      <c r="I670" s="37" t="n"/>
      <c r="J670" s="34" t="n"/>
      <c r="K670" s="34" t="n"/>
      <c r="L670" s="34" t="n"/>
      <c r="M670" s="39" t="n"/>
      <c r="N670" s="35" t="n"/>
      <c r="O670" s="40" t="str">
        <f>IF($A670="","",MONTH($A670))</f>
        <v/>
      </c>
      <c r="P670" s="40" t="str">
        <f>IF($A670="","",YEAR($A670))</f>
        <v/>
      </c>
      <c r="Q670" s="41" t="str">
        <f>IF($A670="","",DATE(P670,O670,1))</f>
        <v/>
      </c>
      <c r="R670" s="36" t="str">
        <f>IF(OR($A670="",$N670=""),"",IF(AND($C670&lt;&gt;"Transferência",N($I670)&gt;1),$N670/$I670,$N670))</f>
        <v/>
      </c>
      <c r="S670" s="41" t="str">
        <f>IF(OR($A670="",$F670="",$C670&lt;&gt;"Despesa"),"",IF(COUNTIF(Cartoes_Nome,$F670)=0,"",DATE(P670,O670+IF(DAY($A670)&gt;=INDEX(Cartoes_Fech,MATCH($F670,Cartoes_Nome,0)),1,0),1)))</f>
        <v/>
      </c>
      <c r="T670" s="42" t="str">
        <f>IF($A670="","",IF(COUNTIFS(L_Data,$A670,L_Desc,$B670,L_Valor,$N670,L_Tipo,$C670)&gt;1,"⚠ Possível duplicidade",IF(OR(AND($C670="Despesa",COUNTIF(CatD_Nome,$D670)=0),AND($C670="Receita",COUNTIF(CatR_Nome,$D670)=0)),"⚠ Categoria não combina com o tipo",IF(OR($N670="",$C670=""),"⚠ Falta valor ou tipo",""))))</f>
        <v/>
      </c>
      <c r="U670" s="40">
        <f>IF($A670="",0,P670*12+O670)</f>
        <v>0</v>
      </c>
      <c r="V670" s="40">
        <f>IF($A670="",0,U670+MAX(0,N($I670)-MAX(N($H670),1)))</f>
        <v>0</v>
      </c>
      <c r="W670" s="40">
        <f>IF(S670="",0,YEAR(S670)*12+MONTH(S670))</f>
        <v>0</v>
      </c>
      <c r="X670" s="40">
        <f>IF(W670=0,0,W670+V670-U670)</f>
        <v>0</v>
      </c>
      <c r="Y670" s="36">
        <f>IF(W670=0,0,N(R670)*MAX(0,X670-MAX(W670,YEAR(Cfg_Hoje)*12+MONTH(Cfg_Hoje)+IF(DAY(Cfg_Hoje)&gt;=INDEX(Cartoes_Fech,MATCH($F670,Cartoes_Nome,0)),1,0))+1))</f>
        <v>0</v>
      </c>
      <c r="Z670" s="40">
        <f>IF($A670="",0,DAY($A670))</f>
        <v>0</v>
      </c>
      <c r="AA670" s="40">
        <f>IF($A670="",0,WEEKDAY($A670))</f>
        <v>0</v>
      </c>
      <c r="AB670" s="36">
        <f>IF(AND($C670="Despesa",U670&gt;0,U670&lt;=Sel_Idx,V670&gt;=Sel_Idx),N(R670)+ROW()/1000000000,0)</f>
        <v>0</v>
      </c>
      <c r="AC670" s="40">
        <f>IF(AND($C670="Despesa",U670&gt;0,U670&lt;=Sel_Idx,V670&gt;=Sel_Idx),Z670*10000+ROW(),0)</f>
        <v>0</v>
      </c>
      <c r="AD670" s="40">
        <f>IF(AC670=0,0,COUNTIFS(L_CalChave,"&gt;0",L_CalChave,"&lt;"&amp;AC670)+1)</f>
        <v>0</v>
      </c>
    </row>
    <row r="671">
      <c r="A671" s="38" t="n"/>
      <c r="B671" s="39" t="n"/>
      <c r="C671" s="34" t="n"/>
      <c r="D671" s="34" t="n"/>
      <c r="E671" s="34" t="n"/>
      <c r="F671" s="34" t="n"/>
      <c r="G671" s="34" t="n"/>
      <c r="H671" s="37" t="n"/>
      <c r="I671" s="37" t="n"/>
      <c r="J671" s="34" t="n"/>
      <c r="K671" s="34" t="n"/>
      <c r="L671" s="34" t="n"/>
      <c r="M671" s="39" t="n"/>
      <c r="N671" s="35" t="n"/>
      <c r="O671" s="40" t="str">
        <f>IF($A671="","",MONTH($A671))</f>
        <v/>
      </c>
      <c r="P671" s="40" t="str">
        <f>IF($A671="","",YEAR($A671))</f>
        <v/>
      </c>
      <c r="Q671" s="41" t="str">
        <f>IF($A671="","",DATE(P671,O671,1))</f>
        <v/>
      </c>
      <c r="R671" s="36" t="str">
        <f>IF(OR($A671="",$N671=""),"",IF(AND($C671&lt;&gt;"Transferência",N($I671)&gt;1),$N671/$I671,$N671))</f>
        <v/>
      </c>
      <c r="S671" s="41" t="str">
        <f>IF(OR($A671="",$F671="",$C671&lt;&gt;"Despesa"),"",IF(COUNTIF(Cartoes_Nome,$F671)=0,"",DATE(P671,O671+IF(DAY($A671)&gt;=INDEX(Cartoes_Fech,MATCH($F671,Cartoes_Nome,0)),1,0),1)))</f>
        <v/>
      </c>
      <c r="T671" s="42" t="str">
        <f>IF($A671="","",IF(COUNTIFS(L_Data,$A671,L_Desc,$B671,L_Valor,$N671,L_Tipo,$C671)&gt;1,"⚠ Possível duplicidade",IF(OR(AND($C671="Despesa",COUNTIF(CatD_Nome,$D671)=0),AND($C671="Receita",COUNTIF(CatR_Nome,$D671)=0)),"⚠ Categoria não combina com o tipo",IF(OR($N671="",$C671=""),"⚠ Falta valor ou tipo",""))))</f>
        <v/>
      </c>
      <c r="U671" s="40">
        <f>IF($A671="",0,P671*12+O671)</f>
        <v>0</v>
      </c>
      <c r="V671" s="40">
        <f>IF($A671="",0,U671+MAX(0,N($I671)-MAX(N($H671),1)))</f>
        <v>0</v>
      </c>
      <c r="W671" s="40">
        <f>IF(S671="",0,YEAR(S671)*12+MONTH(S671))</f>
        <v>0</v>
      </c>
      <c r="X671" s="40">
        <f>IF(W671=0,0,W671+V671-U671)</f>
        <v>0</v>
      </c>
      <c r="Y671" s="36">
        <f>IF(W671=0,0,N(R671)*MAX(0,X671-MAX(W671,YEAR(Cfg_Hoje)*12+MONTH(Cfg_Hoje)+IF(DAY(Cfg_Hoje)&gt;=INDEX(Cartoes_Fech,MATCH($F671,Cartoes_Nome,0)),1,0))+1))</f>
        <v>0</v>
      </c>
      <c r="Z671" s="40">
        <f>IF($A671="",0,DAY($A671))</f>
        <v>0</v>
      </c>
      <c r="AA671" s="40">
        <f>IF($A671="",0,WEEKDAY($A671))</f>
        <v>0</v>
      </c>
      <c r="AB671" s="36">
        <f>IF(AND($C671="Despesa",U671&gt;0,U671&lt;=Sel_Idx,V671&gt;=Sel_Idx),N(R671)+ROW()/1000000000,0)</f>
        <v>0</v>
      </c>
      <c r="AC671" s="40">
        <f>IF(AND($C671="Despesa",U671&gt;0,U671&lt;=Sel_Idx,V671&gt;=Sel_Idx),Z671*10000+ROW(),0)</f>
        <v>0</v>
      </c>
      <c r="AD671" s="40">
        <f>IF(AC671=0,0,COUNTIFS(L_CalChave,"&gt;0",L_CalChave,"&lt;"&amp;AC671)+1)</f>
        <v>0</v>
      </c>
    </row>
    <row r="672">
      <c r="A672" s="38" t="n"/>
      <c r="B672" s="39" t="n"/>
      <c r="C672" s="34" t="n"/>
      <c r="D672" s="34" t="n"/>
      <c r="E672" s="34" t="n"/>
      <c r="F672" s="34" t="n"/>
      <c r="G672" s="34" t="n"/>
      <c r="H672" s="37" t="n"/>
      <c r="I672" s="37" t="n"/>
      <c r="J672" s="34" t="n"/>
      <c r="K672" s="34" t="n"/>
      <c r="L672" s="34" t="n"/>
      <c r="M672" s="39" t="n"/>
      <c r="N672" s="35" t="n"/>
      <c r="O672" s="40" t="str">
        <f>IF($A672="","",MONTH($A672))</f>
        <v/>
      </c>
      <c r="P672" s="40" t="str">
        <f>IF($A672="","",YEAR($A672))</f>
        <v/>
      </c>
      <c r="Q672" s="41" t="str">
        <f>IF($A672="","",DATE(P672,O672,1))</f>
        <v/>
      </c>
      <c r="R672" s="36" t="str">
        <f>IF(OR($A672="",$N672=""),"",IF(AND($C672&lt;&gt;"Transferência",N($I672)&gt;1),$N672/$I672,$N672))</f>
        <v/>
      </c>
      <c r="S672" s="41" t="str">
        <f>IF(OR($A672="",$F672="",$C672&lt;&gt;"Despesa"),"",IF(COUNTIF(Cartoes_Nome,$F672)=0,"",DATE(P672,O672+IF(DAY($A672)&gt;=INDEX(Cartoes_Fech,MATCH($F672,Cartoes_Nome,0)),1,0),1)))</f>
        <v/>
      </c>
      <c r="T672" s="42" t="str">
        <f>IF($A672="","",IF(COUNTIFS(L_Data,$A672,L_Desc,$B672,L_Valor,$N672,L_Tipo,$C672)&gt;1,"⚠ Possível duplicidade",IF(OR(AND($C672="Despesa",COUNTIF(CatD_Nome,$D672)=0),AND($C672="Receita",COUNTIF(CatR_Nome,$D672)=0)),"⚠ Categoria não combina com o tipo",IF(OR($N672="",$C672=""),"⚠ Falta valor ou tipo",""))))</f>
        <v/>
      </c>
      <c r="U672" s="40">
        <f>IF($A672="",0,P672*12+O672)</f>
        <v>0</v>
      </c>
      <c r="V672" s="40">
        <f>IF($A672="",0,U672+MAX(0,N($I672)-MAX(N($H672),1)))</f>
        <v>0</v>
      </c>
      <c r="W672" s="40">
        <f>IF(S672="",0,YEAR(S672)*12+MONTH(S672))</f>
        <v>0</v>
      </c>
      <c r="X672" s="40">
        <f>IF(W672=0,0,W672+V672-U672)</f>
        <v>0</v>
      </c>
      <c r="Y672" s="36">
        <f>IF(W672=0,0,N(R672)*MAX(0,X672-MAX(W672,YEAR(Cfg_Hoje)*12+MONTH(Cfg_Hoje)+IF(DAY(Cfg_Hoje)&gt;=INDEX(Cartoes_Fech,MATCH($F672,Cartoes_Nome,0)),1,0))+1))</f>
        <v>0</v>
      </c>
      <c r="Z672" s="40">
        <f>IF($A672="",0,DAY($A672))</f>
        <v>0</v>
      </c>
      <c r="AA672" s="40">
        <f>IF($A672="",0,WEEKDAY($A672))</f>
        <v>0</v>
      </c>
      <c r="AB672" s="36">
        <f>IF(AND($C672="Despesa",U672&gt;0,U672&lt;=Sel_Idx,V672&gt;=Sel_Idx),N(R672)+ROW()/1000000000,0)</f>
        <v>0</v>
      </c>
      <c r="AC672" s="40">
        <f>IF(AND($C672="Despesa",U672&gt;0,U672&lt;=Sel_Idx,V672&gt;=Sel_Idx),Z672*10000+ROW(),0)</f>
        <v>0</v>
      </c>
      <c r="AD672" s="40">
        <f>IF(AC672=0,0,COUNTIFS(L_CalChave,"&gt;0",L_CalChave,"&lt;"&amp;AC672)+1)</f>
        <v>0</v>
      </c>
    </row>
    <row r="673">
      <c r="A673" s="38" t="n"/>
      <c r="B673" s="39" t="n"/>
      <c r="C673" s="34" t="n"/>
      <c r="D673" s="34" t="n"/>
      <c r="E673" s="34" t="n"/>
      <c r="F673" s="34" t="n"/>
      <c r="G673" s="34" t="n"/>
      <c r="H673" s="37" t="n"/>
      <c r="I673" s="37" t="n"/>
      <c r="J673" s="34" t="n"/>
      <c r="K673" s="34" t="n"/>
      <c r="L673" s="34" t="n"/>
      <c r="M673" s="39" t="n"/>
      <c r="N673" s="35" t="n"/>
      <c r="O673" s="40" t="str">
        <f>IF($A673="","",MONTH($A673))</f>
        <v/>
      </c>
      <c r="P673" s="40" t="str">
        <f>IF($A673="","",YEAR($A673))</f>
        <v/>
      </c>
      <c r="Q673" s="41" t="str">
        <f>IF($A673="","",DATE(P673,O673,1))</f>
        <v/>
      </c>
      <c r="R673" s="36" t="str">
        <f>IF(OR($A673="",$N673=""),"",IF(AND($C673&lt;&gt;"Transferência",N($I673)&gt;1),$N673/$I673,$N673))</f>
        <v/>
      </c>
      <c r="S673" s="41" t="str">
        <f>IF(OR($A673="",$F673="",$C673&lt;&gt;"Despesa"),"",IF(COUNTIF(Cartoes_Nome,$F673)=0,"",DATE(P673,O673+IF(DAY($A673)&gt;=INDEX(Cartoes_Fech,MATCH($F673,Cartoes_Nome,0)),1,0),1)))</f>
        <v/>
      </c>
      <c r="T673" s="42" t="str">
        <f>IF($A673="","",IF(COUNTIFS(L_Data,$A673,L_Desc,$B673,L_Valor,$N673,L_Tipo,$C673)&gt;1,"⚠ Possível duplicidade",IF(OR(AND($C673="Despesa",COUNTIF(CatD_Nome,$D673)=0),AND($C673="Receita",COUNTIF(CatR_Nome,$D673)=0)),"⚠ Categoria não combina com o tipo",IF(OR($N673="",$C673=""),"⚠ Falta valor ou tipo",""))))</f>
        <v/>
      </c>
      <c r="U673" s="40">
        <f>IF($A673="",0,P673*12+O673)</f>
        <v>0</v>
      </c>
      <c r="V673" s="40">
        <f>IF($A673="",0,U673+MAX(0,N($I673)-MAX(N($H673),1)))</f>
        <v>0</v>
      </c>
      <c r="W673" s="40">
        <f>IF(S673="",0,YEAR(S673)*12+MONTH(S673))</f>
        <v>0</v>
      </c>
      <c r="X673" s="40">
        <f>IF(W673=0,0,W673+V673-U673)</f>
        <v>0</v>
      </c>
      <c r="Y673" s="36">
        <f>IF(W673=0,0,N(R673)*MAX(0,X673-MAX(W673,YEAR(Cfg_Hoje)*12+MONTH(Cfg_Hoje)+IF(DAY(Cfg_Hoje)&gt;=INDEX(Cartoes_Fech,MATCH($F673,Cartoes_Nome,0)),1,0))+1))</f>
        <v>0</v>
      </c>
      <c r="Z673" s="40">
        <f>IF($A673="",0,DAY($A673))</f>
        <v>0</v>
      </c>
      <c r="AA673" s="40">
        <f>IF($A673="",0,WEEKDAY($A673))</f>
        <v>0</v>
      </c>
      <c r="AB673" s="36">
        <f>IF(AND($C673="Despesa",U673&gt;0,U673&lt;=Sel_Idx,V673&gt;=Sel_Idx),N(R673)+ROW()/1000000000,0)</f>
        <v>0</v>
      </c>
      <c r="AC673" s="40">
        <f>IF(AND($C673="Despesa",U673&gt;0,U673&lt;=Sel_Idx,V673&gt;=Sel_Idx),Z673*10000+ROW(),0)</f>
        <v>0</v>
      </c>
      <c r="AD673" s="40">
        <f>IF(AC673=0,0,COUNTIFS(L_CalChave,"&gt;0",L_CalChave,"&lt;"&amp;AC673)+1)</f>
        <v>0</v>
      </c>
    </row>
    <row r="674">
      <c r="A674" s="38" t="n"/>
      <c r="B674" s="39" t="n"/>
      <c r="C674" s="34" t="n"/>
      <c r="D674" s="34" t="n"/>
      <c r="E674" s="34" t="n"/>
      <c r="F674" s="34" t="n"/>
      <c r="G674" s="34" t="n"/>
      <c r="H674" s="37" t="n"/>
      <c r="I674" s="37" t="n"/>
      <c r="J674" s="34" t="n"/>
      <c r="K674" s="34" t="n"/>
      <c r="L674" s="34" t="n"/>
      <c r="M674" s="39" t="n"/>
      <c r="N674" s="35" t="n"/>
      <c r="O674" s="40" t="str">
        <f>IF($A674="","",MONTH($A674))</f>
        <v/>
      </c>
      <c r="P674" s="40" t="str">
        <f>IF($A674="","",YEAR($A674))</f>
        <v/>
      </c>
      <c r="Q674" s="41" t="str">
        <f>IF($A674="","",DATE(P674,O674,1))</f>
        <v/>
      </c>
      <c r="R674" s="36" t="str">
        <f>IF(OR($A674="",$N674=""),"",IF(AND($C674&lt;&gt;"Transferência",N($I674)&gt;1),$N674/$I674,$N674))</f>
        <v/>
      </c>
      <c r="S674" s="41" t="str">
        <f>IF(OR($A674="",$F674="",$C674&lt;&gt;"Despesa"),"",IF(COUNTIF(Cartoes_Nome,$F674)=0,"",DATE(P674,O674+IF(DAY($A674)&gt;=INDEX(Cartoes_Fech,MATCH($F674,Cartoes_Nome,0)),1,0),1)))</f>
        <v/>
      </c>
      <c r="T674" s="42" t="str">
        <f>IF($A674="","",IF(COUNTIFS(L_Data,$A674,L_Desc,$B674,L_Valor,$N674,L_Tipo,$C674)&gt;1,"⚠ Possível duplicidade",IF(OR(AND($C674="Despesa",COUNTIF(CatD_Nome,$D674)=0),AND($C674="Receita",COUNTIF(CatR_Nome,$D674)=0)),"⚠ Categoria não combina com o tipo",IF(OR($N674="",$C674=""),"⚠ Falta valor ou tipo",""))))</f>
        <v/>
      </c>
      <c r="U674" s="40">
        <f>IF($A674="",0,P674*12+O674)</f>
        <v>0</v>
      </c>
      <c r="V674" s="40">
        <f>IF($A674="",0,U674+MAX(0,N($I674)-MAX(N($H674),1)))</f>
        <v>0</v>
      </c>
      <c r="W674" s="40">
        <f>IF(S674="",0,YEAR(S674)*12+MONTH(S674))</f>
        <v>0</v>
      </c>
      <c r="X674" s="40">
        <f>IF(W674=0,0,W674+V674-U674)</f>
        <v>0</v>
      </c>
      <c r="Y674" s="36">
        <f>IF(W674=0,0,N(R674)*MAX(0,X674-MAX(W674,YEAR(Cfg_Hoje)*12+MONTH(Cfg_Hoje)+IF(DAY(Cfg_Hoje)&gt;=INDEX(Cartoes_Fech,MATCH($F674,Cartoes_Nome,0)),1,0))+1))</f>
        <v>0</v>
      </c>
      <c r="Z674" s="40">
        <f>IF($A674="",0,DAY($A674))</f>
        <v>0</v>
      </c>
      <c r="AA674" s="40">
        <f>IF($A674="",0,WEEKDAY($A674))</f>
        <v>0</v>
      </c>
      <c r="AB674" s="36">
        <f>IF(AND($C674="Despesa",U674&gt;0,U674&lt;=Sel_Idx,V674&gt;=Sel_Idx),N(R674)+ROW()/1000000000,0)</f>
        <v>0</v>
      </c>
      <c r="AC674" s="40">
        <f>IF(AND($C674="Despesa",U674&gt;0,U674&lt;=Sel_Idx,V674&gt;=Sel_Idx),Z674*10000+ROW(),0)</f>
        <v>0</v>
      </c>
      <c r="AD674" s="40">
        <f>IF(AC674=0,0,COUNTIFS(L_CalChave,"&gt;0",L_CalChave,"&lt;"&amp;AC674)+1)</f>
        <v>0</v>
      </c>
    </row>
    <row r="675">
      <c r="A675" s="38" t="n"/>
      <c r="B675" s="39" t="n"/>
      <c r="C675" s="34" t="n"/>
      <c r="D675" s="34" t="n"/>
      <c r="E675" s="34" t="n"/>
      <c r="F675" s="34" t="n"/>
      <c r="G675" s="34" t="n"/>
      <c r="H675" s="37" t="n"/>
      <c r="I675" s="37" t="n"/>
      <c r="J675" s="34" t="n"/>
      <c r="K675" s="34" t="n"/>
      <c r="L675" s="34" t="n"/>
      <c r="M675" s="39" t="n"/>
      <c r="N675" s="35" t="n"/>
      <c r="O675" s="40" t="str">
        <f>IF($A675="","",MONTH($A675))</f>
        <v/>
      </c>
      <c r="P675" s="40" t="str">
        <f>IF($A675="","",YEAR($A675))</f>
        <v/>
      </c>
      <c r="Q675" s="41" t="str">
        <f>IF($A675="","",DATE(P675,O675,1))</f>
        <v/>
      </c>
      <c r="R675" s="36" t="str">
        <f>IF(OR($A675="",$N675=""),"",IF(AND($C675&lt;&gt;"Transferência",N($I675)&gt;1),$N675/$I675,$N675))</f>
        <v/>
      </c>
      <c r="S675" s="41" t="str">
        <f>IF(OR($A675="",$F675="",$C675&lt;&gt;"Despesa"),"",IF(COUNTIF(Cartoes_Nome,$F675)=0,"",DATE(P675,O675+IF(DAY($A675)&gt;=INDEX(Cartoes_Fech,MATCH($F675,Cartoes_Nome,0)),1,0),1)))</f>
        <v/>
      </c>
      <c r="T675" s="42" t="str">
        <f>IF($A675="","",IF(COUNTIFS(L_Data,$A675,L_Desc,$B675,L_Valor,$N675,L_Tipo,$C675)&gt;1,"⚠ Possível duplicidade",IF(OR(AND($C675="Despesa",COUNTIF(CatD_Nome,$D675)=0),AND($C675="Receita",COUNTIF(CatR_Nome,$D675)=0)),"⚠ Categoria não combina com o tipo",IF(OR($N675="",$C675=""),"⚠ Falta valor ou tipo",""))))</f>
        <v/>
      </c>
      <c r="U675" s="40">
        <f>IF($A675="",0,P675*12+O675)</f>
        <v>0</v>
      </c>
      <c r="V675" s="40">
        <f>IF($A675="",0,U675+MAX(0,N($I675)-MAX(N($H675),1)))</f>
        <v>0</v>
      </c>
      <c r="W675" s="40">
        <f>IF(S675="",0,YEAR(S675)*12+MONTH(S675))</f>
        <v>0</v>
      </c>
      <c r="X675" s="40">
        <f>IF(W675=0,0,W675+V675-U675)</f>
        <v>0</v>
      </c>
      <c r="Y675" s="36">
        <f>IF(W675=0,0,N(R675)*MAX(0,X675-MAX(W675,YEAR(Cfg_Hoje)*12+MONTH(Cfg_Hoje)+IF(DAY(Cfg_Hoje)&gt;=INDEX(Cartoes_Fech,MATCH($F675,Cartoes_Nome,0)),1,0))+1))</f>
        <v>0</v>
      </c>
      <c r="Z675" s="40">
        <f>IF($A675="",0,DAY($A675))</f>
        <v>0</v>
      </c>
      <c r="AA675" s="40">
        <f>IF($A675="",0,WEEKDAY($A675))</f>
        <v>0</v>
      </c>
      <c r="AB675" s="36">
        <f>IF(AND($C675="Despesa",U675&gt;0,U675&lt;=Sel_Idx,V675&gt;=Sel_Idx),N(R675)+ROW()/1000000000,0)</f>
        <v>0</v>
      </c>
      <c r="AC675" s="40">
        <f>IF(AND($C675="Despesa",U675&gt;0,U675&lt;=Sel_Idx,V675&gt;=Sel_Idx),Z675*10000+ROW(),0)</f>
        <v>0</v>
      </c>
      <c r="AD675" s="40">
        <f>IF(AC675=0,0,COUNTIFS(L_CalChave,"&gt;0",L_CalChave,"&lt;"&amp;AC675)+1)</f>
        <v>0</v>
      </c>
    </row>
    <row r="676">
      <c r="A676" s="38" t="n"/>
      <c r="B676" s="39" t="n"/>
      <c r="C676" s="34" t="n"/>
      <c r="D676" s="34" t="n"/>
      <c r="E676" s="34" t="n"/>
      <c r="F676" s="34" t="n"/>
      <c r="G676" s="34" t="n"/>
      <c r="H676" s="37" t="n"/>
      <c r="I676" s="37" t="n"/>
      <c r="J676" s="34" t="n"/>
      <c r="K676" s="34" t="n"/>
      <c r="L676" s="34" t="n"/>
      <c r="M676" s="39" t="n"/>
      <c r="N676" s="35" t="n"/>
      <c r="O676" s="40" t="str">
        <f>IF($A676="","",MONTH($A676))</f>
        <v/>
      </c>
      <c r="P676" s="40" t="str">
        <f>IF($A676="","",YEAR($A676))</f>
        <v/>
      </c>
      <c r="Q676" s="41" t="str">
        <f>IF($A676="","",DATE(P676,O676,1))</f>
        <v/>
      </c>
      <c r="R676" s="36" t="str">
        <f>IF(OR($A676="",$N676=""),"",IF(AND($C676&lt;&gt;"Transferência",N($I676)&gt;1),$N676/$I676,$N676))</f>
        <v/>
      </c>
      <c r="S676" s="41" t="str">
        <f>IF(OR($A676="",$F676="",$C676&lt;&gt;"Despesa"),"",IF(COUNTIF(Cartoes_Nome,$F676)=0,"",DATE(P676,O676+IF(DAY($A676)&gt;=INDEX(Cartoes_Fech,MATCH($F676,Cartoes_Nome,0)),1,0),1)))</f>
        <v/>
      </c>
      <c r="T676" s="42" t="str">
        <f>IF($A676="","",IF(COUNTIFS(L_Data,$A676,L_Desc,$B676,L_Valor,$N676,L_Tipo,$C676)&gt;1,"⚠ Possível duplicidade",IF(OR(AND($C676="Despesa",COUNTIF(CatD_Nome,$D676)=0),AND($C676="Receita",COUNTIF(CatR_Nome,$D676)=0)),"⚠ Categoria não combina com o tipo",IF(OR($N676="",$C676=""),"⚠ Falta valor ou tipo",""))))</f>
        <v/>
      </c>
      <c r="U676" s="40">
        <f>IF($A676="",0,P676*12+O676)</f>
        <v>0</v>
      </c>
      <c r="V676" s="40">
        <f>IF($A676="",0,U676+MAX(0,N($I676)-MAX(N($H676),1)))</f>
        <v>0</v>
      </c>
      <c r="W676" s="40">
        <f>IF(S676="",0,YEAR(S676)*12+MONTH(S676))</f>
        <v>0</v>
      </c>
      <c r="X676" s="40">
        <f>IF(W676=0,0,W676+V676-U676)</f>
        <v>0</v>
      </c>
      <c r="Y676" s="36">
        <f>IF(W676=0,0,N(R676)*MAX(0,X676-MAX(W676,YEAR(Cfg_Hoje)*12+MONTH(Cfg_Hoje)+IF(DAY(Cfg_Hoje)&gt;=INDEX(Cartoes_Fech,MATCH($F676,Cartoes_Nome,0)),1,0))+1))</f>
        <v>0</v>
      </c>
      <c r="Z676" s="40">
        <f>IF($A676="",0,DAY($A676))</f>
        <v>0</v>
      </c>
      <c r="AA676" s="40">
        <f>IF($A676="",0,WEEKDAY($A676))</f>
        <v>0</v>
      </c>
      <c r="AB676" s="36">
        <f>IF(AND($C676="Despesa",U676&gt;0,U676&lt;=Sel_Idx,V676&gt;=Sel_Idx),N(R676)+ROW()/1000000000,0)</f>
        <v>0</v>
      </c>
      <c r="AC676" s="40">
        <f>IF(AND($C676="Despesa",U676&gt;0,U676&lt;=Sel_Idx,V676&gt;=Sel_Idx),Z676*10000+ROW(),0)</f>
        <v>0</v>
      </c>
      <c r="AD676" s="40">
        <f>IF(AC676=0,0,COUNTIFS(L_CalChave,"&gt;0",L_CalChave,"&lt;"&amp;AC676)+1)</f>
        <v>0</v>
      </c>
    </row>
    <row r="677">
      <c r="A677" s="38" t="n"/>
      <c r="B677" s="39" t="n"/>
      <c r="C677" s="34" t="n"/>
      <c r="D677" s="34" t="n"/>
      <c r="E677" s="34" t="n"/>
      <c r="F677" s="34" t="n"/>
      <c r="G677" s="34" t="n"/>
      <c r="H677" s="37" t="n"/>
      <c r="I677" s="37" t="n"/>
      <c r="J677" s="34" t="n"/>
      <c r="K677" s="34" t="n"/>
      <c r="L677" s="34" t="n"/>
      <c r="M677" s="39" t="n"/>
      <c r="N677" s="35" t="n"/>
      <c r="O677" s="40" t="str">
        <f>IF($A677="","",MONTH($A677))</f>
        <v/>
      </c>
      <c r="P677" s="40" t="str">
        <f>IF($A677="","",YEAR($A677))</f>
        <v/>
      </c>
      <c r="Q677" s="41" t="str">
        <f>IF($A677="","",DATE(P677,O677,1))</f>
        <v/>
      </c>
      <c r="R677" s="36" t="str">
        <f>IF(OR($A677="",$N677=""),"",IF(AND($C677&lt;&gt;"Transferência",N($I677)&gt;1),$N677/$I677,$N677))</f>
        <v/>
      </c>
      <c r="S677" s="41" t="str">
        <f>IF(OR($A677="",$F677="",$C677&lt;&gt;"Despesa"),"",IF(COUNTIF(Cartoes_Nome,$F677)=0,"",DATE(P677,O677+IF(DAY($A677)&gt;=INDEX(Cartoes_Fech,MATCH($F677,Cartoes_Nome,0)),1,0),1)))</f>
        <v/>
      </c>
      <c r="T677" s="42" t="str">
        <f>IF($A677="","",IF(COUNTIFS(L_Data,$A677,L_Desc,$B677,L_Valor,$N677,L_Tipo,$C677)&gt;1,"⚠ Possível duplicidade",IF(OR(AND($C677="Despesa",COUNTIF(CatD_Nome,$D677)=0),AND($C677="Receita",COUNTIF(CatR_Nome,$D677)=0)),"⚠ Categoria não combina com o tipo",IF(OR($N677="",$C677=""),"⚠ Falta valor ou tipo",""))))</f>
        <v/>
      </c>
      <c r="U677" s="40">
        <f>IF($A677="",0,P677*12+O677)</f>
        <v>0</v>
      </c>
      <c r="V677" s="40">
        <f>IF($A677="",0,U677+MAX(0,N($I677)-MAX(N($H677),1)))</f>
        <v>0</v>
      </c>
      <c r="W677" s="40">
        <f>IF(S677="",0,YEAR(S677)*12+MONTH(S677))</f>
        <v>0</v>
      </c>
      <c r="X677" s="40">
        <f>IF(W677=0,0,W677+V677-U677)</f>
        <v>0</v>
      </c>
      <c r="Y677" s="36">
        <f>IF(W677=0,0,N(R677)*MAX(0,X677-MAX(W677,YEAR(Cfg_Hoje)*12+MONTH(Cfg_Hoje)+IF(DAY(Cfg_Hoje)&gt;=INDEX(Cartoes_Fech,MATCH($F677,Cartoes_Nome,0)),1,0))+1))</f>
        <v>0</v>
      </c>
      <c r="Z677" s="40">
        <f>IF($A677="",0,DAY($A677))</f>
        <v>0</v>
      </c>
      <c r="AA677" s="40">
        <f>IF($A677="",0,WEEKDAY($A677))</f>
        <v>0</v>
      </c>
      <c r="AB677" s="36">
        <f>IF(AND($C677="Despesa",U677&gt;0,U677&lt;=Sel_Idx,V677&gt;=Sel_Idx),N(R677)+ROW()/1000000000,0)</f>
        <v>0</v>
      </c>
      <c r="AC677" s="40">
        <f>IF(AND($C677="Despesa",U677&gt;0,U677&lt;=Sel_Idx,V677&gt;=Sel_Idx),Z677*10000+ROW(),0)</f>
        <v>0</v>
      </c>
      <c r="AD677" s="40">
        <f>IF(AC677=0,0,COUNTIFS(L_CalChave,"&gt;0",L_CalChave,"&lt;"&amp;AC677)+1)</f>
        <v>0</v>
      </c>
    </row>
    <row r="678">
      <c r="A678" s="38" t="n"/>
      <c r="B678" s="39" t="n"/>
      <c r="C678" s="34" t="n"/>
      <c r="D678" s="34" t="n"/>
      <c r="E678" s="34" t="n"/>
      <c r="F678" s="34" t="n"/>
      <c r="G678" s="34" t="n"/>
      <c r="H678" s="37" t="n"/>
      <c r="I678" s="37" t="n"/>
      <c r="J678" s="34" t="n"/>
      <c r="K678" s="34" t="n"/>
      <c r="L678" s="34" t="n"/>
      <c r="M678" s="39" t="n"/>
      <c r="N678" s="35" t="n"/>
      <c r="O678" s="40" t="str">
        <f>IF($A678="","",MONTH($A678))</f>
        <v/>
      </c>
      <c r="P678" s="40" t="str">
        <f>IF($A678="","",YEAR($A678))</f>
        <v/>
      </c>
      <c r="Q678" s="41" t="str">
        <f>IF($A678="","",DATE(P678,O678,1))</f>
        <v/>
      </c>
      <c r="R678" s="36" t="str">
        <f>IF(OR($A678="",$N678=""),"",IF(AND($C678&lt;&gt;"Transferência",N($I678)&gt;1),$N678/$I678,$N678))</f>
        <v/>
      </c>
      <c r="S678" s="41" t="str">
        <f>IF(OR($A678="",$F678="",$C678&lt;&gt;"Despesa"),"",IF(COUNTIF(Cartoes_Nome,$F678)=0,"",DATE(P678,O678+IF(DAY($A678)&gt;=INDEX(Cartoes_Fech,MATCH($F678,Cartoes_Nome,0)),1,0),1)))</f>
        <v/>
      </c>
      <c r="T678" s="42" t="str">
        <f>IF($A678="","",IF(COUNTIFS(L_Data,$A678,L_Desc,$B678,L_Valor,$N678,L_Tipo,$C678)&gt;1,"⚠ Possível duplicidade",IF(OR(AND($C678="Despesa",COUNTIF(CatD_Nome,$D678)=0),AND($C678="Receita",COUNTIF(CatR_Nome,$D678)=0)),"⚠ Categoria não combina com o tipo",IF(OR($N678="",$C678=""),"⚠ Falta valor ou tipo",""))))</f>
        <v/>
      </c>
      <c r="U678" s="40">
        <f>IF($A678="",0,P678*12+O678)</f>
        <v>0</v>
      </c>
      <c r="V678" s="40">
        <f>IF($A678="",0,U678+MAX(0,N($I678)-MAX(N($H678),1)))</f>
        <v>0</v>
      </c>
      <c r="W678" s="40">
        <f>IF(S678="",0,YEAR(S678)*12+MONTH(S678))</f>
        <v>0</v>
      </c>
      <c r="X678" s="40">
        <f>IF(W678=0,0,W678+V678-U678)</f>
        <v>0</v>
      </c>
      <c r="Y678" s="36">
        <f>IF(W678=0,0,N(R678)*MAX(0,X678-MAX(W678,YEAR(Cfg_Hoje)*12+MONTH(Cfg_Hoje)+IF(DAY(Cfg_Hoje)&gt;=INDEX(Cartoes_Fech,MATCH($F678,Cartoes_Nome,0)),1,0))+1))</f>
        <v>0</v>
      </c>
      <c r="Z678" s="40">
        <f>IF($A678="",0,DAY($A678))</f>
        <v>0</v>
      </c>
      <c r="AA678" s="40">
        <f>IF($A678="",0,WEEKDAY($A678))</f>
        <v>0</v>
      </c>
      <c r="AB678" s="36">
        <f>IF(AND($C678="Despesa",U678&gt;0,U678&lt;=Sel_Idx,V678&gt;=Sel_Idx),N(R678)+ROW()/1000000000,0)</f>
        <v>0</v>
      </c>
      <c r="AC678" s="40">
        <f>IF(AND($C678="Despesa",U678&gt;0,U678&lt;=Sel_Idx,V678&gt;=Sel_Idx),Z678*10000+ROW(),0)</f>
        <v>0</v>
      </c>
      <c r="AD678" s="40">
        <f>IF(AC678=0,0,COUNTIFS(L_CalChave,"&gt;0",L_CalChave,"&lt;"&amp;AC678)+1)</f>
        <v>0</v>
      </c>
    </row>
    <row r="679">
      <c r="A679" s="38" t="n"/>
      <c r="B679" s="39" t="n"/>
      <c r="C679" s="34" t="n"/>
      <c r="D679" s="34" t="n"/>
      <c r="E679" s="34" t="n"/>
      <c r="F679" s="34" t="n"/>
      <c r="G679" s="34" t="n"/>
      <c r="H679" s="37" t="n"/>
      <c r="I679" s="37" t="n"/>
      <c r="J679" s="34" t="n"/>
      <c r="K679" s="34" t="n"/>
      <c r="L679" s="34" t="n"/>
      <c r="M679" s="39" t="n"/>
      <c r="N679" s="35" t="n"/>
      <c r="O679" s="40" t="str">
        <f>IF($A679="","",MONTH($A679))</f>
        <v/>
      </c>
      <c r="P679" s="40" t="str">
        <f>IF($A679="","",YEAR($A679))</f>
        <v/>
      </c>
      <c r="Q679" s="41" t="str">
        <f>IF($A679="","",DATE(P679,O679,1))</f>
        <v/>
      </c>
      <c r="R679" s="36" t="str">
        <f>IF(OR($A679="",$N679=""),"",IF(AND($C679&lt;&gt;"Transferência",N($I679)&gt;1),$N679/$I679,$N679))</f>
        <v/>
      </c>
      <c r="S679" s="41" t="str">
        <f>IF(OR($A679="",$F679="",$C679&lt;&gt;"Despesa"),"",IF(COUNTIF(Cartoes_Nome,$F679)=0,"",DATE(P679,O679+IF(DAY($A679)&gt;=INDEX(Cartoes_Fech,MATCH($F679,Cartoes_Nome,0)),1,0),1)))</f>
        <v/>
      </c>
      <c r="T679" s="42" t="str">
        <f>IF($A679="","",IF(COUNTIFS(L_Data,$A679,L_Desc,$B679,L_Valor,$N679,L_Tipo,$C679)&gt;1,"⚠ Possível duplicidade",IF(OR(AND($C679="Despesa",COUNTIF(CatD_Nome,$D679)=0),AND($C679="Receita",COUNTIF(CatR_Nome,$D679)=0)),"⚠ Categoria não combina com o tipo",IF(OR($N679="",$C679=""),"⚠ Falta valor ou tipo",""))))</f>
        <v/>
      </c>
      <c r="U679" s="40">
        <f>IF($A679="",0,P679*12+O679)</f>
        <v>0</v>
      </c>
      <c r="V679" s="40">
        <f>IF($A679="",0,U679+MAX(0,N($I679)-MAX(N($H679),1)))</f>
        <v>0</v>
      </c>
      <c r="W679" s="40">
        <f>IF(S679="",0,YEAR(S679)*12+MONTH(S679))</f>
        <v>0</v>
      </c>
      <c r="X679" s="40">
        <f>IF(W679=0,0,W679+V679-U679)</f>
        <v>0</v>
      </c>
      <c r="Y679" s="36">
        <f>IF(W679=0,0,N(R679)*MAX(0,X679-MAX(W679,YEAR(Cfg_Hoje)*12+MONTH(Cfg_Hoje)+IF(DAY(Cfg_Hoje)&gt;=INDEX(Cartoes_Fech,MATCH($F679,Cartoes_Nome,0)),1,0))+1))</f>
        <v>0</v>
      </c>
      <c r="Z679" s="40">
        <f>IF($A679="",0,DAY($A679))</f>
        <v>0</v>
      </c>
      <c r="AA679" s="40">
        <f>IF($A679="",0,WEEKDAY($A679))</f>
        <v>0</v>
      </c>
      <c r="AB679" s="36">
        <f>IF(AND($C679="Despesa",U679&gt;0,U679&lt;=Sel_Idx,V679&gt;=Sel_Idx),N(R679)+ROW()/1000000000,0)</f>
        <v>0</v>
      </c>
      <c r="AC679" s="40">
        <f>IF(AND($C679="Despesa",U679&gt;0,U679&lt;=Sel_Idx,V679&gt;=Sel_Idx),Z679*10000+ROW(),0)</f>
        <v>0</v>
      </c>
      <c r="AD679" s="40">
        <f>IF(AC679=0,0,COUNTIFS(L_CalChave,"&gt;0",L_CalChave,"&lt;"&amp;AC679)+1)</f>
        <v>0</v>
      </c>
    </row>
    <row r="680">
      <c r="A680" s="38" t="n"/>
      <c r="B680" s="39" t="n"/>
      <c r="C680" s="34" t="n"/>
      <c r="D680" s="34" t="n"/>
      <c r="E680" s="34" t="n"/>
      <c r="F680" s="34" t="n"/>
      <c r="G680" s="34" t="n"/>
      <c r="H680" s="37" t="n"/>
      <c r="I680" s="37" t="n"/>
      <c r="J680" s="34" t="n"/>
      <c r="K680" s="34" t="n"/>
      <c r="L680" s="34" t="n"/>
      <c r="M680" s="39" t="n"/>
      <c r="N680" s="35" t="n"/>
      <c r="O680" s="40" t="str">
        <f>IF($A680="","",MONTH($A680))</f>
        <v/>
      </c>
      <c r="P680" s="40" t="str">
        <f>IF($A680="","",YEAR($A680))</f>
        <v/>
      </c>
      <c r="Q680" s="41" t="str">
        <f>IF($A680="","",DATE(P680,O680,1))</f>
        <v/>
      </c>
      <c r="R680" s="36" t="str">
        <f>IF(OR($A680="",$N680=""),"",IF(AND($C680&lt;&gt;"Transferência",N($I680)&gt;1),$N680/$I680,$N680))</f>
        <v/>
      </c>
      <c r="S680" s="41" t="str">
        <f>IF(OR($A680="",$F680="",$C680&lt;&gt;"Despesa"),"",IF(COUNTIF(Cartoes_Nome,$F680)=0,"",DATE(P680,O680+IF(DAY($A680)&gt;=INDEX(Cartoes_Fech,MATCH($F680,Cartoes_Nome,0)),1,0),1)))</f>
        <v/>
      </c>
      <c r="T680" s="42" t="str">
        <f>IF($A680="","",IF(COUNTIFS(L_Data,$A680,L_Desc,$B680,L_Valor,$N680,L_Tipo,$C680)&gt;1,"⚠ Possível duplicidade",IF(OR(AND($C680="Despesa",COUNTIF(CatD_Nome,$D680)=0),AND($C680="Receita",COUNTIF(CatR_Nome,$D680)=0)),"⚠ Categoria não combina com o tipo",IF(OR($N680="",$C680=""),"⚠ Falta valor ou tipo",""))))</f>
        <v/>
      </c>
      <c r="U680" s="40">
        <f>IF($A680="",0,P680*12+O680)</f>
        <v>0</v>
      </c>
      <c r="V680" s="40">
        <f>IF($A680="",0,U680+MAX(0,N($I680)-MAX(N($H680),1)))</f>
        <v>0</v>
      </c>
      <c r="W680" s="40">
        <f>IF(S680="",0,YEAR(S680)*12+MONTH(S680))</f>
        <v>0</v>
      </c>
      <c r="X680" s="40">
        <f>IF(W680=0,0,W680+V680-U680)</f>
        <v>0</v>
      </c>
      <c r="Y680" s="36">
        <f>IF(W680=0,0,N(R680)*MAX(0,X680-MAX(W680,YEAR(Cfg_Hoje)*12+MONTH(Cfg_Hoje)+IF(DAY(Cfg_Hoje)&gt;=INDEX(Cartoes_Fech,MATCH($F680,Cartoes_Nome,0)),1,0))+1))</f>
        <v>0</v>
      </c>
      <c r="Z680" s="40">
        <f>IF($A680="",0,DAY($A680))</f>
        <v>0</v>
      </c>
      <c r="AA680" s="40">
        <f>IF($A680="",0,WEEKDAY($A680))</f>
        <v>0</v>
      </c>
      <c r="AB680" s="36">
        <f>IF(AND($C680="Despesa",U680&gt;0,U680&lt;=Sel_Idx,V680&gt;=Sel_Idx),N(R680)+ROW()/1000000000,0)</f>
        <v>0</v>
      </c>
      <c r="AC680" s="40">
        <f>IF(AND($C680="Despesa",U680&gt;0,U680&lt;=Sel_Idx,V680&gt;=Sel_Idx),Z680*10000+ROW(),0)</f>
        <v>0</v>
      </c>
      <c r="AD680" s="40">
        <f>IF(AC680=0,0,COUNTIFS(L_CalChave,"&gt;0",L_CalChave,"&lt;"&amp;AC680)+1)</f>
        <v>0</v>
      </c>
    </row>
    <row r="681">
      <c r="A681" s="38" t="n"/>
      <c r="B681" s="39" t="n"/>
      <c r="C681" s="34" t="n"/>
      <c r="D681" s="34" t="n"/>
      <c r="E681" s="34" t="n"/>
      <c r="F681" s="34" t="n"/>
      <c r="G681" s="34" t="n"/>
      <c r="H681" s="37" t="n"/>
      <c r="I681" s="37" t="n"/>
      <c r="J681" s="34" t="n"/>
      <c r="K681" s="34" t="n"/>
      <c r="L681" s="34" t="n"/>
      <c r="M681" s="39" t="n"/>
      <c r="N681" s="35" t="n"/>
      <c r="O681" s="40" t="str">
        <f>IF($A681="","",MONTH($A681))</f>
        <v/>
      </c>
      <c r="P681" s="40" t="str">
        <f>IF($A681="","",YEAR($A681))</f>
        <v/>
      </c>
      <c r="Q681" s="41" t="str">
        <f>IF($A681="","",DATE(P681,O681,1))</f>
        <v/>
      </c>
      <c r="R681" s="36" t="str">
        <f>IF(OR($A681="",$N681=""),"",IF(AND($C681&lt;&gt;"Transferência",N($I681)&gt;1),$N681/$I681,$N681))</f>
        <v/>
      </c>
      <c r="S681" s="41" t="str">
        <f>IF(OR($A681="",$F681="",$C681&lt;&gt;"Despesa"),"",IF(COUNTIF(Cartoes_Nome,$F681)=0,"",DATE(P681,O681+IF(DAY($A681)&gt;=INDEX(Cartoes_Fech,MATCH($F681,Cartoes_Nome,0)),1,0),1)))</f>
        <v/>
      </c>
      <c r="T681" s="42" t="str">
        <f>IF($A681="","",IF(COUNTIFS(L_Data,$A681,L_Desc,$B681,L_Valor,$N681,L_Tipo,$C681)&gt;1,"⚠ Possível duplicidade",IF(OR(AND($C681="Despesa",COUNTIF(CatD_Nome,$D681)=0),AND($C681="Receita",COUNTIF(CatR_Nome,$D681)=0)),"⚠ Categoria não combina com o tipo",IF(OR($N681="",$C681=""),"⚠ Falta valor ou tipo",""))))</f>
        <v/>
      </c>
      <c r="U681" s="40">
        <f>IF($A681="",0,P681*12+O681)</f>
        <v>0</v>
      </c>
      <c r="V681" s="40">
        <f>IF($A681="",0,U681+MAX(0,N($I681)-MAX(N($H681),1)))</f>
        <v>0</v>
      </c>
      <c r="W681" s="40">
        <f>IF(S681="",0,YEAR(S681)*12+MONTH(S681))</f>
        <v>0</v>
      </c>
      <c r="X681" s="40">
        <f>IF(W681=0,0,W681+V681-U681)</f>
        <v>0</v>
      </c>
      <c r="Y681" s="36">
        <f>IF(W681=0,0,N(R681)*MAX(0,X681-MAX(W681,YEAR(Cfg_Hoje)*12+MONTH(Cfg_Hoje)+IF(DAY(Cfg_Hoje)&gt;=INDEX(Cartoes_Fech,MATCH($F681,Cartoes_Nome,0)),1,0))+1))</f>
        <v>0</v>
      </c>
      <c r="Z681" s="40">
        <f>IF($A681="",0,DAY($A681))</f>
        <v>0</v>
      </c>
      <c r="AA681" s="40">
        <f>IF($A681="",0,WEEKDAY($A681))</f>
        <v>0</v>
      </c>
      <c r="AB681" s="36">
        <f>IF(AND($C681="Despesa",U681&gt;0,U681&lt;=Sel_Idx,V681&gt;=Sel_Idx),N(R681)+ROW()/1000000000,0)</f>
        <v>0</v>
      </c>
      <c r="AC681" s="40">
        <f>IF(AND($C681="Despesa",U681&gt;0,U681&lt;=Sel_Idx,V681&gt;=Sel_Idx),Z681*10000+ROW(),0)</f>
        <v>0</v>
      </c>
      <c r="AD681" s="40">
        <f>IF(AC681=0,0,COUNTIFS(L_CalChave,"&gt;0",L_CalChave,"&lt;"&amp;AC681)+1)</f>
        <v>0</v>
      </c>
    </row>
    <row r="682">
      <c r="A682" s="38" t="n"/>
      <c r="B682" s="39" t="n"/>
      <c r="C682" s="34" t="n"/>
      <c r="D682" s="34" t="n"/>
      <c r="E682" s="34" t="n"/>
      <c r="F682" s="34" t="n"/>
      <c r="G682" s="34" t="n"/>
      <c r="H682" s="37" t="n"/>
      <c r="I682" s="37" t="n"/>
      <c r="J682" s="34" t="n"/>
      <c r="K682" s="34" t="n"/>
      <c r="L682" s="34" t="n"/>
      <c r="M682" s="39" t="n"/>
      <c r="N682" s="35" t="n"/>
      <c r="O682" s="40" t="str">
        <f>IF($A682="","",MONTH($A682))</f>
        <v/>
      </c>
      <c r="P682" s="40" t="str">
        <f>IF($A682="","",YEAR($A682))</f>
        <v/>
      </c>
      <c r="Q682" s="41" t="str">
        <f>IF($A682="","",DATE(P682,O682,1))</f>
        <v/>
      </c>
      <c r="R682" s="36" t="str">
        <f>IF(OR($A682="",$N682=""),"",IF(AND($C682&lt;&gt;"Transferência",N($I682)&gt;1),$N682/$I682,$N682))</f>
        <v/>
      </c>
      <c r="S682" s="41" t="str">
        <f>IF(OR($A682="",$F682="",$C682&lt;&gt;"Despesa"),"",IF(COUNTIF(Cartoes_Nome,$F682)=0,"",DATE(P682,O682+IF(DAY($A682)&gt;=INDEX(Cartoes_Fech,MATCH($F682,Cartoes_Nome,0)),1,0),1)))</f>
        <v/>
      </c>
      <c r="T682" s="42" t="str">
        <f>IF($A682="","",IF(COUNTIFS(L_Data,$A682,L_Desc,$B682,L_Valor,$N682,L_Tipo,$C682)&gt;1,"⚠ Possível duplicidade",IF(OR(AND($C682="Despesa",COUNTIF(CatD_Nome,$D682)=0),AND($C682="Receita",COUNTIF(CatR_Nome,$D682)=0)),"⚠ Categoria não combina com o tipo",IF(OR($N682="",$C682=""),"⚠ Falta valor ou tipo",""))))</f>
        <v/>
      </c>
      <c r="U682" s="40">
        <f>IF($A682="",0,P682*12+O682)</f>
        <v>0</v>
      </c>
      <c r="V682" s="40">
        <f>IF($A682="",0,U682+MAX(0,N($I682)-MAX(N($H682),1)))</f>
        <v>0</v>
      </c>
      <c r="W682" s="40">
        <f>IF(S682="",0,YEAR(S682)*12+MONTH(S682))</f>
        <v>0</v>
      </c>
      <c r="X682" s="40">
        <f>IF(W682=0,0,W682+V682-U682)</f>
        <v>0</v>
      </c>
      <c r="Y682" s="36">
        <f>IF(W682=0,0,N(R682)*MAX(0,X682-MAX(W682,YEAR(Cfg_Hoje)*12+MONTH(Cfg_Hoje)+IF(DAY(Cfg_Hoje)&gt;=INDEX(Cartoes_Fech,MATCH($F682,Cartoes_Nome,0)),1,0))+1))</f>
        <v>0</v>
      </c>
      <c r="Z682" s="40">
        <f>IF($A682="",0,DAY($A682))</f>
        <v>0</v>
      </c>
      <c r="AA682" s="40">
        <f>IF($A682="",0,WEEKDAY($A682))</f>
        <v>0</v>
      </c>
      <c r="AB682" s="36">
        <f>IF(AND($C682="Despesa",U682&gt;0,U682&lt;=Sel_Idx,V682&gt;=Sel_Idx),N(R682)+ROW()/1000000000,0)</f>
        <v>0</v>
      </c>
      <c r="AC682" s="40">
        <f>IF(AND($C682="Despesa",U682&gt;0,U682&lt;=Sel_Idx,V682&gt;=Sel_Idx),Z682*10000+ROW(),0)</f>
        <v>0</v>
      </c>
      <c r="AD682" s="40">
        <f>IF(AC682=0,0,COUNTIFS(L_CalChave,"&gt;0",L_CalChave,"&lt;"&amp;AC682)+1)</f>
        <v>0</v>
      </c>
    </row>
    <row r="683">
      <c r="A683" s="38" t="n"/>
      <c r="B683" s="39" t="n"/>
      <c r="C683" s="34" t="n"/>
      <c r="D683" s="34" t="n"/>
      <c r="E683" s="34" t="n"/>
      <c r="F683" s="34" t="n"/>
      <c r="G683" s="34" t="n"/>
      <c r="H683" s="37" t="n"/>
      <c r="I683" s="37" t="n"/>
      <c r="J683" s="34" t="n"/>
      <c r="K683" s="34" t="n"/>
      <c r="L683" s="34" t="n"/>
      <c r="M683" s="39" t="n"/>
      <c r="N683" s="35" t="n"/>
      <c r="O683" s="40" t="str">
        <f>IF($A683="","",MONTH($A683))</f>
        <v/>
      </c>
      <c r="P683" s="40" t="str">
        <f>IF($A683="","",YEAR($A683))</f>
        <v/>
      </c>
      <c r="Q683" s="41" t="str">
        <f>IF($A683="","",DATE(P683,O683,1))</f>
        <v/>
      </c>
      <c r="R683" s="36" t="str">
        <f>IF(OR($A683="",$N683=""),"",IF(AND($C683&lt;&gt;"Transferência",N($I683)&gt;1),$N683/$I683,$N683))</f>
        <v/>
      </c>
      <c r="S683" s="41" t="str">
        <f>IF(OR($A683="",$F683="",$C683&lt;&gt;"Despesa"),"",IF(COUNTIF(Cartoes_Nome,$F683)=0,"",DATE(P683,O683+IF(DAY($A683)&gt;=INDEX(Cartoes_Fech,MATCH($F683,Cartoes_Nome,0)),1,0),1)))</f>
        <v/>
      </c>
      <c r="T683" s="42" t="str">
        <f>IF($A683="","",IF(COUNTIFS(L_Data,$A683,L_Desc,$B683,L_Valor,$N683,L_Tipo,$C683)&gt;1,"⚠ Possível duplicidade",IF(OR(AND($C683="Despesa",COUNTIF(CatD_Nome,$D683)=0),AND($C683="Receita",COUNTIF(CatR_Nome,$D683)=0)),"⚠ Categoria não combina com o tipo",IF(OR($N683="",$C683=""),"⚠ Falta valor ou tipo",""))))</f>
        <v/>
      </c>
      <c r="U683" s="40">
        <f>IF($A683="",0,P683*12+O683)</f>
        <v>0</v>
      </c>
      <c r="V683" s="40">
        <f>IF($A683="",0,U683+MAX(0,N($I683)-MAX(N($H683),1)))</f>
        <v>0</v>
      </c>
      <c r="W683" s="40">
        <f>IF(S683="",0,YEAR(S683)*12+MONTH(S683))</f>
        <v>0</v>
      </c>
      <c r="X683" s="40">
        <f>IF(W683=0,0,W683+V683-U683)</f>
        <v>0</v>
      </c>
      <c r="Y683" s="36">
        <f>IF(W683=0,0,N(R683)*MAX(0,X683-MAX(W683,YEAR(Cfg_Hoje)*12+MONTH(Cfg_Hoje)+IF(DAY(Cfg_Hoje)&gt;=INDEX(Cartoes_Fech,MATCH($F683,Cartoes_Nome,0)),1,0))+1))</f>
        <v>0</v>
      </c>
      <c r="Z683" s="40">
        <f>IF($A683="",0,DAY($A683))</f>
        <v>0</v>
      </c>
      <c r="AA683" s="40">
        <f>IF($A683="",0,WEEKDAY($A683))</f>
        <v>0</v>
      </c>
      <c r="AB683" s="36">
        <f>IF(AND($C683="Despesa",U683&gt;0,U683&lt;=Sel_Idx,V683&gt;=Sel_Idx),N(R683)+ROW()/1000000000,0)</f>
        <v>0</v>
      </c>
      <c r="AC683" s="40">
        <f>IF(AND($C683="Despesa",U683&gt;0,U683&lt;=Sel_Idx,V683&gt;=Sel_Idx),Z683*10000+ROW(),0)</f>
        <v>0</v>
      </c>
      <c r="AD683" s="40">
        <f>IF(AC683=0,0,COUNTIFS(L_CalChave,"&gt;0",L_CalChave,"&lt;"&amp;AC683)+1)</f>
        <v>0</v>
      </c>
    </row>
    <row r="684">
      <c r="A684" s="38" t="n"/>
      <c r="B684" s="39" t="n"/>
      <c r="C684" s="34" t="n"/>
      <c r="D684" s="34" t="n"/>
      <c r="E684" s="34" t="n"/>
      <c r="F684" s="34" t="n"/>
      <c r="G684" s="34" t="n"/>
      <c r="H684" s="37" t="n"/>
      <c r="I684" s="37" t="n"/>
      <c r="J684" s="34" t="n"/>
      <c r="K684" s="34" t="n"/>
      <c r="L684" s="34" t="n"/>
      <c r="M684" s="39" t="n"/>
      <c r="N684" s="35" t="n"/>
      <c r="O684" s="40" t="str">
        <f>IF($A684="","",MONTH($A684))</f>
        <v/>
      </c>
      <c r="P684" s="40" t="str">
        <f>IF($A684="","",YEAR($A684))</f>
        <v/>
      </c>
      <c r="Q684" s="41" t="str">
        <f>IF($A684="","",DATE(P684,O684,1))</f>
        <v/>
      </c>
      <c r="R684" s="36" t="str">
        <f>IF(OR($A684="",$N684=""),"",IF(AND($C684&lt;&gt;"Transferência",N($I684)&gt;1),$N684/$I684,$N684))</f>
        <v/>
      </c>
      <c r="S684" s="41" t="str">
        <f>IF(OR($A684="",$F684="",$C684&lt;&gt;"Despesa"),"",IF(COUNTIF(Cartoes_Nome,$F684)=0,"",DATE(P684,O684+IF(DAY($A684)&gt;=INDEX(Cartoes_Fech,MATCH($F684,Cartoes_Nome,0)),1,0),1)))</f>
        <v/>
      </c>
      <c r="T684" s="42" t="str">
        <f>IF($A684="","",IF(COUNTIFS(L_Data,$A684,L_Desc,$B684,L_Valor,$N684,L_Tipo,$C684)&gt;1,"⚠ Possível duplicidade",IF(OR(AND($C684="Despesa",COUNTIF(CatD_Nome,$D684)=0),AND($C684="Receita",COUNTIF(CatR_Nome,$D684)=0)),"⚠ Categoria não combina com o tipo",IF(OR($N684="",$C684=""),"⚠ Falta valor ou tipo",""))))</f>
        <v/>
      </c>
      <c r="U684" s="40">
        <f>IF($A684="",0,P684*12+O684)</f>
        <v>0</v>
      </c>
      <c r="V684" s="40">
        <f>IF($A684="",0,U684+MAX(0,N($I684)-MAX(N($H684),1)))</f>
        <v>0</v>
      </c>
      <c r="W684" s="40">
        <f>IF(S684="",0,YEAR(S684)*12+MONTH(S684))</f>
        <v>0</v>
      </c>
      <c r="X684" s="40">
        <f>IF(W684=0,0,W684+V684-U684)</f>
        <v>0</v>
      </c>
      <c r="Y684" s="36">
        <f>IF(W684=0,0,N(R684)*MAX(0,X684-MAX(W684,YEAR(Cfg_Hoje)*12+MONTH(Cfg_Hoje)+IF(DAY(Cfg_Hoje)&gt;=INDEX(Cartoes_Fech,MATCH($F684,Cartoes_Nome,0)),1,0))+1))</f>
        <v>0</v>
      </c>
      <c r="Z684" s="40">
        <f>IF($A684="",0,DAY($A684))</f>
        <v>0</v>
      </c>
      <c r="AA684" s="40">
        <f>IF($A684="",0,WEEKDAY($A684))</f>
        <v>0</v>
      </c>
      <c r="AB684" s="36">
        <f>IF(AND($C684="Despesa",U684&gt;0,U684&lt;=Sel_Idx,V684&gt;=Sel_Idx),N(R684)+ROW()/1000000000,0)</f>
        <v>0</v>
      </c>
      <c r="AC684" s="40">
        <f>IF(AND($C684="Despesa",U684&gt;0,U684&lt;=Sel_Idx,V684&gt;=Sel_Idx),Z684*10000+ROW(),0)</f>
        <v>0</v>
      </c>
      <c r="AD684" s="40">
        <f>IF(AC684=0,0,COUNTIFS(L_CalChave,"&gt;0",L_CalChave,"&lt;"&amp;AC684)+1)</f>
        <v>0</v>
      </c>
    </row>
    <row r="685">
      <c r="A685" s="38" t="n"/>
      <c r="B685" s="39" t="n"/>
      <c r="C685" s="34" t="n"/>
      <c r="D685" s="34" t="n"/>
      <c r="E685" s="34" t="n"/>
      <c r="F685" s="34" t="n"/>
      <c r="G685" s="34" t="n"/>
      <c r="H685" s="37" t="n"/>
      <c r="I685" s="37" t="n"/>
      <c r="J685" s="34" t="n"/>
      <c r="K685" s="34" t="n"/>
      <c r="L685" s="34" t="n"/>
      <c r="M685" s="39" t="n"/>
      <c r="N685" s="35" t="n"/>
      <c r="O685" s="40" t="str">
        <f>IF($A685="","",MONTH($A685))</f>
        <v/>
      </c>
      <c r="P685" s="40" t="str">
        <f>IF($A685="","",YEAR($A685))</f>
        <v/>
      </c>
      <c r="Q685" s="41" t="str">
        <f>IF($A685="","",DATE(P685,O685,1))</f>
        <v/>
      </c>
      <c r="R685" s="36" t="str">
        <f>IF(OR($A685="",$N685=""),"",IF(AND($C685&lt;&gt;"Transferência",N($I685)&gt;1),$N685/$I685,$N685))</f>
        <v/>
      </c>
      <c r="S685" s="41" t="str">
        <f>IF(OR($A685="",$F685="",$C685&lt;&gt;"Despesa"),"",IF(COUNTIF(Cartoes_Nome,$F685)=0,"",DATE(P685,O685+IF(DAY($A685)&gt;=INDEX(Cartoes_Fech,MATCH($F685,Cartoes_Nome,0)),1,0),1)))</f>
        <v/>
      </c>
      <c r="T685" s="42" t="str">
        <f>IF($A685="","",IF(COUNTIFS(L_Data,$A685,L_Desc,$B685,L_Valor,$N685,L_Tipo,$C685)&gt;1,"⚠ Possível duplicidade",IF(OR(AND($C685="Despesa",COUNTIF(CatD_Nome,$D685)=0),AND($C685="Receita",COUNTIF(CatR_Nome,$D685)=0)),"⚠ Categoria não combina com o tipo",IF(OR($N685="",$C685=""),"⚠ Falta valor ou tipo",""))))</f>
        <v/>
      </c>
      <c r="U685" s="40">
        <f>IF($A685="",0,P685*12+O685)</f>
        <v>0</v>
      </c>
      <c r="V685" s="40">
        <f>IF($A685="",0,U685+MAX(0,N($I685)-MAX(N($H685),1)))</f>
        <v>0</v>
      </c>
      <c r="W685" s="40">
        <f>IF(S685="",0,YEAR(S685)*12+MONTH(S685))</f>
        <v>0</v>
      </c>
      <c r="X685" s="40">
        <f>IF(W685=0,0,W685+V685-U685)</f>
        <v>0</v>
      </c>
      <c r="Y685" s="36">
        <f>IF(W685=0,0,N(R685)*MAX(0,X685-MAX(W685,YEAR(Cfg_Hoje)*12+MONTH(Cfg_Hoje)+IF(DAY(Cfg_Hoje)&gt;=INDEX(Cartoes_Fech,MATCH($F685,Cartoes_Nome,0)),1,0))+1))</f>
        <v>0</v>
      </c>
      <c r="Z685" s="40">
        <f>IF($A685="",0,DAY($A685))</f>
        <v>0</v>
      </c>
      <c r="AA685" s="40">
        <f>IF($A685="",0,WEEKDAY($A685))</f>
        <v>0</v>
      </c>
      <c r="AB685" s="36">
        <f>IF(AND($C685="Despesa",U685&gt;0,U685&lt;=Sel_Idx,V685&gt;=Sel_Idx),N(R685)+ROW()/1000000000,0)</f>
        <v>0</v>
      </c>
      <c r="AC685" s="40">
        <f>IF(AND($C685="Despesa",U685&gt;0,U685&lt;=Sel_Idx,V685&gt;=Sel_Idx),Z685*10000+ROW(),0)</f>
        <v>0</v>
      </c>
      <c r="AD685" s="40">
        <f>IF(AC685=0,0,COUNTIFS(L_CalChave,"&gt;0",L_CalChave,"&lt;"&amp;AC685)+1)</f>
        <v>0</v>
      </c>
    </row>
    <row r="686">
      <c r="A686" s="38" t="n"/>
      <c r="B686" s="39" t="n"/>
      <c r="C686" s="34" t="n"/>
      <c r="D686" s="34" t="n"/>
      <c r="E686" s="34" t="n"/>
      <c r="F686" s="34" t="n"/>
      <c r="G686" s="34" t="n"/>
      <c r="H686" s="37" t="n"/>
      <c r="I686" s="37" t="n"/>
      <c r="J686" s="34" t="n"/>
      <c r="K686" s="34" t="n"/>
      <c r="L686" s="34" t="n"/>
      <c r="M686" s="39" t="n"/>
      <c r="N686" s="35" t="n"/>
      <c r="O686" s="40" t="str">
        <f>IF($A686="","",MONTH($A686))</f>
        <v/>
      </c>
      <c r="P686" s="40" t="str">
        <f>IF($A686="","",YEAR($A686))</f>
        <v/>
      </c>
      <c r="Q686" s="41" t="str">
        <f>IF($A686="","",DATE(P686,O686,1))</f>
        <v/>
      </c>
      <c r="R686" s="36" t="str">
        <f>IF(OR($A686="",$N686=""),"",IF(AND($C686&lt;&gt;"Transferência",N($I686)&gt;1),$N686/$I686,$N686))</f>
        <v/>
      </c>
      <c r="S686" s="41" t="str">
        <f>IF(OR($A686="",$F686="",$C686&lt;&gt;"Despesa"),"",IF(COUNTIF(Cartoes_Nome,$F686)=0,"",DATE(P686,O686+IF(DAY($A686)&gt;=INDEX(Cartoes_Fech,MATCH($F686,Cartoes_Nome,0)),1,0),1)))</f>
        <v/>
      </c>
      <c r="T686" s="42" t="str">
        <f>IF($A686="","",IF(COUNTIFS(L_Data,$A686,L_Desc,$B686,L_Valor,$N686,L_Tipo,$C686)&gt;1,"⚠ Possível duplicidade",IF(OR(AND($C686="Despesa",COUNTIF(CatD_Nome,$D686)=0),AND($C686="Receita",COUNTIF(CatR_Nome,$D686)=0)),"⚠ Categoria não combina com o tipo",IF(OR($N686="",$C686=""),"⚠ Falta valor ou tipo",""))))</f>
        <v/>
      </c>
      <c r="U686" s="40">
        <f>IF($A686="",0,P686*12+O686)</f>
        <v>0</v>
      </c>
      <c r="V686" s="40">
        <f>IF($A686="",0,U686+MAX(0,N($I686)-MAX(N($H686),1)))</f>
        <v>0</v>
      </c>
      <c r="W686" s="40">
        <f>IF(S686="",0,YEAR(S686)*12+MONTH(S686))</f>
        <v>0</v>
      </c>
      <c r="X686" s="40">
        <f>IF(W686=0,0,W686+V686-U686)</f>
        <v>0</v>
      </c>
      <c r="Y686" s="36">
        <f>IF(W686=0,0,N(R686)*MAX(0,X686-MAX(W686,YEAR(Cfg_Hoje)*12+MONTH(Cfg_Hoje)+IF(DAY(Cfg_Hoje)&gt;=INDEX(Cartoes_Fech,MATCH($F686,Cartoes_Nome,0)),1,0))+1))</f>
        <v>0</v>
      </c>
      <c r="Z686" s="40">
        <f>IF($A686="",0,DAY($A686))</f>
        <v>0</v>
      </c>
      <c r="AA686" s="40">
        <f>IF($A686="",0,WEEKDAY($A686))</f>
        <v>0</v>
      </c>
      <c r="AB686" s="36">
        <f>IF(AND($C686="Despesa",U686&gt;0,U686&lt;=Sel_Idx,V686&gt;=Sel_Idx),N(R686)+ROW()/1000000000,0)</f>
        <v>0</v>
      </c>
      <c r="AC686" s="40">
        <f>IF(AND($C686="Despesa",U686&gt;0,U686&lt;=Sel_Idx,V686&gt;=Sel_Idx),Z686*10000+ROW(),0)</f>
        <v>0</v>
      </c>
      <c r="AD686" s="40">
        <f>IF(AC686=0,0,COUNTIFS(L_CalChave,"&gt;0",L_CalChave,"&lt;"&amp;AC686)+1)</f>
        <v>0</v>
      </c>
    </row>
    <row r="687">
      <c r="A687" s="38" t="n"/>
      <c r="B687" s="39" t="n"/>
      <c r="C687" s="34" t="n"/>
      <c r="D687" s="34" t="n"/>
      <c r="E687" s="34" t="n"/>
      <c r="F687" s="34" t="n"/>
      <c r="G687" s="34" t="n"/>
      <c r="H687" s="37" t="n"/>
      <c r="I687" s="37" t="n"/>
      <c r="J687" s="34" t="n"/>
      <c r="K687" s="34" t="n"/>
      <c r="L687" s="34" t="n"/>
      <c r="M687" s="39" t="n"/>
      <c r="N687" s="35" t="n"/>
      <c r="O687" s="40" t="str">
        <f>IF($A687="","",MONTH($A687))</f>
        <v/>
      </c>
      <c r="P687" s="40" t="str">
        <f>IF($A687="","",YEAR($A687))</f>
        <v/>
      </c>
      <c r="Q687" s="41" t="str">
        <f>IF($A687="","",DATE(P687,O687,1))</f>
        <v/>
      </c>
      <c r="R687" s="36" t="str">
        <f>IF(OR($A687="",$N687=""),"",IF(AND($C687&lt;&gt;"Transferência",N($I687)&gt;1),$N687/$I687,$N687))</f>
        <v/>
      </c>
      <c r="S687" s="41" t="str">
        <f>IF(OR($A687="",$F687="",$C687&lt;&gt;"Despesa"),"",IF(COUNTIF(Cartoes_Nome,$F687)=0,"",DATE(P687,O687+IF(DAY($A687)&gt;=INDEX(Cartoes_Fech,MATCH($F687,Cartoes_Nome,0)),1,0),1)))</f>
        <v/>
      </c>
      <c r="T687" s="42" t="str">
        <f>IF($A687="","",IF(COUNTIFS(L_Data,$A687,L_Desc,$B687,L_Valor,$N687,L_Tipo,$C687)&gt;1,"⚠ Possível duplicidade",IF(OR(AND($C687="Despesa",COUNTIF(CatD_Nome,$D687)=0),AND($C687="Receita",COUNTIF(CatR_Nome,$D687)=0)),"⚠ Categoria não combina com o tipo",IF(OR($N687="",$C687=""),"⚠ Falta valor ou tipo",""))))</f>
        <v/>
      </c>
      <c r="U687" s="40">
        <f>IF($A687="",0,P687*12+O687)</f>
        <v>0</v>
      </c>
      <c r="V687" s="40">
        <f>IF($A687="",0,U687+MAX(0,N($I687)-MAX(N($H687),1)))</f>
        <v>0</v>
      </c>
      <c r="W687" s="40">
        <f>IF(S687="",0,YEAR(S687)*12+MONTH(S687))</f>
        <v>0</v>
      </c>
      <c r="X687" s="40">
        <f>IF(W687=0,0,W687+V687-U687)</f>
        <v>0</v>
      </c>
      <c r="Y687" s="36">
        <f>IF(W687=0,0,N(R687)*MAX(0,X687-MAX(W687,YEAR(Cfg_Hoje)*12+MONTH(Cfg_Hoje)+IF(DAY(Cfg_Hoje)&gt;=INDEX(Cartoes_Fech,MATCH($F687,Cartoes_Nome,0)),1,0))+1))</f>
        <v>0</v>
      </c>
      <c r="Z687" s="40">
        <f>IF($A687="",0,DAY($A687))</f>
        <v>0</v>
      </c>
      <c r="AA687" s="40">
        <f>IF($A687="",0,WEEKDAY($A687))</f>
        <v>0</v>
      </c>
      <c r="AB687" s="36">
        <f>IF(AND($C687="Despesa",U687&gt;0,U687&lt;=Sel_Idx,V687&gt;=Sel_Idx),N(R687)+ROW()/1000000000,0)</f>
        <v>0</v>
      </c>
      <c r="AC687" s="40">
        <f>IF(AND($C687="Despesa",U687&gt;0,U687&lt;=Sel_Idx,V687&gt;=Sel_Idx),Z687*10000+ROW(),0)</f>
        <v>0</v>
      </c>
      <c r="AD687" s="40">
        <f>IF(AC687=0,0,COUNTIFS(L_CalChave,"&gt;0",L_CalChave,"&lt;"&amp;AC687)+1)</f>
        <v>0</v>
      </c>
    </row>
    <row r="688">
      <c r="A688" s="38" t="n"/>
      <c r="B688" s="39" t="n"/>
      <c r="C688" s="34" t="n"/>
      <c r="D688" s="34" t="n"/>
      <c r="E688" s="34" t="n"/>
      <c r="F688" s="34" t="n"/>
      <c r="G688" s="34" t="n"/>
      <c r="H688" s="37" t="n"/>
      <c r="I688" s="37" t="n"/>
      <c r="J688" s="34" t="n"/>
      <c r="K688" s="34" t="n"/>
      <c r="L688" s="34" t="n"/>
      <c r="M688" s="39" t="n"/>
      <c r="N688" s="35" t="n"/>
      <c r="O688" s="40" t="str">
        <f>IF($A688="","",MONTH($A688))</f>
        <v/>
      </c>
      <c r="P688" s="40" t="str">
        <f>IF($A688="","",YEAR($A688))</f>
        <v/>
      </c>
      <c r="Q688" s="41" t="str">
        <f>IF($A688="","",DATE(P688,O688,1))</f>
        <v/>
      </c>
      <c r="R688" s="36" t="str">
        <f>IF(OR($A688="",$N688=""),"",IF(AND($C688&lt;&gt;"Transferência",N($I688)&gt;1),$N688/$I688,$N688))</f>
        <v/>
      </c>
      <c r="S688" s="41" t="str">
        <f>IF(OR($A688="",$F688="",$C688&lt;&gt;"Despesa"),"",IF(COUNTIF(Cartoes_Nome,$F688)=0,"",DATE(P688,O688+IF(DAY($A688)&gt;=INDEX(Cartoes_Fech,MATCH($F688,Cartoes_Nome,0)),1,0),1)))</f>
        <v/>
      </c>
      <c r="T688" s="42" t="str">
        <f>IF($A688="","",IF(COUNTIFS(L_Data,$A688,L_Desc,$B688,L_Valor,$N688,L_Tipo,$C688)&gt;1,"⚠ Possível duplicidade",IF(OR(AND($C688="Despesa",COUNTIF(CatD_Nome,$D688)=0),AND($C688="Receita",COUNTIF(CatR_Nome,$D688)=0)),"⚠ Categoria não combina com o tipo",IF(OR($N688="",$C688=""),"⚠ Falta valor ou tipo",""))))</f>
        <v/>
      </c>
      <c r="U688" s="40">
        <f>IF($A688="",0,P688*12+O688)</f>
        <v>0</v>
      </c>
      <c r="V688" s="40">
        <f>IF($A688="",0,U688+MAX(0,N($I688)-MAX(N($H688),1)))</f>
        <v>0</v>
      </c>
      <c r="W688" s="40">
        <f>IF(S688="",0,YEAR(S688)*12+MONTH(S688))</f>
        <v>0</v>
      </c>
      <c r="X688" s="40">
        <f>IF(W688=0,0,W688+V688-U688)</f>
        <v>0</v>
      </c>
      <c r="Y688" s="36">
        <f>IF(W688=0,0,N(R688)*MAX(0,X688-MAX(W688,YEAR(Cfg_Hoje)*12+MONTH(Cfg_Hoje)+IF(DAY(Cfg_Hoje)&gt;=INDEX(Cartoes_Fech,MATCH($F688,Cartoes_Nome,0)),1,0))+1))</f>
        <v>0</v>
      </c>
      <c r="Z688" s="40">
        <f>IF($A688="",0,DAY($A688))</f>
        <v>0</v>
      </c>
      <c r="AA688" s="40">
        <f>IF($A688="",0,WEEKDAY($A688))</f>
        <v>0</v>
      </c>
      <c r="AB688" s="36">
        <f>IF(AND($C688="Despesa",U688&gt;0,U688&lt;=Sel_Idx,V688&gt;=Sel_Idx),N(R688)+ROW()/1000000000,0)</f>
        <v>0</v>
      </c>
      <c r="AC688" s="40">
        <f>IF(AND($C688="Despesa",U688&gt;0,U688&lt;=Sel_Idx,V688&gt;=Sel_Idx),Z688*10000+ROW(),0)</f>
        <v>0</v>
      </c>
      <c r="AD688" s="40">
        <f>IF(AC688=0,0,COUNTIFS(L_CalChave,"&gt;0",L_CalChave,"&lt;"&amp;AC688)+1)</f>
        <v>0</v>
      </c>
    </row>
    <row r="689">
      <c r="A689" s="38" t="n"/>
      <c r="B689" s="39" t="n"/>
      <c r="C689" s="34" t="n"/>
      <c r="D689" s="34" t="n"/>
      <c r="E689" s="34" t="n"/>
      <c r="F689" s="34" t="n"/>
      <c r="G689" s="34" t="n"/>
      <c r="H689" s="37" t="n"/>
      <c r="I689" s="37" t="n"/>
      <c r="J689" s="34" t="n"/>
      <c r="K689" s="34" t="n"/>
      <c r="L689" s="34" t="n"/>
      <c r="M689" s="39" t="n"/>
      <c r="N689" s="35" t="n"/>
      <c r="O689" s="40" t="str">
        <f>IF($A689="","",MONTH($A689))</f>
        <v/>
      </c>
      <c r="P689" s="40" t="str">
        <f>IF($A689="","",YEAR($A689))</f>
        <v/>
      </c>
      <c r="Q689" s="41" t="str">
        <f>IF($A689="","",DATE(P689,O689,1))</f>
        <v/>
      </c>
      <c r="R689" s="36" t="str">
        <f>IF(OR($A689="",$N689=""),"",IF(AND($C689&lt;&gt;"Transferência",N($I689)&gt;1),$N689/$I689,$N689))</f>
        <v/>
      </c>
      <c r="S689" s="41" t="str">
        <f>IF(OR($A689="",$F689="",$C689&lt;&gt;"Despesa"),"",IF(COUNTIF(Cartoes_Nome,$F689)=0,"",DATE(P689,O689+IF(DAY($A689)&gt;=INDEX(Cartoes_Fech,MATCH($F689,Cartoes_Nome,0)),1,0),1)))</f>
        <v/>
      </c>
      <c r="T689" s="42" t="str">
        <f>IF($A689="","",IF(COUNTIFS(L_Data,$A689,L_Desc,$B689,L_Valor,$N689,L_Tipo,$C689)&gt;1,"⚠ Possível duplicidade",IF(OR(AND($C689="Despesa",COUNTIF(CatD_Nome,$D689)=0),AND($C689="Receita",COUNTIF(CatR_Nome,$D689)=0)),"⚠ Categoria não combina com o tipo",IF(OR($N689="",$C689=""),"⚠ Falta valor ou tipo",""))))</f>
        <v/>
      </c>
      <c r="U689" s="40">
        <f>IF($A689="",0,P689*12+O689)</f>
        <v>0</v>
      </c>
      <c r="V689" s="40">
        <f>IF($A689="",0,U689+MAX(0,N($I689)-MAX(N($H689),1)))</f>
        <v>0</v>
      </c>
      <c r="W689" s="40">
        <f>IF(S689="",0,YEAR(S689)*12+MONTH(S689))</f>
        <v>0</v>
      </c>
      <c r="X689" s="40">
        <f>IF(W689=0,0,W689+V689-U689)</f>
        <v>0</v>
      </c>
      <c r="Y689" s="36">
        <f>IF(W689=0,0,N(R689)*MAX(0,X689-MAX(W689,YEAR(Cfg_Hoje)*12+MONTH(Cfg_Hoje)+IF(DAY(Cfg_Hoje)&gt;=INDEX(Cartoes_Fech,MATCH($F689,Cartoes_Nome,0)),1,0))+1))</f>
        <v>0</v>
      </c>
      <c r="Z689" s="40">
        <f>IF($A689="",0,DAY($A689))</f>
        <v>0</v>
      </c>
      <c r="AA689" s="40">
        <f>IF($A689="",0,WEEKDAY($A689))</f>
        <v>0</v>
      </c>
      <c r="AB689" s="36">
        <f>IF(AND($C689="Despesa",U689&gt;0,U689&lt;=Sel_Idx,V689&gt;=Sel_Idx),N(R689)+ROW()/1000000000,0)</f>
        <v>0</v>
      </c>
      <c r="AC689" s="40">
        <f>IF(AND($C689="Despesa",U689&gt;0,U689&lt;=Sel_Idx,V689&gt;=Sel_Idx),Z689*10000+ROW(),0)</f>
        <v>0</v>
      </c>
      <c r="AD689" s="40">
        <f>IF(AC689=0,0,COUNTIFS(L_CalChave,"&gt;0",L_CalChave,"&lt;"&amp;AC689)+1)</f>
        <v>0</v>
      </c>
    </row>
    <row r="690">
      <c r="A690" s="38" t="n"/>
      <c r="B690" s="39" t="n"/>
      <c r="C690" s="34" t="n"/>
      <c r="D690" s="34" t="n"/>
      <c r="E690" s="34" t="n"/>
      <c r="F690" s="34" t="n"/>
      <c r="G690" s="34" t="n"/>
      <c r="H690" s="37" t="n"/>
      <c r="I690" s="37" t="n"/>
      <c r="J690" s="34" t="n"/>
      <c r="K690" s="34" t="n"/>
      <c r="L690" s="34" t="n"/>
      <c r="M690" s="39" t="n"/>
      <c r="N690" s="35" t="n"/>
      <c r="O690" s="40" t="str">
        <f>IF($A690="","",MONTH($A690))</f>
        <v/>
      </c>
      <c r="P690" s="40" t="str">
        <f>IF($A690="","",YEAR($A690))</f>
        <v/>
      </c>
      <c r="Q690" s="41" t="str">
        <f>IF($A690="","",DATE(P690,O690,1))</f>
        <v/>
      </c>
      <c r="R690" s="36" t="str">
        <f>IF(OR($A690="",$N690=""),"",IF(AND($C690&lt;&gt;"Transferência",N($I690)&gt;1),$N690/$I690,$N690))</f>
        <v/>
      </c>
      <c r="S690" s="41" t="str">
        <f>IF(OR($A690="",$F690="",$C690&lt;&gt;"Despesa"),"",IF(COUNTIF(Cartoes_Nome,$F690)=0,"",DATE(P690,O690+IF(DAY($A690)&gt;=INDEX(Cartoes_Fech,MATCH($F690,Cartoes_Nome,0)),1,0),1)))</f>
        <v/>
      </c>
      <c r="T690" s="42" t="str">
        <f>IF($A690="","",IF(COUNTIFS(L_Data,$A690,L_Desc,$B690,L_Valor,$N690,L_Tipo,$C690)&gt;1,"⚠ Possível duplicidade",IF(OR(AND($C690="Despesa",COUNTIF(CatD_Nome,$D690)=0),AND($C690="Receita",COUNTIF(CatR_Nome,$D690)=0)),"⚠ Categoria não combina com o tipo",IF(OR($N690="",$C690=""),"⚠ Falta valor ou tipo",""))))</f>
        <v/>
      </c>
      <c r="U690" s="40">
        <f>IF($A690="",0,P690*12+O690)</f>
        <v>0</v>
      </c>
      <c r="V690" s="40">
        <f>IF($A690="",0,U690+MAX(0,N($I690)-MAX(N($H690),1)))</f>
        <v>0</v>
      </c>
      <c r="W690" s="40">
        <f>IF(S690="",0,YEAR(S690)*12+MONTH(S690))</f>
        <v>0</v>
      </c>
      <c r="X690" s="40">
        <f>IF(W690=0,0,W690+V690-U690)</f>
        <v>0</v>
      </c>
      <c r="Y690" s="36">
        <f>IF(W690=0,0,N(R690)*MAX(0,X690-MAX(W690,YEAR(Cfg_Hoje)*12+MONTH(Cfg_Hoje)+IF(DAY(Cfg_Hoje)&gt;=INDEX(Cartoes_Fech,MATCH($F690,Cartoes_Nome,0)),1,0))+1))</f>
        <v>0</v>
      </c>
      <c r="Z690" s="40">
        <f>IF($A690="",0,DAY($A690))</f>
        <v>0</v>
      </c>
      <c r="AA690" s="40">
        <f>IF($A690="",0,WEEKDAY($A690))</f>
        <v>0</v>
      </c>
      <c r="AB690" s="36">
        <f>IF(AND($C690="Despesa",U690&gt;0,U690&lt;=Sel_Idx,V690&gt;=Sel_Idx),N(R690)+ROW()/1000000000,0)</f>
        <v>0</v>
      </c>
      <c r="AC690" s="40">
        <f>IF(AND($C690="Despesa",U690&gt;0,U690&lt;=Sel_Idx,V690&gt;=Sel_Idx),Z690*10000+ROW(),0)</f>
        <v>0</v>
      </c>
      <c r="AD690" s="40">
        <f>IF(AC690=0,0,COUNTIFS(L_CalChave,"&gt;0",L_CalChave,"&lt;"&amp;AC690)+1)</f>
        <v>0</v>
      </c>
    </row>
    <row r="691">
      <c r="A691" s="38" t="n"/>
      <c r="B691" s="39" t="n"/>
      <c r="C691" s="34" t="n"/>
      <c r="D691" s="34" t="n"/>
      <c r="E691" s="34" t="n"/>
      <c r="F691" s="34" t="n"/>
      <c r="G691" s="34" t="n"/>
      <c r="H691" s="37" t="n"/>
      <c r="I691" s="37" t="n"/>
      <c r="J691" s="34" t="n"/>
      <c r="K691" s="34" t="n"/>
      <c r="L691" s="34" t="n"/>
      <c r="M691" s="39" t="n"/>
      <c r="N691" s="35" t="n"/>
      <c r="O691" s="40" t="str">
        <f>IF($A691="","",MONTH($A691))</f>
        <v/>
      </c>
      <c r="P691" s="40" t="str">
        <f>IF($A691="","",YEAR($A691))</f>
        <v/>
      </c>
      <c r="Q691" s="41" t="str">
        <f>IF($A691="","",DATE(P691,O691,1))</f>
        <v/>
      </c>
      <c r="R691" s="36" t="str">
        <f>IF(OR($A691="",$N691=""),"",IF(AND($C691&lt;&gt;"Transferência",N($I691)&gt;1),$N691/$I691,$N691))</f>
        <v/>
      </c>
      <c r="S691" s="41" t="str">
        <f>IF(OR($A691="",$F691="",$C691&lt;&gt;"Despesa"),"",IF(COUNTIF(Cartoes_Nome,$F691)=0,"",DATE(P691,O691+IF(DAY($A691)&gt;=INDEX(Cartoes_Fech,MATCH($F691,Cartoes_Nome,0)),1,0),1)))</f>
        <v/>
      </c>
      <c r="T691" s="42" t="str">
        <f>IF($A691="","",IF(COUNTIFS(L_Data,$A691,L_Desc,$B691,L_Valor,$N691,L_Tipo,$C691)&gt;1,"⚠ Possível duplicidade",IF(OR(AND($C691="Despesa",COUNTIF(CatD_Nome,$D691)=0),AND($C691="Receita",COUNTIF(CatR_Nome,$D691)=0)),"⚠ Categoria não combina com o tipo",IF(OR($N691="",$C691=""),"⚠ Falta valor ou tipo",""))))</f>
        <v/>
      </c>
      <c r="U691" s="40">
        <f>IF($A691="",0,P691*12+O691)</f>
        <v>0</v>
      </c>
      <c r="V691" s="40">
        <f>IF($A691="",0,U691+MAX(0,N($I691)-MAX(N($H691),1)))</f>
        <v>0</v>
      </c>
      <c r="W691" s="40">
        <f>IF(S691="",0,YEAR(S691)*12+MONTH(S691))</f>
        <v>0</v>
      </c>
      <c r="X691" s="40">
        <f>IF(W691=0,0,W691+V691-U691)</f>
        <v>0</v>
      </c>
      <c r="Y691" s="36">
        <f>IF(W691=0,0,N(R691)*MAX(0,X691-MAX(W691,YEAR(Cfg_Hoje)*12+MONTH(Cfg_Hoje)+IF(DAY(Cfg_Hoje)&gt;=INDEX(Cartoes_Fech,MATCH($F691,Cartoes_Nome,0)),1,0))+1))</f>
        <v>0</v>
      </c>
      <c r="Z691" s="40">
        <f>IF($A691="",0,DAY($A691))</f>
        <v>0</v>
      </c>
      <c r="AA691" s="40">
        <f>IF($A691="",0,WEEKDAY($A691))</f>
        <v>0</v>
      </c>
      <c r="AB691" s="36">
        <f>IF(AND($C691="Despesa",U691&gt;0,U691&lt;=Sel_Idx,V691&gt;=Sel_Idx),N(R691)+ROW()/1000000000,0)</f>
        <v>0</v>
      </c>
      <c r="AC691" s="40">
        <f>IF(AND($C691="Despesa",U691&gt;0,U691&lt;=Sel_Idx,V691&gt;=Sel_Idx),Z691*10000+ROW(),0)</f>
        <v>0</v>
      </c>
      <c r="AD691" s="40">
        <f>IF(AC691=0,0,COUNTIFS(L_CalChave,"&gt;0",L_CalChave,"&lt;"&amp;AC691)+1)</f>
        <v>0</v>
      </c>
    </row>
    <row r="692">
      <c r="A692" s="38" t="n"/>
      <c r="B692" s="39" t="n"/>
      <c r="C692" s="34" t="n"/>
      <c r="D692" s="34" t="n"/>
      <c r="E692" s="34" t="n"/>
      <c r="F692" s="34" t="n"/>
      <c r="G692" s="34" t="n"/>
      <c r="H692" s="37" t="n"/>
      <c r="I692" s="37" t="n"/>
      <c r="J692" s="34" t="n"/>
      <c r="K692" s="34" t="n"/>
      <c r="L692" s="34" t="n"/>
      <c r="M692" s="39" t="n"/>
      <c r="N692" s="35" t="n"/>
      <c r="O692" s="40" t="str">
        <f>IF($A692="","",MONTH($A692))</f>
        <v/>
      </c>
      <c r="P692" s="40" t="str">
        <f>IF($A692="","",YEAR($A692))</f>
        <v/>
      </c>
      <c r="Q692" s="41" t="str">
        <f>IF($A692="","",DATE(P692,O692,1))</f>
        <v/>
      </c>
      <c r="R692" s="36" t="str">
        <f>IF(OR($A692="",$N692=""),"",IF(AND($C692&lt;&gt;"Transferência",N($I692)&gt;1),$N692/$I692,$N692))</f>
        <v/>
      </c>
      <c r="S692" s="41" t="str">
        <f>IF(OR($A692="",$F692="",$C692&lt;&gt;"Despesa"),"",IF(COUNTIF(Cartoes_Nome,$F692)=0,"",DATE(P692,O692+IF(DAY($A692)&gt;=INDEX(Cartoes_Fech,MATCH($F692,Cartoes_Nome,0)),1,0),1)))</f>
        <v/>
      </c>
      <c r="T692" s="42" t="str">
        <f>IF($A692="","",IF(COUNTIFS(L_Data,$A692,L_Desc,$B692,L_Valor,$N692,L_Tipo,$C692)&gt;1,"⚠ Possível duplicidade",IF(OR(AND($C692="Despesa",COUNTIF(CatD_Nome,$D692)=0),AND($C692="Receita",COUNTIF(CatR_Nome,$D692)=0)),"⚠ Categoria não combina com o tipo",IF(OR($N692="",$C692=""),"⚠ Falta valor ou tipo",""))))</f>
        <v/>
      </c>
      <c r="U692" s="40">
        <f>IF($A692="",0,P692*12+O692)</f>
        <v>0</v>
      </c>
      <c r="V692" s="40">
        <f>IF($A692="",0,U692+MAX(0,N($I692)-MAX(N($H692),1)))</f>
        <v>0</v>
      </c>
      <c r="W692" s="40">
        <f>IF(S692="",0,YEAR(S692)*12+MONTH(S692))</f>
        <v>0</v>
      </c>
      <c r="X692" s="40">
        <f>IF(W692=0,0,W692+V692-U692)</f>
        <v>0</v>
      </c>
      <c r="Y692" s="36">
        <f>IF(W692=0,0,N(R692)*MAX(0,X692-MAX(W692,YEAR(Cfg_Hoje)*12+MONTH(Cfg_Hoje)+IF(DAY(Cfg_Hoje)&gt;=INDEX(Cartoes_Fech,MATCH($F692,Cartoes_Nome,0)),1,0))+1))</f>
        <v>0</v>
      </c>
      <c r="Z692" s="40">
        <f>IF($A692="",0,DAY($A692))</f>
        <v>0</v>
      </c>
      <c r="AA692" s="40">
        <f>IF($A692="",0,WEEKDAY($A692))</f>
        <v>0</v>
      </c>
      <c r="AB692" s="36">
        <f>IF(AND($C692="Despesa",U692&gt;0,U692&lt;=Sel_Idx,V692&gt;=Sel_Idx),N(R692)+ROW()/1000000000,0)</f>
        <v>0</v>
      </c>
      <c r="AC692" s="40">
        <f>IF(AND($C692="Despesa",U692&gt;0,U692&lt;=Sel_Idx,V692&gt;=Sel_Idx),Z692*10000+ROW(),0)</f>
        <v>0</v>
      </c>
      <c r="AD692" s="40">
        <f>IF(AC692=0,0,COUNTIFS(L_CalChave,"&gt;0",L_CalChave,"&lt;"&amp;AC692)+1)</f>
        <v>0</v>
      </c>
    </row>
    <row r="693">
      <c r="A693" s="38" t="n"/>
      <c r="B693" s="39" t="n"/>
      <c r="C693" s="34" t="n"/>
      <c r="D693" s="34" t="n"/>
      <c r="E693" s="34" t="n"/>
      <c r="F693" s="34" t="n"/>
      <c r="G693" s="34" t="n"/>
      <c r="H693" s="37" t="n"/>
      <c r="I693" s="37" t="n"/>
      <c r="J693" s="34" t="n"/>
      <c r="K693" s="34" t="n"/>
      <c r="L693" s="34" t="n"/>
      <c r="M693" s="39" t="n"/>
      <c r="N693" s="35" t="n"/>
      <c r="O693" s="40" t="str">
        <f>IF($A693="","",MONTH($A693))</f>
        <v/>
      </c>
      <c r="P693" s="40" t="str">
        <f>IF($A693="","",YEAR($A693))</f>
        <v/>
      </c>
      <c r="Q693" s="41" t="str">
        <f>IF($A693="","",DATE(P693,O693,1))</f>
        <v/>
      </c>
      <c r="R693" s="36" t="str">
        <f>IF(OR($A693="",$N693=""),"",IF(AND($C693&lt;&gt;"Transferência",N($I693)&gt;1),$N693/$I693,$N693))</f>
        <v/>
      </c>
      <c r="S693" s="41" t="str">
        <f>IF(OR($A693="",$F693="",$C693&lt;&gt;"Despesa"),"",IF(COUNTIF(Cartoes_Nome,$F693)=0,"",DATE(P693,O693+IF(DAY($A693)&gt;=INDEX(Cartoes_Fech,MATCH($F693,Cartoes_Nome,0)),1,0),1)))</f>
        <v/>
      </c>
      <c r="T693" s="42" t="str">
        <f>IF($A693="","",IF(COUNTIFS(L_Data,$A693,L_Desc,$B693,L_Valor,$N693,L_Tipo,$C693)&gt;1,"⚠ Possível duplicidade",IF(OR(AND($C693="Despesa",COUNTIF(CatD_Nome,$D693)=0),AND($C693="Receita",COUNTIF(CatR_Nome,$D693)=0)),"⚠ Categoria não combina com o tipo",IF(OR($N693="",$C693=""),"⚠ Falta valor ou tipo",""))))</f>
        <v/>
      </c>
      <c r="U693" s="40">
        <f>IF($A693="",0,P693*12+O693)</f>
        <v>0</v>
      </c>
      <c r="V693" s="40">
        <f>IF($A693="",0,U693+MAX(0,N($I693)-MAX(N($H693),1)))</f>
        <v>0</v>
      </c>
      <c r="W693" s="40">
        <f>IF(S693="",0,YEAR(S693)*12+MONTH(S693))</f>
        <v>0</v>
      </c>
      <c r="X693" s="40">
        <f>IF(W693=0,0,W693+V693-U693)</f>
        <v>0</v>
      </c>
      <c r="Y693" s="36">
        <f>IF(W693=0,0,N(R693)*MAX(0,X693-MAX(W693,YEAR(Cfg_Hoje)*12+MONTH(Cfg_Hoje)+IF(DAY(Cfg_Hoje)&gt;=INDEX(Cartoes_Fech,MATCH($F693,Cartoes_Nome,0)),1,0))+1))</f>
        <v>0</v>
      </c>
      <c r="Z693" s="40">
        <f>IF($A693="",0,DAY($A693))</f>
        <v>0</v>
      </c>
      <c r="AA693" s="40">
        <f>IF($A693="",0,WEEKDAY($A693))</f>
        <v>0</v>
      </c>
      <c r="AB693" s="36">
        <f>IF(AND($C693="Despesa",U693&gt;0,U693&lt;=Sel_Idx,V693&gt;=Sel_Idx),N(R693)+ROW()/1000000000,0)</f>
        <v>0</v>
      </c>
      <c r="AC693" s="40">
        <f>IF(AND($C693="Despesa",U693&gt;0,U693&lt;=Sel_Idx,V693&gt;=Sel_Idx),Z693*10000+ROW(),0)</f>
        <v>0</v>
      </c>
      <c r="AD693" s="40">
        <f>IF(AC693=0,0,COUNTIFS(L_CalChave,"&gt;0",L_CalChave,"&lt;"&amp;AC693)+1)</f>
        <v>0</v>
      </c>
    </row>
    <row r="694">
      <c r="A694" s="38" t="n"/>
      <c r="B694" s="39" t="n"/>
      <c r="C694" s="34" t="n"/>
      <c r="D694" s="34" t="n"/>
      <c r="E694" s="34" t="n"/>
      <c r="F694" s="34" t="n"/>
      <c r="G694" s="34" t="n"/>
      <c r="H694" s="37" t="n"/>
      <c r="I694" s="37" t="n"/>
      <c r="J694" s="34" t="n"/>
      <c r="K694" s="34" t="n"/>
      <c r="L694" s="34" t="n"/>
      <c r="M694" s="39" t="n"/>
      <c r="N694" s="35" t="n"/>
      <c r="O694" s="40" t="str">
        <f>IF($A694="","",MONTH($A694))</f>
        <v/>
      </c>
      <c r="P694" s="40" t="str">
        <f>IF($A694="","",YEAR($A694))</f>
        <v/>
      </c>
      <c r="Q694" s="41" t="str">
        <f>IF($A694="","",DATE(P694,O694,1))</f>
        <v/>
      </c>
      <c r="R694" s="36" t="str">
        <f>IF(OR($A694="",$N694=""),"",IF(AND($C694&lt;&gt;"Transferência",N($I694)&gt;1),$N694/$I694,$N694))</f>
        <v/>
      </c>
      <c r="S694" s="41" t="str">
        <f>IF(OR($A694="",$F694="",$C694&lt;&gt;"Despesa"),"",IF(COUNTIF(Cartoes_Nome,$F694)=0,"",DATE(P694,O694+IF(DAY($A694)&gt;=INDEX(Cartoes_Fech,MATCH($F694,Cartoes_Nome,0)),1,0),1)))</f>
        <v/>
      </c>
      <c r="T694" s="42" t="str">
        <f>IF($A694="","",IF(COUNTIFS(L_Data,$A694,L_Desc,$B694,L_Valor,$N694,L_Tipo,$C694)&gt;1,"⚠ Possível duplicidade",IF(OR(AND($C694="Despesa",COUNTIF(CatD_Nome,$D694)=0),AND($C694="Receita",COUNTIF(CatR_Nome,$D694)=0)),"⚠ Categoria não combina com o tipo",IF(OR($N694="",$C694=""),"⚠ Falta valor ou tipo",""))))</f>
        <v/>
      </c>
      <c r="U694" s="40">
        <f>IF($A694="",0,P694*12+O694)</f>
        <v>0</v>
      </c>
      <c r="V694" s="40">
        <f>IF($A694="",0,U694+MAX(0,N($I694)-MAX(N($H694),1)))</f>
        <v>0</v>
      </c>
      <c r="W694" s="40">
        <f>IF(S694="",0,YEAR(S694)*12+MONTH(S694))</f>
        <v>0</v>
      </c>
      <c r="X694" s="40">
        <f>IF(W694=0,0,W694+V694-U694)</f>
        <v>0</v>
      </c>
      <c r="Y694" s="36">
        <f>IF(W694=0,0,N(R694)*MAX(0,X694-MAX(W694,YEAR(Cfg_Hoje)*12+MONTH(Cfg_Hoje)+IF(DAY(Cfg_Hoje)&gt;=INDEX(Cartoes_Fech,MATCH($F694,Cartoes_Nome,0)),1,0))+1))</f>
        <v>0</v>
      </c>
      <c r="Z694" s="40">
        <f>IF($A694="",0,DAY($A694))</f>
        <v>0</v>
      </c>
      <c r="AA694" s="40">
        <f>IF($A694="",0,WEEKDAY($A694))</f>
        <v>0</v>
      </c>
      <c r="AB694" s="36">
        <f>IF(AND($C694="Despesa",U694&gt;0,U694&lt;=Sel_Idx,V694&gt;=Sel_Idx),N(R694)+ROW()/1000000000,0)</f>
        <v>0</v>
      </c>
      <c r="AC694" s="40">
        <f>IF(AND($C694="Despesa",U694&gt;0,U694&lt;=Sel_Idx,V694&gt;=Sel_Idx),Z694*10000+ROW(),0)</f>
        <v>0</v>
      </c>
      <c r="AD694" s="40">
        <f>IF(AC694=0,0,COUNTIFS(L_CalChave,"&gt;0",L_CalChave,"&lt;"&amp;AC694)+1)</f>
        <v>0</v>
      </c>
    </row>
    <row r="695">
      <c r="A695" s="38" t="n"/>
      <c r="B695" s="39" t="n"/>
      <c r="C695" s="34" t="n"/>
      <c r="D695" s="34" t="n"/>
      <c r="E695" s="34" t="n"/>
      <c r="F695" s="34" t="n"/>
      <c r="G695" s="34" t="n"/>
      <c r="H695" s="37" t="n"/>
      <c r="I695" s="37" t="n"/>
      <c r="J695" s="34" t="n"/>
      <c r="K695" s="34" t="n"/>
      <c r="L695" s="34" t="n"/>
      <c r="M695" s="39" t="n"/>
      <c r="N695" s="35" t="n"/>
      <c r="O695" s="40" t="str">
        <f>IF($A695="","",MONTH($A695))</f>
        <v/>
      </c>
      <c r="P695" s="40" t="str">
        <f>IF($A695="","",YEAR($A695))</f>
        <v/>
      </c>
      <c r="Q695" s="41" t="str">
        <f>IF($A695="","",DATE(P695,O695,1))</f>
        <v/>
      </c>
      <c r="R695" s="36" t="str">
        <f>IF(OR($A695="",$N695=""),"",IF(AND($C695&lt;&gt;"Transferência",N($I695)&gt;1),$N695/$I695,$N695))</f>
        <v/>
      </c>
      <c r="S695" s="41" t="str">
        <f>IF(OR($A695="",$F695="",$C695&lt;&gt;"Despesa"),"",IF(COUNTIF(Cartoes_Nome,$F695)=0,"",DATE(P695,O695+IF(DAY($A695)&gt;=INDEX(Cartoes_Fech,MATCH($F695,Cartoes_Nome,0)),1,0),1)))</f>
        <v/>
      </c>
      <c r="T695" s="42" t="str">
        <f>IF($A695="","",IF(COUNTIFS(L_Data,$A695,L_Desc,$B695,L_Valor,$N695,L_Tipo,$C695)&gt;1,"⚠ Possível duplicidade",IF(OR(AND($C695="Despesa",COUNTIF(CatD_Nome,$D695)=0),AND($C695="Receita",COUNTIF(CatR_Nome,$D695)=0)),"⚠ Categoria não combina com o tipo",IF(OR($N695="",$C695=""),"⚠ Falta valor ou tipo",""))))</f>
        <v/>
      </c>
      <c r="U695" s="40">
        <f>IF($A695="",0,P695*12+O695)</f>
        <v>0</v>
      </c>
      <c r="V695" s="40">
        <f>IF($A695="",0,U695+MAX(0,N($I695)-MAX(N($H695),1)))</f>
        <v>0</v>
      </c>
      <c r="W695" s="40">
        <f>IF(S695="",0,YEAR(S695)*12+MONTH(S695))</f>
        <v>0</v>
      </c>
      <c r="X695" s="40">
        <f>IF(W695=0,0,W695+V695-U695)</f>
        <v>0</v>
      </c>
      <c r="Y695" s="36">
        <f>IF(W695=0,0,N(R695)*MAX(0,X695-MAX(W695,YEAR(Cfg_Hoje)*12+MONTH(Cfg_Hoje)+IF(DAY(Cfg_Hoje)&gt;=INDEX(Cartoes_Fech,MATCH($F695,Cartoes_Nome,0)),1,0))+1))</f>
        <v>0</v>
      </c>
      <c r="Z695" s="40">
        <f>IF($A695="",0,DAY($A695))</f>
        <v>0</v>
      </c>
      <c r="AA695" s="40">
        <f>IF($A695="",0,WEEKDAY($A695))</f>
        <v>0</v>
      </c>
      <c r="AB695" s="36">
        <f>IF(AND($C695="Despesa",U695&gt;0,U695&lt;=Sel_Idx,V695&gt;=Sel_Idx),N(R695)+ROW()/1000000000,0)</f>
        <v>0</v>
      </c>
      <c r="AC695" s="40">
        <f>IF(AND($C695="Despesa",U695&gt;0,U695&lt;=Sel_Idx,V695&gt;=Sel_Idx),Z695*10000+ROW(),0)</f>
        <v>0</v>
      </c>
      <c r="AD695" s="40">
        <f>IF(AC695=0,0,COUNTIFS(L_CalChave,"&gt;0",L_CalChave,"&lt;"&amp;AC695)+1)</f>
        <v>0</v>
      </c>
    </row>
    <row r="696">
      <c r="A696" s="38" t="n"/>
      <c r="B696" s="39" t="n"/>
      <c r="C696" s="34" t="n"/>
      <c r="D696" s="34" t="n"/>
      <c r="E696" s="34" t="n"/>
      <c r="F696" s="34" t="n"/>
      <c r="G696" s="34" t="n"/>
      <c r="H696" s="37" t="n"/>
      <c r="I696" s="37" t="n"/>
      <c r="J696" s="34" t="n"/>
      <c r="K696" s="34" t="n"/>
      <c r="L696" s="34" t="n"/>
      <c r="M696" s="39" t="n"/>
      <c r="N696" s="35" t="n"/>
      <c r="O696" s="40" t="str">
        <f>IF($A696="","",MONTH($A696))</f>
        <v/>
      </c>
      <c r="P696" s="40" t="str">
        <f>IF($A696="","",YEAR($A696))</f>
        <v/>
      </c>
      <c r="Q696" s="41" t="str">
        <f>IF($A696="","",DATE(P696,O696,1))</f>
        <v/>
      </c>
      <c r="R696" s="36" t="str">
        <f>IF(OR($A696="",$N696=""),"",IF(AND($C696&lt;&gt;"Transferência",N($I696)&gt;1),$N696/$I696,$N696))</f>
        <v/>
      </c>
      <c r="S696" s="41" t="str">
        <f>IF(OR($A696="",$F696="",$C696&lt;&gt;"Despesa"),"",IF(COUNTIF(Cartoes_Nome,$F696)=0,"",DATE(P696,O696+IF(DAY($A696)&gt;=INDEX(Cartoes_Fech,MATCH($F696,Cartoes_Nome,0)),1,0),1)))</f>
        <v/>
      </c>
      <c r="T696" s="42" t="str">
        <f>IF($A696="","",IF(COUNTIFS(L_Data,$A696,L_Desc,$B696,L_Valor,$N696,L_Tipo,$C696)&gt;1,"⚠ Possível duplicidade",IF(OR(AND($C696="Despesa",COUNTIF(CatD_Nome,$D696)=0),AND($C696="Receita",COUNTIF(CatR_Nome,$D696)=0)),"⚠ Categoria não combina com o tipo",IF(OR($N696="",$C696=""),"⚠ Falta valor ou tipo",""))))</f>
        <v/>
      </c>
      <c r="U696" s="40">
        <f>IF($A696="",0,P696*12+O696)</f>
        <v>0</v>
      </c>
      <c r="V696" s="40">
        <f>IF($A696="",0,U696+MAX(0,N($I696)-MAX(N($H696),1)))</f>
        <v>0</v>
      </c>
      <c r="W696" s="40">
        <f>IF(S696="",0,YEAR(S696)*12+MONTH(S696))</f>
        <v>0</v>
      </c>
      <c r="X696" s="40">
        <f>IF(W696=0,0,W696+V696-U696)</f>
        <v>0</v>
      </c>
      <c r="Y696" s="36">
        <f>IF(W696=0,0,N(R696)*MAX(0,X696-MAX(W696,YEAR(Cfg_Hoje)*12+MONTH(Cfg_Hoje)+IF(DAY(Cfg_Hoje)&gt;=INDEX(Cartoes_Fech,MATCH($F696,Cartoes_Nome,0)),1,0))+1))</f>
        <v>0</v>
      </c>
      <c r="Z696" s="40">
        <f>IF($A696="",0,DAY($A696))</f>
        <v>0</v>
      </c>
      <c r="AA696" s="40">
        <f>IF($A696="",0,WEEKDAY($A696))</f>
        <v>0</v>
      </c>
      <c r="AB696" s="36">
        <f>IF(AND($C696="Despesa",U696&gt;0,U696&lt;=Sel_Idx,V696&gt;=Sel_Idx),N(R696)+ROW()/1000000000,0)</f>
        <v>0</v>
      </c>
      <c r="AC696" s="40">
        <f>IF(AND($C696="Despesa",U696&gt;0,U696&lt;=Sel_Idx,V696&gt;=Sel_Idx),Z696*10000+ROW(),0)</f>
        <v>0</v>
      </c>
      <c r="AD696" s="40">
        <f>IF(AC696=0,0,COUNTIFS(L_CalChave,"&gt;0",L_CalChave,"&lt;"&amp;AC696)+1)</f>
        <v>0</v>
      </c>
    </row>
    <row r="697">
      <c r="A697" s="38" t="n"/>
      <c r="B697" s="39" t="n"/>
      <c r="C697" s="34" t="n"/>
      <c r="D697" s="34" t="n"/>
      <c r="E697" s="34" t="n"/>
      <c r="F697" s="34" t="n"/>
      <c r="G697" s="34" t="n"/>
      <c r="H697" s="37" t="n"/>
      <c r="I697" s="37" t="n"/>
      <c r="J697" s="34" t="n"/>
      <c r="K697" s="34" t="n"/>
      <c r="L697" s="34" t="n"/>
      <c r="M697" s="39" t="n"/>
      <c r="N697" s="35" t="n"/>
      <c r="O697" s="40" t="str">
        <f>IF($A697="","",MONTH($A697))</f>
        <v/>
      </c>
      <c r="P697" s="40" t="str">
        <f>IF($A697="","",YEAR($A697))</f>
        <v/>
      </c>
      <c r="Q697" s="41" t="str">
        <f>IF($A697="","",DATE(P697,O697,1))</f>
        <v/>
      </c>
      <c r="R697" s="36" t="str">
        <f>IF(OR($A697="",$N697=""),"",IF(AND($C697&lt;&gt;"Transferência",N($I697)&gt;1),$N697/$I697,$N697))</f>
        <v/>
      </c>
      <c r="S697" s="41" t="str">
        <f>IF(OR($A697="",$F697="",$C697&lt;&gt;"Despesa"),"",IF(COUNTIF(Cartoes_Nome,$F697)=0,"",DATE(P697,O697+IF(DAY($A697)&gt;=INDEX(Cartoes_Fech,MATCH($F697,Cartoes_Nome,0)),1,0),1)))</f>
        <v/>
      </c>
      <c r="T697" s="42" t="str">
        <f>IF($A697="","",IF(COUNTIFS(L_Data,$A697,L_Desc,$B697,L_Valor,$N697,L_Tipo,$C697)&gt;1,"⚠ Possível duplicidade",IF(OR(AND($C697="Despesa",COUNTIF(CatD_Nome,$D697)=0),AND($C697="Receita",COUNTIF(CatR_Nome,$D697)=0)),"⚠ Categoria não combina com o tipo",IF(OR($N697="",$C697=""),"⚠ Falta valor ou tipo",""))))</f>
        <v/>
      </c>
      <c r="U697" s="40">
        <f>IF($A697="",0,P697*12+O697)</f>
        <v>0</v>
      </c>
      <c r="V697" s="40">
        <f>IF($A697="",0,U697+MAX(0,N($I697)-MAX(N($H697),1)))</f>
        <v>0</v>
      </c>
      <c r="W697" s="40">
        <f>IF(S697="",0,YEAR(S697)*12+MONTH(S697))</f>
        <v>0</v>
      </c>
      <c r="X697" s="40">
        <f>IF(W697=0,0,W697+V697-U697)</f>
        <v>0</v>
      </c>
      <c r="Y697" s="36">
        <f>IF(W697=0,0,N(R697)*MAX(0,X697-MAX(W697,YEAR(Cfg_Hoje)*12+MONTH(Cfg_Hoje)+IF(DAY(Cfg_Hoje)&gt;=INDEX(Cartoes_Fech,MATCH($F697,Cartoes_Nome,0)),1,0))+1))</f>
        <v>0</v>
      </c>
      <c r="Z697" s="40">
        <f>IF($A697="",0,DAY($A697))</f>
        <v>0</v>
      </c>
      <c r="AA697" s="40">
        <f>IF($A697="",0,WEEKDAY($A697))</f>
        <v>0</v>
      </c>
      <c r="AB697" s="36">
        <f>IF(AND($C697="Despesa",U697&gt;0,U697&lt;=Sel_Idx,V697&gt;=Sel_Idx),N(R697)+ROW()/1000000000,0)</f>
        <v>0</v>
      </c>
      <c r="AC697" s="40">
        <f>IF(AND($C697="Despesa",U697&gt;0,U697&lt;=Sel_Idx,V697&gt;=Sel_Idx),Z697*10000+ROW(),0)</f>
        <v>0</v>
      </c>
      <c r="AD697" s="40">
        <f>IF(AC697=0,0,COUNTIFS(L_CalChave,"&gt;0",L_CalChave,"&lt;"&amp;AC697)+1)</f>
        <v>0</v>
      </c>
    </row>
    <row r="698">
      <c r="A698" s="38" t="n"/>
      <c r="B698" s="39" t="n"/>
      <c r="C698" s="34" t="n"/>
      <c r="D698" s="34" t="n"/>
      <c r="E698" s="34" t="n"/>
      <c r="F698" s="34" t="n"/>
      <c r="G698" s="34" t="n"/>
      <c r="H698" s="37" t="n"/>
      <c r="I698" s="37" t="n"/>
      <c r="J698" s="34" t="n"/>
      <c r="K698" s="34" t="n"/>
      <c r="L698" s="34" t="n"/>
      <c r="M698" s="39" t="n"/>
      <c r="N698" s="35" t="n"/>
      <c r="O698" s="40" t="str">
        <f>IF($A698="","",MONTH($A698))</f>
        <v/>
      </c>
      <c r="P698" s="40" t="str">
        <f>IF($A698="","",YEAR($A698))</f>
        <v/>
      </c>
      <c r="Q698" s="41" t="str">
        <f>IF($A698="","",DATE(P698,O698,1))</f>
        <v/>
      </c>
      <c r="R698" s="36" t="str">
        <f>IF(OR($A698="",$N698=""),"",IF(AND($C698&lt;&gt;"Transferência",N($I698)&gt;1),$N698/$I698,$N698))</f>
        <v/>
      </c>
      <c r="S698" s="41" t="str">
        <f>IF(OR($A698="",$F698="",$C698&lt;&gt;"Despesa"),"",IF(COUNTIF(Cartoes_Nome,$F698)=0,"",DATE(P698,O698+IF(DAY($A698)&gt;=INDEX(Cartoes_Fech,MATCH($F698,Cartoes_Nome,0)),1,0),1)))</f>
        <v/>
      </c>
      <c r="T698" s="42" t="str">
        <f>IF($A698="","",IF(COUNTIFS(L_Data,$A698,L_Desc,$B698,L_Valor,$N698,L_Tipo,$C698)&gt;1,"⚠ Possível duplicidade",IF(OR(AND($C698="Despesa",COUNTIF(CatD_Nome,$D698)=0),AND($C698="Receita",COUNTIF(CatR_Nome,$D698)=0)),"⚠ Categoria não combina com o tipo",IF(OR($N698="",$C698=""),"⚠ Falta valor ou tipo",""))))</f>
        <v/>
      </c>
      <c r="U698" s="40">
        <f>IF($A698="",0,P698*12+O698)</f>
        <v>0</v>
      </c>
      <c r="V698" s="40">
        <f>IF($A698="",0,U698+MAX(0,N($I698)-MAX(N($H698),1)))</f>
        <v>0</v>
      </c>
      <c r="W698" s="40">
        <f>IF(S698="",0,YEAR(S698)*12+MONTH(S698))</f>
        <v>0</v>
      </c>
      <c r="X698" s="40">
        <f>IF(W698=0,0,W698+V698-U698)</f>
        <v>0</v>
      </c>
      <c r="Y698" s="36">
        <f>IF(W698=0,0,N(R698)*MAX(0,X698-MAX(W698,YEAR(Cfg_Hoje)*12+MONTH(Cfg_Hoje)+IF(DAY(Cfg_Hoje)&gt;=INDEX(Cartoes_Fech,MATCH($F698,Cartoes_Nome,0)),1,0))+1))</f>
        <v>0</v>
      </c>
      <c r="Z698" s="40">
        <f>IF($A698="",0,DAY($A698))</f>
        <v>0</v>
      </c>
      <c r="AA698" s="40">
        <f>IF($A698="",0,WEEKDAY($A698))</f>
        <v>0</v>
      </c>
      <c r="AB698" s="36">
        <f>IF(AND($C698="Despesa",U698&gt;0,U698&lt;=Sel_Idx,V698&gt;=Sel_Idx),N(R698)+ROW()/1000000000,0)</f>
        <v>0</v>
      </c>
      <c r="AC698" s="40">
        <f>IF(AND($C698="Despesa",U698&gt;0,U698&lt;=Sel_Idx,V698&gt;=Sel_Idx),Z698*10000+ROW(),0)</f>
        <v>0</v>
      </c>
      <c r="AD698" s="40">
        <f>IF(AC698=0,0,COUNTIFS(L_CalChave,"&gt;0",L_CalChave,"&lt;"&amp;AC698)+1)</f>
        <v>0</v>
      </c>
    </row>
    <row r="699">
      <c r="A699" s="38" t="n"/>
      <c r="B699" s="39" t="n"/>
      <c r="C699" s="34" t="n"/>
      <c r="D699" s="34" t="n"/>
      <c r="E699" s="34" t="n"/>
      <c r="F699" s="34" t="n"/>
      <c r="G699" s="34" t="n"/>
      <c r="H699" s="37" t="n"/>
      <c r="I699" s="37" t="n"/>
      <c r="J699" s="34" t="n"/>
      <c r="K699" s="34" t="n"/>
      <c r="L699" s="34" t="n"/>
      <c r="M699" s="39" t="n"/>
      <c r="N699" s="35" t="n"/>
      <c r="O699" s="40" t="str">
        <f>IF($A699="","",MONTH($A699))</f>
        <v/>
      </c>
      <c r="P699" s="40" t="str">
        <f>IF($A699="","",YEAR($A699))</f>
        <v/>
      </c>
      <c r="Q699" s="41" t="str">
        <f>IF($A699="","",DATE(P699,O699,1))</f>
        <v/>
      </c>
      <c r="R699" s="36" t="str">
        <f>IF(OR($A699="",$N699=""),"",IF(AND($C699&lt;&gt;"Transferência",N($I699)&gt;1),$N699/$I699,$N699))</f>
        <v/>
      </c>
      <c r="S699" s="41" t="str">
        <f>IF(OR($A699="",$F699="",$C699&lt;&gt;"Despesa"),"",IF(COUNTIF(Cartoes_Nome,$F699)=0,"",DATE(P699,O699+IF(DAY($A699)&gt;=INDEX(Cartoes_Fech,MATCH($F699,Cartoes_Nome,0)),1,0),1)))</f>
        <v/>
      </c>
      <c r="T699" s="42" t="str">
        <f>IF($A699="","",IF(COUNTIFS(L_Data,$A699,L_Desc,$B699,L_Valor,$N699,L_Tipo,$C699)&gt;1,"⚠ Possível duplicidade",IF(OR(AND($C699="Despesa",COUNTIF(CatD_Nome,$D699)=0),AND($C699="Receita",COUNTIF(CatR_Nome,$D699)=0)),"⚠ Categoria não combina com o tipo",IF(OR($N699="",$C699=""),"⚠ Falta valor ou tipo",""))))</f>
        <v/>
      </c>
      <c r="U699" s="40">
        <f>IF($A699="",0,P699*12+O699)</f>
        <v>0</v>
      </c>
      <c r="V699" s="40">
        <f>IF($A699="",0,U699+MAX(0,N($I699)-MAX(N($H699),1)))</f>
        <v>0</v>
      </c>
      <c r="W699" s="40">
        <f>IF(S699="",0,YEAR(S699)*12+MONTH(S699))</f>
        <v>0</v>
      </c>
      <c r="X699" s="40">
        <f>IF(W699=0,0,W699+V699-U699)</f>
        <v>0</v>
      </c>
      <c r="Y699" s="36">
        <f>IF(W699=0,0,N(R699)*MAX(0,X699-MAX(W699,YEAR(Cfg_Hoje)*12+MONTH(Cfg_Hoje)+IF(DAY(Cfg_Hoje)&gt;=INDEX(Cartoes_Fech,MATCH($F699,Cartoes_Nome,0)),1,0))+1))</f>
        <v>0</v>
      </c>
      <c r="Z699" s="40">
        <f>IF($A699="",0,DAY($A699))</f>
        <v>0</v>
      </c>
      <c r="AA699" s="40">
        <f>IF($A699="",0,WEEKDAY($A699))</f>
        <v>0</v>
      </c>
      <c r="AB699" s="36">
        <f>IF(AND($C699="Despesa",U699&gt;0,U699&lt;=Sel_Idx,V699&gt;=Sel_Idx),N(R699)+ROW()/1000000000,0)</f>
        <v>0</v>
      </c>
      <c r="AC699" s="40">
        <f>IF(AND($C699="Despesa",U699&gt;0,U699&lt;=Sel_Idx,V699&gt;=Sel_Idx),Z699*10000+ROW(),0)</f>
        <v>0</v>
      </c>
      <c r="AD699" s="40">
        <f>IF(AC699=0,0,COUNTIFS(L_CalChave,"&gt;0",L_CalChave,"&lt;"&amp;AC699)+1)</f>
        <v>0</v>
      </c>
    </row>
    <row r="700">
      <c r="A700" s="38" t="n"/>
      <c r="B700" s="39" t="n"/>
      <c r="C700" s="34" t="n"/>
      <c r="D700" s="34" t="n"/>
      <c r="E700" s="34" t="n"/>
      <c r="F700" s="34" t="n"/>
      <c r="G700" s="34" t="n"/>
      <c r="H700" s="37" t="n"/>
      <c r="I700" s="37" t="n"/>
      <c r="J700" s="34" t="n"/>
      <c r="K700" s="34" t="n"/>
      <c r="L700" s="34" t="n"/>
      <c r="M700" s="39" t="n"/>
      <c r="N700" s="35" t="n"/>
      <c r="O700" s="40" t="str">
        <f>IF($A700="","",MONTH($A700))</f>
        <v/>
      </c>
      <c r="P700" s="40" t="str">
        <f>IF($A700="","",YEAR($A700))</f>
        <v/>
      </c>
      <c r="Q700" s="41" t="str">
        <f>IF($A700="","",DATE(P700,O700,1))</f>
        <v/>
      </c>
      <c r="R700" s="36" t="str">
        <f>IF(OR($A700="",$N700=""),"",IF(AND($C700&lt;&gt;"Transferência",N($I700)&gt;1),$N700/$I700,$N700))</f>
        <v/>
      </c>
      <c r="S700" s="41" t="str">
        <f>IF(OR($A700="",$F700="",$C700&lt;&gt;"Despesa"),"",IF(COUNTIF(Cartoes_Nome,$F700)=0,"",DATE(P700,O700+IF(DAY($A700)&gt;=INDEX(Cartoes_Fech,MATCH($F700,Cartoes_Nome,0)),1,0),1)))</f>
        <v/>
      </c>
      <c r="T700" s="42" t="str">
        <f>IF($A700="","",IF(COUNTIFS(L_Data,$A700,L_Desc,$B700,L_Valor,$N700,L_Tipo,$C700)&gt;1,"⚠ Possível duplicidade",IF(OR(AND($C700="Despesa",COUNTIF(CatD_Nome,$D700)=0),AND($C700="Receita",COUNTIF(CatR_Nome,$D700)=0)),"⚠ Categoria não combina com o tipo",IF(OR($N700="",$C700=""),"⚠ Falta valor ou tipo",""))))</f>
        <v/>
      </c>
      <c r="U700" s="40">
        <f>IF($A700="",0,P700*12+O700)</f>
        <v>0</v>
      </c>
      <c r="V700" s="40">
        <f>IF($A700="",0,U700+MAX(0,N($I700)-MAX(N($H700),1)))</f>
        <v>0</v>
      </c>
      <c r="W700" s="40">
        <f>IF(S700="",0,YEAR(S700)*12+MONTH(S700))</f>
        <v>0</v>
      </c>
      <c r="X700" s="40">
        <f>IF(W700=0,0,W700+V700-U700)</f>
        <v>0</v>
      </c>
      <c r="Y700" s="36">
        <f>IF(W700=0,0,N(R700)*MAX(0,X700-MAX(W700,YEAR(Cfg_Hoje)*12+MONTH(Cfg_Hoje)+IF(DAY(Cfg_Hoje)&gt;=INDEX(Cartoes_Fech,MATCH($F700,Cartoes_Nome,0)),1,0))+1))</f>
        <v>0</v>
      </c>
      <c r="Z700" s="40">
        <f>IF($A700="",0,DAY($A700))</f>
        <v>0</v>
      </c>
      <c r="AA700" s="40">
        <f>IF($A700="",0,WEEKDAY($A700))</f>
        <v>0</v>
      </c>
      <c r="AB700" s="36">
        <f>IF(AND($C700="Despesa",U700&gt;0,U700&lt;=Sel_Idx,V700&gt;=Sel_Idx),N(R700)+ROW()/1000000000,0)</f>
        <v>0</v>
      </c>
      <c r="AC700" s="40">
        <f>IF(AND($C700="Despesa",U700&gt;0,U700&lt;=Sel_Idx,V700&gt;=Sel_Idx),Z700*10000+ROW(),0)</f>
        <v>0</v>
      </c>
      <c r="AD700" s="40">
        <f>IF(AC700=0,0,COUNTIFS(L_CalChave,"&gt;0",L_CalChave,"&lt;"&amp;AC700)+1)</f>
        <v>0</v>
      </c>
    </row>
    <row r="701">
      <c r="A701" s="38" t="n"/>
      <c r="B701" s="39" t="n"/>
      <c r="C701" s="34" t="n"/>
      <c r="D701" s="34" t="n"/>
      <c r="E701" s="34" t="n"/>
      <c r="F701" s="34" t="n"/>
      <c r="G701" s="34" t="n"/>
      <c r="H701" s="37" t="n"/>
      <c r="I701" s="37" t="n"/>
      <c r="J701" s="34" t="n"/>
      <c r="K701" s="34" t="n"/>
      <c r="L701" s="34" t="n"/>
      <c r="M701" s="39" t="n"/>
      <c r="N701" s="35" t="n"/>
      <c r="O701" s="40" t="str">
        <f>IF($A701="","",MONTH($A701))</f>
        <v/>
      </c>
      <c r="P701" s="40" t="str">
        <f>IF($A701="","",YEAR($A701))</f>
        <v/>
      </c>
      <c r="Q701" s="41" t="str">
        <f>IF($A701="","",DATE(P701,O701,1))</f>
        <v/>
      </c>
      <c r="R701" s="36" t="str">
        <f>IF(OR($A701="",$N701=""),"",IF(AND($C701&lt;&gt;"Transferência",N($I701)&gt;1),$N701/$I701,$N701))</f>
        <v/>
      </c>
      <c r="S701" s="41" t="str">
        <f>IF(OR($A701="",$F701="",$C701&lt;&gt;"Despesa"),"",IF(COUNTIF(Cartoes_Nome,$F701)=0,"",DATE(P701,O701+IF(DAY($A701)&gt;=INDEX(Cartoes_Fech,MATCH($F701,Cartoes_Nome,0)),1,0),1)))</f>
        <v/>
      </c>
      <c r="T701" s="42" t="str">
        <f>IF($A701="","",IF(COUNTIFS(L_Data,$A701,L_Desc,$B701,L_Valor,$N701,L_Tipo,$C701)&gt;1,"⚠ Possível duplicidade",IF(OR(AND($C701="Despesa",COUNTIF(CatD_Nome,$D701)=0),AND($C701="Receita",COUNTIF(CatR_Nome,$D701)=0)),"⚠ Categoria não combina com o tipo",IF(OR($N701="",$C701=""),"⚠ Falta valor ou tipo",""))))</f>
        <v/>
      </c>
      <c r="U701" s="40">
        <f>IF($A701="",0,P701*12+O701)</f>
        <v>0</v>
      </c>
      <c r="V701" s="40">
        <f>IF($A701="",0,U701+MAX(0,N($I701)-MAX(N($H701),1)))</f>
        <v>0</v>
      </c>
      <c r="W701" s="40">
        <f>IF(S701="",0,YEAR(S701)*12+MONTH(S701))</f>
        <v>0</v>
      </c>
      <c r="X701" s="40">
        <f>IF(W701=0,0,W701+V701-U701)</f>
        <v>0</v>
      </c>
      <c r="Y701" s="36">
        <f>IF(W701=0,0,N(R701)*MAX(0,X701-MAX(W701,YEAR(Cfg_Hoje)*12+MONTH(Cfg_Hoje)+IF(DAY(Cfg_Hoje)&gt;=INDEX(Cartoes_Fech,MATCH($F701,Cartoes_Nome,0)),1,0))+1))</f>
        <v>0</v>
      </c>
      <c r="Z701" s="40">
        <f>IF($A701="",0,DAY($A701))</f>
        <v>0</v>
      </c>
      <c r="AA701" s="40">
        <f>IF($A701="",0,WEEKDAY($A701))</f>
        <v>0</v>
      </c>
      <c r="AB701" s="36">
        <f>IF(AND($C701="Despesa",U701&gt;0,U701&lt;=Sel_Idx,V701&gt;=Sel_Idx),N(R701)+ROW()/1000000000,0)</f>
        <v>0</v>
      </c>
      <c r="AC701" s="40">
        <f>IF(AND($C701="Despesa",U701&gt;0,U701&lt;=Sel_Idx,V701&gt;=Sel_Idx),Z701*10000+ROW(),0)</f>
        <v>0</v>
      </c>
      <c r="AD701" s="40">
        <f>IF(AC701=0,0,COUNTIFS(L_CalChave,"&gt;0",L_CalChave,"&lt;"&amp;AC701)+1)</f>
        <v>0</v>
      </c>
    </row>
    <row r="702">
      <c r="A702" s="38" t="n"/>
      <c r="B702" s="39" t="n"/>
      <c r="C702" s="34" t="n"/>
      <c r="D702" s="34" t="n"/>
      <c r="E702" s="34" t="n"/>
      <c r="F702" s="34" t="n"/>
      <c r="G702" s="34" t="n"/>
      <c r="H702" s="37" t="n"/>
      <c r="I702" s="37" t="n"/>
      <c r="J702" s="34" t="n"/>
      <c r="K702" s="34" t="n"/>
      <c r="L702" s="34" t="n"/>
      <c r="M702" s="39" t="n"/>
      <c r="N702" s="35" t="n"/>
      <c r="O702" s="40" t="str">
        <f>IF($A702="","",MONTH($A702))</f>
        <v/>
      </c>
      <c r="P702" s="40" t="str">
        <f>IF($A702="","",YEAR($A702))</f>
        <v/>
      </c>
      <c r="Q702" s="41" t="str">
        <f>IF($A702="","",DATE(P702,O702,1))</f>
        <v/>
      </c>
      <c r="R702" s="36" t="str">
        <f>IF(OR($A702="",$N702=""),"",IF(AND($C702&lt;&gt;"Transferência",N($I702)&gt;1),$N702/$I702,$N702))</f>
        <v/>
      </c>
      <c r="S702" s="41" t="str">
        <f>IF(OR($A702="",$F702="",$C702&lt;&gt;"Despesa"),"",IF(COUNTIF(Cartoes_Nome,$F702)=0,"",DATE(P702,O702+IF(DAY($A702)&gt;=INDEX(Cartoes_Fech,MATCH($F702,Cartoes_Nome,0)),1,0),1)))</f>
        <v/>
      </c>
      <c r="T702" s="42" t="str">
        <f>IF($A702="","",IF(COUNTIFS(L_Data,$A702,L_Desc,$B702,L_Valor,$N702,L_Tipo,$C702)&gt;1,"⚠ Possível duplicidade",IF(OR(AND($C702="Despesa",COUNTIF(CatD_Nome,$D702)=0),AND($C702="Receita",COUNTIF(CatR_Nome,$D702)=0)),"⚠ Categoria não combina com o tipo",IF(OR($N702="",$C702=""),"⚠ Falta valor ou tipo",""))))</f>
        <v/>
      </c>
      <c r="U702" s="40">
        <f>IF($A702="",0,P702*12+O702)</f>
        <v>0</v>
      </c>
      <c r="V702" s="40">
        <f>IF($A702="",0,U702+MAX(0,N($I702)-MAX(N($H702),1)))</f>
        <v>0</v>
      </c>
      <c r="W702" s="40">
        <f>IF(S702="",0,YEAR(S702)*12+MONTH(S702))</f>
        <v>0</v>
      </c>
      <c r="X702" s="40">
        <f>IF(W702=0,0,W702+V702-U702)</f>
        <v>0</v>
      </c>
      <c r="Y702" s="36">
        <f>IF(W702=0,0,N(R702)*MAX(0,X702-MAX(W702,YEAR(Cfg_Hoje)*12+MONTH(Cfg_Hoje)+IF(DAY(Cfg_Hoje)&gt;=INDEX(Cartoes_Fech,MATCH($F702,Cartoes_Nome,0)),1,0))+1))</f>
        <v>0</v>
      </c>
      <c r="Z702" s="40">
        <f>IF($A702="",0,DAY($A702))</f>
        <v>0</v>
      </c>
      <c r="AA702" s="40">
        <f>IF($A702="",0,WEEKDAY($A702))</f>
        <v>0</v>
      </c>
      <c r="AB702" s="36">
        <f>IF(AND($C702="Despesa",U702&gt;0,U702&lt;=Sel_Idx,V702&gt;=Sel_Idx),N(R702)+ROW()/1000000000,0)</f>
        <v>0</v>
      </c>
      <c r="AC702" s="40">
        <f>IF(AND($C702="Despesa",U702&gt;0,U702&lt;=Sel_Idx,V702&gt;=Sel_Idx),Z702*10000+ROW(),0)</f>
        <v>0</v>
      </c>
      <c r="AD702" s="40">
        <f>IF(AC702=0,0,COUNTIFS(L_CalChave,"&gt;0",L_CalChave,"&lt;"&amp;AC702)+1)</f>
        <v>0</v>
      </c>
    </row>
    <row r="703">
      <c r="A703" s="38" t="n"/>
      <c r="B703" s="39" t="n"/>
      <c r="C703" s="34" t="n"/>
      <c r="D703" s="34" t="n"/>
      <c r="E703" s="34" t="n"/>
      <c r="F703" s="34" t="n"/>
      <c r="G703" s="34" t="n"/>
      <c r="H703" s="37" t="n"/>
      <c r="I703" s="37" t="n"/>
      <c r="J703" s="34" t="n"/>
      <c r="K703" s="34" t="n"/>
      <c r="L703" s="34" t="n"/>
      <c r="M703" s="39" t="n"/>
      <c r="N703" s="35" t="n"/>
      <c r="O703" s="40" t="str">
        <f>IF($A703="","",MONTH($A703))</f>
        <v/>
      </c>
      <c r="P703" s="40" t="str">
        <f>IF($A703="","",YEAR($A703))</f>
        <v/>
      </c>
      <c r="Q703" s="41" t="str">
        <f>IF($A703="","",DATE(P703,O703,1))</f>
        <v/>
      </c>
      <c r="R703" s="36" t="str">
        <f>IF(OR($A703="",$N703=""),"",IF(AND($C703&lt;&gt;"Transferência",N($I703)&gt;1),$N703/$I703,$N703))</f>
        <v/>
      </c>
      <c r="S703" s="41" t="str">
        <f>IF(OR($A703="",$F703="",$C703&lt;&gt;"Despesa"),"",IF(COUNTIF(Cartoes_Nome,$F703)=0,"",DATE(P703,O703+IF(DAY($A703)&gt;=INDEX(Cartoes_Fech,MATCH($F703,Cartoes_Nome,0)),1,0),1)))</f>
        <v/>
      </c>
      <c r="T703" s="42" t="str">
        <f>IF($A703="","",IF(COUNTIFS(L_Data,$A703,L_Desc,$B703,L_Valor,$N703,L_Tipo,$C703)&gt;1,"⚠ Possível duplicidade",IF(OR(AND($C703="Despesa",COUNTIF(CatD_Nome,$D703)=0),AND($C703="Receita",COUNTIF(CatR_Nome,$D703)=0)),"⚠ Categoria não combina com o tipo",IF(OR($N703="",$C703=""),"⚠ Falta valor ou tipo",""))))</f>
        <v/>
      </c>
      <c r="U703" s="40">
        <f>IF($A703="",0,P703*12+O703)</f>
        <v>0</v>
      </c>
      <c r="V703" s="40">
        <f>IF($A703="",0,U703+MAX(0,N($I703)-MAX(N($H703),1)))</f>
        <v>0</v>
      </c>
      <c r="W703" s="40">
        <f>IF(S703="",0,YEAR(S703)*12+MONTH(S703))</f>
        <v>0</v>
      </c>
      <c r="X703" s="40">
        <f>IF(W703=0,0,W703+V703-U703)</f>
        <v>0</v>
      </c>
      <c r="Y703" s="36">
        <f>IF(W703=0,0,N(R703)*MAX(0,X703-MAX(W703,YEAR(Cfg_Hoje)*12+MONTH(Cfg_Hoje)+IF(DAY(Cfg_Hoje)&gt;=INDEX(Cartoes_Fech,MATCH($F703,Cartoes_Nome,0)),1,0))+1))</f>
        <v>0</v>
      </c>
      <c r="Z703" s="40">
        <f>IF($A703="",0,DAY($A703))</f>
        <v>0</v>
      </c>
      <c r="AA703" s="40">
        <f>IF($A703="",0,WEEKDAY($A703))</f>
        <v>0</v>
      </c>
      <c r="AB703" s="36">
        <f>IF(AND($C703="Despesa",U703&gt;0,U703&lt;=Sel_Idx,V703&gt;=Sel_Idx),N(R703)+ROW()/1000000000,0)</f>
        <v>0</v>
      </c>
      <c r="AC703" s="40">
        <f>IF(AND($C703="Despesa",U703&gt;0,U703&lt;=Sel_Idx,V703&gt;=Sel_Idx),Z703*10000+ROW(),0)</f>
        <v>0</v>
      </c>
      <c r="AD703" s="40">
        <f>IF(AC703=0,0,COUNTIFS(L_CalChave,"&gt;0",L_CalChave,"&lt;"&amp;AC703)+1)</f>
        <v>0</v>
      </c>
    </row>
    <row r="704">
      <c r="A704" s="38" t="n"/>
      <c r="B704" s="39" t="n"/>
      <c r="C704" s="34" t="n"/>
      <c r="D704" s="34" t="n"/>
      <c r="E704" s="34" t="n"/>
      <c r="F704" s="34" t="n"/>
      <c r="G704" s="34" t="n"/>
      <c r="H704" s="37" t="n"/>
      <c r="I704" s="37" t="n"/>
      <c r="J704" s="34" t="n"/>
      <c r="K704" s="34" t="n"/>
      <c r="L704" s="34" t="n"/>
      <c r="M704" s="39" t="n"/>
      <c r="N704" s="35" t="n"/>
      <c r="O704" s="40" t="str">
        <f>IF($A704="","",MONTH($A704))</f>
        <v/>
      </c>
      <c r="P704" s="40" t="str">
        <f>IF($A704="","",YEAR($A704))</f>
        <v/>
      </c>
      <c r="Q704" s="41" t="str">
        <f>IF($A704="","",DATE(P704,O704,1))</f>
        <v/>
      </c>
      <c r="R704" s="36" t="str">
        <f>IF(OR($A704="",$N704=""),"",IF(AND($C704&lt;&gt;"Transferência",N($I704)&gt;1),$N704/$I704,$N704))</f>
        <v/>
      </c>
      <c r="S704" s="41" t="str">
        <f>IF(OR($A704="",$F704="",$C704&lt;&gt;"Despesa"),"",IF(COUNTIF(Cartoes_Nome,$F704)=0,"",DATE(P704,O704+IF(DAY($A704)&gt;=INDEX(Cartoes_Fech,MATCH($F704,Cartoes_Nome,0)),1,0),1)))</f>
        <v/>
      </c>
      <c r="T704" s="42" t="str">
        <f>IF($A704="","",IF(COUNTIFS(L_Data,$A704,L_Desc,$B704,L_Valor,$N704,L_Tipo,$C704)&gt;1,"⚠ Possível duplicidade",IF(OR(AND($C704="Despesa",COUNTIF(CatD_Nome,$D704)=0),AND($C704="Receita",COUNTIF(CatR_Nome,$D704)=0)),"⚠ Categoria não combina com o tipo",IF(OR($N704="",$C704=""),"⚠ Falta valor ou tipo",""))))</f>
        <v/>
      </c>
      <c r="U704" s="40">
        <f>IF($A704="",0,P704*12+O704)</f>
        <v>0</v>
      </c>
      <c r="V704" s="40">
        <f>IF($A704="",0,U704+MAX(0,N($I704)-MAX(N($H704),1)))</f>
        <v>0</v>
      </c>
      <c r="W704" s="40">
        <f>IF(S704="",0,YEAR(S704)*12+MONTH(S704))</f>
        <v>0</v>
      </c>
      <c r="X704" s="40">
        <f>IF(W704=0,0,W704+V704-U704)</f>
        <v>0</v>
      </c>
      <c r="Y704" s="36">
        <f>IF(W704=0,0,N(R704)*MAX(0,X704-MAX(W704,YEAR(Cfg_Hoje)*12+MONTH(Cfg_Hoje)+IF(DAY(Cfg_Hoje)&gt;=INDEX(Cartoes_Fech,MATCH($F704,Cartoes_Nome,0)),1,0))+1))</f>
        <v>0</v>
      </c>
      <c r="Z704" s="40">
        <f>IF($A704="",0,DAY($A704))</f>
        <v>0</v>
      </c>
      <c r="AA704" s="40">
        <f>IF($A704="",0,WEEKDAY($A704))</f>
        <v>0</v>
      </c>
      <c r="AB704" s="36">
        <f>IF(AND($C704="Despesa",U704&gt;0,U704&lt;=Sel_Idx,V704&gt;=Sel_Idx),N(R704)+ROW()/1000000000,0)</f>
        <v>0</v>
      </c>
      <c r="AC704" s="40">
        <f>IF(AND($C704="Despesa",U704&gt;0,U704&lt;=Sel_Idx,V704&gt;=Sel_Idx),Z704*10000+ROW(),0)</f>
        <v>0</v>
      </c>
      <c r="AD704" s="40">
        <f>IF(AC704=0,0,COUNTIFS(L_CalChave,"&gt;0",L_CalChave,"&lt;"&amp;AC704)+1)</f>
        <v>0</v>
      </c>
    </row>
    <row r="705">
      <c r="A705" s="38" t="n"/>
      <c r="B705" s="39" t="n"/>
      <c r="C705" s="34" t="n"/>
      <c r="D705" s="34" t="n"/>
      <c r="E705" s="34" t="n"/>
      <c r="F705" s="34" t="n"/>
      <c r="G705" s="34" t="n"/>
      <c r="H705" s="37" t="n"/>
      <c r="I705" s="37" t="n"/>
      <c r="J705" s="34" t="n"/>
      <c r="K705" s="34" t="n"/>
      <c r="L705" s="34" t="n"/>
      <c r="M705" s="39" t="n"/>
      <c r="N705" s="35" t="n"/>
      <c r="O705" s="40" t="str">
        <f>IF($A705="","",MONTH($A705))</f>
        <v/>
      </c>
      <c r="P705" s="40" t="str">
        <f>IF($A705="","",YEAR($A705))</f>
        <v/>
      </c>
      <c r="Q705" s="41" t="str">
        <f>IF($A705="","",DATE(P705,O705,1))</f>
        <v/>
      </c>
      <c r="R705" s="36" t="str">
        <f>IF(OR($A705="",$N705=""),"",IF(AND($C705&lt;&gt;"Transferência",N($I705)&gt;1),$N705/$I705,$N705))</f>
        <v/>
      </c>
      <c r="S705" s="41" t="str">
        <f>IF(OR($A705="",$F705="",$C705&lt;&gt;"Despesa"),"",IF(COUNTIF(Cartoes_Nome,$F705)=0,"",DATE(P705,O705+IF(DAY($A705)&gt;=INDEX(Cartoes_Fech,MATCH($F705,Cartoes_Nome,0)),1,0),1)))</f>
        <v/>
      </c>
      <c r="T705" s="42" t="str">
        <f>IF($A705="","",IF(COUNTIFS(L_Data,$A705,L_Desc,$B705,L_Valor,$N705,L_Tipo,$C705)&gt;1,"⚠ Possível duplicidade",IF(OR(AND($C705="Despesa",COUNTIF(CatD_Nome,$D705)=0),AND($C705="Receita",COUNTIF(CatR_Nome,$D705)=0)),"⚠ Categoria não combina com o tipo",IF(OR($N705="",$C705=""),"⚠ Falta valor ou tipo",""))))</f>
        <v/>
      </c>
      <c r="U705" s="40">
        <f>IF($A705="",0,P705*12+O705)</f>
        <v>0</v>
      </c>
      <c r="V705" s="40">
        <f>IF($A705="",0,U705+MAX(0,N($I705)-MAX(N($H705),1)))</f>
        <v>0</v>
      </c>
      <c r="W705" s="40">
        <f>IF(S705="",0,YEAR(S705)*12+MONTH(S705))</f>
        <v>0</v>
      </c>
      <c r="X705" s="40">
        <f>IF(W705=0,0,W705+V705-U705)</f>
        <v>0</v>
      </c>
      <c r="Y705" s="36">
        <f>IF(W705=0,0,N(R705)*MAX(0,X705-MAX(W705,YEAR(Cfg_Hoje)*12+MONTH(Cfg_Hoje)+IF(DAY(Cfg_Hoje)&gt;=INDEX(Cartoes_Fech,MATCH($F705,Cartoes_Nome,0)),1,0))+1))</f>
        <v>0</v>
      </c>
      <c r="Z705" s="40">
        <f>IF($A705="",0,DAY($A705))</f>
        <v>0</v>
      </c>
      <c r="AA705" s="40">
        <f>IF($A705="",0,WEEKDAY($A705))</f>
        <v>0</v>
      </c>
      <c r="AB705" s="36">
        <f>IF(AND($C705="Despesa",U705&gt;0,U705&lt;=Sel_Idx,V705&gt;=Sel_Idx),N(R705)+ROW()/1000000000,0)</f>
        <v>0</v>
      </c>
      <c r="AC705" s="40">
        <f>IF(AND($C705="Despesa",U705&gt;0,U705&lt;=Sel_Idx,V705&gt;=Sel_Idx),Z705*10000+ROW(),0)</f>
        <v>0</v>
      </c>
      <c r="AD705" s="40">
        <f>IF(AC705=0,0,COUNTIFS(L_CalChave,"&gt;0",L_CalChave,"&lt;"&amp;AC705)+1)</f>
        <v>0</v>
      </c>
    </row>
    <row r="706">
      <c r="A706" s="38" t="n"/>
      <c r="B706" s="39" t="n"/>
      <c r="C706" s="34" t="n"/>
      <c r="D706" s="34" t="n"/>
      <c r="E706" s="34" t="n"/>
      <c r="F706" s="34" t="n"/>
      <c r="G706" s="34" t="n"/>
      <c r="H706" s="37" t="n"/>
      <c r="I706" s="37" t="n"/>
      <c r="J706" s="34" t="n"/>
      <c r="K706" s="34" t="n"/>
      <c r="L706" s="34" t="n"/>
      <c r="M706" s="39" t="n"/>
      <c r="N706" s="35" t="n"/>
      <c r="O706" s="40" t="str">
        <f>IF($A706="","",MONTH($A706))</f>
        <v/>
      </c>
      <c r="P706" s="40" t="str">
        <f>IF($A706="","",YEAR($A706))</f>
        <v/>
      </c>
      <c r="Q706" s="41" t="str">
        <f>IF($A706="","",DATE(P706,O706,1))</f>
        <v/>
      </c>
      <c r="R706" s="36" t="str">
        <f>IF(OR($A706="",$N706=""),"",IF(AND($C706&lt;&gt;"Transferência",N($I706)&gt;1),$N706/$I706,$N706))</f>
        <v/>
      </c>
      <c r="S706" s="41" t="str">
        <f>IF(OR($A706="",$F706="",$C706&lt;&gt;"Despesa"),"",IF(COUNTIF(Cartoes_Nome,$F706)=0,"",DATE(P706,O706+IF(DAY($A706)&gt;=INDEX(Cartoes_Fech,MATCH($F706,Cartoes_Nome,0)),1,0),1)))</f>
        <v/>
      </c>
      <c r="T706" s="42" t="str">
        <f>IF($A706="","",IF(COUNTIFS(L_Data,$A706,L_Desc,$B706,L_Valor,$N706,L_Tipo,$C706)&gt;1,"⚠ Possível duplicidade",IF(OR(AND($C706="Despesa",COUNTIF(CatD_Nome,$D706)=0),AND($C706="Receita",COUNTIF(CatR_Nome,$D706)=0)),"⚠ Categoria não combina com o tipo",IF(OR($N706="",$C706=""),"⚠ Falta valor ou tipo",""))))</f>
        <v/>
      </c>
      <c r="U706" s="40">
        <f>IF($A706="",0,P706*12+O706)</f>
        <v>0</v>
      </c>
      <c r="V706" s="40">
        <f>IF($A706="",0,U706+MAX(0,N($I706)-MAX(N($H706),1)))</f>
        <v>0</v>
      </c>
      <c r="W706" s="40">
        <f>IF(S706="",0,YEAR(S706)*12+MONTH(S706))</f>
        <v>0</v>
      </c>
      <c r="X706" s="40">
        <f>IF(W706=0,0,W706+V706-U706)</f>
        <v>0</v>
      </c>
      <c r="Y706" s="36">
        <f>IF(W706=0,0,N(R706)*MAX(0,X706-MAX(W706,YEAR(Cfg_Hoje)*12+MONTH(Cfg_Hoje)+IF(DAY(Cfg_Hoje)&gt;=INDEX(Cartoes_Fech,MATCH($F706,Cartoes_Nome,0)),1,0))+1))</f>
        <v>0</v>
      </c>
      <c r="Z706" s="40">
        <f>IF($A706="",0,DAY($A706))</f>
        <v>0</v>
      </c>
      <c r="AA706" s="40">
        <f>IF($A706="",0,WEEKDAY($A706))</f>
        <v>0</v>
      </c>
      <c r="AB706" s="36">
        <f>IF(AND($C706="Despesa",U706&gt;0,U706&lt;=Sel_Idx,V706&gt;=Sel_Idx),N(R706)+ROW()/1000000000,0)</f>
        <v>0</v>
      </c>
      <c r="AC706" s="40">
        <f>IF(AND($C706="Despesa",U706&gt;0,U706&lt;=Sel_Idx,V706&gt;=Sel_Idx),Z706*10000+ROW(),0)</f>
        <v>0</v>
      </c>
      <c r="AD706" s="40">
        <f>IF(AC706=0,0,COUNTIFS(L_CalChave,"&gt;0",L_CalChave,"&lt;"&amp;AC706)+1)</f>
        <v>0</v>
      </c>
    </row>
    <row r="707">
      <c r="A707" s="38" t="n"/>
      <c r="B707" s="39" t="n"/>
      <c r="C707" s="34" t="n"/>
      <c r="D707" s="34" t="n"/>
      <c r="E707" s="34" t="n"/>
      <c r="F707" s="34" t="n"/>
      <c r="G707" s="34" t="n"/>
      <c r="H707" s="37" t="n"/>
      <c r="I707" s="37" t="n"/>
      <c r="J707" s="34" t="n"/>
      <c r="K707" s="34" t="n"/>
      <c r="L707" s="34" t="n"/>
      <c r="M707" s="39" t="n"/>
      <c r="N707" s="35" t="n"/>
      <c r="O707" s="40" t="str">
        <f>IF($A707="","",MONTH($A707))</f>
        <v/>
      </c>
      <c r="P707" s="40" t="str">
        <f>IF($A707="","",YEAR($A707))</f>
        <v/>
      </c>
      <c r="Q707" s="41" t="str">
        <f>IF($A707="","",DATE(P707,O707,1))</f>
        <v/>
      </c>
      <c r="R707" s="36" t="str">
        <f>IF(OR($A707="",$N707=""),"",IF(AND($C707&lt;&gt;"Transferência",N($I707)&gt;1),$N707/$I707,$N707))</f>
        <v/>
      </c>
      <c r="S707" s="41" t="str">
        <f>IF(OR($A707="",$F707="",$C707&lt;&gt;"Despesa"),"",IF(COUNTIF(Cartoes_Nome,$F707)=0,"",DATE(P707,O707+IF(DAY($A707)&gt;=INDEX(Cartoes_Fech,MATCH($F707,Cartoes_Nome,0)),1,0),1)))</f>
        <v/>
      </c>
      <c r="T707" s="42" t="str">
        <f>IF($A707="","",IF(COUNTIFS(L_Data,$A707,L_Desc,$B707,L_Valor,$N707,L_Tipo,$C707)&gt;1,"⚠ Possível duplicidade",IF(OR(AND($C707="Despesa",COUNTIF(CatD_Nome,$D707)=0),AND($C707="Receita",COUNTIF(CatR_Nome,$D707)=0)),"⚠ Categoria não combina com o tipo",IF(OR($N707="",$C707=""),"⚠ Falta valor ou tipo",""))))</f>
        <v/>
      </c>
      <c r="U707" s="40">
        <f>IF($A707="",0,P707*12+O707)</f>
        <v>0</v>
      </c>
      <c r="V707" s="40">
        <f>IF($A707="",0,U707+MAX(0,N($I707)-MAX(N($H707),1)))</f>
        <v>0</v>
      </c>
      <c r="W707" s="40">
        <f>IF(S707="",0,YEAR(S707)*12+MONTH(S707))</f>
        <v>0</v>
      </c>
      <c r="X707" s="40">
        <f>IF(W707=0,0,W707+V707-U707)</f>
        <v>0</v>
      </c>
      <c r="Y707" s="36">
        <f>IF(W707=0,0,N(R707)*MAX(0,X707-MAX(W707,YEAR(Cfg_Hoje)*12+MONTH(Cfg_Hoje)+IF(DAY(Cfg_Hoje)&gt;=INDEX(Cartoes_Fech,MATCH($F707,Cartoes_Nome,0)),1,0))+1))</f>
        <v>0</v>
      </c>
      <c r="Z707" s="40">
        <f>IF($A707="",0,DAY($A707))</f>
        <v>0</v>
      </c>
      <c r="AA707" s="40">
        <f>IF($A707="",0,WEEKDAY($A707))</f>
        <v>0</v>
      </c>
      <c r="AB707" s="36">
        <f>IF(AND($C707="Despesa",U707&gt;0,U707&lt;=Sel_Idx,V707&gt;=Sel_Idx),N(R707)+ROW()/1000000000,0)</f>
        <v>0</v>
      </c>
      <c r="AC707" s="40">
        <f>IF(AND($C707="Despesa",U707&gt;0,U707&lt;=Sel_Idx,V707&gt;=Sel_Idx),Z707*10000+ROW(),0)</f>
        <v>0</v>
      </c>
      <c r="AD707" s="40">
        <f>IF(AC707=0,0,COUNTIFS(L_CalChave,"&gt;0",L_CalChave,"&lt;"&amp;AC707)+1)</f>
        <v>0</v>
      </c>
    </row>
    <row r="708">
      <c r="A708" s="38" t="n"/>
      <c r="B708" s="39" t="n"/>
      <c r="C708" s="34" t="n"/>
      <c r="D708" s="34" t="n"/>
      <c r="E708" s="34" t="n"/>
      <c r="F708" s="34" t="n"/>
      <c r="G708" s="34" t="n"/>
      <c r="H708" s="37" t="n"/>
      <c r="I708" s="37" t="n"/>
      <c r="J708" s="34" t="n"/>
      <c r="K708" s="34" t="n"/>
      <c r="L708" s="34" t="n"/>
      <c r="M708" s="39" t="n"/>
      <c r="N708" s="35" t="n"/>
      <c r="O708" s="40" t="str">
        <f>IF($A708="","",MONTH($A708))</f>
        <v/>
      </c>
      <c r="P708" s="40" t="str">
        <f>IF($A708="","",YEAR($A708))</f>
        <v/>
      </c>
      <c r="Q708" s="41" t="str">
        <f>IF($A708="","",DATE(P708,O708,1))</f>
        <v/>
      </c>
      <c r="R708" s="36" t="str">
        <f>IF(OR($A708="",$N708=""),"",IF(AND($C708&lt;&gt;"Transferência",N($I708)&gt;1),$N708/$I708,$N708))</f>
        <v/>
      </c>
      <c r="S708" s="41" t="str">
        <f>IF(OR($A708="",$F708="",$C708&lt;&gt;"Despesa"),"",IF(COUNTIF(Cartoes_Nome,$F708)=0,"",DATE(P708,O708+IF(DAY($A708)&gt;=INDEX(Cartoes_Fech,MATCH($F708,Cartoes_Nome,0)),1,0),1)))</f>
        <v/>
      </c>
      <c r="T708" s="42" t="str">
        <f>IF($A708="","",IF(COUNTIFS(L_Data,$A708,L_Desc,$B708,L_Valor,$N708,L_Tipo,$C708)&gt;1,"⚠ Possível duplicidade",IF(OR(AND($C708="Despesa",COUNTIF(CatD_Nome,$D708)=0),AND($C708="Receita",COUNTIF(CatR_Nome,$D708)=0)),"⚠ Categoria não combina com o tipo",IF(OR($N708="",$C708=""),"⚠ Falta valor ou tipo",""))))</f>
        <v/>
      </c>
      <c r="U708" s="40">
        <f>IF($A708="",0,P708*12+O708)</f>
        <v>0</v>
      </c>
      <c r="V708" s="40">
        <f>IF($A708="",0,U708+MAX(0,N($I708)-MAX(N($H708),1)))</f>
        <v>0</v>
      </c>
      <c r="W708" s="40">
        <f>IF(S708="",0,YEAR(S708)*12+MONTH(S708))</f>
        <v>0</v>
      </c>
      <c r="X708" s="40">
        <f>IF(W708=0,0,W708+V708-U708)</f>
        <v>0</v>
      </c>
      <c r="Y708" s="36">
        <f>IF(W708=0,0,N(R708)*MAX(0,X708-MAX(W708,YEAR(Cfg_Hoje)*12+MONTH(Cfg_Hoje)+IF(DAY(Cfg_Hoje)&gt;=INDEX(Cartoes_Fech,MATCH($F708,Cartoes_Nome,0)),1,0))+1))</f>
        <v>0</v>
      </c>
      <c r="Z708" s="40">
        <f>IF($A708="",0,DAY($A708))</f>
        <v>0</v>
      </c>
      <c r="AA708" s="40">
        <f>IF($A708="",0,WEEKDAY($A708))</f>
        <v>0</v>
      </c>
      <c r="AB708" s="36">
        <f>IF(AND($C708="Despesa",U708&gt;0,U708&lt;=Sel_Idx,V708&gt;=Sel_Idx),N(R708)+ROW()/1000000000,0)</f>
        <v>0</v>
      </c>
      <c r="AC708" s="40">
        <f>IF(AND($C708="Despesa",U708&gt;0,U708&lt;=Sel_Idx,V708&gt;=Sel_Idx),Z708*10000+ROW(),0)</f>
        <v>0</v>
      </c>
      <c r="AD708" s="40">
        <f>IF(AC708=0,0,COUNTIFS(L_CalChave,"&gt;0",L_CalChave,"&lt;"&amp;AC708)+1)</f>
        <v>0</v>
      </c>
    </row>
    <row r="709">
      <c r="A709" s="38" t="n"/>
      <c r="B709" s="39" t="n"/>
      <c r="C709" s="34" t="n"/>
      <c r="D709" s="34" t="n"/>
      <c r="E709" s="34" t="n"/>
      <c r="F709" s="34" t="n"/>
      <c r="G709" s="34" t="n"/>
      <c r="H709" s="37" t="n"/>
      <c r="I709" s="37" t="n"/>
      <c r="J709" s="34" t="n"/>
      <c r="K709" s="34" t="n"/>
      <c r="L709" s="34" t="n"/>
      <c r="M709" s="39" t="n"/>
      <c r="N709" s="35" t="n"/>
      <c r="O709" s="40" t="str">
        <f>IF($A709="","",MONTH($A709))</f>
        <v/>
      </c>
      <c r="P709" s="40" t="str">
        <f>IF($A709="","",YEAR($A709))</f>
        <v/>
      </c>
      <c r="Q709" s="41" t="str">
        <f>IF($A709="","",DATE(P709,O709,1))</f>
        <v/>
      </c>
      <c r="R709" s="36" t="str">
        <f>IF(OR($A709="",$N709=""),"",IF(AND($C709&lt;&gt;"Transferência",N($I709)&gt;1),$N709/$I709,$N709))</f>
        <v/>
      </c>
      <c r="S709" s="41" t="str">
        <f>IF(OR($A709="",$F709="",$C709&lt;&gt;"Despesa"),"",IF(COUNTIF(Cartoes_Nome,$F709)=0,"",DATE(P709,O709+IF(DAY($A709)&gt;=INDEX(Cartoes_Fech,MATCH($F709,Cartoes_Nome,0)),1,0),1)))</f>
        <v/>
      </c>
      <c r="T709" s="42" t="str">
        <f>IF($A709="","",IF(COUNTIFS(L_Data,$A709,L_Desc,$B709,L_Valor,$N709,L_Tipo,$C709)&gt;1,"⚠ Possível duplicidade",IF(OR(AND($C709="Despesa",COUNTIF(CatD_Nome,$D709)=0),AND($C709="Receita",COUNTIF(CatR_Nome,$D709)=0)),"⚠ Categoria não combina com o tipo",IF(OR($N709="",$C709=""),"⚠ Falta valor ou tipo",""))))</f>
        <v/>
      </c>
      <c r="U709" s="40">
        <f>IF($A709="",0,P709*12+O709)</f>
        <v>0</v>
      </c>
      <c r="V709" s="40">
        <f>IF($A709="",0,U709+MAX(0,N($I709)-MAX(N($H709),1)))</f>
        <v>0</v>
      </c>
      <c r="W709" s="40">
        <f>IF(S709="",0,YEAR(S709)*12+MONTH(S709))</f>
        <v>0</v>
      </c>
      <c r="X709" s="40">
        <f>IF(W709=0,0,W709+V709-U709)</f>
        <v>0</v>
      </c>
      <c r="Y709" s="36">
        <f>IF(W709=0,0,N(R709)*MAX(0,X709-MAX(W709,YEAR(Cfg_Hoje)*12+MONTH(Cfg_Hoje)+IF(DAY(Cfg_Hoje)&gt;=INDEX(Cartoes_Fech,MATCH($F709,Cartoes_Nome,0)),1,0))+1))</f>
        <v>0</v>
      </c>
      <c r="Z709" s="40">
        <f>IF($A709="",0,DAY($A709))</f>
        <v>0</v>
      </c>
      <c r="AA709" s="40">
        <f>IF($A709="",0,WEEKDAY($A709))</f>
        <v>0</v>
      </c>
      <c r="AB709" s="36">
        <f>IF(AND($C709="Despesa",U709&gt;0,U709&lt;=Sel_Idx,V709&gt;=Sel_Idx),N(R709)+ROW()/1000000000,0)</f>
        <v>0</v>
      </c>
      <c r="AC709" s="40">
        <f>IF(AND($C709="Despesa",U709&gt;0,U709&lt;=Sel_Idx,V709&gt;=Sel_Idx),Z709*10000+ROW(),0)</f>
        <v>0</v>
      </c>
      <c r="AD709" s="40">
        <f>IF(AC709=0,0,COUNTIFS(L_CalChave,"&gt;0",L_CalChave,"&lt;"&amp;AC709)+1)</f>
        <v>0</v>
      </c>
    </row>
    <row r="710">
      <c r="A710" s="38" t="n"/>
      <c r="B710" s="39" t="n"/>
      <c r="C710" s="34" t="n"/>
      <c r="D710" s="34" t="n"/>
      <c r="E710" s="34" t="n"/>
      <c r="F710" s="34" t="n"/>
      <c r="G710" s="34" t="n"/>
      <c r="H710" s="37" t="n"/>
      <c r="I710" s="37" t="n"/>
      <c r="J710" s="34" t="n"/>
      <c r="K710" s="34" t="n"/>
      <c r="L710" s="34" t="n"/>
      <c r="M710" s="39" t="n"/>
      <c r="N710" s="35" t="n"/>
      <c r="O710" s="40" t="str">
        <f>IF($A710="","",MONTH($A710))</f>
        <v/>
      </c>
      <c r="P710" s="40" t="str">
        <f>IF($A710="","",YEAR($A710))</f>
        <v/>
      </c>
      <c r="Q710" s="41" t="str">
        <f>IF($A710="","",DATE(P710,O710,1))</f>
        <v/>
      </c>
      <c r="R710" s="36" t="str">
        <f>IF(OR($A710="",$N710=""),"",IF(AND($C710&lt;&gt;"Transferência",N($I710)&gt;1),$N710/$I710,$N710))</f>
        <v/>
      </c>
      <c r="S710" s="41" t="str">
        <f>IF(OR($A710="",$F710="",$C710&lt;&gt;"Despesa"),"",IF(COUNTIF(Cartoes_Nome,$F710)=0,"",DATE(P710,O710+IF(DAY($A710)&gt;=INDEX(Cartoes_Fech,MATCH($F710,Cartoes_Nome,0)),1,0),1)))</f>
        <v/>
      </c>
      <c r="T710" s="42" t="str">
        <f>IF($A710="","",IF(COUNTIFS(L_Data,$A710,L_Desc,$B710,L_Valor,$N710,L_Tipo,$C710)&gt;1,"⚠ Possível duplicidade",IF(OR(AND($C710="Despesa",COUNTIF(CatD_Nome,$D710)=0),AND($C710="Receita",COUNTIF(CatR_Nome,$D710)=0)),"⚠ Categoria não combina com o tipo",IF(OR($N710="",$C710=""),"⚠ Falta valor ou tipo",""))))</f>
        <v/>
      </c>
      <c r="U710" s="40">
        <f>IF($A710="",0,P710*12+O710)</f>
        <v>0</v>
      </c>
      <c r="V710" s="40">
        <f>IF($A710="",0,U710+MAX(0,N($I710)-MAX(N($H710),1)))</f>
        <v>0</v>
      </c>
      <c r="W710" s="40">
        <f>IF(S710="",0,YEAR(S710)*12+MONTH(S710))</f>
        <v>0</v>
      </c>
      <c r="X710" s="40">
        <f>IF(W710=0,0,W710+V710-U710)</f>
        <v>0</v>
      </c>
      <c r="Y710" s="36">
        <f>IF(W710=0,0,N(R710)*MAX(0,X710-MAX(W710,YEAR(Cfg_Hoje)*12+MONTH(Cfg_Hoje)+IF(DAY(Cfg_Hoje)&gt;=INDEX(Cartoes_Fech,MATCH($F710,Cartoes_Nome,0)),1,0))+1))</f>
        <v>0</v>
      </c>
      <c r="Z710" s="40">
        <f>IF($A710="",0,DAY($A710))</f>
        <v>0</v>
      </c>
      <c r="AA710" s="40">
        <f>IF($A710="",0,WEEKDAY($A710))</f>
        <v>0</v>
      </c>
      <c r="AB710" s="36">
        <f>IF(AND($C710="Despesa",U710&gt;0,U710&lt;=Sel_Idx,V710&gt;=Sel_Idx),N(R710)+ROW()/1000000000,0)</f>
        <v>0</v>
      </c>
      <c r="AC710" s="40">
        <f>IF(AND($C710="Despesa",U710&gt;0,U710&lt;=Sel_Idx,V710&gt;=Sel_Idx),Z710*10000+ROW(),0)</f>
        <v>0</v>
      </c>
      <c r="AD710" s="40">
        <f>IF(AC710=0,0,COUNTIFS(L_CalChave,"&gt;0",L_CalChave,"&lt;"&amp;AC710)+1)</f>
        <v>0</v>
      </c>
    </row>
    <row r="711">
      <c r="A711" s="38" t="n"/>
      <c r="B711" s="39" t="n"/>
      <c r="C711" s="34" t="n"/>
      <c r="D711" s="34" t="n"/>
      <c r="E711" s="34" t="n"/>
      <c r="F711" s="34" t="n"/>
      <c r="G711" s="34" t="n"/>
      <c r="H711" s="37" t="n"/>
      <c r="I711" s="37" t="n"/>
      <c r="J711" s="34" t="n"/>
      <c r="K711" s="34" t="n"/>
      <c r="L711" s="34" t="n"/>
      <c r="M711" s="39" t="n"/>
      <c r="N711" s="35" t="n"/>
      <c r="O711" s="40" t="str">
        <f>IF($A711="","",MONTH($A711))</f>
        <v/>
      </c>
      <c r="P711" s="40" t="str">
        <f>IF($A711="","",YEAR($A711))</f>
        <v/>
      </c>
      <c r="Q711" s="41" t="str">
        <f>IF($A711="","",DATE(P711,O711,1))</f>
        <v/>
      </c>
      <c r="R711" s="36" t="str">
        <f>IF(OR($A711="",$N711=""),"",IF(AND($C711&lt;&gt;"Transferência",N($I711)&gt;1),$N711/$I711,$N711))</f>
        <v/>
      </c>
      <c r="S711" s="41" t="str">
        <f>IF(OR($A711="",$F711="",$C711&lt;&gt;"Despesa"),"",IF(COUNTIF(Cartoes_Nome,$F711)=0,"",DATE(P711,O711+IF(DAY($A711)&gt;=INDEX(Cartoes_Fech,MATCH($F711,Cartoes_Nome,0)),1,0),1)))</f>
        <v/>
      </c>
      <c r="T711" s="42" t="str">
        <f>IF($A711="","",IF(COUNTIFS(L_Data,$A711,L_Desc,$B711,L_Valor,$N711,L_Tipo,$C711)&gt;1,"⚠ Possível duplicidade",IF(OR(AND($C711="Despesa",COUNTIF(CatD_Nome,$D711)=0),AND($C711="Receita",COUNTIF(CatR_Nome,$D711)=0)),"⚠ Categoria não combina com o tipo",IF(OR($N711="",$C711=""),"⚠ Falta valor ou tipo",""))))</f>
        <v/>
      </c>
      <c r="U711" s="40">
        <f>IF($A711="",0,P711*12+O711)</f>
        <v>0</v>
      </c>
      <c r="V711" s="40">
        <f>IF($A711="",0,U711+MAX(0,N($I711)-MAX(N($H711),1)))</f>
        <v>0</v>
      </c>
      <c r="W711" s="40">
        <f>IF(S711="",0,YEAR(S711)*12+MONTH(S711))</f>
        <v>0</v>
      </c>
      <c r="X711" s="40">
        <f>IF(W711=0,0,W711+V711-U711)</f>
        <v>0</v>
      </c>
      <c r="Y711" s="36">
        <f>IF(W711=0,0,N(R711)*MAX(0,X711-MAX(W711,YEAR(Cfg_Hoje)*12+MONTH(Cfg_Hoje)+IF(DAY(Cfg_Hoje)&gt;=INDEX(Cartoes_Fech,MATCH($F711,Cartoes_Nome,0)),1,0))+1))</f>
        <v>0</v>
      </c>
      <c r="Z711" s="40">
        <f>IF($A711="",0,DAY($A711))</f>
        <v>0</v>
      </c>
      <c r="AA711" s="40">
        <f>IF($A711="",0,WEEKDAY($A711))</f>
        <v>0</v>
      </c>
      <c r="AB711" s="36">
        <f>IF(AND($C711="Despesa",U711&gt;0,U711&lt;=Sel_Idx,V711&gt;=Sel_Idx),N(R711)+ROW()/1000000000,0)</f>
        <v>0</v>
      </c>
      <c r="AC711" s="40">
        <f>IF(AND($C711="Despesa",U711&gt;0,U711&lt;=Sel_Idx,V711&gt;=Sel_Idx),Z711*10000+ROW(),0)</f>
        <v>0</v>
      </c>
      <c r="AD711" s="40">
        <f>IF(AC711=0,0,COUNTIFS(L_CalChave,"&gt;0",L_CalChave,"&lt;"&amp;AC711)+1)</f>
        <v>0</v>
      </c>
    </row>
    <row r="712">
      <c r="A712" s="38" t="n"/>
      <c r="B712" s="39" t="n"/>
      <c r="C712" s="34" t="n"/>
      <c r="D712" s="34" t="n"/>
      <c r="E712" s="34" t="n"/>
      <c r="F712" s="34" t="n"/>
      <c r="G712" s="34" t="n"/>
      <c r="H712" s="37" t="n"/>
      <c r="I712" s="37" t="n"/>
      <c r="J712" s="34" t="n"/>
      <c r="K712" s="34" t="n"/>
      <c r="L712" s="34" t="n"/>
      <c r="M712" s="39" t="n"/>
      <c r="N712" s="35" t="n"/>
      <c r="O712" s="40" t="str">
        <f>IF($A712="","",MONTH($A712))</f>
        <v/>
      </c>
      <c r="P712" s="40" t="str">
        <f>IF($A712="","",YEAR($A712))</f>
        <v/>
      </c>
      <c r="Q712" s="41" t="str">
        <f>IF($A712="","",DATE(P712,O712,1))</f>
        <v/>
      </c>
      <c r="R712" s="36" t="str">
        <f>IF(OR($A712="",$N712=""),"",IF(AND($C712&lt;&gt;"Transferência",N($I712)&gt;1),$N712/$I712,$N712))</f>
        <v/>
      </c>
      <c r="S712" s="41" t="str">
        <f>IF(OR($A712="",$F712="",$C712&lt;&gt;"Despesa"),"",IF(COUNTIF(Cartoes_Nome,$F712)=0,"",DATE(P712,O712+IF(DAY($A712)&gt;=INDEX(Cartoes_Fech,MATCH($F712,Cartoes_Nome,0)),1,0),1)))</f>
        <v/>
      </c>
      <c r="T712" s="42" t="str">
        <f>IF($A712="","",IF(COUNTIFS(L_Data,$A712,L_Desc,$B712,L_Valor,$N712,L_Tipo,$C712)&gt;1,"⚠ Possível duplicidade",IF(OR(AND($C712="Despesa",COUNTIF(CatD_Nome,$D712)=0),AND($C712="Receita",COUNTIF(CatR_Nome,$D712)=0)),"⚠ Categoria não combina com o tipo",IF(OR($N712="",$C712=""),"⚠ Falta valor ou tipo",""))))</f>
        <v/>
      </c>
      <c r="U712" s="40">
        <f>IF($A712="",0,P712*12+O712)</f>
        <v>0</v>
      </c>
      <c r="V712" s="40">
        <f>IF($A712="",0,U712+MAX(0,N($I712)-MAX(N($H712),1)))</f>
        <v>0</v>
      </c>
      <c r="W712" s="40">
        <f>IF(S712="",0,YEAR(S712)*12+MONTH(S712))</f>
        <v>0</v>
      </c>
      <c r="X712" s="40">
        <f>IF(W712=0,0,W712+V712-U712)</f>
        <v>0</v>
      </c>
      <c r="Y712" s="36">
        <f>IF(W712=0,0,N(R712)*MAX(0,X712-MAX(W712,YEAR(Cfg_Hoje)*12+MONTH(Cfg_Hoje)+IF(DAY(Cfg_Hoje)&gt;=INDEX(Cartoes_Fech,MATCH($F712,Cartoes_Nome,0)),1,0))+1))</f>
        <v>0</v>
      </c>
      <c r="Z712" s="40">
        <f>IF($A712="",0,DAY($A712))</f>
        <v>0</v>
      </c>
      <c r="AA712" s="40">
        <f>IF($A712="",0,WEEKDAY($A712))</f>
        <v>0</v>
      </c>
      <c r="AB712" s="36">
        <f>IF(AND($C712="Despesa",U712&gt;0,U712&lt;=Sel_Idx,V712&gt;=Sel_Idx),N(R712)+ROW()/1000000000,0)</f>
        <v>0</v>
      </c>
      <c r="AC712" s="40">
        <f>IF(AND($C712="Despesa",U712&gt;0,U712&lt;=Sel_Idx,V712&gt;=Sel_Idx),Z712*10000+ROW(),0)</f>
        <v>0</v>
      </c>
      <c r="AD712" s="40">
        <f>IF(AC712=0,0,COUNTIFS(L_CalChave,"&gt;0",L_CalChave,"&lt;"&amp;AC712)+1)</f>
        <v>0</v>
      </c>
    </row>
    <row r="713">
      <c r="A713" s="38" t="n"/>
      <c r="B713" s="39" t="n"/>
      <c r="C713" s="34" t="n"/>
      <c r="D713" s="34" t="n"/>
      <c r="E713" s="34" t="n"/>
      <c r="F713" s="34" t="n"/>
      <c r="G713" s="34" t="n"/>
      <c r="H713" s="37" t="n"/>
      <c r="I713" s="37" t="n"/>
      <c r="J713" s="34" t="n"/>
      <c r="K713" s="34" t="n"/>
      <c r="L713" s="34" t="n"/>
      <c r="M713" s="39" t="n"/>
      <c r="N713" s="35" t="n"/>
      <c r="O713" s="40" t="str">
        <f>IF($A713="","",MONTH($A713))</f>
        <v/>
      </c>
      <c r="P713" s="40" t="str">
        <f>IF($A713="","",YEAR($A713))</f>
        <v/>
      </c>
      <c r="Q713" s="41" t="str">
        <f>IF($A713="","",DATE(P713,O713,1))</f>
        <v/>
      </c>
      <c r="R713" s="36" t="str">
        <f>IF(OR($A713="",$N713=""),"",IF(AND($C713&lt;&gt;"Transferência",N($I713)&gt;1),$N713/$I713,$N713))</f>
        <v/>
      </c>
      <c r="S713" s="41" t="str">
        <f>IF(OR($A713="",$F713="",$C713&lt;&gt;"Despesa"),"",IF(COUNTIF(Cartoes_Nome,$F713)=0,"",DATE(P713,O713+IF(DAY($A713)&gt;=INDEX(Cartoes_Fech,MATCH($F713,Cartoes_Nome,0)),1,0),1)))</f>
        <v/>
      </c>
      <c r="T713" s="42" t="str">
        <f>IF($A713="","",IF(COUNTIFS(L_Data,$A713,L_Desc,$B713,L_Valor,$N713,L_Tipo,$C713)&gt;1,"⚠ Possível duplicidade",IF(OR(AND($C713="Despesa",COUNTIF(CatD_Nome,$D713)=0),AND($C713="Receita",COUNTIF(CatR_Nome,$D713)=0)),"⚠ Categoria não combina com o tipo",IF(OR($N713="",$C713=""),"⚠ Falta valor ou tipo",""))))</f>
        <v/>
      </c>
      <c r="U713" s="40">
        <f>IF($A713="",0,P713*12+O713)</f>
        <v>0</v>
      </c>
      <c r="V713" s="40">
        <f>IF($A713="",0,U713+MAX(0,N($I713)-MAX(N($H713),1)))</f>
        <v>0</v>
      </c>
      <c r="W713" s="40">
        <f>IF(S713="",0,YEAR(S713)*12+MONTH(S713))</f>
        <v>0</v>
      </c>
      <c r="X713" s="40">
        <f>IF(W713=0,0,W713+V713-U713)</f>
        <v>0</v>
      </c>
      <c r="Y713" s="36">
        <f>IF(W713=0,0,N(R713)*MAX(0,X713-MAX(W713,YEAR(Cfg_Hoje)*12+MONTH(Cfg_Hoje)+IF(DAY(Cfg_Hoje)&gt;=INDEX(Cartoes_Fech,MATCH($F713,Cartoes_Nome,0)),1,0))+1))</f>
        <v>0</v>
      </c>
      <c r="Z713" s="40">
        <f>IF($A713="",0,DAY($A713))</f>
        <v>0</v>
      </c>
      <c r="AA713" s="40">
        <f>IF($A713="",0,WEEKDAY($A713))</f>
        <v>0</v>
      </c>
      <c r="AB713" s="36">
        <f>IF(AND($C713="Despesa",U713&gt;0,U713&lt;=Sel_Idx,V713&gt;=Sel_Idx),N(R713)+ROW()/1000000000,0)</f>
        <v>0</v>
      </c>
      <c r="AC713" s="40">
        <f>IF(AND($C713="Despesa",U713&gt;0,U713&lt;=Sel_Idx,V713&gt;=Sel_Idx),Z713*10000+ROW(),0)</f>
        <v>0</v>
      </c>
      <c r="AD713" s="40">
        <f>IF(AC713=0,0,COUNTIFS(L_CalChave,"&gt;0",L_CalChave,"&lt;"&amp;AC713)+1)</f>
        <v>0</v>
      </c>
    </row>
    <row r="714">
      <c r="A714" s="38" t="n"/>
      <c r="B714" s="39" t="n"/>
      <c r="C714" s="34" t="n"/>
      <c r="D714" s="34" t="n"/>
      <c r="E714" s="34" t="n"/>
      <c r="F714" s="34" t="n"/>
      <c r="G714" s="34" t="n"/>
      <c r="H714" s="37" t="n"/>
      <c r="I714" s="37" t="n"/>
      <c r="J714" s="34" t="n"/>
      <c r="K714" s="34" t="n"/>
      <c r="L714" s="34" t="n"/>
      <c r="M714" s="39" t="n"/>
      <c r="N714" s="35" t="n"/>
      <c r="O714" s="40" t="str">
        <f>IF($A714="","",MONTH($A714))</f>
        <v/>
      </c>
      <c r="P714" s="40" t="str">
        <f>IF($A714="","",YEAR($A714))</f>
        <v/>
      </c>
      <c r="Q714" s="41" t="str">
        <f>IF($A714="","",DATE(P714,O714,1))</f>
        <v/>
      </c>
      <c r="R714" s="36" t="str">
        <f>IF(OR($A714="",$N714=""),"",IF(AND($C714&lt;&gt;"Transferência",N($I714)&gt;1),$N714/$I714,$N714))</f>
        <v/>
      </c>
      <c r="S714" s="41" t="str">
        <f>IF(OR($A714="",$F714="",$C714&lt;&gt;"Despesa"),"",IF(COUNTIF(Cartoes_Nome,$F714)=0,"",DATE(P714,O714+IF(DAY($A714)&gt;=INDEX(Cartoes_Fech,MATCH($F714,Cartoes_Nome,0)),1,0),1)))</f>
        <v/>
      </c>
      <c r="T714" s="42" t="str">
        <f>IF($A714="","",IF(COUNTIFS(L_Data,$A714,L_Desc,$B714,L_Valor,$N714,L_Tipo,$C714)&gt;1,"⚠ Possível duplicidade",IF(OR(AND($C714="Despesa",COUNTIF(CatD_Nome,$D714)=0),AND($C714="Receita",COUNTIF(CatR_Nome,$D714)=0)),"⚠ Categoria não combina com o tipo",IF(OR($N714="",$C714=""),"⚠ Falta valor ou tipo",""))))</f>
        <v/>
      </c>
      <c r="U714" s="40">
        <f>IF($A714="",0,P714*12+O714)</f>
        <v>0</v>
      </c>
      <c r="V714" s="40">
        <f>IF($A714="",0,U714+MAX(0,N($I714)-MAX(N($H714),1)))</f>
        <v>0</v>
      </c>
      <c r="W714" s="40">
        <f>IF(S714="",0,YEAR(S714)*12+MONTH(S714))</f>
        <v>0</v>
      </c>
      <c r="X714" s="40">
        <f>IF(W714=0,0,W714+V714-U714)</f>
        <v>0</v>
      </c>
      <c r="Y714" s="36">
        <f>IF(W714=0,0,N(R714)*MAX(0,X714-MAX(W714,YEAR(Cfg_Hoje)*12+MONTH(Cfg_Hoje)+IF(DAY(Cfg_Hoje)&gt;=INDEX(Cartoes_Fech,MATCH($F714,Cartoes_Nome,0)),1,0))+1))</f>
        <v>0</v>
      </c>
      <c r="Z714" s="40">
        <f>IF($A714="",0,DAY($A714))</f>
        <v>0</v>
      </c>
      <c r="AA714" s="40">
        <f>IF($A714="",0,WEEKDAY($A714))</f>
        <v>0</v>
      </c>
      <c r="AB714" s="36">
        <f>IF(AND($C714="Despesa",U714&gt;0,U714&lt;=Sel_Idx,V714&gt;=Sel_Idx),N(R714)+ROW()/1000000000,0)</f>
        <v>0</v>
      </c>
      <c r="AC714" s="40">
        <f>IF(AND($C714="Despesa",U714&gt;0,U714&lt;=Sel_Idx,V714&gt;=Sel_Idx),Z714*10000+ROW(),0)</f>
        <v>0</v>
      </c>
      <c r="AD714" s="40">
        <f>IF(AC714=0,0,COUNTIFS(L_CalChave,"&gt;0",L_CalChave,"&lt;"&amp;AC714)+1)</f>
        <v>0</v>
      </c>
    </row>
    <row r="715">
      <c r="A715" s="38" t="n"/>
      <c r="B715" s="39" t="n"/>
      <c r="C715" s="34" t="n"/>
      <c r="D715" s="34" t="n"/>
      <c r="E715" s="34" t="n"/>
      <c r="F715" s="34" t="n"/>
      <c r="G715" s="34" t="n"/>
      <c r="H715" s="37" t="n"/>
      <c r="I715" s="37" t="n"/>
      <c r="J715" s="34" t="n"/>
      <c r="K715" s="34" t="n"/>
      <c r="L715" s="34" t="n"/>
      <c r="M715" s="39" t="n"/>
      <c r="N715" s="35" t="n"/>
      <c r="O715" s="40" t="str">
        <f>IF($A715="","",MONTH($A715))</f>
        <v/>
      </c>
      <c r="P715" s="40" t="str">
        <f>IF($A715="","",YEAR($A715))</f>
        <v/>
      </c>
      <c r="Q715" s="41" t="str">
        <f>IF($A715="","",DATE(P715,O715,1))</f>
        <v/>
      </c>
      <c r="R715" s="36" t="str">
        <f>IF(OR($A715="",$N715=""),"",IF(AND($C715&lt;&gt;"Transferência",N($I715)&gt;1),$N715/$I715,$N715))</f>
        <v/>
      </c>
      <c r="S715" s="41" t="str">
        <f>IF(OR($A715="",$F715="",$C715&lt;&gt;"Despesa"),"",IF(COUNTIF(Cartoes_Nome,$F715)=0,"",DATE(P715,O715+IF(DAY($A715)&gt;=INDEX(Cartoes_Fech,MATCH($F715,Cartoes_Nome,0)),1,0),1)))</f>
        <v/>
      </c>
      <c r="T715" s="42" t="str">
        <f>IF($A715="","",IF(COUNTIFS(L_Data,$A715,L_Desc,$B715,L_Valor,$N715,L_Tipo,$C715)&gt;1,"⚠ Possível duplicidade",IF(OR(AND($C715="Despesa",COUNTIF(CatD_Nome,$D715)=0),AND($C715="Receita",COUNTIF(CatR_Nome,$D715)=0)),"⚠ Categoria não combina com o tipo",IF(OR($N715="",$C715=""),"⚠ Falta valor ou tipo",""))))</f>
        <v/>
      </c>
      <c r="U715" s="40">
        <f>IF($A715="",0,P715*12+O715)</f>
        <v>0</v>
      </c>
      <c r="V715" s="40">
        <f>IF($A715="",0,U715+MAX(0,N($I715)-MAX(N($H715),1)))</f>
        <v>0</v>
      </c>
      <c r="W715" s="40">
        <f>IF(S715="",0,YEAR(S715)*12+MONTH(S715))</f>
        <v>0</v>
      </c>
      <c r="X715" s="40">
        <f>IF(W715=0,0,W715+V715-U715)</f>
        <v>0</v>
      </c>
      <c r="Y715" s="36">
        <f>IF(W715=0,0,N(R715)*MAX(0,X715-MAX(W715,YEAR(Cfg_Hoje)*12+MONTH(Cfg_Hoje)+IF(DAY(Cfg_Hoje)&gt;=INDEX(Cartoes_Fech,MATCH($F715,Cartoes_Nome,0)),1,0))+1))</f>
        <v>0</v>
      </c>
      <c r="Z715" s="40">
        <f>IF($A715="",0,DAY($A715))</f>
        <v>0</v>
      </c>
      <c r="AA715" s="40">
        <f>IF($A715="",0,WEEKDAY($A715))</f>
        <v>0</v>
      </c>
      <c r="AB715" s="36">
        <f>IF(AND($C715="Despesa",U715&gt;0,U715&lt;=Sel_Idx,V715&gt;=Sel_Idx),N(R715)+ROW()/1000000000,0)</f>
        <v>0</v>
      </c>
      <c r="AC715" s="40">
        <f>IF(AND($C715="Despesa",U715&gt;0,U715&lt;=Sel_Idx,V715&gt;=Sel_Idx),Z715*10000+ROW(),0)</f>
        <v>0</v>
      </c>
      <c r="AD715" s="40">
        <f>IF(AC715=0,0,COUNTIFS(L_CalChave,"&gt;0",L_CalChave,"&lt;"&amp;AC715)+1)</f>
        <v>0</v>
      </c>
    </row>
    <row r="716">
      <c r="A716" s="38" t="n"/>
      <c r="B716" s="39" t="n"/>
      <c r="C716" s="34" t="n"/>
      <c r="D716" s="34" t="n"/>
      <c r="E716" s="34" t="n"/>
      <c r="F716" s="34" t="n"/>
      <c r="G716" s="34" t="n"/>
      <c r="H716" s="37" t="n"/>
      <c r="I716" s="37" t="n"/>
      <c r="J716" s="34" t="n"/>
      <c r="K716" s="34" t="n"/>
      <c r="L716" s="34" t="n"/>
      <c r="M716" s="39" t="n"/>
      <c r="N716" s="35" t="n"/>
      <c r="O716" s="40" t="str">
        <f>IF($A716="","",MONTH($A716))</f>
        <v/>
      </c>
      <c r="P716" s="40" t="str">
        <f>IF($A716="","",YEAR($A716))</f>
        <v/>
      </c>
      <c r="Q716" s="41" t="str">
        <f>IF($A716="","",DATE(P716,O716,1))</f>
        <v/>
      </c>
      <c r="R716" s="36" t="str">
        <f>IF(OR($A716="",$N716=""),"",IF(AND($C716&lt;&gt;"Transferência",N($I716)&gt;1),$N716/$I716,$N716))</f>
        <v/>
      </c>
      <c r="S716" s="41" t="str">
        <f>IF(OR($A716="",$F716="",$C716&lt;&gt;"Despesa"),"",IF(COUNTIF(Cartoes_Nome,$F716)=0,"",DATE(P716,O716+IF(DAY($A716)&gt;=INDEX(Cartoes_Fech,MATCH($F716,Cartoes_Nome,0)),1,0),1)))</f>
        <v/>
      </c>
      <c r="T716" s="42" t="str">
        <f>IF($A716="","",IF(COUNTIFS(L_Data,$A716,L_Desc,$B716,L_Valor,$N716,L_Tipo,$C716)&gt;1,"⚠ Possível duplicidade",IF(OR(AND($C716="Despesa",COUNTIF(CatD_Nome,$D716)=0),AND($C716="Receita",COUNTIF(CatR_Nome,$D716)=0)),"⚠ Categoria não combina com o tipo",IF(OR($N716="",$C716=""),"⚠ Falta valor ou tipo",""))))</f>
        <v/>
      </c>
      <c r="U716" s="40">
        <f>IF($A716="",0,P716*12+O716)</f>
        <v>0</v>
      </c>
      <c r="V716" s="40">
        <f>IF($A716="",0,U716+MAX(0,N($I716)-MAX(N($H716),1)))</f>
        <v>0</v>
      </c>
      <c r="W716" s="40">
        <f>IF(S716="",0,YEAR(S716)*12+MONTH(S716))</f>
        <v>0</v>
      </c>
      <c r="X716" s="40">
        <f>IF(W716=0,0,W716+V716-U716)</f>
        <v>0</v>
      </c>
      <c r="Y716" s="36">
        <f>IF(W716=0,0,N(R716)*MAX(0,X716-MAX(W716,YEAR(Cfg_Hoje)*12+MONTH(Cfg_Hoje)+IF(DAY(Cfg_Hoje)&gt;=INDEX(Cartoes_Fech,MATCH($F716,Cartoes_Nome,0)),1,0))+1))</f>
        <v>0</v>
      </c>
      <c r="Z716" s="40">
        <f>IF($A716="",0,DAY($A716))</f>
        <v>0</v>
      </c>
      <c r="AA716" s="40">
        <f>IF($A716="",0,WEEKDAY($A716))</f>
        <v>0</v>
      </c>
      <c r="AB716" s="36">
        <f>IF(AND($C716="Despesa",U716&gt;0,U716&lt;=Sel_Idx,V716&gt;=Sel_Idx),N(R716)+ROW()/1000000000,0)</f>
        <v>0</v>
      </c>
      <c r="AC716" s="40">
        <f>IF(AND($C716="Despesa",U716&gt;0,U716&lt;=Sel_Idx,V716&gt;=Sel_Idx),Z716*10000+ROW(),0)</f>
        <v>0</v>
      </c>
      <c r="AD716" s="40">
        <f>IF(AC716=0,0,COUNTIFS(L_CalChave,"&gt;0",L_CalChave,"&lt;"&amp;AC716)+1)</f>
        <v>0</v>
      </c>
    </row>
    <row r="717">
      <c r="A717" s="38" t="n"/>
      <c r="B717" s="39" t="n"/>
      <c r="C717" s="34" t="n"/>
      <c r="D717" s="34" t="n"/>
      <c r="E717" s="34" t="n"/>
      <c r="F717" s="34" t="n"/>
      <c r="G717" s="34" t="n"/>
      <c r="H717" s="37" t="n"/>
      <c r="I717" s="37" t="n"/>
      <c r="J717" s="34" t="n"/>
      <c r="K717" s="34" t="n"/>
      <c r="L717" s="34" t="n"/>
      <c r="M717" s="39" t="n"/>
      <c r="N717" s="35" t="n"/>
      <c r="O717" s="40" t="str">
        <f>IF($A717="","",MONTH($A717))</f>
        <v/>
      </c>
      <c r="P717" s="40" t="str">
        <f>IF($A717="","",YEAR($A717))</f>
        <v/>
      </c>
      <c r="Q717" s="41" t="str">
        <f>IF($A717="","",DATE(P717,O717,1))</f>
        <v/>
      </c>
      <c r="R717" s="36" t="str">
        <f>IF(OR($A717="",$N717=""),"",IF(AND($C717&lt;&gt;"Transferência",N($I717)&gt;1),$N717/$I717,$N717))</f>
        <v/>
      </c>
      <c r="S717" s="41" t="str">
        <f>IF(OR($A717="",$F717="",$C717&lt;&gt;"Despesa"),"",IF(COUNTIF(Cartoes_Nome,$F717)=0,"",DATE(P717,O717+IF(DAY($A717)&gt;=INDEX(Cartoes_Fech,MATCH($F717,Cartoes_Nome,0)),1,0),1)))</f>
        <v/>
      </c>
      <c r="T717" s="42" t="str">
        <f>IF($A717="","",IF(COUNTIFS(L_Data,$A717,L_Desc,$B717,L_Valor,$N717,L_Tipo,$C717)&gt;1,"⚠ Possível duplicidade",IF(OR(AND($C717="Despesa",COUNTIF(CatD_Nome,$D717)=0),AND($C717="Receita",COUNTIF(CatR_Nome,$D717)=0)),"⚠ Categoria não combina com o tipo",IF(OR($N717="",$C717=""),"⚠ Falta valor ou tipo",""))))</f>
        <v/>
      </c>
      <c r="U717" s="40">
        <f>IF($A717="",0,P717*12+O717)</f>
        <v>0</v>
      </c>
      <c r="V717" s="40">
        <f>IF($A717="",0,U717+MAX(0,N($I717)-MAX(N($H717),1)))</f>
        <v>0</v>
      </c>
      <c r="W717" s="40">
        <f>IF(S717="",0,YEAR(S717)*12+MONTH(S717))</f>
        <v>0</v>
      </c>
      <c r="X717" s="40">
        <f>IF(W717=0,0,W717+V717-U717)</f>
        <v>0</v>
      </c>
      <c r="Y717" s="36">
        <f>IF(W717=0,0,N(R717)*MAX(0,X717-MAX(W717,YEAR(Cfg_Hoje)*12+MONTH(Cfg_Hoje)+IF(DAY(Cfg_Hoje)&gt;=INDEX(Cartoes_Fech,MATCH($F717,Cartoes_Nome,0)),1,0))+1))</f>
        <v>0</v>
      </c>
      <c r="Z717" s="40">
        <f>IF($A717="",0,DAY($A717))</f>
        <v>0</v>
      </c>
      <c r="AA717" s="40">
        <f>IF($A717="",0,WEEKDAY($A717))</f>
        <v>0</v>
      </c>
      <c r="AB717" s="36">
        <f>IF(AND($C717="Despesa",U717&gt;0,U717&lt;=Sel_Idx,V717&gt;=Sel_Idx),N(R717)+ROW()/1000000000,0)</f>
        <v>0</v>
      </c>
      <c r="AC717" s="40">
        <f>IF(AND($C717="Despesa",U717&gt;0,U717&lt;=Sel_Idx,V717&gt;=Sel_Idx),Z717*10000+ROW(),0)</f>
        <v>0</v>
      </c>
      <c r="AD717" s="40">
        <f>IF(AC717=0,0,COUNTIFS(L_CalChave,"&gt;0",L_CalChave,"&lt;"&amp;AC717)+1)</f>
        <v>0</v>
      </c>
    </row>
    <row r="718">
      <c r="A718" s="38" t="n"/>
      <c r="B718" s="39" t="n"/>
      <c r="C718" s="34" t="n"/>
      <c r="D718" s="34" t="n"/>
      <c r="E718" s="34" t="n"/>
      <c r="F718" s="34" t="n"/>
      <c r="G718" s="34" t="n"/>
      <c r="H718" s="37" t="n"/>
      <c r="I718" s="37" t="n"/>
      <c r="J718" s="34" t="n"/>
      <c r="K718" s="34" t="n"/>
      <c r="L718" s="34" t="n"/>
      <c r="M718" s="39" t="n"/>
      <c r="N718" s="35" t="n"/>
      <c r="O718" s="40" t="str">
        <f>IF($A718="","",MONTH($A718))</f>
        <v/>
      </c>
      <c r="P718" s="40" t="str">
        <f>IF($A718="","",YEAR($A718))</f>
        <v/>
      </c>
      <c r="Q718" s="41" t="str">
        <f>IF($A718="","",DATE(P718,O718,1))</f>
        <v/>
      </c>
      <c r="R718" s="36" t="str">
        <f>IF(OR($A718="",$N718=""),"",IF(AND($C718&lt;&gt;"Transferência",N($I718)&gt;1),$N718/$I718,$N718))</f>
        <v/>
      </c>
      <c r="S718" s="41" t="str">
        <f>IF(OR($A718="",$F718="",$C718&lt;&gt;"Despesa"),"",IF(COUNTIF(Cartoes_Nome,$F718)=0,"",DATE(P718,O718+IF(DAY($A718)&gt;=INDEX(Cartoes_Fech,MATCH($F718,Cartoes_Nome,0)),1,0),1)))</f>
        <v/>
      </c>
      <c r="T718" s="42" t="str">
        <f>IF($A718="","",IF(COUNTIFS(L_Data,$A718,L_Desc,$B718,L_Valor,$N718,L_Tipo,$C718)&gt;1,"⚠ Possível duplicidade",IF(OR(AND($C718="Despesa",COUNTIF(CatD_Nome,$D718)=0),AND($C718="Receita",COUNTIF(CatR_Nome,$D718)=0)),"⚠ Categoria não combina com o tipo",IF(OR($N718="",$C718=""),"⚠ Falta valor ou tipo",""))))</f>
        <v/>
      </c>
      <c r="U718" s="40">
        <f>IF($A718="",0,P718*12+O718)</f>
        <v>0</v>
      </c>
      <c r="V718" s="40">
        <f>IF($A718="",0,U718+MAX(0,N($I718)-MAX(N($H718),1)))</f>
        <v>0</v>
      </c>
      <c r="W718" s="40">
        <f>IF(S718="",0,YEAR(S718)*12+MONTH(S718))</f>
        <v>0</v>
      </c>
      <c r="X718" s="40">
        <f>IF(W718=0,0,W718+V718-U718)</f>
        <v>0</v>
      </c>
      <c r="Y718" s="36">
        <f>IF(W718=0,0,N(R718)*MAX(0,X718-MAX(W718,YEAR(Cfg_Hoje)*12+MONTH(Cfg_Hoje)+IF(DAY(Cfg_Hoje)&gt;=INDEX(Cartoes_Fech,MATCH($F718,Cartoes_Nome,0)),1,0))+1))</f>
        <v>0</v>
      </c>
      <c r="Z718" s="40">
        <f>IF($A718="",0,DAY($A718))</f>
        <v>0</v>
      </c>
      <c r="AA718" s="40">
        <f>IF($A718="",0,WEEKDAY($A718))</f>
        <v>0</v>
      </c>
      <c r="AB718" s="36">
        <f>IF(AND($C718="Despesa",U718&gt;0,U718&lt;=Sel_Idx,V718&gt;=Sel_Idx),N(R718)+ROW()/1000000000,0)</f>
        <v>0</v>
      </c>
      <c r="AC718" s="40">
        <f>IF(AND($C718="Despesa",U718&gt;0,U718&lt;=Sel_Idx,V718&gt;=Sel_Idx),Z718*10000+ROW(),0)</f>
        <v>0</v>
      </c>
      <c r="AD718" s="40">
        <f>IF(AC718=0,0,COUNTIFS(L_CalChave,"&gt;0",L_CalChave,"&lt;"&amp;AC718)+1)</f>
        <v>0</v>
      </c>
    </row>
    <row r="719">
      <c r="A719" s="38" t="n"/>
      <c r="B719" s="39" t="n"/>
      <c r="C719" s="34" t="n"/>
      <c r="D719" s="34" t="n"/>
      <c r="E719" s="34" t="n"/>
      <c r="F719" s="34" t="n"/>
      <c r="G719" s="34" t="n"/>
      <c r="H719" s="37" t="n"/>
      <c r="I719" s="37" t="n"/>
      <c r="J719" s="34" t="n"/>
      <c r="K719" s="34" t="n"/>
      <c r="L719" s="34" t="n"/>
      <c r="M719" s="39" t="n"/>
      <c r="N719" s="35" t="n"/>
      <c r="O719" s="40" t="str">
        <f>IF($A719="","",MONTH($A719))</f>
        <v/>
      </c>
      <c r="P719" s="40" t="str">
        <f>IF($A719="","",YEAR($A719))</f>
        <v/>
      </c>
      <c r="Q719" s="41" t="str">
        <f>IF($A719="","",DATE(P719,O719,1))</f>
        <v/>
      </c>
      <c r="R719" s="36" t="str">
        <f>IF(OR($A719="",$N719=""),"",IF(AND($C719&lt;&gt;"Transferência",N($I719)&gt;1),$N719/$I719,$N719))</f>
        <v/>
      </c>
      <c r="S719" s="41" t="str">
        <f>IF(OR($A719="",$F719="",$C719&lt;&gt;"Despesa"),"",IF(COUNTIF(Cartoes_Nome,$F719)=0,"",DATE(P719,O719+IF(DAY($A719)&gt;=INDEX(Cartoes_Fech,MATCH($F719,Cartoes_Nome,0)),1,0),1)))</f>
        <v/>
      </c>
      <c r="T719" s="42" t="str">
        <f>IF($A719="","",IF(COUNTIFS(L_Data,$A719,L_Desc,$B719,L_Valor,$N719,L_Tipo,$C719)&gt;1,"⚠ Possível duplicidade",IF(OR(AND($C719="Despesa",COUNTIF(CatD_Nome,$D719)=0),AND($C719="Receita",COUNTIF(CatR_Nome,$D719)=0)),"⚠ Categoria não combina com o tipo",IF(OR($N719="",$C719=""),"⚠ Falta valor ou tipo",""))))</f>
        <v/>
      </c>
      <c r="U719" s="40">
        <f>IF($A719="",0,P719*12+O719)</f>
        <v>0</v>
      </c>
      <c r="V719" s="40">
        <f>IF($A719="",0,U719+MAX(0,N($I719)-MAX(N($H719),1)))</f>
        <v>0</v>
      </c>
      <c r="W719" s="40">
        <f>IF(S719="",0,YEAR(S719)*12+MONTH(S719))</f>
        <v>0</v>
      </c>
      <c r="X719" s="40">
        <f>IF(W719=0,0,W719+V719-U719)</f>
        <v>0</v>
      </c>
      <c r="Y719" s="36">
        <f>IF(W719=0,0,N(R719)*MAX(0,X719-MAX(W719,YEAR(Cfg_Hoje)*12+MONTH(Cfg_Hoje)+IF(DAY(Cfg_Hoje)&gt;=INDEX(Cartoes_Fech,MATCH($F719,Cartoes_Nome,0)),1,0))+1))</f>
        <v>0</v>
      </c>
      <c r="Z719" s="40">
        <f>IF($A719="",0,DAY($A719))</f>
        <v>0</v>
      </c>
      <c r="AA719" s="40">
        <f>IF($A719="",0,WEEKDAY($A719))</f>
        <v>0</v>
      </c>
      <c r="AB719" s="36">
        <f>IF(AND($C719="Despesa",U719&gt;0,U719&lt;=Sel_Idx,V719&gt;=Sel_Idx),N(R719)+ROW()/1000000000,0)</f>
        <v>0</v>
      </c>
      <c r="AC719" s="40">
        <f>IF(AND($C719="Despesa",U719&gt;0,U719&lt;=Sel_Idx,V719&gt;=Sel_Idx),Z719*10000+ROW(),0)</f>
        <v>0</v>
      </c>
      <c r="AD719" s="40">
        <f>IF(AC719=0,0,COUNTIFS(L_CalChave,"&gt;0",L_CalChave,"&lt;"&amp;AC719)+1)</f>
        <v>0</v>
      </c>
    </row>
    <row r="720">
      <c r="A720" s="38" t="n"/>
      <c r="B720" s="39" t="n"/>
      <c r="C720" s="34" t="n"/>
      <c r="D720" s="34" t="n"/>
      <c r="E720" s="34" t="n"/>
      <c r="F720" s="34" t="n"/>
      <c r="G720" s="34" t="n"/>
      <c r="H720" s="37" t="n"/>
      <c r="I720" s="37" t="n"/>
      <c r="J720" s="34" t="n"/>
      <c r="K720" s="34" t="n"/>
      <c r="L720" s="34" t="n"/>
      <c r="M720" s="39" t="n"/>
      <c r="N720" s="35" t="n"/>
      <c r="O720" s="40" t="str">
        <f>IF($A720="","",MONTH($A720))</f>
        <v/>
      </c>
      <c r="P720" s="40" t="str">
        <f>IF($A720="","",YEAR($A720))</f>
        <v/>
      </c>
      <c r="Q720" s="41" t="str">
        <f>IF($A720="","",DATE(P720,O720,1))</f>
        <v/>
      </c>
      <c r="R720" s="36" t="str">
        <f>IF(OR($A720="",$N720=""),"",IF(AND($C720&lt;&gt;"Transferência",N($I720)&gt;1),$N720/$I720,$N720))</f>
        <v/>
      </c>
      <c r="S720" s="41" t="str">
        <f>IF(OR($A720="",$F720="",$C720&lt;&gt;"Despesa"),"",IF(COUNTIF(Cartoes_Nome,$F720)=0,"",DATE(P720,O720+IF(DAY($A720)&gt;=INDEX(Cartoes_Fech,MATCH($F720,Cartoes_Nome,0)),1,0),1)))</f>
        <v/>
      </c>
      <c r="T720" s="42" t="str">
        <f>IF($A720="","",IF(COUNTIFS(L_Data,$A720,L_Desc,$B720,L_Valor,$N720,L_Tipo,$C720)&gt;1,"⚠ Possível duplicidade",IF(OR(AND($C720="Despesa",COUNTIF(CatD_Nome,$D720)=0),AND($C720="Receita",COUNTIF(CatR_Nome,$D720)=0)),"⚠ Categoria não combina com o tipo",IF(OR($N720="",$C720=""),"⚠ Falta valor ou tipo",""))))</f>
        <v/>
      </c>
      <c r="U720" s="40">
        <f>IF($A720="",0,P720*12+O720)</f>
        <v>0</v>
      </c>
      <c r="V720" s="40">
        <f>IF($A720="",0,U720+MAX(0,N($I720)-MAX(N($H720),1)))</f>
        <v>0</v>
      </c>
      <c r="W720" s="40">
        <f>IF(S720="",0,YEAR(S720)*12+MONTH(S720))</f>
        <v>0</v>
      </c>
      <c r="X720" s="40">
        <f>IF(W720=0,0,W720+V720-U720)</f>
        <v>0</v>
      </c>
      <c r="Y720" s="36">
        <f>IF(W720=0,0,N(R720)*MAX(0,X720-MAX(W720,YEAR(Cfg_Hoje)*12+MONTH(Cfg_Hoje)+IF(DAY(Cfg_Hoje)&gt;=INDEX(Cartoes_Fech,MATCH($F720,Cartoes_Nome,0)),1,0))+1))</f>
        <v>0</v>
      </c>
      <c r="Z720" s="40">
        <f>IF($A720="",0,DAY($A720))</f>
        <v>0</v>
      </c>
      <c r="AA720" s="40">
        <f>IF($A720="",0,WEEKDAY($A720))</f>
        <v>0</v>
      </c>
      <c r="AB720" s="36">
        <f>IF(AND($C720="Despesa",U720&gt;0,U720&lt;=Sel_Idx,V720&gt;=Sel_Idx),N(R720)+ROW()/1000000000,0)</f>
        <v>0</v>
      </c>
      <c r="AC720" s="40">
        <f>IF(AND($C720="Despesa",U720&gt;0,U720&lt;=Sel_Idx,V720&gt;=Sel_Idx),Z720*10000+ROW(),0)</f>
        <v>0</v>
      </c>
      <c r="AD720" s="40">
        <f>IF(AC720=0,0,COUNTIFS(L_CalChave,"&gt;0",L_CalChave,"&lt;"&amp;AC720)+1)</f>
        <v>0</v>
      </c>
    </row>
    <row r="721">
      <c r="A721" s="38" t="n"/>
      <c r="B721" s="39" t="n"/>
      <c r="C721" s="34" t="n"/>
      <c r="D721" s="34" t="n"/>
      <c r="E721" s="34" t="n"/>
      <c r="F721" s="34" t="n"/>
      <c r="G721" s="34" t="n"/>
      <c r="H721" s="37" t="n"/>
      <c r="I721" s="37" t="n"/>
      <c r="J721" s="34" t="n"/>
      <c r="K721" s="34" t="n"/>
      <c r="L721" s="34" t="n"/>
      <c r="M721" s="39" t="n"/>
      <c r="N721" s="35" t="n"/>
      <c r="O721" s="40" t="str">
        <f>IF($A721="","",MONTH($A721))</f>
        <v/>
      </c>
      <c r="P721" s="40" t="str">
        <f>IF($A721="","",YEAR($A721))</f>
        <v/>
      </c>
      <c r="Q721" s="41" t="str">
        <f>IF($A721="","",DATE(P721,O721,1))</f>
        <v/>
      </c>
      <c r="R721" s="36" t="str">
        <f>IF(OR($A721="",$N721=""),"",IF(AND($C721&lt;&gt;"Transferência",N($I721)&gt;1),$N721/$I721,$N721))</f>
        <v/>
      </c>
      <c r="S721" s="41" t="str">
        <f>IF(OR($A721="",$F721="",$C721&lt;&gt;"Despesa"),"",IF(COUNTIF(Cartoes_Nome,$F721)=0,"",DATE(P721,O721+IF(DAY($A721)&gt;=INDEX(Cartoes_Fech,MATCH($F721,Cartoes_Nome,0)),1,0),1)))</f>
        <v/>
      </c>
      <c r="T721" s="42" t="str">
        <f>IF($A721="","",IF(COUNTIFS(L_Data,$A721,L_Desc,$B721,L_Valor,$N721,L_Tipo,$C721)&gt;1,"⚠ Possível duplicidade",IF(OR(AND($C721="Despesa",COUNTIF(CatD_Nome,$D721)=0),AND($C721="Receita",COUNTIF(CatR_Nome,$D721)=0)),"⚠ Categoria não combina com o tipo",IF(OR($N721="",$C721=""),"⚠ Falta valor ou tipo",""))))</f>
        <v/>
      </c>
      <c r="U721" s="40">
        <f>IF($A721="",0,P721*12+O721)</f>
        <v>0</v>
      </c>
      <c r="V721" s="40">
        <f>IF($A721="",0,U721+MAX(0,N($I721)-MAX(N($H721),1)))</f>
        <v>0</v>
      </c>
      <c r="W721" s="40">
        <f>IF(S721="",0,YEAR(S721)*12+MONTH(S721))</f>
        <v>0</v>
      </c>
      <c r="X721" s="40">
        <f>IF(W721=0,0,W721+V721-U721)</f>
        <v>0</v>
      </c>
      <c r="Y721" s="36">
        <f>IF(W721=0,0,N(R721)*MAX(0,X721-MAX(W721,YEAR(Cfg_Hoje)*12+MONTH(Cfg_Hoje)+IF(DAY(Cfg_Hoje)&gt;=INDEX(Cartoes_Fech,MATCH($F721,Cartoes_Nome,0)),1,0))+1))</f>
        <v>0</v>
      </c>
      <c r="Z721" s="40">
        <f>IF($A721="",0,DAY($A721))</f>
        <v>0</v>
      </c>
      <c r="AA721" s="40">
        <f>IF($A721="",0,WEEKDAY($A721))</f>
        <v>0</v>
      </c>
      <c r="AB721" s="36">
        <f>IF(AND($C721="Despesa",U721&gt;0,U721&lt;=Sel_Idx,V721&gt;=Sel_Idx),N(R721)+ROW()/1000000000,0)</f>
        <v>0</v>
      </c>
      <c r="AC721" s="40">
        <f>IF(AND($C721="Despesa",U721&gt;0,U721&lt;=Sel_Idx,V721&gt;=Sel_Idx),Z721*10000+ROW(),0)</f>
        <v>0</v>
      </c>
      <c r="AD721" s="40">
        <f>IF(AC721=0,0,COUNTIFS(L_CalChave,"&gt;0",L_CalChave,"&lt;"&amp;AC721)+1)</f>
        <v>0</v>
      </c>
    </row>
    <row r="722">
      <c r="A722" s="38" t="n"/>
      <c r="B722" s="39" t="n"/>
      <c r="C722" s="34" t="n"/>
      <c r="D722" s="34" t="n"/>
      <c r="E722" s="34" t="n"/>
      <c r="F722" s="34" t="n"/>
      <c r="G722" s="34" t="n"/>
      <c r="H722" s="37" t="n"/>
      <c r="I722" s="37" t="n"/>
      <c r="J722" s="34" t="n"/>
      <c r="K722" s="34" t="n"/>
      <c r="L722" s="34" t="n"/>
      <c r="M722" s="39" t="n"/>
      <c r="N722" s="35" t="n"/>
      <c r="O722" s="40" t="str">
        <f>IF($A722="","",MONTH($A722))</f>
        <v/>
      </c>
      <c r="P722" s="40" t="str">
        <f>IF($A722="","",YEAR($A722))</f>
        <v/>
      </c>
      <c r="Q722" s="41" t="str">
        <f>IF($A722="","",DATE(P722,O722,1))</f>
        <v/>
      </c>
      <c r="R722" s="36" t="str">
        <f>IF(OR($A722="",$N722=""),"",IF(AND($C722&lt;&gt;"Transferência",N($I722)&gt;1),$N722/$I722,$N722))</f>
        <v/>
      </c>
      <c r="S722" s="41" t="str">
        <f>IF(OR($A722="",$F722="",$C722&lt;&gt;"Despesa"),"",IF(COUNTIF(Cartoes_Nome,$F722)=0,"",DATE(P722,O722+IF(DAY($A722)&gt;=INDEX(Cartoes_Fech,MATCH($F722,Cartoes_Nome,0)),1,0),1)))</f>
        <v/>
      </c>
      <c r="T722" s="42" t="str">
        <f>IF($A722="","",IF(COUNTIFS(L_Data,$A722,L_Desc,$B722,L_Valor,$N722,L_Tipo,$C722)&gt;1,"⚠ Possível duplicidade",IF(OR(AND($C722="Despesa",COUNTIF(CatD_Nome,$D722)=0),AND($C722="Receita",COUNTIF(CatR_Nome,$D722)=0)),"⚠ Categoria não combina com o tipo",IF(OR($N722="",$C722=""),"⚠ Falta valor ou tipo",""))))</f>
        <v/>
      </c>
      <c r="U722" s="40">
        <f>IF($A722="",0,P722*12+O722)</f>
        <v>0</v>
      </c>
      <c r="V722" s="40">
        <f>IF($A722="",0,U722+MAX(0,N($I722)-MAX(N($H722),1)))</f>
        <v>0</v>
      </c>
      <c r="W722" s="40">
        <f>IF(S722="",0,YEAR(S722)*12+MONTH(S722))</f>
        <v>0</v>
      </c>
      <c r="X722" s="40">
        <f>IF(W722=0,0,W722+V722-U722)</f>
        <v>0</v>
      </c>
      <c r="Y722" s="36">
        <f>IF(W722=0,0,N(R722)*MAX(0,X722-MAX(W722,YEAR(Cfg_Hoje)*12+MONTH(Cfg_Hoje)+IF(DAY(Cfg_Hoje)&gt;=INDEX(Cartoes_Fech,MATCH($F722,Cartoes_Nome,0)),1,0))+1))</f>
        <v>0</v>
      </c>
      <c r="Z722" s="40">
        <f>IF($A722="",0,DAY($A722))</f>
        <v>0</v>
      </c>
      <c r="AA722" s="40">
        <f>IF($A722="",0,WEEKDAY($A722))</f>
        <v>0</v>
      </c>
      <c r="AB722" s="36">
        <f>IF(AND($C722="Despesa",U722&gt;0,U722&lt;=Sel_Idx,V722&gt;=Sel_Idx),N(R722)+ROW()/1000000000,0)</f>
        <v>0</v>
      </c>
      <c r="AC722" s="40">
        <f>IF(AND($C722="Despesa",U722&gt;0,U722&lt;=Sel_Idx,V722&gt;=Sel_Idx),Z722*10000+ROW(),0)</f>
        <v>0</v>
      </c>
      <c r="AD722" s="40">
        <f>IF(AC722=0,0,COUNTIFS(L_CalChave,"&gt;0",L_CalChave,"&lt;"&amp;AC722)+1)</f>
        <v>0</v>
      </c>
    </row>
    <row r="723">
      <c r="A723" s="38" t="n"/>
      <c r="B723" s="39" t="n"/>
      <c r="C723" s="34" t="n"/>
      <c r="D723" s="34" t="n"/>
      <c r="E723" s="34" t="n"/>
      <c r="F723" s="34" t="n"/>
      <c r="G723" s="34" t="n"/>
      <c r="H723" s="37" t="n"/>
      <c r="I723" s="37" t="n"/>
      <c r="J723" s="34" t="n"/>
      <c r="K723" s="34" t="n"/>
      <c r="L723" s="34" t="n"/>
      <c r="M723" s="39" t="n"/>
      <c r="N723" s="35" t="n"/>
      <c r="O723" s="40" t="str">
        <f>IF($A723="","",MONTH($A723))</f>
        <v/>
      </c>
      <c r="P723" s="40" t="str">
        <f>IF($A723="","",YEAR($A723))</f>
        <v/>
      </c>
      <c r="Q723" s="41" t="str">
        <f>IF($A723="","",DATE(P723,O723,1))</f>
        <v/>
      </c>
      <c r="R723" s="36" t="str">
        <f>IF(OR($A723="",$N723=""),"",IF(AND($C723&lt;&gt;"Transferência",N($I723)&gt;1),$N723/$I723,$N723))</f>
        <v/>
      </c>
      <c r="S723" s="41" t="str">
        <f>IF(OR($A723="",$F723="",$C723&lt;&gt;"Despesa"),"",IF(COUNTIF(Cartoes_Nome,$F723)=0,"",DATE(P723,O723+IF(DAY($A723)&gt;=INDEX(Cartoes_Fech,MATCH($F723,Cartoes_Nome,0)),1,0),1)))</f>
        <v/>
      </c>
      <c r="T723" s="42" t="str">
        <f>IF($A723="","",IF(COUNTIFS(L_Data,$A723,L_Desc,$B723,L_Valor,$N723,L_Tipo,$C723)&gt;1,"⚠ Possível duplicidade",IF(OR(AND($C723="Despesa",COUNTIF(CatD_Nome,$D723)=0),AND($C723="Receita",COUNTIF(CatR_Nome,$D723)=0)),"⚠ Categoria não combina com o tipo",IF(OR($N723="",$C723=""),"⚠ Falta valor ou tipo",""))))</f>
        <v/>
      </c>
      <c r="U723" s="40">
        <f>IF($A723="",0,P723*12+O723)</f>
        <v>0</v>
      </c>
      <c r="V723" s="40">
        <f>IF($A723="",0,U723+MAX(0,N($I723)-MAX(N($H723),1)))</f>
        <v>0</v>
      </c>
      <c r="W723" s="40">
        <f>IF(S723="",0,YEAR(S723)*12+MONTH(S723))</f>
        <v>0</v>
      </c>
      <c r="X723" s="40">
        <f>IF(W723=0,0,W723+V723-U723)</f>
        <v>0</v>
      </c>
      <c r="Y723" s="36">
        <f>IF(W723=0,0,N(R723)*MAX(0,X723-MAX(W723,YEAR(Cfg_Hoje)*12+MONTH(Cfg_Hoje)+IF(DAY(Cfg_Hoje)&gt;=INDEX(Cartoes_Fech,MATCH($F723,Cartoes_Nome,0)),1,0))+1))</f>
        <v>0</v>
      </c>
      <c r="Z723" s="40">
        <f>IF($A723="",0,DAY($A723))</f>
        <v>0</v>
      </c>
      <c r="AA723" s="40">
        <f>IF($A723="",0,WEEKDAY($A723))</f>
        <v>0</v>
      </c>
      <c r="AB723" s="36">
        <f>IF(AND($C723="Despesa",U723&gt;0,U723&lt;=Sel_Idx,V723&gt;=Sel_Idx),N(R723)+ROW()/1000000000,0)</f>
        <v>0</v>
      </c>
      <c r="AC723" s="40">
        <f>IF(AND($C723="Despesa",U723&gt;0,U723&lt;=Sel_Idx,V723&gt;=Sel_Idx),Z723*10000+ROW(),0)</f>
        <v>0</v>
      </c>
      <c r="AD723" s="40">
        <f>IF(AC723=0,0,COUNTIFS(L_CalChave,"&gt;0",L_CalChave,"&lt;"&amp;AC723)+1)</f>
        <v>0</v>
      </c>
    </row>
    <row r="724">
      <c r="A724" s="38" t="n"/>
      <c r="B724" s="39" t="n"/>
      <c r="C724" s="34" t="n"/>
      <c r="D724" s="34" t="n"/>
      <c r="E724" s="34" t="n"/>
      <c r="F724" s="34" t="n"/>
      <c r="G724" s="34" t="n"/>
      <c r="H724" s="37" t="n"/>
      <c r="I724" s="37" t="n"/>
      <c r="J724" s="34" t="n"/>
      <c r="K724" s="34" t="n"/>
      <c r="L724" s="34" t="n"/>
      <c r="M724" s="39" t="n"/>
      <c r="N724" s="35" t="n"/>
      <c r="O724" s="40" t="str">
        <f>IF($A724="","",MONTH($A724))</f>
        <v/>
      </c>
      <c r="P724" s="40" t="str">
        <f>IF($A724="","",YEAR($A724))</f>
        <v/>
      </c>
      <c r="Q724" s="41" t="str">
        <f>IF($A724="","",DATE(P724,O724,1))</f>
        <v/>
      </c>
      <c r="R724" s="36" t="str">
        <f>IF(OR($A724="",$N724=""),"",IF(AND($C724&lt;&gt;"Transferência",N($I724)&gt;1),$N724/$I724,$N724))</f>
        <v/>
      </c>
      <c r="S724" s="41" t="str">
        <f>IF(OR($A724="",$F724="",$C724&lt;&gt;"Despesa"),"",IF(COUNTIF(Cartoes_Nome,$F724)=0,"",DATE(P724,O724+IF(DAY($A724)&gt;=INDEX(Cartoes_Fech,MATCH($F724,Cartoes_Nome,0)),1,0),1)))</f>
        <v/>
      </c>
      <c r="T724" s="42" t="str">
        <f>IF($A724="","",IF(COUNTIFS(L_Data,$A724,L_Desc,$B724,L_Valor,$N724,L_Tipo,$C724)&gt;1,"⚠ Possível duplicidade",IF(OR(AND($C724="Despesa",COUNTIF(CatD_Nome,$D724)=0),AND($C724="Receita",COUNTIF(CatR_Nome,$D724)=0)),"⚠ Categoria não combina com o tipo",IF(OR($N724="",$C724=""),"⚠ Falta valor ou tipo",""))))</f>
        <v/>
      </c>
      <c r="U724" s="40">
        <f>IF($A724="",0,P724*12+O724)</f>
        <v>0</v>
      </c>
      <c r="V724" s="40">
        <f>IF($A724="",0,U724+MAX(0,N($I724)-MAX(N($H724),1)))</f>
        <v>0</v>
      </c>
      <c r="W724" s="40">
        <f>IF(S724="",0,YEAR(S724)*12+MONTH(S724))</f>
        <v>0</v>
      </c>
      <c r="X724" s="40">
        <f>IF(W724=0,0,W724+V724-U724)</f>
        <v>0</v>
      </c>
      <c r="Y724" s="36">
        <f>IF(W724=0,0,N(R724)*MAX(0,X724-MAX(W724,YEAR(Cfg_Hoje)*12+MONTH(Cfg_Hoje)+IF(DAY(Cfg_Hoje)&gt;=INDEX(Cartoes_Fech,MATCH($F724,Cartoes_Nome,0)),1,0))+1))</f>
        <v>0</v>
      </c>
      <c r="Z724" s="40">
        <f>IF($A724="",0,DAY($A724))</f>
        <v>0</v>
      </c>
      <c r="AA724" s="40">
        <f>IF($A724="",0,WEEKDAY($A724))</f>
        <v>0</v>
      </c>
      <c r="AB724" s="36">
        <f>IF(AND($C724="Despesa",U724&gt;0,U724&lt;=Sel_Idx,V724&gt;=Sel_Idx),N(R724)+ROW()/1000000000,0)</f>
        <v>0</v>
      </c>
      <c r="AC724" s="40">
        <f>IF(AND($C724="Despesa",U724&gt;0,U724&lt;=Sel_Idx,V724&gt;=Sel_Idx),Z724*10000+ROW(),0)</f>
        <v>0</v>
      </c>
      <c r="AD724" s="40">
        <f>IF(AC724=0,0,COUNTIFS(L_CalChave,"&gt;0",L_CalChave,"&lt;"&amp;AC724)+1)</f>
        <v>0</v>
      </c>
    </row>
    <row r="725">
      <c r="A725" s="38" t="n"/>
      <c r="B725" s="39" t="n"/>
      <c r="C725" s="34" t="n"/>
      <c r="D725" s="34" t="n"/>
      <c r="E725" s="34" t="n"/>
      <c r="F725" s="34" t="n"/>
      <c r="G725" s="34" t="n"/>
      <c r="H725" s="37" t="n"/>
      <c r="I725" s="37" t="n"/>
      <c r="J725" s="34" t="n"/>
      <c r="K725" s="34" t="n"/>
      <c r="L725" s="34" t="n"/>
      <c r="M725" s="39" t="n"/>
      <c r="N725" s="35" t="n"/>
      <c r="O725" s="40" t="str">
        <f>IF($A725="","",MONTH($A725))</f>
        <v/>
      </c>
      <c r="P725" s="40" t="str">
        <f>IF($A725="","",YEAR($A725))</f>
        <v/>
      </c>
      <c r="Q725" s="41" t="str">
        <f>IF($A725="","",DATE(P725,O725,1))</f>
        <v/>
      </c>
      <c r="R725" s="36" t="str">
        <f>IF(OR($A725="",$N725=""),"",IF(AND($C725&lt;&gt;"Transferência",N($I725)&gt;1),$N725/$I725,$N725))</f>
        <v/>
      </c>
      <c r="S725" s="41" t="str">
        <f>IF(OR($A725="",$F725="",$C725&lt;&gt;"Despesa"),"",IF(COUNTIF(Cartoes_Nome,$F725)=0,"",DATE(P725,O725+IF(DAY($A725)&gt;=INDEX(Cartoes_Fech,MATCH($F725,Cartoes_Nome,0)),1,0),1)))</f>
        <v/>
      </c>
      <c r="T725" s="42" t="str">
        <f>IF($A725="","",IF(COUNTIFS(L_Data,$A725,L_Desc,$B725,L_Valor,$N725,L_Tipo,$C725)&gt;1,"⚠ Possível duplicidade",IF(OR(AND($C725="Despesa",COUNTIF(CatD_Nome,$D725)=0),AND($C725="Receita",COUNTIF(CatR_Nome,$D725)=0)),"⚠ Categoria não combina com o tipo",IF(OR($N725="",$C725=""),"⚠ Falta valor ou tipo",""))))</f>
        <v/>
      </c>
      <c r="U725" s="40">
        <f>IF($A725="",0,P725*12+O725)</f>
        <v>0</v>
      </c>
      <c r="V725" s="40">
        <f>IF($A725="",0,U725+MAX(0,N($I725)-MAX(N($H725),1)))</f>
        <v>0</v>
      </c>
      <c r="W725" s="40">
        <f>IF(S725="",0,YEAR(S725)*12+MONTH(S725))</f>
        <v>0</v>
      </c>
      <c r="X725" s="40">
        <f>IF(W725=0,0,W725+V725-U725)</f>
        <v>0</v>
      </c>
      <c r="Y725" s="36">
        <f>IF(W725=0,0,N(R725)*MAX(0,X725-MAX(W725,YEAR(Cfg_Hoje)*12+MONTH(Cfg_Hoje)+IF(DAY(Cfg_Hoje)&gt;=INDEX(Cartoes_Fech,MATCH($F725,Cartoes_Nome,0)),1,0))+1))</f>
        <v>0</v>
      </c>
      <c r="Z725" s="40">
        <f>IF($A725="",0,DAY($A725))</f>
        <v>0</v>
      </c>
      <c r="AA725" s="40">
        <f>IF($A725="",0,WEEKDAY($A725))</f>
        <v>0</v>
      </c>
      <c r="AB725" s="36">
        <f>IF(AND($C725="Despesa",U725&gt;0,U725&lt;=Sel_Idx,V725&gt;=Sel_Idx),N(R725)+ROW()/1000000000,0)</f>
        <v>0</v>
      </c>
      <c r="AC725" s="40">
        <f>IF(AND($C725="Despesa",U725&gt;0,U725&lt;=Sel_Idx,V725&gt;=Sel_Idx),Z725*10000+ROW(),0)</f>
        <v>0</v>
      </c>
      <c r="AD725" s="40">
        <f>IF(AC725=0,0,COUNTIFS(L_CalChave,"&gt;0",L_CalChave,"&lt;"&amp;AC725)+1)</f>
        <v>0</v>
      </c>
    </row>
    <row r="726">
      <c r="A726" s="38" t="n"/>
      <c r="B726" s="39" t="n"/>
      <c r="C726" s="34" t="n"/>
      <c r="D726" s="34" t="n"/>
      <c r="E726" s="34" t="n"/>
      <c r="F726" s="34" t="n"/>
      <c r="G726" s="34" t="n"/>
      <c r="H726" s="37" t="n"/>
      <c r="I726" s="37" t="n"/>
      <c r="J726" s="34" t="n"/>
      <c r="K726" s="34" t="n"/>
      <c r="L726" s="34" t="n"/>
      <c r="M726" s="39" t="n"/>
      <c r="N726" s="35" t="n"/>
      <c r="O726" s="40" t="str">
        <f>IF($A726="","",MONTH($A726))</f>
        <v/>
      </c>
      <c r="P726" s="40" t="str">
        <f>IF($A726="","",YEAR($A726))</f>
        <v/>
      </c>
      <c r="Q726" s="41" t="str">
        <f>IF($A726="","",DATE(P726,O726,1))</f>
        <v/>
      </c>
      <c r="R726" s="36" t="str">
        <f>IF(OR($A726="",$N726=""),"",IF(AND($C726&lt;&gt;"Transferência",N($I726)&gt;1),$N726/$I726,$N726))</f>
        <v/>
      </c>
      <c r="S726" s="41" t="str">
        <f>IF(OR($A726="",$F726="",$C726&lt;&gt;"Despesa"),"",IF(COUNTIF(Cartoes_Nome,$F726)=0,"",DATE(P726,O726+IF(DAY($A726)&gt;=INDEX(Cartoes_Fech,MATCH($F726,Cartoes_Nome,0)),1,0),1)))</f>
        <v/>
      </c>
      <c r="T726" s="42" t="str">
        <f>IF($A726="","",IF(COUNTIFS(L_Data,$A726,L_Desc,$B726,L_Valor,$N726,L_Tipo,$C726)&gt;1,"⚠ Possível duplicidade",IF(OR(AND($C726="Despesa",COUNTIF(CatD_Nome,$D726)=0),AND($C726="Receita",COUNTIF(CatR_Nome,$D726)=0)),"⚠ Categoria não combina com o tipo",IF(OR($N726="",$C726=""),"⚠ Falta valor ou tipo",""))))</f>
        <v/>
      </c>
      <c r="U726" s="40">
        <f>IF($A726="",0,P726*12+O726)</f>
        <v>0</v>
      </c>
      <c r="V726" s="40">
        <f>IF($A726="",0,U726+MAX(0,N($I726)-MAX(N($H726),1)))</f>
        <v>0</v>
      </c>
      <c r="W726" s="40">
        <f>IF(S726="",0,YEAR(S726)*12+MONTH(S726))</f>
        <v>0</v>
      </c>
      <c r="X726" s="40">
        <f>IF(W726=0,0,W726+V726-U726)</f>
        <v>0</v>
      </c>
      <c r="Y726" s="36">
        <f>IF(W726=0,0,N(R726)*MAX(0,X726-MAX(W726,YEAR(Cfg_Hoje)*12+MONTH(Cfg_Hoje)+IF(DAY(Cfg_Hoje)&gt;=INDEX(Cartoes_Fech,MATCH($F726,Cartoes_Nome,0)),1,0))+1))</f>
        <v>0</v>
      </c>
      <c r="Z726" s="40">
        <f>IF($A726="",0,DAY($A726))</f>
        <v>0</v>
      </c>
      <c r="AA726" s="40">
        <f>IF($A726="",0,WEEKDAY($A726))</f>
        <v>0</v>
      </c>
      <c r="AB726" s="36">
        <f>IF(AND($C726="Despesa",U726&gt;0,U726&lt;=Sel_Idx,V726&gt;=Sel_Idx),N(R726)+ROW()/1000000000,0)</f>
        <v>0</v>
      </c>
      <c r="AC726" s="40">
        <f>IF(AND($C726="Despesa",U726&gt;0,U726&lt;=Sel_Idx,V726&gt;=Sel_Idx),Z726*10000+ROW(),0)</f>
        <v>0</v>
      </c>
      <c r="AD726" s="40">
        <f>IF(AC726=0,0,COUNTIFS(L_CalChave,"&gt;0",L_CalChave,"&lt;"&amp;AC726)+1)</f>
        <v>0</v>
      </c>
    </row>
    <row r="727">
      <c r="A727" s="38" t="n"/>
      <c r="B727" s="39" t="n"/>
      <c r="C727" s="34" t="n"/>
      <c r="D727" s="34" t="n"/>
      <c r="E727" s="34" t="n"/>
      <c r="F727" s="34" t="n"/>
      <c r="G727" s="34" t="n"/>
      <c r="H727" s="37" t="n"/>
      <c r="I727" s="37" t="n"/>
      <c r="J727" s="34" t="n"/>
      <c r="K727" s="34" t="n"/>
      <c r="L727" s="34" t="n"/>
      <c r="M727" s="39" t="n"/>
      <c r="N727" s="35" t="n"/>
      <c r="O727" s="40" t="str">
        <f>IF($A727="","",MONTH($A727))</f>
        <v/>
      </c>
      <c r="P727" s="40" t="str">
        <f>IF($A727="","",YEAR($A727))</f>
        <v/>
      </c>
      <c r="Q727" s="41" t="str">
        <f>IF($A727="","",DATE(P727,O727,1))</f>
        <v/>
      </c>
      <c r="R727" s="36" t="str">
        <f>IF(OR($A727="",$N727=""),"",IF(AND($C727&lt;&gt;"Transferência",N($I727)&gt;1),$N727/$I727,$N727))</f>
        <v/>
      </c>
      <c r="S727" s="41" t="str">
        <f>IF(OR($A727="",$F727="",$C727&lt;&gt;"Despesa"),"",IF(COUNTIF(Cartoes_Nome,$F727)=0,"",DATE(P727,O727+IF(DAY($A727)&gt;=INDEX(Cartoes_Fech,MATCH($F727,Cartoes_Nome,0)),1,0),1)))</f>
        <v/>
      </c>
      <c r="T727" s="42" t="str">
        <f>IF($A727="","",IF(COUNTIFS(L_Data,$A727,L_Desc,$B727,L_Valor,$N727,L_Tipo,$C727)&gt;1,"⚠ Possível duplicidade",IF(OR(AND($C727="Despesa",COUNTIF(CatD_Nome,$D727)=0),AND($C727="Receita",COUNTIF(CatR_Nome,$D727)=0)),"⚠ Categoria não combina com o tipo",IF(OR($N727="",$C727=""),"⚠ Falta valor ou tipo",""))))</f>
        <v/>
      </c>
      <c r="U727" s="40">
        <f>IF($A727="",0,P727*12+O727)</f>
        <v>0</v>
      </c>
      <c r="V727" s="40">
        <f>IF($A727="",0,U727+MAX(0,N($I727)-MAX(N($H727),1)))</f>
        <v>0</v>
      </c>
      <c r="W727" s="40">
        <f>IF(S727="",0,YEAR(S727)*12+MONTH(S727))</f>
        <v>0</v>
      </c>
      <c r="X727" s="40">
        <f>IF(W727=0,0,W727+V727-U727)</f>
        <v>0</v>
      </c>
      <c r="Y727" s="36">
        <f>IF(W727=0,0,N(R727)*MAX(0,X727-MAX(W727,YEAR(Cfg_Hoje)*12+MONTH(Cfg_Hoje)+IF(DAY(Cfg_Hoje)&gt;=INDEX(Cartoes_Fech,MATCH($F727,Cartoes_Nome,0)),1,0))+1))</f>
        <v>0</v>
      </c>
      <c r="Z727" s="40">
        <f>IF($A727="",0,DAY($A727))</f>
        <v>0</v>
      </c>
      <c r="AA727" s="40">
        <f>IF($A727="",0,WEEKDAY($A727))</f>
        <v>0</v>
      </c>
      <c r="AB727" s="36">
        <f>IF(AND($C727="Despesa",U727&gt;0,U727&lt;=Sel_Idx,V727&gt;=Sel_Idx),N(R727)+ROW()/1000000000,0)</f>
        <v>0</v>
      </c>
      <c r="AC727" s="40">
        <f>IF(AND($C727="Despesa",U727&gt;0,U727&lt;=Sel_Idx,V727&gt;=Sel_Idx),Z727*10000+ROW(),0)</f>
        <v>0</v>
      </c>
      <c r="AD727" s="40">
        <f>IF(AC727=0,0,COUNTIFS(L_CalChave,"&gt;0",L_CalChave,"&lt;"&amp;AC727)+1)</f>
        <v>0</v>
      </c>
    </row>
    <row r="728">
      <c r="A728" s="38" t="n"/>
      <c r="B728" s="39" t="n"/>
      <c r="C728" s="34" t="n"/>
      <c r="D728" s="34" t="n"/>
      <c r="E728" s="34" t="n"/>
      <c r="F728" s="34" t="n"/>
      <c r="G728" s="34" t="n"/>
      <c r="H728" s="37" t="n"/>
      <c r="I728" s="37" t="n"/>
      <c r="J728" s="34" t="n"/>
      <c r="K728" s="34" t="n"/>
      <c r="L728" s="34" t="n"/>
      <c r="M728" s="39" t="n"/>
      <c r="N728" s="35" t="n"/>
      <c r="O728" s="40" t="str">
        <f>IF($A728="","",MONTH($A728))</f>
        <v/>
      </c>
      <c r="P728" s="40" t="str">
        <f>IF($A728="","",YEAR($A728))</f>
        <v/>
      </c>
      <c r="Q728" s="41" t="str">
        <f>IF($A728="","",DATE(P728,O728,1))</f>
        <v/>
      </c>
      <c r="R728" s="36" t="str">
        <f>IF(OR($A728="",$N728=""),"",IF(AND($C728&lt;&gt;"Transferência",N($I728)&gt;1),$N728/$I728,$N728))</f>
        <v/>
      </c>
      <c r="S728" s="41" t="str">
        <f>IF(OR($A728="",$F728="",$C728&lt;&gt;"Despesa"),"",IF(COUNTIF(Cartoes_Nome,$F728)=0,"",DATE(P728,O728+IF(DAY($A728)&gt;=INDEX(Cartoes_Fech,MATCH($F728,Cartoes_Nome,0)),1,0),1)))</f>
        <v/>
      </c>
      <c r="T728" s="42" t="str">
        <f>IF($A728="","",IF(COUNTIFS(L_Data,$A728,L_Desc,$B728,L_Valor,$N728,L_Tipo,$C728)&gt;1,"⚠ Possível duplicidade",IF(OR(AND($C728="Despesa",COUNTIF(CatD_Nome,$D728)=0),AND($C728="Receita",COUNTIF(CatR_Nome,$D728)=0)),"⚠ Categoria não combina com o tipo",IF(OR($N728="",$C728=""),"⚠ Falta valor ou tipo",""))))</f>
        <v/>
      </c>
      <c r="U728" s="40">
        <f>IF($A728="",0,P728*12+O728)</f>
        <v>0</v>
      </c>
      <c r="V728" s="40">
        <f>IF($A728="",0,U728+MAX(0,N($I728)-MAX(N($H728),1)))</f>
        <v>0</v>
      </c>
      <c r="W728" s="40">
        <f>IF(S728="",0,YEAR(S728)*12+MONTH(S728))</f>
        <v>0</v>
      </c>
      <c r="X728" s="40">
        <f>IF(W728=0,0,W728+V728-U728)</f>
        <v>0</v>
      </c>
      <c r="Y728" s="36">
        <f>IF(W728=0,0,N(R728)*MAX(0,X728-MAX(W728,YEAR(Cfg_Hoje)*12+MONTH(Cfg_Hoje)+IF(DAY(Cfg_Hoje)&gt;=INDEX(Cartoes_Fech,MATCH($F728,Cartoes_Nome,0)),1,0))+1))</f>
        <v>0</v>
      </c>
      <c r="Z728" s="40">
        <f>IF($A728="",0,DAY($A728))</f>
        <v>0</v>
      </c>
      <c r="AA728" s="40">
        <f>IF($A728="",0,WEEKDAY($A728))</f>
        <v>0</v>
      </c>
      <c r="AB728" s="36">
        <f>IF(AND($C728="Despesa",U728&gt;0,U728&lt;=Sel_Idx,V728&gt;=Sel_Idx),N(R728)+ROW()/1000000000,0)</f>
        <v>0</v>
      </c>
      <c r="AC728" s="40">
        <f>IF(AND($C728="Despesa",U728&gt;0,U728&lt;=Sel_Idx,V728&gt;=Sel_Idx),Z728*10000+ROW(),0)</f>
        <v>0</v>
      </c>
      <c r="AD728" s="40">
        <f>IF(AC728=0,0,COUNTIFS(L_CalChave,"&gt;0",L_CalChave,"&lt;"&amp;AC728)+1)</f>
        <v>0</v>
      </c>
    </row>
    <row r="729">
      <c r="A729" s="38" t="n"/>
      <c r="B729" s="39" t="n"/>
      <c r="C729" s="34" t="n"/>
      <c r="D729" s="34" t="n"/>
      <c r="E729" s="34" t="n"/>
      <c r="F729" s="34" t="n"/>
      <c r="G729" s="34" t="n"/>
      <c r="H729" s="37" t="n"/>
      <c r="I729" s="37" t="n"/>
      <c r="J729" s="34" t="n"/>
      <c r="K729" s="34" t="n"/>
      <c r="L729" s="34" t="n"/>
      <c r="M729" s="39" t="n"/>
      <c r="N729" s="35" t="n"/>
      <c r="O729" s="40" t="str">
        <f>IF($A729="","",MONTH($A729))</f>
        <v/>
      </c>
      <c r="P729" s="40" t="str">
        <f>IF($A729="","",YEAR($A729))</f>
        <v/>
      </c>
      <c r="Q729" s="41" t="str">
        <f>IF($A729="","",DATE(P729,O729,1))</f>
        <v/>
      </c>
      <c r="R729" s="36" t="str">
        <f>IF(OR($A729="",$N729=""),"",IF(AND($C729&lt;&gt;"Transferência",N($I729)&gt;1),$N729/$I729,$N729))</f>
        <v/>
      </c>
      <c r="S729" s="41" t="str">
        <f>IF(OR($A729="",$F729="",$C729&lt;&gt;"Despesa"),"",IF(COUNTIF(Cartoes_Nome,$F729)=0,"",DATE(P729,O729+IF(DAY($A729)&gt;=INDEX(Cartoes_Fech,MATCH($F729,Cartoes_Nome,0)),1,0),1)))</f>
        <v/>
      </c>
      <c r="T729" s="42" t="str">
        <f>IF($A729="","",IF(COUNTIFS(L_Data,$A729,L_Desc,$B729,L_Valor,$N729,L_Tipo,$C729)&gt;1,"⚠ Possível duplicidade",IF(OR(AND($C729="Despesa",COUNTIF(CatD_Nome,$D729)=0),AND($C729="Receita",COUNTIF(CatR_Nome,$D729)=0)),"⚠ Categoria não combina com o tipo",IF(OR($N729="",$C729=""),"⚠ Falta valor ou tipo",""))))</f>
        <v/>
      </c>
      <c r="U729" s="40">
        <f>IF($A729="",0,P729*12+O729)</f>
        <v>0</v>
      </c>
      <c r="V729" s="40">
        <f>IF($A729="",0,U729+MAX(0,N($I729)-MAX(N($H729),1)))</f>
        <v>0</v>
      </c>
      <c r="W729" s="40">
        <f>IF(S729="",0,YEAR(S729)*12+MONTH(S729))</f>
        <v>0</v>
      </c>
      <c r="X729" s="40">
        <f>IF(W729=0,0,W729+V729-U729)</f>
        <v>0</v>
      </c>
      <c r="Y729" s="36">
        <f>IF(W729=0,0,N(R729)*MAX(0,X729-MAX(W729,YEAR(Cfg_Hoje)*12+MONTH(Cfg_Hoje)+IF(DAY(Cfg_Hoje)&gt;=INDEX(Cartoes_Fech,MATCH($F729,Cartoes_Nome,0)),1,0))+1))</f>
        <v>0</v>
      </c>
      <c r="Z729" s="40">
        <f>IF($A729="",0,DAY($A729))</f>
        <v>0</v>
      </c>
      <c r="AA729" s="40">
        <f>IF($A729="",0,WEEKDAY($A729))</f>
        <v>0</v>
      </c>
      <c r="AB729" s="36">
        <f>IF(AND($C729="Despesa",U729&gt;0,U729&lt;=Sel_Idx,V729&gt;=Sel_Idx),N(R729)+ROW()/1000000000,0)</f>
        <v>0</v>
      </c>
      <c r="AC729" s="40">
        <f>IF(AND($C729="Despesa",U729&gt;0,U729&lt;=Sel_Idx,V729&gt;=Sel_Idx),Z729*10000+ROW(),0)</f>
        <v>0</v>
      </c>
      <c r="AD729" s="40">
        <f>IF(AC729=0,0,COUNTIFS(L_CalChave,"&gt;0",L_CalChave,"&lt;"&amp;AC729)+1)</f>
        <v>0</v>
      </c>
    </row>
    <row r="730">
      <c r="A730" s="38" t="n"/>
      <c r="B730" s="39" t="n"/>
      <c r="C730" s="34" t="n"/>
      <c r="D730" s="34" t="n"/>
      <c r="E730" s="34" t="n"/>
      <c r="F730" s="34" t="n"/>
      <c r="G730" s="34" t="n"/>
      <c r="H730" s="37" t="n"/>
      <c r="I730" s="37" t="n"/>
      <c r="J730" s="34" t="n"/>
      <c r="K730" s="34" t="n"/>
      <c r="L730" s="34" t="n"/>
      <c r="M730" s="39" t="n"/>
      <c r="N730" s="35" t="n"/>
      <c r="O730" s="40" t="str">
        <f>IF($A730="","",MONTH($A730))</f>
        <v/>
      </c>
      <c r="P730" s="40" t="str">
        <f>IF($A730="","",YEAR($A730))</f>
        <v/>
      </c>
      <c r="Q730" s="41" t="str">
        <f>IF($A730="","",DATE(P730,O730,1))</f>
        <v/>
      </c>
      <c r="R730" s="36" t="str">
        <f>IF(OR($A730="",$N730=""),"",IF(AND($C730&lt;&gt;"Transferência",N($I730)&gt;1),$N730/$I730,$N730))</f>
        <v/>
      </c>
      <c r="S730" s="41" t="str">
        <f>IF(OR($A730="",$F730="",$C730&lt;&gt;"Despesa"),"",IF(COUNTIF(Cartoes_Nome,$F730)=0,"",DATE(P730,O730+IF(DAY($A730)&gt;=INDEX(Cartoes_Fech,MATCH($F730,Cartoes_Nome,0)),1,0),1)))</f>
        <v/>
      </c>
      <c r="T730" s="42" t="str">
        <f>IF($A730="","",IF(COUNTIFS(L_Data,$A730,L_Desc,$B730,L_Valor,$N730,L_Tipo,$C730)&gt;1,"⚠ Possível duplicidade",IF(OR(AND($C730="Despesa",COUNTIF(CatD_Nome,$D730)=0),AND($C730="Receita",COUNTIF(CatR_Nome,$D730)=0)),"⚠ Categoria não combina com o tipo",IF(OR($N730="",$C730=""),"⚠ Falta valor ou tipo",""))))</f>
        <v/>
      </c>
      <c r="U730" s="40">
        <f>IF($A730="",0,P730*12+O730)</f>
        <v>0</v>
      </c>
      <c r="V730" s="40">
        <f>IF($A730="",0,U730+MAX(0,N($I730)-MAX(N($H730),1)))</f>
        <v>0</v>
      </c>
      <c r="W730" s="40">
        <f>IF(S730="",0,YEAR(S730)*12+MONTH(S730))</f>
        <v>0</v>
      </c>
      <c r="X730" s="40">
        <f>IF(W730=0,0,W730+V730-U730)</f>
        <v>0</v>
      </c>
      <c r="Y730" s="36">
        <f>IF(W730=0,0,N(R730)*MAX(0,X730-MAX(W730,YEAR(Cfg_Hoje)*12+MONTH(Cfg_Hoje)+IF(DAY(Cfg_Hoje)&gt;=INDEX(Cartoes_Fech,MATCH($F730,Cartoes_Nome,0)),1,0))+1))</f>
        <v>0</v>
      </c>
      <c r="Z730" s="40">
        <f>IF($A730="",0,DAY($A730))</f>
        <v>0</v>
      </c>
      <c r="AA730" s="40">
        <f>IF($A730="",0,WEEKDAY($A730))</f>
        <v>0</v>
      </c>
      <c r="AB730" s="36">
        <f>IF(AND($C730="Despesa",U730&gt;0,U730&lt;=Sel_Idx,V730&gt;=Sel_Idx),N(R730)+ROW()/1000000000,0)</f>
        <v>0</v>
      </c>
      <c r="AC730" s="40">
        <f>IF(AND($C730="Despesa",U730&gt;0,U730&lt;=Sel_Idx,V730&gt;=Sel_Idx),Z730*10000+ROW(),0)</f>
        <v>0</v>
      </c>
      <c r="AD730" s="40">
        <f>IF(AC730=0,0,COUNTIFS(L_CalChave,"&gt;0",L_CalChave,"&lt;"&amp;AC730)+1)</f>
        <v>0</v>
      </c>
    </row>
    <row r="731">
      <c r="A731" s="38" t="n"/>
      <c r="B731" s="39" t="n"/>
      <c r="C731" s="34" t="n"/>
      <c r="D731" s="34" t="n"/>
      <c r="E731" s="34" t="n"/>
      <c r="F731" s="34" t="n"/>
      <c r="G731" s="34" t="n"/>
      <c r="H731" s="37" t="n"/>
      <c r="I731" s="37" t="n"/>
      <c r="J731" s="34" t="n"/>
      <c r="K731" s="34" t="n"/>
      <c r="L731" s="34" t="n"/>
      <c r="M731" s="39" t="n"/>
      <c r="N731" s="35" t="n"/>
      <c r="O731" s="40" t="str">
        <f>IF($A731="","",MONTH($A731))</f>
        <v/>
      </c>
      <c r="P731" s="40" t="str">
        <f>IF($A731="","",YEAR($A731))</f>
        <v/>
      </c>
      <c r="Q731" s="41" t="str">
        <f>IF($A731="","",DATE(P731,O731,1))</f>
        <v/>
      </c>
      <c r="R731" s="36" t="str">
        <f>IF(OR($A731="",$N731=""),"",IF(AND($C731&lt;&gt;"Transferência",N($I731)&gt;1),$N731/$I731,$N731))</f>
        <v/>
      </c>
      <c r="S731" s="41" t="str">
        <f>IF(OR($A731="",$F731="",$C731&lt;&gt;"Despesa"),"",IF(COUNTIF(Cartoes_Nome,$F731)=0,"",DATE(P731,O731+IF(DAY($A731)&gt;=INDEX(Cartoes_Fech,MATCH($F731,Cartoes_Nome,0)),1,0),1)))</f>
        <v/>
      </c>
      <c r="T731" s="42" t="str">
        <f>IF($A731="","",IF(COUNTIFS(L_Data,$A731,L_Desc,$B731,L_Valor,$N731,L_Tipo,$C731)&gt;1,"⚠ Possível duplicidade",IF(OR(AND($C731="Despesa",COUNTIF(CatD_Nome,$D731)=0),AND($C731="Receita",COUNTIF(CatR_Nome,$D731)=0)),"⚠ Categoria não combina com o tipo",IF(OR($N731="",$C731=""),"⚠ Falta valor ou tipo",""))))</f>
        <v/>
      </c>
      <c r="U731" s="40">
        <f>IF($A731="",0,P731*12+O731)</f>
        <v>0</v>
      </c>
      <c r="V731" s="40">
        <f>IF($A731="",0,U731+MAX(0,N($I731)-MAX(N($H731),1)))</f>
        <v>0</v>
      </c>
      <c r="W731" s="40">
        <f>IF(S731="",0,YEAR(S731)*12+MONTH(S731))</f>
        <v>0</v>
      </c>
      <c r="X731" s="40">
        <f>IF(W731=0,0,W731+V731-U731)</f>
        <v>0</v>
      </c>
      <c r="Y731" s="36">
        <f>IF(W731=0,0,N(R731)*MAX(0,X731-MAX(W731,YEAR(Cfg_Hoje)*12+MONTH(Cfg_Hoje)+IF(DAY(Cfg_Hoje)&gt;=INDEX(Cartoes_Fech,MATCH($F731,Cartoes_Nome,0)),1,0))+1))</f>
        <v>0</v>
      </c>
      <c r="Z731" s="40">
        <f>IF($A731="",0,DAY($A731))</f>
        <v>0</v>
      </c>
      <c r="AA731" s="40">
        <f>IF($A731="",0,WEEKDAY($A731))</f>
        <v>0</v>
      </c>
      <c r="AB731" s="36">
        <f>IF(AND($C731="Despesa",U731&gt;0,U731&lt;=Sel_Idx,V731&gt;=Sel_Idx),N(R731)+ROW()/1000000000,0)</f>
        <v>0</v>
      </c>
      <c r="AC731" s="40">
        <f>IF(AND($C731="Despesa",U731&gt;0,U731&lt;=Sel_Idx,V731&gt;=Sel_Idx),Z731*10000+ROW(),0)</f>
        <v>0</v>
      </c>
      <c r="AD731" s="40">
        <f>IF(AC731=0,0,COUNTIFS(L_CalChave,"&gt;0",L_CalChave,"&lt;"&amp;AC731)+1)</f>
        <v>0</v>
      </c>
    </row>
    <row r="732">
      <c r="A732" s="38" t="n"/>
      <c r="B732" s="39" t="n"/>
      <c r="C732" s="34" t="n"/>
      <c r="D732" s="34" t="n"/>
      <c r="E732" s="34" t="n"/>
      <c r="F732" s="34" t="n"/>
      <c r="G732" s="34" t="n"/>
      <c r="H732" s="37" t="n"/>
      <c r="I732" s="37" t="n"/>
      <c r="J732" s="34" t="n"/>
      <c r="K732" s="34" t="n"/>
      <c r="L732" s="34" t="n"/>
      <c r="M732" s="39" t="n"/>
      <c r="N732" s="35" t="n"/>
      <c r="O732" s="40" t="str">
        <f>IF($A732="","",MONTH($A732))</f>
        <v/>
      </c>
      <c r="P732" s="40" t="str">
        <f>IF($A732="","",YEAR($A732))</f>
        <v/>
      </c>
      <c r="Q732" s="41" t="str">
        <f>IF($A732="","",DATE(P732,O732,1))</f>
        <v/>
      </c>
      <c r="R732" s="36" t="str">
        <f>IF(OR($A732="",$N732=""),"",IF(AND($C732&lt;&gt;"Transferência",N($I732)&gt;1),$N732/$I732,$N732))</f>
        <v/>
      </c>
      <c r="S732" s="41" t="str">
        <f>IF(OR($A732="",$F732="",$C732&lt;&gt;"Despesa"),"",IF(COUNTIF(Cartoes_Nome,$F732)=0,"",DATE(P732,O732+IF(DAY($A732)&gt;=INDEX(Cartoes_Fech,MATCH($F732,Cartoes_Nome,0)),1,0),1)))</f>
        <v/>
      </c>
      <c r="T732" s="42" t="str">
        <f>IF($A732="","",IF(COUNTIFS(L_Data,$A732,L_Desc,$B732,L_Valor,$N732,L_Tipo,$C732)&gt;1,"⚠ Possível duplicidade",IF(OR(AND($C732="Despesa",COUNTIF(CatD_Nome,$D732)=0),AND($C732="Receita",COUNTIF(CatR_Nome,$D732)=0)),"⚠ Categoria não combina com o tipo",IF(OR($N732="",$C732=""),"⚠ Falta valor ou tipo",""))))</f>
        <v/>
      </c>
      <c r="U732" s="40">
        <f>IF($A732="",0,P732*12+O732)</f>
        <v>0</v>
      </c>
      <c r="V732" s="40">
        <f>IF($A732="",0,U732+MAX(0,N($I732)-MAX(N($H732),1)))</f>
        <v>0</v>
      </c>
      <c r="W732" s="40">
        <f>IF(S732="",0,YEAR(S732)*12+MONTH(S732))</f>
        <v>0</v>
      </c>
      <c r="X732" s="40">
        <f>IF(W732=0,0,W732+V732-U732)</f>
        <v>0</v>
      </c>
      <c r="Y732" s="36">
        <f>IF(W732=0,0,N(R732)*MAX(0,X732-MAX(W732,YEAR(Cfg_Hoje)*12+MONTH(Cfg_Hoje)+IF(DAY(Cfg_Hoje)&gt;=INDEX(Cartoes_Fech,MATCH($F732,Cartoes_Nome,0)),1,0))+1))</f>
        <v>0</v>
      </c>
      <c r="Z732" s="40">
        <f>IF($A732="",0,DAY($A732))</f>
        <v>0</v>
      </c>
      <c r="AA732" s="40">
        <f>IF($A732="",0,WEEKDAY($A732))</f>
        <v>0</v>
      </c>
      <c r="AB732" s="36">
        <f>IF(AND($C732="Despesa",U732&gt;0,U732&lt;=Sel_Idx,V732&gt;=Sel_Idx),N(R732)+ROW()/1000000000,0)</f>
        <v>0</v>
      </c>
      <c r="AC732" s="40">
        <f>IF(AND($C732="Despesa",U732&gt;0,U732&lt;=Sel_Idx,V732&gt;=Sel_Idx),Z732*10000+ROW(),0)</f>
        <v>0</v>
      </c>
      <c r="AD732" s="40">
        <f>IF(AC732=0,0,COUNTIFS(L_CalChave,"&gt;0",L_CalChave,"&lt;"&amp;AC732)+1)</f>
        <v>0</v>
      </c>
    </row>
    <row r="733">
      <c r="A733" s="38" t="n"/>
      <c r="B733" s="39" t="n"/>
      <c r="C733" s="34" t="n"/>
      <c r="D733" s="34" t="n"/>
      <c r="E733" s="34" t="n"/>
      <c r="F733" s="34" t="n"/>
      <c r="G733" s="34" t="n"/>
      <c r="H733" s="37" t="n"/>
      <c r="I733" s="37" t="n"/>
      <c r="J733" s="34" t="n"/>
      <c r="K733" s="34" t="n"/>
      <c r="L733" s="34" t="n"/>
      <c r="M733" s="39" t="n"/>
      <c r="N733" s="35" t="n"/>
      <c r="O733" s="40" t="str">
        <f>IF($A733="","",MONTH($A733))</f>
        <v/>
      </c>
      <c r="P733" s="40" t="str">
        <f>IF($A733="","",YEAR($A733))</f>
        <v/>
      </c>
      <c r="Q733" s="41" t="str">
        <f>IF($A733="","",DATE(P733,O733,1))</f>
        <v/>
      </c>
      <c r="R733" s="36" t="str">
        <f>IF(OR($A733="",$N733=""),"",IF(AND($C733&lt;&gt;"Transferência",N($I733)&gt;1),$N733/$I733,$N733))</f>
        <v/>
      </c>
      <c r="S733" s="41" t="str">
        <f>IF(OR($A733="",$F733="",$C733&lt;&gt;"Despesa"),"",IF(COUNTIF(Cartoes_Nome,$F733)=0,"",DATE(P733,O733+IF(DAY($A733)&gt;=INDEX(Cartoes_Fech,MATCH($F733,Cartoes_Nome,0)),1,0),1)))</f>
        <v/>
      </c>
      <c r="T733" s="42" t="str">
        <f>IF($A733="","",IF(COUNTIFS(L_Data,$A733,L_Desc,$B733,L_Valor,$N733,L_Tipo,$C733)&gt;1,"⚠ Possível duplicidade",IF(OR(AND($C733="Despesa",COUNTIF(CatD_Nome,$D733)=0),AND($C733="Receita",COUNTIF(CatR_Nome,$D733)=0)),"⚠ Categoria não combina com o tipo",IF(OR($N733="",$C733=""),"⚠ Falta valor ou tipo",""))))</f>
        <v/>
      </c>
      <c r="U733" s="40">
        <f>IF($A733="",0,P733*12+O733)</f>
        <v>0</v>
      </c>
      <c r="V733" s="40">
        <f>IF($A733="",0,U733+MAX(0,N($I733)-MAX(N($H733),1)))</f>
        <v>0</v>
      </c>
      <c r="W733" s="40">
        <f>IF(S733="",0,YEAR(S733)*12+MONTH(S733))</f>
        <v>0</v>
      </c>
      <c r="X733" s="40">
        <f>IF(W733=0,0,W733+V733-U733)</f>
        <v>0</v>
      </c>
      <c r="Y733" s="36">
        <f>IF(W733=0,0,N(R733)*MAX(0,X733-MAX(W733,YEAR(Cfg_Hoje)*12+MONTH(Cfg_Hoje)+IF(DAY(Cfg_Hoje)&gt;=INDEX(Cartoes_Fech,MATCH($F733,Cartoes_Nome,0)),1,0))+1))</f>
        <v>0</v>
      </c>
      <c r="Z733" s="40">
        <f>IF($A733="",0,DAY($A733))</f>
        <v>0</v>
      </c>
      <c r="AA733" s="40">
        <f>IF($A733="",0,WEEKDAY($A733))</f>
        <v>0</v>
      </c>
      <c r="AB733" s="36">
        <f>IF(AND($C733="Despesa",U733&gt;0,U733&lt;=Sel_Idx,V733&gt;=Sel_Idx),N(R733)+ROW()/1000000000,0)</f>
        <v>0</v>
      </c>
      <c r="AC733" s="40">
        <f>IF(AND($C733="Despesa",U733&gt;0,U733&lt;=Sel_Idx,V733&gt;=Sel_Idx),Z733*10000+ROW(),0)</f>
        <v>0</v>
      </c>
      <c r="AD733" s="40">
        <f>IF(AC733=0,0,COUNTIFS(L_CalChave,"&gt;0",L_CalChave,"&lt;"&amp;AC733)+1)</f>
        <v>0</v>
      </c>
    </row>
    <row r="734">
      <c r="A734" s="38" t="n"/>
      <c r="B734" s="39" t="n"/>
      <c r="C734" s="34" t="n"/>
      <c r="D734" s="34" t="n"/>
      <c r="E734" s="34" t="n"/>
      <c r="F734" s="34" t="n"/>
      <c r="G734" s="34" t="n"/>
      <c r="H734" s="37" t="n"/>
      <c r="I734" s="37" t="n"/>
      <c r="J734" s="34" t="n"/>
      <c r="K734" s="34" t="n"/>
      <c r="L734" s="34" t="n"/>
      <c r="M734" s="39" t="n"/>
      <c r="N734" s="35" t="n"/>
      <c r="O734" s="40" t="str">
        <f>IF($A734="","",MONTH($A734))</f>
        <v/>
      </c>
      <c r="P734" s="40" t="str">
        <f>IF($A734="","",YEAR($A734))</f>
        <v/>
      </c>
      <c r="Q734" s="41" t="str">
        <f>IF($A734="","",DATE(P734,O734,1))</f>
        <v/>
      </c>
      <c r="R734" s="36" t="str">
        <f>IF(OR($A734="",$N734=""),"",IF(AND($C734&lt;&gt;"Transferência",N($I734)&gt;1),$N734/$I734,$N734))</f>
        <v/>
      </c>
      <c r="S734" s="41" t="str">
        <f>IF(OR($A734="",$F734="",$C734&lt;&gt;"Despesa"),"",IF(COUNTIF(Cartoes_Nome,$F734)=0,"",DATE(P734,O734+IF(DAY($A734)&gt;=INDEX(Cartoes_Fech,MATCH($F734,Cartoes_Nome,0)),1,0),1)))</f>
        <v/>
      </c>
      <c r="T734" s="42" t="str">
        <f>IF($A734="","",IF(COUNTIFS(L_Data,$A734,L_Desc,$B734,L_Valor,$N734,L_Tipo,$C734)&gt;1,"⚠ Possível duplicidade",IF(OR(AND($C734="Despesa",COUNTIF(CatD_Nome,$D734)=0),AND($C734="Receita",COUNTIF(CatR_Nome,$D734)=0)),"⚠ Categoria não combina com o tipo",IF(OR($N734="",$C734=""),"⚠ Falta valor ou tipo",""))))</f>
        <v/>
      </c>
      <c r="U734" s="40">
        <f>IF($A734="",0,P734*12+O734)</f>
        <v>0</v>
      </c>
      <c r="V734" s="40">
        <f>IF($A734="",0,U734+MAX(0,N($I734)-MAX(N($H734),1)))</f>
        <v>0</v>
      </c>
      <c r="W734" s="40">
        <f>IF(S734="",0,YEAR(S734)*12+MONTH(S734))</f>
        <v>0</v>
      </c>
      <c r="X734" s="40">
        <f>IF(W734=0,0,W734+V734-U734)</f>
        <v>0</v>
      </c>
      <c r="Y734" s="36">
        <f>IF(W734=0,0,N(R734)*MAX(0,X734-MAX(W734,YEAR(Cfg_Hoje)*12+MONTH(Cfg_Hoje)+IF(DAY(Cfg_Hoje)&gt;=INDEX(Cartoes_Fech,MATCH($F734,Cartoes_Nome,0)),1,0))+1))</f>
        <v>0</v>
      </c>
      <c r="Z734" s="40">
        <f>IF($A734="",0,DAY($A734))</f>
        <v>0</v>
      </c>
      <c r="AA734" s="40">
        <f>IF($A734="",0,WEEKDAY($A734))</f>
        <v>0</v>
      </c>
      <c r="AB734" s="36">
        <f>IF(AND($C734="Despesa",U734&gt;0,U734&lt;=Sel_Idx,V734&gt;=Sel_Idx),N(R734)+ROW()/1000000000,0)</f>
        <v>0</v>
      </c>
      <c r="AC734" s="40">
        <f>IF(AND($C734="Despesa",U734&gt;0,U734&lt;=Sel_Idx,V734&gt;=Sel_Idx),Z734*10000+ROW(),0)</f>
        <v>0</v>
      </c>
      <c r="AD734" s="40">
        <f>IF(AC734=0,0,COUNTIFS(L_CalChave,"&gt;0",L_CalChave,"&lt;"&amp;AC734)+1)</f>
        <v>0</v>
      </c>
    </row>
    <row r="735">
      <c r="A735" s="38" t="n"/>
      <c r="B735" s="39" t="n"/>
      <c r="C735" s="34" t="n"/>
      <c r="D735" s="34" t="n"/>
      <c r="E735" s="34" t="n"/>
      <c r="F735" s="34" t="n"/>
      <c r="G735" s="34" t="n"/>
      <c r="H735" s="37" t="n"/>
      <c r="I735" s="37" t="n"/>
      <c r="J735" s="34" t="n"/>
      <c r="K735" s="34" t="n"/>
      <c r="L735" s="34" t="n"/>
      <c r="M735" s="39" t="n"/>
      <c r="N735" s="35" t="n"/>
      <c r="O735" s="40" t="str">
        <f>IF($A735="","",MONTH($A735))</f>
        <v/>
      </c>
      <c r="P735" s="40" t="str">
        <f>IF($A735="","",YEAR($A735))</f>
        <v/>
      </c>
      <c r="Q735" s="41" t="str">
        <f>IF($A735="","",DATE(P735,O735,1))</f>
        <v/>
      </c>
      <c r="R735" s="36" t="str">
        <f>IF(OR($A735="",$N735=""),"",IF(AND($C735&lt;&gt;"Transferência",N($I735)&gt;1),$N735/$I735,$N735))</f>
        <v/>
      </c>
      <c r="S735" s="41" t="str">
        <f>IF(OR($A735="",$F735="",$C735&lt;&gt;"Despesa"),"",IF(COUNTIF(Cartoes_Nome,$F735)=0,"",DATE(P735,O735+IF(DAY($A735)&gt;=INDEX(Cartoes_Fech,MATCH($F735,Cartoes_Nome,0)),1,0),1)))</f>
        <v/>
      </c>
      <c r="T735" s="42" t="str">
        <f>IF($A735="","",IF(COUNTIFS(L_Data,$A735,L_Desc,$B735,L_Valor,$N735,L_Tipo,$C735)&gt;1,"⚠ Possível duplicidade",IF(OR(AND($C735="Despesa",COUNTIF(CatD_Nome,$D735)=0),AND($C735="Receita",COUNTIF(CatR_Nome,$D735)=0)),"⚠ Categoria não combina com o tipo",IF(OR($N735="",$C735=""),"⚠ Falta valor ou tipo",""))))</f>
        <v/>
      </c>
      <c r="U735" s="40">
        <f>IF($A735="",0,P735*12+O735)</f>
        <v>0</v>
      </c>
      <c r="V735" s="40">
        <f>IF($A735="",0,U735+MAX(0,N($I735)-MAX(N($H735),1)))</f>
        <v>0</v>
      </c>
      <c r="W735" s="40">
        <f>IF(S735="",0,YEAR(S735)*12+MONTH(S735))</f>
        <v>0</v>
      </c>
      <c r="X735" s="40">
        <f>IF(W735=0,0,W735+V735-U735)</f>
        <v>0</v>
      </c>
      <c r="Y735" s="36">
        <f>IF(W735=0,0,N(R735)*MAX(0,X735-MAX(W735,YEAR(Cfg_Hoje)*12+MONTH(Cfg_Hoje)+IF(DAY(Cfg_Hoje)&gt;=INDEX(Cartoes_Fech,MATCH($F735,Cartoes_Nome,0)),1,0))+1))</f>
        <v>0</v>
      </c>
      <c r="Z735" s="40">
        <f>IF($A735="",0,DAY($A735))</f>
        <v>0</v>
      </c>
      <c r="AA735" s="40">
        <f>IF($A735="",0,WEEKDAY($A735))</f>
        <v>0</v>
      </c>
      <c r="AB735" s="36">
        <f>IF(AND($C735="Despesa",U735&gt;0,U735&lt;=Sel_Idx,V735&gt;=Sel_Idx),N(R735)+ROW()/1000000000,0)</f>
        <v>0</v>
      </c>
      <c r="AC735" s="40">
        <f>IF(AND($C735="Despesa",U735&gt;0,U735&lt;=Sel_Idx,V735&gt;=Sel_Idx),Z735*10000+ROW(),0)</f>
        <v>0</v>
      </c>
      <c r="AD735" s="40">
        <f>IF(AC735=0,0,COUNTIFS(L_CalChave,"&gt;0",L_CalChave,"&lt;"&amp;AC735)+1)</f>
        <v>0</v>
      </c>
    </row>
    <row r="736">
      <c r="A736" s="38" t="n"/>
      <c r="B736" s="39" t="n"/>
      <c r="C736" s="34" t="n"/>
      <c r="D736" s="34" t="n"/>
      <c r="E736" s="34" t="n"/>
      <c r="F736" s="34" t="n"/>
      <c r="G736" s="34" t="n"/>
      <c r="H736" s="37" t="n"/>
      <c r="I736" s="37" t="n"/>
      <c r="J736" s="34" t="n"/>
      <c r="K736" s="34" t="n"/>
      <c r="L736" s="34" t="n"/>
      <c r="M736" s="39" t="n"/>
      <c r="N736" s="35" t="n"/>
      <c r="O736" s="40" t="str">
        <f>IF($A736="","",MONTH($A736))</f>
        <v/>
      </c>
      <c r="P736" s="40" t="str">
        <f>IF($A736="","",YEAR($A736))</f>
        <v/>
      </c>
      <c r="Q736" s="41" t="str">
        <f>IF($A736="","",DATE(P736,O736,1))</f>
        <v/>
      </c>
      <c r="R736" s="36" t="str">
        <f>IF(OR($A736="",$N736=""),"",IF(AND($C736&lt;&gt;"Transferência",N($I736)&gt;1),$N736/$I736,$N736))</f>
        <v/>
      </c>
      <c r="S736" s="41" t="str">
        <f>IF(OR($A736="",$F736="",$C736&lt;&gt;"Despesa"),"",IF(COUNTIF(Cartoes_Nome,$F736)=0,"",DATE(P736,O736+IF(DAY($A736)&gt;=INDEX(Cartoes_Fech,MATCH($F736,Cartoes_Nome,0)),1,0),1)))</f>
        <v/>
      </c>
      <c r="T736" s="42" t="str">
        <f>IF($A736="","",IF(COUNTIFS(L_Data,$A736,L_Desc,$B736,L_Valor,$N736,L_Tipo,$C736)&gt;1,"⚠ Possível duplicidade",IF(OR(AND($C736="Despesa",COUNTIF(CatD_Nome,$D736)=0),AND($C736="Receita",COUNTIF(CatR_Nome,$D736)=0)),"⚠ Categoria não combina com o tipo",IF(OR($N736="",$C736=""),"⚠ Falta valor ou tipo",""))))</f>
        <v/>
      </c>
      <c r="U736" s="40">
        <f>IF($A736="",0,P736*12+O736)</f>
        <v>0</v>
      </c>
      <c r="V736" s="40">
        <f>IF($A736="",0,U736+MAX(0,N($I736)-MAX(N($H736),1)))</f>
        <v>0</v>
      </c>
      <c r="W736" s="40">
        <f>IF(S736="",0,YEAR(S736)*12+MONTH(S736))</f>
        <v>0</v>
      </c>
      <c r="X736" s="40">
        <f>IF(W736=0,0,W736+V736-U736)</f>
        <v>0</v>
      </c>
      <c r="Y736" s="36">
        <f>IF(W736=0,0,N(R736)*MAX(0,X736-MAX(W736,YEAR(Cfg_Hoje)*12+MONTH(Cfg_Hoje)+IF(DAY(Cfg_Hoje)&gt;=INDEX(Cartoes_Fech,MATCH($F736,Cartoes_Nome,0)),1,0))+1))</f>
        <v>0</v>
      </c>
      <c r="Z736" s="40">
        <f>IF($A736="",0,DAY($A736))</f>
        <v>0</v>
      </c>
      <c r="AA736" s="40">
        <f>IF($A736="",0,WEEKDAY($A736))</f>
        <v>0</v>
      </c>
      <c r="AB736" s="36">
        <f>IF(AND($C736="Despesa",U736&gt;0,U736&lt;=Sel_Idx,V736&gt;=Sel_Idx),N(R736)+ROW()/1000000000,0)</f>
        <v>0</v>
      </c>
      <c r="AC736" s="40">
        <f>IF(AND($C736="Despesa",U736&gt;0,U736&lt;=Sel_Idx,V736&gt;=Sel_Idx),Z736*10000+ROW(),0)</f>
        <v>0</v>
      </c>
      <c r="AD736" s="40">
        <f>IF(AC736=0,0,COUNTIFS(L_CalChave,"&gt;0",L_CalChave,"&lt;"&amp;AC736)+1)</f>
        <v>0</v>
      </c>
    </row>
    <row r="737">
      <c r="A737" s="38" t="n"/>
      <c r="B737" s="39" t="n"/>
      <c r="C737" s="34" t="n"/>
      <c r="D737" s="34" t="n"/>
      <c r="E737" s="34" t="n"/>
      <c r="F737" s="34" t="n"/>
      <c r="G737" s="34" t="n"/>
      <c r="H737" s="37" t="n"/>
      <c r="I737" s="37" t="n"/>
      <c r="J737" s="34" t="n"/>
      <c r="K737" s="34" t="n"/>
      <c r="L737" s="34" t="n"/>
      <c r="M737" s="39" t="n"/>
      <c r="N737" s="35" t="n"/>
      <c r="O737" s="40" t="str">
        <f>IF($A737="","",MONTH($A737))</f>
        <v/>
      </c>
      <c r="P737" s="40" t="str">
        <f>IF($A737="","",YEAR($A737))</f>
        <v/>
      </c>
      <c r="Q737" s="41" t="str">
        <f>IF($A737="","",DATE(P737,O737,1))</f>
        <v/>
      </c>
      <c r="R737" s="36" t="str">
        <f>IF(OR($A737="",$N737=""),"",IF(AND($C737&lt;&gt;"Transferência",N($I737)&gt;1),$N737/$I737,$N737))</f>
        <v/>
      </c>
      <c r="S737" s="41" t="str">
        <f>IF(OR($A737="",$F737="",$C737&lt;&gt;"Despesa"),"",IF(COUNTIF(Cartoes_Nome,$F737)=0,"",DATE(P737,O737+IF(DAY($A737)&gt;=INDEX(Cartoes_Fech,MATCH($F737,Cartoes_Nome,0)),1,0),1)))</f>
        <v/>
      </c>
      <c r="T737" s="42" t="str">
        <f>IF($A737="","",IF(COUNTIFS(L_Data,$A737,L_Desc,$B737,L_Valor,$N737,L_Tipo,$C737)&gt;1,"⚠ Possível duplicidade",IF(OR(AND($C737="Despesa",COUNTIF(CatD_Nome,$D737)=0),AND($C737="Receita",COUNTIF(CatR_Nome,$D737)=0)),"⚠ Categoria não combina com o tipo",IF(OR($N737="",$C737=""),"⚠ Falta valor ou tipo",""))))</f>
        <v/>
      </c>
      <c r="U737" s="40">
        <f>IF($A737="",0,P737*12+O737)</f>
        <v>0</v>
      </c>
      <c r="V737" s="40">
        <f>IF($A737="",0,U737+MAX(0,N($I737)-MAX(N($H737),1)))</f>
        <v>0</v>
      </c>
      <c r="W737" s="40">
        <f>IF(S737="",0,YEAR(S737)*12+MONTH(S737))</f>
        <v>0</v>
      </c>
      <c r="X737" s="40">
        <f>IF(W737=0,0,W737+V737-U737)</f>
        <v>0</v>
      </c>
      <c r="Y737" s="36">
        <f>IF(W737=0,0,N(R737)*MAX(0,X737-MAX(W737,YEAR(Cfg_Hoje)*12+MONTH(Cfg_Hoje)+IF(DAY(Cfg_Hoje)&gt;=INDEX(Cartoes_Fech,MATCH($F737,Cartoes_Nome,0)),1,0))+1))</f>
        <v>0</v>
      </c>
      <c r="Z737" s="40">
        <f>IF($A737="",0,DAY($A737))</f>
        <v>0</v>
      </c>
      <c r="AA737" s="40">
        <f>IF($A737="",0,WEEKDAY($A737))</f>
        <v>0</v>
      </c>
      <c r="AB737" s="36">
        <f>IF(AND($C737="Despesa",U737&gt;0,U737&lt;=Sel_Idx,V737&gt;=Sel_Idx),N(R737)+ROW()/1000000000,0)</f>
        <v>0</v>
      </c>
      <c r="AC737" s="40">
        <f>IF(AND($C737="Despesa",U737&gt;0,U737&lt;=Sel_Idx,V737&gt;=Sel_Idx),Z737*10000+ROW(),0)</f>
        <v>0</v>
      </c>
      <c r="AD737" s="40">
        <f>IF(AC737=0,0,COUNTIFS(L_CalChave,"&gt;0",L_CalChave,"&lt;"&amp;AC737)+1)</f>
        <v>0</v>
      </c>
    </row>
    <row r="738">
      <c r="A738" s="38" t="n"/>
      <c r="B738" s="39" t="n"/>
      <c r="C738" s="34" t="n"/>
      <c r="D738" s="34" t="n"/>
      <c r="E738" s="34" t="n"/>
      <c r="F738" s="34" t="n"/>
      <c r="G738" s="34" t="n"/>
      <c r="H738" s="37" t="n"/>
      <c r="I738" s="37" t="n"/>
      <c r="J738" s="34" t="n"/>
      <c r="K738" s="34" t="n"/>
      <c r="L738" s="34" t="n"/>
      <c r="M738" s="39" t="n"/>
      <c r="N738" s="35" t="n"/>
      <c r="O738" s="40" t="str">
        <f>IF($A738="","",MONTH($A738))</f>
        <v/>
      </c>
      <c r="P738" s="40" t="str">
        <f>IF($A738="","",YEAR($A738))</f>
        <v/>
      </c>
      <c r="Q738" s="41" t="str">
        <f>IF($A738="","",DATE(P738,O738,1))</f>
        <v/>
      </c>
      <c r="R738" s="36" t="str">
        <f>IF(OR($A738="",$N738=""),"",IF(AND($C738&lt;&gt;"Transferência",N($I738)&gt;1),$N738/$I738,$N738))</f>
        <v/>
      </c>
      <c r="S738" s="41" t="str">
        <f>IF(OR($A738="",$F738="",$C738&lt;&gt;"Despesa"),"",IF(COUNTIF(Cartoes_Nome,$F738)=0,"",DATE(P738,O738+IF(DAY($A738)&gt;=INDEX(Cartoes_Fech,MATCH($F738,Cartoes_Nome,0)),1,0),1)))</f>
        <v/>
      </c>
      <c r="T738" s="42" t="str">
        <f>IF($A738="","",IF(COUNTIFS(L_Data,$A738,L_Desc,$B738,L_Valor,$N738,L_Tipo,$C738)&gt;1,"⚠ Possível duplicidade",IF(OR(AND($C738="Despesa",COUNTIF(CatD_Nome,$D738)=0),AND($C738="Receita",COUNTIF(CatR_Nome,$D738)=0)),"⚠ Categoria não combina com o tipo",IF(OR($N738="",$C738=""),"⚠ Falta valor ou tipo",""))))</f>
        <v/>
      </c>
      <c r="U738" s="40">
        <f>IF($A738="",0,P738*12+O738)</f>
        <v>0</v>
      </c>
      <c r="V738" s="40">
        <f>IF($A738="",0,U738+MAX(0,N($I738)-MAX(N($H738),1)))</f>
        <v>0</v>
      </c>
      <c r="W738" s="40">
        <f>IF(S738="",0,YEAR(S738)*12+MONTH(S738))</f>
        <v>0</v>
      </c>
      <c r="X738" s="40">
        <f>IF(W738=0,0,W738+V738-U738)</f>
        <v>0</v>
      </c>
      <c r="Y738" s="36">
        <f>IF(W738=0,0,N(R738)*MAX(0,X738-MAX(W738,YEAR(Cfg_Hoje)*12+MONTH(Cfg_Hoje)+IF(DAY(Cfg_Hoje)&gt;=INDEX(Cartoes_Fech,MATCH($F738,Cartoes_Nome,0)),1,0))+1))</f>
        <v>0</v>
      </c>
      <c r="Z738" s="40">
        <f>IF($A738="",0,DAY($A738))</f>
        <v>0</v>
      </c>
      <c r="AA738" s="40">
        <f>IF($A738="",0,WEEKDAY($A738))</f>
        <v>0</v>
      </c>
      <c r="AB738" s="36">
        <f>IF(AND($C738="Despesa",U738&gt;0,U738&lt;=Sel_Idx,V738&gt;=Sel_Idx),N(R738)+ROW()/1000000000,0)</f>
        <v>0</v>
      </c>
      <c r="AC738" s="40">
        <f>IF(AND($C738="Despesa",U738&gt;0,U738&lt;=Sel_Idx,V738&gt;=Sel_Idx),Z738*10000+ROW(),0)</f>
        <v>0</v>
      </c>
      <c r="AD738" s="40">
        <f>IF(AC738=0,0,COUNTIFS(L_CalChave,"&gt;0",L_CalChave,"&lt;"&amp;AC738)+1)</f>
        <v>0</v>
      </c>
    </row>
    <row r="739">
      <c r="A739" s="38" t="n"/>
      <c r="B739" s="39" t="n"/>
      <c r="C739" s="34" t="n"/>
      <c r="D739" s="34" t="n"/>
      <c r="E739" s="34" t="n"/>
      <c r="F739" s="34" t="n"/>
      <c r="G739" s="34" t="n"/>
      <c r="H739" s="37" t="n"/>
      <c r="I739" s="37" t="n"/>
      <c r="J739" s="34" t="n"/>
      <c r="K739" s="34" t="n"/>
      <c r="L739" s="34" t="n"/>
      <c r="M739" s="39" t="n"/>
      <c r="N739" s="35" t="n"/>
      <c r="O739" s="40" t="str">
        <f>IF($A739="","",MONTH($A739))</f>
        <v/>
      </c>
      <c r="P739" s="40" t="str">
        <f>IF($A739="","",YEAR($A739))</f>
        <v/>
      </c>
      <c r="Q739" s="41" t="str">
        <f>IF($A739="","",DATE(P739,O739,1))</f>
        <v/>
      </c>
      <c r="R739" s="36" t="str">
        <f>IF(OR($A739="",$N739=""),"",IF(AND($C739&lt;&gt;"Transferência",N($I739)&gt;1),$N739/$I739,$N739))</f>
        <v/>
      </c>
      <c r="S739" s="41" t="str">
        <f>IF(OR($A739="",$F739="",$C739&lt;&gt;"Despesa"),"",IF(COUNTIF(Cartoes_Nome,$F739)=0,"",DATE(P739,O739+IF(DAY($A739)&gt;=INDEX(Cartoes_Fech,MATCH($F739,Cartoes_Nome,0)),1,0),1)))</f>
        <v/>
      </c>
      <c r="T739" s="42" t="str">
        <f>IF($A739="","",IF(COUNTIFS(L_Data,$A739,L_Desc,$B739,L_Valor,$N739,L_Tipo,$C739)&gt;1,"⚠ Possível duplicidade",IF(OR(AND($C739="Despesa",COUNTIF(CatD_Nome,$D739)=0),AND($C739="Receita",COUNTIF(CatR_Nome,$D739)=0)),"⚠ Categoria não combina com o tipo",IF(OR($N739="",$C739=""),"⚠ Falta valor ou tipo",""))))</f>
        <v/>
      </c>
      <c r="U739" s="40">
        <f>IF($A739="",0,P739*12+O739)</f>
        <v>0</v>
      </c>
      <c r="V739" s="40">
        <f>IF($A739="",0,U739+MAX(0,N($I739)-MAX(N($H739),1)))</f>
        <v>0</v>
      </c>
      <c r="W739" s="40">
        <f>IF(S739="",0,YEAR(S739)*12+MONTH(S739))</f>
        <v>0</v>
      </c>
      <c r="X739" s="40">
        <f>IF(W739=0,0,W739+V739-U739)</f>
        <v>0</v>
      </c>
      <c r="Y739" s="36">
        <f>IF(W739=0,0,N(R739)*MAX(0,X739-MAX(W739,YEAR(Cfg_Hoje)*12+MONTH(Cfg_Hoje)+IF(DAY(Cfg_Hoje)&gt;=INDEX(Cartoes_Fech,MATCH($F739,Cartoes_Nome,0)),1,0))+1))</f>
        <v>0</v>
      </c>
      <c r="Z739" s="40">
        <f>IF($A739="",0,DAY($A739))</f>
        <v>0</v>
      </c>
      <c r="AA739" s="40">
        <f>IF($A739="",0,WEEKDAY($A739))</f>
        <v>0</v>
      </c>
      <c r="AB739" s="36">
        <f>IF(AND($C739="Despesa",U739&gt;0,U739&lt;=Sel_Idx,V739&gt;=Sel_Idx),N(R739)+ROW()/1000000000,0)</f>
        <v>0</v>
      </c>
      <c r="AC739" s="40">
        <f>IF(AND($C739="Despesa",U739&gt;0,U739&lt;=Sel_Idx,V739&gt;=Sel_Idx),Z739*10000+ROW(),0)</f>
        <v>0</v>
      </c>
      <c r="AD739" s="40">
        <f>IF(AC739=0,0,COUNTIFS(L_CalChave,"&gt;0",L_CalChave,"&lt;"&amp;AC739)+1)</f>
        <v>0</v>
      </c>
    </row>
    <row r="740">
      <c r="A740" s="38" t="n"/>
      <c r="B740" s="39" t="n"/>
      <c r="C740" s="34" t="n"/>
      <c r="D740" s="34" t="n"/>
      <c r="E740" s="34" t="n"/>
      <c r="F740" s="34" t="n"/>
      <c r="G740" s="34" t="n"/>
      <c r="H740" s="37" t="n"/>
      <c r="I740" s="37" t="n"/>
      <c r="J740" s="34" t="n"/>
      <c r="K740" s="34" t="n"/>
      <c r="L740" s="34" t="n"/>
      <c r="M740" s="39" t="n"/>
      <c r="N740" s="35" t="n"/>
      <c r="O740" s="40" t="str">
        <f>IF($A740="","",MONTH($A740))</f>
        <v/>
      </c>
      <c r="P740" s="40" t="str">
        <f>IF($A740="","",YEAR($A740))</f>
        <v/>
      </c>
      <c r="Q740" s="41" t="str">
        <f>IF($A740="","",DATE(P740,O740,1))</f>
        <v/>
      </c>
      <c r="R740" s="36" t="str">
        <f>IF(OR($A740="",$N740=""),"",IF(AND($C740&lt;&gt;"Transferência",N($I740)&gt;1),$N740/$I740,$N740))</f>
        <v/>
      </c>
      <c r="S740" s="41" t="str">
        <f>IF(OR($A740="",$F740="",$C740&lt;&gt;"Despesa"),"",IF(COUNTIF(Cartoes_Nome,$F740)=0,"",DATE(P740,O740+IF(DAY($A740)&gt;=INDEX(Cartoes_Fech,MATCH($F740,Cartoes_Nome,0)),1,0),1)))</f>
        <v/>
      </c>
      <c r="T740" s="42" t="str">
        <f>IF($A740="","",IF(COUNTIFS(L_Data,$A740,L_Desc,$B740,L_Valor,$N740,L_Tipo,$C740)&gt;1,"⚠ Possível duplicidade",IF(OR(AND($C740="Despesa",COUNTIF(CatD_Nome,$D740)=0),AND($C740="Receita",COUNTIF(CatR_Nome,$D740)=0)),"⚠ Categoria não combina com o tipo",IF(OR($N740="",$C740=""),"⚠ Falta valor ou tipo",""))))</f>
        <v/>
      </c>
      <c r="U740" s="40">
        <f>IF($A740="",0,P740*12+O740)</f>
        <v>0</v>
      </c>
      <c r="V740" s="40">
        <f>IF($A740="",0,U740+MAX(0,N($I740)-MAX(N($H740),1)))</f>
        <v>0</v>
      </c>
      <c r="W740" s="40">
        <f>IF(S740="",0,YEAR(S740)*12+MONTH(S740))</f>
        <v>0</v>
      </c>
      <c r="X740" s="40">
        <f>IF(W740=0,0,W740+V740-U740)</f>
        <v>0</v>
      </c>
      <c r="Y740" s="36">
        <f>IF(W740=0,0,N(R740)*MAX(0,X740-MAX(W740,YEAR(Cfg_Hoje)*12+MONTH(Cfg_Hoje)+IF(DAY(Cfg_Hoje)&gt;=INDEX(Cartoes_Fech,MATCH($F740,Cartoes_Nome,0)),1,0))+1))</f>
        <v>0</v>
      </c>
      <c r="Z740" s="40">
        <f>IF($A740="",0,DAY($A740))</f>
        <v>0</v>
      </c>
      <c r="AA740" s="40">
        <f>IF($A740="",0,WEEKDAY($A740))</f>
        <v>0</v>
      </c>
      <c r="AB740" s="36">
        <f>IF(AND($C740="Despesa",U740&gt;0,U740&lt;=Sel_Idx,V740&gt;=Sel_Idx),N(R740)+ROW()/1000000000,0)</f>
        <v>0</v>
      </c>
      <c r="AC740" s="40">
        <f>IF(AND($C740="Despesa",U740&gt;0,U740&lt;=Sel_Idx,V740&gt;=Sel_Idx),Z740*10000+ROW(),0)</f>
        <v>0</v>
      </c>
      <c r="AD740" s="40">
        <f>IF(AC740=0,0,COUNTIFS(L_CalChave,"&gt;0",L_CalChave,"&lt;"&amp;AC740)+1)</f>
        <v>0</v>
      </c>
    </row>
    <row r="741">
      <c r="A741" s="38" t="n"/>
      <c r="B741" s="39" t="n"/>
      <c r="C741" s="34" t="n"/>
      <c r="D741" s="34" t="n"/>
      <c r="E741" s="34" t="n"/>
      <c r="F741" s="34" t="n"/>
      <c r="G741" s="34" t="n"/>
      <c r="H741" s="37" t="n"/>
      <c r="I741" s="37" t="n"/>
      <c r="J741" s="34" t="n"/>
      <c r="K741" s="34" t="n"/>
      <c r="L741" s="34" t="n"/>
      <c r="M741" s="39" t="n"/>
      <c r="N741" s="35" t="n"/>
      <c r="O741" s="40" t="str">
        <f>IF($A741="","",MONTH($A741))</f>
        <v/>
      </c>
      <c r="P741" s="40" t="str">
        <f>IF($A741="","",YEAR($A741))</f>
        <v/>
      </c>
      <c r="Q741" s="41" t="str">
        <f>IF($A741="","",DATE(P741,O741,1))</f>
        <v/>
      </c>
      <c r="R741" s="36" t="str">
        <f>IF(OR($A741="",$N741=""),"",IF(AND($C741&lt;&gt;"Transferência",N($I741)&gt;1),$N741/$I741,$N741))</f>
        <v/>
      </c>
      <c r="S741" s="41" t="str">
        <f>IF(OR($A741="",$F741="",$C741&lt;&gt;"Despesa"),"",IF(COUNTIF(Cartoes_Nome,$F741)=0,"",DATE(P741,O741+IF(DAY($A741)&gt;=INDEX(Cartoes_Fech,MATCH($F741,Cartoes_Nome,0)),1,0),1)))</f>
        <v/>
      </c>
      <c r="T741" s="42" t="str">
        <f>IF($A741="","",IF(COUNTIFS(L_Data,$A741,L_Desc,$B741,L_Valor,$N741,L_Tipo,$C741)&gt;1,"⚠ Possível duplicidade",IF(OR(AND($C741="Despesa",COUNTIF(CatD_Nome,$D741)=0),AND($C741="Receita",COUNTIF(CatR_Nome,$D741)=0)),"⚠ Categoria não combina com o tipo",IF(OR($N741="",$C741=""),"⚠ Falta valor ou tipo",""))))</f>
        <v/>
      </c>
      <c r="U741" s="40">
        <f>IF($A741="",0,P741*12+O741)</f>
        <v>0</v>
      </c>
      <c r="V741" s="40">
        <f>IF($A741="",0,U741+MAX(0,N($I741)-MAX(N($H741),1)))</f>
        <v>0</v>
      </c>
      <c r="W741" s="40">
        <f>IF(S741="",0,YEAR(S741)*12+MONTH(S741))</f>
        <v>0</v>
      </c>
      <c r="X741" s="40">
        <f>IF(W741=0,0,W741+V741-U741)</f>
        <v>0</v>
      </c>
      <c r="Y741" s="36">
        <f>IF(W741=0,0,N(R741)*MAX(0,X741-MAX(W741,YEAR(Cfg_Hoje)*12+MONTH(Cfg_Hoje)+IF(DAY(Cfg_Hoje)&gt;=INDEX(Cartoes_Fech,MATCH($F741,Cartoes_Nome,0)),1,0))+1))</f>
        <v>0</v>
      </c>
      <c r="Z741" s="40">
        <f>IF($A741="",0,DAY($A741))</f>
        <v>0</v>
      </c>
      <c r="AA741" s="40">
        <f>IF($A741="",0,WEEKDAY($A741))</f>
        <v>0</v>
      </c>
      <c r="AB741" s="36">
        <f>IF(AND($C741="Despesa",U741&gt;0,U741&lt;=Sel_Idx,V741&gt;=Sel_Idx),N(R741)+ROW()/1000000000,0)</f>
        <v>0</v>
      </c>
      <c r="AC741" s="40">
        <f>IF(AND($C741="Despesa",U741&gt;0,U741&lt;=Sel_Idx,V741&gt;=Sel_Idx),Z741*10000+ROW(),0)</f>
        <v>0</v>
      </c>
      <c r="AD741" s="40">
        <f>IF(AC741=0,0,COUNTIFS(L_CalChave,"&gt;0",L_CalChave,"&lt;"&amp;AC741)+1)</f>
        <v>0</v>
      </c>
    </row>
    <row r="742">
      <c r="A742" s="38" t="n"/>
      <c r="B742" s="39" t="n"/>
      <c r="C742" s="34" t="n"/>
      <c r="D742" s="34" t="n"/>
      <c r="E742" s="34" t="n"/>
      <c r="F742" s="34" t="n"/>
      <c r="G742" s="34" t="n"/>
      <c r="H742" s="37" t="n"/>
      <c r="I742" s="37" t="n"/>
      <c r="J742" s="34" t="n"/>
      <c r="K742" s="34" t="n"/>
      <c r="L742" s="34" t="n"/>
      <c r="M742" s="39" t="n"/>
      <c r="N742" s="35" t="n"/>
      <c r="O742" s="40" t="str">
        <f>IF($A742="","",MONTH($A742))</f>
        <v/>
      </c>
      <c r="P742" s="40" t="str">
        <f>IF($A742="","",YEAR($A742))</f>
        <v/>
      </c>
      <c r="Q742" s="41" t="str">
        <f>IF($A742="","",DATE(P742,O742,1))</f>
        <v/>
      </c>
      <c r="R742" s="36" t="str">
        <f>IF(OR($A742="",$N742=""),"",IF(AND($C742&lt;&gt;"Transferência",N($I742)&gt;1),$N742/$I742,$N742))</f>
        <v/>
      </c>
      <c r="S742" s="41" t="str">
        <f>IF(OR($A742="",$F742="",$C742&lt;&gt;"Despesa"),"",IF(COUNTIF(Cartoes_Nome,$F742)=0,"",DATE(P742,O742+IF(DAY($A742)&gt;=INDEX(Cartoes_Fech,MATCH($F742,Cartoes_Nome,0)),1,0),1)))</f>
        <v/>
      </c>
      <c r="T742" s="42" t="str">
        <f>IF($A742="","",IF(COUNTIFS(L_Data,$A742,L_Desc,$B742,L_Valor,$N742,L_Tipo,$C742)&gt;1,"⚠ Possível duplicidade",IF(OR(AND($C742="Despesa",COUNTIF(CatD_Nome,$D742)=0),AND($C742="Receita",COUNTIF(CatR_Nome,$D742)=0)),"⚠ Categoria não combina com o tipo",IF(OR($N742="",$C742=""),"⚠ Falta valor ou tipo",""))))</f>
        <v/>
      </c>
      <c r="U742" s="40">
        <f>IF($A742="",0,P742*12+O742)</f>
        <v>0</v>
      </c>
      <c r="V742" s="40">
        <f>IF($A742="",0,U742+MAX(0,N($I742)-MAX(N($H742),1)))</f>
        <v>0</v>
      </c>
      <c r="W742" s="40">
        <f>IF(S742="",0,YEAR(S742)*12+MONTH(S742))</f>
        <v>0</v>
      </c>
      <c r="X742" s="40">
        <f>IF(W742=0,0,W742+V742-U742)</f>
        <v>0</v>
      </c>
      <c r="Y742" s="36">
        <f>IF(W742=0,0,N(R742)*MAX(0,X742-MAX(W742,YEAR(Cfg_Hoje)*12+MONTH(Cfg_Hoje)+IF(DAY(Cfg_Hoje)&gt;=INDEX(Cartoes_Fech,MATCH($F742,Cartoes_Nome,0)),1,0))+1))</f>
        <v>0</v>
      </c>
      <c r="Z742" s="40">
        <f>IF($A742="",0,DAY($A742))</f>
        <v>0</v>
      </c>
      <c r="AA742" s="40">
        <f>IF($A742="",0,WEEKDAY($A742))</f>
        <v>0</v>
      </c>
      <c r="AB742" s="36">
        <f>IF(AND($C742="Despesa",U742&gt;0,U742&lt;=Sel_Idx,V742&gt;=Sel_Idx),N(R742)+ROW()/1000000000,0)</f>
        <v>0</v>
      </c>
      <c r="AC742" s="40">
        <f>IF(AND($C742="Despesa",U742&gt;0,U742&lt;=Sel_Idx,V742&gt;=Sel_Idx),Z742*10000+ROW(),0)</f>
        <v>0</v>
      </c>
      <c r="AD742" s="40">
        <f>IF(AC742=0,0,COUNTIFS(L_CalChave,"&gt;0",L_CalChave,"&lt;"&amp;AC742)+1)</f>
        <v>0</v>
      </c>
    </row>
    <row r="743">
      <c r="A743" s="38" t="n"/>
      <c r="B743" s="39" t="n"/>
      <c r="C743" s="34" t="n"/>
      <c r="D743" s="34" t="n"/>
      <c r="E743" s="34" t="n"/>
      <c r="F743" s="34" t="n"/>
      <c r="G743" s="34" t="n"/>
      <c r="H743" s="37" t="n"/>
      <c r="I743" s="37" t="n"/>
      <c r="J743" s="34" t="n"/>
      <c r="K743" s="34" t="n"/>
      <c r="L743" s="34" t="n"/>
      <c r="M743" s="39" t="n"/>
      <c r="N743" s="35" t="n"/>
      <c r="O743" s="40" t="str">
        <f>IF($A743="","",MONTH($A743))</f>
        <v/>
      </c>
      <c r="P743" s="40" t="str">
        <f>IF($A743="","",YEAR($A743))</f>
        <v/>
      </c>
      <c r="Q743" s="41" t="str">
        <f>IF($A743="","",DATE(P743,O743,1))</f>
        <v/>
      </c>
      <c r="R743" s="36" t="str">
        <f>IF(OR($A743="",$N743=""),"",IF(AND($C743&lt;&gt;"Transferência",N($I743)&gt;1),$N743/$I743,$N743))</f>
        <v/>
      </c>
      <c r="S743" s="41" t="str">
        <f>IF(OR($A743="",$F743="",$C743&lt;&gt;"Despesa"),"",IF(COUNTIF(Cartoes_Nome,$F743)=0,"",DATE(P743,O743+IF(DAY($A743)&gt;=INDEX(Cartoes_Fech,MATCH($F743,Cartoes_Nome,0)),1,0),1)))</f>
        <v/>
      </c>
      <c r="T743" s="42" t="str">
        <f>IF($A743="","",IF(COUNTIFS(L_Data,$A743,L_Desc,$B743,L_Valor,$N743,L_Tipo,$C743)&gt;1,"⚠ Possível duplicidade",IF(OR(AND($C743="Despesa",COUNTIF(CatD_Nome,$D743)=0),AND($C743="Receita",COUNTIF(CatR_Nome,$D743)=0)),"⚠ Categoria não combina com o tipo",IF(OR($N743="",$C743=""),"⚠ Falta valor ou tipo",""))))</f>
        <v/>
      </c>
      <c r="U743" s="40">
        <f>IF($A743="",0,P743*12+O743)</f>
        <v>0</v>
      </c>
      <c r="V743" s="40">
        <f>IF($A743="",0,U743+MAX(0,N($I743)-MAX(N($H743),1)))</f>
        <v>0</v>
      </c>
      <c r="W743" s="40">
        <f>IF(S743="",0,YEAR(S743)*12+MONTH(S743))</f>
        <v>0</v>
      </c>
      <c r="X743" s="40">
        <f>IF(W743=0,0,W743+V743-U743)</f>
        <v>0</v>
      </c>
      <c r="Y743" s="36">
        <f>IF(W743=0,0,N(R743)*MAX(0,X743-MAX(W743,YEAR(Cfg_Hoje)*12+MONTH(Cfg_Hoje)+IF(DAY(Cfg_Hoje)&gt;=INDEX(Cartoes_Fech,MATCH($F743,Cartoes_Nome,0)),1,0))+1))</f>
        <v>0</v>
      </c>
      <c r="Z743" s="40">
        <f>IF($A743="",0,DAY($A743))</f>
        <v>0</v>
      </c>
      <c r="AA743" s="40">
        <f>IF($A743="",0,WEEKDAY($A743))</f>
        <v>0</v>
      </c>
      <c r="AB743" s="36">
        <f>IF(AND($C743="Despesa",U743&gt;0,U743&lt;=Sel_Idx,V743&gt;=Sel_Idx),N(R743)+ROW()/1000000000,0)</f>
        <v>0</v>
      </c>
      <c r="AC743" s="40">
        <f>IF(AND($C743="Despesa",U743&gt;0,U743&lt;=Sel_Idx,V743&gt;=Sel_Idx),Z743*10000+ROW(),0)</f>
        <v>0</v>
      </c>
      <c r="AD743" s="40">
        <f>IF(AC743=0,0,COUNTIFS(L_CalChave,"&gt;0",L_CalChave,"&lt;"&amp;AC743)+1)</f>
        <v>0</v>
      </c>
    </row>
    <row r="744">
      <c r="A744" s="38" t="n"/>
      <c r="B744" s="39" t="n"/>
      <c r="C744" s="34" t="n"/>
      <c r="D744" s="34" t="n"/>
      <c r="E744" s="34" t="n"/>
      <c r="F744" s="34" t="n"/>
      <c r="G744" s="34" t="n"/>
      <c r="H744" s="37" t="n"/>
      <c r="I744" s="37" t="n"/>
      <c r="J744" s="34" t="n"/>
      <c r="K744" s="34" t="n"/>
      <c r="L744" s="34" t="n"/>
      <c r="M744" s="39" t="n"/>
      <c r="N744" s="35" t="n"/>
      <c r="O744" s="40" t="str">
        <f>IF($A744="","",MONTH($A744))</f>
        <v/>
      </c>
      <c r="P744" s="40" t="str">
        <f>IF($A744="","",YEAR($A744))</f>
        <v/>
      </c>
      <c r="Q744" s="41" t="str">
        <f>IF($A744="","",DATE(P744,O744,1))</f>
        <v/>
      </c>
      <c r="R744" s="36" t="str">
        <f>IF(OR($A744="",$N744=""),"",IF(AND($C744&lt;&gt;"Transferência",N($I744)&gt;1),$N744/$I744,$N744))</f>
        <v/>
      </c>
      <c r="S744" s="41" t="str">
        <f>IF(OR($A744="",$F744="",$C744&lt;&gt;"Despesa"),"",IF(COUNTIF(Cartoes_Nome,$F744)=0,"",DATE(P744,O744+IF(DAY($A744)&gt;=INDEX(Cartoes_Fech,MATCH($F744,Cartoes_Nome,0)),1,0),1)))</f>
        <v/>
      </c>
      <c r="T744" s="42" t="str">
        <f>IF($A744="","",IF(COUNTIFS(L_Data,$A744,L_Desc,$B744,L_Valor,$N744,L_Tipo,$C744)&gt;1,"⚠ Possível duplicidade",IF(OR(AND($C744="Despesa",COUNTIF(CatD_Nome,$D744)=0),AND($C744="Receita",COUNTIF(CatR_Nome,$D744)=0)),"⚠ Categoria não combina com o tipo",IF(OR($N744="",$C744=""),"⚠ Falta valor ou tipo",""))))</f>
        <v/>
      </c>
      <c r="U744" s="40">
        <f>IF($A744="",0,P744*12+O744)</f>
        <v>0</v>
      </c>
      <c r="V744" s="40">
        <f>IF($A744="",0,U744+MAX(0,N($I744)-MAX(N($H744),1)))</f>
        <v>0</v>
      </c>
      <c r="W744" s="40">
        <f>IF(S744="",0,YEAR(S744)*12+MONTH(S744))</f>
        <v>0</v>
      </c>
      <c r="X744" s="40">
        <f>IF(W744=0,0,W744+V744-U744)</f>
        <v>0</v>
      </c>
      <c r="Y744" s="36">
        <f>IF(W744=0,0,N(R744)*MAX(0,X744-MAX(W744,YEAR(Cfg_Hoje)*12+MONTH(Cfg_Hoje)+IF(DAY(Cfg_Hoje)&gt;=INDEX(Cartoes_Fech,MATCH($F744,Cartoes_Nome,0)),1,0))+1))</f>
        <v>0</v>
      </c>
      <c r="Z744" s="40">
        <f>IF($A744="",0,DAY($A744))</f>
        <v>0</v>
      </c>
      <c r="AA744" s="40">
        <f>IF($A744="",0,WEEKDAY($A744))</f>
        <v>0</v>
      </c>
      <c r="AB744" s="36">
        <f>IF(AND($C744="Despesa",U744&gt;0,U744&lt;=Sel_Idx,V744&gt;=Sel_Idx),N(R744)+ROW()/1000000000,0)</f>
        <v>0</v>
      </c>
      <c r="AC744" s="40">
        <f>IF(AND($C744="Despesa",U744&gt;0,U744&lt;=Sel_Idx,V744&gt;=Sel_Idx),Z744*10000+ROW(),0)</f>
        <v>0</v>
      </c>
      <c r="AD744" s="40">
        <f>IF(AC744=0,0,COUNTIFS(L_CalChave,"&gt;0",L_CalChave,"&lt;"&amp;AC744)+1)</f>
        <v>0</v>
      </c>
    </row>
    <row r="745">
      <c r="A745" s="38" t="n"/>
      <c r="B745" s="39" t="n"/>
      <c r="C745" s="34" t="n"/>
      <c r="D745" s="34" t="n"/>
      <c r="E745" s="34" t="n"/>
      <c r="F745" s="34" t="n"/>
      <c r="G745" s="34" t="n"/>
      <c r="H745" s="37" t="n"/>
      <c r="I745" s="37" t="n"/>
      <c r="J745" s="34" t="n"/>
      <c r="K745" s="34" t="n"/>
      <c r="L745" s="34" t="n"/>
      <c r="M745" s="39" t="n"/>
      <c r="N745" s="35" t="n"/>
      <c r="O745" s="40" t="str">
        <f>IF($A745="","",MONTH($A745))</f>
        <v/>
      </c>
      <c r="P745" s="40" t="str">
        <f>IF($A745="","",YEAR($A745))</f>
        <v/>
      </c>
      <c r="Q745" s="41" t="str">
        <f>IF($A745="","",DATE(P745,O745,1))</f>
        <v/>
      </c>
      <c r="R745" s="36" t="str">
        <f>IF(OR($A745="",$N745=""),"",IF(AND($C745&lt;&gt;"Transferência",N($I745)&gt;1),$N745/$I745,$N745))</f>
        <v/>
      </c>
      <c r="S745" s="41" t="str">
        <f>IF(OR($A745="",$F745="",$C745&lt;&gt;"Despesa"),"",IF(COUNTIF(Cartoes_Nome,$F745)=0,"",DATE(P745,O745+IF(DAY($A745)&gt;=INDEX(Cartoes_Fech,MATCH($F745,Cartoes_Nome,0)),1,0),1)))</f>
        <v/>
      </c>
      <c r="T745" s="42" t="str">
        <f>IF($A745="","",IF(COUNTIFS(L_Data,$A745,L_Desc,$B745,L_Valor,$N745,L_Tipo,$C745)&gt;1,"⚠ Possível duplicidade",IF(OR(AND($C745="Despesa",COUNTIF(CatD_Nome,$D745)=0),AND($C745="Receita",COUNTIF(CatR_Nome,$D745)=0)),"⚠ Categoria não combina com o tipo",IF(OR($N745="",$C745=""),"⚠ Falta valor ou tipo",""))))</f>
        <v/>
      </c>
      <c r="U745" s="40">
        <f>IF($A745="",0,P745*12+O745)</f>
        <v>0</v>
      </c>
      <c r="V745" s="40">
        <f>IF($A745="",0,U745+MAX(0,N($I745)-MAX(N($H745),1)))</f>
        <v>0</v>
      </c>
      <c r="W745" s="40">
        <f>IF(S745="",0,YEAR(S745)*12+MONTH(S745))</f>
        <v>0</v>
      </c>
      <c r="X745" s="40">
        <f>IF(W745=0,0,W745+V745-U745)</f>
        <v>0</v>
      </c>
      <c r="Y745" s="36">
        <f>IF(W745=0,0,N(R745)*MAX(0,X745-MAX(W745,YEAR(Cfg_Hoje)*12+MONTH(Cfg_Hoje)+IF(DAY(Cfg_Hoje)&gt;=INDEX(Cartoes_Fech,MATCH($F745,Cartoes_Nome,0)),1,0))+1))</f>
        <v>0</v>
      </c>
      <c r="Z745" s="40">
        <f>IF($A745="",0,DAY($A745))</f>
        <v>0</v>
      </c>
      <c r="AA745" s="40">
        <f>IF($A745="",0,WEEKDAY($A745))</f>
        <v>0</v>
      </c>
      <c r="AB745" s="36">
        <f>IF(AND($C745="Despesa",U745&gt;0,U745&lt;=Sel_Idx,V745&gt;=Sel_Idx),N(R745)+ROW()/1000000000,0)</f>
        <v>0</v>
      </c>
      <c r="AC745" s="40">
        <f>IF(AND($C745="Despesa",U745&gt;0,U745&lt;=Sel_Idx,V745&gt;=Sel_Idx),Z745*10000+ROW(),0)</f>
        <v>0</v>
      </c>
      <c r="AD745" s="40">
        <f>IF(AC745=0,0,COUNTIFS(L_CalChave,"&gt;0",L_CalChave,"&lt;"&amp;AC745)+1)</f>
        <v>0</v>
      </c>
    </row>
    <row r="746">
      <c r="A746" s="38" t="n"/>
      <c r="B746" s="39" t="n"/>
      <c r="C746" s="34" t="n"/>
      <c r="D746" s="34" t="n"/>
      <c r="E746" s="34" t="n"/>
      <c r="F746" s="34" t="n"/>
      <c r="G746" s="34" t="n"/>
      <c r="H746" s="37" t="n"/>
      <c r="I746" s="37" t="n"/>
      <c r="J746" s="34" t="n"/>
      <c r="K746" s="34" t="n"/>
      <c r="L746" s="34" t="n"/>
      <c r="M746" s="39" t="n"/>
      <c r="N746" s="35" t="n"/>
      <c r="O746" s="40" t="str">
        <f>IF($A746="","",MONTH($A746))</f>
        <v/>
      </c>
      <c r="P746" s="40" t="str">
        <f>IF($A746="","",YEAR($A746))</f>
        <v/>
      </c>
      <c r="Q746" s="41" t="str">
        <f>IF($A746="","",DATE(P746,O746,1))</f>
        <v/>
      </c>
      <c r="R746" s="36" t="str">
        <f>IF(OR($A746="",$N746=""),"",IF(AND($C746&lt;&gt;"Transferência",N($I746)&gt;1),$N746/$I746,$N746))</f>
        <v/>
      </c>
      <c r="S746" s="41" t="str">
        <f>IF(OR($A746="",$F746="",$C746&lt;&gt;"Despesa"),"",IF(COUNTIF(Cartoes_Nome,$F746)=0,"",DATE(P746,O746+IF(DAY($A746)&gt;=INDEX(Cartoes_Fech,MATCH($F746,Cartoes_Nome,0)),1,0),1)))</f>
        <v/>
      </c>
      <c r="T746" s="42" t="str">
        <f>IF($A746="","",IF(COUNTIFS(L_Data,$A746,L_Desc,$B746,L_Valor,$N746,L_Tipo,$C746)&gt;1,"⚠ Possível duplicidade",IF(OR(AND($C746="Despesa",COUNTIF(CatD_Nome,$D746)=0),AND($C746="Receita",COUNTIF(CatR_Nome,$D746)=0)),"⚠ Categoria não combina com o tipo",IF(OR($N746="",$C746=""),"⚠ Falta valor ou tipo",""))))</f>
        <v/>
      </c>
      <c r="U746" s="40">
        <f>IF($A746="",0,P746*12+O746)</f>
        <v>0</v>
      </c>
      <c r="V746" s="40">
        <f>IF($A746="",0,U746+MAX(0,N($I746)-MAX(N($H746),1)))</f>
        <v>0</v>
      </c>
      <c r="W746" s="40">
        <f>IF(S746="",0,YEAR(S746)*12+MONTH(S746))</f>
        <v>0</v>
      </c>
      <c r="X746" s="40">
        <f>IF(W746=0,0,W746+V746-U746)</f>
        <v>0</v>
      </c>
      <c r="Y746" s="36">
        <f>IF(W746=0,0,N(R746)*MAX(0,X746-MAX(W746,YEAR(Cfg_Hoje)*12+MONTH(Cfg_Hoje)+IF(DAY(Cfg_Hoje)&gt;=INDEX(Cartoes_Fech,MATCH($F746,Cartoes_Nome,0)),1,0))+1))</f>
        <v>0</v>
      </c>
      <c r="Z746" s="40">
        <f>IF($A746="",0,DAY($A746))</f>
        <v>0</v>
      </c>
      <c r="AA746" s="40">
        <f>IF($A746="",0,WEEKDAY($A746))</f>
        <v>0</v>
      </c>
      <c r="AB746" s="36">
        <f>IF(AND($C746="Despesa",U746&gt;0,U746&lt;=Sel_Idx,V746&gt;=Sel_Idx),N(R746)+ROW()/1000000000,0)</f>
        <v>0</v>
      </c>
      <c r="AC746" s="40">
        <f>IF(AND($C746="Despesa",U746&gt;0,U746&lt;=Sel_Idx,V746&gt;=Sel_Idx),Z746*10000+ROW(),0)</f>
        <v>0</v>
      </c>
      <c r="AD746" s="40">
        <f>IF(AC746=0,0,COUNTIFS(L_CalChave,"&gt;0",L_CalChave,"&lt;"&amp;AC746)+1)</f>
        <v>0</v>
      </c>
    </row>
    <row r="747">
      <c r="A747" s="38" t="n"/>
      <c r="B747" s="39" t="n"/>
      <c r="C747" s="34" t="n"/>
      <c r="D747" s="34" t="n"/>
      <c r="E747" s="34" t="n"/>
      <c r="F747" s="34" t="n"/>
      <c r="G747" s="34" t="n"/>
      <c r="H747" s="37" t="n"/>
      <c r="I747" s="37" t="n"/>
      <c r="J747" s="34" t="n"/>
      <c r="K747" s="34" t="n"/>
      <c r="L747" s="34" t="n"/>
      <c r="M747" s="39" t="n"/>
      <c r="N747" s="35" t="n"/>
      <c r="O747" s="40" t="str">
        <f>IF($A747="","",MONTH($A747))</f>
        <v/>
      </c>
      <c r="P747" s="40" t="str">
        <f>IF($A747="","",YEAR($A747))</f>
        <v/>
      </c>
      <c r="Q747" s="41" t="str">
        <f>IF($A747="","",DATE(P747,O747,1))</f>
        <v/>
      </c>
      <c r="R747" s="36" t="str">
        <f>IF(OR($A747="",$N747=""),"",IF(AND($C747&lt;&gt;"Transferência",N($I747)&gt;1),$N747/$I747,$N747))</f>
        <v/>
      </c>
      <c r="S747" s="41" t="str">
        <f>IF(OR($A747="",$F747="",$C747&lt;&gt;"Despesa"),"",IF(COUNTIF(Cartoes_Nome,$F747)=0,"",DATE(P747,O747+IF(DAY($A747)&gt;=INDEX(Cartoes_Fech,MATCH($F747,Cartoes_Nome,0)),1,0),1)))</f>
        <v/>
      </c>
      <c r="T747" s="42" t="str">
        <f>IF($A747="","",IF(COUNTIFS(L_Data,$A747,L_Desc,$B747,L_Valor,$N747,L_Tipo,$C747)&gt;1,"⚠ Possível duplicidade",IF(OR(AND($C747="Despesa",COUNTIF(CatD_Nome,$D747)=0),AND($C747="Receita",COUNTIF(CatR_Nome,$D747)=0)),"⚠ Categoria não combina com o tipo",IF(OR($N747="",$C747=""),"⚠ Falta valor ou tipo",""))))</f>
        <v/>
      </c>
      <c r="U747" s="40">
        <f>IF($A747="",0,P747*12+O747)</f>
        <v>0</v>
      </c>
      <c r="V747" s="40">
        <f>IF($A747="",0,U747+MAX(0,N($I747)-MAX(N($H747),1)))</f>
        <v>0</v>
      </c>
      <c r="W747" s="40">
        <f>IF(S747="",0,YEAR(S747)*12+MONTH(S747))</f>
        <v>0</v>
      </c>
      <c r="X747" s="40">
        <f>IF(W747=0,0,W747+V747-U747)</f>
        <v>0</v>
      </c>
      <c r="Y747" s="36">
        <f>IF(W747=0,0,N(R747)*MAX(0,X747-MAX(W747,YEAR(Cfg_Hoje)*12+MONTH(Cfg_Hoje)+IF(DAY(Cfg_Hoje)&gt;=INDEX(Cartoes_Fech,MATCH($F747,Cartoes_Nome,0)),1,0))+1))</f>
        <v>0</v>
      </c>
      <c r="Z747" s="40">
        <f>IF($A747="",0,DAY($A747))</f>
        <v>0</v>
      </c>
      <c r="AA747" s="40">
        <f>IF($A747="",0,WEEKDAY($A747))</f>
        <v>0</v>
      </c>
      <c r="AB747" s="36">
        <f>IF(AND($C747="Despesa",U747&gt;0,U747&lt;=Sel_Idx,V747&gt;=Sel_Idx),N(R747)+ROW()/1000000000,0)</f>
        <v>0</v>
      </c>
      <c r="AC747" s="40">
        <f>IF(AND($C747="Despesa",U747&gt;0,U747&lt;=Sel_Idx,V747&gt;=Sel_Idx),Z747*10000+ROW(),0)</f>
        <v>0</v>
      </c>
      <c r="AD747" s="40">
        <f>IF(AC747=0,0,COUNTIFS(L_CalChave,"&gt;0",L_CalChave,"&lt;"&amp;AC747)+1)</f>
        <v>0</v>
      </c>
    </row>
    <row r="748">
      <c r="A748" s="38" t="n"/>
      <c r="B748" s="39" t="n"/>
      <c r="C748" s="34" t="n"/>
      <c r="D748" s="34" t="n"/>
      <c r="E748" s="34" t="n"/>
      <c r="F748" s="34" t="n"/>
      <c r="G748" s="34" t="n"/>
      <c r="H748" s="37" t="n"/>
      <c r="I748" s="37" t="n"/>
      <c r="J748" s="34" t="n"/>
      <c r="K748" s="34" t="n"/>
      <c r="L748" s="34" t="n"/>
      <c r="M748" s="39" t="n"/>
      <c r="N748" s="35" t="n"/>
      <c r="O748" s="40" t="str">
        <f>IF($A748="","",MONTH($A748))</f>
        <v/>
      </c>
      <c r="P748" s="40" t="str">
        <f>IF($A748="","",YEAR($A748))</f>
        <v/>
      </c>
      <c r="Q748" s="41" t="str">
        <f>IF($A748="","",DATE(P748,O748,1))</f>
        <v/>
      </c>
      <c r="R748" s="36" t="str">
        <f>IF(OR($A748="",$N748=""),"",IF(AND($C748&lt;&gt;"Transferência",N($I748)&gt;1),$N748/$I748,$N748))</f>
        <v/>
      </c>
      <c r="S748" s="41" t="str">
        <f>IF(OR($A748="",$F748="",$C748&lt;&gt;"Despesa"),"",IF(COUNTIF(Cartoes_Nome,$F748)=0,"",DATE(P748,O748+IF(DAY($A748)&gt;=INDEX(Cartoes_Fech,MATCH($F748,Cartoes_Nome,0)),1,0),1)))</f>
        <v/>
      </c>
      <c r="T748" s="42" t="str">
        <f>IF($A748="","",IF(COUNTIFS(L_Data,$A748,L_Desc,$B748,L_Valor,$N748,L_Tipo,$C748)&gt;1,"⚠ Possível duplicidade",IF(OR(AND($C748="Despesa",COUNTIF(CatD_Nome,$D748)=0),AND($C748="Receita",COUNTIF(CatR_Nome,$D748)=0)),"⚠ Categoria não combina com o tipo",IF(OR($N748="",$C748=""),"⚠ Falta valor ou tipo",""))))</f>
        <v/>
      </c>
      <c r="U748" s="40">
        <f>IF($A748="",0,P748*12+O748)</f>
        <v>0</v>
      </c>
      <c r="V748" s="40">
        <f>IF($A748="",0,U748+MAX(0,N($I748)-MAX(N($H748),1)))</f>
        <v>0</v>
      </c>
      <c r="W748" s="40">
        <f>IF(S748="",0,YEAR(S748)*12+MONTH(S748))</f>
        <v>0</v>
      </c>
      <c r="X748" s="40">
        <f>IF(W748=0,0,W748+V748-U748)</f>
        <v>0</v>
      </c>
      <c r="Y748" s="36">
        <f>IF(W748=0,0,N(R748)*MAX(0,X748-MAX(W748,YEAR(Cfg_Hoje)*12+MONTH(Cfg_Hoje)+IF(DAY(Cfg_Hoje)&gt;=INDEX(Cartoes_Fech,MATCH($F748,Cartoes_Nome,0)),1,0))+1))</f>
        <v>0</v>
      </c>
      <c r="Z748" s="40">
        <f>IF($A748="",0,DAY($A748))</f>
        <v>0</v>
      </c>
      <c r="AA748" s="40">
        <f>IF($A748="",0,WEEKDAY($A748))</f>
        <v>0</v>
      </c>
      <c r="AB748" s="36">
        <f>IF(AND($C748="Despesa",U748&gt;0,U748&lt;=Sel_Idx,V748&gt;=Sel_Idx),N(R748)+ROW()/1000000000,0)</f>
        <v>0</v>
      </c>
      <c r="AC748" s="40">
        <f>IF(AND($C748="Despesa",U748&gt;0,U748&lt;=Sel_Idx,V748&gt;=Sel_Idx),Z748*10000+ROW(),0)</f>
        <v>0</v>
      </c>
      <c r="AD748" s="40">
        <f>IF(AC748=0,0,COUNTIFS(L_CalChave,"&gt;0",L_CalChave,"&lt;"&amp;AC748)+1)</f>
        <v>0</v>
      </c>
    </row>
    <row r="749">
      <c r="A749" s="38" t="n"/>
      <c r="B749" s="39" t="n"/>
      <c r="C749" s="34" t="n"/>
      <c r="D749" s="34" t="n"/>
      <c r="E749" s="34" t="n"/>
      <c r="F749" s="34" t="n"/>
      <c r="G749" s="34" t="n"/>
      <c r="H749" s="37" t="n"/>
      <c r="I749" s="37" t="n"/>
      <c r="J749" s="34" t="n"/>
      <c r="K749" s="34" t="n"/>
      <c r="L749" s="34" t="n"/>
      <c r="M749" s="39" t="n"/>
      <c r="N749" s="35" t="n"/>
      <c r="O749" s="40" t="str">
        <f>IF($A749="","",MONTH($A749))</f>
        <v/>
      </c>
      <c r="P749" s="40" t="str">
        <f>IF($A749="","",YEAR($A749))</f>
        <v/>
      </c>
      <c r="Q749" s="41" t="str">
        <f>IF($A749="","",DATE(P749,O749,1))</f>
        <v/>
      </c>
      <c r="R749" s="36" t="str">
        <f>IF(OR($A749="",$N749=""),"",IF(AND($C749&lt;&gt;"Transferência",N($I749)&gt;1),$N749/$I749,$N749))</f>
        <v/>
      </c>
      <c r="S749" s="41" t="str">
        <f>IF(OR($A749="",$F749="",$C749&lt;&gt;"Despesa"),"",IF(COUNTIF(Cartoes_Nome,$F749)=0,"",DATE(P749,O749+IF(DAY($A749)&gt;=INDEX(Cartoes_Fech,MATCH($F749,Cartoes_Nome,0)),1,0),1)))</f>
        <v/>
      </c>
      <c r="T749" s="42" t="str">
        <f>IF($A749="","",IF(COUNTIFS(L_Data,$A749,L_Desc,$B749,L_Valor,$N749,L_Tipo,$C749)&gt;1,"⚠ Possível duplicidade",IF(OR(AND($C749="Despesa",COUNTIF(CatD_Nome,$D749)=0),AND($C749="Receita",COUNTIF(CatR_Nome,$D749)=0)),"⚠ Categoria não combina com o tipo",IF(OR($N749="",$C749=""),"⚠ Falta valor ou tipo",""))))</f>
        <v/>
      </c>
      <c r="U749" s="40">
        <f>IF($A749="",0,P749*12+O749)</f>
        <v>0</v>
      </c>
      <c r="V749" s="40">
        <f>IF($A749="",0,U749+MAX(0,N($I749)-MAX(N($H749),1)))</f>
        <v>0</v>
      </c>
      <c r="W749" s="40">
        <f>IF(S749="",0,YEAR(S749)*12+MONTH(S749))</f>
        <v>0</v>
      </c>
      <c r="X749" s="40">
        <f>IF(W749=0,0,W749+V749-U749)</f>
        <v>0</v>
      </c>
      <c r="Y749" s="36">
        <f>IF(W749=0,0,N(R749)*MAX(0,X749-MAX(W749,YEAR(Cfg_Hoje)*12+MONTH(Cfg_Hoje)+IF(DAY(Cfg_Hoje)&gt;=INDEX(Cartoes_Fech,MATCH($F749,Cartoes_Nome,0)),1,0))+1))</f>
        <v>0</v>
      </c>
      <c r="Z749" s="40">
        <f>IF($A749="",0,DAY($A749))</f>
        <v>0</v>
      </c>
      <c r="AA749" s="40">
        <f>IF($A749="",0,WEEKDAY($A749))</f>
        <v>0</v>
      </c>
      <c r="AB749" s="36">
        <f>IF(AND($C749="Despesa",U749&gt;0,U749&lt;=Sel_Idx,V749&gt;=Sel_Idx),N(R749)+ROW()/1000000000,0)</f>
        <v>0</v>
      </c>
      <c r="AC749" s="40">
        <f>IF(AND($C749="Despesa",U749&gt;0,U749&lt;=Sel_Idx,V749&gt;=Sel_Idx),Z749*10000+ROW(),0)</f>
        <v>0</v>
      </c>
      <c r="AD749" s="40">
        <f>IF(AC749=0,0,COUNTIFS(L_CalChave,"&gt;0",L_CalChave,"&lt;"&amp;AC749)+1)</f>
        <v>0</v>
      </c>
    </row>
    <row r="750">
      <c r="A750" s="38" t="n"/>
      <c r="B750" s="39" t="n"/>
      <c r="C750" s="34" t="n"/>
      <c r="D750" s="34" t="n"/>
      <c r="E750" s="34" t="n"/>
      <c r="F750" s="34" t="n"/>
      <c r="G750" s="34" t="n"/>
      <c r="H750" s="37" t="n"/>
      <c r="I750" s="37" t="n"/>
      <c r="J750" s="34" t="n"/>
      <c r="K750" s="34" t="n"/>
      <c r="L750" s="34" t="n"/>
      <c r="M750" s="39" t="n"/>
      <c r="N750" s="35" t="n"/>
      <c r="O750" s="40" t="str">
        <f>IF($A750="","",MONTH($A750))</f>
        <v/>
      </c>
      <c r="P750" s="40" t="str">
        <f>IF($A750="","",YEAR($A750))</f>
        <v/>
      </c>
      <c r="Q750" s="41" t="str">
        <f>IF($A750="","",DATE(P750,O750,1))</f>
        <v/>
      </c>
      <c r="R750" s="36" t="str">
        <f>IF(OR($A750="",$N750=""),"",IF(AND($C750&lt;&gt;"Transferência",N($I750)&gt;1),$N750/$I750,$N750))</f>
        <v/>
      </c>
      <c r="S750" s="41" t="str">
        <f>IF(OR($A750="",$F750="",$C750&lt;&gt;"Despesa"),"",IF(COUNTIF(Cartoes_Nome,$F750)=0,"",DATE(P750,O750+IF(DAY($A750)&gt;=INDEX(Cartoes_Fech,MATCH($F750,Cartoes_Nome,0)),1,0),1)))</f>
        <v/>
      </c>
      <c r="T750" s="42" t="str">
        <f>IF($A750="","",IF(COUNTIFS(L_Data,$A750,L_Desc,$B750,L_Valor,$N750,L_Tipo,$C750)&gt;1,"⚠ Possível duplicidade",IF(OR(AND($C750="Despesa",COUNTIF(CatD_Nome,$D750)=0),AND($C750="Receita",COUNTIF(CatR_Nome,$D750)=0)),"⚠ Categoria não combina com o tipo",IF(OR($N750="",$C750=""),"⚠ Falta valor ou tipo",""))))</f>
        <v/>
      </c>
      <c r="U750" s="40">
        <f>IF($A750="",0,P750*12+O750)</f>
        <v>0</v>
      </c>
      <c r="V750" s="40">
        <f>IF($A750="",0,U750+MAX(0,N($I750)-MAX(N($H750),1)))</f>
        <v>0</v>
      </c>
      <c r="W750" s="40">
        <f>IF(S750="",0,YEAR(S750)*12+MONTH(S750))</f>
        <v>0</v>
      </c>
      <c r="X750" s="40">
        <f>IF(W750=0,0,W750+V750-U750)</f>
        <v>0</v>
      </c>
      <c r="Y750" s="36">
        <f>IF(W750=0,0,N(R750)*MAX(0,X750-MAX(W750,YEAR(Cfg_Hoje)*12+MONTH(Cfg_Hoje)+IF(DAY(Cfg_Hoje)&gt;=INDEX(Cartoes_Fech,MATCH($F750,Cartoes_Nome,0)),1,0))+1))</f>
        <v>0</v>
      </c>
      <c r="Z750" s="40">
        <f>IF($A750="",0,DAY($A750))</f>
        <v>0</v>
      </c>
      <c r="AA750" s="40">
        <f>IF($A750="",0,WEEKDAY($A750))</f>
        <v>0</v>
      </c>
      <c r="AB750" s="36">
        <f>IF(AND($C750="Despesa",U750&gt;0,U750&lt;=Sel_Idx,V750&gt;=Sel_Idx),N(R750)+ROW()/1000000000,0)</f>
        <v>0</v>
      </c>
      <c r="AC750" s="40">
        <f>IF(AND($C750="Despesa",U750&gt;0,U750&lt;=Sel_Idx,V750&gt;=Sel_Idx),Z750*10000+ROW(),0)</f>
        <v>0</v>
      </c>
      <c r="AD750" s="40">
        <f>IF(AC750=0,0,COUNTIFS(L_CalChave,"&gt;0",L_CalChave,"&lt;"&amp;AC750)+1)</f>
        <v>0</v>
      </c>
    </row>
    <row r="751">
      <c r="A751" s="38" t="n"/>
      <c r="B751" s="39" t="n"/>
      <c r="C751" s="34" t="n"/>
      <c r="D751" s="34" t="n"/>
      <c r="E751" s="34" t="n"/>
      <c r="F751" s="34" t="n"/>
      <c r="G751" s="34" t="n"/>
      <c r="H751" s="37" t="n"/>
      <c r="I751" s="37" t="n"/>
      <c r="J751" s="34" t="n"/>
      <c r="K751" s="34" t="n"/>
      <c r="L751" s="34" t="n"/>
      <c r="M751" s="39" t="n"/>
      <c r="N751" s="35" t="n"/>
      <c r="O751" s="40" t="str">
        <f>IF($A751="","",MONTH($A751))</f>
        <v/>
      </c>
      <c r="P751" s="40" t="str">
        <f>IF($A751="","",YEAR($A751))</f>
        <v/>
      </c>
      <c r="Q751" s="41" t="str">
        <f>IF($A751="","",DATE(P751,O751,1))</f>
        <v/>
      </c>
      <c r="R751" s="36" t="str">
        <f>IF(OR($A751="",$N751=""),"",IF(AND($C751&lt;&gt;"Transferência",N($I751)&gt;1),$N751/$I751,$N751))</f>
        <v/>
      </c>
      <c r="S751" s="41" t="str">
        <f>IF(OR($A751="",$F751="",$C751&lt;&gt;"Despesa"),"",IF(COUNTIF(Cartoes_Nome,$F751)=0,"",DATE(P751,O751+IF(DAY($A751)&gt;=INDEX(Cartoes_Fech,MATCH($F751,Cartoes_Nome,0)),1,0),1)))</f>
        <v/>
      </c>
      <c r="T751" s="42" t="str">
        <f>IF($A751="","",IF(COUNTIFS(L_Data,$A751,L_Desc,$B751,L_Valor,$N751,L_Tipo,$C751)&gt;1,"⚠ Possível duplicidade",IF(OR(AND($C751="Despesa",COUNTIF(CatD_Nome,$D751)=0),AND($C751="Receita",COUNTIF(CatR_Nome,$D751)=0)),"⚠ Categoria não combina com o tipo",IF(OR($N751="",$C751=""),"⚠ Falta valor ou tipo",""))))</f>
        <v/>
      </c>
      <c r="U751" s="40">
        <f>IF($A751="",0,P751*12+O751)</f>
        <v>0</v>
      </c>
      <c r="V751" s="40">
        <f>IF($A751="",0,U751+MAX(0,N($I751)-MAX(N($H751),1)))</f>
        <v>0</v>
      </c>
      <c r="W751" s="40">
        <f>IF(S751="",0,YEAR(S751)*12+MONTH(S751))</f>
        <v>0</v>
      </c>
      <c r="X751" s="40">
        <f>IF(W751=0,0,W751+V751-U751)</f>
        <v>0</v>
      </c>
      <c r="Y751" s="36">
        <f>IF(W751=0,0,N(R751)*MAX(0,X751-MAX(W751,YEAR(Cfg_Hoje)*12+MONTH(Cfg_Hoje)+IF(DAY(Cfg_Hoje)&gt;=INDEX(Cartoes_Fech,MATCH($F751,Cartoes_Nome,0)),1,0))+1))</f>
        <v>0</v>
      </c>
      <c r="Z751" s="40">
        <f>IF($A751="",0,DAY($A751))</f>
        <v>0</v>
      </c>
      <c r="AA751" s="40">
        <f>IF($A751="",0,WEEKDAY($A751))</f>
        <v>0</v>
      </c>
      <c r="AB751" s="36">
        <f>IF(AND($C751="Despesa",U751&gt;0,U751&lt;=Sel_Idx,V751&gt;=Sel_Idx),N(R751)+ROW()/1000000000,0)</f>
        <v>0</v>
      </c>
      <c r="AC751" s="40">
        <f>IF(AND($C751="Despesa",U751&gt;0,U751&lt;=Sel_Idx,V751&gt;=Sel_Idx),Z751*10000+ROW(),0)</f>
        <v>0</v>
      </c>
      <c r="AD751" s="40">
        <f>IF(AC751=0,0,COUNTIFS(L_CalChave,"&gt;0",L_CalChave,"&lt;"&amp;AC751)+1)</f>
        <v>0</v>
      </c>
    </row>
    <row r="752">
      <c r="A752" s="38" t="n"/>
      <c r="B752" s="39" t="n"/>
      <c r="C752" s="34" t="n"/>
      <c r="D752" s="34" t="n"/>
      <c r="E752" s="34" t="n"/>
      <c r="F752" s="34" t="n"/>
      <c r="G752" s="34" t="n"/>
      <c r="H752" s="37" t="n"/>
      <c r="I752" s="37" t="n"/>
      <c r="J752" s="34" t="n"/>
      <c r="K752" s="34" t="n"/>
      <c r="L752" s="34" t="n"/>
      <c r="M752" s="39" t="n"/>
      <c r="N752" s="35" t="n"/>
      <c r="O752" s="40" t="str">
        <f>IF($A752="","",MONTH($A752))</f>
        <v/>
      </c>
      <c r="P752" s="40" t="str">
        <f>IF($A752="","",YEAR($A752))</f>
        <v/>
      </c>
      <c r="Q752" s="41" t="str">
        <f>IF($A752="","",DATE(P752,O752,1))</f>
        <v/>
      </c>
      <c r="R752" s="36" t="str">
        <f>IF(OR($A752="",$N752=""),"",IF(AND($C752&lt;&gt;"Transferência",N($I752)&gt;1),$N752/$I752,$N752))</f>
        <v/>
      </c>
      <c r="S752" s="41" t="str">
        <f>IF(OR($A752="",$F752="",$C752&lt;&gt;"Despesa"),"",IF(COUNTIF(Cartoes_Nome,$F752)=0,"",DATE(P752,O752+IF(DAY($A752)&gt;=INDEX(Cartoes_Fech,MATCH($F752,Cartoes_Nome,0)),1,0),1)))</f>
        <v/>
      </c>
      <c r="T752" s="42" t="str">
        <f>IF($A752="","",IF(COUNTIFS(L_Data,$A752,L_Desc,$B752,L_Valor,$N752,L_Tipo,$C752)&gt;1,"⚠ Possível duplicidade",IF(OR(AND($C752="Despesa",COUNTIF(CatD_Nome,$D752)=0),AND($C752="Receita",COUNTIF(CatR_Nome,$D752)=0)),"⚠ Categoria não combina com o tipo",IF(OR($N752="",$C752=""),"⚠ Falta valor ou tipo",""))))</f>
        <v/>
      </c>
      <c r="U752" s="40">
        <f>IF($A752="",0,P752*12+O752)</f>
        <v>0</v>
      </c>
      <c r="V752" s="40">
        <f>IF($A752="",0,U752+MAX(0,N($I752)-MAX(N($H752),1)))</f>
        <v>0</v>
      </c>
      <c r="W752" s="40">
        <f>IF(S752="",0,YEAR(S752)*12+MONTH(S752))</f>
        <v>0</v>
      </c>
      <c r="X752" s="40">
        <f>IF(W752=0,0,W752+V752-U752)</f>
        <v>0</v>
      </c>
      <c r="Y752" s="36">
        <f>IF(W752=0,0,N(R752)*MAX(0,X752-MAX(W752,YEAR(Cfg_Hoje)*12+MONTH(Cfg_Hoje)+IF(DAY(Cfg_Hoje)&gt;=INDEX(Cartoes_Fech,MATCH($F752,Cartoes_Nome,0)),1,0))+1))</f>
        <v>0</v>
      </c>
      <c r="Z752" s="40">
        <f>IF($A752="",0,DAY($A752))</f>
        <v>0</v>
      </c>
      <c r="AA752" s="40">
        <f>IF($A752="",0,WEEKDAY($A752))</f>
        <v>0</v>
      </c>
      <c r="AB752" s="36">
        <f>IF(AND($C752="Despesa",U752&gt;0,U752&lt;=Sel_Idx,V752&gt;=Sel_Idx),N(R752)+ROW()/1000000000,0)</f>
        <v>0</v>
      </c>
      <c r="AC752" s="40">
        <f>IF(AND($C752="Despesa",U752&gt;0,U752&lt;=Sel_Idx,V752&gt;=Sel_Idx),Z752*10000+ROW(),0)</f>
        <v>0</v>
      </c>
      <c r="AD752" s="40">
        <f>IF(AC752=0,0,COUNTIFS(L_CalChave,"&gt;0",L_CalChave,"&lt;"&amp;AC752)+1)</f>
        <v>0</v>
      </c>
    </row>
    <row r="753">
      <c r="A753" s="38" t="n"/>
      <c r="B753" s="39" t="n"/>
      <c r="C753" s="34" t="n"/>
      <c r="D753" s="34" t="n"/>
      <c r="E753" s="34" t="n"/>
      <c r="F753" s="34" t="n"/>
      <c r="G753" s="34" t="n"/>
      <c r="H753" s="37" t="n"/>
      <c r="I753" s="37" t="n"/>
      <c r="J753" s="34" t="n"/>
      <c r="K753" s="34" t="n"/>
      <c r="L753" s="34" t="n"/>
      <c r="M753" s="39" t="n"/>
      <c r="N753" s="35" t="n"/>
      <c r="O753" s="40" t="str">
        <f>IF($A753="","",MONTH($A753))</f>
        <v/>
      </c>
      <c r="P753" s="40" t="str">
        <f>IF($A753="","",YEAR($A753))</f>
        <v/>
      </c>
      <c r="Q753" s="41" t="str">
        <f>IF($A753="","",DATE(P753,O753,1))</f>
        <v/>
      </c>
      <c r="R753" s="36" t="str">
        <f>IF(OR($A753="",$N753=""),"",IF(AND($C753&lt;&gt;"Transferência",N($I753)&gt;1),$N753/$I753,$N753))</f>
        <v/>
      </c>
      <c r="S753" s="41" t="str">
        <f>IF(OR($A753="",$F753="",$C753&lt;&gt;"Despesa"),"",IF(COUNTIF(Cartoes_Nome,$F753)=0,"",DATE(P753,O753+IF(DAY($A753)&gt;=INDEX(Cartoes_Fech,MATCH($F753,Cartoes_Nome,0)),1,0),1)))</f>
        <v/>
      </c>
      <c r="T753" s="42" t="str">
        <f>IF($A753="","",IF(COUNTIFS(L_Data,$A753,L_Desc,$B753,L_Valor,$N753,L_Tipo,$C753)&gt;1,"⚠ Possível duplicidade",IF(OR(AND($C753="Despesa",COUNTIF(CatD_Nome,$D753)=0),AND($C753="Receita",COUNTIF(CatR_Nome,$D753)=0)),"⚠ Categoria não combina com o tipo",IF(OR($N753="",$C753=""),"⚠ Falta valor ou tipo",""))))</f>
        <v/>
      </c>
      <c r="U753" s="40">
        <f>IF($A753="",0,P753*12+O753)</f>
        <v>0</v>
      </c>
      <c r="V753" s="40">
        <f>IF($A753="",0,U753+MAX(0,N($I753)-MAX(N($H753),1)))</f>
        <v>0</v>
      </c>
      <c r="W753" s="40">
        <f>IF(S753="",0,YEAR(S753)*12+MONTH(S753))</f>
        <v>0</v>
      </c>
      <c r="X753" s="40">
        <f>IF(W753=0,0,W753+V753-U753)</f>
        <v>0</v>
      </c>
      <c r="Y753" s="36">
        <f>IF(W753=0,0,N(R753)*MAX(0,X753-MAX(W753,YEAR(Cfg_Hoje)*12+MONTH(Cfg_Hoje)+IF(DAY(Cfg_Hoje)&gt;=INDEX(Cartoes_Fech,MATCH($F753,Cartoes_Nome,0)),1,0))+1))</f>
        <v>0</v>
      </c>
      <c r="Z753" s="40">
        <f>IF($A753="",0,DAY($A753))</f>
        <v>0</v>
      </c>
      <c r="AA753" s="40">
        <f>IF($A753="",0,WEEKDAY($A753))</f>
        <v>0</v>
      </c>
      <c r="AB753" s="36">
        <f>IF(AND($C753="Despesa",U753&gt;0,U753&lt;=Sel_Idx,V753&gt;=Sel_Idx),N(R753)+ROW()/1000000000,0)</f>
        <v>0</v>
      </c>
      <c r="AC753" s="40">
        <f>IF(AND($C753="Despesa",U753&gt;0,U753&lt;=Sel_Idx,V753&gt;=Sel_Idx),Z753*10000+ROW(),0)</f>
        <v>0</v>
      </c>
      <c r="AD753" s="40">
        <f>IF(AC753=0,0,COUNTIFS(L_CalChave,"&gt;0",L_CalChave,"&lt;"&amp;AC753)+1)</f>
        <v>0</v>
      </c>
    </row>
    <row r="754">
      <c r="A754" s="38" t="n"/>
      <c r="B754" s="39" t="n"/>
      <c r="C754" s="34" t="n"/>
      <c r="D754" s="34" t="n"/>
      <c r="E754" s="34" t="n"/>
      <c r="F754" s="34" t="n"/>
      <c r="G754" s="34" t="n"/>
      <c r="H754" s="37" t="n"/>
      <c r="I754" s="37" t="n"/>
      <c r="J754" s="34" t="n"/>
      <c r="K754" s="34" t="n"/>
      <c r="L754" s="34" t="n"/>
      <c r="M754" s="39" t="n"/>
      <c r="N754" s="35" t="n"/>
      <c r="O754" s="40" t="str">
        <f>IF($A754="","",MONTH($A754))</f>
        <v/>
      </c>
      <c r="P754" s="40" t="str">
        <f>IF($A754="","",YEAR($A754))</f>
        <v/>
      </c>
      <c r="Q754" s="41" t="str">
        <f>IF($A754="","",DATE(P754,O754,1))</f>
        <v/>
      </c>
      <c r="R754" s="36" t="str">
        <f>IF(OR($A754="",$N754=""),"",IF(AND($C754&lt;&gt;"Transferência",N($I754)&gt;1),$N754/$I754,$N754))</f>
        <v/>
      </c>
      <c r="S754" s="41" t="str">
        <f>IF(OR($A754="",$F754="",$C754&lt;&gt;"Despesa"),"",IF(COUNTIF(Cartoes_Nome,$F754)=0,"",DATE(P754,O754+IF(DAY($A754)&gt;=INDEX(Cartoes_Fech,MATCH($F754,Cartoes_Nome,0)),1,0),1)))</f>
        <v/>
      </c>
      <c r="T754" s="42" t="str">
        <f>IF($A754="","",IF(COUNTIFS(L_Data,$A754,L_Desc,$B754,L_Valor,$N754,L_Tipo,$C754)&gt;1,"⚠ Possível duplicidade",IF(OR(AND($C754="Despesa",COUNTIF(CatD_Nome,$D754)=0),AND($C754="Receita",COUNTIF(CatR_Nome,$D754)=0)),"⚠ Categoria não combina com o tipo",IF(OR($N754="",$C754=""),"⚠ Falta valor ou tipo",""))))</f>
        <v/>
      </c>
      <c r="U754" s="40">
        <f>IF($A754="",0,P754*12+O754)</f>
        <v>0</v>
      </c>
      <c r="V754" s="40">
        <f>IF($A754="",0,U754+MAX(0,N($I754)-MAX(N($H754),1)))</f>
        <v>0</v>
      </c>
      <c r="W754" s="40">
        <f>IF(S754="",0,YEAR(S754)*12+MONTH(S754))</f>
        <v>0</v>
      </c>
      <c r="X754" s="40">
        <f>IF(W754=0,0,W754+V754-U754)</f>
        <v>0</v>
      </c>
      <c r="Y754" s="36">
        <f>IF(W754=0,0,N(R754)*MAX(0,X754-MAX(W754,YEAR(Cfg_Hoje)*12+MONTH(Cfg_Hoje)+IF(DAY(Cfg_Hoje)&gt;=INDEX(Cartoes_Fech,MATCH($F754,Cartoes_Nome,0)),1,0))+1))</f>
        <v>0</v>
      </c>
      <c r="Z754" s="40">
        <f>IF($A754="",0,DAY($A754))</f>
        <v>0</v>
      </c>
      <c r="AA754" s="40">
        <f>IF($A754="",0,WEEKDAY($A754))</f>
        <v>0</v>
      </c>
      <c r="AB754" s="36">
        <f>IF(AND($C754="Despesa",U754&gt;0,U754&lt;=Sel_Idx,V754&gt;=Sel_Idx),N(R754)+ROW()/1000000000,0)</f>
        <v>0</v>
      </c>
      <c r="AC754" s="40">
        <f>IF(AND($C754="Despesa",U754&gt;0,U754&lt;=Sel_Idx,V754&gt;=Sel_Idx),Z754*10000+ROW(),0)</f>
        <v>0</v>
      </c>
      <c r="AD754" s="40">
        <f>IF(AC754=0,0,COUNTIFS(L_CalChave,"&gt;0",L_CalChave,"&lt;"&amp;AC754)+1)</f>
        <v>0</v>
      </c>
    </row>
    <row r="755">
      <c r="A755" s="38" t="n"/>
      <c r="B755" s="39" t="n"/>
      <c r="C755" s="34" t="n"/>
      <c r="D755" s="34" t="n"/>
      <c r="E755" s="34" t="n"/>
      <c r="F755" s="34" t="n"/>
      <c r="G755" s="34" t="n"/>
      <c r="H755" s="37" t="n"/>
      <c r="I755" s="37" t="n"/>
      <c r="J755" s="34" t="n"/>
      <c r="K755" s="34" t="n"/>
      <c r="L755" s="34" t="n"/>
      <c r="M755" s="39" t="n"/>
      <c r="N755" s="35" t="n"/>
      <c r="O755" s="40" t="str">
        <f>IF($A755="","",MONTH($A755))</f>
        <v/>
      </c>
      <c r="P755" s="40" t="str">
        <f>IF($A755="","",YEAR($A755))</f>
        <v/>
      </c>
      <c r="Q755" s="41" t="str">
        <f>IF($A755="","",DATE(P755,O755,1))</f>
        <v/>
      </c>
      <c r="R755" s="36" t="str">
        <f>IF(OR($A755="",$N755=""),"",IF(AND($C755&lt;&gt;"Transferência",N($I755)&gt;1),$N755/$I755,$N755))</f>
        <v/>
      </c>
      <c r="S755" s="41" t="str">
        <f>IF(OR($A755="",$F755="",$C755&lt;&gt;"Despesa"),"",IF(COUNTIF(Cartoes_Nome,$F755)=0,"",DATE(P755,O755+IF(DAY($A755)&gt;=INDEX(Cartoes_Fech,MATCH($F755,Cartoes_Nome,0)),1,0),1)))</f>
        <v/>
      </c>
      <c r="T755" s="42" t="str">
        <f>IF($A755="","",IF(COUNTIFS(L_Data,$A755,L_Desc,$B755,L_Valor,$N755,L_Tipo,$C755)&gt;1,"⚠ Possível duplicidade",IF(OR(AND($C755="Despesa",COUNTIF(CatD_Nome,$D755)=0),AND($C755="Receita",COUNTIF(CatR_Nome,$D755)=0)),"⚠ Categoria não combina com o tipo",IF(OR($N755="",$C755=""),"⚠ Falta valor ou tipo",""))))</f>
        <v/>
      </c>
      <c r="U755" s="40">
        <f>IF($A755="",0,P755*12+O755)</f>
        <v>0</v>
      </c>
      <c r="V755" s="40">
        <f>IF($A755="",0,U755+MAX(0,N($I755)-MAX(N($H755),1)))</f>
        <v>0</v>
      </c>
      <c r="W755" s="40">
        <f>IF(S755="",0,YEAR(S755)*12+MONTH(S755))</f>
        <v>0</v>
      </c>
      <c r="X755" s="40">
        <f>IF(W755=0,0,W755+V755-U755)</f>
        <v>0</v>
      </c>
      <c r="Y755" s="36">
        <f>IF(W755=0,0,N(R755)*MAX(0,X755-MAX(W755,YEAR(Cfg_Hoje)*12+MONTH(Cfg_Hoje)+IF(DAY(Cfg_Hoje)&gt;=INDEX(Cartoes_Fech,MATCH($F755,Cartoes_Nome,0)),1,0))+1))</f>
        <v>0</v>
      </c>
      <c r="Z755" s="40">
        <f>IF($A755="",0,DAY($A755))</f>
        <v>0</v>
      </c>
      <c r="AA755" s="40">
        <f>IF($A755="",0,WEEKDAY($A755))</f>
        <v>0</v>
      </c>
      <c r="AB755" s="36">
        <f>IF(AND($C755="Despesa",U755&gt;0,U755&lt;=Sel_Idx,V755&gt;=Sel_Idx),N(R755)+ROW()/1000000000,0)</f>
        <v>0</v>
      </c>
      <c r="AC755" s="40">
        <f>IF(AND($C755="Despesa",U755&gt;0,U755&lt;=Sel_Idx,V755&gt;=Sel_Idx),Z755*10000+ROW(),0)</f>
        <v>0</v>
      </c>
      <c r="AD755" s="40">
        <f>IF(AC755=0,0,COUNTIFS(L_CalChave,"&gt;0",L_CalChave,"&lt;"&amp;AC755)+1)</f>
        <v>0</v>
      </c>
    </row>
    <row r="756">
      <c r="A756" s="38" t="n"/>
      <c r="B756" s="39" t="n"/>
      <c r="C756" s="34" t="n"/>
      <c r="D756" s="34" t="n"/>
      <c r="E756" s="34" t="n"/>
      <c r="F756" s="34" t="n"/>
      <c r="G756" s="34" t="n"/>
      <c r="H756" s="37" t="n"/>
      <c r="I756" s="37" t="n"/>
      <c r="J756" s="34" t="n"/>
      <c r="K756" s="34" t="n"/>
      <c r="L756" s="34" t="n"/>
      <c r="M756" s="39" t="n"/>
      <c r="N756" s="35" t="n"/>
      <c r="O756" s="40" t="str">
        <f>IF($A756="","",MONTH($A756))</f>
        <v/>
      </c>
      <c r="P756" s="40" t="str">
        <f>IF($A756="","",YEAR($A756))</f>
        <v/>
      </c>
      <c r="Q756" s="41" t="str">
        <f>IF($A756="","",DATE(P756,O756,1))</f>
        <v/>
      </c>
      <c r="R756" s="36" t="str">
        <f>IF(OR($A756="",$N756=""),"",IF(AND($C756&lt;&gt;"Transferência",N($I756)&gt;1),$N756/$I756,$N756))</f>
        <v/>
      </c>
      <c r="S756" s="41" t="str">
        <f>IF(OR($A756="",$F756="",$C756&lt;&gt;"Despesa"),"",IF(COUNTIF(Cartoes_Nome,$F756)=0,"",DATE(P756,O756+IF(DAY($A756)&gt;=INDEX(Cartoes_Fech,MATCH($F756,Cartoes_Nome,0)),1,0),1)))</f>
        <v/>
      </c>
      <c r="T756" s="42" t="str">
        <f>IF($A756="","",IF(COUNTIFS(L_Data,$A756,L_Desc,$B756,L_Valor,$N756,L_Tipo,$C756)&gt;1,"⚠ Possível duplicidade",IF(OR(AND($C756="Despesa",COUNTIF(CatD_Nome,$D756)=0),AND($C756="Receita",COUNTIF(CatR_Nome,$D756)=0)),"⚠ Categoria não combina com o tipo",IF(OR($N756="",$C756=""),"⚠ Falta valor ou tipo",""))))</f>
        <v/>
      </c>
      <c r="U756" s="40">
        <f>IF($A756="",0,P756*12+O756)</f>
        <v>0</v>
      </c>
      <c r="V756" s="40">
        <f>IF($A756="",0,U756+MAX(0,N($I756)-MAX(N($H756),1)))</f>
        <v>0</v>
      </c>
      <c r="W756" s="40">
        <f>IF(S756="",0,YEAR(S756)*12+MONTH(S756))</f>
        <v>0</v>
      </c>
      <c r="X756" s="40">
        <f>IF(W756=0,0,W756+V756-U756)</f>
        <v>0</v>
      </c>
      <c r="Y756" s="36">
        <f>IF(W756=0,0,N(R756)*MAX(0,X756-MAX(W756,YEAR(Cfg_Hoje)*12+MONTH(Cfg_Hoje)+IF(DAY(Cfg_Hoje)&gt;=INDEX(Cartoes_Fech,MATCH($F756,Cartoes_Nome,0)),1,0))+1))</f>
        <v>0</v>
      </c>
      <c r="Z756" s="40">
        <f>IF($A756="",0,DAY($A756))</f>
        <v>0</v>
      </c>
      <c r="AA756" s="40">
        <f>IF($A756="",0,WEEKDAY($A756))</f>
        <v>0</v>
      </c>
      <c r="AB756" s="36">
        <f>IF(AND($C756="Despesa",U756&gt;0,U756&lt;=Sel_Idx,V756&gt;=Sel_Idx),N(R756)+ROW()/1000000000,0)</f>
        <v>0</v>
      </c>
      <c r="AC756" s="40">
        <f>IF(AND($C756="Despesa",U756&gt;0,U756&lt;=Sel_Idx,V756&gt;=Sel_Idx),Z756*10000+ROW(),0)</f>
        <v>0</v>
      </c>
      <c r="AD756" s="40">
        <f>IF(AC756=0,0,COUNTIFS(L_CalChave,"&gt;0",L_CalChave,"&lt;"&amp;AC756)+1)</f>
        <v>0</v>
      </c>
    </row>
    <row r="757">
      <c r="A757" s="38" t="n"/>
      <c r="B757" s="39" t="n"/>
      <c r="C757" s="34" t="n"/>
      <c r="D757" s="34" t="n"/>
      <c r="E757" s="34" t="n"/>
      <c r="F757" s="34" t="n"/>
      <c r="G757" s="34" t="n"/>
      <c r="H757" s="37" t="n"/>
      <c r="I757" s="37" t="n"/>
      <c r="J757" s="34" t="n"/>
      <c r="K757" s="34" t="n"/>
      <c r="L757" s="34" t="n"/>
      <c r="M757" s="39" t="n"/>
      <c r="N757" s="35" t="n"/>
      <c r="O757" s="40" t="str">
        <f>IF($A757="","",MONTH($A757))</f>
        <v/>
      </c>
      <c r="P757" s="40" t="str">
        <f>IF($A757="","",YEAR($A757))</f>
        <v/>
      </c>
      <c r="Q757" s="41" t="str">
        <f>IF($A757="","",DATE(P757,O757,1))</f>
        <v/>
      </c>
      <c r="R757" s="36" t="str">
        <f>IF(OR($A757="",$N757=""),"",IF(AND($C757&lt;&gt;"Transferência",N($I757)&gt;1),$N757/$I757,$N757))</f>
        <v/>
      </c>
      <c r="S757" s="41" t="str">
        <f>IF(OR($A757="",$F757="",$C757&lt;&gt;"Despesa"),"",IF(COUNTIF(Cartoes_Nome,$F757)=0,"",DATE(P757,O757+IF(DAY($A757)&gt;=INDEX(Cartoes_Fech,MATCH($F757,Cartoes_Nome,0)),1,0),1)))</f>
        <v/>
      </c>
      <c r="T757" s="42" t="str">
        <f>IF($A757="","",IF(COUNTIFS(L_Data,$A757,L_Desc,$B757,L_Valor,$N757,L_Tipo,$C757)&gt;1,"⚠ Possível duplicidade",IF(OR(AND($C757="Despesa",COUNTIF(CatD_Nome,$D757)=0),AND($C757="Receita",COUNTIF(CatR_Nome,$D757)=0)),"⚠ Categoria não combina com o tipo",IF(OR($N757="",$C757=""),"⚠ Falta valor ou tipo",""))))</f>
        <v/>
      </c>
      <c r="U757" s="40">
        <f>IF($A757="",0,P757*12+O757)</f>
        <v>0</v>
      </c>
      <c r="V757" s="40">
        <f>IF($A757="",0,U757+MAX(0,N($I757)-MAX(N($H757),1)))</f>
        <v>0</v>
      </c>
      <c r="W757" s="40">
        <f>IF(S757="",0,YEAR(S757)*12+MONTH(S757))</f>
        <v>0</v>
      </c>
      <c r="X757" s="40">
        <f>IF(W757=0,0,W757+V757-U757)</f>
        <v>0</v>
      </c>
      <c r="Y757" s="36">
        <f>IF(W757=0,0,N(R757)*MAX(0,X757-MAX(W757,YEAR(Cfg_Hoje)*12+MONTH(Cfg_Hoje)+IF(DAY(Cfg_Hoje)&gt;=INDEX(Cartoes_Fech,MATCH($F757,Cartoes_Nome,0)),1,0))+1))</f>
        <v>0</v>
      </c>
      <c r="Z757" s="40">
        <f>IF($A757="",0,DAY($A757))</f>
        <v>0</v>
      </c>
      <c r="AA757" s="40">
        <f>IF($A757="",0,WEEKDAY($A757))</f>
        <v>0</v>
      </c>
      <c r="AB757" s="36">
        <f>IF(AND($C757="Despesa",U757&gt;0,U757&lt;=Sel_Idx,V757&gt;=Sel_Idx),N(R757)+ROW()/1000000000,0)</f>
        <v>0</v>
      </c>
      <c r="AC757" s="40">
        <f>IF(AND($C757="Despesa",U757&gt;0,U757&lt;=Sel_Idx,V757&gt;=Sel_Idx),Z757*10000+ROW(),0)</f>
        <v>0</v>
      </c>
      <c r="AD757" s="40">
        <f>IF(AC757=0,0,COUNTIFS(L_CalChave,"&gt;0",L_CalChave,"&lt;"&amp;AC757)+1)</f>
        <v>0</v>
      </c>
    </row>
    <row r="758">
      <c r="A758" s="38" t="n"/>
      <c r="B758" s="39" t="n"/>
      <c r="C758" s="34" t="n"/>
      <c r="D758" s="34" t="n"/>
      <c r="E758" s="34" t="n"/>
      <c r="F758" s="34" t="n"/>
      <c r="G758" s="34" t="n"/>
      <c r="H758" s="37" t="n"/>
      <c r="I758" s="37" t="n"/>
      <c r="J758" s="34" t="n"/>
      <c r="K758" s="34" t="n"/>
      <c r="L758" s="34" t="n"/>
      <c r="M758" s="39" t="n"/>
      <c r="N758" s="35" t="n"/>
      <c r="O758" s="40" t="str">
        <f>IF($A758="","",MONTH($A758))</f>
        <v/>
      </c>
      <c r="P758" s="40" t="str">
        <f>IF($A758="","",YEAR($A758))</f>
        <v/>
      </c>
      <c r="Q758" s="41" t="str">
        <f>IF($A758="","",DATE(P758,O758,1))</f>
        <v/>
      </c>
      <c r="R758" s="36" t="str">
        <f>IF(OR($A758="",$N758=""),"",IF(AND($C758&lt;&gt;"Transferência",N($I758)&gt;1),$N758/$I758,$N758))</f>
        <v/>
      </c>
      <c r="S758" s="41" t="str">
        <f>IF(OR($A758="",$F758="",$C758&lt;&gt;"Despesa"),"",IF(COUNTIF(Cartoes_Nome,$F758)=0,"",DATE(P758,O758+IF(DAY($A758)&gt;=INDEX(Cartoes_Fech,MATCH($F758,Cartoes_Nome,0)),1,0),1)))</f>
        <v/>
      </c>
      <c r="T758" s="42" t="str">
        <f>IF($A758="","",IF(COUNTIFS(L_Data,$A758,L_Desc,$B758,L_Valor,$N758,L_Tipo,$C758)&gt;1,"⚠ Possível duplicidade",IF(OR(AND($C758="Despesa",COUNTIF(CatD_Nome,$D758)=0),AND($C758="Receita",COUNTIF(CatR_Nome,$D758)=0)),"⚠ Categoria não combina com o tipo",IF(OR($N758="",$C758=""),"⚠ Falta valor ou tipo",""))))</f>
        <v/>
      </c>
      <c r="U758" s="40">
        <f>IF($A758="",0,P758*12+O758)</f>
        <v>0</v>
      </c>
      <c r="V758" s="40">
        <f>IF($A758="",0,U758+MAX(0,N($I758)-MAX(N($H758),1)))</f>
        <v>0</v>
      </c>
      <c r="W758" s="40">
        <f>IF(S758="",0,YEAR(S758)*12+MONTH(S758))</f>
        <v>0</v>
      </c>
      <c r="X758" s="40">
        <f>IF(W758=0,0,W758+V758-U758)</f>
        <v>0</v>
      </c>
      <c r="Y758" s="36">
        <f>IF(W758=0,0,N(R758)*MAX(0,X758-MAX(W758,YEAR(Cfg_Hoje)*12+MONTH(Cfg_Hoje)+IF(DAY(Cfg_Hoje)&gt;=INDEX(Cartoes_Fech,MATCH($F758,Cartoes_Nome,0)),1,0))+1))</f>
        <v>0</v>
      </c>
      <c r="Z758" s="40">
        <f>IF($A758="",0,DAY($A758))</f>
        <v>0</v>
      </c>
      <c r="AA758" s="40">
        <f>IF($A758="",0,WEEKDAY($A758))</f>
        <v>0</v>
      </c>
      <c r="AB758" s="36">
        <f>IF(AND($C758="Despesa",U758&gt;0,U758&lt;=Sel_Idx,V758&gt;=Sel_Idx),N(R758)+ROW()/1000000000,0)</f>
        <v>0</v>
      </c>
      <c r="AC758" s="40">
        <f>IF(AND($C758="Despesa",U758&gt;0,U758&lt;=Sel_Idx,V758&gt;=Sel_Idx),Z758*10000+ROW(),0)</f>
        <v>0</v>
      </c>
      <c r="AD758" s="40">
        <f>IF(AC758=0,0,COUNTIFS(L_CalChave,"&gt;0",L_CalChave,"&lt;"&amp;AC758)+1)</f>
        <v>0</v>
      </c>
    </row>
    <row r="759">
      <c r="A759" s="38" t="n"/>
      <c r="B759" s="39" t="n"/>
      <c r="C759" s="34" t="n"/>
      <c r="D759" s="34" t="n"/>
      <c r="E759" s="34" t="n"/>
      <c r="F759" s="34" t="n"/>
      <c r="G759" s="34" t="n"/>
      <c r="H759" s="37" t="n"/>
      <c r="I759" s="37" t="n"/>
      <c r="J759" s="34" t="n"/>
      <c r="K759" s="34" t="n"/>
      <c r="L759" s="34" t="n"/>
      <c r="M759" s="39" t="n"/>
      <c r="N759" s="35" t="n"/>
      <c r="O759" s="40" t="str">
        <f>IF($A759="","",MONTH($A759))</f>
        <v/>
      </c>
      <c r="P759" s="40" t="str">
        <f>IF($A759="","",YEAR($A759))</f>
        <v/>
      </c>
      <c r="Q759" s="41" t="str">
        <f>IF($A759="","",DATE(P759,O759,1))</f>
        <v/>
      </c>
      <c r="R759" s="36" t="str">
        <f>IF(OR($A759="",$N759=""),"",IF(AND($C759&lt;&gt;"Transferência",N($I759)&gt;1),$N759/$I759,$N759))</f>
        <v/>
      </c>
      <c r="S759" s="41" t="str">
        <f>IF(OR($A759="",$F759="",$C759&lt;&gt;"Despesa"),"",IF(COUNTIF(Cartoes_Nome,$F759)=0,"",DATE(P759,O759+IF(DAY($A759)&gt;=INDEX(Cartoes_Fech,MATCH($F759,Cartoes_Nome,0)),1,0),1)))</f>
        <v/>
      </c>
      <c r="T759" s="42" t="str">
        <f>IF($A759="","",IF(COUNTIFS(L_Data,$A759,L_Desc,$B759,L_Valor,$N759,L_Tipo,$C759)&gt;1,"⚠ Possível duplicidade",IF(OR(AND($C759="Despesa",COUNTIF(CatD_Nome,$D759)=0),AND($C759="Receita",COUNTIF(CatR_Nome,$D759)=0)),"⚠ Categoria não combina com o tipo",IF(OR($N759="",$C759=""),"⚠ Falta valor ou tipo",""))))</f>
        <v/>
      </c>
      <c r="U759" s="40">
        <f>IF($A759="",0,P759*12+O759)</f>
        <v>0</v>
      </c>
      <c r="V759" s="40">
        <f>IF($A759="",0,U759+MAX(0,N($I759)-MAX(N($H759),1)))</f>
        <v>0</v>
      </c>
      <c r="W759" s="40">
        <f>IF(S759="",0,YEAR(S759)*12+MONTH(S759))</f>
        <v>0</v>
      </c>
      <c r="X759" s="40">
        <f>IF(W759=0,0,W759+V759-U759)</f>
        <v>0</v>
      </c>
      <c r="Y759" s="36">
        <f>IF(W759=0,0,N(R759)*MAX(0,X759-MAX(W759,YEAR(Cfg_Hoje)*12+MONTH(Cfg_Hoje)+IF(DAY(Cfg_Hoje)&gt;=INDEX(Cartoes_Fech,MATCH($F759,Cartoes_Nome,0)),1,0))+1))</f>
        <v>0</v>
      </c>
      <c r="Z759" s="40">
        <f>IF($A759="",0,DAY($A759))</f>
        <v>0</v>
      </c>
      <c r="AA759" s="40">
        <f>IF($A759="",0,WEEKDAY($A759))</f>
        <v>0</v>
      </c>
      <c r="AB759" s="36">
        <f>IF(AND($C759="Despesa",U759&gt;0,U759&lt;=Sel_Idx,V759&gt;=Sel_Idx),N(R759)+ROW()/1000000000,0)</f>
        <v>0</v>
      </c>
      <c r="AC759" s="40">
        <f>IF(AND($C759="Despesa",U759&gt;0,U759&lt;=Sel_Idx,V759&gt;=Sel_Idx),Z759*10000+ROW(),0)</f>
        <v>0</v>
      </c>
      <c r="AD759" s="40">
        <f>IF(AC759=0,0,COUNTIFS(L_CalChave,"&gt;0",L_CalChave,"&lt;"&amp;AC759)+1)</f>
        <v>0</v>
      </c>
    </row>
    <row r="760">
      <c r="A760" s="38" t="n"/>
      <c r="B760" s="39" t="n"/>
      <c r="C760" s="34" t="n"/>
      <c r="D760" s="34" t="n"/>
      <c r="E760" s="34" t="n"/>
      <c r="F760" s="34" t="n"/>
      <c r="G760" s="34" t="n"/>
      <c r="H760" s="37" t="n"/>
      <c r="I760" s="37" t="n"/>
      <c r="J760" s="34" t="n"/>
      <c r="K760" s="34" t="n"/>
      <c r="L760" s="34" t="n"/>
      <c r="M760" s="39" t="n"/>
      <c r="N760" s="35" t="n"/>
      <c r="O760" s="40" t="str">
        <f>IF($A760="","",MONTH($A760))</f>
        <v/>
      </c>
      <c r="P760" s="40" t="str">
        <f>IF($A760="","",YEAR($A760))</f>
        <v/>
      </c>
      <c r="Q760" s="41" t="str">
        <f>IF($A760="","",DATE(P760,O760,1))</f>
        <v/>
      </c>
      <c r="R760" s="36" t="str">
        <f>IF(OR($A760="",$N760=""),"",IF(AND($C760&lt;&gt;"Transferência",N($I760)&gt;1),$N760/$I760,$N760))</f>
        <v/>
      </c>
      <c r="S760" s="41" t="str">
        <f>IF(OR($A760="",$F760="",$C760&lt;&gt;"Despesa"),"",IF(COUNTIF(Cartoes_Nome,$F760)=0,"",DATE(P760,O760+IF(DAY($A760)&gt;=INDEX(Cartoes_Fech,MATCH($F760,Cartoes_Nome,0)),1,0),1)))</f>
        <v/>
      </c>
      <c r="T760" s="42" t="str">
        <f>IF($A760="","",IF(COUNTIFS(L_Data,$A760,L_Desc,$B760,L_Valor,$N760,L_Tipo,$C760)&gt;1,"⚠ Possível duplicidade",IF(OR(AND($C760="Despesa",COUNTIF(CatD_Nome,$D760)=0),AND($C760="Receita",COUNTIF(CatR_Nome,$D760)=0)),"⚠ Categoria não combina com o tipo",IF(OR($N760="",$C760=""),"⚠ Falta valor ou tipo",""))))</f>
        <v/>
      </c>
      <c r="U760" s="40">
        <f>IF($A760="",0,P760*12+O760)</f>
        <v>0</v>
      </c>
      <c r="V760" s="40">
        <f>IF($A760="",0,U760+MAX(0,N($I760)-MAX(N($H760),1)))</f>
        <v>0</v>
      </c>
      <c r="W760" s="40">
        <f>IF(S760="",0,YEAR(S760)*12+MONTH(S760))</f>
        <v>0</v>
      </c>
      <c r="X760" s="40">
        <f>IF(W760=0,0,W760+V760-U760)</f>
        <v>0</v>
      </c>
      <c r="Y760" s="36">
        <f>IF(W760=0,0,N(R760)*MAX(0,X760-MAX(W760,YEAR(Cfg_Hoje)*12+MONTH(Cfg_Hoje)+IF(DAY(Cfg_Hoje)&gt;=INDEX(Cartoes_Fech,MATCH($F760,Cartoes_Nome,0)),1,0))+1))</f>
        <v>0</v>
      </c>
      <c r="Z760" s="40">
        <f>IF($A760="",0,DAY($A760))</f>
        <v>0</v>
      </c>
      <c r="AA760" s="40">
        <f>IF($A760="",0,WEEKDAY($A760))</f>
        <v>0</v>
      </c>
      <c r="AB760" s="36">
        <f>IF(AND($C760="Despesa",U760&gt;0,U760&lt;=Sel_Idx,V760&gt;=Sel_Idx),N(R760)+ROW()/1000000000,0)</f>
        <v>0</v>
      </c>
      <c r="AC760" s="40">
        <f>IF(AND($C760="Despesa",U760&gt;0,U760&lt;=Sel_Idx,V760&gt;=Sel_Idx),Z760*10000+ROW(),0)</f>
        <v>0</v>
      </c>
      <c r="AD760" s="40">
        <f>IF(AC760=0,0,COUNTIFS(L_CalChave,"&gt;0",L_CalChave,"&lt;"&amp;AC760)+1)</f>
        <v>0</v>
      </c>
    </row>
    <row r="761">
      <c r="A761" s="38" t="n"/>
      <c r="B761" s="39" t="n"/>
      <c r="C761" s="34" t="n"/>
      <c r="D761" s="34" t="n"/>
      <c r="E761" s="34" t="n"/>
      <c r="F761" s="34" t="n"/>
      <c r="G761" s="34" t="n"/>
      <c r="H761" s="37" t="n"/>
      <c r="I761" s="37" t="n"/>
      <c r="J761" s="34" t="n"/>
      <c r="K761" s="34" t="n"/>
      <c r="L761" s="34" t="n"/>
      <c r="M761" s="39" t="n"/>
      <c r="N761" s="35" t="n"/>
      <c r="O761" s="40" t="str">
        <f>IF($A761="","",MONTH($A761))</f>
        <v/>
      </c>
      <c r="P761" s="40" t="str">
        <f>IF($A761="","",YEAR($A761))</f>
        <v/>
      </c>
      <c r="Q761" s="41" t="str">
        <f>IF($A761="","",DATE(P761,O761,1))</f>
        <v/>
      </c>
      <c r="R761" s="36" t="str">
        <f>IF(OR($A761="",$N761=""),"",IF(AND($C761&lt;&gt;"Transferência",N($I761)&gt;1),$N761/$I761,$N761))</f>
        <v/>
      </c>
      <c r="S761" s="41" t="str">
        <f>IF(OR($A761="",$F761="",$C761&lt;&gt;"Despesa"),"",IF(COUNTIF(Cartoes_Nome,$F761)=0,"",DATE(P761,O761+IF(DAY($A761)&gt;=INDEX(Cartoes_Fech,MATCH($F761,Cartoes_Nome,0)),1,0),1)))</f>
        <v/>
      </c>
      <c r="T761" s="42" t="str">
        <f>IF($A761="","",IF(COUNTIFS(L_Data,$A761,L_Desc,$B761,L_Valor,$N761,L_Tipo,$C761)&gt;1,"⚠ Possível duplicidade",IF(OR(AND($C761="Despesa",COUNTIF(CatD_Nome,$D761)=0),AND($C761="Receita",COUNTIF(CatR_Nome,$D761)=0)),"⚠ Categoria não combina com o tipo",IF(OR($N761="",$C761=""),"⚠ Falta valor ou tipo",""))))</f>
        <v/>
      </c>
      <c r="U761" s="40">
        <f>IF($A761="",0,P761*12+O761)</f>
        <v>0</v>
      </c>
      <c r="V761" s="40">
        <f>IF($A761="",0,U761+MAX(0,N($I761)-MAX(N($H761),1)))</f>
        <v>0</v>
      </c>
      <c r="W761" s="40">
        <f>IF(S761="",0,YEAR(S761)*12+MONTH(S761))</f>
        <v>0</v>
      </c>
      <c r="X761" s="40">
        <f>IF(W761=0,0,W761+V761-U761)</f>
        <v>0</v>
      </c>
      <c r="Y761" s="36">
        <f>IF(W761=0,0,N(R761)*MAX(0,X761-MAX(W761,YEAR(Cfg_Hoje)*12+MONTH(Cfg_Hoje)+IF(DAY(Cfg_Hoje)&gt;=INDEX(Cartoes_Fech,MATCH($F761,Cartoes_Nome,0)),1,0))+1))</f>
        <v>0</v>
      </c>
      <c r="Z761" s="40">
        <f>IF($A761="",0,DAY($A761))</f>
        <v>0</v>
      </c>
      <c r="AA761" s="40">
        <f>IF($A761="",0,WEEKDAY($A761))</f>
        <v>0</v>
      </c>
      <c r="AB761" s="36">
        <f>IF(AND($C761="Despesa",U761&gt;0,U761&lt;=Sel_Idx,V761&gt;=Sel_Idx),N(R761)+ROW()/1000000000,0)</f>
        <v>0</v>
      </c>
      <c r="AC761" s="40">
        <f>IF(AND($C761="Despesa",U761&gt;0,U761&lt;=Sel_Idx,V761&gt;=Sel_Idx),Z761*10000+ROW(),0)</f>
        <v>0</v>
      </c>
      <c r="AD761" s="40">
        <f>IF(AC761=0,0,COUNTIFS(L_CalChave,"&gt;0",L_CalChave,"&lt;"&amp;AC761)+1)</f>
        <v>0</v>
      </c>
    </row>
    <row r="762">
      <c r="A762" s="38" t="n"/>
      <c r="B762" s="39" t="n"/>
      <c r="C762" s="34" t="n"/>
      <c r="D762" s="34" t="n"/>
      <c r="E762" s="34" t="n"/>
      <c r="F762" s="34" t="n"/>
      <c r="G762" s="34" t="n"/>
      <c r="H762" s="37" t="n"/>
      <c r="I762" s="37" t="n"/>
      <c r="J762" s="34" t="n"/>
      <c r="K762" s="34" t="n"/>
      <c r="L762" s="34" t="n"/>
      <c r="M762" s="39" t="n"/>
      <c r="N762" s="35" t="n"/>
      <c r="O762" s="40" t="str">
        <f>IF($A762="","",MONTH($A762))</f>
        <v/>
      </c>
      <c r="P762" s="40" t="str">
        <f>IF($A762="","",YEAR($A762))</f>
        <v/>
      </c>
      <c r="Q762" s="41" t="str">
        <f>IF($A762="","",DATE(P762,O762,1))</f>
        <v/>
      </c>
      <c r="R762" s="36" t="str">
        <f>IF(OR($A762="",$N762=""),"",IF(AND($C762&lt;&gt;"Transferência",N($I762)&gt;1),$N762/$I762,$N762))</f>
        <v/>
      </c>
      <c r="S762" s="41" t="str">
        <f>IF(OR($A762="",$F762="",$C762&lt;&gt;"Despesa"),"",IF(COUNTIF(Cartoes_Nome,$F762)=0,"",DATE(P762,O762+IF(DAY($A762)&gt;=INDEX(Cartoes_Fech,MATCH($F762,Cartoes_Nome,0)),1,0),1)))</f>
        <v/>
      </c>
      <c r="T762" s="42" t="str">
        <f>IF($A762="","",IF(COUNTIFS(L_Data,$A762,L_Desc,$B762,L_Valor,$N762,L_Tipo,$C762)&gt;1,"⚠ Possível duplicidade",IF(OR(AND($C762="Despesa",COUNTIF(CatD_Nome,$D762)=0),AND($C762="Receita",COUNTIF(CatR_Nome,$D762)=0)),"⚠ Categoria não combina com o tipo",IF(OR($N762="",$C762=""),"⚠ Falta valor ou tipo",""))))</f>
        <v/>
      </c>
      <c r="U762" s="40">
        <f>IF($A762="",0,P762*12+O762)</f>
        <v>0</v>
      </c>
      <c r="V762" s="40">
        <f>IF($A762="",0,U762+MAX(0,N($I762)-MAX(N($H762),1)))</f>
        <v>0</v>
      </c>
      <c r="W762" s="40">
        <f>IF(S762="",0,YEAR(S762)*12+MONTH(S762))</f>
        <v>0</v>
      </c>
      <c r="X762" s="40">
        <f>IF(W762=0,0,W762+V762-U762)</f>
        <v>0</v>
      </c>
      <c r="Y762" s="36">
        <f>IF(W762=0,0,N(R762)*MAX(0,X762-MAX(W762,YEAR(Cfg_Hoje)*12+MONTH(Cfg_Hoje)+IF(DAY(Cfg_Hoje)&gt;=INDEX(Cartoes_Fech,MATCH($F762,Cartoes_Nome,0)),1,0))+1))</f>
        <v>0</v>
      </c>
      <c r="Z762" s="40">
        <f>IF($A762="",0,DAY($A762))</f>
        <v>0</v>
      </c>
      <c r="AA762" s="40">
        <f>IF($A762="",0,WEEKDAY($A762))</f>
        <v>0</v>
      </c>
      <c r="AB762" s="36">
        <f>IF(AND($C762="Despesa",U762&gt;0,U762&lt;=Sel_Idx,V762&gt;=Sel_Idx),N(R762)+ROW()/1000000000,0)</f>
        <v>0</v>
      </c>
      <c r="AC762" s="40">
        <f>IF(AND($C762="Despesa",U762&gt;0,U762&lt;=Sel_Idx,V762&gt;=Sel_Idx),Z762*10000+ROW(),0)</f>
        <v>0</v>
      </c>
      <c r="AD762" s="40">
        <f>IF(AC762=0,0,COUNTIFS(L_CalChave,"&gt;0",L_CalChave,"&lt;"&amp;AC762)+1)</f>
        <v>0</v>
      </c>
    </row>
    <row r="763">
      <c r="A763" s="38" t="n"/>
      <c r="B763" s="39" t="n"/>
      <c r="C763" s="34" t="n"/>
      <c r="D763" s="34" t="n"/>
      <c r="E763" s="34" t="n"/>
      <c r="F763" s="34" t="n"/>
      <c r="G763" s="34" t="n"/>
      <c r="H763" s="37" t="n"/>
      <c r="I763" s="37" t="n"/>
      <c r="J763" s="34" t="n"/>
      <c r="K763" s="34" t="n"/>
      <c r="L763" s="34" t="n"/>
      <c r="M763" s="39" t="n"/>
      <c r="N763" s="35" t="n"/>
      <c r="O763" s="40" t="str">
        <f>IF($A763="","",MONTH($A763))</f>
        <v/>
      </c>
      <c r="P763" s="40" t="str">
        <f>IF($A763="","",YEAR($A763))</f>
        <v/>
      </c>
      <c r="Q763" s="41" t="str">
        <f>IF($A763="","",DATE(P763,O763,1))</f>
        <v/>
      </c>
      <c r="R763" s="36" t="str">
        <f>IF(OR($A763="",$N763=""),"",IF(AND($C763&lt;&gt;"Transferência",N($I763)&gt;1),$N763/$I763,$N763))</f>
        <v/>
      </c>
      <c r="S763" s="41" t="str">
        <f>IF(OR($A763="",$F763="",$C763&lt;&gt;"Despesa"),"",IF(COUNTIF(Cartoes_Nome,$F763)=0,"",DATE(P763,O763+IF(DAY($A763)&gt;=INDEX(Cartoes_Fech,MATCH($F763,Cartoes_Nome,0)),1,0),1)))</f>
        <v/>
      </c>
      <c r="T763" s="42" t="str">
        <f>IF($A763="","",IF(COUNTIFS(L_Data,$A763,L_Desc,$B763,L_Valor,$N763,L_Tipo,$C763)&gt;1,"⚠ Possível duplicidade",IF(OR(AND($C763="Despesa",COUNTIF(CatD_Nome,$D763)=0),AND($C763="Receita",COUNTIF(CatR_Nome,$D763)=0)),"⚠ Categoria não combina com o tipo",IF(OR($N763="",$C763=""),"⚠ Falta valor ou tipo",""))))</f>
        <v/>
      </c>
      <c r="U763" s="40">
        <f>IF($A763="",0,P763*12+O763)</f>
        <v>0</v>
      </c>
      <c r="V763" s="40">
        <f>IF($A763="",0,U763+MAX(0,N($I763)-MAX(N($H763),1)))</f>
        <v>0</v>
      </c>
      <c r="W763" s="40">
        <f>IF(S763="",0,YEAR(S763)*12+MONTH(S763))</f>
        <v>0</v>
      </c>
      <c r="X763" s="40">
        <f>IF(W763=0,0,W763+V763-U763)</f>
        <v>0</v>
      </c>
      <c r="Y763" s="36">
        <f>IF(W763=0,0,N(R763)*MAX(0,X763-MAX(W763,YEAR(Cfg_Hoje)*12+MONTH(Cfg_Hoje)+IF(DAY(Cfg_Hoje)&gt;=INDEX(Cartoes_Fech,MATCH($F763,Cartoes_Nome,0)),1,0))+1))</f>
        <v>0</v>
      </c>
      <c r="Z763" s="40">
        <f>IF($A763="",0,DAY($A763))</f>
        <v>0</v>
      </c>
      <c r="AA763" s="40">
        <f>IF($A763="",0,WEEKDAY($A763))</f>
        <v>0</v>
      </c>
      <c r="AB763" s="36">
        <f>IF(AND($C763="Despesa",U763&gt;0,U763&lt;=Sel_Idx,V763&gt;=Sel_Idx),N(R763)+ROW()/1000000000,0)</f>
        <v>0</v>
      </c>
      <c r="AC763" s="40">
        <f>IF(AND($C763="Despesa",U763&gt;0,U763&lt;=Sel_Idx,V763&gt;=Sel_Idx),Z763*10000+ROW(),0)</f>
        <v>0</v>
      </c>
      <c r="AD763" s="40">
        <f>IF(AC763=0,0,COUNTIFS(L_CalChave,"&gt;0",L_CalChave,"&lt;"&amp;AC763)+1)</f>
        <v>0</v>
      </c>
    </row>
    <row r="764">
      <c r="A764" s="38" t="n"/>
      <c r="B764" s="39" t="n"/>
      <c r="C764" s="34" t="n"/>
      <c r="D764" s="34" t="n"/>
      <c r="E764" s="34" t="n"/>
      <c r="F764" s="34" t="n"/>
      <c r="G764" s="34" t="n"/>
      <c r="H764" s="37" t="n"/>
      <c r="I764" s="37" t="n"/>
      <c r="J764" s="34" t="n"/>
      <c r="K764" s="34" t="n"/>
      <c r="L764" s="34" t="n"/>
      <c r="M764" s="39" t="n"/>
      <c r="N764" s="35" t="n"/>
      <c r="O764" s="40" t="str">
        <f>IF($A764="","",MONTH($A764))</f>
        <v/>
      </c>
      <c r="P764" s="40" t="str">
        <f>IF($A764="","",YEAR($A764))</f>
        <v/>
      </c>
      <c r="Q764" s="41" t="str">
        <f>IF($A764="","",DATE(P764,O764,1))</f>
        <v/>
      </c>
      <c r="R764" s="36" t="str">
        <f>IF(OR($A764="",$N764=""),"",IF(AND($C764&lt;&gt;"Transferência",N($I764)&gt;1),$N764/$I764,$N764))</f>
        <v/>
      </c>
      <c r="S764" s="41" t="str">
        <f>IF(OR($A764="",$F764="",$C764&lt;&gt;"Despesa"),"",IF(COUNTIF(Cartoes_Nome,$F764)=0,"",DATE(P764,O764+IF(DAY($A764)&gt;=INDEX(Cartoes_Fech,MATCH($F764,Cartoes_Nome,0)),1,0),1)))</f>
        <v/>
      </c>
      <c r="T764" s="42" t="str">
        <f>IF($A764="","",IF(COUNTIFS(L_Data,$A764,L_Desc,$B764,L_Valor,$N764,L_Tipo,$C764)&gt;1,"⚠ Possível duplicidade",IF(OR(AND($C764="Despesa",COUNTIF(CatD_Nome,$D764)=0),AND($C764="Receita",COUNTIF(CatR_Nome,$D764)=0)),"⚠ Categoria não combina com o tipo",IF(OR($N764="",$C764=""),"⚠ Falta valor ou tipo",""))))</f>
        <v/>
      </c>
      <c r="U764" s="40">
        <f>IF($A764="",0,P764*12+O764)</f>
        <v>0</v>
      </c>
      <c r="V764" s="40">
        <f>IF($A764="",0,U764+MAX(0,N($I764)-MAX(N($H764),1)))</f>
        <v>0</v>
      </c>
      <c r="W764" s="40">
        <f>IF(S764="",0,YEAR(S764)*12+MONTH(S764))</f>
        <v>0</v>
      </c>
      <c r="X764" s="40">
        <f>IF(W764=0,0,W764+V764-U764)</f>
        <v>0</v>
      </c>
      <c r="Y764" s="36">
        <f>IF(W764=0,0,N(R764)*MAX(0,X764-MAX(W764,YEAR(Cfg_Hoje)*12+MONTH(Cfg_Hoje)+IF(DAY(Cfg_Hoje)&gt;=INDEX(Cartoes_Fech,MATCH($F764,Cartoes_Nome,0)),1,0))+1))</f>
        <v>0</v>
      </c>
      <c r="Z764" s="40">
        <f>IF($A764="",0,DAY($A764))</f>
        <v>0</v>
      </c>
      <c r="AA764" s="40">
        <f>IF($A764="",0,WEEKDAY($A764))</f>
        <v>0</v>
      </c>
      <c r="AB764" s="36">
        <f>IF(AND($C764="Despesa",U764&gt;0,U764&lt;=Sel_Idx,V764&gt;=Sel_Idx),N(R764)+ROW()/1000000000,0)</f>
        <v>0</v>
      </c>
      <c r="AC764" s="40">
        <f>IF(AND($C764="Despesa",U764&gt;0,U764&lt;=Sel_Idx,V764&gt;=Sel_Idx),Z764*10000+ROW(),0)</f>
        <v>0</v>
      </c>
      <c r="AD764" s="40">
        <f>IF(AC764=0,0,COUNTIFS(L_CalChave,"&gt;0",L_CalChave,"&lt;"&amp;AC764)+1)</f>
        <v>0</v>
      </c>
    </row>
    <row r="765">
      <c r="A765" s="38" t="n"/>
      <c r="B765" s="39" t="n"/>
      <c r="C765" s="34" t="n"/>
      <c r="D765" s="34" t="n"/>
      <c r="E765" s="34" t="n"/>
      <c r="F765" s="34" t="n"/>
      <c r="G765" s="34" t="n"/>
      <c r="H765" s="37" t="n"/>
      <c r="I765" s="37" t="n"/>
      <c r="J765" s="34" t="n"/>
      <c r="K765" s="34" t="n"/>
      <c r="L765" s="34" t="n"/>
      <c r="M765" s="39" t="n"/>
      <c r="N765" s="35" t="n"/>
      <c r="O765" s="40" t="str">
        <f>IF($A765="","",MONTH($A765))</f>
        <v/>
      </c>
      <c r="P765" s="40" t="str">
        <f>IF($A765="","",YEAR($A765))</f>
        <v/>
      </c>
      <c r="Q765" s="41" t="str">
        <f>IF($A765="","",DATE(P765,O765,1))</f>
        <v/>
      </c>
      <c r="R765" s="36" t="str">
        <f>IF(OR($A765="",$N765=""),"",IF(AND($C765&lt;&gt;"Transferência",N($I765)&gt;1),$N765/$I765,$N765))</f>
        <v/>
      </c>
      <c r="S765" s="41" t="str">
        <f>IF(OR($A765="",$F765="",$C765&lt;&gt;"Despesa"),"",IF(COUNTIF(Cartoes_Nome,$F765)=0,"",DATE(P765,O765+IF(DAY($A765)&gt;=INDEX(Cartoes_Fech,MATCH($F765,Cartoes_Nome,0)),1,0),1)))</f>
        <v/>
      </c>
      <c r="T765" s="42" t="str">
        <f>IF($A765="","",IF(COUNTIFS(L_Data,$A765,L_Desc,$B765,L_Valor,$N765,L_Tipo,$C765)&gt;1,"⚠ Possível duplicidade",IF(OR(AND($C765="Despesa",COUNTIF(CatD_Nome,$D765)=0),AND($C765="Receita",COUNTIF(CatR_Nome,$D765)=0)),"⚠ Categoria não combina com o tipo",IF(OR($N765="",$C765=""),"⚠ Falta valor ou tipo",""))))</f>
        <v/>
      </c>
      <c r="U765" s="40">
        <f>IF($A765="",0,P765*12+O765)</f>
        <v>0</v>
      </c>
      <c r="V765" s="40">
        <f>IF($A765="",0,U765+MAX(0,N($I765)-MAX(N($H765),1)))</f>
        <v>0</v>
      </c>
      <c r="W765" s="40">
        <f>IF(S765="",0,YEAR(S765)*12+MONTH(S765))</f>
        <v>0</v>
      </c>
      <c r="X765" s="40">
        <f>IF(W765=0,0,W765+V765-U765)</f>
        <v>0</v>
      </c>
      <c r="Y765" s="36">
        <f>IF(W765=0,0,N(R765)*MAX(0,X765-MAX(W765,YEAR(Cfg_Hoje)*12+MONTH(Cfg_Hoje)+IF(DAY(Cfg_Hoje)&gt;=INDEX(Cartoes_Fech,MATCH($F765,Cartoes_Nome,0)),1,0))+1))</f>
        <v>0</v>
      </c>
      <c r="Z765" s="40">
        <f>IF($A765="",0,DAY($A765))</f>
        <v>0</v>
      </c>
      <c r="AA765" s="40">
        <f>IF($A765="",0,WEEKDAY($A765))</f>
        <v>0</v>
      </c>
      <c r="AB765" s="36">
        <f>IF(AND($C765="Despesa",U765&gt;0,U765&lt;=Sel_Idx,V765&gt;=Sel_Idx),N(R765)+ROW()/1000000000,0)</f>
        <v>0</v>
      </c>
      <c r="AC765" s="40">
        <f>IF(AND($C765="Despesa",U765&gt;0,U765&lt;=Sel_Idx,V765&gt;=Sel_Idx),Z765*10000+ROW(),0)</f>
        <v>0</v>
      </c>
      <c r="AD765" s="40">
        <f>IF(AC765=0,0,COUNTIFS(L_CalChave,"&gt;0",L_CalChave,"&lt;"&amp;AC765)+1)</f>
        <v>0</v>
      </c>
    </row>
    <row r="766">
      <c r="A766" s="38" t="n"/>
      <c r="B766" s="39" t="n"/>
      <c r="C766" s="34" t="n"/>
      <c r="D766" s="34" t="n"/>
      <c r="E766" s="34" t="n"/>
      <c r="F766" s="34" t="n"/>
      <c r="G766" s="34" t="n"/>
      <c r="H766" s="37" t="n"/>
      <c r="I766" s="37" t="n"/>
      <c r="J766" s="34" t="n"/>
      <c r="K766" s="34" t="n"/>
      <c r="L766" s="34" t="n"/>
      <c r="M766" s="39" t="n"/>
      <c r="N766" s="35" t="n"/>
      <c r="O766" s="40" t="str">
        <f>IF($A766="","",MONTH($A766))</f>
        <v/>
      </c>
      <c r="P766" s="40" t="str">
        <f>IF($A766="","",YEAR($A766))</f>
        <v/>
      </c>
      <c r="Q766" s="41" t="str">
        <f>IF($A766="","",DATE(P766,O766,1))</f>
        <v/>
      </c>
      <c r="R766" s="36" t="str">
        <f>IF(OR($A766="",$N766=""),"",IF(AND($C766&lt;&gt;"Transferência",N($I766)&gt;1),$N766/$I766,$N766))</f>
        <v/>
      </c>
      <c r="S766" s="41" t="str">
        <f>IF(OR($A766="",$F766="",$C766&lt;&gt;"Despesa"),"",IF(COUNTIF(Cartoes_Nome,$F766)=0,"",DATE(P766,O766+IF(DAY($A766)&gt;=INDEX(Cartoes_Fech,MATCH($F766,Cartoes_Nome,0)),1,0),1)))</f>
        <v/>
      </c>
      <c r="T766" s="42" t="str">
        <f>IF($A766="","",IF(COUNTIFS(L_Data,$A766,L_Desc,$B766,L_Valor,$N766,L_Tipo,$C766)&gt;1,"⚠ Possível duplicidade",IF(OR(AND($C766="Despesa",COUNTIF(CatD_Nome,$D766)=0),AND($C766="Receita",COUNTIF(CatR_Nome,$D766)=0)),"⚠ Categoria não combina com o tipo",IF(OR($N766="",$C766=""),"⚠ Falta valor ou tipo",""))))</f>
        <v/>
      </c>
      <c r="U766" s="40">
        <f>IF($A766="",0,P766*12+O766)</f>
        <v>0</v>
      </c>
      <c r="V766" s="40">
        <f>IF($A766="",0,U766+MAX(0,N($I766)-MAX(N($H766),1)))</f>
        <v>0</v>
      </c>
      <c r="W766" s="40">
        <f>IF(S766="",0,YEAR(S766)*12+MONTH(S766))</f>
        <v>0</v>
      </c>
      <c r="X766" s="40">
        <f>IF(W766=0,0,W766+V766-U766)</f>
        <v>0</v>
      </c>
      <c r="Y766" s="36">
        <f>IF(W766=0,0,N(R766)*MAX(0,X766-MAX(W766,YEAR(Cfg_Hoje)*12+MONTH(Cfg_Hoje)+IF(DAY(Cfg_Hoje)&gt;=INDEX(Cartoes_Fech,MATCH($F766,Cartoes_Nome,0)),1,0))+1))</f>
        <v>0</v>
      </c>
      <c r="Z766" s="40">
        <f>IF($A766="",0,DAY($A766))</f>
        <v>0</v>
      </c>
      <c r="AA766" s="40">
        <f>IF($A766="",0,WEEKDAY($A766))</f>
        <v>0</v>
      </c>
      <c r="AB766" s="36">
        <f>IF(AND($C766="Despesa",U766&gt;0,U766&lt;=Sel_Idx,V766&gt;=Sel_Idx),N(R766)+ROW()/1000000000,0)</f>
        <v>0</v>
      </c>
      <c r="AC766" s="40">
        <f>IF(AND($C766="Despesa",U766&gt;0,U766&lt;=Sel_Idx,V766&gt;=Sel_Idx),Z766*10000+ROW(),0)</f>
        <v>0</v>
      </c>
      <c r="AD766" s="40">
        <f>IF(AC766=0,0,COUNTIFS(L_CalChave,"&gt;0",L_CalChave,"&lt;"&amp;AC766)+1)</f>
        <v>0</v>
      </c>
    </row>
    <row r="767">
      <c r="A767" s="38" t="n"/>
      <c r="B767" s="39" t="n"/>
      <c r="C767" s="34" t="n"/>
      <c r="D767" s="34" t="n"/>
      <c r="E767" s="34" t="n"/>
      <c r="F767" s="34" t="n"/>
      <c r="G767" s="34" t="n"/>
      <c r="H767" s="37" t="n"/>
      <c r="I767" s="37" t="n"/>
      <c r="J767" s="34" t="n"/>
      <c r="K767" s="34" t="n"/>
      <c r="L767" s="34" t="n"/>
      <c r="M767" s="39" t="n"/>
      <c r="N767" s="35" t="n"/>
      <c r="O767" s="40" t="str">
        <f>IF($A767="","",MONTH($A767))</f>
        <v/>
      </c>
      <c r="P767" s="40" t="str">
        <f>IF($A767="","",YEAR($A767))</f>
        <v/>
      </c>
      <c r="Q767" s="41" t="str">
        <f>IF($A767="","",DATE(P767,O767,1))</f>
        <v/>
      </c>
      <c r="R767" s="36" t="str">
        <f>IF(OR($A767="",$N767=""),"",IF(AND($C767&lt;&gt;"Transferência",N($I767)&gt;1),$N767/$I767,$N767))</f>
        <v/>
      </c>
      <c r="S767" s="41" t="str">
        <f>IF(OR($A767="",$F767="",$C767&lt;&gt;"Despesa"),"",IF(COUNTIF(Cartoes_Nome,$F767)=0,"",DATE(P767,O767+IF(DAY($A767)&gt;=INDEX(Cartoes_Fech,MATCH($F767,Cartoes_Nome,0)),1,0),1)))</f>
        <v/>
      </c>
      <c r="T767" s="42" t="str">
        <f>IF($A767="","",IF(COUNTIFS(L_Data,$A767,L_Desc,$B767,L_Valor,$N767,L_Tipo,$C767)&gt;1,"⚠ Possível duplicidade",IF(OR(AND($C767="Despesa",COUNTIF(CatD_Nome,$D767)=0),AND($C767="Receita",COUNTIF(CatR_Nome,$D767)=0)),"⚠ Categoria não combina com o tipo",IF(OR($N767="",$C767=""),"⚠ Falta valor ou tipo",""))))</f>
        <v/>
      </c>
      <c r="U767" s="40">
        <f>IF($A767="",0,P767*12+O767)</f>
        <v>0</v>
      </c>
      <c r="V767" s="40">
        <f>IF($A767="",0,U767+MAX(0,N($I767)-MAX(N($H767),1)))</f>
        <v>0</v>
      </c>
      <c r="W767" s="40">
        <f>IF(S767="",0,YEAR(S767)*12+MONTH(S767))</f>
        <v>0</v>
      </c>
      <c r="X767" s="40">
        <f>IF(W767=0,0,W767+V767-U767)</f>
        <v>0</v>
      </c>
      <c r="Y767" s="36">
        <f>IF(W767=0,0,N(R767)*MAX(0,X767-MAX(W767,YEAR(Cfg_Hoje)*12+MONTH(Cfg_Hoje)+IF(DAY(Cfg_Hoje)&gt;=INDEX(Cartoes_Fech,MATCH($F767,Cartoes_Nome,0)),1,0))+1))</f>
        <v>0</v>
      </c>
      <c r="Z767" s="40">
        <f>IF($A767="",0,DAY($A767))</f>
        <v>0</v>
      </c>
      <c r="AA767" s="40">
        <f>IF($A767="",0,WEEKDAY($A767))</f>
        <v>0</v>
      </c>
      <c r="AB767" s="36">
        <f>IF(AND($C767="Despesa",U767&gt;0,U767&lt;=Sel_Idx,V767&gt;=Sel_Idx),N(R767)+ROW()/1000000000,0)</f>
        <v>0</v>
      </c>
      <c r="AC767" s="40">
        <f>IF(AND($C767="Despesa",U767&gt;0,U767&lt;=Sel_Idx,V767&gt;=Sel_Idx),Z767*10000+ROW(),0)</f>
        <v>0</v>
      </c>
      <c r="AD767" s="40">
        <f>IF(AC767=0,0,COUNTIFS(L_CalChave,"&gt;0",L_CalChave,"&lt;"&amp;AC767)+1)</f>
        <v>0</v>
      </c>
    </row>
    <row r="768">
      <c r="A768" s="38" t="n"/>
      <c r="B768" s="39" t="n"/>
      <c r="C768" s="34" t="n"/>
      <c r="D768" s="34" t="n"/>
      <c r="E768" s="34" t="n"/>
      <c r="F768" s="34" t="n"/>
      <c r="G768" s="34" t="n"/>
      <c r="H768" s="37" t="n"/>
      <c r="I768" s="37" t="n"/>
      <c r="J768" s="34" t="n"/>
      <c r="K768" s="34" t="n"/>
      <c r="L768" s="34" t="n"/>
      <c r="M768" s="39" t="n"/>
      <c r="N768" s="35" t="n"/>
      <c r="O768" s="40" t="str">
        <f>IF($A768="","",MONTH($A768))</f>
        <v/>
      </c>
      <c r="P768" s="40" t="str">
        <f>IF($A768="","",YEAR($A768))</f>
        <v/>
      </c>
      <c r="Q768" s="41" t="str">
        <f>IF($A768="","",DATE(P768,O768,1))</f>
        <v/>
      </c>
      <c r="R768" s="36" t="str">
        <f>IF(OR($A768="",$N768=""),"",IF(AND($C768&lt;&gt;"Transferência",N($I768)&gt;1),$N768/$I768,$N768))</f>
        <v/>
      </c>
      <c r="S768" s="41" t="str">
        <f>IF(OR($A768="",$F768="",$C768&lt;&gt;"Despesa"),"",IF(COUNTIF(Cartoes_Nome,$F768)=0,"",DATE(P768,O768+IF(DAY($A768)&gt;=INDEX(Cartoes_Fech,MATCH($F768,Cartoes_Nome,0)),1,0),1)))</f>
        <v/>
      </c>
      <c r="T768" s="42" t="str">
        <f>IF($A768="","",IF(COUNTIFS(L_Data,$A768,L_Desc,$B768,L_Valor,$N768,L_Tipo,$C768)&gt;1,"⚠ Possível duplicidade",IF(OR(AND($C768="Despesa",COUNTIF(CatD_Nome,$D768)=0),AND($C768="Receita",COUNTIF(CatR_Nome,$D768)=0)),"⚠ Categoria não combina com o tipo",IF(OR($N768="",$C768=""),"⚠ Falta valor ou tipo",""))))</f>
        <v/>
      </c>
      <c r="U768" s="40">
        <f>IF($A768="",0,P768*12+O768)</f>
        <v>0</v>
      </c>
      <c r="V768" s="40">
        <f>IF($A768="",0,U768+MAX(0,N($I768)-MAX(N($H768),1)))</f>
        <v>0</v>
      </c>
      <c r="W768" s="40">
        <f>IF(S768="",0,YEAR(S768)*12+MONTH(S768))</f>
        <v>0</v>
      </c>
      <c r="X768" s="40">
        <f>IF(W768=0,0,W768+V768-U768)</f>
        <v>0</v>
      </c>
      <c r="Y768" s="36">
        <f>IF(W768=0,0,N(R768)*MAX(0,X768-MAX(W768,YEAR(Cfg_Hoje)*12+MONTH(Cfg_Hoje)+IF(DAY(Cfg_Hoje)&gt;=INDEX(Cartoes_Fech,MATCH($F768,Cartoes_Nome,0)),1,0))+1))</f>
        <v>0</v>
      </c>
      <c r="Z768" s="40">
        <f>IF($A768="",0,DAY($A768))</f>
        <v>0</v>
      </c>
      <c r="AA768" s="40">
        <f>IF($A768="",0,WEEKDAY($A768))</f>
        <v>0</v>
      </c>
      <c r="AB768" s="36">
        <f>IF(AND($C768="Despesa",U768&gt;0,U768&lt;=Sel_Idx,V768&gt;=Sel_Idx),N(R768)+ROW()/1000000000,0)</f>
        <v>0</v>
      </c>
      <c r="AC768" s="40">
        <f>IF(AND($C768="Despesa",U768&gt;0,U768&lt;=Sel_Idx,V768&gt;=Sel_Idx),Z768*10000+ROW(),0)</f>
        <v>0</v>
      </c>
      <c r="AD768" s="40">
        <f>IF(AC768=0,0,COUNTIFS(L_CalChave,"&gt;0",L_CalChave,"&lt;"&amp;AC768)+1)</f>
        <v>0</v>
      </c>
    </row>
    <row r="769">
      <c r="A769" s="38" t="n"/>
      <c r="B769" s="39" t="n"/>
      <c r="C769" s="34" t="n"/>
      <c r="D769" s="34" t="n"/>
      <c r="E769" s="34" t="n"/>
      <c r="F769" s="34" t="n"/>
      <c r="G769" s="34" t="n"/>
      <c r="H769" s="37" t="n"/>
      <c r="I769" s="37" t="n"/>
      <c r="J769" s="34" t="n"/>
      <c r="K769" s="34" t="n"/>
      <c r="L769" s="34" t="n"/>
      <c r="M769" s="39" t="n"/>
      <c r="N769" s="35" t="n"/>
      <c r="O769" s="40" t="str">
        <f>IF($A769="","",MONTH($A769))</f>
        <v/>
      </c>
      <c r="P769" s="40" t="str">
        <f>IF($A769="","",YEAR($A769))</f>
        <v/>
      </c>
      <c r="Q769" s="41" t="str">
        <f>IF($A769="","",DATE(P769,O769,1))</f>
        <v/>
      </c>
      <c r="R769" s="36" t="str">
        <f>IF(OR($A769="",$N769=""),"",IF(AND($C769&lt;&gt;"Transferência",N($I769)&gt;1),$N769/$I769,$N769))</f>
        <v/>
      </c>
      <c r="S769" s="41" t="str">
        <f>IF(OR($A769="",$F769="",$C769&lt;&gt;"Despesa"),"",IF(COUNTIF(Cartoes_Nome,$F769)=0,"",DATE(P769,O769+IF(DAY($A769)&gt;=INDEX(Cartoes_Fech,MATCH($F769,Cartoes_Nome,0)),1,0),1)))</f>
        <v/>
      </c>
      <c r="T769" s="42" t="str">
        <f>IF($A769="","",IF(COUNTIFS(L_Data,$A769,L_Desc,$B769,L_Valor,$N769,L_Tipo,$C769)&gt;1,"⚠ Possível duplicidade",IF(OR(AND($C769="Despesa",COUNTIF(CatD_Nome,$D769)=0),AND($C769="Receita",COUNTIF(CatR_Nome,$D769)=0)),"⚠ Categoria não combina com o tipo",IF(OR($N769="",$C769=""),"⚠ Falta valor ou tipo",""))))</f>
        <v/>
      </c>
      <c r="U769" s="40">
        <f>IF($A769="",0,P769*12+O769)</f>
        <v>0</v>
      </c>
      <c r="V769" s="40">
        <f>IF($A769="",0,U769+MAX(0,N($I769)-MAX(N($H769),1)))</f>
        <v>0</v>
      </c>
      <c r="W769" s="40">
        <f>IF(S769="",0,YEAR(S769)*12+MONTH(S769))</f>
        <v>0</v>
      </c>
      <c r="X769" s="40">
        <f>IF(W769=0,0,W769+V769-U769)</f>
        <v>0</v>
      </c>
      <c r="Y769" s="36">
        <f>IF(W769=0,0,N(R769)*MAX(0,X769-MAX(W769,YEAR(Cfg_Hoje)*12+MONTH(Cfg_Hoje)+IF(DAY(Cfg_Hoje)&gt;=INDEX(Cartoes_Fech,MATCH($F769,Cartoes_Nome,0)),1,0))+1))</f>
        <v>0</v>
      </c>
      <c r="Z769" s="40">
        <f>IF($A769="",0,DAY($A769))</f>
        <v>0</v>
      </c>
      <c r="AA769" s="40">
        <f>IF($A769="",0,WEEKDAY($A769))</f>
        <v>0</v>
      </c>
      <c r="AB769" s="36">
        <f>IF(AND($C769="Despesa",U769&gt;0,U769&lt;=Sel_Idx,V769&gt;=Sel_Idx),N(R769)+ROW()/1000000000,0)</f>
        <v>0</v>
      </c>
      <c r="AC769" s="40">
        <f>IF(AND($C769="Despesa",U769&gt;0,U769&lt;=Sel_Idx,V769&gt;=Sel_Idx),Z769*10000+ROW(),0)</f>
        <v>0</v>
      </c>
      <c r="AD769" s="40">
        <f>IF(AC769=0,0,COUNTIFS(L_CalChave,"&gt;0",L_CalChave,"&lt;"&amp;AC769)+1)</f>
        <v>0</v>
      </c>
    </row>
    <row r="770">
      <c r="A770" s="38" t="n"/>
      <c r="B770" s="39" t="n"/>
      <c r="C770" s="34" t="n"/>
      <c r="D770" s="34" t="n"/>
      <c r="E770" s="34" t="n"/>
      <c r="F770" s="34" t="n"/>
      <c r="G770" s="34" t="n"/>
      <c r="H770" s="37" t="n"/>
      <c r="I770" s="37" t="n"/>
      <c r="J770" s="34" t="n"/>
      <c r="K770" s="34" t="n"/>
      <c r="L770" s="34" t="n"/>
      <c r="M770" s="39" t="n"/>
      <c r="N770" s="35" t="n"/>
      <c r="O770" s="40" t="str">
        <f>IF($A770="","",MONTH($A770))</f>
        <v/>
      </c>
      <c r="P770" s="40" t="str">
        <f>IF($A770="","",YEAR($A770))</f>
        <v/>
      </c>
      <c r="Q770" s="41" t="str">
        <f>IF($A770="","",DATE(P770,O770,1))</f>
        <v/>
      </c>
      <c r="R770" s="36" t="str">
        <f>IF(OR($A770="",$N770=""),"",IF(AND($C770&lt;&gt;"Transferência",N($I770)&gt;1),$N770/$I770,$N770))</f>
        <v/>
      </c>
      <c r="S770" s="41" t="str">
        <f>IF(OR($A770="",$F770="",$C770&lt;&gt;"Despesa"),"",IF(COUNTIF(Cartoes_Nome,$F770)=0,"",DATE(P770,O770+IF(DAY($A770)&gt;=INDEX(Cartoes_Fech,MATCH($F770,Cartoes_Nome,0)),1,0),1)))</f>
        <v/>
      </c>
      <c r="T770" s="42" t="str">
        <f>IF($A770="","",IF(COUNTIFS(L_Data,$A770,L_Desc,$B770,L_Valor,$N770,L_Tipo,$C770)&gt;1,"⚠ Possível duplicidade",IF(OR(AND($C770="Despesa",COUNTIF(CatD_Nome,$D770)=0),AND($C770="Receita",COUNTIF(CatR_Nome,$D770)=0)),"⚠ Categoria não combina com o tipo",IF(OR($N770="",$C770=""),"⚠ Falta valor ou tipo",""))))</f>
        <v/>
      </c>
      <c r="U770" s="40">
        <f>IF($A770="",0,P770*12+O770)</f>
        <v>0</v>
      </c>
      <c r="V770" s="40">
        <f>IF($A770="",0,U770+MAX(0,N($I770)-MAX(N($H770),1)))</f>
        <v>0</v>
      </c>
      <c r="W770" s="40">
        <f>IF(S770="",0,YEAR(S770)*12+MONTH(S770))</f>
        <v>0</v>
      </c>
      <c r="X770" s="40">
        <f>IF(W770=0,0,W770+V770-U770)</f>
        <v>0</v>
      </c>
      <c r="Y770" s="36">
        <f>IF(W770=0,0,N(R770)*MAX(0,X770-MAX(W770,YEAR(Cfg_Hoje)*12+MONTH(Cfg_Hoje)+IF(DAY(Cfg_Hoje)&gt;=INDEX(Cartoes_Fech,MATCH($F770,Cartoes_Nome,0)),1,0))+1))</f>
        <v>0</v>
      </c>
      <c r="Z770" s="40">
        <f>IF($A770="",0,DAY($A770))</f>
        <v>0</v>
      </c>
      <c r="AA770" s="40">
        <f>IF($A770="",0,WEEKDAY($A770))</f>
        <v>0</v>
      </c>
      <c r="AB770" s="36">
        <f>IF(AND($C770="Despesa",U770&gt;0,U770&lt;=Sel_Idx,V770&gt;=Sel_Idx),N(R770)+ROW()/1000000000,0)</f>
        <v>0</v>
      </c>
      <c r="AC770" s="40">
        <f>IF(AND($C770="Despesa",U770&gt;0,U770&lt;=Sel_Idx,V770&gt;=Sel_Idx),Z770*10000+ROW(),0)</f>
        <v>0</v>
      </c>
      <c r="AD770" s="40">
        <f>IF(AC770=0,0,COUNTIFS(L_CalChave,"&gt;0",L_CalChave,"&lt;"&amp;AC770)+1)</f>
        <v>0</v>
      </c>
    </row>
    <row r="771">
      <c r="A771" s="38" t="n"/>
      <c r="B771" s="39" t="n"/>
      <c r="C771" s="34" t="n"/>
      <c r="D771" s="34" t="n"/>
      <c r="E771" s="34" t="n"/>
      <c r="F771" s="34" t="n"/>
      <c r="G771" s="34" t="n"/>
      <c r="H771" s="37" t="n"/>
      <c r="I771" s="37" t="n"/>
      <c r="J771" s="34" t="n"/>
      <c r="K771" s="34" t="n"/>
      <c r="L771" s="34" t="n"/>
      <c r="M771" s="39" t="n"/>
      <c r="N771" s="35" t="n"/>
      <c r="O771" s="40" t="str">
        <f>IF($A771="","",MONTH($A771))</f>
        <v/>
      </c>
      <c r="P771" s="40" t="str">
        <f>IF($A771="","",YEAR($A771))</f>
        <v/>
      </c>
      <c r="Q771" s="41" t="str">
        <f>IF($A771="","",DATE(P771,O771,1))</f>
        <v/>
      </c>
      <c r="R771" s="36" t="str">
        <f>IF(OR($A771="",$N771=""),"",IF(AND($C771&lt;&gt;"Transferência",N($I771)&gt;1),$N771/$I771,$N771))</f>
        <v/>
      </c>
      <c r="S771" s="41" t="str">
        <f>IF(OR($A771="",$F771="",$C771&lt;&gt;"Despesa"),"",IF(COUNTIF(Cartoes_Nome,$F771)=0,"",DATE(P771,O771+IF(DAY($A771)&gt;=INDEX(Cartoes_Fech,MATCH($F771,Cartoes_Nome,0)),1,0),1)))</f>
        <v/>
      </c>
      <c r="T771" s="42" t="str">
        <f>IF($A771="","",IF(COUNTIFS(L_Data,$A771,L_Desc,$B771,L_Valor,$N771,L_Tipo,$C771)&gt;1,"⚠ Possível duplicidade",IF(OR(AND($C771="Despesa",COUNTIF(CatD_Nome,$D771)=0),AND($C771="Receita",COUNTIF(CatR_Nome,$D771)=0)),"⚠ Categoria não combina com o tipo",IF(OR($N771="",$C771=""),"⚠ Falta valor ou tipo",""))))</f>
        <v/>
      </c>
      <c r="U771" s="40">
        <f>IF($A771="",0,P771*12+O771)</f>
        <v>0</v>
      </c>
      <c r="V771" s="40">
        <f>IF($A771="",0,U771+MAX(0,N($I771)-MAX(N($H771),1)))</f>
        <v>0</v>
      </c>
      <c r="W771" s="40">
        <f>IF(S771="",0,YEAR(S771)*12+MONTH(S771))</f>
        <v>0</v>
      </c>
      <c r="X771" s="40">
        <f>IF(W771=0,0,W771+V771-U771)</f>
        <v>0</v>
      </c>
      <c r="Y771" s="36">
        <f>IF(W771=0,0,N(R771)*MAX(0,X771-MAX(W771,YEAR(Cfg_Hoje)*12+MONTH(Cfg_Hoje)+IF(DAY(Cfg_Hoje)&gt;=INDEX(Cartoes_Fech,MATCH($F771,Cartoes_Nome,0)),1,0))+1))</f>
        <v>0</v>
      </c>
      <c r="Z771" s="40">
        <f>IF($A771="",0,DAY($A771))</f>
        <v>0</v>
      </c>
      <c r="AA771" s="40">
        <f>IF($A771="",0,WEEKDAY($A771))</f>
        <v>0</v>
      </c>
      <c r="AB771" s="36">
        <f>IF(AND($C771="Despesa",U771&gt;0,U771&lt;=Sel_Idx,V771&gt;=Sel_Idx),N(R771)+ROW()/1000000000,0)</f>
        <v>0</v>
      </c>
      <c r="AC771" s="40">
        <f>IF(AND($C771="Despesa",U771&gt;0,U771&lt;=Sel_Idx,V771&gt;=Sel_Idx),Z771*10000+ROW(),0)</f>
        <v>0</v>
      </c>
      <c r="AD771" s="40">
        <f>IF(AC771=0,0,COUNTIFS(L_CalChave,"&gt;0",L_CalChave,"&lt;"&amp;AC771)+1)</f>
        <v>0</v>
      </c>
    </row>
    <row r="772">
      <c r="A772" s="38" t="n"/>
      <c r="B772" s="39" t="n"/>
      <c r="C772" s="34" t="n"/>
      <c r="D772" s="34" t="n"/>
      <c r="E772" s="34" t="n"/>
      <c r="F772" s="34" t="n"/>
      <c r="G772" s="34" t="n"/>
      <c r="H772" s="37" t="n"/>
      <c r="I772" s="37" t="n"/>
      <c r="J772" s="34" t="n"/>
      <c r="K772" s="34" t="n"/>
      <c r="L772" s="34" t="n"/>
      <c r="M772" s="39" t="n"/>
      <c r="N772" s="35" t="n"/>
      <c r="O772" s="40" t="str">
        <f>IF($A772="","",MONTH($A772))</f>
        <v/>
      </c>
      <c r="P772" s="40" t="str">
        <f>IF($A772="","",YEAR($A772))</f>
        <v/>
      </c>
      <c r="Q772" s="41" t="str">
        <f>IF($A772="","",DATE(P772,O772,1))</f>
        <v/>
      </c>
      <c r="R772" s="36" t="str">
        <f>IF(OR($A772="",$N772=""),"",IF(AND($C772&lt;&gt;"Transferência",N($I772)&gt;1),$N772/$I772,$N772))</f>
        <v/>
      </c>
      <c r="S772" s="41" t="str">
        <f>IF(OR($A772="",$F772="",$C772&lt;&gt;"Despesa"),"",IF(COUNTIF(Cartoes_Nome,$F772)=0,"",DATE(P772,O772+IF(DAY($A772)&gt;=INDEX(Cartoes_Fech,MATCH($F772,Cartoes_Nome,0)),1,0),1)))</f>
        <v/>
      </c>
      <c r="T772" s="42" t="str">
        <f>IF($A772="","",IF(COUNTIFS(L_Data,$A772,L_Desc,$B772,L_Valor,$N772,L_Tipo,$C772)&gt;1,"⚠ Possível duplicidade",IF(OR(AND($C772="Despesa",COUNTIF(CatD_Nome,$D772)=0),AND($C772="Receita",COUNTIF(CatR_Nome,$D772)=0)),"⚠ Categoria não combina com o tipo",IF(OR($N772="",$C772=""),"⚠ Falta valor ou tipo",""))))</f>
        <v/>
      </c>
      <c r="U772" s="40">
        <f>IF($A772="",0,P772*12+O772)</f>
        <v>0</v>
      </c>
      <c r="V772" s="40">
        <f>IF($A772="",0,U772+MAX(0,N($I772)-MAX(N($H772),1)))</f>
        <v>0</v>
      </c>
      <c r="W772" s="40">
        <f>IF(S772="",0,YEAR(S772)*12+MONTH(S772))</f>
        <v>0</v>
      </c>
      <c r="X772" s="40">
        <f>IF(W772=0,0,W772+V772-U772)</f>
        <v>0</v>
      </c>
      <c r="Y772" s="36">
        <f>IF(W772=0,0,N(R772)*MAX(0,X772-MAX(W772,YEAR(Cfg_Hoje)*12+MONTH(Cfg_Hoje)+IF(DAY(Cfg_Hoje)&gt;=INDEX(Cartoes_Fech,MATCH($F772,Cartoes_Nome,0)),1,0))+1))</f>
        <v>0</v>
      </c>
      <c r="Z772" s="40">
        <f>IF($A772="",0,DAY($A772))</f>
        <v>0</v>
      </c>
      <c r="AA772" s="40">
        <f>IF($A772="",0,WEEKDAY($A772))</f>
        <v>0</v>
      </c>
      <c r="AB772" s="36">
        <f>IF(AND($C772="Despesa",U772&gt;0,U772&lt;=Sel_Idx,V772&gt;=Sel_Idx),N(R772)+ROW()/1000000000,0)</f>
        <v>0</v>
      </c>
      <c r="AC772" s="40">
        <f>IF(AND($C772="Despesa",U772&gt;0,U772&lt;=Sel_Idx,V772&gt;=Sel_Idx),Z772*10000+ROW(),0)</f>
        <v>0</v>
      </c>
      <c r="AD772" s="40">
        <f>IF(AC772=0,0,COUNTIFS(L_CalChave,"&gt;0",L_CalChave,"&lt;"&amp;AC772)+1)</f>
        <v>0</v>
      </c>
    </row>
    <row r="773">
      <c r="A773" s="38" t="n"/>
      <c r="B773" s="39" t="n"/>
      <c r="C773" s="34" t="n"/>
      <c r="D773" s="34" t="n"/>
      <c r="E773" s="34" t="n"/>
      <c r="F773" s="34" t="n"/>
      <c r="G773" s="34" t="n"/>
      <c r="H773" s="37" t="n"/>
      <c r="I773" s="37" t="n"/>
      <c r="J773" s="34" t="n"/>
      <c r="K773" s="34" t="n"/>
      <c r="L773" s="34" t="n"/>
      <c r="M773" s="39" t="n"/>
      <c r="N773" s="35" t="n"/>
      <c r="O773" s="40" t="str">
        <f>IF($A773="","",MONTH($A773))</f>
        <v/>
      </c>
      <c r="P773" s="40" t="str">
        <f>IF($A773="","",YEAR($A773))</f>
        <v/>
      </c>
      <c r="Q773" s="41" t="str">
        <f>IF($A773="","",DATE(P773,O773,1))</f>
        <v/>
      </c>
      <c r="R773" s="36" t="str">
        <f>IF(OR($A773="",$N773=""),"",IF(AND($C773&lt;&gt;"Transferência",N($I773)&gt;1),$N773/$I773,$N773))</f>
        <v/>
      </c>
      <c r="S773" s="41" t="str">
        <f>IF(OR($A773="",$F773="",$C773&lt;&gt;"Despesa"),"",IF(COUNTIF(Cartoes_Nome,$F773)=0,"",DATE(P773,O773+IF(DAY($A773)&gt;=INDEX(Cartoes_Fech,MATCH($F773,Cartoes_Nome,0)),1,0),1)))</f>
        <v/>
      </c>
      <c r="T773" s="42" t="str">
        <f>IF($A773="","",IF(COUNTIFS(L_Data,$A773,L_Desc,$B773,L_Valor,$N773,L_Tipo,$C773)&gt;1,"⚠ Possível duplicidade",IF(OR(AND($C773="Despesa",COUNTIF(CatD_Nome,$D773)=0),AND($C773="Receita",COUNTIF(CatR_Nome,$D773)=0)),"⚠ Categoria não combina com o tipo",IF(OR($N773="",$C773=""),"⚠ Falta valor ou tipo",""))))</f>
        <v/>
      </c>
      <c r="U773" s="40">
        <f>IF($A773="",0,P773*12+O773)</f>
        <v>0</v>
      </c>
      <c r="V773" s="40">
        <f>IF($A773="",0,U773+MAX(0,N($I773)-MAX(N($H773),1)))</f>
        <v>0</v>
      </c>
      <c r="W773" s="40">
        <f>IF(S773="",0,YEAR(S773)*12+MONTH(S773))</f>
        <v>0</v>
      </c>
      <c r="X773" s="40">
        <f>IF(W773=0,0,W773+V773-U773)</f>
        <v>0</v>
      </c>
      <c r="Y773" s="36">
        <f>IF(W773=0,0,N(R773)*MAX(0,X773-MAX(W773,YEAR(Cfg_Hoje)*12+MONTH(Cfg_Hoje)+IF(DAY(Cfg_Hoje)&gt;=INDEX(Cartoes_Fech,MATCH($F773,Cartoes_Nome,0)),1,0))+1))</f>
        <v>0</v>
      </c>
      <c r="Z773" s="40">
        <f>IF($A773="",0,DAY($A773))</f>
        <v>0</v>
      </c>
      <c r="AA773" s="40">
        <f>IF($A773="",0,WEEKDAY($A773))</f>
        <v>0</v>
      </c>
      <c r="AB773" s="36">
        <f>IF(AND($C773="Despesa",U773&gt;0,U773&lt;=Sel_Idx,V773&gt;=Sel_Idx),N(R773)+ROW()/1000000000,0)</f>
        <v>0</v>
      </c>
      <c r="AC773" s="40">
        <f>IF(AND($C773="Despesa",U773&gt;0,U773&lt;=Sel_Idx,V773&gt;=Sel_Idx),Z773*10000+ROW(),0)</f>
        <v>0</v>
      </c>
      <c r="AD773" s="40">
        <f>IF(AC773=0,0,COUNTIFS(L_CalChave,"&gt;0",L_CalChave,"&lt;"&amp;AC773)+1)</f>
        <v>0</v>
      </c>
    </row>
    <row r="774">
      <c r="A774" s="38" t="n"/>
      <c r="B774" s="39" t="n"/>
      <c r="C774" s="34" t="n"/>
      <c r="D774" s="34" t="n"/>
      <c r="E774" s="34" t="n"/>
      <c r="F774" s="34" t="n"/>
      <c r="G774" s="34" t="n"/>
      <c r="H774" s="37" t="n"/>
      <c r="I774" s="37" t="n"/>
      <c r="J774" s="34" t="n"/>
      <c r="K774" s="34" t="n"/>
      <c r="L774" s="34" t="n"/>
      <c r="M774" s="39" t="n"/>
      <c r="N774" s="35" t="n"/>
      <c r="O774" s="40" t="str">
        <f>IF($A774="","",MONTH($A774))</f>
        <v/>
      </c>
      <c r="P774" s="40" t="str">
        <f>IF($A774="","",YEAR($A774))</f>
        <v/>
      </c>
      <c r="Q774" s="41" t="str">
        <f>IF($A774="","",DATE(P774,O774,1))</f>
        <v/>
      </c>
      <c r="R774" s="36" t="str">
        <f>IF(OR($A774="",$N774=""),"",IF(AND($C774&lt;&gt;"Transferência",N($I774)&gt;1),$N774/$I774,$N774))</f>
        <v/>
      </c>
      <c r="S774" s="41" t="str">
        <f>IF(OR($A774="",$F774="",$C774&lt;&gt;"Despesa"),"",IF(COUNTIF(Cartoes_Nome,$F774)=0,"",DATE(P774,O774+IF(DAY($A774)&gt;=INDEX(Cartoes_Fech,MATCH($F774,Cartoes_Nome,0)),1,0),1)))</f>
        <v/>
      </c>
      <c r="T774" s="42" t="str">
        <f>IF($A774="","",IF(COUNTIFS(L_Data,$A774,L_Desc,$B774,L_Valor,$N774,L_Tipo,$C774)&gt;1,"⚠ Possível duplicidade",IF(OR(AND($C774="Despesa",COUNTIF(CatD_Nome,$D774)=0),AND($C774="Receita",COUNTIF(CatR_Nome,$D774)=0)),"⚠ Categoria não combina com o tipo",IF(OR($N774="",$C774=""),"⚠ Falta valor ou tipo",""))))</f>
        <v/>
      </c>
      <c r="U774" s="40">
        <f>IF($A774="",0,P774*12+O774)</f>
        <v>0</v>
      </c>
      <c r="V774" s="40">
        <f>IF($A774="",0,U774+MAX(0,N($I774)-MAX(N($H774),1)))</f>
        <v>0</v>
      </c>
      <c r="W774" s="40">
        <f>IF(S774="",0,YEAR(S774)*12+MONTH(S774))</f>
        <v>0</v>
      </c>
      <c r="X774" s="40">
        <f>IF(W774=0,0,W774+V774-U774)</f>
        <v>0</v>
      </c>
      <c r="Y774" s="36">
        <f>IF(W774=0,0,N(R774)*MAX(0,X774-MAX(W774,YEAR(Cfg_Hoje)*12+MONTH(Cfg_Hoje)+IF(DAY(Cfg_Hoje)&gt;=INDEX(Cartoes_Fech,MATCH($F774,Cartoes_Nome,0)),1,0))+1))</f>
        <v>0</v>
      </c>
      <c r="Z774" s="40">
        <f>IF($A774="",0,DAY($A774))</f>
        <v>0</v>
      </c>
      <c r="AA774" s="40">
        <f>IF($A774="",0,WEEKDAY($A774))</f>
        <v>0</v>
      </c>
      <c r="AB774" s="36">
        <f>IF(AND($C774="Despesa",U774&gt;0,U774&lt;=Sel_Idx,V774&gt;=Sel_Idx),N(R774)+ROW()/1000000000,0)</f>
        <v>0</v>
      </c>
      <c r="AC774" s="40">
        <f>IF(AND($C774="Despesa",U774&gt;0,U774&lt;=Sel_Idx,V774&gt;=Sel_Idx),Z774*10000+ROW(),0)</f>
        <v>0</v>
      </c>
      <c r="AD774" s="40">
        <f>IF(AC774=0,0,COUNTIFS(L_CalChave,"&gt;0",L_CalChave,"&lt;"&amp;AC774)+1)</f>
        <v>0</v>
      </c>
    </row>
    <row r="775">
      <c r="A775" s="38" t="n"/>
      <c r="B775" s="39" t="n"/>
      <c r="C775" s="34" t="n"/>
      <c r="D775" s="34" t="n"/>
      <c r="E775" s="34" t="n"/>
      <c r="F775" s="34" t="n"/>
      <c r="G775" s="34" t="n"/>
      <c r="H775" s="37" t="n"/>
      <c r="I775" s="37" t="n"/>
      <c r="J775" s="34" t="n"/>
      <c r="K775" s="34" t="n"/>
      <c r="L775" s="34" t="n"/>
      <c r="M775" s="39" t="n"/>
      <c r="N775" s="35" t="n"/>
      <c r="O775" s="40" t="str">
        <f>IF($A775="","",MONTH($A775))</f>
        <v/>
      </c>
      <c r="P775" s="40" t="str">
        <f>IF($A775="","",YEAR($A775))</f>
        <v/>
      </c>
      <c r="Q775" s="41" t="str">
        <f>IF($A775="","",DATE(P775,O775,1))</f>
        <v/>
      </c>
      <c r="R775" s="36" t="str">
        <f>IF(OR($A775="",$N775=""),"",IF(AND($C775&lt;&gt;"Transferência",N($I775)&gt;1),$N775/$I775,$N775))</f>
        <v/>
      </c>
      <c r="S775" s="41" t="str">
        <f>IF(OR($A775="",$F775="",$C775&lt;&gt;"Despesa"),"",IF(COUNTIF(Cartoes_Nome,$F775)=0,"",DATE(P775,O775+IF(DAY($A775)&gt;=INDEX(Cartoes_Fech,MATCH($F775,Cartoes_Nome,0)),1,0),1)))</f>
        <v/>
      </c>
      <c r="T775" s="42" t="str">
        <f>IF($A775="","",IF(COUNTIFS(L_Data,$A775,L_Desc,$B775,L_Valor,$N775,L_Tipo,$C775)&gt;1,"⚠ Possível duplicidade",IF(OR(AND($C775="Despesa",COUNTIF(CatD_Nome,$D775)=0),AND($C775="Receita",COUNTIF(CatR_Nome,$D775)=0)),"⚠ Categoria não combina com o tipo",IF(OR($N775="",$C775=""),"⚠ Falta valor ou tipo",""))))</f>
        <v/>
      </c>
      <c r="U775" s="40">
        <f>IF($A775="",0,P775*12+O775)</f>
        <v>0</v>
      </c>
      <c r="V775" s="40">
        <f>IF($A775="",0,U775+MAX(0,N($I775)-MAX(N($H775),1)))</f>
        <v>0</v>
      </c>
      <c r="W775" s="40">
        <f>IF(S775="",0,YEAR(S775)*12+MONTH(S775))</f>
        <v>0</v>
      </c>
      <c r="X775" s="40">
        <f>IF(W775=0,0,W775+V775-U775)</f>
        <v>0</v>
      </c>
      <c r="Y775" s="36">
        <f>IF(W775=0,0,N(R775)*MAX(0,X775-MAX(W775,YEAR(Cfg_Hoje)*12+MONTH(Cfg_Hoje)+IF(DAY(Cfg_Hoje)&gt;=INDEX(Cartoes_Fech,MATCH($F775,Cartoes_Nome,0)),1,0))+1))</f>
        <v>0</v>
      </c>
      <c r="Z775" s="40">
        <f>IF($A775="",0,DAY($A775))</f>
        <v>0</v>
      </c>
      <c r="AA775" s="40">
        <f>IF($A775="",0,WEEKDAY($A775))</f>
        <v>0</v>
      </c>
      <c r="AB775" s="36">
        <f>IF(AND($C775="Despesa",U775&gt;0,U775&lt;=Sel_Idx,V775&gt;=Sel_Idx),N(R775)+ROW()/1000000000,0)</f>
        <v>0</v>
      </c>
      <c r="AC775" s="40">
        <f>IF(AND($C775="Despesa",U775&gt;0,U775&lt;=Sel_Idx,V775&gt;=Sel_Idx),Z775*10000+ROW(),0)</f>
        <v>0</v>
      </c>
      <c r="AD775" s="40">
        <f>IF(AC775=0,0,COUNTIFS(L_CalChave,"&gt;0",L_CalChave,"&lt;"&amp;AC775)+1)</f>
        <v>0</v>
      </c>
    </row>
    <row r="776">
      <c r="A776" s="38" t="n"/>
      <c r="B776" s="39" t="n"/>
      <c r="C776" s="34" t="n"/>
      <c r="D776" s="34" t="n"/>
      <c r="E776" s="34" t="n"/>
      <c r="F776" s="34" t="n"/>
      <c r="G776" s="34" t="n"/>
      <c r="H776" s="37" t="n"/>
      <c r="I776" s="37" t="n"/>
      <c r="J776" s="34" t="n"/>
      <c r="K776" s="34" t="n"/>
      <c r="L776" s="34" t="n"/>
      <c r="M776" s="39" t="n"/>
      <c r="N776" s="35" t="n"/>
      <c r="O776" s="40" t="str">
        <f>IF($A776="","",MONTH($A776))</f>
        <v/>
      </c>
      <c r="P776" s="40" t="str">
        <f>IF($A776="","",YEAR($A776))</f>
        <v/>
      </c>
      <c r="Q776" s="41" t="str">
        <f>IF($A776="","",DATE(P776,O776,1))</f>
        <v/>
      </c>
      <c r="R776" s="36" t="str">
        <f>IF(OR($A776="",$N776=""),"",IF(AND($C776&lt;&gt;"Transferência",N($I776)&gt;1),$N776/$I776,$N776))</f>
        <v/>
      </c>
      <c r="S776" s="41" t="str">
        <f>IF(OR($A776="",$F776="",$C776&lt;&gt;"Despesa"),"",IF(COUNTIF(Cartoes_Nome,$F776)=0,"",DATE(P776,O776+IF(DAY($A776)&gt;=INDEX(Cartoes_Fech,MATCH($F776,Cartoes_Nome,0)),1,0),1)))</f>
        <v/>
      </c>
      <c r="T776" s="42" t="str">
        <f>IF($A776="","",IF(COUNTIFS(L_Data,$A776,L_Desc,$B776,L_Valor,$N776,L_Tipo,$C776)&gt;1,"⚠ Possível duplicidade",IF(OR(AND($C776="Despesa",COUNTIF(CatD_Nome,$D776)=0),AND($C776="Receita",COUNTIF(CatR_Nome,$D776)=0)),"⚠ Categoria não combina com o tipo",IF(OR($N776="",$C776=""),"⚠ Falta valor ou tipo",""))))</f>
        <v/>
      </c>
      <c r="U776" s="40">
        <f>IF($A776="",0,P776*12+O776)</f>
        <v>0</v>
      </c>
      <c r="V776" s="40">
        <f>IF($A776="",0,U776+MAX(0,N($I776)-MAX(N($H776),1)))</f>
        <v>0</v>
      </c>
      <c r="W776" s="40">
        <f>IF(S776="",0,YEAR(S776)*12+MONTH(S776))</f>
        <v>0</v>
      </c>
      <c r="X776" s="40">
        <f>IF(W776=0,0,W776+V776-U776)</f>
        <v>0</v>
      </c>
      <c r="Y776" s="36">
        <f>IF(W776=0,0,N(R776)*MAX(0,X776-MAX(W776,YEAR(Cfg_Hoje)*12+MONTH(Cfg_Hoje)+IF(DAY(Cfg_Hoje)&gt;=INDEX(Cartoes_Fech,MATCH($F776,Cartoes_Nome,0)),1,0))+1))</f>
        <v>0</v>
      </c>
      <c r="Z776" s="40">
        <f>IF($A776="",0,DAY($A776))</f>
        <v>0</v>
      </c>
      <c r="AA776" s="40">
        <f>IF($A776="",0,WEEKDAY($A776))</f>
        <v>0</v>
      </c>
      <c r="AB776" s="36">
        <f>IF(AND($C776="Despesa",U776&gt;0,U776&lt;=Sel_Idx,V776&gt;=Sel_Idx),N(R776)+ROW()/1000000000,0)</f>
        <v>0</v>
      </c>
      <c r="AC776" s="40">
        <f>IF(AND($C776="Despesa",U776&gt;0,U776&lt;=Sel_Idx,V776&gt;=Sel_Idx),Z776*10000+ROW(),0)</f>
        <v>0</v>
      </c>
      <c r="AD776" s="40">
        <f>IF(AC776=0,0,COUNTIFS(L_CalChave,"&gt;0",L_CalChave,"&lt;"&amp;AC776)+1)</f>
        <v>0</v>
      </c>
    </row>
    <row r="777">
      <c r="A777" s="38" t="n"/>
      <c r="B777" s="39" t="n"/>
      <c r="C777" s="34" t="n"/>
      <c r="D777" s="34" t="n"/>
      <c r="E777" s="34" t="n"/>
      <c r="F777" s="34" t="n"/>
      <c r="G777" s="34" t="n"/>
      <c r="H777" s="37" t="n"/>
      <c r="I777" s="37" t="n"/>
      <c r="J777" s="34" t="n"/>
      <c r="K777" s="34" t="n"/>
      <c r="L777" s="34" t="n"/>
      <c r="M777" s="39" t="n"/>
      <c r="N777" s="35" t="n"/>
      <c r="O777" s="40" t="str">
        <f>IF($A777="","",MONTH($A777))</f>
        <v/>
      </c>
      <c r="P777" s="40" t="str">
        <f>IF($A777="","",YEAR($A777))</f>
        <v/>
      </c>
      <c r="Q777" s="41" t="str">
        <f>IF($A777="","",DATE(P777,O777,1))</f>
        <v/>
      </c>
      <c r="R777" s="36" t="str">
        <f>IF(OR($A777="",$N777=""),"",IF(AND($C777&lt;&gt;"Transferência",N($I777)&gt;1),$N777/$I777,$N777))</f>
        <v/>
      </c>
      <c r="S777" s="41" t="str">
        <f>IF(OR($A777="",$F777="",$C777&lt;&gt;"Despesa"),"",IF(COUNTIF(Cartoes_Nome,$F777)=0,"",DATE(P777,O777+IF(DAY($A777)&gt;=INDEX(Cartoes_Fech,MATCH($F777,Cartoes_Nome,0)),1,0),1)))</f>
        <v/>
      </c>
      <c r="T777" s="42" t="str">
        <f>IF($A777="","",IF(COUNTIFS(L_Data,$A777,L_Desc,$B777,L_Valor,$N777,L_Tipo,$C777)&gt;1,"⚠ Possível duplicidade",IF(OR(AND($C777="Despesa",COUNTIF(CatD_Nome,$D777)=0),AND($C777="Receita",COUNTIF(CatR_Nome,$D777)=0)),"⚠ Categoria não combina com o tipo",IF(OR($N777="",$C777=""),"⚠ Falta valor ou tipo",""))))</f>
        <v/>
      </c>
      <c r="U777" s="40">
        <f>IF($A777="",0,P777*12+O777)</f>
        <v>0</v>
      </c>
      <c r="V777" s="40">
        <f>IF($A777="",0,U777+MAX(0,N($I777)-MAX(N($H777),1)))</f>
        <v>0</v>
      </c>
      <c r="W777" s="40">
        <f>IF(S777="",0,YEAR(S777)*12+MONTH(S777))</f>
        <v>0</v>
      </c>
      <c r="X777" s="40">
        <f>IF(W777=0,0,W777+V777-U777)</f>
        <v>0</v>
      </c>
      <c r="Y777" s="36">
        <f>IF(W777=0,0,N(R777)*MAX(0,X777-MAX(W777,YEAR(Cfg_Hoje)*12+MONTH(Cfg_Hoje)+IF(DAY(Cfg_Hoje)&gt;=INDEX(Cartoes_Fech,MATCH($F777,Cartoes_Nome,0)),1,0))+1))</f>
        <v>0</v>
      </c>
      <c r="Z777" s="40">
        <f>IF($A777="",0,DAY($A777))</f>
        <v>0</v>
      </c>
      <c r="AA777" s="40">
        <f>IF($A777="",0,WEEKDAY($A777))</f>
        <v>0</v>
      </c>
      <c r="AB777" s="36">
        <f>IF(AND($C777="Despesa",U777&gt;0,U777&lt;=Sel_Idx,V777&gt;=Sel_Idx),N(R777)+ROW()/1000000000,0)</f>
        <v>0</v>
      </c>
      <c r="AC777" s="40">
        <f>IF(AND($C777="Despesa",U777&gt;0,U777&lt;=Sel_Idx,V777&gt;=Sel_Idx),Z777*10000+ROW(),0)</f>
        <v>0</v>
      </c>
      <c r="AD777" s="40">
        <f>IF(AC777=0,0,COUNTIFS(L_CalChave,"&gt;0",L_CalChave,"&lt;"&amp;AC777)+1)</f>
        <v>0</v>
      </c>
    </row>
    <row r="778">
      <c r="A778" s="38" t="n"/>
      <c r="B778" s="39" t="n"/>
      <c r="C778" s="34" t="n"/>
      <c r="D778" s="34" t="n"/>
      <c r="E778" s="34" t="n"/>
      <c r="F778" s="34" t="n"/>
      <c r="G778" s="34" t="n"/>
      <c r="H778" s="37" t="n"/>
      <c r="I778" s="37" t="n"/>
      <c r="J778" s="34" t="n"/>
      <c r="K778" s="34" t="n"/>
      <c r="L778" s="34" t="n"/>
      <c r="M778" s="39" t="n"/>
      <c r="N778" s="35" t="n"/>
      <c r="O778" s="40" t="str">
        <f>IF($A778="","",MONTH($A778))</f>
        <v/>
      </c>
      <c r="P778" s="40" t="str">
        <f>IF($A778="","",YEAR($A778))</f>
        <v/>
      </c>
      <c r="Q778" s="41" t="str">
        <f>IF($A778="","",DATE(P778,O778,1))</f>
        <v/>
      </c>
      <c r="R778" s="36" t="str">
        <f>IF(OR($A778="",$N778=""),"",IF(AND($C778&lt;&gt;"Transferência",N($I778)&gt;1),$N778/$I778,$N778))</f>
        <v/>
      </c>
      <c r="S778" s="41" t="str">
        <f>IF(OR($A778="",$F778="",$C778&lt;&gt;"Despesa"),"",IF(COUNTIF(Cartoes_Nome,$F778)=0,"",DATE(P778,O778+IF(DAY($A778)&gt;=INDEX(Cartoes_Fech,MATCH($F778,Cartoes_Nome,0)),1,0),1)))</f>
        <v/>
      </c>
      <c r="T778" s="42" t="str">
        <f>IF($A778="","",IF(COUNTIFS(L_Data,$A778,L_Desc,$B778,L_Valor,$N778,L_Tipo,$C778)&gt;1,"⚠ Possível duplicidade",IF(OR(AND($C778="Despesa",COUNTIF(CatD_Nome,$D778)=0),AND($C778="Receita",COUNTIF(CatR_Nome,$D778)=0)),"⚠ Categoria não combina com o tipo",IF(OR($N778="",$C778=""),"⚠ Falta valor ou tipo",""))))</f>
        <v/>
      </c>
      <c r="U778" s="40">
        <f>IF($A778="",0,P778*12+O778)</f>
        <v>0</v>
      </c>
      <c r="V778" s="40">
        <f>IF($A778="",0,U778+MAX(0,N($I778)-MAX(N($H778),1)))</f>
        <v>0</v>
      </c>
      <c r="W778" s="40">
        <f>IF(S778="",0,YEAR(S778)*12+MONTH(S778))</f>
        <v>0</v>
      </c>
      <c r="X778" s="40">
        <f>IF(W778=0,0,W778+V778-U778)</f>
        <v>0</v>
      </c>
      <c r="Y778" s="36">
        <f>IF(W778=0,0,N(R778)*MAX(0,X778-MAX(W778,YEAR(Cfg_Hoje)*12+MONTH(Cfg_Hoje)+IF(DAY(Cfg_Hoje)&gt;=INDEX(Cartoes_Fech,MATCH($F778,Cartoes_Nome,0)),1,0))+1))</f>
        <v>0</v>
      </c>
      <c r="Z778" s="40">
        <f>IF($A778="",0,DAY($A778))</f>
        <v>0</v>
      </c>
      <c r="AA778" s="40">
        <f>IF($A778="",0,WEEKDAY($A778))</f>
        <v>0</v>
      </c>
      <c r="AB778" s="36">
        <f>IF(AND($C778="Despesa",U778&gt;0,U778&lt;=Sel_Idx,V778&gt;=Sel_Idx),N(R778)+ROW()/1000000000,0)</f>
        <v>0</v>
      </c>
      <c r="AC778" s="40">
        <f>IF(AND($C778="Despesa",U778&gt;0,U778&lt;=Sel_Idx,V778&gt;=Sel_Idx),Z778*10000+ROW(),0)</f>
        <v>0</v>
      </c>
      <c r="AD778" s="40">
        <f>IF(AC778=0,0,COUNTIFS(L_CalChave,"&gt;0",L_CalChave,"&lt;"&amp;AC778)+1)</f>
        <v>0</v>
      </c>
    </row>
    <row r="779">
      <c r="A779" s="38" t="n"/>
      <c r="B779" s="39" t="n"/>
      <c r="C779" s="34" t="n"/>
      <c r="D779" s="34" t="n"/>
      <c r="E779" s="34" t="n"/>
      <c r="F779" s="34" t="n"/>
      <c r="G779" s="34" t="n"/>
      <c r="H779" s="37" t="n"/>
      <c r="I779" s="37" t="n"/>
      <c r="J779" s="34" t="n"/>
      <c r="K779" s="34" t="n"/>
      <c r="L779" s="34" t="n"/>
      <c r="M779" s="39" t="n"/>
      <c r="N779" s="35" t="n"/>
      <c r="O779" s="40" t="str">
        <f>IF($A779="","",MONTH($A779))</f>
        <v/>
      </c>
      <c r="P779" s="40" t="str">
        <f>IF($A779="","",YEAR($A779))</f>
        <v/>
      </c>
      <c r="Q779" s="41" t="str">
        <f>IF($A779="","",DATE(P779,O779,1))</f>
        <v/>
      </c>
      <c r="R779" s="36" t="str">
        <f>IF(OR($A779="",$N779=""),"",IF(AND($C779&lt;&gt;"Transferência",N($I779)&gt;1),$N779/$I779,$N779))</f>
        <v/>
      </c>
      <c r="S779" s="41" t="str">
        <f>IF(OR($A779="",$F779="",$C779&lt;&gt;"Despesa"),"",IF(COUNTIF(Cartoes_Nome,$F779)=0,"",DATE(P779,O779+IF(DAY($A779)&gt;=INDEX(Cartoes_Fech,MATCH($F779,Cartoes_Nome,0)),1,0),1)))</f>
        <v/>
      </c>
      <c r="T779" s="42" t="str">
        <f>IF($A779="","",IF(COUNTIFS(L_Data,$A779,L_Desc,$B779,L_Valor,$N779,L_Tipo,$C779)&gt;1,"⚠ Possível duplicidade",IF(OR(AND($C779="Despesa",COUNTIF(CatD_Nome,$D779)=0),AND($C779="Receita",COUNTIF(CatR_Nome,$D779)=0)),"⚠ Categoria não combina com o tipo",IF(OR($N779="",$C779=""),"⚠ Falta valor ou tipo",""))))</f>
        <v/>
      </c>
      <c r="U779" s="40">
        <f>IF($A779="",0,P779*12+O779)</f>
        <v>0</v>
      </c>
      <c r="V779" s="40">
        <f>IF($A779="",0,U779+MAX(0,N($I779)-MAX(N($H779),1)))</f>
        <v>0</v>
      </c>
      <c r="W779" s="40">
        <f>IF(S779="",0,YEAR(S779)*12+MONTH(S779))</f>
        <v>0</v>
      </c>
      <c r="X779" s="40">
        <f>IF(W779=0,0,W779+V779-U779)</f>
        <v>0</v>
      </c>
      <c r="Y779" s="36">
        <f>IF(W779=0,0,N(R779)*MAX(0,X779-MAX(W779,YEAR(Cfg_Hoje)*12+MONTH(Cfg_Hoje)+IF(DAY(Cfg_Hoje)&gt;=INDEX(Cartoes_Fech,MATCH($F779,Cartoes_Nome,0)),1,0))+1))</f>
        <v>0</v>
      </c>
      <c r="Z779" s="40">
        <f>IF($A779="",0,DAY($A779))</f>
        <v>0</v>
      </c>
      <c r="AA779" s="40">
        <f>IF($A779="",0,WEEKDAY($A779))</f>
        <v>0</v>
      </c>
      <c r="AB779" s="36">
        <f>IF(AND($C779="Despesa",U779&gt;0,U779&lt;=Sel_Idx,V779&gt;=Sel_Idx),N(R779)+ROW()/1000000000,0)</f>
        <v>0</v>
      </c>
      <c r="AC779" s="40">
        <f>IF(AND($C779="Despesa",U779&gt;0,U779&lt;=Sel_Idx,V779&gt;=Sel_Idx),Z779*10000+ROW(),0)</f>
        <v>0</v>
      </c>
      <c r="AD779" s="40">
        <f>IF(AC779=0,0,COUNTIFS(L_CalChave,"&gt;0",L_CalChave,"&lt;"&amp;AC779)+1)</f>
        <v>0</v>
      </c>
    </row>
    <row r="780">
      <c r="A780" s="38" t="n"/>
      <c r="B780" s="39" t="n"/>
      <c r="C780" s="34" t="n"/>
      <c r="D780" s="34" t="n"/>
      <c r="E780" s="34" t="n"/>
      <c r="F780" s="34" t="n"/>
      <c r="G780" s="34" t="n"/>
      <c r="H780" s="37" t="n"/>
      <c r="I780" s="37" t="n"/>
      <c r="J780" s="34" t="n"/>
      <c r="K780" s="34" t="n"/>
      <c r="L780" s="34" t="n"/>
      <c r="M780" s="39" t="n"/>
      <c r="N780" s="35" t="n"/>
      <c r="O780" s="40" t="str">
        <f>IF($A780="","",MONTH($A780))</f>
        <v/>
      </c>
      <c r="P780" s="40" t="str">
        <f>IF($A780="","",YEAR($A780))</f>
        <v/>
      </c>
      <c r="Q780" s="41" t="str">
        <f>IF($A780="","",DATE(P780,O780,1))</f>
        <v/>
      </c>
      <c r="R780" s="36" t="str">
        <f>IF(OR($A780="",$N780=""),"",IF(AND($C780&lt;&gt;"Transferência",N($I780)&gt;1),$N780/$I780,$N780))</f>
        <v/>
      </c>
      <c r="S780" s="41" t="str">
        <f>IF(OR($A780="",$F780="",$C780&lt;&gt;"Despesa"),"",IF(COUNTIF(Cartoes_Nome,$F780)=0,"",DATE(P780,O780+IF(DAY($A780)&gt;=INDEX(Cartoes_Fech,MATCH($F780,Cartoes_Nome,0)),1,0),1)))</f>
        <v/>
      </c>
      <c r="T780" s="42" t="str">
        <f>IF($A780="","",IF(COUNTIFS(L_Data,$A780,L_Desc,$B780,L_Valor,$N780,L_Tipo,$C780)&gt;1,"⚠ Possível duplicidade",IF(OR(AND($C780="Despesa",COUNTIF(CatD_Nome,$D780)=0),AND($C780="Receita",COUNTIF(CatR_Nome,$D780)=0)),"⚠ Categoria não combina com o tipo",IF(OR($N780="",$C780=""),"⚠ Falta valor ou tipo",""))))</f>
        <v/>
      </c>
      <c r="U780" s="40">
        <f>IF($A780="",0,P780*12+O780)</f>
        <v>0</v>
      </c>
      <c r="V780" s="40">
        <f>IF($A780="",0,U780+MAX(0,N($I780)-MAX(N($H780),1)))</f>
        <v>0</v>
      </c>
      <c r="W780" s="40">
        <f>IF(S780="",0,YEAR(S780)*12+MONTH(S780))</f>
        <v>0</v>
      </c>
      <c r="X780" s="40">
        <f>IF(W780=0,0,W780+V780-U780)</f>
        <v>0</v>
      </c>
      <c r="Y780" s="36">
        <f>IF(W780=0,0,N(R780)*MAX(0,X780-MAX(W780,YEAR(Cfg_Hoje)*12+MONTH(Cfg_Hoje)+IF(DAY(Cfg_Hoje)&gt;=INDEX(Cartoes_Fech,MATCH($F780,Cartoes_Nome,0)),1,0))+1))</f>
        <v>0</v>
      </c>
      <c r="Z780" s="40">
        <f>IF($A780="",0,DAY($A780))</f>
        <v>0</v>
      </c>
      <c r="AA780" s="40">
        <f>IF($A780="",0,WEEKDAY($A780))</f>
        <v>0</v>
      </c>
      <c r="AB780" s="36">
        <f>IF(AND($C780="Despesa",U780&gt;0,U780&lt;=Sel_Idx,V780&gt;=Sel_Idx),N(R780)+ROW()/1000000000,0)</f>
        <v>0</v>
      </c>
      <c r="AC780" s="40">
        <f>IF(AND($C780="Despesa",U780&gt;0,U780&lt;=Sel_Idx,V780&gt;=Sel_Idx),Z780*10000+ROW(),0)</f>
        <v>0</v>
      </c>
      <c r="AD780" s="40">
        <f>IF(AC780=0,0,COUNTIFS(L_CalChave,"&gt;0",L_CalChave,"&lt;"&amp;AC780)+1)</f>
        <v>0</v>
      </c>
    </row>
    <row r="781">
      <c r="A781" s="38" t="n"/>
      <c r="B781" s="39" t="n"/>
      <c r="C781" s="34" t="n"/>
      <c r="D781" s="34" t="n"/>
      <c r="E781" s="34" t="n"/>
      <c r="F781" s="34" t="n"/>
      <c r="G781" s="34" t="n"/>
      <c r="H781" s="37" t="n"/>
      <c r="I781" s="37" t="n"/>
      <c r="J781" s="34" t="n"/>
      <c r="K781" s="34" t="n"/>
      <c r="L781" s="34" t="n"/>
      <c r="M781" s="39" t="n"/>
      <c r="N781" s="35" t="n"/>
      <c r="O781" s="40" t="str">
        <f>IF($A781="","",MONTH($A781))</f>
        <v/>
      </c>
      <c r="P781" s="40" t="str">
        <f>IF($A781="","",YEAR($A781))</f>
        <v/>
      </c>
      <c r="Q781" s="41" t="str">
        <f>IF($A781="","",DATE(P781,O781,1))</f>
        <v/>
      </c>
      <c r="R781" s="36" t="str">
        <f>IF(OR($A781="",$N781=""),"",IF(AND($C781&lt;&gt;"Transferência",N($I781)&gt;1),$N781/$I781,$N781))</f>
        <v/>
      </c>
      <c r="S781" s="41" t="str">
        <f>IF(OR($A781="",$F781="",$C781&lt;&gt;"Despesa"),"",IF(COUNTIF(Cartoes_Nome,$F781)=0,"",DATE(P781,O781+IF(DAY($A781)&gt;=INDEX(Cartoes_Fech,MATCH($F781,Cartoes_Nome,0)),1,0),1)))</f>
        <v/>
      </c>
      <c r="T781" s="42" t="str">
        <f>IF($A781="","",IF(COUNTIFS(L_Data,$A781,L_Desc,$B781,L_Valor,$N781,L_Tipo,$C781)&gt;1,"⚠ Possível duplicidade",IF(OR(AND($C781="Despesa",COUNTIF(CatD_Nome,$D781)=0),AND($C781="Receita",COUNTIF(CatR_Nome,$D781)=0)),"⚠ Categoria não combina com o tipo",IF(OR($N781="",$C781=""),"⚠ Falta valor ou tipo",""))))</f>
        <v/>
      </c>
      <c r="U781" s="40">
        <f>IF($A781="",0,P781*12+O781)</f>
        <v>0</v>
      </c>
      <c r="V781" s="40">
        <f>IF($A781="",0,U781+MAX(0,N($I781)-MAX(N($H781),1)))</f>
        <v>0</v>
      </c>
      <c r="W781" s="40">
        <f>IF(S781="",0,YEAR(S781)*12+MONTH(S781))</f>
        <v>0</v>
      </c>
      <c r="X781" s="40">
        <f>IF(W781=0,0,W781+V781-U781)</f>
        <v>0</v>
      </c>
      <c r="Y781" s="36">
        <f>IF(W781=0,0,N(R781)*MAX(0,X781-MAX(W781,YEAR(Cfg_Hoje)*12+MONTH(Cfg_Hoje)+IF(DAY(Cfg_Hoje)&gt;=INDEX(Cartoes_Fech,MATCH($F781,Cartoes_Nome,0)),1,0))+1))</f>
        <v>0</v>
      </c>
      <c r="Z781" s="40">
        <f>IF($A781="",0,DAY($A781))</f>
        <v>0</v>
      </c>
      <c r="AA781" s="40">
        <f>IF($A781="",0,WEEKDAY($A781))</f>
        <v>0</v>
      </c>
      <c r="AB781" s="36">
        <f>IF(AND($C781="Despesa",U781&gt;0,U781&lt;=Sel_Idx,V781&gt;=Sel_Idx),N(R781)+ROW()/1000000000,0)</f>
        <v>0</v>
      </c>
      <c r="AC781" s="40">
        <f>IF(AND($C781="Despesa",U781&gt;0,U781&lt;=Sel_Idx,V781&gt;=Sel_Idx),Z781*10000+ROW(),0)</f>
        <v>0</v>
      </c>
      <c r="AD781" s="40">
        <f>IF(AC781=0,0,COUNTIFS(L_CalChave,"&gt;0",L_CalChave,"&lt;"&amp;AC781)+1)</f>
        <v>0</v>
      </c>
    </row>
    <row r="782">
      <c r="A782" s="38" t="n"/>
      <c r="B782" s="39" t="n"/>
      <c r="C782" s="34" t="n"/>
      <c r="D782" s="34" t="n"/>
      <c r="E782" s="34" t="n"/>
      <c r="F782" s="34" t="n"/>
      <c r="G782" s="34" t="n"/>
      <c r="H782" s="37" t="n"/>
      <c r="I782" s="37" t="n"/>
      <c r="J782" s="34" t="n"/>
      <c r="K782" s="34" t="n"/>
      <c r="L782" s="34" t="n"/>
      <c r="M782" s="39" t="n"/>
      <c r="N782" s="35" t="n"/>
      <c r="O782" s="40" t="str">
        <f>IF($A782="","",MONTH($A782))</f>
        <v/>
      </c>
      <c r="P782" s="40" t="str">
        <f>IF($A782="","",YEAR($A782))</f>
        <v/>
      </c>
      <c r="Q782" s="41" t="str">
        <f>IF($A782="","",DATE(P782,O782,1))</f>
        <v/>
      </c>
      <c r="R782" s="36" t="str">
        <f>IF(OR($A782="",$N782=""),"",IF(AND($C782&lt;&gt;"Transferência",N($I782)&gt;1),$N782/$I782,$N782))</f>
        <v/>
      </c>
      <c r="S782" s="41" t="str">
        <f>IF(OR($A782="",$F782="",$C782&lt;&gt;"Despesa"),"",IF(COUNTIF(Cartoes_Nome,$F782)=0,"",DATE(P782,O782+IF(DAY($A782)&gt;=INDEX(Cartoes_Fech,MATCH($F782,Cartoes_Nome,0)),1,0),1)))</f>
        <v/>
      </c>
      <c r="T782" s="42" t="str">
        <f>IF($A782="","",IF(COUNTIFS(L_Data,$A782,L_Desc,$B782,L_Valor,$N782,L_Tipo,$C782)&gt;1,"⚠ Possível duplicidade",IF(OR(AND($C782="Despesa",COUNTIF(CatD_Nome,$D782)=0),AND($C782="Receita",COUNTIF(CatR_Nome,$D782)=0)),"⚠ Categoria não combina com o tipo",IF(OR($N782="",$C782=""),"⚠ Falta valor ou tipo",""))))</f>
        <v/>
      </c>
      <c r="U782" s="40">
        <f>IF($A782="",0,P782*12+O782)</f>
        <v>0</v>
      </c>
      <c r="V782" s="40">
        <f>IF($A782="",0,U782+MAX(0,N($I782)-MAX(N($H782),1)))</f>
        <v>0</v>
      </c>
      <c r="W782" s="40">
        <f>IF(S782="",0,YEAR(S782)*12+MONTH(S782))</f>
        <v>0</v>
      </c>
      <c r="X782" s="40">
        <f>IF(W782=0,0,W782+V782-U782)</f>
        <v>0</v>
      </c>
      <c r="Y782" s="36">
        <f>IF(W782=0,0,N(R782)*MAX(0,X782-MAX(W782,YEAR(Cfg_Hoje)*12+MONTH(Cfg_Hoje)+IF(DAY(Cfg_Hoje)&gt;=INDEX(Cartoes_Fech,MATCH($F782,Cartoes_Nome,0)),1,0))+1))</f>
        <v>0</v>
      </c>
      <c r="Z782" s="40">
        <f>IF($A782="",0,DAY($A782))</f>
        <v>0</v>
      </c>
      <c r="AA782" s="40">
        <f>IF($A782="",0,WEEKDAY($A782))</f>
        <v>0</v>
      </c>
      <c r="AB782" s="36">
        <f>IF(AND($C782="Despesa",U782&gt;0,U782&lt;=Sel_Idx,V782&gt;=Sel_Idx),N(R782)+ROW()/1000000000,0)</f>
        <v>0</v>
      </c>
      <c r="AC782" s="40">
        <f>IF(AND($C782="Despesa",U782&gt;0,U782&lt;=Sel_Idx,V782&gt;=Sel_Idx),Z782*10000+ROW(),0)</f>
        <v>0</v>
      </c>
      <c r="AD782" s="40">
        <f>IF(AC782=0,0,COUNTIFS(L_CalChave,"&gt;0",L_CalChave,"&lt;"&amp;AC782)+1)</f>
        <v>0</v>
      </c>
    </row>
    <row r="783">
      <c r="A783" s="38" t="n"/>
      <c r="B783" s="39" t="n"/>
      <c r="C783" s="34" t="n"/>
      <c r="D783" s="34" t="n"/>
      <c r="E783" s="34" t="n"/>
      <c r="F783" s="34" t="n"/>
      <c r="G783" s="34" t="n"/>
      <c r="H783" s="37" t="n"/>
      <c r="I783" s="37" t="n"/>
      <c r="J783" s="34" t="n"/>
      <c r="K783" s="34" t="n"/>
      <c r="L783" s="34" t="n"/>
      <c r="M783" s="39" t="n"/>
      <c r="N783" s="35" t="n"/>
      <c r="O783" s="40" t="str">
        <f>IF($A783="","",MONTH($A783))</f>
        <v/>
      </c>
      <c r="P783" s="40" t="str">
        <f>IF($A783="","",YEAR($A783))</f>
        <v/>
      </c>
      <c r="Q783" s="41" t="str">
        <f>IF($A783="","",DATE(P783,O783,1))</f>
        <v/>
      </c>
      <c r="R783" s="36" t="str">
        <f>IF(OR($A783="",$N783=""),"",IF(AND($C783&lt;&gt;"Transferência",N($I783)&gt;1),$N783/$I783,$N783))</f>
        <v/>
      </c>
      <c r="S783" s="41" t="str">
        <f>IF(OR($A783="",$F783="",$C783&lt;&gt;"Despesa"),"",IF(COUNTIF(Cartoes_Nome,$F783)=0,"",DATE(P783,O783+IF(DAY($A783)&gt;=INDEX(Cartoes_Fech,MATCH($F783,Cartoes_Nome,0)),1,0),1)))</f>
        <v/>
      </c>
      <c r="T783" s="42" t="str">
        <f>IF($A783="","",IF(COUNTIFS(L_Data,$A783,L_Desc,$B783,L_Valor,$N783,L_Tipo,$C783)&gt;1,"⚠ Possível duplicidade",IF(OR(AND($C783="Despesa",COUNTIF(CatD_Nome,$D783)=0),AND($C783="Receita",COUNTIF(CatR_Nome,$D783)=0)),"⚠ Categoria não combina com o tipo",IF(OR($N783="",$C783=""),"⚠ Falta valor ou tipo",""))))</f>
        <v/>
      </c>
      <c r="U783" s="40">
        <f>IF($A783="",0,P783*12+O783)</f>
        <v>0</v>
      </c>
      <c r="V783" s="40">
        <f>IF($A783="",0,U783+MAX(0,N($I783)-MAX(N($H783),1)))</f>
        <v>0</v>
      </c>
      <c r="W783" s="40">
        <f>IF(S783="",0,YEAR(S783)*12+MONTH(S783))</f>
        <v>0</v>
      </c>
      <c r="X783" s="40">
        <f>IF(W783=0,0,W783+V783-U783)</f>
        <v>0</v>
      </c>
      <c r="Y783" s="36">
        <f>IF(W783=0,0,N(R783)*MAX(0,X783-MAX(W783,YEAR(Cfg_Hoje)*12+MONTH(Cfg_Hoje)+IF(DAY(Cfg_Hoje)&gt;=INDEX(Cartoes_Fech,MATCH($F783,Cartoes_Nome,0)),1,0))+1))</f>
        <v>0</v>
      </c>
      <c r="Z783" s="40">
        <f>IF($A783="",0,DAY($A783))</f>
        <v>0</v>
      </c>
      <c r="AA783" s="40">
        <f>IF($A783="",0,WEEKDAY($A783))</f>
        <v>0</v>
      </c>
      <c r="AB783" s="36">
        <f>IF(AND($C783="Despesa",U783&gt;0,U783&lt;=Sel_Idx,V783&gt;=Sel_Idx),N(R783)+ROW()/1000000000,0)</f>
        <v>0</v>
      </c>
      <c r="AC783" s="40">
        <f>IF(AND($C783="Despesa",U783&gt;0,U783&lt;=Sel_Idx,V783&gt;=Sel_Idx),Z783*10000+ROW(),0)</f>
        <v>0</v>
      </c>
      <c r="AD783" s="40">
        <f>IF(AC783=0,0,COUNTIFS(L_CalChave,"&gt;0",L_CalChave,"&lt;"&amp;AC783)+1)</f>
        <v>0</v>
      </c>
    </row>
    <row r="784">
      <c r="A784" s="38" t="n"/>
      <c r="B784" s="39" t="n"/>
      <c r="C784" s="34" t="n"/>
      <c r="D784" s="34" t="n"/>
      <c r="E784" s="34" t="n"/>
      <c r="F784" s="34" t="n"/>
      <c r="G784" s="34" t="n"/>
      <c r="H784" s="37" t="n"/>
      <c r="I784" s="37" t="n"/>
      <c r="J784" s="34" t="n"/>
      <c r="K784" s="34" t="n"/>
      <c r="L784" s="34" t="n"/>
      <c r="M784" s="39" t="n"/>
      <c r="N784" s="35" t="n"/>
      <c r="O784" s="40" t="str">
        <f>IF($A784="","",MONTH($A784))</f>
        <v/>
      </c>
      <c r="P784" s="40" t="str">
        <f>IF($A784="","",YEAR($A784))</f>
        <v/>
      </c>
      <c r="Q784" s="41" t="str">
        <f>IF($A784="","",DATE(P784,O784,1))</f>
        <v/>
      </c>
      <c r="R784" s="36" t="str">
        <f>IF(OR($A784="",$N784=""),"",IF(AND($C784&lt;&gt;"Transferência",N($I784)&gt;1),$N784/$I784,$N784))</f>
        <v/>
      </c>
      <c r="S784" s="41" t="str">
        <f>IF(OR($A784="",$F784="",$C784&lt;&gt;"Despesa"),"",IF(COUNTIF(Cartoes_Nome,$F784)=0,"",DATE(P784,O784+IF(DAY($A784)&gt;=INDEX(Cartoes_Fech,MATCH($F784,Cartoes_Nome,0)),1,0),1)))</f>
        <v/>
      </c>
      <c r="T784" s="42" t="str">
        <f>IF($A784="","",IF(COUNTIFS(L_Data,$A784,L_Desc,$B784,L_Valor,$N784,L_Tipo,$C784)&gt;1,"⚠ Possível duplicidade",IF(OR(AND($C784="Despesa",COUNTIF(CatD_Nome,$D784)=0),AND($C784="Receita",COUNTIF(CatR_Nome,$D784)=0)),"⚠ Categoria não combina com o tipo",IF(OR($N784="",$C784=""),"⚠ Falta valor ou tipo",""))))</f>
        <v/>
      </c>
      <c r="U784" s="40">
        <f>IF($A784="",0,P784*12+O784)</f>
        <v>0</v>
      </c>
      <c r="V784" s="40">
        <f>IF($A784="",0,U784+MAX(0,N($I784)-MAX(N($H784),1)))</f>
        <v>0</v>
      </c>
      <c r="W784" s="40">
        <f>IF(S784="",0,YEAR(S784)*12+MONTH(S784))</f>
        <v>0</v>
      </c>
      <c r="X784" s="40">
        <f>IF(W784=0,0,W784+V784-U784)</f>
        <v>0</v>
      </c>
      <c r="Y784" s="36">
        <f>IF(W784=0,0,N(R784)*MAX(0,X784-MAX(W784,YEAR(Cfg_Hoje)*12+MONTH(Cfg_Hoje)+IF(DAY(Cfg_Hoje)&gt;=INDEX(Cartoes_Fech,MATCH($F784,Cartoes_Nome,0)),1,0))+1))</f>
        <v>0</v>
      </c>
      <c r="Z784" s="40">
        <f>IF($A784="",0,DAY($A784))</f>
        <v>0</v>
      </c>
      <c r="AA784" s="40">
        <f>IF($A784="",0,WEEKDAY($A784))</f>
        <v>0</v>
      </c>
      <c r="AB784" s="36">
        <f>IF(AND($C784="Despesa",U784&gt;0,U784&lt;=Sel_Idx,V784&gt;=Sel_Idx),N(R784)+ROW()/1000000000,0)</f>
        <v>0</v>
      </c>
      <c r="AC784" s="40">
        <f>IF(AND($C784="Despesa",U784&gt;0,U784&lt;=Sel_Idx,V784&gt;=Sel_Idx),Z784*10000+ROW(),0)</f>
        <v>0</v>
      </c>
      <c r="AD784" s="40">
        <f>IF(AC784=0,0,COUNTIFS(L_CalChave,"&gt;0",L_CalChave,"&lt;"&amp;AC784)+1)</f>
        <v>0</v>
      </c>
    </row>
    <row r="785">
      <c r="A785" s="38" t="n"/>
      <c r="B785" s="39" t="n"/>
      <c r="C785" s="34" t="n"/>
      <c r="D785" s="34" t="n"/>
      <c r="E785" s="34" t="n"/>
      <c r="F785" s="34" t="n"/>
      <c r="G785" s="34" t="n"/>
      <c r="H785" s="37" t="n"/>
      <c r="I785" s="37" t="n"/>
      <c r="J785" s="34" t="n"/>
      <c r="K785" s="34" t="n"/>
      <c r="L785" s="34" t="n"/>
      <c r="M785" s="39" t="n"/>
      <c r="N785" s="35" t="n"/>
      <c r="O785" s="40" t="str">
        <f>IF($A785="","",MONTH($A785))</f>
        <v/>
      </c>
      <c r="P785" s="40" t="str">
        <f>IF($A785="","",YEAR($A785))</f>
        <v/>
      </c>
      <c r="Q785" s="41" t="str">
        <f>IF($A785="","",DATE(P785,O785,1))</f>
        <v/>
      </c>
      <c r="R785" s="36" t="str">
        <f>IF(OR($A785="",$N785=""),"",IF(AND($C785&lt;&gt;"Transferência",N($I785)&gt;1),$N785/$I785,$N785))</f>
        <v/>
      </c>
      <c r="S785" s="41" t="str">
        <f>IF(OR($A785="",$F785="",$C785&lt;&gt;"Despesa"),"",IF(COUNTIF(Cartoes_Nome,$F785)=0,"",DATE(P785,O785+IF(DAY($A785)&gt;=INDEX(Cartoes_Fech,MATCH($F785,Cartoes_Nome,0)),1,0),1)))</f>
        <v/>
      </c>
      <c r="T785" s="42" t="str">
        <f>IF($A785="","",IF(COUNTIFS(L_Data,$A785,L_Desc,$B785,L_Valor,$N785,L_Tipo,$C785)&gt;1,"⚠ Possível duplicidade",IF(OR(AND($C785="Despesa",COUNTIF(CatD_Nome,$D785)=0),AND($C785="Receita",COUNTIF(CatR_Nome,$D785)=0)),"⚠ Categoria não combina com o tipo",IF(OR($N785="",$C785=""),"⚠ Falta valor ou tipo",""))))</f>
        <v/>
      </c>
      <c r="U785" s="40">
        <f>IF($A785="",0,P785*12+O785)</f>
        <v>0</v>
      </c>
      <c r="V785" s="40">
        <f>IF($A785="",0,U785+MAX(0,N($I785)-MAX(N($H785),1)))</f>
        <v>0</v>
      </c>
      <c r="W785" s="40">
        <f>IF(S785="",0,YEAR(S785)*12+MONTH(S785))</f>
        <v>0</v>
      </c>
      <c r="X785" s="40">
        <f>IF(W785=0,0,W785+V785-U785)</f>
        <v>0</v>
      </c>
      <c r="Y785" s="36">
        <f>IF(W785=0,0,N(R785)*MAX(0,X785-MAX(W785,YEAR(Cfg_Hoje)*12+MONTH(Cfg_Hoje)+IF(DAY(Cfg_Hoje)&gt;=INDEX(Cartoes_Fech,MATCH($F785,Cartoes_Nome,0)),1,0))+1))</f>
        <v>0</v>
      </c>
      <c r="Z785" s="40">
        <f>IF($A785="",0,DAY($A785))</f>
        <v>0</v>
      </c>
      <c r="AA785" s="40">
        <f>IF($A785="",0,WEEKDAY($A785))</f>
        <v>0</v>
      </c>
      <c r="AB785" s="36">
        <f>IF(AND($C785="Despesa",U785&gt;0,U785&lt;=Sel_Idx,V785&gt;=Sel_Idx),N(R785)+ROW()/1000000000,0)</f>
        <v>0</v>
      </c>
      <c r="AC785" s="40">
        <f>IF(AND($C785="Despesa",U785&gt;0,U785&lt;=Sel_Idx,V785&gt;=Sel_Idx),Z785*10000+ROW(),0)</f>
        <v>0</v>
      </c>
      <c r="AD785" s="40">
        <f>IF(AC785=0,0,COUNTIFS(L_CalChave,"&gt;0",L_CalChave,"&lt;"&amp;AC785)+1)</f>
        <v>0</v>
      </c>
    </row>
    <row r="786">
      <c r="A786" s="38" t="n"/>
      <c r="B786" s="39" t="n"/>
      <c r="C786" s="34" t="n"/>
      <c r="D786" s="34" t="n"/>
      <c r="E786" s="34" t="n"/>
      <c r="F786" s="34" t="n"/>
      <c r="G786" s="34" t="n"/>
      <c r="H786" s="37" t="n"/>
      <c r="I786" s="37" t="n"/>
      <c r="J786" s="34" t="n"/>
      <c r="K786" s="34" t="n"/>
      <c r="L786" s="34" t="n"/>
      <c r="M786" s="39" t="n"/>
      <c r="N786" s="35" t="n"/>
      <c r="O786" s="40" t="str">
        <f>IF($A786="","",MONTH($A786))</f>
        <v/>
      </c>
      <c r="P786" s="40" t="str">
        <f>IF($A786="","",YEAR($A786))</f>
        <v/>
      </c>
      <c r="Q786" s="41" t="str">
        <f>IF($A786="","",DATE(P786,O786,1))</f>
        <v/>
      </c>
      <c r="R786" s="36" t="str">
        <f>IF(OR($A786="",$N786=""),"",IF(AND($C786&lt;&gt;"Transferência",N($I786)&gt;1),$N786/$I786,$N786))</f>
        <v/>
      </c>
      <c r="S786" s="41" t="str">
        <f>IF(OR($A786="",$F786="",$C786&lt;&gt;"Despesa"),"",IF(COUNTIF(Cartoes_Nome,$F786)=0,"",DATE(P786,O786+IF(DAY($A786)&gt;=INDEX(Cartoes_Fech,MATCH($F786,Cartoes_Nome,0)),1,0),1)))</f>
        <v/>
      </c>
      <c r="T786" s="42" t="str">
        <f>IF($A786="","",IF(COUNTIFS(L_Data,$A786,L_Desc,$B786,L_Valor,$N786,L_Tipo,$C786)&gt;1,"⚠ Possível duplicidade",IF(OR(AND($C786="Despesa",COUNTIF(CatD_Nome,$D786)=0),AND($C786="Receita",COUNTIF(CatR_Nome,$D786)=0)),"⚠ Categoria não combina com o tipo",IF(OR($N786="",$C786=""),"⚠ Falta valor ou tipo",""))))</f>
        <v/>
      </c>
      <c r="U786" s="40">
        <f>IF($A786="",0,P786*12+O786)</f>
        <v>0</v>
      </c>
      <c r="V786" s="40">
        <f>IF($A786="",0,U786+MAX(0,N($I786)-MAX(N($H786),1)))</f>
        <v>0</v>
      </c>
      <c r="W786" s="40">
        <f>IF(S786="",0,YEAR(S786)*12+MONTH(S786))</f>
        <v>0</v>
      </c>
      <c r="X786" s="40">
        <f>IF(W786=0,0,W786+V786-U786)</f>
        <v>0</v>
      </c>
      <c r="Y786" s="36">
        <f>IF(W786=0,0,N(R786)*MAX(0,X786-MAX(W786,YEAR(Cfg_Hoje)*12+MONTH(Cfg_Hoje)+IF(DAY(Cfg_Hoje)&gt;=INDEX(Cartoes_Fech,MATCH($F786,Cartoes_Nome,0)),1,0))+1))</f>
        <v>0</v>
      </c>
      <c r="Z786" s="40">
        <f>IF($A786="",0,DAY($A786))</f>
        <v>0</v>
      </c>
      <c r="AA786" s="40">
        <f>IF($A786="",0,WEEKDAY($A786))</f>
        <v>0</v>
      </c>
      <c r="AB786" s="36">
        <f>IF(AND($C786="Despesa",U786&gt;0,U786&lt;=Sel_Idx,V786&gt;=Sel_Idx),N(R786)+ROW()/1000000000,0)</f>
        <v>0</v>
      </c>
      <c r="AC786" s="40">
        <f>IF(AND($C786="Despesa",U786&gt;0,U786&lt;=Sel_Idx,V786&gt;=Sel_Idx),Z786*10000+ROW(),0)</f>
        <v>0</v>
      </c>
      <c r="AD786" s="40">
        <f>IF(AC786=0,0,COUNTIFS(L_CalChave,"&gt;0",L_CalChave,"&lt;"&amp;AC786)+1)</f>
        <v>0</v>
      </c>
    </row>
    <row r="787">
      <c r="A787" s="38" t="n"/>
      <c r="B787" s="39" t="n"/>
      <c r="C787" s="34" t="n"/>
      <c r="D787" s="34" t="n"/>
      <c r="E787" s="34" t="n"/>
      <c r="F787" s="34" t="n"/>
      <c r="G787" s="34" t="n"/>
      <c r="H787" s="37" t="n"/>
      <c r="I787" s="37" t="n"/>
      <c r="J787" s="34" t="n"/>
      <c r="K787" s="34" t="n"/>
      <c r="L787" s="34" t="n"/>
      <c r="M787" s="39" t="n"/>
      <c r="N787" s="35" t="n"/>
      <c r="O787" s="40" t="str">
        <f>IF($A787="","",MONTH($A787))</f>
        <v/>
      </c>
      <c r="P787" s="40" t="str">
        <f>IF($A787="","",YEAR($A787))</f>
        <v/>
      </c>
      <c r="Q787" s="41" t="str">
        <f>IF($A787="","",DATE(P787,O787,1))</f>
        <v/>
      </c>
      <c r="R787" s="36" t="str">
        <f>IF(OR($A787="",$N787=""),"",IF(AND($C787&lt;&gt;"Transferência",N($I787)&gt;1),$N787/$I787,$N787))</f>
        <v/>
      </c>
      <c r="S787" s="41" t="str">
        <f>IF(OR($A787="",$F787="",$C787&lt;&gt;"Despesa"),"",IF(COUNTIF(Cartoes_Nome,$F787)=0,"",DATE(P787,O787+IF(DAY($A787)&gt;=INDEX(Cartoes_Fech,MATCH($F787,Cartoes_Nome,0)),1,0),1)))</f>
        <v/>
      </c>
      <c r="T787" s="42" t="str">
        <f>IF($A787="","",IF(COUNTIFS(L_Data,$A787,L_Desc,$B787,L_Valor,$N787,L_Tipo,$C787)&gt;1,"⚠ Possível duplicidade",IF(OR(AND($C787="Despesa",COUNTIF(CatD_Nome,$D787)=0),AND($C787="Receita",COUNTIF(CatR_Nome,$D787)=0)),"⚠ Categoria não combina com o tipo",IF(OR($N787="",$C787=""),"⚠ Falta valor ou tipo",""))))</f>
        <v/>
      </c>
      <c r="U787" s="40">
        <f>IF($A787="",0,P787*12+O787)</f>
        <v>0</v>
      </c>
      <c r="V787" s="40">
        <f>IF($A787="",0,U787+MAX(0,N($I787)-MAX(N($H787),1)))</f>
        <v>0</v>
      </c>
      <c r="W787" s="40">
        <f>IF(S787="",0,YEAR(S787)*12+MONTH(S787))</f>
        <v>0</v>
      </c>
      <c r="X787" s="40">
        <f>IF(W787=0,0,W787+V787-U787)</f>
        <v>0</v>
      </c>
      <c r="Y787" s="36">
        <f>IF(W787=0,0,N(R787)*MAX(0,X787-MAX(W787,YEAR(Cfg_Hoje)*12+MONTH(Cfg_Hoje)+IF(DAY(Cfg_Hoje)&gt;=INDEX(Cartoes_Fech,MATCH($F787,Cartoes_Nome,0)),1,0))+1))</f>
        <v>0</v>
      </c>
      <c r="Z787" s="40">
        <f>IF($A787="",0,DAY($A787))</f>
        <v>0</v>
      </c>
      <c r="AA787" s="40">
        <f>IF($A787="",0,WEEKDAY($A787))</f>
        <v>0</v>
      </c>
      <c r="AB787" s="36">
        <f>IF(AND($C787="Despesa",U787&gt;0,U787&lt;=Sel_Idx,V787&gt;=Sel_Idx),N(R787)+ROW()/1000000000,0)</f>
        <v>0</v>
      </c>
      <c r="AC787" s="40">
        <f>IF(AND($C787="Despesa",U787&gt;0,U787&lt;=Sel_Idx,V787&gt;=Sel_Idx),Z787*10000+ROW(),0)</f>
        <v>0</v>
      </c>
      <c r="AD787" s="40">
        <f>IF(AC787=0,0,COUNTIFS(L_CalChave,"&gt;0",L_CalChave,"&lt;"&amp;AC787)+1)</f>
        <v>0</v>
      </c>
    </row>
    <row r="788">
      <c r="A788" s="38" t="n"/>
      <c r="B788" s="39" t="n"/>
      <c r="C788" s="34" t="n"/>
      <c r="D788" s="34" t="n"/>
      <c r="E788" s="34" t="n"/>
      <c r="F788" s="34" t="n"/>
      <c r="G788" s="34" t="n"/>
      <c r="H788" s="37" t="n"/>
      <c r="I788" s="37" t="n"/>
      <c r="J788" s="34" t="n"/>
      <c r="K788" s="34" t="n"/>
      <c r="L788" s="34" t="n"/>
      <c r="M788" s="39" t="n"/>
      <c r="N788" s="35" t="n"/>
      <c r="O788" s="40" t="str">
        <f>IF($A788="","",MONTH($A788))</f>
        <v/>
      </c>
      <c r="P788" s="40" t="str">
        <f>IF($A788="","",YEAR($A788))</f>
        <v/>
      </c>
      <c r="Q788" s="41" t="str">
        <f>IF($A788="","",DATE(P788,O788,1))</f>
        <v/>
      </c>
      <c r="R788" s="36" t="str">
        <f>IF(OR($A788="",$N788=""),"",IF(AND($C788&lt;&gt;"Transferência",N($I788)&gt;1),$N788/$I788,$N788))</f>
        <v/>
      </c>
      <c r="S788" s="41" t="str">
        <f>IF(OR($A788="",$F788="",$C788&lt;&gt;"Despesa"),"",IF(COUNTIF(Cartoes_Nome,$F788)=0,"",DATE(P788,O788+IF(DAY($A788)&gt;=INDEX(Cartoes_Fech,MATCH($F788,Cartoes_Nome,0)),1,0),1)))</f>
        <v/>
      </c>
      <c r="T788" s="42" t="str">
        <f>IF($A788="","",IF(COUNTIFS(L_Data,$A788,L_Desc,$B788,L_Valor,$N788,L_Tipo,$C788)&gt;1,"⚠ Possível duplicidade",IF(OR(AND($C788="Despesa",COUNTIF(CatD_Nome,$D788)=0),AND($C788="Receita",COUNTIF(CatR_Nome,$D788)=0)),"⚠ Categoria não combina com o tipo",IF(OR($N788="",$C788=""),"⚠ Falta valor ou tipo",""))))</f>
        <v/>
      </c>
      <c r="U788" s="40">
        <f>IF($A788="",0,P788*12+O788)</f>
        <v>0</v>
      </c>
      <c r="V788" s="40">
        <f>IF($A788="",0,U788+MAX(0,N($I788)-MAX(N($H788),1)))</f>
        <v>0</v>
      </c>
      <c r="W788" s="40">
        <f>IF(S788="",0,YEAR(S788)*12+MONTH(S788))</f>
        <v>0</v>
      </c>
      <c r="X788" s="40">
        <f>IF(W788=0,0,W788+V788-U788)</f>
        <v>0</v>
      </c>
      <c r="Y788" s="36">
        <f>IF(W788=0,0,N(R788)*MAX(0,X788-MAX(W788,YEAR(Cfg_Hoje)*12+MONTH(Cfg_Hoje)+IF(DAY(Cfg_Hoje)&gt;=INDEX(Cartoes_Fech,MATCH($F788,Cartoes_Nome,0)),1,0))+1))</f>
        <v>0</v>
      </c>
      <c r="Z788" s="40">
        <f>IF($A788="",0,DAY($A788))</f>
        <v>0</v>
      </c>
      <c r="AA788" s="40">
        <f>IF($A788="",0,WEEKDAY($A788))</f>
        <v>0</v>
      </c>
      <c r="AB788" s="36">
        <f>IF(AND($C788="Despesa",U788&gt;0,U788&lt;=Sel_Idx,V788&gt;=Sel_Idx),N(R788)+ROW()/1000000000,0)</f>
        <v>0</v>
      </c>
      <c r="AC788" s="40">
        <f>IF(AND($C788="Despesa",U788&gt;0,U788&lt;=Sel_Idx,V788&gt;=Sel_Idx),Z788*10000+ROW(),0)</f>
        <v>0</v>
      </c>
      <c r="AD788" s="40">
        <f>IF(AC788=0,0,COUNTIFS(L_CalChave,"&gt;0",L_CalChave,"&lt;"&amp;AC788)+1)</f>
        <v>0</v>
      </c>
    </row>
    <row r="789">
      <c r="A789" s="38" t="n"/>
      <c r="B789" s="39" t="n"/>
      <c r="C789" s="34" t="n"/>
      <c r="D789" s="34" t="n"/>
      <c r="E789" s="34" t="n"/>
      <c r="F789" s="34" t="n"/>
      <c r="G789" s="34" t="n"/>
      <c r="H789" s="37" t="n"/>
      <c r="I789" s="37" t="n"/>
      <c r="J789" s="34" t="n"/>
      <c r="K789" s="34" t="n"/>
      <c r="L789" s="34" t="n"/>
      <c r="M789" s="39" t="n"/>
      <c r="N789" s="35" t="n"/>
      <c r="O789" s="40" t="str">
        <f>IF($A789="","",MONTH($A789))</f>
        <v/>
      </c>
      <c r="P789" s="40" t="str">
        <f>IF($A789="","",YEAR($A789))</f>
        <v/>
      </c>
      <c r="Q789" s="41" t="str">
        <f>IF($A789="","",DATE(P789,O789,1))</f>
        <v/>
      </c>
      <c r="R789" s="36" t="str">
        <f>IF(OR($A789="",$N789=""),"",IF(AND($C789&lt;&gt;"Transferência",N($I789)&gt;1),$N789/$I789,$N789))</f>
        <v/>
      </c>
      <c r="S789" s="41" t="str">
        <f>IF(OR($A789="",$F789="",$C789&lt;&gt;"Despesa"),"",IF(COUNTIF(Cartoes_Nome,$F789)=0,"",DATE(P789,O789+IF(DAY($A789)&gt;=INDEX(Cartoes_Fech,MATCH($F789,Cartoes_Nome,0)),1,0),1)))</f>
        <v/>
      </c>
      <c r="T789" s="42" t="str">
        <f>IF($A789="","",IF(COUNTIFS(L_Data,$A789,L_Desc,$B789,L_Valor,$N789,L_Tipo,$C789)&gt;1,"⚠ Possível duplicidade",IF(OR(AND($C789="Despesa",COUNTIF(CatD_Nome,$D789)=0),AND($C789="Receita",COUNTIF(CatR_Nome,$D789)=0)),"⚠ Categoria não combina com o tipo",IF(OR($N789="",$C789=""),"⚠ Falta valor ou tipo",""))))</f>
        <v/>
      </c>
      <c r="U789" s="40">
        <f>IF($A789="",0,P789*12+O789)</f>
        <v>0</v>
      </c>
      <c r="V789" s="40">
        <f>IF($A789="",0,U789+MAX(0,N($I789)-MAX(N($H789),1)))</f>
        <v>0</v>
      </c>
      <c r="W789" s="40">
        <f>IF(S789="",0,YEAR(S789)*12+MONTH(S789))</f>
        <v>0</v>
      </c>
      <c r="X789" s="40">
        <f>IF(W789=0,0,W789+V789-U789)</f>
        <v>0</v>
      </c>
      <c r="Y789" s="36">
        <f>IF(W789=0,0,N(R789)*MAX(0,X789-MAX(W789,YEAR(Cfg_Hoje)*12+MONTH(Cfg_Hoje)+IF(DAY(Cfg_Hoje)&gt;=INDEX(Cartoes_Fech,MATCH($F789,Cartoes_Nome,0)),1,0))+1))</f>
        <v>0</v>
      </c>
      <c r="Z789" s="40">
        <f>IF($A789="",0,DAY($A789))</f>
        <v>0</v>
      </c>
      <c r="AA789" s="40">
        <f>IF($A789="",0,WEEKDAY($A789))</f>
        <v>0</v>
      </c>
      <c r="AB789" s="36">
        <f>IF(AND($C789="Despesa",U789&gt;0,U789&lt;=Sel_Idx,V789&gt;=Sel_Idx),N(R789)+ROW()/1000000000,0)</f>
        <v>0</v>
      </c>
      <c r="AC789" s="40">
        <f>IF(AND($C789="Despesa",U789&gt;0,U789&lt;=Sel_Idx,V789&gt;=Sel_Idx),Z789*10000+ROW(),0)</f>
        <v>0</v>
      </c>
      <c r="AD789" s="40">
        <f>IF(AC789=0,0,COUNTIFS(L_CalChave,"&gt;0",L_CalChave,"&lt;"&amp;AC789)+1)</f>
        <v>0</v>
      </c>
    </row>
    <row r="790">
      <c r="A790" s="38" t="n"/>
      <c r="B790" s="39" t="n"/>
      <c r="C790" s="34" t="n"/>
      <c r="D790" s="34" t="n"/>
      <c r="E790" s="34" t="n"/>
      <c r="F790" s="34" t="n"/>
      <c r="G790" s="34" t="n"/>
      <c r="H790" s="37" t="n"/>
      <c r="I790" s="37" t="n"/>
      <c r="J790" s="34" t="n"/>
      <c r="K790" s="34" t="n"/>
      <c r="L790" s="34" t="n"/>
      <c r="M790" s="39" t="n"/>
      <c r="N790" s="35" t="n"/>
      <c r="O790" s="40" t="str">
        <f>IF($A790="","",MONTH($A790))</f>
        <v/>
      </c>
      <c r="P790" s="40" t="str">
        <f>IF($A790="","",YEAR($A790))</f>
        <v/>
      </c>
      <c r="Q790" s="41" t="str">
        <f>IF($A790="","",DATE(P790,O790,1))</f>
        <v/>
      </c>
      <c r="R790" s="36" t="str">
        <f>IF(OR($A790="",$N790=""),"",IF(AND($C790&lt;&gt;"Transferência",N($I790)&gt;1),$N790/$I790,$N790))</f>
        <v/>
      </c>
      <c r="S790" s="41" t="str">
        <f>IF(OR($A790="",$F790="",$C790&lt;&gt;"Despesa"),"",IF(COUNTIF(Cartoes_Nome,$F790)=0,"",DATE(P790,O790+IF(DAY($A790)&gt;=INDEX(Cartoes_Fech,MATCH($F790,Cartoes_Nome,0)),1,0),1)))</f>
        <v/>
      </c>
      <c r="T790" s="42" t="str">
        <f>IF($A790="","",IF(COUNTIFS(L_Data,$A790,L_Desc,$B790,L_Valor,$N790,L_Tipo,$C790)&gt;1,"⚠ Possível duplicidade",IF(OR(AND($C790="Despesa",COUNTIF(CatD_Nome,$D790)=0),AND($C790="Receita",COUNTIF(CatR_Nome,$D790)=0)),"⚠ Categoria não combina com o tipo",IF(OR($N790="",$C790=""),"⚠ Falta valor ou tipo",""))))</f>
        <v/>
      </c>
      <c r="U790" s="40">
        <f>IF($A790="",0,P790*12+O790)</f>
        <v>0</v>
      </c>
      <c r="V790" s="40">
        <f>IF($A790="",0,U790+MAX(0,N($I790)-MAX(N($H790),1)))</f>
        <v>0</v>
      </c>
      <c r="W790" s="40">
        <f>IF(S790="",0,YEAR(S790)*12+MONTH(S790))</f>
        <v>0</v>
      </c>
      <c r="X790" s="40">
        <f>IF(W790=0,0,W790+V790-U790)</f>
        <v>0</v>
      </c>
      <c r="Y790" s="36">
        <f>IF(W790=0,0,N(R790)*MAX(0,X790-MAX(W790,YEAR(Cfg_Hoje)*12+MONTH(Cfg_Hoje)+IF(DAY(Cfg_Hoje)&gt;=INDEX(Cartoes_Fech,MATCH($F790,Cartoes_Nome,0)),1,0))+1))</f>
        <v>0</v>
      </c>
      <c r="Z790" s="40">
        <f>IF($A790="",0,DAY($A790))</f>
        <v>0</v>
      </c>
      <c r="AA790" s="40">
        <f>IF($A790="",0,WEEKDAY($A790))</f>
        <v>0</v>
      </c>
      <c r="AB790" s="36">
        <f>IF(AND($C790="Despesa",U790&gt;0,U790&lt;=Sel_Idx,V790&gt;=Sel_Idx),N(R790)+ROW()/1000000000,0)</f>
        <v>0</v>
      </c>
      <c r="AC790" s="40">
        <f>IF(AND($C790="Despesa",U790&gt;0,U790&lt;=Sel_Idx,V790&gt;=Sel_Idx),Z790*10000+ROW(),0)</f>
        <v>0</v>
      </c>
      <c r="AD790" s="40">
        <f>IF(AC790=0,0,COUNTIFS(L_CalChave,"&gt;0",L_CalChave,"&lt;"&amp;AC790)+1)</f>
        <v>0</v>
      </c>
    </row>
    <row r="791">
      <c r="A791" s="38" t="n"/>
      <c r="B791" s="39" t="n"/>
      <c r="C791" s="34" t="n"/>
      <c r="D791" s="34" t="n"/>
      <c r="E791" s="34" t="n"/>
      <c r="F791" s="34" t="n"/>
      <c r="G791" s="34" t="n"/>
      <c r="H791" s="37" t="n"/>
      <c r="I791" s="37" t="n"/>
      <c r="J791" s="34" t="n"/>
      <c r="K791" s="34" t="n"/>
      <c r="L791" s="34" t="n"/>
      <c r="M791" s="39" t="n"/>
      <c r="N791" s="35" t="n"/>
      <c r="O791" s="40" t="str">
        <f>IF($A791="","",MONTH($A791))</f>
        <v/>
      </c>
      <c r="P791" s="40" t="str">
        <f>IF($A791="","",YEAR($A791))</f>
        <v/>
      </c>
      <c r="Q791" s="41" t="str">
        <f>IF($A791="","",DATE(P791,O791,1))</f>
        <v/>
      </c>
      <c r="R791" s="36" t="str">
        <f>IF(OR($A791="",$N791=""),"",IF(AND($C791&lt;&gt;"Transferência",N($I791)&gt;1),$N791/$I791,$N791))</f>
        <v/>
      </c>
      <c r="S791" s="41" t="str">
        <f>IF(OR($A791="",$F791="",$C791&lt;&gt;"Despesa"),"",IF(COUNTIF(Cartoes_Nome,$F791)=0,"",DATE(P791,O791+IF(DAY($A791)&gt;=INDEX(Cartoes_Fech,MATCH($F791,Cartoes_Nome,0)),1,0),1)))</f>
        <v/>
      </c>
      <c r="T791" s="42" t="str">
        <f>IF($A791="","",IF(COUNTIFS(L_Data,$A791,L_Desc,$B791,L_Valor,$N791,L_Tipo,$C791)&gt;1,"⚠ Possível duplicidade",IF(OR(AND($C791="Despesa",COUNTIF(CatD_Nome,$D791)=0),AND($C791="Receita",COUNTIF(CatR_Nome,$D791)=0)),"⚠ Categoria não combina com o tipo",IF(OR($N791="",$C791=""),"⚠ Falta valor ou tipo",""))))</f>
        <v/>
      </c>
      <c r="U791" s="40">
        <f>IF($A791="",0,P791*12+O791)</f>
        <v>0</v>
      </c>
      <c r="V791" s="40">
        <f>IF($A791="",0,U791+MAX(0,N($I791)-MAX(N($H791),1)))</f>
        <v>0</v>
      </c>
      <c r="W791" s="40">
        <f>IF(S791="",0,YEAR(S791)*12+MONTH(S791))</f>
        <v>0</v>
      </c>
      <c r="X791" s="40">
        <f>IF(W791=0,0,W791+V791-U791)</f>
        <v>0</v>
      </c>
      <c r="Y791" s="36">
        <f>IF(W791=0,0,N(R791)*MAX(0,X791-MAX(W791,YEAR(Cfg_Hoje)*12+MONTH(Cfg_Hoje)+IF(DAY(Cfg_Hoje)&gt;=INDEX(Cartoes_Fech,MATCH($F791,Cartoes_Nome,0)),1,0))+1))</f>
        <v>0</v>
      </c>
      <c r="Z791" s="40">
        <f>IF($A791="",0,DAY($A791))</f>
        <v>0</v>
      </c>
      <c r="AA791" s="40">
        <f>IF($A791="",0,WEEKDAY($A791))</f>
        <v>0</v>
      </c>
      <c r="AB791" s="36">
        <f>IF(AND($C791="Despesa",U791&gt;0,U791&lt;=Sel_Idx,V791&gt;=Sel_Idx),N(R791)+ROW()/1000000000,0)</f>
        <v>0</v>
      </c>
      <c r="AC791" s="40">
        <f>IF(AND($C791="Despesa",U791&gt;0,U791&lt;=Sel_Idx,V791&gt;=Sel_Idx),Z791*10000+ROW(),0)</f>
        <v>0</v>
      </c>
      <c r="AD791" s="40">
        <f>IF(AC791=0,0,COUNTIFS(L_CalChave,"&gt;0",L_CalChave,"&lt;"&amp;AC791)+1)</f>
        <v>0</v>
      </c>
    </row>
    <row r="792">
      <c r="A792" s="38" t="n"/>
      <c r="B792" s="39" t="n"/>
      <c r="C792" s="34" t="n"/>
      <c r="D792" s="34" t="n"/>
      <c r="E792" s="34" t="n"/>
      <c r="F792" s="34" t="n"/>
      <c r="G792" s="34" t="n"/>
      <c r="H792" s="37" t="n"/>
      <c r="I792" s="37" t="n"/>
      <c r="J792" s="34" t="n"/>
      <c r="K792" s="34" t="n"/>
      <c r="L792" s="34" t="n"/>
      <c r="M792" s="39" t="n"/>
      <c r="N792" s="35" t="n"/>
      <c r="O792" s="40" t="str">
        <f>IF($A792="","",MONTH($A792))</f>
        <v/>
      </c>
      <c r="P792" s="40" t="str">
        <f>IF($A792="","",YEAR($A792))</f>
        <v/>
      </c>
      <c r="Q792" s="41" t="str">
        <f>IF($A792="","",DATE(P792,O792,1))</f>
        <v/>
      </c>
      <c r="R792" s="36" t="str">
        <f>IF(OR($A792="",$N792=""),"",IF(AND($C792&lt;&gt;"Transferência",N($I792)&gt;1),$N792/$I792,$N792))</f>
        <v/>
      </c>
      <c r="S792" s="41" t="str">
        <f>IF(OR($A792="",$F792="",$C792&lt;&gt;"Despesa"),"",IF(COUNTIF(Cartoes_Nome,$F792)=0,"",DATE(P792,O792+IF(DAY($A792)&gt;=INDEX(Cartoes_Fech,MATCH($F792,Cartoes_Nome,0)),1,0),1)))</f>
        <v/>
      </c>
      <c r="T792" s="42" t="str">
        <f>IF($A792="","",IF(COUNTIFS(L_Data,$A792,L_Desc,$B792,L_Valor,$N792,L_Tipo,$C792)&gt;1,"⚠ Possível duplicidade",IF(OR(AND($C792="Despesa",COUNTIF(CatD_Nome,$D792)=0),AND($C792="Receita",COUNTIF(CatR_Nome,$D792)=0)),"⚠ Categoria não combina com o tipo",IF(OR($N792="",$C792=""),"⚠ Falta valor ou tipo",""))))</f>
        <v/>
      </c>
      <c r="U792" s="40">
        <f>IF($A792="",0,P792*12+O792)</f>
        <v>0</v>
      </c>
      <c r="V792" s="40">
        <f>IF($A792="",0,U792+MAX(0,N($I792)-MAX(N($H792),1)))</f>
        <v>0</v>
      </c>
      <c r="W792" s="40">
        <f>IF(S792="",0,YEAR(S792)*12+MONTH(S792))</f>
        <v>0</v>
      </c>
      <c r="X792" s="40">
        <f>IF(W792=0,0,W792+V792-U792)</f>
        <v>0</v>
      </c>
      <c r="Y792" s="36">
        <f>IF(W792=0,0,N(R792)*MAX(0,X792-MAX(W792,YEAR(Cfg_Hoje)*12+MONTH(Cfg_Hoje)+IF(DAY(Cfg_Hoje)&gt;=INDEX(Cartoes_Fech,MATCH($F792,Cartoes_Nome,0)),1,0))+1))</f>
        <v>0</v>
      </c>
      <c r="Z792" s="40">
        <f>IF($A792="",0,DAY($A792))</f>
        <v>0</v>
      </c>
      <c r="AA792" s="40">
        <f>IF($A792="",0,WEEKDAY($A792))</f>
        <v>0</v>
      </c>
      <c r="AB792" s="36">
        <f>IF(AND($C792="Despesa",U792&gt;0,U792&lt;=Sel_Idx,V792&gt;=Sel_Idx),N(R792)+ROW()/1000000000,0)</f>
        <v>0</v>
      </c>
      <c r="AC792" s="40">
        <f>IF(AND($C792="Despesa",U792&gt;0,U792&lt;=Sel_Idx,V792&gt;=Sel_Idx),Z792*10000+ROW(),0)</f>
        <v>0</v>
      </c>
      <c r="AD792" s="40">
        <f>IF(AC792=0,0,COUNTIFS(L_CalChave,"&gt;0",L_CalChave,"&lt;"&amp;AC792)+1)</f>
        <v>0</v>
      </c>
    </row>
    <row r="793">
      <c r="A793" s="38" t="n"/>
      <c r="B793" s="39" t="n"/>
      <c r="C793" s="34" t="n"/>
      <c r="D793" s="34" t="n"/>
      <c r="E793" s="34" t="n"/>
      <c r="F793" s="34" t="n"/>
      <c r="G793" s="34" t="n"/>
      <c r="H793" s="37" t="n"/>
      <c r="I793" s="37" t="n"/>
      <c r="J793" s="34" t="n"/>
      <c r="K793" s="34" t="n"/>
      <c r="L793" s="34" t="n"/>
      <c r="M793" s="39" t="n"/>
      <c r="N793" s="35" t="n"/>
      <c r="O793" s="40" t="str">
        <f>IF($A793="","",MONTH($A793))</f>
        <v/>
      </c>
      <c r="P793" s="40" t="str">
        <f>IF($A793="","",YEAR($A793))</f>
        <v/>
      </c>
      <c r="Q793" s="41" t="str">
        <f>IF($A793="","",DATE(P793,O793,1))</f>
        <v/>
      </c>
      <c r="R793" s="36" t="str">
        <f>IF(OR($A793="",$N793=""),"",IF(AND($C793&lt;&gt;"Transferência",N($I793)&gt;1),$N793/$I793,$N793))</f>
        <v/>
      </c>
      <c r="S793" s="41" t="str">
        <f>IF(OR($A793="",$F793="",$C793&lt;&gt;"Despesa"),"",IF(COUNTIF(Cartoes_Nome,$F793)=0,"",DATE(P793,O793+IF(DAY($A793)&gt;=INDEX(Cartoes_Fech,MATCH($F793,Cartoes_Nome,0)),1,0),1)))</f>
        <v/>
      </c>
      <c r="T793" s="42" t="str">
        <f>IF($A793="","",IF(COUNTIFS(L_Data,$A793,L_Desc,$B793,L_Valor,$N793,L_Tipo,$C793)&gt;1,"⚠ Possível duplicidade",IF(OR(AND($C793="Despesa",COUNTIF(CatD_Nome,$D793)=0),AND($C793="Receita",COUNTIF(CatR_Nome,$D793)=0)),"⚠ Categoria não combina com o tipo",IF(OR($N793="",$C793=""),"⚠ Falta valor ou tipo",""))))</f>
        <v/>
      </c>
      <c r="U793" s="40">
        <f>IF($A793="",0,P793*12+O793)</f>
        <v>0</v>
      </c>
      <c r="V793" s="40">
        <f>IF($A793="",0,U793+MAX(0,N($I793)-MAX(N($H793),1)))</f>
        <v>0</v>
      </c>
      <c r="W793" s="40">
        <f>IF(S793="",0,YEAR(S793)*12+MONTH(S793))</f>
        <v>0</v>
      </c>
      <c r="X793" s="40">
        <f>IF(W793=0,0,W793+V793-U793)</f>
        <v>0</v>
      </c>
      <c r="Y793" s="36">
        <f>IF(W793=0,0,N(R793)*MAX(0,X793-MAX(W793,YEAR(Cfg_Hoje)*12+MONTH(Cfg_Hoje)+IF(DAY(Cfg_Hoje)&gt;=INDEX(Cartoes_Fech,MATCH($F793,Cartoes_Nome,0)),1,0))+1))</f>
        <v>0</v>
      </c>
      <c r="Z793" s="40">
        <f>IF($A793="",0,DAY($A793))</f>
        <v>0</v>
      </c>
      <c r="AA793" s="40">
        <f>IF($A793="",0,WEEKDAY($A793))</f>
        <v>0</v>
      </c>
      <c r="AB793" s="36">
        <f>IF(AND($C793="Despesa",U793&gt;0,U793&lt;=Sel_Idx,V793&gt;=Sel_Idx),N(R793)+ROW()/1000000000,0)</f>
        <v>0</v>
      </c>
      <c r="AC793" s="40">
        <f>IF(AND($C793="Despesa",U793&gt;0,U793&lt;=Sel_Idx,V793&gt;=Sel_Idx),Z793*10000+ROW(),0)</f>
        <v>0</v>
      </c>
      <c r="AD793" s="40">
        <f>IF(AC793=0,0,COUNTIFS(L_CalChave,"&gt;0",L_CalChave,"&lt;"&amp;AC793)+1)</f>
        <v>0</v>
      </c>
    </row>
    <row r="794">
      <c r="A794" s="38" t="n"/>
      <c r="B794" s="39" t="n"/>
      <c r="C794" s="34" t="n"/>
      <c r="D794" s="34" t="n"/>
      <c r="E794" s="34" t="n"/>
      <c r="F794" s="34" t="n"/>
      <c r="G794" s="34" t="n"/>
      <c r="H794" s="37" t="n"/>
      <c r="I794" s="37" t="n"/>
      <c r="J794" s="34" t="n"/>
      <c r="K794" s="34" t="n"/>
      <c r="L794" s="34" t="n"/>
      <c r="M794" s="39" t="n"/>
      <c r="N794" s="35" t="n"/>
      <c r="O794" s="40" t="str">
        <f>IF($A794="","",MONTH($A794))</f>
        <v/>
      </c>
      <c r="P794" s="40" t="str">
        <f>IF($A794="","",YEAR($A794))</f>
        <v/>
      </c>
      <c r="Q794" s="41" t="str">
        <f>IF($A794="","",DATE(P794,O794,1))</f>
        <v/>
      </c>
      <c r="R794" s="36" t="str">
        <f>IF(OR($A794="",$N794=""),"",IF(AND($C794&lt;&gt;"Transferência",N($I794)&gt;1),$N794/$I794,$N794))</f>
        <v/>
      </c>
      <c r="S794" s="41" t="str">
        <f>IF(OR($A794="",$F794="",$C794&lt;&gt;"Despesa"),"",IF(COUNTIF(Cartoes_Nome,$F794)=0,"",DATE(P794,O794+IF(DAY($A794)&gt;=INDEX(Cartoes_Fech,MATCH($F794,Cartoes_Nome,0)),1,0),1)))</f>
        <v/>
      </c>
      <c r="T794" s="42" t="str">
        <f>IF($A794="","",IF(COUNTIFS(L_Data,$A794,L_Desc,$B794,L_Valor,$N794,L_Tipo,$C794)&gt;1,"⚠ Possível duplicidade",IF(OR(AND($C794="Despesa",COUNTIF(CatD_Nome,$D794)=0),AND($C794="Receita",COUNTIF(CatR_Nome,$D794)=0)),"⚠ Categoria não combina com o tipo",IF(OR($N794="",$C794=""),"⚠ Falta valor ou tipo",""))))</f>
        <v/>
      </c>
      <c r="U794" s="40">
        <f>IF($A794="",0,P794*12+O794)</f>
        <v>0</v>
      </c>
      <c r="V794" s="40">
        <f>IF($A794="",0,U794+MAX(0,N($I794)-MAX(N($H794),1)))</f>
        <v>0</v>
      </c>
      <c r="W794" s="40">
        <f>IF(S794="",0,YEAR(S794)*12+MONTH(S794))</f>
        <v>0</v>
      </c>
      <c r="X794" s="40">
        <f>IF(W794=0,0,W794+V794-U794)</f>
        <v>0</v>
      </c>
      <c r="Y794" s="36">
        <f>IF(W794=0,0,N(R794)*MAX(0,X794-MAX(W794,YEAR(Cfg_Hoje)*12+MONTH(Cfg_Hoje)+IF(DAY(Cfg_Hoje)&gt;=INDEX(Cartoes_Fech,MATCH($F794,Cartoes_Nome,0)),1,0))+1))</f>
        <v>0</v>
      </c>
      <c r="Z794" s="40">
        <f>IF($A794="",0,DAY($A794))</f>
        <v>0</v>
      </c>
      <c r="AA794" s="40">
        <f>IF($A794="",0,WEEKDAY($A794))</f>
        <v>0</v>
      </c>
      <c r="AB794" s="36">
        <f>IF(AND($C794="Despesa",U794&gt;0,U794&lt;=Sel_Idx,V794&gt;=Sel_Idx),N(R794)+ROW()/1000000000,0)</f>
        <v>0</v>
      </c>
      <c r="AC794" s="40">
        <f>IF(AND($C794="Despesa",U794&gt;0,U794&lt;=Sel_Idx,V794&gt;=Sel_Idx),Z794*10000+ROW(),0)</f>
        <v>0</v>
      </c>
      <c r="AD794" s="40">
        <f>IF(AC794=0,0,COUNTIFS(L_CalChave,"&gt;0",L_CalChave,"&lt;"&amp;AC794)+1)</f>
        <v>0</v>
      </c>
    </row>
    <row r="795">
      <c r="A795" s="38" t="n"/>
      <c r="B795" s="39" t="n"/>
      <c r="C795" s="34" t="n"/>
      <c r="D795" s="34" t="n"/>
      <c r="E795" s="34" t="n"/>
      <c r="F795" s="34" t="n"/>
      <c r="G795" s="34" t="n"/>
      <c r="H795" s="37" t="n"/>
      <c r="I795" s="37" t="n"/>
      <c r="J795" s="34" t="n"/>
      <c r="K795" s="34" t="n"/>
      <c r="L795" s="34" t="n"/>
      <c r="M795" s="39" t="n"/>
      <c r="N795" s="35" t="n"/>
      <c r="O795" s="40" t="str">
        <f>IF($A795="","",MONTH($A795))</f>
        <v/>
      </c>
      <c r="P795" s="40" t="str">
        <f>IF($A795="","",YEAR($A795))</f>
        <v/>
      </c>
      <c r="Q795" s="41" t="str">
        <f>IF($A795="","",DATE(P795,O795,1))</f>
        <v/>
      </c>
      <c r="R795" s="36" t="str">
        <f>IF(OR($A795="",$N795=""),"",IF(AND($C795&lt;&gt;"Transferência",N($I795)&gt;1),$N795/$I795,$N795))</f>
        <v/>
      </c>
      <c r="S795" s="41" t="str">
        <f>IF(OR($A795="",$F795="",$C795&lt;&gt;"Despesa"),"",IF(COUNTIF(Cartoes_Nome,$F795)=0,"",DATE(P795,O795+IF(DAY($A795)&gt;=INDEX(Cartoes_Fech,MATCH($F795,Cartoes_Nome,0)),1,0),1)))</f>
        <v/>
      </c>
      <c r="T795" s="42" t="str">
        <f>IF($A795="","",IF(COUNTIFS(L_Data,$A795,L_Desc,$B795,L_Valor,$N795,L_Tipo,$C795)&gt;1,"⚠ Possível duplicidade",IF(OR(AND($C795="Despesa",COUNTIF(CatD_Nome,$D795)=0),AND($C795="Receita",COUNTIF(CatR_Nome,$D795)=0)),"⚠ Categoria não combina com o tipo",IF(OR($N795="",$C795=""),"⚠ Falta valor ou tipo",""))))</f>
        <v/>
      </c>
      <c r="U795" s="40">
        <f>IF($A795="",0,P795*12+O795)</f>
        <v>0</v>
      </c>
      <c r="V795" s="40">
        <f>IF($A795="",0,U795+MAX(0,N($I795)-MAX(N($H795),1)))</f>
        <v>0</v>
      </c>
      <c r="W795" s="40">
        <f>IF(S795="",0,YEAR(S795)*12+MONTH(S795))</f>
        <v>0</v>
      </c>
      <c r="X795" s="40">
        <f>IF(W795=0,0,W795+V795-U795)</f>
        <v>0</v>
      </c>
      <c r="Y795" s="36">
        <f>IF(W795=0,0,N(R795)*MAX(0,X795-MAX(W795,YEAR(Cfg_Hoje)*12+MONTH(Cfg_Hoje)+IF(DAY(Cfg_Hoje)&gt;=INDEX(Cartoes_Fech,MATCH($F795,Cartoes_Nome,0)),1,0))+1))</f>
        <v>0</v>
      </c>
      <c r="Z795" s="40">
        <f>IF($A795="",0,DAY($A795))</f>
        <v>0</v>
      </c>
      <c r="AA795" s="40">
        <f>IF($A795="",0,WEEKDAY($A795))</f>
        <v>0</v>
      </c>
      <c r="AB795" s="36">
        <f>IF(AND($C795="Despesa",U795&gt;0,U795&lt;=Sel_Idx,V795&gt;=Sel_Idx),N(R795)+ROW()/1000000000,0)</f>
        <v>0</v>
      </c>
      <c r="AC795" s="40">
        <f>IF(AND($C795="Despesa",U795&gt;0,U795&lt;=Sel_Idx,V795&gt;=Sel_Idx),Z795*10000+ROW(),0)</f>
        <v>0</v>
      </c>
      <c r="AD795" s="40">
        <f>IF(AC795=0,0,COUNTIFS(L_CalChave,"&gt;0",L_CalChave,"&lt;"&amp;AC795)+1)</f>
        <v>0</v>
      </c>
    </row>
    <row r="796">
      <c r="A796" s="38" t="n"/>
      <c r="B796" s="39" t="n"/>
      <c r="C796" s="34" t="n"/>
      <c r="D796" s="34" t="n"/>
      <c r="E796" s="34" t="n"/>
      <c r="F796" s="34" t="n"/>
      <c r="G796" s="34" t="n"/>
      <c r="H796" s="37" t="n"/>
      <c r="I796" s="37" t="n"/>
      <c r="J796" s="34" t="n"/>
      <c r="K796" s="34" t="n"/>
      <c r="L796" s="34" t="n"/>
      <c r="M796" s="39" t="n"/>
      <c r="N796" s="35" t="n"/>
      <c r="O796" s="40" t="str">
        <f>IF($A796="","",MONTH($A796))</f>
        <v/>
      </c>
      <c r="P796" s="40" t="str">
        <f>IF($A796="","",YEAR($A796))</f>
        <v/>
      </c>
      <c r="Q796" s="41" t="str">
        <f>IF($A796="","",DATE(P796,O796,1))</f>
        <v/>
      </c>
      <c r="R796" s="36" t="str">
        <f>IF(OR($A796="",$N796=""),"",IF(AND($C796&lt;&gt;"Transferência",N($I796)&gt;1),$N796/$I796,$N796))</f>
        <v/>
      </c>
      <c r="S796" s="41" t="str">
        <f>IF(OR($A796="",$F796="",$C796&lt;&gt;"Despesa"),"",IF(COUNTIF(Cartoes_Nome,$F796)=0,"",DATE(P796,O796+IF(DAY($A796)&gt;=INDEX(Cartoes_Fech,MATCH($F796,Cartoes_Nome,0)),1,0),1)))</f>
        <v/>
      </c>
      <c r="T796" s="42" t="str">
        <f>IF($A796="","",IF(COUNTIFS(L_Data,$A796,L_Desc,$B796,L_Valor,$N796,L_Tipo,$C796)&gt;1,"⚠ Possível duplicidade",IF(OR(AND($C796="Despesa",COUNTIF(CatD_Nome,$D796)=0),AND($C796="Receita",COUNTIF(CatR_Nome,$D796)=0)),"⚠ Categoria não combina com o tipo",IF(OR($N796="",$C796=""),"⚠ Falta valor ou tipo",""))))</f>
        <v/>
      </c>
      <c r="U796" s="40">
        <f>IF($A796="",0,P796*12+O796)</f>
        <v>0</v>
      </c>
      <c r="V796" s="40">
        <f>IF($A796="",0,U796+MAX(0,N($I796)-MAX(N($H796),1)))</f>
        <v>0</v>
      </c>
      <c r="W796" s="40">
        <f>IF(S796="",0,YEAR(S796)*12+MONTH(S796))</f>
        <v>0</v>
      </c>
      <c r="X796" s="40">
        <f>IF(W796=0,0,W796+V796-U796)</f>
        <v>0</v>
      </c>
      <c r="Y796" s="36">
        <f>IF(W796=0,0,N(R796)*MAX(0,X796-MAX(W796,YEAR(Cfg_Hoje)*12+MONTH(Cfg_Hoje)+IF(DAY(Cfg_Hoje)&gt;=INDEX(Cartoes_Fech,MATCH($F796,Cartoes_Nome,0)),1,0))+1))</f>
        <v>0</v>
      </c>
      <c r="Z796" s="40">
        <f>IF($A796="",0,DAY($A796))</f>
        <v>0</v>
      </c>
      <c r="AA796" s="40">
        <f>IF($A796="",0,WEEKDAY($A796))</f>
        <v>0</v>
      </c>
      <c r="AB796" s="36">
        <f>IF(AND($C796="Despesa",U796&gt;0,U796&lt;=Sel_Idx,V796&gt;=Sel_Idx),N(R796)+ROW()/1000000000,0)</f>
        <v>0</v>
      </c>
      <c r="AC796" s="40">
        <f>IF(AND($C796="Despesa",U796&gt;0,U796&lt;=Sel_Idx,V796&gt;=Sel_Idx),Z796*10000+ROW(),0)</f>
        <v>0</v>
      </c>
      <c r="AD796" s="40">
        <f>IF(AC796=0,0,COUNTIFS(L_CalChave,"&gt;0",L_CalChave,"&lt;"&amp;AC796)+1)</f>
        <v>0</v>
      </c>
    </row>
    <row r="797">
      <c r="A797" s="38" t="n"/>
      <c r="B797" s="39" t="n"/>
      <c r="C797" s="34" t="n"/>
      <c r="D797" s="34" t="n"/>
      <c r="E797" s="34" t="n"/>
      <c r="F797" s="34" t="n"/>
      <c r="G797" s="34" t="n"/>
      <c r="H797" s="37" t="n"/>
      <c r="I797" s="37" t="n"/>
      <c r="J797" s="34" t="n"/>
      <c r="K797" s="34" t="n"/>
      <c r="L797" s="34" t="n"/>
      <c r="M797" s="39" t="n"/>
      <c r="N797" s="35" t="n"/>
      <c r="O797" s="40" t="str">
        <f>IF($A797="","",MONTH($A797))</f>
        <v/>
      </c>
      <c r="P797" s="40" t="str">
        <f>IF($A797="","",YEAR($A797))</f>
        <v/>
      </c>
      <c r="Q797" s="41" t="str">
        <f>IF($A797="","",DATE(P797,O797,1))</f>
        <v/>
      </c>
      <c r="R797" s="36" t="str">
        <f>IF(OR($A797="",$N797=""),"",IF(AND($C797&lt;&gt;"Transferência",N($I797)&gt;1),$N797/$I797,$N797))</f>
        <v/>
      </c>
      <c r="S797" s="41" t="str">
        <f>IF(OR($A797="",$F797="",$C797&lt;&gt;"Despesa"),"",IF(COUNTIF(Cartoes_Nome,$F797)=0,"",DATE(P797,O797+IF(DAY($A797)&gt;=INDEX(Cartoes_Fech,MATCH($F797,Cartoes_Nome,0)),1,0),1)))</f>
        <v/>
      </c>
      <c r="T797" s="42" t="str">
        <f>IF($A797="","",IF(COUNTIFS(L_Data,$A797,L_Desc,$B797,L_Valor,$N797,L_Tipo,$C797)&gt;1,"⚠ Possível duplicidade",IF(OR(AND($C797="Despesa",COUNTIF(CatD_Nome,$D797)=0),AND($C797="Receita",COUNTIF(CatR_Nome,$D797)=0)),"⚠ Categoria não combina com o tipo",IF(OR($N797="",$C797=""),"⚠ Falta valor ou tipo",""))))</f>
        <v/>
      </c>
      <c r="U797" s="40">
        <f>IF($A797="",0,P797*12+O797)</f>
        <v>0</v>
      </c>
      <c r="V797" s="40">
        <f>IF($A797="",0,U797+MAX(0,N($I797)-MAX(N($H797),1)))</f>
        <v>0</v>
      </c>
      <c r="W797" s="40">
        <f>IF(S797="",0,YEAR(S797)*12+MONTH(S797))</f>
        <v>0</v>
      </c>
      <c r="X797" s="40">
        <f>IF(W797=0,0,W797+V797-U797)</f>
        <v>0</v>
      </c>
      <c r="Y797" s="36">
        <f>IF(W797=0,0,N(R797)*MAX(0,X797-MAX(W797,YEAR(Cfg_Hoje)*12+MONTH(Cfg_Hoje)+IF(DAY(Cfg_Hoje)&gt;=INDEX(Cartoes_Fech,MATCH($F797,Cartoes_Nome,0)),1,0))+1))</f>
        <v>0</v>
      </c>
      <c r="Z797" s="40">
        <f>IF($A797="",0,DAY($A797))</f>
        <v>0</v>
      </c>
      <c r="AA797" s="40">
        <f>IF($A797="",0,WEEKDAY($A797))</f>
        <v>0</v>
      </c>
      <c r="AB797" s="36">
        <f>IF(AND($C797="Despesa",U797&gt;0,U797&lt;=Sel_Idx,V797&gt;=Sel_Idx),N(R797)+ROW()/1000000000,0)</f>
        <v>0</v>
      </c>
      <c r="AC797" s="40">
        <f>IF(AND($C797="Despesa",U797&gt;0,U797&lt;=Sel_Idx,V797&gt;=Sel_Idx),Z797*10000+ROW(),0)</f>
        <v>0</v>
      </c>
      <c r="AD797" s="40">
        <f>IF(AC797=0,0,COUNTIFS(L_CalChave,"&gt;0",L_CalChave,"&lt;"&amp;AC797)+1)</f>
        <v>0</v>
      </c>
    </row>
    <row r="798">
      <c r="A798" s="38" t="n"/>
      <c r="B798" s="39" t="n"/>
      <c r="C798" s="34" t="n"/>
      <c r="D798" s="34" t="n"/>
      <c r="E798" s="34" t="n"/>
      <c r="F798" s="34" t="n"/>
      <c r="G798" s="34" t="n"/>
      <c r="H798" s="37" t="n"/>
      <c r="I798" s="37" t="n"/>
      <c r="J798" s="34" t="n"/>
      <c r="K798" s="34" t="n"/>
      <c r="L798" s="34" t="n"/>
      <c r="M798" s="39" t="n"/>
      <c r="N798" s="35" t="n"/>
      <c r="O798" s="40" t="str">
        <f>IF($A798="","",MONTH($A798))</f>
        <v/>
      </c>
      <c r="P798" s="40" t="str">
        <f>IF($A798="","",YEAR($A798))</f>
        <v/>
      </c>
      <c r="Q798" s="41" t="str">
        <f>IF($A798="","",DATE(P798,O798,1))</f>
        <v/>
      </c>
      <c r="R798" s="36" t="str">
        <f>IF(OR($A798="",$N798=""),"",IF(AND($C798&lt;&gt;"Transferência",N($I798)&gt;1),$N798/$I798,$N798))</f>
        <v/>
      </c>
      <c r="S798" s="41" t="str">
        <f>IF(OR($A798="",$F798="",$C798&lt;&gt;"Despesa"),"",IF(COUNTIF(Cartoes_Nome,$F798)=0,"",DATE(P798,O798+IF(DAY($A798)&gt;=INDEX(Cartoes_Fech,MATCH($F798,Cartoes_Nome,0)),1,0),1)))</f>
        <v/>
      </c>
      <c r="T798" s="42" t="str">
        <f>IF($A798="","",IF(COUNTIFS(L_Data,$A798,L_Desc,$B798,L_Valor,$N798,L_Tipo,$C798)&gt;1,"⚠ Possível duplicidade",IF(OR(AND($C798="Despesa",COUNTIF(CatD_Nome,$D798)=0),AND($C798="Receita",COUNTIF(CatR_Nome,$D798)=0)),"⚠ Categoria não combina com o tipo",IF(OR($N798="",$C798=""),"⚠ Falta valor ou tipo",""))))</f>
        <v/>
      </c>
      <c r="U798" s="40">
        <f>IF($A798="",0,P798*12+O798)</f>
        <v>0</v>
      </c>
      <c r="V798" s="40">
        <f>IF($A798="",0,U798+MAX(0,N($I798)-MAX(N($H798),1)))</f>
        <v>0</v>
      </c>
      <c r="W798" s="40">
        <f>IF(S798="",0,YEAR(S798)*12+MONTH(S798))</f>
        <v>0</v>
      </c>
      <c r="X798" s="40">
        <f>IF(W798=0,0,W798+V798-U798)</f>
        <v>0</v>
      </c>
      <c r="Y798" s="36">
        <f>IF(W798=0,0,N(R798)*MAX(0,X798-MAX(W798,YEAR(Cfg_Hoje)*12+MONTH(Cfg_Hoje)+IF(DAY(Cfg_Hoje)&gt;=INDEX(Cartoes_Fech,MATCH($F798,Cartoes_Nome,0)),1,0))+1))</f>
        <v>0</v>
      </c>
      <c r="Z798" s="40">
        <f>IF($A798="",0,DAY($A798))</f>
        <v>0</v>
      </c>
      <c r="AA798" s="40">
        <f>IF($A798="",0,WEEKDAY($A798))</f>
        <v>0</v>
      </c>
      <c r="AB798" s="36">
        <f>IF(AND($C798="Despesa",U798&gt;0,U798&lt;=Sel_Idx,V798&gt;=Sel_Idx),N(R798)+ROW()/1000000000,0)</f>
        <v>0</v>
      </c>
      <c r="AC798" s="40">
        <f>IF(AND($C798="Despesa",U798&gt;0,U798&lt;=Sel_Idx,V798&gt;=Sel_Idx),Z798*10000+ROW(),0)</f>
        <v>0</v>
      </c>
      <c r="AD798" s="40">
        <f>IF(AC798=0,0,COUNTIFS(L_CalChave,"&gt;0",L_CalChave,"&lt;"&amp;AC798)+1)</f>
        <v>0</v>
      </c>
    </row>
    <row r="799">
      <c r="A799" s="38" t="n"/>
      <c r="B799" s="39" t="n"/>
      <c r="C799" s="34" t="n"/>
      <c r="D799" s="34" t="n"/>
      <c r="E799" s="34" t="n"/>
      <c r="F799" s="34" t="n"/>
      <c r="G799" s="34" t="n"/>
      <c r="H799" s="37" t="n"/>
      <c r="I799" s="37" t="n"/>
      <c r="J799" s="34" t="n"/>
      <c r="K799" s="34" t="n"/>
      <c r="L799" s="34" t="n"/>
      <c r="M799" s="39" t="n"/>
      <c r="N799" s="35" t="n"/>
      <c r="O799" s="40" t="str">
        <f>IF($A799="","",MONTH($A799))</f>
        <v/>
      </c>
      <c r="P799" s="40" t="str">
        <f>IF($A799="","",YEAR($A799))</f>
        <v/>
      </c>
      <c r="Q799" s="41" t="str">
        <f>IF($A799="","",DATE(P799,O799,1))</f>
        <v/>
      </c>
      <c r="R799" s="36" t="str">
        <f>IF(OR($A799="",$N799=""),"",IF(AND($C799&lt;&gt;"Transferência",N($I799)&gt;1),$N799/$I799,$N799))</f>
        <v/>
      </c>
      <c r="S799" s="41" t="str">
        <f>IF(OR($A799="",$F799="",$C799&lt;&gt;"Despesa"),"",IF(COUNTIF(Cartoes_Nome,$F799)=0,"",DATE(P799,O799+IF(DAY($A799)&gt;=INDEX(Cartoes_Fech,MATCH($F799,Cartoes_Nome,0)),1,0),1)))</f>
        <v/>
      </c>
      <c r="T799" s="42" t="str">
        <f>IF($A799="","",IF(COUNTIFS(L_Data,$A799,L_Desc,$B799,L_Valor,$N799,L_Tipo,$C799)&gt;1,"⚠ Possível duplicidade",IF(OR(AND($C799="Despesa",COUNTIF(CatD_Nome,$D799)=0),AND($C799="Receita",COUNTIF(CatR_Nome,$D799)=0)),"⚠ Categoria não combina com o tipo",IF(OR($N799="",$C799=""),"⚠ Falta valor ou tipo",""))))</f>
        <v/>
      </c>
      <c r="U799" s="40">
        <f>IF($A799="",0,P799*12+O799)</f>
        <v>0</v>
      </c>
      <c r="V799" s="40">
        <f>IF($A799="",0,U799+MAX(0,N($I799)-MAX(N($H799),1)))</f>
        <v>0</v>
      </c>
      <c r="W799" s="40">
        <f>IF(S799="",0,YEAR(S799)*12+MONTH(S799))</f>
        <v>0</v>
      </c>
      <c r="X799" s="40">
        <f>IF(W799=0,0,W799+V799-U799)</f>
        <v>0</v>
      </c>
      <c r="Y799" s="36">
        <f>IF(W799=0,0,N(R799)*MAX(0,X799-MAX(W799,YEAR(Cfg_Hoje)*12+MONTH(Cfg_Hoje)+IF(DAY(Cfg_Hoje)&gt;=INDEX(Cartoes_Fech,MATCH($F799,Cartoes_Nome,0)),1,0))+1))</f>
        <v>0</v>
      </c>
      <c r="Z799" s="40">
        <f>IF($A799="",0,DAY($A799))</f>
        <v>0</v>
      </c>
      <c r="AA799" s="40">
        <f>IF($A799="",0,WEEKDAY($A799))</f>
        <v>0</v>
      </c>
      <c r="AB799" s="36">
        <f>IF(AND($C799="Despesa",U799&gt;0,U799&lt;=Sel_Idx,V799&gt;=Sel_Idx),N(R799)+ROW()/1000000000,0)</f>
        <v>0</v>
      </c>
      <c r="AC799" s="40">
        <f>IF(AND($C799="Despesa",U799&gt;0,U799&lt;=Sel_Idx,V799&gt;=Sel_Idx),Z799*10000+ROW(),0)</f>
        <v>0</v>
      </c>
      <c r="AD799" s="40">
        <f>IF(AC799=0,0,COUNTIFS(L_CalChave,"&gt;0",L_CalChave,"&lt;"&amp;AC799)+1)</f>
        <v>0</v>
      </c>
    </row>
    <row r="800">
      <c r="A800" s="38" t="n"/>
      <c r="B800" s="39" t="n"/>
      <c r="C800" s="34" t="n"/>
      <c r="D800" s="34" t="n"/>
      <c r="E800" s="34" t="n"/>
      <c r="F800" s="34" t="n"/>
      <c r="G800" s="34" t="n"/>
      <c r="H800" s="37" t="n"/>
      <c r="I800" s="37" t="n"/>
      <c r="J800" s="34" t="n"/>
      <c r="K800" s="34" t="n"/>
      <c r="L800" s="34" t="n"/>
      <c r="M800" s="39" t="n"/>
      <c r="N800" s="35" t="n"/>
      <c r="O800" s="40" t="str">
        <f>IF($A800="","",MONTH($A800))</f>
        <v/>
      </c>
      <c r="P800" s="40" t="str">
        <f>IF($A800="","",YEAR($A800))</f>
        <v/>
      </c>
      <c r="Q800" s="41" t="str">
        <f>IF($A800="","",DATE(P800,O800,1))</f>
        <v/>
      </c>
      <c r="R800" s="36" t="str">
        <f>IF(OR($A800="",$N800=""),"",IF(AND($C800&lt;&gt;"Transferência",N($I800)&gt;1),$N800/$I800,$N800))</f>
        <v/>
      </c>
      <c r="S800" s="41" t="str">
        <f>IF(OR($A800="",$F800="",$C800&lt;&gt;"Despesa"),"",IF(COUNTIF(Cartoes_Nome,$F800)=0,"",DATE(P800,O800+IF(DAY($A800)&gt;=INDEX(Cartoes_Fech,MATCH($F800,Cartoes_Nome,0)),1,0),1)))</f>
        <v/>
      </c>
      <c r="T800" s="42" t="str">
        <f>IF($A800="","",IF(COUNTIFS(L_Data,$A800,L_Desc,$B800,L_Valor,$N800,L_Tipo,$C800)&gt;1,"⚠ Possível duplicidade",IF(OR(AND($C800="Despesa",COUNTIF(CatD_Nome,$D800)=0),AND($C800="Receita",COUNTIF(CatR_Nome,$D800)=0)),"⚠ Categoria não combina com o tipo",IF(OR($N800="",$C800=""),"⚠ Falta valor ou tipo",""))))</f>
        <v/>
      </c>
      <c r="U800" s="40">
        <f>IF($A800="",0,P800*12+O800)</f>
        <v>0</v>
      </c>
      <c r="V800" s="40">
        <f>IF($A800="",0,U800+MAX(0,N($I800)-MAX(N($H800),1)))</f>
        <v>0</v>
      </c>
      <c r="W800" s="40">
        <f>IF(S800="",0,YEAR(S800)*12+MONTH(S800))</f>
        <v>0</v>
      </c>
      <c r="X800" s="40">
        <f>IF(W800=0,0,W800+V800-U800)</f>
        <v>0</v>
      </c>
      <c r="Y800" s="36">
        <f>IF(W800=0,0,N(R800)*MAX(0,X800-MAX(W800,YEAR(Cfg_Hoje)*12+MONTH(Cfg_Hoje)+IF(DAY(Cfg_Hoje)&gt;=INDEX(Cartoes_Fech,MATCH($F800,Cartoes_Nome,0)),1,0))+1))</f>
        <v>0</v>
      </c>
      <c r="Z800" s="40">
        <f>IF($A800="",0,DAY($A800))</f>
        <v>0</v>
      </c>
      <c r="AA800" s="40">
        <f>IF($A800="",0,WEEKDAY($A800))</f>
        <v>0</v>
      </c>
      <c r="AB800" s="36">
        <f>IF(AND($C800="Despesa",U800&gt;0,U800&lt;=Sel_Idx,V800&gt;=Sel_Idx),N(R800)+ROW()/1000000000,0)</f>
        <v>0</v>
      </c>
      <c r="AC800" s="40">
        <f>IF(AND($C800="Despesa",U800&gt;0,U800&lt;=Sel_Idx,V800&gt;=Sel_Idx),Z800*10000+ROW(),0)</f>
        <v>0</v>
      </c>
      <c r="AD800" s="40">
        <f>IF(AC800=0,0,COUNTIFS(L_CalChave,"&gt;0",L_CalChave,"&lt;"&amp;AC800)+1)</f>
        <v>0</v>
      </c>
    </row>
    <row r="801">
      <c r="A801" s="38" t="n"/>
      <c r="B801" s="39" t="n"/>
      <c r="C801" s="34" t="n"/>
      <c r="D801" s="34" t="n"/>
      <c r="E801" s="34" t="n"/>
      <c r="F801" s="34" t="n"/>
      <c r="G801" s="34" t="n"/>
      <c r="H801" s="37" t="n"/>
      <c r="I801" s="37" t="n"/>
      <c r="J801" s="34" t="n"/>
      <c r="K801" s="34" t="n"/>
      <c r="L801" s="34" t="n"/>
      <c r="M801" s="39" t="n"/>
      <c r="N801" s="35" t="n"/>
      <c r="O801" s="40" t="str">
        <f>IF($A801="","",MONTH($A801))</f>
        <v/>
      </c>
      <c r="P801" s="40" t="str">
        <f>IF($A801="","",YEAR($A801))</f>
        <v/>
      </c>
      <c r="Q801" s="41" t="str">
        <f>IF($A801="","",DATE(P801,O801,1))</f>
        <v/>
      </c>
      <c r="R801" s="36" t="str">
        <f>IF(OR($A801="",$N801=""),"",IF(AND($C801&lt;&gt;"Transferência",N($I801)&gt;1),$N801/$I801,$N801))</f>
        <v/>
      </c>
      <c r="S801" s="41" t="str">
        <f>IF(OR($A801="",$F801="",$C801&lt;&gt;"Despesa"),"",IF(COUNTIF(Cartoes_Nome,$F801)=0,"",DATE(P801,O801+IF(DAY($A801)&gt;=INDEX(Cartoes_Fech,MATCH($F801,Cartoes_Nome,0)),1,0),1)))</f>
        <v/>
      </c>
      <c r="T801" s="42" t="str">
        <f>IF($A801="","",IF(COUNTIFS(L_Data,$A801,L_Desc,$B801,L_Valor,$N801,L_Tipo,$C801)&gt;1,"⚠ Possível duplicidade",IF(OR(AND($C801="Despesa",COUNTIF(CatD_Nome,$D801)=0),AND($C801="Receita",COUNTIF(CatR_Nome,$D801)=0)),"⚠ Categoria não combina com o tipo",IF(OR($N801="",$C801=""),"⚠ Falta valor ou tipo",""))))</f>
        <v/>
      </c>
      <c r="U801" s="40">
        <f>IF($A801="",0,P801*12+O801)</f>
        <v>0</v>
      </c>
      <c r="V801" s="40">
        <f>IF($A801="",0,U801+MAX(0,N($I801)-MAX(N($H801),1)))</f>
        <v>0</v>
      </c>
      <c r="W801" s="40">
        <f>IF(S801="",0,YEAR(S801)*12+MONTH(S801))</f>
        <v>0</v>
      </c>
      <c r="X801" s="40">
        <f>IF(W801=0,0,W801+V801-U801)</f>
        <v>0</v>
      </c>
      <c r="Y801" s="36">
        <f>IF(W801=0,0,N(R801)*MAX(0,X801-MAX(W801,YEAR(Cfg_Hoje)*12+MONTH(Cfg_Hoje)+IF(DAY(Cfg_Hoje)&gt;=INDEX(Cartoes_Fech,MATCH($F801,Cartoes_Nome,0)),1,0))+1))</f>
        <v>0</v>
      </c>
      <c r="Z801" s="40">
        <f>IF($A801="",0,DAY($A801))</f>
        <v>0</v>
      </c>
      <c r="AA801" s="40">
        <f>IF($A801="",0,WEEKDAY($A801))</f>
        <v>0</v>
      </c>
      <c r="AB801" s="36">
        <f>IF(AND($C801="Despesa",U801&gt;0,U801&lt;=Sel_Idx,V801&gt;=Sel_Idx),N(R801)+ROW()/1000000000,0)</f>
        <v>0</v>
      </c>
      <c r="AC801" s="40">
        <f>IF(AND($C801="Despesa",U801&gt;0,U801&lt;=Sel_Idx,V801&gt;=Sel_Idx),Z801*10000+ROW(),0)</f>
        <v>0</v>
      </c>
      <c r="AD801" s="40">
        <f>IF(AC801=0,0,COUNTIFS(L_CalChave,"&gt;0",L_CalChave,"&lt;"&amp;AC801)+1)</f>
        <v>0</v>
      </c>
    </row>
    <row r="802">
      <c r="A802" s="38" t="n"/>
      <c r="B802" s="39" t="n"/>
      <c r="C802" s="34" t="n"/>
      <c r="D802" s="34" t="n"/>
      <c r="E802" s="34" t="n"/>
      <c r="F802" s="34" t="n"/>
      <c r="G802" s="34" t="n"/>
      <c r="H802" s="37" t="n"/>
      <c r="I802" s="37" t="n"/>
      <c r="J802" s="34" t="n"/>
      <c r="K802" s="34" t="n"/>
      <c r="L802" s="34" t="n"/>
      <c r="M802" s="39" t="n"/>
      <c r="N802" s="35" t="n"/>
      <c r="O802" s="40" t="str">
        <f>IF($A802="","",MONTH($A802))</f>
        <v/>
      </c>
      <c r="P802" s="40" t="str">
        <f>IF($A802="","",YEAR($A802))</f>
        <v/>
      </c>
      <c r="Q802" s="41" t="str">
        <f>IF($A802="","",DATE(P802,O802,1))</f>
        <v/>
      </c>
      <c r="R802" s="36" t="str">
        <f>IF(OR($A802="",$N802=""),"",IF(AND($C802&lt;&gt;"Transferência",N($I802)&gt;1),$N802/$I802,$N802))</f>
        <v/>
      </c>
      <c r="S802" s="41" t="str">
        <f>IF(OR($A802="",$F802="",$C802&lt;&gt;"Despesa"),"",IF(COUNTIF(Cartoes_Nome,$F802)=0,"",DATE(P802,O802+IF(DAY($A802)&gt;=INDEX(Cartoes_Fech,MATCH($F802,Cartoes_Nome,0)),1,0),1)))</f>
        <v/>
      </c>
      <c r="T802" s="42" t="str">
        <f>IF($A802="","",IF(COUNTIFS(L_Data,$A802,L_Desc,$B802,L_Valor,$N802,L_Tipo,$C802)&gt;1,"⚠ Possível duplicidade",IF(OR(AND($C802="Despesa",COUNTIF(CatD_Nome,$D802)=0),AND($C802="Receita",COUNTIF(CatR_Nome,$D802)=0)),"⚠ Categoria não combina com o tipo",IF(OR($N802="",$C802=""),"⚠ Falta valor ou tipo",""))))</f>
        <v/>
      </c>
      <c r="U802" s="40">
        <f>IF($A802="",0,P802*12+O802)</f>
        <v>0</v>
      </c>
      <c r="V802" s="40">
        <f>IF($A802="",0,U802+MAX(0,N($I802)-MAX(N($H802),1)))</f>
        <v>0</v>
      </c>
      <c r="W802" s="40">
        <f>IF(S802="",0,YEAR(S802)*12+MONTH(S802))</f>
        <v>0</v>
      </c>
      <c r="X802" s="40">
        <f>IF(W802=0,0,W802+V802-U802)</f>
        <v>0</v>
      </c>
      <c r="Y802" s="36">
        <f>IF(W802=0,0,N(R802)*MAX(0,X802-MAX(W802,YEAR(Cfg_Hoje)*12+MONTH(Cfg_Hoje)+IF(DAY(Cfg_Hoje)&gt;=INDEX(Cartoes_Fech,MATCH($F802,Cartoes_Nome,0)),1,0))+1))</f>
        <v>0</v>
      </c>
      <c r="Z802" s="40">
        <f>IF($A802="",0,DAY($A802))</f>
        <v>0</v>
      </c>
      <c r="AA802" s="40">
        <f>IF($A802="",0,WEEKDAY($A802))</f>
        <v>0</v>
      </c>
      <c r="AB802" s="36">
        <f>IF(AND($C802="Despesa",U802&gt;0,U802&lt;=Sel_Idx,V802&gt;=Sel_Idx),N(R802)+ROW()/1000000000,0)</f>
        <v>0</v>
      </c>
      <c r="AC802" s="40">
        <f>IF(AND($C802="Despesa",U802&gt;0,U802&lt;=Sel_Idx,V802&gt;=Sel_Idx),Z802*10000+ROW(),0)</f>
        <v>0</v>
      </c>
      <c r="AD802" s="40">
        <f>IF(AC802=0,0,COUNTIFS(L_CalChave,"&gt;0",L_CalChave,"&lt;"&amp;AC802)+1)</f>
        <v>0</v>
      </c>
    </row>
    <row r="803">
      <c r="A803" s="38" t="n"/>
      <c r="B803" s="39" t="n"/>
      <c r="C803" s="34" t="n"/>
      <c r="D803" s="34" t="n"/>
      <c r="E803" s="34" t="n"/>
      <c r="F803" s="34" t="n"/>
      <c r="G803" s="34" t="n"/>
      <c r="H803" s="37" t="n"/>
      <c r="I803" s="37" t="n"/>
      <c r="J803" s="34" t="n"/>
      <c r="K803" s="34" t="n"/>
      <c r="L803" s="34" t="n"/>
      <c r="M803" s="39" t="n"/>
      <c r="N803" s="35" t="n"/>
      <c r="O803" s="40" t="str">
        <f>IF($A803="","",MONTH($A803))</f>
        <v/>
      </c>
      <c r="P803" s="40" t="str">
        <f>IF($A803="","",YEAR($A803))</f>
        <v/>
      </c>
      <c r="Q803" s="41" t="str">
        <f>IF($A803="","",DATE(P803,O803,1))</f>
        <v/>
      </c>
      <c r="R803" s="36" t="str">
        <f>IF(OR($A803="",$N803=""),"",IF(AND($C803&lt;&gt;"Transferência",N($I803)&gt;1),$N803/$I803,$N803))</f>
        <v/>
      </c>
      <c r="S803" s="41" t="str">
        <f>IF(OR($A803="",$F803="",$C803&lt;&gt;"Despesa"),"",IF(COUNTIF(Cartoes_Nome,$F803)=0,"",DATE(P803,O803+IF(DAY($A803)&gt;=INDEX(Cartoes_Fech,MATCH($F803,Cartoes_Nome,0)),1,0),1)))</f>
        <v/>
      </c>
      <c r="T803" s="42" t="str">
        <f>IF($A803="","",IF(COUNTIFS(L_Data,$A803,L_Desc,$B803,L_Valor,$N803,L_Tipo,$C803)&gt;1,"⚠ Possível duplicidade",IF(OR(AND($C803="Despesa",COUNTIF(CatD_Nome,$D803)=0),AND($C803="Receita",COUNTIF(CatR_Nome,$D803)=0)),"⚠ Categoria não combina com o tipo",IF(OR($N803="",$C803=""),"⚠ Falta valor ou tipo",""))))</f>
        <v/>
      </c>
      <c r="U803" s="40">
        <f>IF($A803="",0,P803*12+O803)</f>
        <v>0</v>
      </c>
      <c r="V803" s="40">
        <f>IF($A803="",0,U803+MAX(0,N($I803)-MAX(N($H803),1)))</f>
        <v>0</v>
      </c>
      <c r="W803" s="40">
        <f>IF(S803="",0,YEAR(S803)*12+MONTH(S803))</f>
        <v>0</v>
      </c>
      <c r="X803" s="40">
        <f>IF(W803=0,0,W803+V803-U803)</f>
        <v>0</v>
      </c>
      <c r="Y803" s="36">
        <f>IF(W803=0,0,N(R803)*MAX(0,X803-MAX(W803,YEAR(Cfg_Hoje)*12+MONTH(Cfg_Hoje)+IF(DAY(Cfg_Hoje)&gt;=INDEX(Cartoes_Fech,MATCH($F803,Cartoes_Nome,0)),1,0))+1))</f>
        <v>0</v>
      </c>
      <c r="Z803" s="40">
        <f>IF($A803="",0,DAY($A803))</f>
        <v>0</v>
      </c>
      <c r="AA803" s="40">
        <f>IF($A803="",0,WEEKDAY($A803))</f>
        <v>0</v>
      </c>
      <c r="AB803" s="36">
        <f>IF(AND($C803="Despesa",U803&gt;0,U803&lt;=Sel_Idx,V803&gt;=Sel_Idx),N(R803)+ROW()/1000000000,0)</f>
        <v>0</v>
      </c>
      <c r="AC803" s="40">
        <f>IF(AND($C803="Despesa",U803&gt;0,U803&lt;=Sel_Idx,V803&gt;=Sel_Idx),Z803*10000+ROW(),0)</f>
        <v>0</v>
      </c>
      <c r="AD803" s="40">
        <f>IF(AC803=0,0,COUNTIFS(L_CalChave,"&gt;0",L_CalChave,"&lt;"&amp;AC803)+1)</f>
        <v>0</v>
      </c>
    </row>
    <row r="804">
      <c r="A804" s="38" t="n"/>
      <c r="B804" s="39" t="n"/>
      <c r="C804" s="34" t="n"/>
      <c r="D804" s="34" t="n"/>
      <c r="E804" s="34" t="n"/>
      <c r="F804" s="34" t="n"/>
      <c r="G804" s="34" t="n"/>
      <c r="H804" s="37" t="n"/>
      <c r="I804" s="37" t="n"/>
      <c r="J804" s="34" t="n"/>
      <c r="K804" s="34" t="n"/>
      <c r="L804" s="34" t="n"/>
      <c r="M804" s="39" t="n"/>
      <c r="N804" s="35" t="n"/>
      <c r="O804" s="40" t="str">
        <f>IF($A804="","",MONTH($A804))</f>
        <v/>
      </c>
      <c r="P804" s="40" t="str">
        <f>IF($A804="","",YEAR($A804))</f>
        <v/>
      </c>
      <c r="Q804" s="41" t="str">
        <f>IF($A804="","",DATE(P804,O804,1))</f>
        <v/>
      </c>
      <c r="R804" s="36" t="str">
        <f>IF(OR($A804="",$N804=""),"",IF(AND($C804&lt;&gt;"Transferência",N($I804)&gt;1),$N804/$I804,$N804))</f>
        <v/>
      </c>
      <c r="S804" s="41" t="str">
        <f>IF(OR($A804="",$F804="",$C804&lt;&gt;"Despesa"),"",IF(COUNTIF(Cartoes_Nome,$F804)=0,"",DATE(P804,O804+IF(DAY($A804)&gt;=INDEX(Cartoes_Fech,MATCH($F804,Cartoes_Nome,0)),1,0),1)))</f>
        <v/>
      </c>
      <c r="T804" s="42" t="str">
        <f>IF($A804="","",IF(COUNTIFS(L_Data,$A804,L_Desc,$B804,L_Valor,$N804,L_Tipo,$C804)&gt;1,"⚠ Possível duplicidade",IF(OR(AND($C804="Despesa",COUNTIF(CatD_Nome,$D804)=0),AND($C804="Receita",COUNTIF(CatR_Nome,$D804)=0)),"⚠ Categoria não combina com o tipo",IF(OR($N804="",$C804=""),"⚠ Falta valor ou tipo",""))))</f>
        <v/>
      </c>
      <c r="U804" s="40">
        <f>IF($A804="",0,P804*12+O804)</f>
        <v>0</v>
      </c>
      <c r="V804" s="40">
        <f>IF($A804="",0,U804+MAX(0,N($I804)-MAX(N($H804),1)))</f>
        <v>0</v>
      </c>
      <c r="W804" s="40">
        <f>IF(S804="",0,YEAR(S804)*12+MONTH(S804))</f>
        <v>0</v>
      </c>
      <c r="X804" s="40">
        <f>IF(W804=0,0,W804+V804-U804)</f>
        <v>0</v>
      </c>
      <c r="Y804" s="36">
        <f>IF(W804=0,0,N(R804)*MAX(0,X804-MAX(W804,YEAR(Cfg_Hoje)*12+MONTH(Cfg_Hoje)+IF(DAY(Cfg_Hoje)&gt;=INDEX(Cartoes_Fech,MATCH($F804,Cartoes_Nome,0)),1,0))+1))</f>
        <v>0</v>
      </c>
      <c r="Z804" s="40">
        <f>IF($A804="",0,DAY($A804))</f>
        <v>0</v>
      </c>
      <c r="AA804" s="40">
        <f>IF($A804="",0,WEEKDAY($A804))</f>
        <v>0</v>
      </c>
      <c r="AB804" s="36">
        <f>IF(AND($C804="Despesa",U804&gt;0,U804&lt;=Sel_Idx,V804&gt;=Sel_Idx),N(R804)+ROW()/1000000000,0)</f>
        <v>0</v>
      </c>
      <c r="AC804" s="40">
        <f>IF(AND($C804="Despesa",U804&gt;0,U804&lt;=Sel_Idx,V804&gt;=Sel_Idx),Z804*10000+ROW(),0)</f>
        <v>0</v>
      </c>
      <c r="AD804" s="40">
        <f>IF(AC804=0,0,COUNTIFS(L_CalChave,"&gt;0",L_CalChave,"&lt;"&amp;AC804)+1)</f>
        <v>0</v>
      </c>
    </row>
    <row r="805">
      <c r="A805" s="38" t="n"/>
      <c r="B805" s="39" t="n"/>
      <c r="C805" s="34" t="n"/>
      <c r="D805" s="34" t="n"/>
      <c r="E805" s="34" t="n"/>
      <c r="F805" s="34" t="n"/>
      <c r="G805" s="34" t="n"/>
      <c r="H805" s="37" t="n"/>
      <c r="I805" s="37" t="n"/>
      <c r="J805" s="34" t="n"/>
      <c r="K805" s="34" t="n"/>
      <c r="L805" s="34" t="n"/>
      <c r="M805" s="39" t="n"/>
      <c r="N805" s="35" t="n"/>
      <c r="O805" s="40" t="str">
        <f>IF($A805="","",MONTH($A805))</f>
        <v/>
      </c>
      <c r="P805" s="40" t="str">
        <f>IF($A805="","",YEAR($A805))</f>
        <v/>
      </c>
      <c r="Q805" s="41" t="str">
        <f>IF($A805="","",DATE(P805,O805,1))</f>
        <v/>
      </c>
      <c r="R805" s="36" t="str">
        <f>IF(OR($A805="",$N805=""),"",IF(AND($C805&lt;&gt;"Transferência",N($I805)&gt;1),$N805/$I805,$N805))</f>
        <v/>
      </c>
      <c r="S805" s="41" t="str">
        <f>IF(OR($A805="",$F805="",$C805&lt;&gt;"Despesa"),"",IF(COUNTIF(Cartoes_Nome,$F805)=0,"",DATE(P805,O805+IF(DAY($A805)&gt;=INDEX(Cartoes_Fech,MATCH($F805,Cartoes_Nome,0)),1,0),1)))</f>
        <v/>
      </c>
      <c r="T805" s="42" t="str">
        <f>IF($A805="","",IF(COUNTIFS(L_Data,$A805,L_Desc,$B805,L_Valor,$N805,L_Tipo,$C805)&gt;1,"⚠ Possível duplicidade",IF(OR(AND($C805="Despesa",COUNTIF(CatD_Nome,$D805)=0),AND($C805="Receita",COUNTIF(CatR_Nome,$D805)=0)),"⚠ Categoria não combina com o tipo",IF(OR($N805="",$C805=""),"⚠ Falta valor ou tipo",""))))</f>
        <v/>
      </c>
      <c r="U805" s="40">
        <f>IF($A805="",0,P805*12+O805)</f>
        <v>0</v>
      </c>
      <c r="V805" s="40">
        <f>IF($A805="",0,U805+MAX(0,N($I805)-MAX(N($H805),1)))</f>
        <v>0</v>
      </c>
      <c r="W805" s="40">
        <f>IF(S805="",0,YEAR(S805)*12+MONTH(S805))</f>
        <v>0</v>
      </c>
      <c r="X805" s="40">
        <f>IF(W805=0,0,W805+V805-U805)</f>
        <v>0</v>
      </c>
      <c r="Y805" s="36">
        <f>IF(W805=0,0,N(R805)*MAX(0,X805-MAX(W805,YEAR(Cfg_Hoje)*12+MONTH(Cfg_Hoje)+IF(DAY(Cfg_Hoje)&gt;=INDEX(Cartoes_Fech,MATCH($F805,Cartoes_Nome,0)),1,0))+1))</f>
        <v>0</v>
      </c>
      <c r="Z805" s="40">
        <f>IF($A805="",0,DAY($A805))</f>
        <v>0</v>
      </c>
      <c r="AA805" s="40">
        <f>IF($A805="",0,WEEKDAY($A805))</f>
        <v>0</v>
      </c>
      <c r="AB805" s="36">
        <f>IF(AND($C805="Despesa",U805&gt;0,U805&lt;=Sel_Idx,V805&gt;=Sel_Idx),N(R805)+ROW()/1000000000,0)</f>
        <v>0</v>
      </c>
      <c r="AC805" s="40">
        <f>IF(AND($C805="Despesa",U805&gt;0,U805&lt;=Sel_Idx,V805&gt;=Sel_Idx),Z805*10000+ROW(),0)</f>
        <v>0</v>
      </c>
      <c r="AD805" s="40">
        <f>IF(AC805=0,0,COUNTIFS(L_CalChave,"&gt;0",L_CalChave,"&lt;"&amp;AC805)+1)</f>
        <v>0</v>
      </c>
    </row>
    <row r="806">
      <c r="A806" s="38" t="n"/>
      <c r="B806" s="39" t="n"/>
      <c r="C806" s="34" t="n"/>
      <c r="D806" s="34" t="n"/>
      <c r="E806" s="34" t="n"/>
      <c r="F806" s="34" t="n"/>
      <c r="G806" s="34" t="n"/>
      <c r="H806" s="37" t="n"/>
      <c r="I806" s="37" t="n"/>
      <c r="J806" s="34" t="n"/>
      <c r="K806" s="34" t="n"/>
      <c r="L806" s="34" t="n"/>
      <c r="M806" s="39" t="n"/>
      <c r="N806" s="35" t="n"/>
      <c r="O806" s="40" t="str">
        <f>IF($A806="","",MONTH($A806))</f>
        <v/>
      </c>
      <c r="P806" s="40" t="str">
        <f>IF($A806="","",YEAR($A806))</f>
        <v/>
      </c>
      <c r="Q806" s="41" t="str">
        <f>IF($A806="","",DATE(P806,O806,1))</f>
        <v/>
      </c>
      <c r="R806" s="36" t="str">
        <f>IF(OR($A806="",$N806=""),"",IF(AND($C806&lt;&gt;"Transferência",N($I806)&gt;1),$N806/$I806,$N806))</f>
        <v/>
      </c>
      <c r="S806" s="41" t="str">
        <f>IF(OR($A806="",$F806="",$C806&lt;&gt;"Despesa"),"",IF(COUNTIF(Cartoes_Nome,$F806)=0,"",DATE(P806,O806+IF(DAY($A806)&gt;=INDEX(Cartoes_Fech,MATCH($F806,Cartoes_Nome,0)),1,0),1)))</f>
        <v/>
      </c>
      <c r="T806" s="42" t="str">
        <f>IF($A806="","",IF(COUNTIFS(L_Data,$A806,L_Desc,$B806,L_Valor,$N806,L_Tipo,$C806)&gt;1,"⚠ Possível duplicidade",IF(OR(AND($C806="Despesa",COUNTIF(CatD_Nome,$D806)=0),AND($C806="Receita",COUNTIF(CatR_Nome,$D806)=0)),"⚠ Categoria não combina com o tipo",IF(OR($N806="",$C806=""),"⚠ Falta valor ou tipo",""))))</f>
        <v/>
      </c>
      <c r="U806" s="40">
        <f>IF($A806="",0,P806*12+O806)</f>
        <v>0</v>
      </c>
      <c r="V806" s="40">
        <f>IF($A806="",0,U806+MAX(0,N($I806)-MAX(N($H806),1)))</f>
        <v>0</v>
      </c>
      <c r="W806" s="40">
        <f>IF(S806="",0,YEAR(S806)*12+MONTH(S806))</f>
        <v>0</v>
      </c>
      <c r="X806" s="40">
        <f>IF(W806=0,0,W806+V806-U806)</f>
        <v>0</v>
      </c>
      <c r="Y806" s="36">
        <f>IF(W806=0,0,N(R806)*MAX(0,X806-MAX(W806,YEAR(Cfg_Hoje)*12+MONTH(Cfg_Hoje)+IF(DAY(Cfg_Hoje)&gt;=INDEX(Cartoes_Fech,MATCH($F806,Cartoes_Nome,0)),1,0))+1))</f>
        <v>0</v>
      </c>
      <c r="Z806" s="40">
        <f>IF($A806="",0,DAY($A806))</f>
        <v>0</v>
      </c>
      <c r="AA806" s="40">
        <f>IF($A806="",0,WEEKDAY($A806))</f>
        <v>0</v>
      </c>
      <c r="AB806" s="36">
        <f>IF(AND($C806="Despesa",U806&gt;0,U806&lt;=Sel_Idx,V806&gt;=Sel_Idx),N(R806)+ROW()/1000000000,0)</f>
        <v>0</v>
      </c>
      <c r="AC806" s="40">
        <f>IF(AND($C806="Despesa",U806&gt;0,U806&lt;=Sel_Idx,V806&gt;=Sel_Idx),Z806*10000+ROW(),0)</f>
        <v>0</v>
      </c>
      <c r="AD806" s="40">
        <f>IF(AC806=0,0,COUNTIFS(L_CalChave,"&gt;0",L_CalChave,"&lt;"&amp;AC806)+1)</f>
        <v>0</v>
      </c>
    </row>
    <row r="807">
      <c r="A807" s="38" t="n"/>
      <c r="B807" s="39" t="n"/>
      <c r="C807" s="34" t="n"/>
      <c r="D807" s="34" t="n"/>
      <c r="E807" s="34" t="n"/>
      <c r="F807" s="34" t="n"/>
      <c r="G807" s="34" t="n"/>
      <c r="H807" s="37" t="n"/>
      <c r="I807" s="37" t="n"/>
      <c r="J807" s="34" t="n"/>
      <c r="K807" s="34" t="n"/>
      <c r="L807" s="34" t="n"/>
      <c r="M807" s="39" t="n"/>
      <c r="N807" s="35" t="n"/>
      <c r="O807" s="40" t="str">
        <f>IF($A807="","",MONTH($A807))</f>
        <v/>
      </c>
      <c r="P807" s="40" t="str">
        <f>IF($A807="","",YEAR($A807))</f>
        <v/>
      </c>
      <c r="Q807" s="41" t="str">
        <f>IF($A807="","",DATE(P807,O807,1))</f>
        <v/>
      </c>
      <c r="R807" s="36" t="str">
        <f>IF(OR($A807="",$N807=""),"",IF(AND($C807&lt;&gt;"Transferência",N($I807)&gt;1),$N807/$I807,$N807))</f>
        <v/>
      </c>
      <c r="S807" s="41" t="str">
        <f>IF(OR($A807="",$F807="",$C807&lt;&gt;"Despesa"),"",IF(COUNTIF(Cartoes_Nome,$F807)=0,"",DATE(P807,O807+IF(DAY($A807)&gt;=INDEX(Cartoes_Fech,MATCH($F807,Cartoes_Nome,0)),1,0),1)))</f>
        <v/>
      </c>
      <c r="T807" s="42" t="str">
        <f>IF($A807="","",IF(COUNTIFS(L_Data,$A807,L_Desc,$B807,L_Valor,$N807,L_Tipo,$C807)&gt;1,"⚠ Possível duplicidade",IF(OR(AND($C807="Despesa",COUNTIF(CatD_Nome,$D807)=0),AND($C807="Receita",COUNTIF(CatR_Nome,$D807)=0)),"⚠ Categoria não combina com o tipo",IF(OR($N807="",$C807=""),"⚠ Falta valor ou tipo",""))))</f>
        <v/>
      </c>
      <c r="U807" s="40">
        <f>IF($A807="",0,P807*12+O807)</f>
        <v>0</v>
      </c>
      <c r="V807" s="40">
        <f>IF($A807="",0,U807+MAX(0,N($I807)-MAX(N($H807),1)))</f>
        <v>0</v>
      </c>
      <c r="W807" s="40">
        <f>IF(S807="",0,YEAR(S807)*12+MONTH(S807))</f>
        <v>0</v>
      </c>
      <c r="X807" s="40">
        <f>IF(W807=0,0,W807+V807-U807)</f>
        <v>0</v>
      </c>
      <c r="Y807" s="36">
        <f>IF(W807=0,0,N(R807)*MAX(0,X807-MAX(W807,YEAR(Cfg_Hoje)*12+MONTH(Cfg_Hoje)+IF(DAY(Cfg_Hoje)&gt;=INDEX(Cartoes_Fech,MATCH($F807,Cartoes_Nome,0)),1,0))+1))</f>
        <v>0</v>
      </c>
      <c r="Z807" s="40">
        <f>IF($A807="",0,DAY($A807))</f>
        <v>0</v>
      </c>
      <c r="AA807" s="40">
        <f>IF($A807="",0,WEEKDAY($A807))</f>
        <v>0</v>
      </c>
      <c r="AB807" s="36">
        <f>IF(AND($C807="Despesa",U807&gt;0,U807&lt;=Sel_Idx,V807&gt;=Sel_Idx),N(R807)+ROW()/1000000000,0)</f>
        <v>0</v>
      </c>
      <c r="AC807" s="40">
        <f>IF(AND($C807="Despesa",U807&gt;0,U807&lt;=Sel_Idx,V807&gt;=Sel_Idx),Z807*10000+ROW(),0)</f>
        <v>0</v>
      </c>
      <c r="AD807" s="40">
        <f>IF(AC807=0,0,COUNTIFS(L_CalChave,"&gt;0",L_CalChave,"&lt;"&amp;AC807)+1)</f>
        <v>0</v>
      </c>
    </row>
    <row r="808">
      <c r="A808" s="38" t="n"/>
      <c r="B808" s="39" t="n"/>
      <c r="C808" s="34" t="n"/>
      <c r="D808" s="34" t="n"/>
      <c r="E808" s="34" t="n"/>
      <c r="F808" s="34" t="n"/>
      <c r="G808" s="34" t="n"/>
      <c r="H808" s="37" t="n"/>
      <c r="I808" s="37" t="n"/>
      <c r="J808" s="34" t="n"/>
      <c r="K808" s="34" t="n"/>
      <c r="L808" s="34" t="n"/>
      <c r="M808" s="39" t="n"/>
      <c r="N808" s="35" t="n"/>
      <c r="O808" s="40" t="str">
        <f>IF($A808="","",MONTH($A808))</f>
        <v/>
      </c>
      <c r="P808" s="40" t="str">
        <f>IF($A808="","",YEAR($A808))</f>
        <v/>
      </c>
      <c r="Q808" s="41" t="str">
        <f>IF($A808="","",DATE(P808,O808,1))</f>
        <v/>
      </c>
      <c r="R808" s="36" t="str">
        <f>IF(OR($A808="",$N808=""),"",IF(AND($C808&lt;&gt;"Transferência",N($I808)&gt;1),$N808/$I808,$N808))</f>
        <v/>
      </c>
      <c r="S808" s="41" t="str">
        <f>IF(OR($A808="",$F808="",$C808&lt;&gt;"Despesa"),"",IF(COUNTIF(Cartoes_Nome,$F808)=0,"",DATE(P808,O808+IF(DAY($A808)&gt;=INDEX(Cartoes_Fech,MATCH($F808,Cartoes_Nome,0)),1,0),1)))</f>
        <v/>
      </c>
      <c r="T808" s="42" t="str">
        <f>IF($A808="","",IF(COUNTIFS(L_Data,$A808,L_Desc,$B808,L_Valor,$N808,L_Tipo,$C808)&gt;1,"⚠ Possível duplicidade",IF(OR(AND($C808="Despesa",COUNTIF(CatD_Nome,$D808)=0),AND($C808="Receita",COUNTIF(CatR_Nome,$D808)=0)),"⚠ Categoria não combina com o tipo",IF(OR($N808="",$C808=""),"⚠ Falta valor ou tipo",""))))</f>
        <v/>
      </c>
      <c r="U808" s="40">
        <f>IF($A808="",0,P808*12+O808)</f>
        <v>0</v>
      </c>
      <c r="V808" s="40">
        <f>IF($A808="",0,U808+MAX(0,N($I808)-MAX(N($H808),1)))</f>
        <v>0</v>
      </c>
      <c r="W808" s="40">
        <f>IF(S808="",0,YEAR(S808)*12+MONTH(S808))</f>
        <v>0</v>
      </c>
      <c r="X808" s="40">
        <f>IF(W808=0,0,W808+V808-U808)</f>
        <v>0</v>
      </c>
      <c r="Y808" s="36">
        <f>IF(W808=0,0,N(R808)*MAX(0,X808-MAX(W808,YEAR(Cfg_Hoje)*12+MONTH(Cfg_Hoje)+IF(DAY(Cfg_Hoje)&gt;=INDEX(Cartoes_Fech,MATCH($F808,Cartoes_Nome,0)),1,0))+1))</f>
        <v>0</v>
      </c>
      <c r="Z808" s="40">
        <f>IF($A808="",0,DAY($A808))</f>
        <v>0</v>
      </c>
      <c r="AA808" s="40">
        <f>IF($A808="",0,WEEKDAY($A808))</f>
        <v>0</v>
      </c>
      <c r="AB808" s="36">
        <f>IF(AND($C808="Despesa",U808&gt;0,U808&lt;=Sel_Idx,V808&gt;=Sel_Idx),N(R808)+ROW()/1000000000,0)</f>
        <v>0</v>
      </c>
      <c r="AC808" s="40">
        <f>IF(AND($C808="Despesa",U808&gt;0,U808&lt;=Sel_Idx,V808&gt;=Sel_Idx),Z808*10000+ROW(),0)</f>
        <v>0</v>
      </c>
      <c r="AD808" s="40">
        <f>IF(AC808=0,0,COUNTIFS(L_CalChave,"&gt;0",L_CalChave,"&lt;"&amp;AC808)+1)</f>
        <v>0</v>
      </c>
    </row>
    <row r="809">
      <c r="A809" s="38" t="n"/>
      <c r="B809" s="39" t="n"/>
      <c r="C809" s="34" t="n"/>
      <c r="D809" s="34" t="n"/>
      <c r="E809" s="34" t="n"/>
      <c r="F809" s="34" t="n"/>
      <c r="G809" s="34" t="n"/>
      <c r="H809" s="37" t="n"/>
      <c r="I809" s="37" t="n"/>
      <c r="J809" s="34" t="n"/>
      <c r="K809" s="34" t="n"/>
      <c r="L809" s="34" t="n"/>
      <c r="M809" s="39" t="n"/>
      <c r="N809" s="35" t="n"/>
      <c r="O809" s="40" t="str">
        <f>IF($A809="","",MONTH($A809))</f>
        <v/>
      </c>
      <c r="P809" s="40" t="str">
        <f>IF($A809="","",YEAR($A809))</f>
        <v/>
      </c>
      <c r="Q809" s="41" t="str">
        <f>IF($A809="","",DATE(P809,O809,1))</f>
        <v/>
      </c>
      <c r="R809" s="36" t="str">
        <f>IF(OR($A809="",$N809=""),"",IF(AND($C809&lt;&gt;"Transferência",N($I809)&gt;1),$N809/$I809,$N809))</f>
        <v/>
      </c>
      <c r="S809" s="41" t="str">
        <f>IF(OR($A809="",$F809="",$C809&lt;&gt;"Despesa"),"",IF(COUNTIF(Cartoes_Nome,$F809)=0,"",DATE(P809,O809+IF(DAY($A809)&gt;=INDEX(Cartoes_Fech,MATCH($F809,Cartoes_Nome,0)),1,0),1)))</f>
        <v/>
      </c>
      <c r="T809" s="42" t="str">
        <f>IF($A809="","",IF(COUNTIFS(L_Data,$A809,L_Desc,$B809,L_Valor,$N809,L_Tipo,$C809)&gt;1,"⚠ Possível duplicidade",IF(OR(AND($C809="Despesa",COUNTIF(CatD_Nome,$D809)=0),AND($C809="Receita",COUNTIF(CatR_Nome,$D809)=0)),"⚠ Categoria não combina com o tipo",IF(OR($N809="",$C809=""),"⚠ Falta valor ou tipo",""))))</f>
        <v/>
      </c>
      <c r="U809" s="40">
        <f>IF($A809="",0,P809*12+O809)</f>
        <v>0</v>
      </c>
      <c r="V809" s="40">
        <f>IF($A809="",0,U809+MAX(0,N($I809)-MAX(N($H809),1)))</f>
        <v>0</v>
      </c>
      <c r="W809" s="40">
        <f>IF(S809="",0,YEAR(S809)*12+MONTH(S809))</f>
        <v>0</v>
      </c>
      <c r="X809" s="40">
        <f>IF(W809=0,0,W809+V809-U809)</f>
        <v>0</v>
      </c>
      <c r="Y809" s="36">
        <f>IF(W809=0,0,N(R809)*MAX(0,X809-MAX(W809,YEAR(Cfg_Hoje)*12+MONTH(Cfg_Hoje)+IF(DAY(Cfg_Hoje)&gt;=INDEX(Cartoes_Fech,MATCH($F809,Cartoes_Nome,0)),1,0))+1))</f>
        <v>0</v>
      </c>
      <c r="Z809" s="40">
        <f>IF($A809="",0,DAY($A809))</f>
        <v>0</v>
      </c>
      <c r="AA809" s="40">
        <f>IF($A809="",0,WEEKDAY($A809))</f>
        <v>0</v>
      </c>
      <c r="AB809" s="36">
        <f>IF(AND($C809="Despesa",U809&gt;0,U809&lt;=Sel_Idx,V809&gt;=Sel_Idx),N(R809)+ROW()/1000000000,0)</f>
        <v>0</v>
      </c>
      <c r="AC809" s="40">
        <f>IF(AND($C809="Despesa",U809&gt;0,U809&lt;=Sel_Idx,V809&gt;=Sel_Idx),Z809*10000+ROW(),0)</f>
        <v>0</v>
      </c>
      <c r="AD809" s="40">
        <f>IF(AC809=0,0,COUNTIFS(L_CalChave,"&gt;0",L_CalChave,"&lt;"&amp;AC809)+1)</f>
        <v>0</v>
      </c>
    </row>
    <row r="810">
      <c r="A810" s="38" t="n"/>
      <c r="B810" s="39" t="n"/>
      <c r="C810" s="34" t="n"/>
      <c r="D810" s="34" t="n"/>
      <c r="E810" s="34" t="n"/>
      <c r="F810" s="34" t="n"/>
      <c r="G810" s="34" t="n"/>
      <c r="H810" s="37" t="n"/>
      <c r="I810" s="37" t="n"/>
      <c r="J810" s="34" t="n"/>
      <c r="K810" s="34" t="n"/>
      <c r="L810" s="34" t="n"/>
      <c r="M810" s="39" t="n"/>
      <c r="N810" s="35" t="n"/>
      <c r="O810" s="40" t="str">
        <f>IF($A810="","",MONTH($A810))</f>
        <v/>
      </c>
      <c r="P810" s="40" t="str">
        <f>IF($A810="","",YEAR($A810))</f>
        <v/>
      </c>
      <c r="Q810" s="41" t="str">
        <f>IF($A810="","",DATE(P810,O810,1))</f>
        <v/>
      </c>
      <c r="R810" s="36" t="str">
        <f>IF(OR($A810="",$N810=""),"",IF(AND($C810&lt;&gt;"Transferência",N($I810)&gt;1),$N810/$I810,$N810))</f>
        <v/>
      </c>
      <c r="S810" s="41" t="str">
        <f>IF(OR($A810="",$F810="",$C810&lt;&gt;"Despesa"),"",IF(COUNTIF(Cartoes_Nome,$F810)=0,"",DATE(P810,O810+IF(DAY($A810)&gt;=INDEX(Cartoes_Fech,MATCH($F810,Cartoes_Nome,0)),1,0),1)))</f>
        <v/>
      </c>
      <c r="T810" s="42" t="str">
        <f>IF($A810="","",IF(COUNTIFS(L_Data,$A810,L_Desc,$B810,L_Valor,$N810,L_Tipo,$C810)&gt;1,"⚠ Possível duplicidade",IF(OR(AND($C810="Despesa",COUNTIF(CatD_Nome,$D810)=0),AND($C810="Receita",COUNTIF(CatR_Nome,$D810)=0)),"⚠ Categoria não combina com o tipo",IF(OR($N810="",$C810=""),"⚠ Falta valor ou tipo",""))))</f>
        <v/>
      </c>
      <c r="U810" s="40">
        <f>IF($A810="",0,P810*12+O810)</f>
        <v>0</v>
      </c>
      <c r="V810" s="40">
        <f>IF($A810="",0,U810+MAX(0,N($I810)-MAX(N($H810),1)))</f>
        <v>0</v>
      </c>
      <c r="W810" s="40">
        <f>IF(S810="",0,YEAR(S810)*12+MONTH(S810))</f>
        <v>0</v>
      </c>
      <c r="X810" s="40">
        <f>IF(W810=0,0,W810+V810-U810)</f>
        <v>0</v>
      </c>
      <c r="Y810" s="36">
        <f>IF(W810=0,0,N(R810)*MAX(0,X810-MAX(W810,YEAR(Cfg_Hoje)*12+MONTH(Cfg_Hoje)+IF(DAY(Cfg_Hoje)&gt;=INDEX(Cartoes_Fech,MATCH($F810,Cartoes_Nome,0)),1,0))+1))</f>
        <v>0</v>
      </c>
      <c r="Z810" s="40">
        <f>IF($A810="",0,DAY($A810))</f>
        <v>0</v>
      </c>
      <c r="AA810" s="40">
        <f>IF($A810="",0,WEEKDAY($A810))</f>
        <v>0</v>
      </c>
      <c r="AB810" s="36">
        <f>IF(AND($C810="Despesa",U810&gt;0,U810&lt;=Sel_Idx,V810&gt;=Sel_Idx),N(R810)+ROW()/1000000000,0)</f>
        <v>0</v>
      </c>
      <c r="AC810" s="40">
        <f>IF(AND($C810="Despesa",U810&gt;0,U810&lt;=Sel_Idx,V810&gt;=Sel_Idx),Z810*10000+ROW(),0)</f>
        <v>0</v>
      </c>
      <c r="AD810" s="40">
        <f>IF(AC810=0,0,COUNTIFS(L_CalChave,"&gt;0",L_CalChave,"&lt;"&amp;AC810)+1)</f>
        <v>0</v>
      </c>
    </row>
    <row r="811">
      <c r="A811" s="38" t="n"/>
      <c r="B811" s="39" t="n"/>
      <c r="C811" s="34" t="n"/>
      <c r="D811" s="34" t="n"/>
      <c r="E811" s="34" t="n"/>
      <c r="F811" s="34" t="n"/>
      <c r="G811" s="34" t="n"/>
      <c r="H811" s="37" t="n"/>
      <c r="I811" s="37" t="n"/>
      <c r="J811" s="34" t="n"/>
      <c r="K811" s="34" t="n"/>
      <c r="L811" s="34" t="n"/>
      <c r="M811" s="39" t="n"/>
      <c r="N811" s="35" t="n"/>
      <c r="O811" s="40" t="str">
        <f>IF($A811="","",MONTH($A811))</f>
        <v/>
      </c>
      <c r="P811" s="40" t="str">
        <f>IF($A811="","",YEAR($A811))</f>
        <v/>
      </c>
      <c r="Q811" s="41" t="str">
        <f>IF($A811="","",DATE(P811,O811,1))</f>
        <v/>
      </c>
      <c r="R811" s="36" t="str">
        <f>IF(OR($A811="",$N811=""),"",IF(AND($C811&lt;&gt;"Transferência",N($I811)&gt;1),$N811/$I811,$N811))</f>
        <v/>
      </c>
      <c r="S811" s="41" t="str">
        <f>IF(OR($A811="",$F811="",$C811&lt;&gt;"Despesa"),"",IF(COUNTIF(Cartoes_Nome,$F811)=0,"",DATE(P811,O811+IF(DAY($A811)&gt;=INDEX(Cartoes_Fech,MATCH($F811,Cartoes_Nome,0)),1,0),1)))</f>
        <v/>
      </c>
      <c r="T811" s="42" t="str">
        <f>IF($A811="","",IF(COUNTIFS(L_Data,$A811,L_Desc,$B811,L_Valor,$N811,L_Tipo,$C811)&gt;1,"⚠ Possível duplicidade",IF(OR(AND($C811="Despesa",COUNTIF(CatD_Nome,$D811)=0),AND($C811="Receita",COUNTIF(CatR_Nome,$D811)=0)),"⚠ Categoria não combina com o tipo",IF(OR($N811="",$C811=""),"⚠ Falta valor ou tipo",""))))</f>
        <v/>
      </c>
      <c r="U811" s="40">
        <f>IF($A811="",0,P811*12+O811)</f>
        <v>0</v>
      </c>
      <c r="V811" s="40">
        <f>IF($A811="",0,U811+MAX(0,N($I811)-MAX(N($H811),1)))</f>
        <v>0</v>
      </c>
      <c r="W811" s="40">
        <f>IF(S811="",0,YEAR(S811)*12+MONTH(S811))</f>
        <v>0</v>
      </c>
      <c r="X811" s="40">
        <f>IF(W811=0,0,W811+V811-U811)</f>
        <v>0</v>
      </c>
      <c r="Y811" s="36">
        <f>IF(W811=0,0,N(R811)*MAX(0,X811-MAX(W811,YEAR(Cfg_Hoje)*12+MONTH(Cfg_Hoje)+IF(DAY(Cfg_Hoje)&gt;=INDEX(Cartoes_Fech,MATCH($F811,Cartoes_Nome,0)),1,0))+1))</f>
        <v>0</v>
      </c>
      <c r="Z811" s="40">
        <f>IF($A811="",0,DAY($A811))</f>
        <v>0</v>
      </c>
      <c r="AA811" s="40">
        <f>IF($A811="",0,WEEKDAY($A811))</f>
        <v>0</v>
      </c>
      <c r="AB811" s="36">
        <f>IF(AND($C811="Despesa",U811&gt;0,U811&lt;=Sel_Idx,V811&gt;=Sel_Idx),N(R811)+ROW()/1000000000,0)</f>
        <v>0</v>
      </c>
      <c r="AC811" s="40">
        <f>IF(AND($C811="Despesa",U811&gt;0,U811&lt;=Sel_Idx,V811&gt;=Sel_Idx),Z811*10000+ROW(),0)</f>
        <v>0</v>
      </c>
      <c r="AD811" s="40">
        <f>IF(AC811=0,0,COUNTIFS(L_CalChave,"&gt;0",L_CalChave,"&lt;"&amp;AC811)+1)</f>
        <v>0</v>
      </c>
    </row>
    <row r="812">
      <c r="A812" s="38" t="n"/>
      <c r="B812" s="39" t="n"/>
      <c r="C812" s="34" t="n"/>
      <c r="D812" s="34" t="n"/>
      <c r="E812" s="34" t="n"/>
      <c r="F812" s="34" t="n"/>
      <c r="G812" s="34" t="n"/>
      <c r="H812" s="37" t="n"/>
      <c r="I812" s="37" t="n"/>
      <c r="J812" s="34" t="n"/>
      <c r="K812" s="34" t="n"/>
      <c r="L812" s="34" t="n"/>
      <c r="M812" s="39" t="n"/>
      <c r="N812" s="35" t="n"/>
      <c r="O812" s="40" t="str">
        <f>IF($A812="","",MONTH($A812))</f>
        <v/>
      </c>
      <c r="P812" s="40" t="str">
        <f>IF($A812="","",YEAR($A812))</f>
        <v/>
      </c>
      <c r="Q812" s="41" t="str">
        <f>IF($A812="","",DATE(P812,O812,1))</f>
        <v/>
      </c>
      <c r="R812" s="36" t="str">
        <f>IF(OR($A812="",$N812=""),"",IF(AND($C812&lt;&gt;"Transferência",N($I812)&gt;1),$N812/$I812,$N812))</f>
        <v/>
      </c>
      <c r="S812" s="41" t="str">
        <f>IF(OR($A812="",$F812="",$C812&lt;&gt;"Despesa"),"",IF(COUNTIF(Cartoes_Nome,$F812)=0,"",DATE(P812,O812+IF(DAY($A812)&gt;=INDEX(Cartoes_Fech,MATCH($F812,Cartoes_Nome,0)),1,0),1)))</f>
        <v/>
      </c>
      <c r="T812" s="42" t="str">
        <f>IF($A812="","",IF(COUNTIFS(L_Data,$A812,L_Desc,$B812,L_Valor,$N812,L_Tipo,$C812)&gt;1,"⚠ Possível duplicidade",IF(OR(AND($C812="Despesa",COUNTIF(CatD_Nome,$D812)=0),AND($C812="Receita",COUNTIF(CatR_Nome,$D812)=0)),"⚠ Categoria não combina com o tipo",IF(OR($N812="",$C812=""),"⚠ Falta valor ou tipo",""))))</f>
        <v/>
      </c>
      <c r="U812" s="40">
        <f>IF($A812="",0,P812*12+O812)</f>
        <v>0</v>
      </c>
      <c r="V812" s="40">
        <f>IF($A812="",0,U812+MAX(0,N($I812)-MAX(N($H812),1)))</f>
        <v>0</v>
      </c>
      <c r="W812" s="40">
        <f>IF(S812="",0,YEAR(S812)*12+MONTH(S812))</f>
        <v>0</v>
      </c>
      <c r="X812" s="40">
        <f>IF(W812=0,0,W812+V812-U812)</f>
        <v>0</v>
      </c>
      <c r="Y812" s="36">
        <f>IF(W812=0,0,N(R812)*MAX(0,X812-MAX(W812,YEAR(Cfg_Hoje)*12+MONTH(Cfg_Hoje)+IF(DAY(Cfg_Hoje)&gt;=INDEX(Cartoes_Fech,MATCH($F812,Cartoes_Nome,0)),1,0))+1))</f>
        <v>0</v>
      </c>
      <c r="Z812" s="40">
        <f>IF($A812="",0,DAY($A812))</f>
        <v>0</v>
      </c>
      <c r="AA812" s="40">
        <f>IF($A812="",0,WEEKDAY($A812))</f>
        <v>0</v>
      </c>
      <c r="AB812" s="36">
        <f>IF(AND($C812="Despesa",U812&gt;0,U812&lt;=Sel_Idx,V812&gt;=Sel_Idx),N(R812)+ROW()/1000000000,0)</f>
        <v>0</v>
      </c>
      <c r="AC812" s="40">
        <f>IF(AND($C812="Despesa",U812&gt;0,U812&lt;=Sel_Idx,V812&gt;=Sel_Idx),Z812*10000+ROW(),0)</f>
        <v>0</v>
      </c>
      <c r="AD812" s="40">
        <f>IF(AC812=0,0,COUNTIFS(L_CalChave,"&gt;0",L_CalChave,"&lt;"&amp;AC812)+1)</f>
        <v>0</v>
      </c>
    </row>
    <row r="813">
      <c r="A813" s="38" t="n"/>
      <c r="B813" s="39" t="n"/>
      <c r="C813" s="34" t="n"/>
      <c r="D813" s="34" t="n"/>
      <c r="E813" s="34" t="n"/>
      <c r="F813" s="34" t="n"/>
      <c r="G813" s="34" t="n"/>
      <c r="H813" s="37" t="n"/>
      <c r="I813" s="37" t="n"/>
      <c r="J813" s="34" t="n"/>
      <c r="K813" s="34" t="n"/>
      <c r="L813" s="34" t="n"/>
      <c r="M813" s="39" t="n"/>
      <c r="N813" s="35" t="n"/>
      <c r="O813" s="40" t="str">
        <f>IF($A813="","",MONTH($A813))</f>
        <v/>
      </c>
      <c r="P813" s="40" t="str">
        <f>IF($A813="","",YEAR($A813))</f>
        <v/>
      </c>
      <c r="Q813" s="41" t="str">
        <f>IF($A813="","",DATE(P813,O813,1))</f>
        <v/>
      </c>
      <c r="R813" s="36" t="str">
        <f>IF(OR($A813="",$N813=""),"",IF(AND($C813&lt;&gt;"Transferência",N($I813)&gt;1),$N813/$I813,$N813))</f>
        <v/>
      </c>
      <c r="S813" s="41" t="str">
        <f>IF(OR($A813="",$F813="",$C813&lt;&gt;"Despesa"),"",IF(COUNTIF(Cartoes_Nome,$F813)=0,"",DATE(P813,O813+IF(DAY($A813)&gt;=INDEX(Cartoes_Fech,MATCH($F813,Cartoes_Nome,0)),1,0),1)))</f>
        <v/>
      </c>
      <c r="T813" s="42" t="str">
        <f>IF($A813="","",IF(COUNTIFS(L_Data,$A813,L_Desc,$B813,L_Valor,$N813,L_Tipo,$C813)&gt;1,"⚠ Possível duplicidade",IF(OR(AND($C813="Despesa",COUNTIF(CatD_Nome,$D813)=0),AND($C813="Receita",COUNTIF(CatR_Nome,$D813)=0)),"⚠ Categoria não combina com o tipo",IF(OR($N813="",$C813=""),"⚠ Falta valor ou tipo",""))))</f>
        <v/>
      </c>
      <c r="U813" s="40">
        <f>IF($A813="",0,P813*12+O813)</f>
        <v>0</v>
      </c>
      <c r="V813" s="40">
        <f>IF($A813="",0,U813+MAX(0,N($I813)-MAX(N($H813),1)))</f>
        <v>0</v>
      </c>
      <c r="W813" s="40">
        <f>IF(S813="",0,YEAR(S813)*12+MONTH(S813))</f>
        <v>0</v>
      </c>
      <c r="X813" s="40">
        <f>IF(W813=0,0,W813+V813-U813)</f>
        <v>0</v>
      </c>
      <c r="Y813" s="36">
        <f>IF(W813=0,0,N(R813)*MAX(0,X813-MAX(W813,YEAR(Cfg_Hoje)*12+MONTH(Cfg_Hoje)+IF(DAY(Cfg_Hoje)&gt;=INDEX(Cartoes_Fech,MATCH($F813,Cartoes_Nome,0)),1,0))+1))</f>
        <v>0</v>
      </c>
      <c r="Z813" s="40">
        <f>IF($A813="",0,DAY($A813))</f>
        <v>0</v>
      </c>
      <c r="AA813" s="40">
        <f>IF($A813="",0,WEEKDAY($A813))</f>
        <v>0</v>
      </c>
      <c r="AB813" s="36">
        <f>IF(AND($C813="Despesa",U813&gt;0,U813&lt;=Sel_Idx,V813&gt;=Sel_Idx),N(R813)+ROW()/1000000000,0)</f>
        <v>0</v>
      </c>
      <c r="AC813" s="40">
        <f>IF(AND($C813="Despesa",U813&gt;0,U813&lt;=Sel_Idx,V813&gt;=Sel_Idx),Z813*10000+ROW(),0)</f>
        <v>0</v>
      </c>
      <c r="AD813" s="40">
        <f>IF(AC813=0,0,COUNTIFS(L_CalChave,"&gt;0",L_CalChave,"&lt;"&amp;AC813)+1)</f>
        <v>0</v>
      </c>
    </row>
    <row r="814">
      <c r="A814" s="38" t="n"/>
      <c r="B814" s="39" t="n"/>
      <c r="C814" s="34" t="n"/>
      <c r="D814" s="34" t="n"/>
      <c r="E814" s="34" t="n"/>
      <c r="F814" s="34" t="n"/>
      <c r="G814" s="34" t="n"/>
      <c r="H814" s="37" t="n"/>
      <c r="I814" s="37" t="n"/>
      <c r="J814" s="34" t="n"/>
      <c r="K814" s="34" t="n"/>
      <c r="L814" s="34" t="n"/>
      <c r="M814" s="39" t="n"/>
      <c r="N814" s="35" t="n"/>
      <c r="O814" s="40" t="str">
        <f>IF($A814="","",MONTH($A814))</f>
        <v/>
      </c>
      <c r="P814" s="40" t="str">
        <f>IF($A814="","",YEAR($A814))</f>
        <v/>
      </c>
      <c r="Q814" s="41" t="str">
        <f>IF($A814="","",DATE(P814,O814,1))</f>
        <v/>
      </c>
      <c r="R814" s="36" t="str">
        <f>IF(OR($A814="",$N814=""),"",IF(AND($C814&lt;&gt;"Transferência",N($I814)&gt;1),$N814/$I814,$N814))</f>
        <v/>
      </c>
      <c r="S814" s="41" t="str">
        <f>IF(OR($A814="",$F814="",$C814&lt;&gt;"Despesa"),"",IF(COUNTIF(Cartoes_Nome,$F814)=0,"",DATE(P814,O814+IF(DAY($A814)&gt;=INDEX(Cartoes_Fech,MATCH($F814,Cartoes_Nome,0)),1,0),1)))</f>
        <v/>
      </c>
      <c r="T814" s="42" t="str">
        <f>IF($A814="","",IF(COUNTIFS(L_Data,$A814,L_Desc,$B814,L_Valor,$N814,L_Tipo,$C814)&gt;1,"⚠ Possível duplicidade",IF(OR(AND($C814="Despesa",COUNTIF(CatD_Nome,$D814)=0),AND($C814="Receita",COUNTIF(CatR_Nome,$D814)=0)),"⚠ Categoria não combina com o tipo",IF(OR($N814="",$C814=""),"⚠ Falta valor ou tipo",""))))</f>
        <v/>
      </c>
      <c r="U814" s="40">
        <f>IF($A814="",0,P814*12+O814)</f>
        <v>0</v>
      </c>
      <c r="V814" s="40">
        <f>IF($A814="",0,U814+MAX(0,N($I814)-MAX(N($H814),1)))</f>
        <v>0</v>
      </c>
      <c r="W814" s="40">
        <f>IF(S814="",0,YEAR(S814)*12+MONTH(S814))</f>
        <v>0</v>
      </c>
      <c r="X814" s="40">
        <f>IF(W814=0,0,W814+V814-U814)</f>
        <v>0</v>
      </c>
      <c r="Y814" s="36">
        <f>IF(W814=0,0,N(R814)*MAX(0,X814-MAX(W814,YEAR(Cfg_Hoje)*12+MONTH(Cfg_Hoje)+IF(DAY(Cfg_Hoje)&gt;=INDEX(Cartoes_Fech,MATCH($F814,Cartoes_Nome,0)),1,0))+1))</f>
        <v>0</v>
      </c>
      <c r="Z814" s="40">
        <f>IF($A814="",0,DAY($A814))</f>
        <v>0</v>
      </c>
      <c r="AA814" s="40">
        <f>IF($A814="",0,WEEKDAY($A814))</f>
        <v>0</v>
      </c>
      <c r="AB814" s="36">
        <f>IF(AND($C814="Despesa",U814&gt;0,U814&lt;=Sel_Idx,V814&gt;=Sel_Idx),N(R814)+ROW()/1000000000,0)</f>
        <v>0</v>
      </c>
      <c r="AC814" s="40">
        <f>IF(AND($C814="Despesa",U814&gt;0,U814&lt;=Sel_Idx,V814&gt;=Sel_Idx),Z814*10000+ROW(),0)</f>
        <v>0</v>
      </c>
      <c r="AD814" s="40">
        <f>IF(AC814=0,0,COUNTIFS(L_CalChave,"&gt;0",L_CalChave,"&lt;"&amp;AC814)+1)</f>
        <v>0</v>
      </c>
    </row>
    <row r="815">
      <c r="A815" s="38" t="n"/>
      <c r="B815" s="39" t="n"/>
      <c r="C815" s="34" t="n"/>
      <c r="D815" s="34" t="n"/>
      <c r="E815" s="34" t="n"/>
      <c r="F815" s="34" t="n"/>
      <c r="G815" s="34" t="n"/>
      <c r="H815" s="37" t="n"/>
      <c r="I815" s="37" t="n"/>
      <c r="J815" s="34" t="n"/>
      <c r="K815" s="34" t="n"/>
      <c r="L815" s="34" t="n"/>
      <c r="M815" s="39" t="n"/>
      <c r="N815" s="35" t="n"/>
      <c r="O815" s="40" t="str">
        <f>IF($A815="","",MONTH($A815))</f>
        <v/>
      </c>
      <c r="P815" s="40" t="str">
        <f>IF($A815="","",YEAR($A815))</f>
        <v/>
      </c>
      <c r="Q815" s="41" t="str">
        <f>IF($A815="","",DATE(P815,O815,1))</f>
        <v/>
      </c>
      <c r="R815" s="36" t="str">
        <f>IF(OR($A815="",$N815=""),"",IF(AND($C815&lt;&gt;"Transferência",N($I815)&gt;1),$N815/$I815,$N815))</f>
        <v/>
      </c>
      <c r="S815" s="41" t="str">
        <f>IF(OR($A815="",$F815="",$C815&lt;&gt;"Despesa"),"",IF(COUNTIF(Cartoes_Nome,$F815)=0,"",DATE(P815,O815+IF(DAY($A815)&gt;=INDEX(Cartoes_Fech,MATCH($F815,Cartoes_Nome,0)),1,0),1)))</f>
        <v/>
      </c>
      <c r="T815" s="42" t="str">
        <f>IF($A815="","",IF(COUNTIFS(L_Data,$A815,L_Desc,$B815,L_Valor,$N815,L_Tipo,$C815)&gt;1,"⚠ Possível duplicidade",IF(OR(AND($C815="Despesa",COUNTIF(CatD_Nome,$D815)=0),AND($C815="Receita",COUNTIF(CatR_Nome,$D815)=0)),"⚠ Categoria não combina com o tipo",IF(OR($N815="",$C815=""),"⚠ Falta valor ou tipo",""))))</f>
        <v/>
      </c>
      <c r="U815" s="40">
        <f>IF($A815="",0,P815*12+O815)</f>
        <v>0</v>
      </c>
      <c r="V815" s="40">
        <f>IF($A815="",0,U815+MAX(0,N($I815)-MAX(N($H815),1)))</f>
        <v>0</v>
      </c>
      <c r="W815" s="40">
        <f>IF(S815="",0,YEAR(S815)*12+MONTH(S815))</f>
        <v>0</v>
      </c>
      <c r="X815" s="40">
        <f>IF(W815=0,0,W815+V815-U815)</f>
        <v>0</v>
      </c>
      <c r="Y815" s="36">
        <f>IF(W815=0,0,N(R815)*MAX(0,X815-MAX(W815,YEAR(Cfg_Hoje)*12+MONTH(Cfg_Hoje)+IF(DAY(Cfg_Hoje)&gt;=INDEX(Cartoes_Fech,MATCH($F815,Cartoes_Nome,0)),1,0))+1))</f>
        <v>0</v>
      </c>
      <c r="Z815" s="40">
        <f>IF($A815="",0,DAY($A815))</f>
        <v>0</v>
      </c>
      <c r="AA815" s="40">
        <f>IF($A815="",0,WEEKDAY($A815))</f>
        <v>0</v>
      </c>
      <c r="AB815" s="36">
        <f>IF(AND($C815="Despesa",U815&gt;0,U815&lt;=Sel_Idx,V815&gt;=Sel_Idx),N(R815)+ROW()/1000000000,0)</f>
        <v>0</v>
      </c>
      <c r="AC815" s="40">
        <f>IF(AND($C815="Despesa",U815&gt;0,U815&lt;=Sel_Idx,V815&gt;=Sel_Idx),Z815*10000+ROW(),0)</f>
        <v>0</v>
      </c>
      <c r="AD815" s="40">
        <f>IF(AC815=0,0,COUNTIFS(L_CalChave,"&gt;0",L_CalChave,"&lt;"&amp;AC815)+1)</f>
        <v>0</v>
      </c>
    </row>
    <row r="816">
      <c r="A816" s="38" t="n"/>
      <c r="B816" s="39" t="n"/>
      <c r="C816" s="34" t="n"/>
      <c r="D816" s="34" t="n"/>
      <c r="E816" s="34" t="n"/>
      <c r="F816" s="34" t="n"/>
      <c r="G816" s="34" t="n"/>
      <c r="H816" s="37" t="n"/>
      <c r="I816" s="37" t="n"/>
      <c r="J816" s="34" t="n"/>
      <c r="K816" s="34" t="n"/>
      <c r="L816" s="34" t="n"/>
      <c r="M816" s="39" t="n"/>
      <c r="N816" s="35" t="n"/>
      <c r="O816" s="40" t="str">
        <f>IF($A816="","",MONTH($A816))</f>
        <v/>
      </c>
      <c r="P816" s="40" t="str">
        <f>IF($A816="","",YEAR($A816))</f>
        <v/>
      </c>
      <c r="Q816" s="41" t="str">
        <f>IF($A816="","",DATE(P816,O816,1))</f>
        <v/>
      </c>
      <c r="R816" s="36" t="str">
        <f>IF(OR($A816="",$N816=""),"",IF(AND($C816&lt;&gt;"Transferência",N($I816)&gt;1),$N816/$I816,$N816))</f>
        <v/>
      </c>
      <c r="S816" s="41" t="str">
        <f>IF(OR($A816="",$F816="",$C816&lt;&gt;"Despesa"),"",IF(COUNTIF(Cartoes_Nome,$F816)=0,"",DATE(P816,O816+IF(DAY($A816)&gt;=INDEX(Cartoes_Fech,MATCH($F816,Cartoes_Nome,0)),1,0),1)))</f>
        <v/>
      </c>
      <c r="T816" s="42" t="str">
        <f>IF($A816="","",IF(COUNTIFS(L_Data,$A816,L_Desc,$B816,L_Valor,$N816,L_Tipo,$C816)&gt;1,"⚠ Possível duplicidade",IF(OR(AND($C816="Despesa",COUNTIF(CatD_Nome,$D816)=0),AND($C816="Receita",COUNTIF(CatR_Nome,$D816)=0)),"⚠ Categoria não combina com o tipo",IF(OR($N816="",$C816=""),"⚠ Falta valor ou tipo",""))))</f>
        <v/>
      </c>
      <c r="U816" s="40">
        <f>IF($A816="",0,P816*12+O816)</f>
        <v>0</v>
      </c>
      <c r="V816" s="40">
        <f>IF($A816="",0,U816+MAX(0,N($I816)-MAX(N($H816),1)))</f>
        <v>0</v>
      </c>
      <c r="W816" s="40">
        <f>IF(S816="",0,YEAR(S816)*12+MONTH(S816))</f>
        <v>0</v>
      </c>
      <c r="X816" s="40">
        <f>IF(W816=0,0,W816+V816-U816)</f>
        <v>0</v>
      </c>
      <c r="Y816" s="36">
        <f>IF(W816=0,0,N(R816)*MAX(0,X816-MAX(W816,YEAR(Cfg_Hoje)*12+MONTH(Cfg_Hoje)+IF(DAY(Cfg_Hoje)&gt;=INDEX(Cartoes_Fech,MATCH($F816,Cartoes_Nome,0)),1,0))+1))</f>
        <v>0</v>
      </c>
      <c r="Z816" s="40">
        <f>IF($A816="",0,DAY($A816))</f>
        <v>0</v>
      </c>
      <c r="AA816" s="40">
        <f>IF($A816="",0,WEEKDAY($A816))</f>
        <v>0</v>
      </c>
      <c r="AB816" s="36">
        <f>IF(AND($C816="Despesa",U816&gt;0,U816&lt;=Sel_Idx,V816&gt;=Sel_Idx),N(R816)+ROW()/1000000000,0)</f>
        <v>0</v>
      </c>
      <c r="AC816" s="40">
        <f>IF(AND($C816="Despesa",U816&gt;0,U816&lt;=Sel_Idx,V816&gt;=Sel_Idx),Z816*10000+ROW(),0)</f>
        <v>0</v>
      </c>
      <c r="AD816" s="40">
        <f>IF(AC816=0,0,COUNTIFS(L_CalChave,"&gt;0",L_CalChave,"&lt;"&amp;AC816)+1)</f>
        <v>0</v>
      </c>
    </row>
    <row r="817">
      <c r="A817" s="38" t="n"/>
      <c r="B817" s="39" t="n"/>
      <c r="C817" s="34" t="n"/>
      <c r="D817" s="34" t="n"/>
      <c r="E817" s="34" t="n"/>
      <c r="F817" s="34" t="n"/>
      <c r="G817" s="34" t="n"/>
      <c r="H817" s="37" t="n"/>
      <c r="I817" s="37" t="n"/>
      <c r="J817" s="34" t="n"/>
      <c r="K817" s="34" t="n"/>
      <c r="L817" s="34" t="n"/>
      <c r="M817" s="39" t="n"/>
      <c r="N817" s="35" t="n"/>
      <c r="O817" s="40" t="str">
        <f>IF($A817="","",MONTH($A817))</f>
        <v/>
      </c>
      <c r="P817" s="40" t="str">
        <f>IF($A817="","",YEAR($A817))</f>
        <v/>
      </c>
      <c r="Q817" s="41" t="str">
        <f>IF($A817="","",DATE(P817,O817,1))</f>
        <v/>
      </c>
      <c r="R817" s="36" t="str">
        <f>IF(OR($A817="",$N817=""),"",IF(AND($C817&lt;&gt;"Transferência",N($I817)&gt;1),$N817/$I817,$N817))</f>
        <v/>
      </c>
      <c r="S817" s="41" t="str">
        <f>IF(OR($A817="",$F817="",$C817&lt;&gt;"Despesa"),"",IF(COUNTIF(Cartoes_Nome,$F817)=0,"",DATE(P817,O817+IF(DAY($A817)&gt;=INDEX(Cartoes_Fech,MATCH($F817,Cartoes_Nome,0)),1,0),1)))</f>
        <v/>
      </c>
      <c r="T817" s="42" t="str">
        <f>IF($A817="","",IF(COUNTIFS(L_Data,$A817,L_Desc,$B817,L_Valor,$N817,L_Tipo,$C817)&gt;1,"⚠ Possível duplicidade",IF(OR(AND($C817="Despesa",COUNTIF(CatD_Nome,$D817)=0),AND($C817="Receita",COUNTIF(CatR_Nome,$D817)=0)),"⚠ Categoria não combina com o tipo",IF(OR($N817="",$C817=""),"⚠ Falta valor ou tipo",""))))</f>
        <v/>
      </c>
      <c r="U817" s="40">
        <f>IF($A817="",0,P817*12+O817)</f>
        <v>0</v>
      </c>
      <c r="V817" s="40">
        <f>IF($A817="",0,U817+MAX(0,N($I817)-MAX(N($H817),1)))</f>
        <v>0</v>
      </c>
      <c r="W817" s="40">
        <f>IF(S817="",0,YEAR(S817)*12+MONTH(S817))</f>
        <v>0</v>
      </c>
      <c r="X817" s="40">
        <f>IF(W817=0,0,W817+V817-U817)</f>
        <v>0</v>
      </c>
      <c r="Y817" s="36">
        <f>IF(W817=0,0,N(R817)*MAX(0,X817-MAX(W817,YEAR(Cfg_Hoje)*12+MONTH(Cfg_Hoje)+IF(DAY(Cfg_Hoje)&gt;=INDEX(Cartoes_Fech,MATCH($F817,Cartoes_Nome,0)),1,0))+1))</f>
        <v>0</v>
      </c>
      <c r="Z817" s="40">
        <f>IF($A817="",0,DAY($A817))</f>
        <v>0</v>
      </c>
      <c r="AA817" s="40">
        <f>IF($A817="",0,WEEKDAY($A817))</f>
        <v>0</v>
      </c>
      <c r="AB817" s="36">
        <f>IF(AND($C817="Despesa",U817&gt;0,U817&lt;=Sel_Idx,V817&gt;=Sel_Idx),N(R817)+ROW()/1000000000,0)</f>
        <v>0</v>
      </c>
      <c r="AC817" s="40">
        <f>IF(AND($C817="Despesa",U817&gt;0,U817&lt;=Sel_Idx,V817&gt;=Sel_Idx),Z817*10000+ROW(),0)</f>
        <v>0</v>
      </c>
      <c r="AD817" s="40">
        <f>IF(AC817=0,0,COUNTIFS(L_CalChave,"&gt;0",L_CalChave,"&lt;"&amp;AC817)+1)</f>
        <v>0</v>
      </c>
    </row>
    <row r="818">
      <c r="A818" s="38" t="n"/>
      <c r="B818" s="39" t="n"/>
      <c r="C818" s="34" t="n"/>
      <c r="D818" s="34" t="n"/>
      <c r="E818" s="34" t="n"/>
      <c r="F818" s="34" t="n"/>
      <c r="G818" s="34" t="n"/>
      <c r="H818" s="37" t="n"/>
      <c r="I818" s="37" t="n"/>
      <c r="J818" s="34" t="n"/>
      <c r="K818" s="34" t="n"/>
      <c r="L818" s="34" t="n"/>
      <c r="M818" s="39" t="n"/>
      <c r="N818" s="35" t="n"/>
      <c r="O818" s="40" t="str">
        <f>IF($A818="","",MONTH($A818))</f>
        <v/>
      </c>
      <c r="P818" s="40" t="str">
        <f>IF($A818="","",YEAR($A818))</f>
        <v/>
      </c>
      <c r="Q818" s="41" t="str">
        <f>IF($A818="","",DATE(P818,O818,1))</f>
        <v/>
      </c>
      <c r="R818" s="36" t="str">
        <f>IF(OR($A818="",$N818=""),"",IF(AND($C818&lt;&gt;"Transferência",N($I818)&gt;1),$N818/$I818,$N818))</f>
        <v/>
      </c>
      <c r="S818" s="41" t="str">
        <f>IF(OR($A818="",$F818="",$C818&lt;&gt;"Despesa"),"",IF(COUNTIF(Cartoes_Nome,$F818)=0,"",DATE(P818,O818+IF(DAY($A818)&gt;=INDEX(Cartoes_Fech,MATCH($F818,Cartoes_Nome,0)),1,0),1)))</f>
        <v/>
      </c>
      <c r="T818" s="42" t="str">
        <f>IF($A818="","",IF(COUNTIFS(L_Data,$A818,L_Desc,$B818,L_Valor,$N818,L_Tipo,$C818)&gt;1,"⚠ Possível duplicidade",IF(OR(AND($C818="Despesa",COUNTIF(CatD_Nome,$D818)=0),AND($C818="Receita",COUNTIF(CatR_Nome,$D818)=0)),"⚠ Categoria não combina com o tipo",IF(OR($N818="",$C818=""),"⚠ Falta valor ou tipo",""))))</f>
        <v/>
      </c>
      <c r="U818" s="40">
        <f>IF($A818="",0,P818*12+O818)</f>
        <v>0</v>
      </c>
      <c r="V818" s="40">
        <f>IF($A818="",0,U818+MAX(0,N($I818)-MAX(N($H818),1)))</f>
        <v>0</v>
      </c>
      <c r="W818" s="40">
        <f>IF(S818="",0,YEAR(S818)*12+MONTH(S818))</f>
        <v>0</v>
      </c>
      <c r="X818" s="40">
        <f>IF(W818=0,0,W818+V818-U818)</f>
        <v>0</v>
      </c>
      <c r="Y818" s="36">
        <f>IF(W818=0,0,N(R818)*MAX(0,X818-MAX(W818,YEAR(Cfg_Hoje)*12+MONTH(Cfg_Hoje)+IF(DAY(Cfg_Hoje)&gt;=INDEX(Cartoes_Fech,MATCH($F818,Cartoes_Nome,0)),1,0))+1))</f>
        <v>0</v>
      </c>
      <c r="Z818" s="40">
        <f>IF($A818="",0,DAY($A818))</f>
        <v>0</v>
      </c>
      <c r="AA818" s="40">
        <f>IF($A818="",0,WEEKDAY($A818))</f>
        <v>0</v>
      </c>
      <c r="AB818" s="36">
        <f>IF(AND($C818="Despesa",U818&gt;0,U818&lt;=Sel_Idx,V818&gt;=Sel_Idx),N(R818)+ROW()/1000000000,0)</f>
        <v>0</v>
      </c>
      <c r="AC818" s="40">
        <f>IF(AND($C818="Despesa",U818&gt;0,U818&lt;=Sel_Idx,V818&gt;=Sel_Idx),Z818*10000+ROW(),0)</f>
        <v>0</v>
      </c>
      <c r="AD818" s="40">
        <f>IF(AC818=0,0,COUNTIFS(L_CalChave,"&gt;0",L_CalChave,"&lt;"&amp;AC818)+1)</f>
        <v>0</v>
      </c>
    </row>
    <row r="819">
      <c r="A819" s="38" t="n"/>
      <c r="B819" s="39" t="n"/>
      <c r="C819" s="34" t="n"/>
      <c r="D819" s="34" t="n"/>
      <c r="E819" s="34" t="n"/>
      <c r="F819" s="34" t="n"/>
      <c r="G819" s="34" t="n"/>
      <c r="H819" s="37" t="n"/>
      <c r="I819" s="37" t="n"/>
      <c r="J819" s="34" t="n"/>
      <c r="K819" s="34" t="n"/>
      <c r="L819" s="34" t="n"/>
      <c r="M819" s="39" t="n"/>
      <c r="N819" s="35" t="n"/>
      <c r="O819" s="40" t="str">
        <f>IF($A819="","",MONTH($A819))</f>
        <v/>
      </c>
      <c r="P819" s="40" t="str">
        <f>IF($A819="","",YEAR($A819))</f>
        <v/>
      </c>
      <c r="Q819" s="41" t="str">
        <f>IF($A819="","",DATE(P819,O819,1))</f>
        <v/>
      </c>
      <c r="R819" s="36" t="str">
        <f>IF(OR($A819="",$N819=""),"",IF(AND($C819&lt;&gt;"Transferência",N($I819)&gt;1),$N819/$I819,$N819))</f>
        <v/>
      </c>
      <c r="S819" s="41" t="str">
        <f>IF(OR($A819="",$F819="",$C819&lt;&gt;"Despesa"),"",IF(COUNTIF(Cartoes_Nome,$F819)=0,"",DATE(P819,O819+IF(DAY($A819)&gt;=INDEX(Cartoes_Fech,MATCH($F819,Cartoes_Nome,0)),1,0),1)))</f>
        <v/>
      </c>
      <c r="T819" s="42" t="str">
        <f>IF($A819="","",IF(COUNTIFS(L_Data,$A819,L_Desc,$B819,L_Valor,$N819,L_Tipo,$C819)&gt;1,"⚠ Possível duplicidade",IF(OR(AND($C819="Despesa",COUNTIF(CatD_Nome,$D819)=0),AND($C819="Receita",COUNTIF(CatR_Nome,$D819)=0)),"⚠ Categoria não combina com o tipo",IF(OR($N819="",$C819=""),"⚠ Falta valor ou tipo",""))))</f>
        <v/>
      </c>
      <c r="U819" s="40">
        <f>IF($A819="",0,P819*12+O819)</f>
        <v>0</v>
      </c>
      <c r="V819" s="40">
        <f>IF($A819="",0,U819+MAX(0,N($I819)-MAX(N($H819),1)))</f>
        <v>0</v>
      </c>
      <c r="W819" s="40">
        <f>IF(S819="",0,YEAR(S819)*12+MONTH(S819))</f>
        <v>0</v>
      </c>
      <c r="X819" s="40">
        <f>IF(W819=0,0,W819+V819-U819)</f>
        <v>0</v>
      </c>
      <c r="Y819" s="36">
        <f>IF(W819=0,0,N(R819)*MAX(0,X819-MAX(W819,YEAR(Cfg_Hoje)*12+MONTH(Cfg_Hoje)+IF(DAY(Cfg_Hoje)&gt;=INDEX(Cartoes_Fech,MATCH($F819,Cartoes_Nome,0)),1,0))+1))</f>
        <v>0</v>
      </c>
      <c r="Z819" s="40">
        <f>IF($A819="",0,DAY($A819))</f>
        <v>0</v>
      </c>
      <c r="AA819" s="40">
        <f>IF($A819="",0,WEEKDAY($A819))</f>
        <v>0</v>
      </c>
      <c r="AB819" s="36">
        <f>IF(AND($C819="Despesa",U819&gt;0,U819&lt;=Sel_Idx,V819&gt;=Sel_Idx),N(R819)+ROW()/1000000000,0)</f>
        <v>0</v>
      </c>
      <c r="AC819" s="40">
        <f>IF(AND($C819="Despesa",U819&gt;0,U819&lt;=Sel_Idx,V819&gt;=Sel_Idx),Z819*10000+ROW(),0)</f>
        <v>0</v>
      </c>
      <c r="AD819" s="40">
        <f>IF(AC819=0,0,COUNTIFS(L_CalChave,"&gt;0",L_CalChave,"&lt;"&amp;AC819)+1)</f>
        <v>0</v>
      </c>
    </row>
    <row r="820">
      <c r="A820" s="38" t="n"/>
      <c r="B820" s="39" t="n"/>
      <c r="C820" s="34" t="n"/>
      <c r="D820" s="34" t="n"/>
      <c r="E820" s="34" t="n"/>
      <c r="F820" s="34" t="n"/>
      <c r="G820" s="34" t="n"/>
      <c r="H820" s="37" t="n"/>
      <c r="I820" s="37" t="n"/>
      <c r="J820" s="34" t="n"/>
      <c r="K820" s="34" t="n"/>
      <c r="L820" s="34" t="n"/>
      <c r="M820" s="39" t="n"/>
      <c r="N820" s="35" t="n"/>
      <c r="O820" s="40" t="str">
        <f>IF($A820="","",MONTH($A820))</f>
        <v/>
      </c>
      <c r="P820" s="40" t="str">
        <f>IF($A820="","",YEAR($A820))</f>
        <v/>
      </c>
      <c r="Q820" s="41" t="str">
        <f>IF($A820="","",DATE(P820,O820,1))</f>
        <v/>
      </c>
      <c r="R820" s="36" t="str">
        <f>IF(OR($A820="",$N820=""),"",IF(AND($C820&lt;&gt;"Transferência",N($I820)&gt;1),$N820/$I820,$N820))</f>
        <v/>
      </c>
      <c r="S820" s="41" t="str">
        <f>IF(OR($A820="",$F820="",$C820&lt;&gt;"Despesa"),"",IF(COUNTIF(Cartoes_Nome,$F820)=0,"",DATE(P820,O820+IF(DAY($A820)&gt;=INDEX(Cartoes_Fech,MATCH($F820,Cartoes_Nome,0)),1,0),1)))</f>
        <v/>
      </c>
      <c r="T820" s="42" t="str">
        <f>IF($A820="","",IF(COUNTIFS(L_Data,$A820,L_Desc,$B820,L_Valor,$N820,L_Tipo,$C820)&gt;1,"⚠ Possível duplicidade",IF(OR(AND($C820="Despesa",COUNTIF(CatD_Nome,$D820)=0),AND($C820="Receita",COUNTIF(CatR_Nome,$D820)=0)),"⚠ Categoria não combina com o tipo",IF(OR($N820="",$C820=""),"⚠ Falta valor ou tipo",""))))</f>
        <v/>
      </c>
      <c r="U820" s="40">
        <f>IF($A820="",0,P820*12+O820)</f>
        <v>0</v>
      </c>
      <c r="V820" s="40">
        <f>IF($A820="",0,U820+MAX(0,N($I820)-MAX(N($H820),1)))</f>
        <v>0</v>
      </c>
      <c r="W820" s="40">
        <f>IF(S820="",0,YEAR(S820)*12+MONTH(S820))</f>
        <v>0</v>
      </c>
      <c r="X820" s="40">
        <f>IF(W820=0,0,W820+V820-U820)</f>
        <v>0</v>
      </c>
      <c r="Y820" s="36">
        <f>IF(W820=0,0,N(R820)*MAX(0,X820-MAX(W820,YEAR(Cfg_Hoje)*12+MONTH(Cfg_Hoje)+IF(DAY(Cfg_Hoje)&gt;=INDEX(Cartoes_Fech,MATCH($F820,Cartoes_Nome,0)),1,0))+1))</f>
        <v>0</v>
      </c>
      <c r="Z820" s="40">
        <f>IF($A820="",0,DAY($A820))</f>
        <v>0</v>
      </c>
      <c r="AA820" s="40">
        <f>IF($A820="",0,WEEKDAY($A820))</f>
        <v>0</v>
      </c>
      <c r="AB820" s="36">
        <f>IF(AND($C820="Despesa",U820&gt;0,U820&lt;=Sel_Idx,V820&gt;=Sel_Idx),N(R820)+ROW()/1000000000,0)</f>
        <v>0</v>
      </c>
      <c r="AC820" s="40">
        <f>IF(AND($C820="Despesa",U820&gt;0,U820&lt;=Sel_Idx,V820&gt;=Sel_Idx),Z820*10000+ROW(),0)</f>
        <v>0</v>
      </c>
      <c r="AD820" s="40">
        <f>IF(AC820=0,0,COUNTIFS(L_CalChave,"&gt;0",L_CalChave,"&lt;"&amp;AC820)+1)</f>
        <v>0</v>
      </c>
    </row>
    <row r="821">
      <c r="A821" s="38" t="n"/>
      <c r="B821" s="39" t="n"/>
      <c r="C821" s="34" t="n"/>
      <c r="D821" s="34" t="n"/>
      <c r="E821" s="34" t="n"/>
      <c r="F821" s="34" t="n"/>
      <c r="G821" s="34" t="n"/>
      <c r="H821" s="37" t="n"/>
      <c r="I821" s="37" t="n"/>
      <c r="J821" s="34" t="n"/>
      <c r="K821" s="34" t="n"/>
      <c r="L821" s="34" t="n"/>
      <c r="M821" s="39" t="n"/>
      <c r="N821" s="35" t="n"/>
      <c r="O821" s="40" t="str">
        <f>IF($A821="","",MONTH($A821))</f>
        <v/>
      </c>
      <c r="P821" s="40" t="str">
        <f>IF($A821="","",YEAR($A821))</f>
        <v/>
      </c>
      <c r="Q821" s="41" t="str">
        <f>IF($A821="","",DATE(P821,O821,1))</f>
        <v/>
      </c>
      <c r="R821" s="36" t="str">
        <f>IF(OR($A821="",$N821=""),"",IF(AND($C821&lt;&gt;"Transferência",N($I821)&gt;1),$N821/$I821,$N821))</f>
        <v/>
      </c>
      <c r="S821" s="41" t="str">
        <f>IF(OR($A821="",$F821="",$C821&lt;&gt;"Despesa"),"",IF(COUNTIF(Cartoes_Nome,$F821)=0,"",DATE(P821,O821+IF(DAY($A821)&gt;=INDEX(Cartoes_Fech,MATCH($F821,Cartoes_Nome,0)),1,0),1)))</f>
        <v/>
      </c>
      <c r="T821" s="42" t="str">
        <f>IF($A821="","",IF(COUNTIFS(L_Data,$A821,L_Desc,$B821,L_Valor,$N821,L_Tipo,$C821)&gt;1,"⚠ Possível duplicidade",IF(OR(AND($C821="Despesa",COUNTIF(CatD_Nome,$D821)=0),AND($C821="Receita",COUNTIF(CatR_Nome,$D821)=0)),"⚠ Categoria não combina com o tipo",IF(OR($N821="",$C821=""),"⚠ Falta valor ou tipo",""))))</f>
        <v/>
      </c>
      <c r="U821" s="40">
        <f>IF($A821="",0,P821*12+O821)</f>
        <v>0</v>
      </c>
      <c r="V821" s="40">
        <f>IF($A821="",0,U821+MAX(0,N($I821)-MAX(N($H821),1)))</f>
        <v>0</v>
      </c>
      <c r="W821" s="40">
        <f>IF(S821="",0,YEAR(S821)*12+MONTH(S821))</f>
        <v>0</v>
      </c>
      <c r="X821" s="40">
        <f>IF(W821=0,0,W821+V821-U821)</f>
        <v>0</v>
      </c>
      <c r="Y821" s="36">
        <f>IF(W821=0,0,N(R821)*MAX(0,X821-MAX(W821,YEAR(Cfg_Hoje)*12+MONTH(Cfg_Hoje)+IF(DAY(Cfg_Hoje)&gt;=INDEX(Cartoes_Fech,MATCH($F821,Cartoes_Nome,0)),1,0))+1))</f>
        <v>0</v>
      </c>
      <c r="Z821" s="40">
        <f>IF($A821="",0,DAY($A821))</f>
        <v>0</v>
      </c>
      <c r="AA821" s="40">
        <f>IF($A821="",0,WEEKDAY($A821))</f>
        <v>0</v>
      </c>
      <c r="AB821" s="36">
        <f>IF(AND($C821="Despesa",U821&gt;0,U821&lt;=Sel_Idx,V821&gt;=Sel_Idx),N(R821)+ROW()/1000000000,0)</f>
        <v>0</v>
      </c>
      <c r="AC821" s="40">
        <f>IF(AND($C821="Despesa",U821&gt;0,U821&lt;=Sel_Idx,V821&gt;=Sel_Idx),Z821*10000+ROW(),0)</f>
        <v>0</v>
      </c>
      <c r="AD821" s="40">
        <f>IF(AC821=0,0,COUNTIFS(L_CalChave,"&gt;0",L_CalChave,"&lt;"&amp;AC821)+1)</f>
        <v>0</v>
      </c>
    </row>
    <row r="822">
      <c r="A822" s="38" t="n"/>
      <c r="B822" s="39" t="n"/>
      <c r="C822" s="34" t="n"/>
      <c r="D822" s="34" t="n"/>
      <c r="E822" s="34" t="n"/>
      <c r="F822" s="34" t="n"/>
      <c r="G822" s="34" t="n"/>
      <c r="H822" s="37" t="n"/>
      <c r="I822" s="37" t="n"/>
      <c r="J822" s="34" t="n"/>
      <c r="K822" s="34" t="n"/>
      <c r="L822" s="34" t="n"/>
      <c r="M822" s="39" t="n"/>
      <c r="N822" s="35" t="n"/>
      <c r="O822" s="40" t="str">
        <f>IF($A822="","",MONTH($A822))</f>
        <v/>
      </c>
      <c r="P822" s="40" t="str">
        <f>IF($A822="","",YEAR($A822))</f>
        <v/>
      </c>
      <c r="Q822" s="41" t="str">
        <f>IF($A822="","",DATE(P822,O822,1))</f>
        <v/>
      </c>
      <c r="R822" s="36" t="str">
        <f>IF(OR($A822="",$N822=""),"",IF(AND($C822&lt;&gt;"Transferência",N($I822)&gt;1),$N822/$I822,$N822))</f>
        <v/>
      </c>
      <c r="S822" s="41" t="str">
        <f>IF(OR($A822="",$F822="",$C822&lt;&gt;"Despesa"),"",IF(COUNTIF(Cartoes_Nome,$F822)=0,"",DATE(P822,O822+IF(DAY($A822)&gt;=INDEX(Cartoes_Fech,MATCH($F822,Cartoes_Nome,0)),1,0),1)))</f>
        <v/>
      </c>
      <c r="T822" s="42" t="str">
        <f>IF($A822="","",IF(COUNTIFS(L_Data,$A822,L_Desc,$B822,L_Valor,$N822,L_Tipo,$C822)&gt;1,"⚠ Possível duplicidade",IF(OR(AND($C822="Despesa",COUNTIF(CatD_Nome,$D822)=0),AND($C822="Receita",COUNTIF(CatR_Nome,$D822)=0)),"⚠ Categoria não combina com o tipo",IF(OR($N822="",$C822=""),"⚠ Falta valor ou tipo",""))))</f>
        <v/>
      </c>
      <c r="U822" s="40">
        <f>IF($A822="",0,P822*12+O822)</f>
        <v>0</v>
      </c>
      <c r="V822" s="40">
        <f>IF($A822="",0,U822+MAX(0,N($I822)-MAX(N($H822),1)))</f>
        <v>0</v>
      </c>
      <c r="W822" s="40">
        <f>IF(S822="",0,YEAR(S822)*12+MONTH(S822))</f>
        <v>0</v>
      </c>
      <c r="X822" s="40">
        <f>IF(W822=0,0,W822+V822-U822)</f>
        <v>0</v>
      </c>
      <c r="Y822" s="36">
        <f>IF(W822=0,0,N(R822)*MAX(0,X822-MAX(W822,YEAR(Cfg_Hoje)*12+MONTH(Cfg_Hoje)+IF(DAY(Cfg_Hoje)&gt;=INDEX(Cartoes_Fech,MATCH($F822,Cartoes_Nome,0)),1,0))+1))</f>
        <v>0</v>
      </c>
      <c r="Z822" s="40">
        <f>IF($A822="",0,DAY($A822))</f>
        <v>0</v>
      </c>
      <c r="AA822" s="40">
        <f>IF($A822="",0,WEEKDAY($A822))</f>
        <v>0</v>
      </c>
      <c r="AB822" s="36">
        <f>IF(AND($C822="Despesa",U822&gt;0,U822&lt;=Sel_Idx,V822&gt;=Sel_Idx),N(R822)+ROW()/1000000000,0)</f>
        <v>0</v>
      </c>
      <c r="AC822" s="40">
        <f>IF(AND($C822="Despesa",U822&gt;0,U822&lt;=Sel_Idx,V822&gt;=Sel_Idx),Z822*10000+ROW(),0)</f>
        <v>0</v>
      </c>
      <c r="AD822" s="40">
        <f>IF(AC822=0,0,COUNTIFS(L_CalChave,"&gt;0",L_CalChave,"&lt;"&amp;AC822)+1)</f>
        <v>0</v>
      </c>
    </row>
    <row r="823">
      <c r="A823" s="38" t="n"/>
      <c r="B823" s="39" t="n"/>
      <c r="C823" s="34" t="n"/>
      <c r="D823" s="34" t="n"/>
      <c r="E823" s="34" t="n"/>
      <c r="F823" s="34" t="n"/>
      <c r="G823" s="34" t="n"/>
      <c r="H823" s="37" t="n"/>
      <c r="I823" s="37" t="n"/>
      <c r="J823" s="34" t="n"/>
      <c r="K823" s="34" t="n"/>
      <c r="L823" s="34" t="n"/>
      <c r="M823" s="39" t="n"/>
      <c r="N823" s="35" t="n"/>
      <c r="O823" s="40" t="str">
        <f>IF($A823="","",MONTH($A823))</f>
        <v/>
      </c>
      <c r="P823" s="40" t="str">
        <f>IF($A823="","",YEAR($A823))</f>
        <v/>
      </c>
      <c r="Q823" s="41" t="str">
        <f>IF($A823="","",DATE(P823,O823,1))</f>
        <v/>
      </c>
      <c r="R823" s="36" t="str">
        <f>IF(OR($A823="",$N823=""),"",IF(AND($C823&lt;&gt;"Transferência",N($I823)&gt;1),$N823/$I823,$N823))</f>
        <v/>
      </c>
      <c r="S823" s="41" t="str">
        <f>IF(OR($A823="",$F823="",$C823&lt;&gt;"Despesa"),"",IF(COUNTIF(Cartoes_Nome,$F823)=0,"",DATE(P823,O823+IF(DAY($A823)&gt;=INDEX(Cartoes_Fech,MATCH($F823,Cartoes_Nome,0)),1,0),1)))</f>
        <v/>
      </c>
      <c r="T823" s="42" t="str">
        <f>IF($A823="","",IF(COUNTIFS(L_Data,$A823,L_Desc,$B823,L_Valor,$N823,L_Tipo,$C823)&gt;1,"⚠ Possível duplicidade",IF(OR(AND($C823="Despesa",COUNTIF(CatD_Nome,$D823)=0),AND($C823="Receita",COUNTIF(CatR_Nome,$D823)=0)),"⚠ Categoria não combina com o tipo",IF(OR($N823="",$C823=""),"⚠ Falta valor ou tipo",""))))</f>
        <v/>
      </c>
      <c r="U823" s="40">
        <f>IF($A823="",0,P823*12+O823)</f>
        <v>0</v>
      </c>
      <c r="V823" s="40">
        <f>IF($A823="",0,U823+MAX(0,N($I823)-MAX(N($H823),1)))</f>
        <v>0</v>
      </c>
      <c r="W823" s="40">
        <f>IF(S823="",0,YEAR(S823)*12+MONTH(S823))</f>
        <v>0</v>
      </c>
      <c r="X823" s="40">
        <f>IF(W823=0,0,W823+V823-U823)</f>
        <v>0</v>
      </c>
      <c r="Y823" s="36">
        <f>IF(W823=0,0,N(R823)*MAX(0,X823-MAX(W823,YEAR(Cfg_Hoje)*12+MONTH(Cfg_Hoje)+IF(DAY(Cfg_Hoje)&gt;=INDEX(Cartoes_Fech,MATCH($F823,Cartoes_Nome,0)),1,0))+1))</f>
        <v>0</v>
      </c>
      <c r="Z823" s="40">
        <f>IF($A823="",0,DAY($A823))</f>
        <v>0</v>
      </c>
      <c r="AA823" s="40">
        <f>IF($A823="",0,WEEKDAY($A823))</f>
        <v>0</v>
      </c>
      <c r="AB823" s="36">
        <f>IF(AND($C823="Despesa",U823&gt;0,U823&lt;=Sel_Idx,V823&gt;=Sel_Idx),N(R823)+ROW()/1000000000,0)</f>
        <v>0</v>
      </c>
      <c r="AC823" s="40">
        <f>IF(AND($C823="Despesa",U823&gt;0,U823&lt;=Sel_Idx,V823&gt;=Sel_Idx),Z823*10000+ROW(),0)</f>
        <v>0</v>
      </c>
      <c r="AD823" s="40">
        <f>IF(AC823=0,0,COUNTIFS(L_CalChave,"&gt;0",L_CalChave,"&lt;"&amp;AC823)+1)</f>
        <v>0</v>
      </c>
    </row>
    <row r="824">
      <c r="A824" s="38" t="n"/>
      <c r="B824" s="39" t="n"/>
      <c r="C824" s="34" t="n"/>
      <c r="D824" s="34" t="n"/>
      <c r="E824" s="34" t="n"/>
      <c r="F824" s="34" t="n"/>
      <c r="G824" s="34" t="n"/>
      <c r="H824" s="37" t="n"/>
      <c r="I824" s="37" t="n"/>
      <c r="J824" s="34" t="n"/>
      <c r="K824" s="34" t="n"/>
      <c r="L824" s="34" t="n"/>
      <c r="M824" s="39" t="n"/>
      <c r="N824" s="35" t="n"/>
      <c r="O824" s="40" t="str">
        <f>IF($A824="","",MONTH($A824))</f>
        <v/>
      </c>
      <c r="P824" s="40" t="str">
        <f>IF($A824="","",YEAR($A824))</f>
        <v/>
      </c>
      <c r="Q824" s="41" t="str">
        <f>IF($A824="","",DATE(P824,O824,1))</f>
        <v/>
      </c>
      <c r="R824" s="36" t="str">
        <f>IF(OR($A824="",$N824=""),"",IF(AND($C824&lt;&gt;"Transferência",N($I824)&gt;1),$N824/$I824,$N824))</f>
        <v/>
      </c>
      <c r="S824" s="41" t="str">
        <f>IF(OR($A824="",$F824="",$C824&lt;&gt;"Despesa"),"",IF(COUNTIF(Cartoes_Nome,$F824)=0,"",DATE(P824,O824+IF(DAY($A824)&gt;=INDEX(Cartoes_Fech,MATCH($F824,Cartoes_Nome,0)),1,0),1)))</f>
        <v/>
      </c>
      <c r="T824" s="42" t="str">
        <f>IF($A824="","",IF(COUNTIFS(L_Data,$A824,L_Desc,$B824,L_Valor,$N824,L_Tipo,$C824)&gt;1,"⚠ Possível duplicidade",IF(OR(AND($C824="Despesa",COUNTIF(CatD_Nome,$D824)=0),AND($C824="Receita",COUNTIF(CatR_Nome,$D824)=0)),"⚠ Categoria não combina com o tipo",IF(OR($N824="",$C824=""),"⚠ Falta valor ou tipo",""))))</f>
        <v/>
      </c>
      <c r="U824" s="40">
        <f>IF($A824="",0,P824*12+O824)</f>
        <v>0</v>
      </c>
      <c r="V824" s="40">
        <f>IF($A824="",0,U824+MAX(0,N($I824)-MAX(N($H824),1)))</f>
        <v>0</v>
      </c>
      <c r="W824" s="40">
        <f>IF(S824="",0,YEAR(S824)*12+MONTH(S824))</f>
        <v>0</v>
      </c>
      <c r="X824" s="40">
        <f>IF(W824=0,0,W824+V824-U824)</f>
        <v>0</v>
      </c>
      <c r="Y824" s="36">
        <f>IF(W824=0,0,N(R824)*MAX(0,X824-MAX(W824,YEAR(Cfg_Hoje)*12+MONTH(Cfg_Hoje)+IF(DAY(Cfg_Hoje)&gt;=INDEX(Cartoes_Fech,MATCH($F824,Cartoes_Nome,0)),1,0))+1))</f>
        <v>0</v>
      </c>
      <c r="Z824" s="40">
        <f>IF($A824="",0,DAY($A824))</f>
        <v>0</v>
      </c>
      <c r="AA824" s="40">
        <f>IF($A824="",0,WEEKDAY($A824))</f>
        <v>0</v>
      </c>
      <c r="AB824" s="36">
        <f>IF(AND($C824="Despesa",U824&gt;0,U824&lt;=Sel_Idx,V824&gt;=Sel_Idx),N(R824)+ROW()/1000000000,0)</f>
        <v>0</v>
      </c>
      <c r="AC824" s="40">
        <f>IF(AND($C824="Despesa",U824&gt;0,U824&lt;=Sel_Idx,V824&gt;=Sel_Idx),Z824*10000+ROW(),0)</f>
        <v>0</v>
      </c>
      <c r="AD824" s="40">
        <f>IF(AC824=0,0,COUNTIFS(L_CalChave,"&gt;0",L_CalChave,"&lt;"&amp;AC824)+1)</f>
        <v>0</v>
      </c>
    </row>
    <row r="825">
      <c r="A825" s="38" t="n"/>
      <c r="B825" s="39" t="n"/>
      <c r="C825" s="34" t="n"/>
      <c r="D825" s="34" t="n"/>
      <c r="E825" s="34" t="n"/>
      <c r="F825" s="34" t="n"/>
      <c r="G825" s="34" t="n"/>
      <c r="H825" s="37" t="n"/>
      <c r="I825" s="37" t="n"/>
      <c r="J825" s="34" t="n"/>
      <c r="K825" s="34" t="n"/>
      <c r="L825" s="34" t="n"/>
      <c r="M825" s="39" t="n"/>
      <c r="N825" s="35" t="n"/>
      <c r="O825" s="40" t="str">
        <f>IF($A825="","",MONTH($A825))</f>
        <v/>
      </c>
      <c r="P825" s="40" t="str">
        <f>IF($A825="","",YEAR($A825))</f>
        <v/>
      </c>
      <c r="Q825" s="41" t="str">
        <f>IF($A825="","",DATE(P825,O825,1))</f>
        <v/>
      </c>
      <c r="R825" s="36" t="str">
        <f>IF(OR($A825="",$N825=""),"",IF(AND($C825&lt;&gt;"Transferência",N($I825)&gt;1),$N825/$I825,$N825))</f>
        <v/>
      </c>
      <c r="S825" s="41" t="str">
        <f>IF(OR($A825="",$F825="",$C825&lt;&gt;"Despesa"),"",IF(COUNTIF(Cartoes_Nome,$F825)=0,"",DATE(P825,O825+IF(DAY($A825)&gt;=INDEX(Cartoes_Fech,MATCH($F825,Cartoes_Nome,0)),1,0),1)))</f>
        <v/>
      </c>
      <c r="T825" s="42" t="str">
        <f>IF($A825="","",IF(COUNTIFS(L_Data,$A825,L_Desc,$B825,L_Valor,$N825,L_Tipo,$C825)&gt;1,"⚠ Possível duplicidade",IF(OR(AND($C825="Despesa",COUNTIF(CatD_Nome,$D825)=0),AND($C825="Receita",COUNTIF(CatR_Nome,$D825)=0)),"⚠ Categoria não combina com o tipo",IF(OR($N825="",$C825=""),"⚠ Falta valor ou tipo",""))))</f>
        <v/>
      </c>
      <c r="U825" s="40">
        <f>IF($A825="",0,P825*12+O825)</f>
        <v>0</v>
      </c>
      <c r="V825" s="40">
        <f>IF($A825="",0,U825+MAX(0,N($I825)-MAX(N($H825),1)))</f>
        <v>0</v>
      </c>
      <c r="W825" s="40">
        <f>IF(S825="",0,YEAR(S825)*12+MONTH(S825))</f>
        <v>0</v>
      </c>
      <c r="X825" s="40">
        <f>IF(W825=0,0,W825+V825-U825)</f>
        <v>0</v>
      </c>
      <c r="Y825" s="36">
        <f>IF(W825=0,0,N(R825)*MAX(0,X825-MAX(W825,YEAR(Cfg_Hoje)*12+MONTH(Cfg_Hoje)+IF(DAY(Cfg_Hoje)&gt;=INDEX(Cartoes_Fech,MATCH($F825,Cartoes_Nome,0)),1,0))+1))</f>
        <v>0</v>
      </c>
      <c r="Z825" s="40">
        <f>IF($A825="",0,DAY($A825))</f>
        <v>0</v>
      </c>
      <c r="AA825" s="40">
        <f>IF($A825="",0,WEEKDAY($A825))</f>
        <v>0</v>
      </c>
      <c r="AB825" s="36">
        <f>IF(AND($C825="Despesa",U825&gt;0,U825&lt;=Sel_Idx,V825&gt;=Sel_Idx),N(R825)+ROW()/1000000000,0)</f>
        <v>0</v>
      </c>
      <c r="AC825" s="40">
        <f>IF(AND($C825="Despesa",U825&gt;0,U825&lt;=Sel_Idx,V825&gt;=Sel_Idx),Z825*10000+ROW(),0)</f>
        <v>0</v>
      </c>
      <c r="AD825" s="40">
        <f>IF(AC825=0,0,COUNTIFS(L_CalChave,"&gt;0",L_CalChave,"&lt;"&amp;AC825)+1)</f>
        <v>0</v>
      </c>
    </row>
    <row r="826">
      <c r="A826" s="38" t="n"/>
      <c r="B826" s="39" t="n"/>
      <c r="C826" s="34" t="n"/>
      <c r="D826" s="34" t="n"/>
      <c r="E826" s="34" t="n"/>
      <c r="F826" s="34" t="n"/>
      <c r="G826" s="34" t="n"/>
      <c r="H826" s="37" t="n"/>
      <c r="I826" s="37" t="n"/>
      <c r="J826" s="34" t="n"/>
      <c r="K826" s="34" t="n"/>
      <c r="L826" s="34" t="n"/>
      <c r="M826" s="39" t="n"/>
      <c r="N826" s="35" t="n"/>
      <c r="O826" s="40" t="str">
        <f>IF($A826="","",MONTH($A826))</f>
        <v/>
      </c>
      <c r="P826" s="40" t="str">
        <f>IF($A826="","",YEAR($A826))</f>
        <v/>
      </c>
      <c r="Q826" s="41" t="str">
        <f>IF($A826="","",DATE(P826,O826,1))</f>
        <v/>
      </c>
      <c r="R826" s="36" t="str">
        <f>IF(OR($A826="",$N826=""),"",IF(AND($C826&lt;&gt;"Transferência",N($I826)&gt;1),$N826/$I826,$N826))</f>
        <v/>
      </c>
      <c r="S826" s="41" t="str">
        <f>IF(OR($A826="",$F826="",$C826&lt;&gt;"Despesa"),"",IF(COUNTIF(Cartoes_Nome,$F826)=0,"",DATE(P826,O826+IF(DAY($A826)&gt;=INDEX(Cartoes_Fech,MATCH($F826,Cartoes_Nome,0)),1,0),1)))</f>
        <v/>
      </c>
      <c r="T826" s="42" t="str">
        <f>IF($A826="","",IF(COUNTIFS(L_Data,$A826,L_Desc,$B826,L_Valor,$N826,L_Tipo,$C826)&gt;1,"⚠ Possível duplicidade",IF(OR(AND($C826="Despesa",COUNTIF(CatD_Nome,$D826)=0),AND($C826="Receita",COUNTIF(CatR_Nome,$D826)=0)),"⚠ Categoria não combina com o tipo",IF(OR($N826="",$C826=""),"⚠ Falta valor ou tipo",""))))</f>
        <v/>
      </c>
      <c r="U826" s="40">
        <f>IF($A826="",0,P826*12+O826)</f>
        <v>0</v>
      </c>
      <c r="V826" s="40">
        <f>IF($A826="",0,U826+MAX(0,N($I826)-MAX(N($H826),1)))</f>
        <v>0</v>
      </c>
      <c r="W826" s="40">
        <f>IF(S826="",0,YEAR(S826)*12+MONTH(S826))</f>
        <v>0</v>
      </c>
      <c r="X826" s="40">
        <f>IF(W826=0,0,W826+V826-U826)</f>
        <v>0</v>
      </c>
      <c r="Y826" s="36">
        <f>IF(W826=0,0,N(R826)*MAX(0,X826-MAX(W826,YEAR(Cfg_Hoje)*12+MONTH(Cfg_Hoje)+IF(DAY(Cfg_Hoje)&gt;=INDEX(Cartoes_Fech,MATCH($F826,Cartoes_Nome,0)),1,0))+1))</f>
        <v>0</v>
      </c>
      <c r="Z826" s="40">
        <f>IF($A826="",0,DAY($A826))</f>
        <v>0</v>
      </c>
      <c r="AA826" s="40">
        <f>IF($A826="",0,WEEKDAY($A826))</f>
        <v>0</v>
      </c>
      <c r="AB826" s="36">
        <f>IF(AND($C826="Despesa",U826&gt;0,U826&lt;=Sel_Idx,V826&gt;=Sel_Idx),N(R826)+ROW()/1000000000,0)</f>
        <v>0</v>
      </c>
      <c r="AC826" s="40">
        <f>IF(AND($C826="Despesa",U826&gt;0,U826&lt;=Sel_Idx,V826&gt;=Sel_Idx),Z826*10000+ROW(),0)</f>
        <v>0</v>
      </c>
      <c r="AD826" s="40">
        <f>IF(AC826=0,0,COUNTIFS(L_CalChave,"&gt;0",L_CalChave,"&lt;"&amp;AC826)+1)</f>
        <v>0</v>
      </c>
    </row>
    <row r="827">
      <c r="A827" s="38" t="n"/>
      <c r="B827" s="39" t="n"/>
      <c r="C827" s="34" t="n"/>
      <c r="D827" s="34" t="n"/>
      <c r="E827" s="34" t="n"/>
      <c r="F827" s="34" t="n"/>
      <c r="G827" s="34" t="n"/>
      <c r="H827" s="37" t="n"/>
      <c r="I827" s="37" t="n"/>
      <c r="J827" s="34" t="n"/>
      <c r="K827" s="34" t="n"/>
      <c r="L827" s="34" t="n"/>
      <c r="M827" s="39" t="n"/>
      <c r="N827" s="35" t="n"/>
      <c r="O827" s="40" t="str">
        <f>IF($A827="","",MONTH($A827))</f>
        <v/>
      </c>
      <c r="P827" s="40" t="str">
        <f>IF($A827="","",YEAR($A827))</f>
        <v/>
      </c>
      <c r="Q827" s="41" t="str">
        <f>IF($A827="","",DATE(P827,O827,1))</f>
        <v/>
      </c>
      <c r="R827" s="36" t="str">
        <f>IF(OR($A827="",$N827=""),"",IF(AND($C827&lt;&gt;"Transferência",N($I827)&gt;1),$N827/$I827,$N827))</f>
        <v/>
      </c>
      <c r="S827" s="41" t="str">
        <f>IF(OR($A827="",$F827="",$C827&lt;&gt;"Despesa"),"",IF(COUNTIF(Cartoes_Nome,$F827)=0,"",DATE(P827,O827+IF(DAY($A827)&gt;=INDEX(Cartoes_Fech,MATCH($F827,Cartoes_Nome,0)),1,0),1)))</f>
        <v/>
      </c>
      <c r="T827" s="42" t="str">
        <f>IF($A827="","",IF(COUNTIFS(L_Data,$A827,L_Desc,$B827,L_Valor,$N827,L_Tipo,$C827)&gt;1,"⚠ Possível duplicidade",IF(OR(AND($C827="Despesa",COUNTIF(CatD_Nome,$D827)=0),AND($C827="Receita",COUNTIF(CatR_Nome,$D827)=0)),"⚠ Categoria não combina com o tipo",IF(OR($N827="",$C827=""),"⚠ Falta valor ou tipo",""))))</f>
        <v/>
      </c>
      <c r="U827" s="40">
        <f>IF($A827="",0,P827*12+O827)</f>
        <v>0</v>
      </c>
      <c r="V827" s="40">
        <f>IF($A827="",0,U827+MAX(0,N($I827)-MAX(N($H827),1)))</f>
        <v>0</v>
      </c>
      <c r="W827" s="40">
        <f>IF(S827="",0,YEAR(S827)*12+MONTH(S827))</f>
        <v>0</v>
      </c>
      <c r="X827" s="40">
        <f>IF(W827=0,0,W827+V827-U827)</f>
        <v>0</v>
      </c>
      <c r="Y827" s="36">
        <f>IF(W827=0,0,N(R827)*MAX(0,X827-MAX(W827,YEAR(Cfg_Hoje)*12+MONTH(Cfg_Hoje)+IF(DAY(Cfg_Hoje)&gt;=INDEX(Cartoes_Fech,MATCH($F827,Cartoes_Nome,0)),1,0))+1))</f>
        <v>0</v>
      </c>
      <c r="Z827" s="40">
        <f>IF($A827="",0,DAY($A827))</f>
        <v>0</v>
      </c>
      <c r="AA827" s="40">
        <f>IF($A827="",0,WEEKDAY($A827))</f>
        <v>0</v>
      </c>
      <c r="AB827" s="36">
        <f>IF(AND($C827="Despesa",U827&gt;0,U827&lt;=Sel_Idx,V827&gt;=Sel_Idx),N(R827)+ROW()/1000000000,0)</f>
        <v>0</v>
      </c>
      <c r="AC827" s="40">
        <f>IF(AND($C827="Despesa",U827&gt;0,U827&lt;=Sel_Idx,V827&gt;=Sel_Idx),Z827*10000+ROW(),0)</f>
        <v>0</v>
      </c>
      <c r="AD827" s="40">
        <f>IF(AC827=0,0,COUNTIFS(L_CalChave,"&gt;0",L_CalChave,"&lt;"&amp;AC827)+1)</f>
        <v>0</v>
      </c>
    </row>
    <row r="828">
      <c r="A828" s="38" t="n"/>
      <c r="B828" s="39" t="n"/>
      <c r="C828" s="34" t="n"/>
      <c r="D828" s="34" t="n"/>
      <c r="E828" s="34" t="n"/>
      <c r="F828" s="34" t="n"/>
      <c r="G828" s="34" t="n"/>
      <c r="H828" s="37" t="n"/>
      <c r="I828" s="37" t="n"/>
      <c r="J828" s="34" t="n"/>
      <c r="K828" s="34" t="n"/>
      <c r="L828" s="34" t="n"/>
      <c r="M828" s="39" t="n"/>
      <c r="N828" s="35" t="n"/>
      <c r="O828" s="40" t="str">
        <f>IF($A828="","",MONTH($A828))</f>
        <v/>
      </c>
      <c r="P828" s="40" t="str">
        <f>IF($A828="","",YEAR($A828))</f>
        <v/>
      </c>
      <c r="Q828" s="41" t="str">
        <f>IF($A828="","",DATE(P828,O828,1))</f>
        <v/>
      </c>
      <c r="R828" s="36" t="str">
        <f>IF(OR($A828="",$N828=""),"",IF(AND($C828&lt;&gt;"Transferência",N($I828)&gt;1),$N828/$I828,$N828))</f>
        <v/>
      </c>
      <c r="S828" s="41" t="str">
        <f>IF(OR($A828="",$F828="",$C828&lt;&gt;"Despesa"),"",IF(COUNTIF(Cartoes_Nome,$F828)=0,"",DATE(P828,O828+IF(DAY($A828)&gt;=INDEX(Cartoes_Fech,MATCH($F828,Cartoes_Nome,0)),1,0),1)))</f>
        <v/>
      </c>
      <c r="T828" s="42" t="str">
        <f>IF($A828="","",IF(COUNTIFS(L_Data,$A828,L_Desc,$B828,L_Valor,$N828,L_Tipo,$C828)&gt;1,"⚠ Possível duplicidade",IF(OR(AND($C828="Despesa",COUNTIF(CatD_Nome,$D828)=0),AND($C828="Receita",COUNTIF(CatR_Nome,$D828)=0)),"⚠ Categoria não combina com o tipo",IF(OR($N828="",$C828=""),"⚠ Falta valor ou tipo",""))))</f>
        <v/>
      </c>
      <c r="U828" s="40">
        <f>IF($A828="",0,P828*12+O828)</f>
        <v>0</v>
      </c>
      <c r="V828" s="40">
        <f>IF($A828="",0,U828+MAX(0,N($I828)-MAX(N($H828),1)))</f>
        <v>0</v>
      </c>
      <c r="W828" s="40">
        <f>IF(S828="",0,YEAR(S828)*12+MONTH(S828))</f>
        <v>0</v>
      </c>
      <c r="X828" s="40">
        <f>IF(W828=0,0,W828+V828-U828)</f>
        <v>0</v>
      </c>
      <c r="Y828" s="36">
        <f>IF(W828=0,0,N(R828)*MAX(0,X828-MAX(W828,YEAR(Cfg_Hoje)*12+MONTH(Cfg_Hoje)+IF(DAY(Cfg_Hoje)&gt;=INDEX(Cartoes_Fech,MATCH($F828,Cartoes_Nome,0)),1,0))+1))</f>
        <v>0</v>
      </c>
      <c r="Z828" s="40">
        <f>IF($A828="",0,DAY($A828))</f>
        <v>0</v>
      </c>
      <c r="AA828" s="40">
        <f>IF($A828="",0,WEEKDAY($A828))</f>
        <v>0</v>
      </c>
      <c r="AB828" s="36">
        <f>IF(AND($C828="Despesa",U828&gt;0,U828&lt;=Sel_Idx,V828&gt;=Sel_Idx),N(R828)+ROW()/1000000000,0)</f>
        <v>0</v>
      </c>
      <c r="AC828" s="40">
        <f>IF(AND($C828="Despesa",U828&gt;0,U828&lt;=Sel_Idx,V828&gt;=Sel_Idx),Z828*10000+ROW(),0)</f>
        <v>0</v>
      </c>
      <c r="AD828" s="40">
        <f>IF(AC828=0,0,COUNTIFS(L_CalChave,"&gt;0",L_CalChave,"&lt;"&amp;AC828)+1)</f>
        <v>0</v>
      </c>
    </row>
    <row r="829">
      <c r="A829" s="38" t="n"/>
      <c r="B829" s="39" t="n"/>
      <c r="C829" s="34" t="n"/>
      <c r="D829" s="34" t="n"/>
      <c r="E829" s="34" t="n"/>
      <c r="F829" s="34" t="n"/>
      <c r="G829" s="34" t="n"/>
      <c r="H829" s="37" t="n"/>
      <c r="I829" s="37" t="n"/>
      <c r="J829" s="34" t="n"/>
      <c r="K829" s="34" t="n"/>
      <c r="L829" s="34" t="n"/>
      <c r="M829" s="39" t="n"/>
      <c r="N829" s="35" t="n"/>
      <c r="O829" s="40" t="str">
        <f>IF($A829="","",MONTH($A829))</f>
        <v/>
      </c>
      <c r="P829" s="40" t="str">
        <f>IF($A829="","",YEAR($A829))</f>
        <v/>
      </c>
      <c r="Q829" s="41" t="str">
        <f>IF($A829="","",DATE(P829,O829,1))</f>
        <v/>
      </c>
      <c r="R829" s="36" t="str">
        <f>IF(OR($A829="",$N829=""),"",IF(AND($C829&lt;&gt;"Transferência",N($I829)&gt;1),$N829/$I829,$N829))</f>
        <v/>
      </c>
      <c r="S829" s="41" t="str">
        <f>IF(OR($A829="",$F829="",$C829&lt;&gt;"Despesa"),"",IF(COUNTIF(Cartoes_Nome,$F829)=0,"",DATE(P829,O829+IF(DAY($A829)&gt;=INDEX(Cartoes_Fech,MATCH($F829,Cartoes_Nome,0)),1,0),1)))</f>
        <v/>
      </c>
      <c r="T829" s="42" t="str">
        <f>IF($A829="","",IF(COUNTIFS(L_Data,$A829,L_Desc,$B829,L_Valor,$N829,L_Tipo,$C829)&gt;1,"⚠ Possível duplicidade",IF(OR(AND($C829="Despesa",COUNTIF(CatD_Nome,$D829)=0),AND($C829="Receita",COUNTIF(CatR_Nome,$D829)=0)),"⚠ Categoria não combina com o tipo",IF(OR($N829="",$C829=""),"⚠ Falta valor ou tipo",""))))</f>
        <v/>
      </c>
      <c r="U829" s="40">
        <f>IF($A829="",0,P829*12+O829)</f>
        <v>0</v>
      </c>
      <c r="V829" s="40">
        <f>IF($A829="",0,U829+MAX(0,N($I829)-MAX(N($H829),1)))</f>
        <v>0</v>
      </c>
      <c r="W829" s="40">
        <f>IF(S829="",0,YEAR(S829)*12+MONTH(S829))</f>
        <v>0</v>
      </c>
      <c r="X829" s="40">
        <f>IF(W829=0,0,W829+V829-U829)</f>
        <v>0</v>
      </c>
      <c r="Y829" s="36">
        <f>IF(W829=0,0,N(R829)*MAX(0,X829-MAX(W829,YEAR(Cfg_Hoje)*12+MONTH(Cfg_Hoje)+IF(DAY(Cfg_Hoje)&gt;=INDEX(Cartoes_Fech,MATCH($F829,Cartoes_Nome,0)),1,0))+1))</f>
        <v>0</v>
      </c>
      <c r="Z829" s="40">
        <f>IF($A829="",0,DAY($A829))</f>
        <v>0</v>
      </c>
      <c r="AA829" s="40">
        <f>IF($A829="",0,WEEKDAY($A829))</f>
        <v>0</v>
      </c>
      <c r="AB829" s="36">
        <f>IF(AND($C829="Despesa",U829&gt;0,U829&lt;=Sel_Idx,V829&gt;=Sel_Idx),N(R829)+ROW()/1000000000,0)</f>
        <v>0</v>
      </c>
      <c r="AC829" s="40">
        <f>IF(AND($C829="Despesa",U829&gt;0,U829&lt;=Sel_Idx,V829&gt;=Sel_Idx),Z829*10000+ROW(),0)</f>
        <v>0</v>
      </c>
      <c r="AD829" s="40">
        <f>IF(AC829=0,0,COUNTIFS(L_CalChave,"&gt;0",L_CalChave,"&lt;"&amp;AC829)+1)</f>
        <v>0</v>
      </c>
    </row>
    <row r="830">
      <c r="A830" s="38" t="n"/>
      <c r="B830" s="39" t="n"/>
      <c r="C830" s="34" t="n"/>
      <c r="D830" s="34" t="n"/>
      <c r="E830" s="34" t="n"/>
      <c r="F830" s="34" t="n"/>
      <c r="G830" s="34" t="n"/>
      <c r="H830" s="37" t="n"/>
      <c r="I830" s="37" t="n"/>
      <c r="J830" s="34" t="n"/>
      <c r="K830" s="34" t="n"/>
      <c r="L830" s="34" t="n"/>
      <c r="M830" s="39" t="n"/>
      <c r="N830" s="35" t="n"/>
      <c r="O830" s="40" t="str">
        <f>IF($A830="","",MONTH($A830))</f>
        <v/>
      </c>
      <c r="P830" s="40" t="str">
        <f>IF($A830="","",YEAR($A830))</f>
        <v/>
      </c>
      <c r="Q830" s="41" t="str">
        <f>IF($A830="","",DATE(P830,O830,1))</f>
        <v/>
      </c>
      <c r="R830" s="36" t="str">
        <f>IF(OR($A830="",$N830=""),"",IF(AND($C830&lt;&gt;"Transferência",N($I830)&gt;1),$N830/$I830,$N830))</f>
        <v/>
      </c>
      <c r="S830" s="41" t="str">
        <f>IF(OR($A830="",$F830="",$C830&lt;&gt;"Despesa"),"",IF(COUNTIF(Cartoes_Nome,$F830)=0,"",DATE(P830,O830+IF(DAY($A830)&gt;=INDEX(Cartoes_Fech,MATCH($F830,Cartoes_Nome,0)),1,0),1)))</f>
        <v/>
      </c>
      <c r="T830" s="42" t="str">
        <f>IF($A830="","",IF(COUNTIFS(L_Data,$A830,L_Desc,$B830,L_Valor,$N830,L_Tipo,$C830)&gt;1,"⚠ Possível duplicidade",IF(OR(AND($C830="Despesa",COUNTIF(CatD_Nome,$D830)=0),AND($C830="Receita",COUNTIF(CatR_Nome,$D830)=0)),"⚠ Categoria não combina com o tipo",IF(OR($N830="",$C830=""),"⚠ Falta valor ou tipo",""))))</f>
        <v/>
      </c>
      <c r="U830" s="40">
        <f>IF($A830="",0,P830*12+O830)</f>
        <v>0</v>
      </c>
      <c r="V830" s="40">
        <f>IF($A830="",0,U830+MAX(0,N($I830)-MAX(N($H830),1)))</f>
        <v>0</v>
      </c>
      <c r="W830" s="40">
        <f>IF(S830="",0,YEAR(S830)*12+MONTH(S830))</f>
        <v>0</v>
      </c>
      <c r="X830" s="40">
        <f>IF(W830=0,0,W830+V830-U830)</f>
        <v>0</v>
      </c>
      <c r="Y830" s="36">
        <f>IF(W830=0,0,N(R830)*MAX(0,X830-MAX(W830,YEAR(Cfg_Hoje)*12+MONTH(Cfg_Hoje)+IF(DAY(Cfg_Hoje)&gt;=INDEX(Cartoes_Fech,MATCH($F830,Cartoes_Nome,0)),1,0))+1))</f>
        <v>0</v>
      </c>
      <c r="Z830" s="40">
        <f>IF($A830="",0,DAY($A830))</f>
        <v>0</v>
      </c>
      <c r="AA830" s="40">
        <f>IF($A830="",0,WEEKDAY($A830))</f>
        <v>0</v>
      </c>
      <c r="AB830" s="36">
        <f>IF(AND($C830="Despesa",U830&gt;0,U830&lt;=Sel_Idx,V830&gt;=Sel_Idx),N(R830)+ROW()/1000000000,0)</f>
        <v>0</v>
      </c>
      <c r="AC830" s="40">
        <f>IF(AND($C830="Despesa",U830&gt;0,U830&lt;=Sel_Idx,V830&gt;=Sel_Idx),Z830*10000+ROW(),0)</f>
        <v>0</v>
      </c>
      <c r="AD830" s="40">
        <f>IF(AC830=0,0,COUNTIFS(L_CalChave,"&gt;0",L_CalChave,"&lt;"&amp;AC830)+1)</f>
        <v>0</v>
      </c>
    </row>
    <row r="831">
      <c r="A831" s="38" t="n"/>
      <c r="B831" s="39" t="n"/>
      <c r="C831" s="34" t="n"/>
      <c r="D831" s="34" t="n"/>
      <c r="E831" s="34" t="n"/>
      <c r="F831" s="34" t="n"/>
      <c r="G831" s="34" t="n"/>
      <c r="H831" s="37" t="n"/>
      <c r="I831" s="37" t="n"/>
      <c r="J831" s="34" t="n"/>
      <c r="K831" s="34" t="n"/>
      <c r="L831" s="34" t="n"/>
      <c r="M831" s="39" t="n"/>
      <c r="N831" s="35" t="n"/>
      <c r="O831" s="40" t="str">
        <f>IF($A831="","",MONTH($A831))</f>
        <v/>
      </c>
      <c r="P831" s="40" t="str">
        <f>IF($A831="","",YEAR($A831))</f>
        <v/>
      </c>
      <c r="Q831" s="41" t="str">
        <f>IF($A831="","",DATE(P831,O831,1))</f>
        <v/>
      </c>
      <c r="R831" s="36" t="str">
        <f>IF(OR($A831="",$N831=""),"",IF(AND($C831&lt;&gt;"Transferência",N($I831)&gt;1),$N831/$I831,$N831))</f>
        <v/>
      </c>
      <c r="S831" s="41" t="str">
        <f>IF(OR($A831="",$F831="",$C831&lt;&gt;"Despesa"),"",IF(COUNTIF(Cartoes_Nome,$F831)=0,"",DATE(P831,O831+IF(DAY($A831)&gt;=INDEX(Cartoes_Fech,MATCH($F831,Cartoes_Nome,0)),1,0),1)))</f>
        <v/>
      </c>
      <c r="T831" s="42" t="str">
        <f>IF($A831="","",IF(COUNTIFS(L_Data,$A831,L_Desc,$B831,L_Valor,$N831,L_Tipo,$C831)&gt;1,"⚠ Possível duplicidade",IF(OR(AND($C831="Despesa",COUNTIF(CatD_Nome,$D831)=0),AND($C831="Receita",COUNTIF(CatR_Nome,$D831)=0)),"⚠ Categoria não combina com o tipo",IF(OR($N831="",$C831=""),"⚠ Falta valor ou tipo",""))))</f>
        <v/>
      </c>
      <c r="U831" s="40">
        <f>IF($A831="",0,P831*12+O831)</f>
        <v>0</v>
      </c>
      <c r="V831" s="40">
        <f>IF($A831="",0,U831+MAX(0,N($I831)-MAX(N($H831),1)))</f>
        <v>0</v>
      </c>
      <c r="W831" s="40">
        <f>IF(S831="",0,YEAR(S831)*12+MONTH(S831))</f>
        <v>0</v>
      </c>
      <c r="X831" s="40">
        <f>IF(W831=0,0,W831+V831-U831)</f>
        <v>0</v>
      </c>
      <c r="Y831" s="36">
        <f>IF(W831=0,0,N(R831)*MAX(0,X831-MAX(W831,YEAR(Cfg_Hoje)*12+MONTH(Cfg_Hoje)+IF(DAY(Cfg_Hoje)&gt;=INDEX(Cartoes_Fech,MATCH($F831,Cartoes_Nome,0)),1,0))+1))</f>
        <v>0</v>
      </c>
      <c r="Z831" s="40">
        <f>IF($A831="",0,DAY($A831))</f>
        <v>0</v>
      </c>
      <c r="AA831" s="40">
        <f>IF($A831="",0,WEEKDAY($A831))</f>
        <v>0</v>
      </c>
      <c r="AB831" s="36">
        <f>IF(AND($C831="Despesa",U831&gt;0,U831&lt;=Sel_Idx,V831&gt;=Sel_Idx),N(R831)+ROW()/1000000000,0)</f>
        <v>0</v>
      </c>
      <c r="AC831" s="40">
        <f>IF(AND($C831="Despesa",U831&gt;0,U831&lt;=Sel_Idx,V831&gt;=Sel_Idx),Z831*10000+ROW(),0)</f>
        <v>0</v>
      </c>
      <c r="AD831" s="40">
        <f>IF(AC831=0,0,COUNTIFS(L_CalChave,"&gt;0",L_CalChave,"&lt;"&amp;AC831)+1)</f>
        <v>0</v>
      </c>
    </row>
    <row r="832">
      <c r="A832" s="38" t="n"/>
      <c r="B832" s="39" t="n"/>
      <c r="C832" s="34" t="n"/>
      <c r="D832" s="34" t="n"/>
      <c r="E832" s="34" t="n"/>
      <c r="F832" s="34" t="n"/>
      <c r="G832" s="34" t="n"/>
      <c r="H832" s="37" t="n"/>
      <c r="I832" s="37" t="n"/>
      <c r="J832" s="34" t="n"/>
      <c r="K832" s="34" t="n"/>
      <c r="L832" s="34" t="n"/>
      <c r="M832" s="39" t="n"/>
      <c r="N832" s="35" t="n"/>
      <c r="O832" s="40" t="str">
        <f>IF($A832="","",MONTH($A832))</f>
        <v/>
      </c>
      <c r="P832" s="40" t="str">
        <f>IF($A832="","",YEAR($A832))</f>
        <v/>
      </c>
      <c r="Q832" s="41" t="str">
        <f>IF($A832="","",DATE(P832,O832,1))</f>
        <v/>
      </c>
      <c r="R832" s="36" t="str">
        <f>IF(OR($A832="",$N832=""),"",IF(AND($C832&lt;&gt;"Transferência",N($I832)&gt;1),$N832/$I832,$N832))</f>
        <v/>
      </c>
      <c r="S832" s="41" t="str">
        <f>IF(OR($A832="",$F832="",$C832&lt;&gt;"Despesa"),"",IF(COUNTIF(Cartoes_Nome,$F832)=0,"",DATE(P832,O832+IF(DAY($A832)&gt;=INDEX(Cartoes_Fech,MATCH($F832,Cartoes_Nome,0)),1,0),1)))</f>
        <v/>
      </c>
      <c r="T832" s="42" t="str">
        <f>IF($A832="","",IF(COUNTIFS(L_Data,$A832,L_Desc,$B832,L_Valor,$N832,L_Tipo,$C832)&gt;1,"⚠ Possível duplicidade",IF(OR(AND($C832="Despesa",COUNTIF(CatD_Nome,$D832)=0),AND($C832="Receita",COUNTIF(CatR_Nome,$D832)=0)),"⚠ Categoria não combina com o tipo",IF(OR($N832="",$C832=""),"⚠ Falta valor ou tipo",""))))</f>
        <v/>
      </c>
      <c r="U832" s="40">
        <f>IF($A832="",0,P832*12+O832)</f>
        <v>0</v>
      </c>
      <c r="V832" s="40">
        <f>IF($A832="",0,U832+MAX(0,N($I832)-MAX(N($H832),1)))</f>
        <v>0</v>
      </c>
      <c r="W832" s="40">
        <f>IF(S832="",0,YEAR(S832)*12+MONTH(S832))</f>
        <v>0</v>
      </c>
      <c r="X832" s="40">
        <f>IF(W832=0,0,W832+V832-U832)</f>
        <v>0</v>
      </c>
      <c r="Y832" s="36">
        <f>IF(W832=0,0,N(R832)*MAX(0,X832-MAX(W832,YEAR(Cfg_Hoje)*12+MONTH(Cfg_Hoje)+IF(DAY(Cfg_Hoje)&gt;=INDEX(Cartoes_Fech,MATCH($F832,Cartoes_Nome,0)),1,0))+1))</f>
        <v>0</v>
      </c>
      <c r="Z832" s="40">
        <f>IF($A832="",0,DAY($A832))</f>
        <v>0</v>
      </c>
      <c r="AA832" s="40">
        <f>IF($A832="",0,WEEKDAY($A832))</f>
        <v>0</v>
      </c>
      <c r="AB832" s="36">
        <f>IF(AND($C832="Despesa",U832&gt;0,U832&lt;=Sel_Idx,V832&gt;=Sel_Idx),N(R832)+ROW()/1000000000,0)</f>
        <v>0</v>
      </c>
      <c r="AC832" s="40">
        <f>IF(AND($C832="Despesa",U832&gt;0,U832&lt;=Sel_Idx,V832&gt;=Sel_Idx),Z832*10000+ROW(),0)</f>
        <v>0</v>
      </c>
      <c r="AD832" s="40">
        <f>IF(AC832=0,0,COUNTIFS(L_CalChave,"&gt;0",L_CalChave,"&lt;"&amp;AC832)+1)</f>
        <v>0</v>
      </c>
    </row>
    <row r="833">
      <c r="A833" s="38" t="n"/>
      <c r="B833" s="39" t="n"/>
      <c r="C833" s="34" t="n"/>
      <c r="D833" s="34" t="n"/>
      <c r="E833" s="34" t="n"/>
      <c r="F833" s="34" t="n"/>
      <c r="G833" s="34" t="n"/>
      <c r="H833" s="37" t="n"/>
      <c r="I833" s="37" t="n"/>
      <c r="J833" s="34" t="n"/>
      <c r="K833" s="34" t="n"/>
      <c r="L833" s="34" t="n"/>
      <c r="M833" s="39" t="n"/>
      <c r="N833" s="35" t="n"/>
      <c r="O833" s="40" t="str">
        <f>IF($A833="","",MONTH($A833))</f>
        <v/>
      </c>
      <c r="P833" s="40" t="str">
        <f>IF($A833="","",YEAR($A833))</f>
        <v/>
      </c>
      <c r="Q833" s="41" t="str">
        <f>IF($A833="","",DATE(P833,O833,1))</f>
        <v/>
      </c>
      <c r="R833" s="36" t="str">
        <f>IF(OR($A833="",$N833=""),"",IF(AND($C833&lt;&gt;"Transferência",N($I833)&gt;1),$N833/$I833,$N833))</f>
        <v/>
      </c>
      <c r="S833" s="41" t="str">
        <f>IF(OR($A833="",$F833="",$C833&lt;&gt;"Despesa"),"",IF(COUNTIF(Cartoes_Nome,$F833)=0,"",DATE(P833,O833+IF(DAY($A833)&gt;=INDEX(Cartoes_Fech,MATCH($F833,Cartoes_Nome,0)),1,0),1)))</f>
        <v/>
      </c>
      <c r="T833" s="42" t="str">
        <f>IF($A833="","",IF(COUNTIFS(L_Data,$A833,L_Desc,$B833,L_Valor,$N833,L_Tipo,$C833)&gt;1,"⚠ Possível duplicidade",IF(OR(AND($C833="Despesa",COUNTIF(CatD_Nome,$D833)=0),AND($C833="Receita",COUNTIF(CatR_Nome,$D833)=0)),"⚠ Categoria não combina com o tipo",IF(OR($N833="",$C833=""),"⚠ Falta valor ou tipo",""))))</f>
        <v/>
      </c>
      <c r="U833" s="40">
        <f>IF($A833="",0,P833*12+O833)</f>
        <v>0</v>
      </c>
      <c r="V833" s="40">
        <f>IF($A833="",0,U833+MAX(0,N($I833)-MAX(N($H833),1)))</f>
        <v>0</v>
      </c>
      <c r="W833" s="40">
        <f>IF(S833="",0,YEAR(S833)*12+MONTH(S833))</f>
        <v>0</v>
      </c>
      <c r="X833" s="40">
        <f>IF(W833=0,0,W833+V833-U833)</f>
        <v>0</v>
      </c>
      <c r="Y833" s="36">
        <f>IF(W833=0,0,N(R833)*MAX(0,X833-MAX(W833,YEAR(Cfg_Hoje)*12+MONTH(Cfg_Hoje)+IF(DAY(Cfg_Hoje)&gt;=INDEX(Cartoes_Fech,MATCH($F833,Cartoes_Nome,0)),1,0))+1))</f>
        <v>0</v>
      </c>
      <c r="Z833" s="40">
        <f>IF($A833="",0,DAY($A833))</f>
        <v>0</v>
      </c>
      <c r="AA833" s="40">
        <f>IF($A833="",0,WEEKDAY($A833))</f>
        <v>0</v>
      </c>
      <c r="AB833" s="36">
        <f>IF(AND($C833="Despesa",U833&gt;0,U833&lt;=Sel_Idx,V833&gt;=Sel_Idx),N(R833)+ROW()/1000000000,0)</f>
        <v>0</v>
      </c>
      <c r="AC833" s="40">
        <f>IF(AND($C833="Despesa",U833&gt;0,U833&lt;=Sel_Idx,V833&gt;=Sel_Idx),Z833*10000+ROW(),0)</f>
        <v>0</v>
      </c>
      <c r="AD833" s="40">
        <f>IF(AC833=0,0,COUNTIFS(L_CalChave,"&gt;0",L_CalChave,"&lt;"&amp;AC833)+1)</f>
        <v>0</v>
      </c>
    </row>
    <row r="834">
      <c r="A834" s="38" t="n"/>
      <c r="B834" s="39" t="n"/>
      <c r="C834" s="34" t="n"/>
      <c r="D834" s="34" t="n"/>
      <c r="E834" s="34" t="n"/>
      <c r="F834" s="34" t="n"/>
      <c r="G834" s="34" t="n"/>
      <c r="H834" s="37" t="n"/>
      <c r="I834" s="37" t="n"/>
      <c r="J834" s="34" t="n"/>
      <c r="K834" s="34" t="n"/>
      <c r="L834" s="34" t="n"/>
      <c r="M834" s="39" t="n"/>
      <c r="N834" s="35" t="n"/>
      <c r="O834" s="40" t="str">
        <f>IF($A834="","",MONTH($A834))</f>
        <v/>
      </c>
      <c r="P834" s="40" t="str">
        <f>IF($A834="","",YEAR($A834))</f>
        <v/>
      </c>
      <c r="Q834" s="41" t="str">
        <f>IF($A834="","",DATE(P834,O834,1))</f>
        <v/>
      </c>
      <c r="R834" s="36" t="str">
        <f>IF(OR($A834="",$N834=""),"",IF(AND($C834&lt;&gt;"Transferência",N($I834)&gt;1),$N834/$I834,$N834))</f>
        <v/>
      </c>
      <c r="S834" s="41" t="str">
        <f>IF(OR($A834="",$F834="",$C834&lt;&gt;"Despesa"),"",IF(COUNTIF(Cartoes_Nome,$F834)=0,"",DATE(P834,O834+IF(DAY($A834)&gt;=INDEX(Cartoes_Fech,MATCH($F834,Cartoes_Nome,0)),1,0),1)))</f>
        <v/>
      </c>
      <c r="T834" s="42" t="str">
        <f>IF($A834="","",IF(COUNTIFS(L_Data,$A834,L_Desc,$B834,L_Valor,$N834,L_Tipo,$C834)&gt;1,"⚠ Possível duplicidade",IF(OR(AND($C834="Despesa",COUNTIF(CatD_Nome,$D834)=0),AND($C834="Receita",COUNTIF(CatR_Nome,$D834)=0)),"⚠ Categoria não combina com o tipo",IF(OR($N834="",$C834=""),"⚠ Falta valor ou tipo",""))))</f>
        <v/>
      </c>
      <c r="U834" s="40">
        <f>IF($A834="",0,P834*12+O834)</f>
        <v>0</v>
      </c>
      <c r="V834" s="40">
        <f>IF($A834="",0,U834+MAX(0,N($I834)-MAX(N($H834),1)))</f>
        <v>0</v>
      </c>
      <c r="W834" s="40">
        <f>IF(S834="",0,YEAR(S834)*12+MONTH(S834))</f>
        <v>0</v>
      </c>
      <c r="X834" s="40">
        <f>IF(W834=0,0,W834+V834-U834)</f>
        <v>0</v>
      </c>
      <c r="Y834" s="36">
        <f>IF(W834=0,0,N(R834)*MAX(0,X834-MAX(W834,YEAR(Cfg_Hoje)*12+MONTH(Cfg_Hoje)+IF(DAY(Cfg_Hoje)&gt;=INDEX(Cartoes_Fech,MATCH($F834,Cartoes_Nome,0)),1,0))+1))</f>
        <v>0</v>
      </c>
      <c r="Z834" s="40">
        <f>IF($A834="",0,DAY($A834))</f>
        <v>0</v>
      </c>
      <c r="AA834" s="40">
        <f>IF($A834="",0,WEEKDAY($A834))</f>
        <v>0</v>
      </c>
      <c r="AB834" s="36">
        <f>IF(AND($C834="Despesa",U834&gt;0,U834&lt;=Sel_Idx,V834&gt;=Sel_Idx),N(R834)+ROW()/1000000000,0)</f>
        <v>0</v>
      </c>
      <c r="AC834" s="40">
        <f>IF(AND($C834="Despesa",U834&gt;0,U834&lt;=Sel_Idx,V834&gt;=Sel_Idx),Z834*10000+ROW(),0)</f>
        <v>0</v>
      </c>
      <c r="AD834" s="40">
        <f>IF(AC834=0,0,COUNTIFS(L_CalChave,"&gt;0",L_CalChave,"&lt;"&amp;AC834)+1)</f>
        <v>0</v>
      </c>
    </row>
    <row r="835">
      <c r="A835" s="38" t="n"/>
      <c r="B835" s="39" t="n"/>
      <c r="C835" s="34" t="n"/>
      <c r="D835" s="34" t="n"/>
      <c r="E835" s="34" t="n"/>
      <c r="F835" s="34" t="n"/>
      <c r="G835" s="34" t="n"/>
      <c r="H835" s="37" t="n"/>
      <c r="I835" s="37" t="n"/>
      <c r="J835" s="34" t="n"/>
      <c r="K835" s="34" t="n"/>
      <c r="L835" s="34" t="n"/>
      <c r="M835" s="39" t="n"/>
      <c r="N835" s="35" t="n"/>
      <c r="O835" s="40" t="str">
        <f>IF($A835="","",MONTH($A835))</f>
        <v/>
      </c>
      <c r="P835" s="40" t="str">
        <f>IF($A835="","",YEAR($A835))</f>
        <v/>
      </c>
      <c r="Q835" s="41" t="str">
        <f>IF($A835="","",DATE(P835,O835,1))</f>
        <v/>
      </c>
      <c r="R835" s="36" t="str">
        <f>IF(OR($A835="",$N835=""),"",IF(AND($C835&lt;&gt;"Transferência",N($I835)&gt;1),$N835/$I835,$N835))</f>
        <v/>
      </c>
      <c r="S835" s="41" t="str">
        <f>IF(OR($A835="",$F835="",$C835&lt;&gt;"Despesa"),"",IF(COUNTIF(Cartoes_Nome,$F835)=0,"",DATE(P835,O835+IF(DAY($A835)&gt;=INDEX(Cartoes_Fech,MATCH($F835,Cartoes_Nome,0)),1,0),1)))</f>
        <v/>
      </c>
      <c r="T835" s="42" t="str">
        <f>IF($A835="","",IF(COUNTIFS(L_Data,$A835,L_Desc,$B835,L_Valor,$N835,L_Tipo,$C835)&gt;1,"⚠ Possível duplicidade",IF(OR(AND($C835="Despesa",COUNTIF(CatD_Nome,$D835)=0),AND($C835="Receita",COUNTIF(CatR_Nome,$D835)=0)),"⚠ Categoria não combina com o tipo",IF(OR($N835="",$C835=""),"⚠ Falta valor ou tipo",""))))</f>
        <v/>
      </c>
      <c r="U835" s="40">
        <f>IF($A835="",0,P835*12+O835)</f>
        <v>0</v>
      </c>
      <c r="V835" s="40">
        <f>IF($A835="",0,U835+MAX(0,N($I835)-MAX(N($H835),1)))</f>
        <v>0</v>
      </c>
      <c r="W835" s="40">
        <f>IF(S835="",0,YEAR(S835)*12+MONTH(S835))</f>
        <v>0</v>
      </c>
      <c r="X835" s="40">
        <f>IF(W835=0,0,W835+V835-U835)</f>
        <v>0</v>
      </c>
      <c r="Y835" s="36">
        <f>IF(W835=0,0,N(R835)*MAX(0,X835-MAX(W835,YEAR(Cfg_Hoje)*12+MONTH(Cfg_Hoje)+IF(DAY(Cfg_Hoje)&gt;=INDEX(Cartoes_Fech,MATCH($F835,Cartoes_Nome,0)),1,0))+1))</f>
        <v>0</v>
      </c>
      <c r="Z835" s="40">
        <f>IF($A835="",0,DAY($A835))</f>
        <v>0</v>
      </c>
      <c r="AA835" s="40">
        <f>IF($A835="",0,WEEKDAY($A835))</f>
        <v>0</v>
      </c>
      <c r="AB835" s="36">
        <f>IF(AND($C835="Despesa",U835&gt;0,U835&lt;=Sel_Idx,V835&gt;=Sel_Idx),N(R835)+ROW()/1000000000,0)</f>
        <v>0</v>
      </c>
      <c r="AC835" s="40">
        <f>IF(AND($C835="Despesa",U835&gt;0,U835&lt;=Sel_Idx,V835&gt;=Sel_Idx),Z835*10000+ROW(),0)</f>
        <v>0</v>
      </c>
      <c r="AD835" s="40">
        <f>IF(AC835=0,0,COUNTIFS(L_CalChave,"&gt;0",L_CalChave,"&lt;"&amp;AC835)+1)</f>
        <v>0</v>
      </c>
    </row>
    <row r="836">
      <c r="A836" s="38" t="n"/>
      <c r="B836" s="39" t="n"/>
      <c r="C836" s="34" t="n"/>
      <c r="D836" s="34" t="n"/>
      <c r="E836" s="34" t="n"/>
      <c r="F836" s="34" t="n"/>
      <c r="G836" s="34" t="n"/>
      <c r="H836" s="37" t="n"/>
      <c r="I836" s="37" t="n"/>
      <c r="J836" s="34" t="n"/>
      <c r="K836" s="34" t="n"/>
      <c r="L836" s="34" t="n"/>
      <c r="M836" s="39" t="n"/>
      <c r="N836" s="35" t="n"/>
      <c r="O836" s="40" t="str">
        <f>IF($A836="","",MONTH($A836))</f>
        <v/>
      </c>
      <c r="P836" s="40" t="str">
        <f>IF($A836="","",YEAR($A836))</f>
        <v/>
      </c>
      <c r="Q836" s="41" t="str">
        <f>IF($A836="","",DATE(P836,O836,1))</f>
        <v/>
      </c>
      <c r="R836" s="36" t="str">
        <f>IF(OR($A836="",$N836=""),"",IF(AND($C836&lt;&gt;"Transferência",N($I836)&gt;1),$N836/$I836,$N836))</f>
        <v/>
      </c>
      <c r="S836" s="41" t="str">
        <f>IF(OR($A836="",$F836="",$C836&lt;&gt;"Despesa"),"",IF(COUNTIF(Cartoes_Nome,$F836)=0,"",DATE(P836,O836+IF(DAY($A836)&gt;=INDEX(Cartoes_Fech,MATCH($F836,Cartoes_Nome,0)),1,0),1)))</f>
        <v/>
      </c>
      <c r="T836" s="42" t="str">
        <f>IF($A836="","",IF(COUNTIFS(L_Data,$A836,L_Desc,$B836,L_Valor,$N836,L_Tipo,$C836)&gt;1,"⚠ Possível duplicidade",IF(OR(AND($C836="Despesa",COUNTIF(CatD_Nome,$D836)=0),AND($C836="Receita",COUNTIF(CatR_Nome,$D836)=0)),"⚠ Categoria não combina com o tipo",IF(OR($N836="",$C836=""),"⚠ Falta valor ou tipo",""))))</f>
        <v/>
      </c>
      <c r="U836" s="40">
        <f>IF($A836="",0,P836*12+O836)</f>
        <v>0</v>
      </c>
      <c r="V836" s="40">
        <f>IF($A836="",0,U836+MAX(0,N($I836)-MAX(N($H836),1)))</f>
        <v>0</v>
      </c>
      <c r="W836" s="40">
        <f>IF(S836="",0,YEAR(S836)*12+MONTH(S836))</f>
        <v>0</v>
      </c>
      <c r="X836" s="40">
        <f>IF(W836=0,0,W836+V836-U836)</f>
        <v>0</v>
      </c>
      <c r="Y836" s="36">
        <f>IF(W836=0,0,N(R836)*MAX(0,X836-MAX(W836,YEAR(Cfg_Hoje)*12+MONTH(Cfg_Hoje)+IF(DAY(Cfg_Hoje)&gt;=INDEX(Cartoes_Fech,MATCH($F836,Cartoes_Nome,0)),1,0))+1))</f>
        <v>0</v>
      </c>
      <c r="Z836" s="40">
        <f>IF($A836="",0,DAY($A836))</f>
        <v>0</v>
      </c>
      <c r="AA836" s="40">
        <f>IF($A836="",0,WEEKDAY($A836))</f>
        <v>0</v>
      </c>
      <c r="AB836" s="36">
        <f>IF(AND($C836="Despesa",U836&gt;0,U836&lt;=Sel_Idx,V836&gt;=Sel_Idx),N(R836)+ROW()/1000000000,0)</f>
        <v>0</v>
      </c>
      <c r="AC836" s="40">
        <f>IF(AND($C836="Despesa",U836&gt;0,U836&lt;=Sel_Idx,V836&gt;=Sel_Idx),Z836*10000+ROW(),0)</f>
        <v>0</v>
      </c>
      <c r="AD836" s="40">
        <f>IF(AC836=0,0,COUNTIFS(L_CalChave,"&gt;0",L_CalChave,"&lt;"&amp;AC836)+1)</f>
        <v>0</v>
      </c>
    </row>
    <row r="837">
      <c r="A837" s="38" t="n"/>
      <c r="B837" s="39" t="n"/>
      <c r="C837" s="34" t="n"/>
      <c r="D837" s="34" t="n"/>
      <c r="E837" s="34" t="n"/>
      <c r="F837" s="34" t="n"/>
      <c r="G837" s="34" t="n"/>
      <c r="H837" s="37" t="n"/>
      <c r="I837" s="37" t="n"/>
      <c r="J837" s="34" t="n"/>
      <c r="K837" s="34" t="n"/>
      <c r="L837" s="34" t="n"/>
      <c r="M837" s="39" t="n"/>
      <c r="N837" s="35" t="n"/>
      <c r="O837" s="40" t="str">
        <f>IF($A837="","",MONTH($A837))</f>
        <v/>
      </c>
      <c r="P837" s="40" t="str">
        <f>IF($A837="","",YEAR($A837))</f>
        <v/>
      </c>
      <c r="Q837" s="41" t="str">
        <f>IF($A837="","",DATE(P837,O837,1))</f>
        <v/>
      </c>
      <c r="R837" s="36" t="str">
        <f>IF(OR($A837="",$N837=""),"",IF(AND($C837&lt;&gt;"Transferência",N($I837)&gt;1),$N837/$I837,$N837))</f>
        <v/>
      </c>
      <c r="S837" s="41" t="str">
        <f>IF(OR($A837="",$F837="",$C837&lt;&gt;"Despesa"),"",IF(COUNTIF(Cartoes_Nome,$F837)=0,"",DATE(P837,O837+IF(DAY($A837)&gt;=INDEX(Cartoes_Fech,MATCH($F837,Cartoes_Nome,0)),1,0),1)))</f>
        <v/>
      </c>
      <c r="T837" s="42" t="str">
        <f>IF($A837="","",IF(COUNTIFS(L_Data,$A837,L_Desc,$B837,L_Valor,$N837,L_Tipo,$C837)&gt;1,"⚠ Possível duplicidade",IF(OR(AND($C837="Despesa",COUNTIF(CatD_Nome,$D837)=0),AND($C837="Receita",COUNTIF(CatR_Nome,$D837)=0)),"⚠ Categoria não combina com o tipo",IF(OR($N837="",$C837=""),"⚠ Falta valor ou tipo",""))))</f>
        <v/>
      </c>
      <c r="U837" s="40">
        <f>IF($A837="",0,P837*12+O837)</f>
        <v>0</v>
      </c>
      <c r="V837" s="40">
        <f>IF($A837="",0,U837+MAX(0,N($I837)-MAX(N($H837),1)))</f>
        <v>0</v>
      </c>
      <c r="W837" s="40">
        <f>IF(S837="",0,YEAR(S837)*12+MONTH(S837))</f>
        <v>0</v>
      </c>
      <c r="X837" s="40">
        <f>IF(W837=0,0,W837+V837-U837)</f>
        <v>0</v>
      </c>
      <c r="Y837" s="36">
        <f>IF(W837=0,0,N(R837)*MAX(0,X837-MAX(W837,YEAR(Cfg_Hoje)*12+MONTH(Cfg_Hoje)+IF(DAY(Cfg_Hoje)&gt;=INDEX(Cartoes_Fech,MATCH($F837,Cartoes_Nome,0)),1,0))+1))</f>
        <v>0</v>
      </c>
      <c r="Z837" s="40">
        <f>IF($A837="",0,DAY($A837))</f>
        <v>0</v>
      </c>
      <c r="AA837" s="40">
        <f>IF($A837="",0,WEEKDAY($A837))</f>
        <v>0</v>
      </c>
      <c r="AB837" s="36">
        <f>IF(AND($C837="Despesa",U837&gt;0,U837&lt;=Sel_Idx,V837&gt;=Sel_Idx),N(R837)+ROW()/1000000000,0)</f>
        <v>0</v>
      </c>
      <c r="AC837" s="40">
        <f>IF(AND($C837="Despesa",U837&gt;0,U837&lt;=Sel_Idx,V837&gt;=Sel_Idx),Z837*10000+ROW(),0)</f>
        <v>0</v>
      </c>
      <c r="AD837" s="40">
        <f>IF(AC837=0,0,COUNTIFS(L_CalChave,"&gt;0",L_CalChave,"&lt;"&amp;AC837)+1)</f>
        <v>0</v>
      </c>
    </row>
    <row r="838">
      <c r="A838" s="38" t="n"/>
      <c r="B838" s="39" t="n"/>
      <c r="C838" s="34" t="n"/>
      <c r="D838" s="34" t="n"/>
      <c r="E838" s="34" t="n"/>
      <c r="F838" s="34" t="n"/>
      <c r="G838" s="34" t="n"/>
      <c r="H838" s="37" t="n"/>
      <c r="I838" s="37" t="n"/>
      <c r="J838" s="34" t="n"/>
      <c r="K838" s="34" t="n"/>
      <c r="L838" s="34" t="n"/>
      <c r="M838" s="39" t="n"/>
      <c r="N838" s="35" t="n"/>
      <c r="O838" s="40" t="str">
        <f>IF($A838="","",MONTH($A838))</f>
        <v/>
      </c>
      <c r="P838" s="40" t="str">
        <f>IF($A838="","",YEAR($A838))</f>
        <v/>
      </c>
      <c r="Q838" s="41" t="str">
        <f>IF($A838="","",DATE(P838,O838,1))</f>
        <v/>
      </c>
      <c r="R838" s="36" t="str">
        <f>IF(OR($A838="",$N838=""),"",IF(AND($C838&lt;&gt;"Transferência",N($I838)&gt;1),$N838/$I838,$N838))</f>
        <v/>
      </c>
      <c r="S838" s="41" t="str">
        <f>IF(OR($A838="",$F838="",$C838&lt;&gt;"Despesa"),"",IF(COUNTIF(Cartoes_Nome,$F838)=0,"",DATE(P838,O838+IF(DAY($A838)&gt;=INDEX(Cartoes_Fech,MATCH($F838,Cartoes_Nome,0)),1,0),1)))</f>
        <v/>
      </c>
      <c r="T838" s="42" t="str">
        <f>IF($A838="","",IF(COUNTIFS(L_Data,$A838,L_Desc,$B838,L_Valor,$N838,L_Tipo,$C838)&gt;1,"⚠ Possível duplicidade",IF(OR(AND($C838="Despesa",COUNTIF(CatD_Nome,$D838)=0),AND($C838="Receita",COUNTIF(CatR_Nome,$D838)=0)),"⚠ Categoria não combina com o tipo",IF(OR($N838="",$C838=""),"⚠ Falta valor ou tipo",""))))</f>
        <v/>
      </c>
      <c r="U838" s="40">
        <f>IF($A838="",0,P838*12+O838)</f>
        <v>0</v>
      </c>
      <c r="V838" s="40">
        <f>IF($A838="",0,U838+MAX(0,N($I838)-MAX(N($H838),1)))</f>
        <v>0</v>
      </c>
      <c r="W838" s="40">
        <f>IF(S838="",0,YEAR(S838)*12+MONTH(S838))</f>
        <v>0</v>
      </c>
      <c r="X838" s="40">
        <f>IF(W838=0,0,W838+V838-U838)</f>
        <v>0</v>
      </c>
      <c r="Y838" s="36">
        <f>IF(W838=0,0,N(R838)*MAX(0,X838-MAX(W838,YEAR(Cfg_Hoje)*12+MONTH(Cfg_Hoje)+IF(DAY(Cfg_Hoje)&gt;=INDEX(Cartoes_Fech,MATCH($F838,Cartoes_Nome,0)),1,0))+1))</f>
        <v>0</v>
      </c>
      <c r="Z838" s="40">
        <f>IF($A838="",0,DAY($A838))</f>
        <v>0</v>
      </c>
      <c r="AA838" s="40">
        <f>IF($A838="",0,WEEKDAY($A838))</f>
        <v>0</v>
      </c>
      <c r="AB838" s="36">
        <f>IF(AND($C838="Despesa",U838&gt;0,U838&lt;=Sel_Idx,V838&gt;=Sel_Idx),N(R838)+ROW()/1000000000,0)</f>
        <v>0</v>
      </c>
      <c r="AC838" s="40">
        <f>IF(AND($C838="Despesa",U838&gt;0,U838&lt;=Sel_Idx,V838&gt;=Sel_Idx),Z838*10000+ROW(),0)</f>
        <v>0</v>
      </c>
      <c r="AD838" s="40">
        <f>IF(AC838=0,0,COUNTIFS(L_CalChave,"&gt;0",L_CalChave,"&lt;"&amp;AC838)+1)</f>
        <v>0</v>
      </c>
    </row>
    <row r="839">
      <c r="A839" s="38" t="n"/>
      <c r="B839" s="39" t="n"/>
      <c r="C839" s="34" t="n"/>
      <c r="D839" s="34" t="n"/>
      <c r="E839" s="34" t="n"/>
      <c r="F839" s="34" t="n"/>
      <c r="G839" s="34" t="n"/>
      <c r="H839" s="37" t="n"/>
      <c r="I839" s="37" t="n"/>
      <c r="J839" s="34" t="n"/>
      <c r="K839" s="34" t="n"/>
      <c r="L839" s="34" t="n"/>
      <c r="M839" s="39" t="n"/>
      <c r="N839" s="35" t="n"/>
      <c r="O839" s="40" t="str">
        <f>IF($A839="","",MONTH($A839))</f>
        <v/>
      </c>
      <c r="P839" s="40" t="str">
        <f>IF($A839="","",YEAR($A839))</f>
        <v/>
      </c>
      <c r="Q839" s="41" t="str">
        <f>IF($A839="","",DATE(P839,O839,1))</f>
        <v/>
      </c>
      <c r="R839" s="36" t="str">
        <f>IF(OR($A839="",$N839=""),"",IF(AND($C839&lt;&gt;"Transferência",N($I839)&gt;1),$N839/$I839,$N839))</f>
        <v/>
      </c>
      <c r="S839" s="41" t="str">
        <f>IF(OR($A839="",$F839="",$C839&lt;&gt;"Despesa"),"",IF(COUNTIF(Cartoes_Nome,$F839)=0,"",DATE(P839,O839+IF(DAY($A839)&gt;=INDEX(Cartoes_Fech,MATCH($F839,Cartoes_Nome,0)),1,0),1)))</f>
        <v/>
      </c>
      <c r="T839" s="42" t="str">
        <f>IF($A839="","",IF(COUNTIFS(L_Data,$A839,L_Desc,$B839,L_Valor,$N839,L_Tipo,$C839)&gt;1,"⚠ Possível duplicidade",IF(OR(AND($C839="Despesa",COUNTIF(CatD_Nome,$D839)=0),AND($C839="Receita",COUNTIF(CatR_Nome,$D839)=0)),"⚠ Categoria não combina com o tipo",IF(OR($N839="",$C839=""),"⚠ Falta valor ou tipo",""))))</f>
        <v/>
      </c>
      <c r="U839" s="40">
        <f>IF($A839="",0,P839*12+O839)</f>
        <v>0</v>
      </c>
      <c r="V839" s="40">
        <f>IF($A839="",0,U839+MAX(0,N($I839)-MAX(N($H839),1)))</f>
        <v>0</v>
      </c>
      <c r="W839" s="40">
        <f>IF(S839="",0,YEAR(S839)*12+MONTH(S839))</f>
        <v>0</v>
      </c>
      <c r="X839" s="40">
        <f>IF(W839=0,0,W839+V839-U839)</f>
        <v>0</v>
      </c>
      <c r="Y839" s="36">
        <f>IF(W839=0,0,N(R839)*MAX(0,X839-MAX(W839,YEAR(Cfg_Hoje)*12+MONTH(Cfg_Hoje)+IF(DAY(Cfg_Hoje)&gt;=INDEX(Cartoes_Fech,MATCH($F839,Cartoes_Nome,0)),1,0))+1))</f>
        <v>0</v>
      </c>
      <c r="Z839" s="40">
        <f>IF($A839="",0,DAY($A839))</f>
        <v>0</v>
      </c>
      <c r="AA839" s="40">
        <f>IF($A839="",0,WEEKDAY($A839))</f>
        <v>0</v>
      </c>
      <c r="AB839" s="36">
        <f>IF(AND($C839="Despesa",U839&gt;0,U839&lt;=Sel_Idx,V839&gt;=Sel_Idx),N(R839)+ROW()/1000000000,0)</f>
        <v>0</v>
      </c>
      <c r="AC839" s="40">
        <f>IF(AND($C839="Despesa",U839&gt;0,U839&lt;=Sel_Idx,V839&gt;=Sel_Idx),Z839*10000+ROW(),0)</f>
        <v>0</v>
      </c>
      <c r="AD839" s="40">
        <f>IF(AC839=0,0,COUNTIFS(L_CalChave,"&gt;0",L_CalChave,"&lt;"&amp;AC839)+1)</f>
        <v>0</v>
      </c>
    </row>
    <row r="840">
      <c r="A840" s="38" t="n"/>
      <c r="B840" s="39" t="n"/>
      <c r="C840" s="34" t="n"/>
      <c r="D840" s="34" t="n"/>
      <c r="E840" s="34" t="n"/>
      <c r="F840" s="34" t="n"/>
      <c r="G840" s="34" t="n"/>
      <c r="H840" s="37" t="n"/>
      <c r="I840" s="37" t="n"/>
      <c r="J840" s="34" t="n"/>
      <c r="K840" s="34" t="n"/>
      <c r="L840" s="34" t="n"/>
      <c r="M840" s="39" t="n"/>
      <c r="N840" s="35" t="n"/>
      <c r="O840" s="40" t="str">
        <f>IF($A840="","",MONTH($A840))</f>
        <v/>
      </c>
      <c r="P840" s="40" t="str">
        <f>IF($A840="","",YEAR($A840))</f>
        <v/>
      </c>
      <c r="Q840" s="41" t="str">
        <f>IF($A840="","",DATE(P840,O840,1))</f>
        <v/>
      </c>
      <c r="R840" s="36" t="str">
        <f>IF(OR($A840="",$N840=""),"",IF(AND($C840&lt;&gt;"Transferência",N($I840)&gt;1),$N840/$I840,$N840))</f>
        <v/>
      </c>
      <c r="S840" s="41" t="str">
        <f>IF(OR($A840="",$F840="",$C840&lt;&gt;"Despesa"),"",IF(COUNTIF(Cartoes_Nome,$F840)=0,"",DATE(P840,O840+IF(DAY($A840)&gt;=INDEX(Cartoes_Fech,MATCH($F840,Cartoes_Nome,0)),1,0),1)))</f>
        <v/>
      </c>
      <c r="T840" s="42" t="str">
        <f>IF($A840="","",IF(COUNTIFS(L_Data,$A840,L_Desc,$B840,L_Valor,$N840,L_Tipo,$C840)&gt;1,"⚠ Possível duplicidade",IF(OR(AND($C840="Despesa",COUNTIF(CatD_Nome,$D840)=0),AND($C840="Receita",COUNTIF(CatR_Nome,$D840)=0)),"⚠ Categoria não combina com o tipo",IF(OR($N840="",$C840=""),"⚠ Falta valor ou tipo",""))))</f>
        <v/>
      </c>
      <c r="U840" s="40">
        <f>IF($A840="",0,P840*12+O840)</f>
        <v>0</v>
      </c>
      <c r="V840" s="40">
        <f>IF($A840="",0,U840+MAX(0,N($I840)-MAX(N($H840),1)))</f>
        <v>0</v>
      </c>
      <c r="W840" s="40">
        <f>IF(S840="",0,YEAR(S840)*12+MONTH(S840))</f>
        <v>0</v>
      </c>
      <c r="X840" s="40">
        <f>IF(W840=0,0,W840+V840-U840)</f>
        <v>0</v>
      </c>
      <c r="Y840" s="36">
        <f>IF(W840=0,0,N(R840)*MAX(0,X840-MAX(W840,YEAR(Cfg_Hoje)*12+MONTH(Cfg_Hoje)+IF(DAY(Cfg_Hoje)&gt;=INDEX(Cartoes_Fech,MATCH($F840,Cartoes_Nome,0)),1,0))+1))</f>
        <v>0</v>
      </c>
      <c r="Z840" s="40">
        <f>IF($A840="",0,DAY($A840))</f>
        <v>0</v>
      </c>
      <c r="AA840" s="40">
        <f>IF($A840="",0,WEEKDAY($A840))</f>
        <v>0</v>
      </c>
      <c r="AB840" s="36">
        <f>IF(AND($C840="Despesa",U840&gt;0,U840&lt;=Sel_Idx,V840&gt;=Sel_Idx),N(R840)+ROW()/1000000000,0)</f>
        <v>0</v>
      </c>
      <c r="AC840" s="40">
        <f>IF(AND($C840="Despesa",U840&gt;0,U840&lt;=Sel_Idx,V840&gt;=Sel_Idx),Z840*10000+ROW(),0)</f>
        <v>0</v>
      </c>
      <c r="AD840" s="40">
        <f>IF(AC840=0,0,COUNTIFS(L_CalChave,"&gt;0",L_CalChave,"&lt;"&amp;AC840)+1)</f>
        <v>0</v>
      </c>
    </row>
    <row r="841">
      <c r="A841" s="38" t="n"/>
      <c r="B841" s="39" t="n"/>
      <c r="C841" s="34" t="n"/>
      <c r="D841" s="34" t="n"/>
      <c r="E841" s="34" t="n"/>
      <c r="F841" s="34" t="n"/>
      <c r="G841" s="34" t="n"/>
      <c r="H841" s="37" t="n"/>
      <c r="I841" s="37" t="n"/>
      <c r="J841" s="34" t="n"/>
      <c r="K841" s="34" t="n"/>
      <c r="L841" s="34" t="n"/>
      <c r="M841" s="39" t="n"/>
      <c r="N841" s="35" t="n"/>
      <c r="O841" s="40" t="str">
        <f>IF($A841="","",MONTH($A841))</f>
        <v/>
      </c>
      <c r="P841" s="40" t="str">
        <f>IF($A841="","",YEAR($A841))</f>
        <v/>
      </c>
      <c r="Q841" s="41" t="str">
        <f>IF($A841="","",DATE(P841,O841,1))</f>
        <v/>
      </c>
      <c r="R841" s="36" t="str">
        <f>IF(OR($A841="",$N841=""),"",IF(AND($C841&lt;&gt;"Transferência",N($I841)&gt;1),$N841/$I841,$N841))</f>
        <v/>
      </c>
      <c r="S841" s="41" t="str">
        <f>IF(OR($A841="",$F841="",$C841&lt;&gt;"Despesa"),"",IF(COUNTIF(Cartoes_Nome,$F841)=0,"",DATE(P841,O841+IF(DAY($A841)&gt;=INDEX(Cartoes_Fech,MATCH($F841,Cartoes_Nome,0)),1,0),1)))</f>
        <v/>
      </c>
      <c r="T841" s="42" t="str">
        <f>IF($A841="","",IF(COUNTIFS(L_Data,$A841,L_Desc,$B841,L_Valor,$N841,L_Tipo,$C841)&gt;1,"⚠ Possível duplicidade",IF(OR(AND($C841="Despesa",COUNTIF(CatD_Nome,$D841)=0),AND($C841="Receita",COUNTIF(CatR_Nome,$D841)=0)),"⚠ Categoria não combina com o tipo",IF(OR($N841="",$C841=""),"⚠ Falta valor ou tipo",""))))</f>
        <v/>
      </c>
      <c r="U841" s="40">
        <f>IF($A841="",0,P841*12+O841)</f>
        <v>0</v>
      </c>
      <c r="V841" s="40">
        <f>IF($A841="",0,U841+MAX(0,N($I841)-MAX(N($H841),1)))</f>
        <v>0</v>
      </c>
      <c r="W841" s="40">
        <f>IF(S841="",0,YEAR(S841)*12+MONTH(S841))</f>
        <v>0</v>
      </c>
      <c r="X841" s="40">
        <f>IF(W841=0,0,W841+V841-U841)</f>
        <v>0</v>
      </c>
      <c r="Y841" s="36">
        <f>IF(W841=0,0,N(R841)*MAX(0,X841-MAX(W841,YEAR(Cfg_Hoje)*12+MONTH(Cfg_Hoje)+IF(DAY(Cfg_Hoje)&gt;=INDEX(Cartoes_Fech,MATCH($F841,Cartoes_Nome,0)),1,0))+1))</f>
        <v>0</v>
      </c>
      <c r="Z841" s="40">
        <f>IF($A841="",0,DAY($A841))</f>
        <v>0</v>
      </c>
      <c r="AA841" s="40">
        <f>IF($A841="",0,WEEKDAY($A841))</f>
        <v>0</v>
      </c>
      <c r="AB841" s="36">
        <f>IF(AND($C841="Despesa",U841&gt;0,U841&lt;=Sel_Idx,V841&gt;=Sel_Idx),N(R841)+ROW()/1000000000,0)</f>
        <v>0</v>
      </c>
      <c r="AC841" s="40">
        <f>IF(AND($C841="Despesa",U841&gt;0,U841&lt;=Sel_Idx,V841&gt;=Sel_Idx),Z841*10000+ROW(),0)</f>
        <v>0</v>
      </c>
      <c r="AD841" s="40">
        <f>IF(AC841=0,0,COUNTIFS(L_CalChave,"&gt;0",L_CalChave,"&lt;"&amp;AC841)+1)</f>
        <v>0</v>
      </c>
    </row>
    <row r="842">
      <c r="A842" s="38" t="n"/>
      <c r="B842" s="39" t="n"/>
      <c r="C842" s="34" t="n"/>
      <c r="D842" s="34" t="n"/>
      <c r="E842" s="34" t="n"/>
      <c r="F842" s="34" t="n"/>
      <c r="G842" s="34" t="n"/>
      <c r="H842" s="37" t="n"/>
      <c r="I842" s="37" t="n"/>
      <c r="J842" s="34" t="n"/>
      <c r="K842" s="34" t="n"/>
      <c r="L842" s="34" t="n"/>
      <c r="M842" s="39" t="n"/>
      <c r="N842" s="35" t="n"/>
      <c r="O842" s="40" t="str">
        <f>IF($A842="","",MONTH($A842))</f>
        <v/>
      </c>
      <c r="P842" s="40" t="str">
        <f>IF($A842="","",YEAR($A842))</f>
        <v/>
      </c>
      <c r="Q842" s="41" t="str">
        <f>IF($A842="","",DATE(P842,O842,1))</f>
        <v/>
      </c>
      <c r="R842" s="36" t="str">
        <f>IF(OR($A842="",$N842=""),"",IF(AND($C842&lt;&gt;"Transferência",N($I842)&gt;1),$N842/$I842,$N842))</f>
        <v/>
      </c>
      <c r="S842" s="41" t="str">
        <f>IF(OR($A842="",$F842="",$C842&lt;&gt;"Despesa"),"",IF(COUNTIF(Cartoes_Nome,$F842)=0,"",DATE(P842,O842+IF(DAY($A842)&gt;=INDEX(Cartoes_Fech,MATCH($F842,Cartoes_Nome,0)),1,0),1)))</f>
        <v/>
      </c>
      <c r="T842" s="42" t="str">
        <f>IF($A842="","",IF(COUNTIFS(L_Data,$A842,L_Desc,$B842,L_Valor,$N842,L_Tipo,$C842)&gt;1,"⚠ Possível duplicidade",IF(OR(AND($C842="Despesa",COUNTIF(CatD_Nome,$D842)=0),AND($C842="Receita",COUNTIF(CatR_Nome,$D842)=0)),"⚠ Categoria não combina com o tipo",IF(OR($N842="",$C842=""),"⚠ Falta valor ou tipo",""))))</f>
        <v/>
      </c>
      <c r="U842" s="40">
        <f>IF($A842="",0,P842*12+O842)</f>
        <v>0</v>
      </c>
      <c r="V842" s="40">
        <f>IF($A842="",0,U842+MAX(0,N($I842)-MAX(N($H842),1)))</f>
        <v>0</v>
      </c>
      <c r="W842" s="40">
        <f>IF(S842="",0,YEAR(S842)*12+MONTH(S842))</f>
        <v>0</v>
      </c>
      <c r="X842" s="40">
        <f>IF(W842=0,0,W842+V842-U842)</f>
        <v>0</v>
      </c>
      <c r="Y842" s="36">
        <f>IF(W842=0,0,N(R842)*MAX(0,X842-MAX(W842,YEAR(Cfg_Hoje)*12+MONTH(Cfg_Hoje)+IF(DAY(Cfg_Hoje)&gt;=INDEX(Cartoes_Fech,MATCH($F842,Cartoes_Nome,0)),1,0))+1))</f>
        <v>0</v>
      </c>
      <c r="Z842" s="40">
        <f>IF($A842="",0,DAY($A842))</f>
        <v>0</v>
      </c>
      <c r="AA842" s="40">
        <f>IF($A842="",0,WEEKDAY($A842))</f>
        <v>0</v>
      </c>
      <c r="AB842" s="36">
        <f>IF(AND($C842="Despesa",U842&gt;0,U842&lt;=Sel_Idx,V842&gt;=Sel_Idx),N(R842)+ROW()/1000000000,0)</f>
        <v>0</v>
      </c>
      <c r="AC842" s="40">
        <f>IF(AND($C842="Despesa",U842&gt;0,U842&lt;=Sel_Idx,V842&gt;=Sel_Idx),Z842*10000+ROW(),0)</f>
        <v>0</v>
      </c>
      <c r="AD842" s="40">
        <f>IF(AC842=0,0,COUNTIFS(L_CalChave,"&gt;0",L_CalChave,"&lt;"&amp;AC842)+1)</f>
        <v>0</v>
      </c>
    </row>
    <row r="843">
      <c r="A843" s="38" t="n"/>
      <c r="B843" s="39" t="n"/>
      <c r="C843" s="34" t="n"/>
      <c r="D843" s="34" t="n"/>
      <c r="E843" s="34" t="n"/>
      <c r="F843" s="34" t="n"/>
      <c r="G843" s="34" t="n"/>
      <c r="H843" s="37" t="n"/>
      <c r="I843" s="37" t="n"/>
      <c r="J843" s="34" t="n"/>
      <c r="K843" s="34" t="n"/>
      <c r="L843" s="34" t="n"/>
      <c r="M843" s="39" t="n"/>
      <c r="N843" s="35" t="n"/>
      <c r="O843" s="40" t="str">
        <f>IF($A843="","",MONTH($A843))</f>
        <v/>
      </c>
      <c r="P843" s="40" t="str">
        <f>IF($A843="","",YEAR($A843))</f>
        <v/>
      </c>
      <c r="Q843" s="41" t="str">
        <f>IF($A843="","",DATE(P843,O843,1))</f>
        <v/>
      </c>
      <c r="R843" s="36" t="str">
        <f>IF(OR($A843="",$N843=""),"",IF(AND($C843&lt;&gt;"Transferência",N($I843)&gt;1),$N843/$I843,$N843))</f>
        <v/>
      </c>
      <c r="S843" s="41" t="str">
        <f>IF(OR($A843="",$F843="",$C843&lt;&gt;"Despesa"),"",IF(COUNTIF(Cartoes_Nome,$F843)=0,"",DATE(P843,O843+IF(DAY($A843)&gt;=INDEX(Cartoes_Fech,MATCH($F843,Cartoes_Nome,0)),1,0),1)))</f>
        <v/>
      </c>
      <c r="T843" s="42" t="str">
        <f>IF($A843="","",IF(COUNTIFS(L_Data,$A843,L_Desc,$B843,L_Valor,$N843,L_Tipo,$C843)&gt;1,"⚠ Possível duplicidade",IF(OR(AND($C843="Despesa",COUNTIF(CatD_Nome,$D843)=0),AND($C843="Receita",COUNTIF(CatR_Nome,$D843)=0)),"⚠ Categoria não combina com o tipo",IF(OR($N843="",$C843=""),"⚠ Falta valor ou tipo",""))))</f>
        <v/>
      </c>
      <c r="U843" s="40">
        <f>IF($A843="",0,P843*12+O843)</f>
        <v>0</v>
      </c>
      <c r="V843" s="40">
        <f>IF($A843="",0,U843+MAX(0,N($I843)-MAX(N($H843),1)))</f>
        <v>0</v>
      </c>
      <c r="W843" s="40">
        <f>IF(S843="",0,YEAR(S843)*12+MONTH(S843))</f>
        <v>0</v>
      </c>
      <c r="X843" s="40">
        <f>IF(W843=0,0,W843+V843-U843)</f>
        <v>0</v>
      </c>
      <c r="Y843" s="36">
        <f>IF(W843=0,0,N(R843)*MAX(0,X843-MAX(W843,YEAR(Cfg_Hoje)*12+MONTH(Cfg_Hoje)+IF(DAY(Cfg_Hoje)&gt;=INDEX(Cartoes_Fech,MATCH($F843,Cartoes_Nome,0)),1,0))+1))</f>
        <v>0</v>
      </c>
      <c r="Z843" s="40">
        <f>IF($A843="",0,DAY($A843))</f>
        <v>0</v>
      </c>
      <c r="AA843" s="40">
        <f>IF($A843="",0,WEEKDAY($A843))</f>
        <v>0</v>
      </c>
      <c r="AB843" s="36">
        <f>IF(AND($C843="Despesa",U843&gt;0,U843&lt;=Sel_Idx,V843&gt;=Sel_Idx),N(R843)+ROW()/1000000000,0)</f>
        <v>0</v>
      </c>
      <c r="AC843" s="40">
        <f>IF(AND($C843="Despesa",U843&gt;0,U843&lt;=Sel_Idx,V843&gt;=Sel_Idx),Z843*10000+ROW(),0)</f>
        <v>0</v>
      </c>
      <c r="AD843" s="40">
        <f>IF(AC843=0,0,COUNTIFS(L_CalChave,"&gt;0",L_CalChave,"&lt;"&amp;AC843)+1)</f>
        <v>0</v>
      </c>
    </row>
    <row r="844">
      <c r="A844" s="38" t="n"/>
      <c r="B844" s="39" t="n"/>
      <c r="C844" s="34" t="n"/>
      <c r="D844" s="34" t="n"/>
      <c r="E844" s="34" t="n"/>
      <c r="F844" s="34" t="n"/>
      <c r="G844" s="34" t="n"/>
      <c r="H844" s="37" t="n"/>
      <c r="I844" s="37" t="n"/>
      <c r="J844" s="34" t="n"/>
      <c r="K844" s="34" t="n"/>
      <c r="L844" s="34" t="n"/>
      <c r="M844" s="39" t="n"/>
      <c r="N844" s="35" t="n"/>
      <c r="O844" s="40" t="str">
        <f>IF($A844="","",MONTH($A844))</f>
        <v/>
      </c>
      <c r="P844" s="40" t="str">
        <f>IF($A844="","",YEAR($A844))</f>
        <v/>
      </c>
      <c r="Q844" s="41" t="str">
        <f>IF($A844="","",DATE(P844,O844,1))</f>
        <v/>
      </c>
      <c r="R844" s="36" t="str">
        <f>IF(OR($A844="",$N844=""),"",IF(AND($C844&lt;&gt;"Transferência",N($I844)&gt;1),$N844/$I844,$N844))</f>
        <v/>
      </c>
      <c r="S844" s="41" t="str">
        <f>IF(OR($A844="",$F844="",$C844&lt;&gt;"Despesa"),"",IF(COUNTIF(Cartoes_Nome,$F844)=0,"",DATE(P844,O844+IF(DAY($A844)&gt;=INDEX(Cartoes_Fech,MATCH($F844,Cartoes_Nome,0)),1,0),1)))</f>
        <v/>
      </c>
      <c r="T844" s="42" t="str">
        <f>IF($A844="","",IF(COUNTIFS(L_Data,$A844,L_Desc,$B844,L_Valor,$N844,L_Tipo,$C844)&gt;1,"⚠ Possível duplicidade",IF(OR(AND($C844="Despesa",COUNTIF(CatD_Nome,$D844)=0),AND($C844="Receita",COUNTIF(CatR_Nome,$D844)=0)),"⚠ Categoria não combina com o tipo",IF(OR($N844="",$C844=""),"⚠ Falta valor ou tipo",""))))</f>
        <v/>
      </c>
      <c r="U844" s="40">
        <f>IF($A844="",0,P844*12+O844)</f>
        <v>0</v>
      </c>
      <c r="V844" s="40">
        <f>IF($A844="",0,U844+MAX(0,N($I844)-MAX(N($H844),1)))</f>
        <v>0</v>
      </c>
      <c r="W844" s="40">
        <f>IF(S844="",0,YEAR(S844)*12+MONTH(S844))</f>
        <v>0</v>
      </c>
      <c r="X844" s="40">
        <f>IF(W844=0,0,W844+V844-U844)</f>
        <v>0</v>
      </c>
      <c r="Y844" s="36">
        <f>IF(W844=0,0,N(R844)*MAX(0,X844-MAX(W844,YEAR(Cfg_Hoje)*12+MONTH(Cfg_Hoje)+IF(DAY(Cfg_Hoje)&gt;=INDEX(Cartoes_Fech,MATCH($F844,Cartoes_Nome,0)),1,0))+1))</f>
        <v>0</v>
      </c>
      <c r="Z844" s="40">
        <f>IF($A844="",0,DAY($A844))</f>
        <v>0</v>
      </c>
      <c r="AA844" s="40">
        <f>IF($A844="",0,WEEKDAY($A844))</f>
        <v>0</v>
      </c>
      <c r="AB844" s="36">
        <f>IF(AND($C844="Despesa",U844&gt;0,U844&lt;=Sel_Idx,V844&gt;=Sel_Idx),N(R844)+ROW()/1000000000,0)</f>
        <v>0</v>
      </c>
      <c r="AC844" s="40">
        <f>IF(AND($C844="Despesa",U844&gt;0,U844&lt;=Sel_Idx,V844&gt;=Sel_Idx),Z844*10000+ROW(),0)</f>
        <v>0</v>
      </c>
      <c r="AD844" s="40">
        <f>IF(AC844=0,0,COUNTIFS(L_CalChave,"&gt;0",L_CalChave,"&lt;"&amp;AC844)+1)</f>
        <v>0</v>
      </c>
    </row>
    <row r="845">
      <c r="A845" s="38" t="n"/>
      <c r="B845" s="39" t="n"/>
      <c r="C845" s="34" t="n"/>
      <c r="D845" s="34" t="n"/>
      <c r="E845" s="34" t="n"/>
      <c r="F845" s="34" t="n"/>
      <c r="G845" s="34" t="n"/>
      <c r="H845" s="37" t="n"/>
      <c r="I845" s="37" t="n"/>
      <c r="J845" s="34" t="n"/>
      <c r="K845" s="34" t="n"/>
      <c r="L845" s="34" t="n"/>
      <c r="M845" s="39" t="n"/>
      <c r="N845" s="35" t="n"/>
      <c r="O845" s="40" t="str">
        <f>IF($A845="","",MONTH($A845))</f>
        <v/>
      </c>
      <c r="P845" s="40" t="str">
        <f>IF($A845="","",YEAR($A845))</f>
        <v/>
      </c>
      <c r="Q845" s="41" t="str">
        <f>IF($A845="","",DATE(P845,O845,1))</f>
        <v/>
      </c>
      <c r="R845" s="36" t="str">
        <f>IF(OR($A845="",$N845=""),"",IF(AND($C845&lt;&gt;"Transferência",N($I845)&gt;1),$N845/$I845,$N845))</f>
        <v/>
      </c>
      <c r="S845" s="41" t="str">
        <f>IF(OR($A845="",$F845="",$C845&lt;&gt;"Despesa"),"",IF(COUNTIF(Cartoes_Nome,$F845)=0,"",DATE(P845,O845+IF(DAY($A845)&gt;=INDEX(Cartoes_Fech,MATCH($F845,Cartoes_Nome,0)),1,0),1)))</f>
        <v/>
      </c>
      <c r="T845" s="42" t="str">
        <f>IF($A845="","",IF(COUNTIFS(L_Data,$A845,L_Desc,$B845,L_Valor,$N845,L_Tipo,$C845)&gt;1,"⚠ Possível duplicidade",IF(OR(AND($C845="Despesa",COUNTIF(CatD_Nome,$D845)=0),AND($C845="Receita",COUNTIF(CatR_Nome,$D845)=0)),"⚠ Categoria não combina com o tipo",IF(OR($N845="",$C845=""),"⚠ Falta valor ou tipo",""))))</f>
        <v/>
      </c>
      <c r="U845" s="40">
        <f>IF($A845="",0,P845*12+O845)</f>
        <v>0</v>
      </c>
      <c r="V845" s="40">
        <f>IF($A845="",0,U845+MAX(0,N($I845)-MAX(N($H845),1)))</f>
        <v>0</v>
      </c>
      <c r="W845" s="40">
        <f>IF(S845="",0,YEAR(S845)*12+MONTH(S845))</f>
        <v>0</v>
      </c>
      <c r="X845" s="40">
        <f>IF(W845=0,0,W845+V845-U845)</f>
        <v>0</v>
      </c>
      <c r="Y845" s="36">
        <f>IF(W845=0,0,N(R845)*MAX(0,X845-MAX(W845,YEAR(Cfg_Hoje)*12+MONTH(Cfg_Hoje)+IF(DAY(Cfg_Hoje)&gt;=INDEX(Cartoes_Fech,MATCH($F845,Cartoes_Nome,0)),1,0))+1))</f>
        <v>0</v>
      </c>
      <c r="Z845" s="40">
        <f>IF($A845="",0,DAY($A845))</f>
        <v>0</v>
      </c>
      <c r="AA845" s="40">
        <f>IF($A845="",0,WEEKDAY($A845))</f>
        <v>0</v>
      </c>
      <c r="AB845" s="36">
        <f>IF(AND($C845="Despesa",U845&gt;0,U845&lt;=Sel_Idx,V845&gt;=Sel_Idx),N(R845)+ROW()/1000000000,0)</f>
        <v>0</v>
      </c>
      <c r="AC845" s="40">
        <f>IF(AND($C845="Despesa",U845&gt;0,U845&lt;=Sel_Idx,V845&gt;=Sel_Idx),Z845*10000+ROW(),0)</f>
        <v>0</v>
      </c>
      <c r="AD845" s="40">
        <f>IF(AC845=0,0,COUNTIFS(L_CalChave,"&gt;0",L_CalChave,"&lt;"&amp;AC845)+1)</f>
        <v>0</v>
      </c>
    </row>
    <row r="846">
      <c r="A846" s="38" t="n"/>
      <c r="B846" s="39" t="n"/>
      <c r="C846" s="34" t="n"/>
      <c r="D846" s="34" t="n"/>
      <c r="E846" s="34" t="n"/>
      <c r="F846" s="34" t="n"/>
      <c r="G846" s="34" t="n"/>
      <c r="H846" s="37" t="n"/>
      <c r="I846" s="37" t="n"/>
      <c r="J846" s="34" t="n"/>
      <c r="K846" s="34" t="n"/>
      <c r="L846" s="34" t="n"/>
      <c r="M846" s="39" t="n"/>
      <c r="N846" s="35" t="n"/>
      <c r="O846" s="40" t="str">
        <f>IF($A846="","",MONTH($A846))</f>
        <v/>
      </c>
      <c r="P846" s="40" t="str">
        <f>IF($A846="","",YEAR($A846))</f>
        <v/>
      </c>
      <c r="Q846" s="41" t="str">
        <f>IF($A846="","",DATE(P846,O846,1))</f>
        <v/>
      </c>
      <c r="R846" s="36" t="str">
        <f>IF(OR($A846="",$N846=""),"",IF(AND($C846&lt;&gt;"Transferência",N($I846)&gt;1),$N846/$I846,$N846))</f>
        <v/>
      </c>
      <c r="S846" s="41" t="str">
        <f>IF(OR($A846="",$F846="",$C846&lt;&gt;"Despesa"),"",IF(COUNTIF(Cartoes_Nome,$F846)=0,"",DATE(P846,O846+IF(DAY($A846)&gt;=INDEX(Cartoes_Fech,MATCH($F846,Cartoes_Nome,0)),1,0),1)))</f>
        <v/>
      </c>
      <c r="T846" s="42" t="str">
        <f>IF($A846="","",IF(COUNTIFS(L_Data,$A846,L_Desc,$B846,L_Valor,$N846,L_Tipo,$C846)&gt;1,"⚠ Possível duplicidade",IF(OR(AND($C846="Despesa",COUNTIF(CatD_Nome,$D846)=0),AND($C846="Receita",COUNTIF(CatR_Nome,$D846)=0)),"⚠ Categoria não combina com o tipo",IF(OR($N846="",$C846=""),"⚠ Falta valor ou tipo",""))))</f>
        <v/>
      </c>
      <c r="U846" s="40">
        <f>IF($A846="",0,P846*12+O846)</f>
        <v>0</v>
      </c>
      <c r="V846" s="40">
        <f>IF($A846="",0,U846+MAX(0,N($I846)-MAX(N($H846),1)))</f>
        <v>0</v>
      </c>
      <c r="W846" s="40">
        <f>IF(S846="",0,YEAR(S846)*12+MONTH(S846))</f>
        <v>0</v>
      </c>
      <c r="X846" s="40">
        <f>IF(W846=0,0,W846+V846-U846)</f>
        <v>0</v>
      </c>
      <c r="Y846" s="36">
        <f>IF(W846=0,0,N(R846)*MAX(0,X846-MAX(W846,YEAR(Cfg_Hoje)*12+MONTH(Cfg_Hoje)+IF(DAY(Cfg_Hoje)&gt;=INDEX(Cartoes_Fech,MATCH($F846,Cartoes_Nome,0)),1,0))+1))</f>
        <v>0</v>
      </c>
      <c r="Z846" s="40">
        <f>IF($A846="",0,DAY($A846))</f>
        <v>0</v>
      </c>
      <c r="AA846" s="40">
        <f>IF($A846="",0,WEEKDAY($A846))</f>
        <v>0</v>
      </c>
      <c r="AB846" s="36">
        <f>IF(AND($C846="Despesa",U846&gt;0,U846&lt;=Sel_Idx,V846&gt;=Sel_Idx),N(R846)+ROW()/1000000000,0)</f>
        <v>0</v>
      </c>
      <c r="AC846" s="40">
        <f>IF(AND($C846="Despesa",U846&gt;0,U846&lt;=Sel_Idx,V846&gt;=Sel_Idx),Z846*10000+ROW(),0)</f>
        <v>0</v>
      </c>
      <c r="AD846" s="40">
        <f>IF(AC846=0,0,COUNTIFS(L_CalChave,"&gt;0",L_CalChave,"&lt;"&amp;AC846)+1)</f>
        <v>0</v>
      </c>
    </row>
    <row r="847">
      <c r="A847" s="38" t="n"/>
      <c r="B847" s="39" t="n"/>
      <c r="C847" s="34" t="n"/>
      <c r="D847" s="34" t="n"/>
      <c r="E847" s="34" t="n"/>
      <c r="F847" s="34" t="n"/>
      <c r="G847" s="34" t="n"/>
      <c r="H847" s="37" t="n"/>
      <c r="I847" s="37" t="n"/>
      <c r="J847" s="34" t="n"/>
      <c r="K847" s="34" t="n"/>
      <c r="L847" s="34" t="n"/>
      <c r="M847" s="39" t="n"/>
      <c r="N847" s="35" t="n"/>
      <c r="O847" s="40" t="str">
        <f>IF($A847="","",MONTH($A847))</f>
        <v/>
      </c>
      <c r="P847" s="40" t="str">
        <f>IF($A847="","",YEAR($A847))</f>
        <v/>
      </c>
      <c r="Q847" s="41" t="str">
        <f>IF($A847="","",DATE(P847,O847,1))</f>
        <v/>
      </c>
      <c r="R847" s="36" t="str">
        <f>IF(OR($A847="",$N847=""),"",IF(AND($C847&lt;&gt;"Transferência",N($I847)&gt;1),$N847/$I847,$N847))</f>
        <v/>
      </c>
      <c r="S847" s="41" t="str">
        <f>IF(OR($A847="",$F847="",$C847&lt;&gt;"Despesa"),"",IF(COUNTIF(Cartoes_Nome,$F847)=0,"",DATE(P847,O847+IF(DAY($A847)&gt;=INDEX(Cartoes_Fech,MATCH($F847,Cartoes_Nome,0)),1,0),1)))</f>
        <v/>
      </c>
      <c r="T847" s="42" t="str">
        <f>IF($A847="","",IF(COUNTIFS(L_Data,$A847,L_Desc,$B847,L_Valor,$N847,L_Tipo,$C847)&gt;1,"⚠ Possível duplicidade",IF(OR(AND($C847="Despesa",COUNTIF(CatD_Nome,$D847)=0),AND($C847="Receita",COUNTIF(CatR_Nome,$D847)=0)),"⚠ Categoria não combina com o tipo",IF(OR($N847="",$C847=""),"⚠ Falta valor ou tipo",""))))</f>
        <v/>
      </c>
      <c r="U847" s="40">
        <f>IF($A847="",0,P847*12+O847)</f>
        <v>0</v>
      </c>
      <c r="V847" s="40">
        <f>IF($A847="",0,U847+MAX(0,N($I847)-MAX(N($H847),1)))</f>
        <v>0</v>
      </c>
      <c r="W847" s="40">
        <f>IF(S847="",0,YEAR(S847)*12+MONTH(S847))</f>
        <v>0</v>
      </c>
      <c r="X847" s="40">
        <f>IF(W847=0,0,W847+V847-U847)</f>
        <v>0</v>
      </c>
      <c r="Y847" s="36">
        <f>IF(W847=0,0,N(R847)*MAX(0,X847-MAX(W847,YEAR(Cfg_Hoje)*12+MONTH(Cfg_Hoje)+IF(DAY(Cfg_Hoje)&gt;=INDEX(Cartoes_Fech,MATCH($F847,Cartoes_Nome,0)),1,0))+1))</f>
        <v>0</v>
      </c>
      <c r="Z847" s="40">
        <f>IF($A847="",0,DAY($A847))</f>
        <v>0</v>
      </c>
      <c r="AA847" s="40">
        <f>IF($A847="",0,WEEKDAY($A847))</f>
        <v>0</v>
      </c>
      <c r="AB847" s="36">
        <f>IF(AND($C847="Despesa",U847&gt;0,U847&lt;=Sel_Idx,V847&gt;=Sel_Idx),N(R847)+ROW()/1000000000,0)</f>
        <v>0</v>
      </c>
      <c r="AC847" s="40">
        <f>IF(AND($C847="Despesa",U847&gt;0,U847&lt;=Sel_Idx,V847&gt;=Sel_Idx),Z847*10000+ROW(),0)</f>
        <v>0</v>
      </c>
      <c r="AD847" s="40">
        <f>IF(AC847=0,0,COUNTIFS(L_CalChave,"&gt;0",L_CalChave,"&lt;"&amp;AC847)+1)</f>
        <v>0</v>
      </c>
    </row>
    <row r="848">
      <c r="A848" s="38" t="n"/>
      <c r="B848" s="39" t="n"/>
      <c r="C848" s="34" t="n"/>
      <c r="D848" s="34" t="n"/>
      <c r="E848" s="34" t="n"/>
      <c r="F848" s="34" t="n"/>
      <c r="G848" s="34" t="n"/>
      <c r="H848" s="37" t="n"/>
      <c r="I848" s="37" t="n"/>
      <c r="J848" s="34" t="n"/>
      <c r="K848" s="34" t="n"/>
      <c r="L848" s="34" t="n"/>
      <c r="M848" s="39" t="n"/>
      <c r="N848" s="35" t="n"/>
      <c r="O848" s="40" t="str">
        <f>IF($A848="","",MONTH($A848))</f>
        <v/>
      </c>
      <c r="P848" s="40" t="str">
        <f>IF($A848="","",YEAR($A848))</f>
        <v/>
      </c>
      <c r="Q848" s="41" t="str">
        <f>IF($A848="","",DATE(P848,O848,1))</f>
        <v/>
      </c>
      <c r="R848" s="36" t="str">
        <f>IF(OR($A848="",$N848=""),"",IF(AND($C848&lt;&gt;"Transferência",N($I848)&gt;1),$N848/$I848,$N848))</f>
        <v/>
      </c>
      <c r="S848" s="41" t="str">
        <f>IF(OR($A848="",$F848="",$C848&lt;&gt;"Despesa"),"",IF(COUNTIF(Cartoes_Nome,$F848)=0,"",DATE(P848,O848+IF(DAY($A848)&gt;=INDEX(Cartoes_Fech,MATCH($F848,Cartoes_Nome,0)),1,0),1)))</f>
        <v/>
      </c>
      <c r="T848" s="42" t="str">
        <f>IF($A848="","",IF(COUNTIFS(L_Data,$A848,L_Desc,$B848,L_Valor,$N848,L_Tipo,$C848)&gt;1,"⚠ Possível duplicidade",IF(OR(AND($C848="Despesa",COUNTIF(CatD_Nome,$D848)=0),AND($C848="Receita",COUNTIF(CatR_Nome,$D848)=0)),"⚠ Categoria não combina com o tipo",IF(OR($N848="",$C848=""),"⚠ Falta valor ou tipo",""))))</f>
        <v/>
      </c>
      <c r="U848" s="40">
        <f>IF($A848="",0,P848*12+O848)</f>
        <v>0</v>
      </c>
      <c r="V848" s="40">
        <f>IF($A848="",0,U848+MAX(0,N($I848)-MAX(N($H848),1)))</f>
        <v>0</v>
      </c>
      <c r="W848" s="40">
        <f>IF(S848="",0,YEAR(S848)*12+MONTH(S848))</f>
        <v>0</v>
      </c>
      <c r="X848" s="40">
        <f>IF(W848=0,0,W848+V848-U848)</f>
        <v>0</v>
      </c>
      <c r="Y848" s="36">
        <f>IF(W848=0,0,N(R848)*MAX(0,X848-MAX(W848,YEAR(Cfg_Hoje)*12+MONTH(Cfg_Hoje)+IF(DAY(Cfg_Hoje)&gt;=INDEX(Cartoes_Fech,MATCH($F848,Cartoes_Nome,0)),1,0))+1))</f>
        <v>0</v>
      </c>
      <c r="Z848" s="40">
        <f>IF($A848="",0,DAY($A848))</f>
        <v>0</v>
      </c>
      <c r="AA848" s="40">
        <f>IF($A848="",0,WEEKDAY($A848))</f>
        <v>0</v>
      </c>
      <c r="AB848" s="36">
        <f>IF(AND($C848="Despesa",U848&gt;0,U848&lt;=Sel_Idx,V848&gt;=Sel_Idx),N(R848)+ROW()/1000000000,0)</f>
        <v>0</v>
      </c>
      <c r="AC848" s="40">
        <f>IF(AND($C848="Despesa",U848&gt;0,U848&lt;=Sel_Idx,V848&gt;=Sel_Idx),Z848*10000+ROW(),0)</f>
        <v>0</v>
      </c>
      <c r="AD848" s="40">
        <f>IF(AC848=0,0,COUNTIFS(L_CalChave,"&gt;0",L_CalChave,"&lt;"&amp;AC848)+1)</f>
        <v>0</v>
      </c>
    </row>
    <row r="849">
      <c r="A849" s="38" t="n"/>
      <c r="B849" s="39" t="n"/>
      <c r="C849" s="34" t="n"/>
      <c r="D849" s="34" t="n"/>
      <c r="E849" s="34" t="n"/>
      <c r="F849" s="34" t="n"/>
      <c r="G849" s="34" t="n"/>
      <c r="H849" s="37" t="n"/>
      <c r="I849" s="37" t="n"/>
      <c r="J849" s="34" t="n"/>
      <c r="K849" s="34" t="n"/>
      <c r="L849" s="34" t="n"/>
      <c r="M849" s="39" t="n"/>
      <c r="N849" s="35" t="n"/>
      <c r="O849" s="40" t="str">
        <f>IF($A849="","",MONTH($A849))</f>
        <v/>
      </c>
      <c r="P849" s="40" t="str">
        <f>IF($A849="","",YEAR($A849))</f>
        <v/>
      </c>
      <c r="Q849" s="41" t="str">
        <f>IF($A849="","",DATE(P849,O849,1))</f>
        <v/>
      </c>
      <c r="R849" s="36" t="str">
        <f>IF(OR($A849="",$N849=""),"",IF(AND($C849&lt;&gt;"Transferência",N($I849)&gt;1),$N849/$I849,$N849))</f>
        <v/>
      </c>
      <c r="S849" s="41" t="str">
        <f>IF(OR($A849="",$F849="",$C849&lt;&gt;"Despesa"),"",IF(COUNTIF(Cartoes_Nome,$F849)=0,"",DATE(P849,O849+IF(DAY($A849)&gt;=INDEX(Cartoes_Fech,MATCH($F849,Cartoes_Nome,0)),1,0),1)))</f>
        <v/>
      </c>
      <c r="T849" s="42" t="str">
        <f>IF($A849="","",IF(COUNTIFS(L_Data,$A849,L_Desc,$B849,L_Valor,$N849,L_Tipo,$C849)&gt;1,"⚠ Possível duplicidade",IF(OR(AND($C849="Despesa",COUNTIF(CatD_Nome,$D849)=0),AND($C849="Receita",COUNTIF(CatR_Nome,$D849)=0)),"⚠ Categoria não combina com o tipo",IF(OR($N849="",$C849=""),"⚠ Falta valor ou tipo",""))))</f>
        <v/>
      </c>
      <c r="U849" s="40">
        <f>IF($A849="",0,P849*12+O849)</f>
        <v>0</v>
      </c>
      <c r="V849" s="40">
        <f>IF($A849="",0,U849+MAX(0,N($I849)-MAX(N($H849),1)))</f>
        <v>0</v>
      </c>
      <c r="W849" s="40">
        <f>IF(S849="",0,YEAR(S849)*12+MONTH(S849))</f>
        <v>0</v>
      </c>
      <c r="X849" s="40">
        <f>IF(W849=0,0,W849+V849-U849)</f>
        <v>0</v>
      </c>
      <c r="Y849" s="36">
        <f>IF(W849=0,0,N(R849)*MAX(0,X849-MAX(W849,YEAR(Cfg_Hoje)*12+MONTH(Cfg_Hoje)+IF(DAY(Cfg_Hoje)&gt;=INDEX(Cartoes_Fech,MATCH($F849,Cartoes_Nome,0)),1,0))+1))</f>
        <v>0</v>
      </c>
      <c r="Z849" s="40">
        <f>IF($A849="",0,DAY($A849))</f>
        <v>0</v>
      </c>
      <c r="AA849" s="40">
        <f>IF($A849="",0,WEEKDAY($A849))</f>
        <v>0</v>
      </c>
      <c r="AB849" s="36">
        <f>IF(AND($C849="Despesa",U849&gt;0,U849&lt;=Sel_Idx,V849&gt;=Sel_Idx),N(R849)+ROW()/1000000000,0)</f>
        <v>0</v>
      </c>
      <c r="AC849" s="40">
        <f>IF(AND($C849="Despesa",U849&gt;0,U849&lt;=Sel_Idx,V849&gt;=Sel_Idx),Z849*10000+ROW(),0)</f>
        <v>0</v>
      </c>
      <c r="AD849" s="40">
        <f>IF(AC849=0,0,COUNTIFS(L_CalChave,"&gt;0",L_CalChave,"&lt;"&amp;AC849)+1)</f>
        <v>0</v>
      </c>
    </row>
    <row r="850">
      <c r="A850" s="38" t="n"/>
      <c r="B850" s="39" t="n"/>
      <c r="C850" s="34" t="n"/>
      <c r="D850" s="34" t="n"/>
      <c r="E850" s="34" t="n"/>
      <c r="F850" s="34" t="n"/>
      <c r="G850" s="34" t="n"/>
      <c r="H850" s="37" t="n"/>
      <c r="I850" s="37" t="n"/>
      <c r="J850" s="34" t="n"/>
      <c r="K850" s="34" t="n"/>
      <c r="L850" s="34" t="n"/>
      <c r="M850" s="39" t="n"/>
      <c r="N850" s="35" t="n"/>
      <c r="O850" s="40" t="str">
        <f>IF($A850="","",MONTH($A850))</f>
        <v/>
      </c>
      <c r="P850" s="40" t="str">
        <f>IF($A850="","",YEAR($A850))</f>
        <v/>
      </c>
      <c r="Q850" s="41" t="str">
        <f>IF($A850="","",DATE(P850,O850,1))</f>
        <v/>
      </c>
      <c r="R850" s="36" t="str">
        <f>IF(OR($A850="",$N850=""),"",IF(AND($C850&lt;&gt;"Transferência",N($I850)&gt;1),$N850/$I850,$N850))</f>
        <v/>
      </c>
      <c r="S850" s="41" t="str">
        <f>IF(OR($A850="",$F850="",$C850&lt;&gt;"Despesa"),"",IF(COUNTIF(Cartoes_Nome,$F850)=0,"",DATE(P850,O850+IF(DAY($A850)&gt;=INDEX(Cartoes_Fech,MATCH($F850,Cartoes_Nome,0)),1,0),1)))</f>
        <v/>
      </c>
      <c r="T850" s="42" t="str">
        <f>IF($A850="","",IF(COUNTIFS(L_Data,$A850,L_Desc,$B850,L_Valor,$N850,L_Tipo,$C850)&gt;1,"⚠ Possível duplicidade",IF(OR(AND($C850="Despesa",COUNTIF(CatD_Nome,$D850)=0),AND($C850="Receita",COUNTIF(CatR_Nome,$D850)=0)),"⚠ Categoria não combina com o tipo",IF(OR($N850="",$C850=""),"⚠ Falta valor ou tipo",""))))</f>
        <v/>
      </c>
      <c r="U850" s="40">
        <f>IF($A850="",0,P850*12+O850)</f>
        <v>0</v>
      </c>
      <c r="V850" s="40">
        <f>IF($A850="",0,U850+MAX(0,N($I850)-MAX(N($H850),1)))</f>
        <v>0</v>
      </c>
      <c r="W850" s="40">
        <f>IF(S850="",0,YEAR(S850)*12+MONTH(S850))</f>
        <v>0</v>
      </c>
      <c r="X850" s="40">
        <f>IF(W850=0,0,W850+V850-U850)</f>
        <v>0</v>
      </c>
      <c r="Y850" s="36">
        <f>IF(W850=0,0,N(R850)*MAX(0,X850-MAX(W850,YEAR(Cfg_Hoje)*12+MONTH(Cfg_Hoje)+IF(DAY(Cfg_Hoje)&gt;=INDEX(Cartoes_Fech,MATCH($F850,Cartoes_Nome,0)),1,0))+1))</f>
        <v>0</v>
      </c>
      <c r="Z850" s="40">
        <f>IF($A850="",0,DAY($A850))</f>
        <v>0</v>
      </c>
      <c r="AA850" s="40">
        <f>IF($A850="",0,WEEKDAY($A850))</f>
        <v>0</v>
      </c>
      <c r="AB850" s="36">
        <f>IF(AND($C850="Despesa",U850&gt;0,U850&lt;=Sel_Idx,V850&gt;=Sel_Idx),N(R850)+ROW()/1000000000,0)</f>
        <v>0</v>
      </c>
      <c r="AC850" s="40">
        <f>IF(AND($C850="Despesa",U850&gt;0,U850&lt;=Sel_Idx,V850&gt;=Sel_Idx),Z850*10000+ROW(),0)</f>
        <v>0</v>
      </c>
      <c r="AD850" s="40">
        <f>IF(AC850=0,0,COUNTIFS(L_CalChave,"&gt;0",L_CalChave,"&lt;"&amp;AC850)+1)</f>
        <v>0</v>
      </c>
    </row>
    <row r="851">
      <c r="A851" s="38" t="n"/>
      <c r="B851" s="39" t="n"/>
      <c r="C851" s="34" t="n"/>
      <c r="D851" s="34" t="n"/>
      <c r="E851" s="34" t="n"/>
      <c r="F851" s="34" t="n"/>
      <c r="G851" s="34" t="n"/>
      <c r="H851" s="37" t="n"/>
      <c r="I851" s="37" t="n"/>
      <c r="J851" s="34" t="n"/>
      <c r="K851" s="34" t="n"/>
      <c r="L851" s="34" t="n"/>
      <c r="M851" s="39" t="n"/>
      <c r="N851" s="35" t="n"/>
      <c r="O851" s="40" t="str">
        <f>IF($A851="","",MONTH($A851))</f>
        <v/>
      </c>
      <c r="P851" s="40" t="str">
        <f>IF($A851="","",YEAR($A851))</f>
        <v/>
      </c>
      <c r="Q851" s="41" t="str">
        <f>IF($A851="","",DATE(P851,O851,1))</f>
        <v/>
      </c>
      <c r="R851" s="36" t="str">
        <f>IF(OR($A851="",$N851=""),"",IF(AND($C851&lt;&gt;"Transferência",N($I851)&gt;1),$N851/$I851,$N851))</f>
        <v/>
      </c>
      <c r="S851" s="41" t="str">
        <f>IF(OR($A851="",$F851="",$C851&lt;&gt;"Despesa"),"",IF(COUNTIF(Cartoes_Nome,$F851)=0,"",DATE(P851,O851+IF(DAY($A851)&gt;=INDEX(Cartoes_Fech,MATCH($F851,Cartoes_Nome,0)),1,0),1)))</f>
        <v/>
      </c>
      <c r="T851" s="42" t="str">
        <f>IF($A851="","",IF(COUNTIFS(L_Data,$A851,L_Desc,$B851,L_Valor,$N851,L_Tipo,$C851)&gt;1,"⚠ Possível duplicidade",IF(OR(AND($C851="Despesa",COUNTIF(CatD_Nome,$D851)=0),AND($C851="Receita",COUNTIF(CatR_Nome,$D851)=0)),"⚠ Categoria não combina com o tipo",IF(OR($N851="",$C851=""),"⚠ Falta valor ou tipo",""))))</f>
        <v/>
      </c>
      <c r="U851" s="40">
        <f>IF($A851="",0,P851*12+O851)</f>
        <v>0</v>
      </c>
      <c r="V851" s="40">
        <f>IF($A851="",0,U851+MAX(0,N($I851)-MAX(N($H851),1)))</f>
        <v>0</v>
      </c>
      <c r="W851" s="40">
        <f>IF(S851="",0,YEAR(S851)*12+MONTH(S851))</f>
        <v>0</v>
      </c>
      <c r="X851" s="40">
        <f>IF(W851=0,0,W851+V851-U851)</f>
        <v>0</v>
      </c>
      <c r="Y851" s="36">
        <f>IF(W851=0,0,N(R851)*MAX(0,X851-MAX(W851,YEAR(Cfg_Hoje)*12+MONTH(Cfg_Hoje)+IF(DAY(Cfg_Hoje)&gt;=INDEX(Cartoes_Fech,MATCH($F851,Cartoes_Nome,0)),1,0))+1))</f>
        <v>0</v>
      </c>
      <c r="Z851" s="40">
        <f>IF($A851="",0,DAY($A851))</f>
        <v>0</v>
      </c>
      <c r="AA851" s="40">
        <f>IF($A851="",0,WEEKDAY($A851))</f>
        <v>0</v>
      </c>
      <c r="AB851" s="36">
        <f>IF(AND($C851="Despesa",U851&gt;0,U851&lt;=Sel_Idx,V851&gt;=Sel_Idx),N(R851)+ROW()/1000000000,0)</f>
        <v>0</v>
      </c>
      <c r="AC851" s="40">
        <f>IF(AND($C851="Despesa",U851&gt;0,U851&lt;=Sel_Idx,V851&gt;=Sel_Idx),Z851*10000+ROW(),0)</f>
        <v>0</v>
      </c>
      <c r="AD851" s="40">
        <f>IF(AC851=0,0,COUNTIFS(L_CalChave,"&gt;0",L_CalChave,"&lt;"&amp;AC851)+1)</f>
        <v>0</v>
      </c>
    </row>
    <row r="852">
      <c r="A852" s="38" t="n"/>
      <c r="B852" s="39" t="n"/>
      <c r="C852" s="34" t="n"/>
      <c r="D852" s="34" t="n"/>
      <c r="E852" s="34" t="n"/>
      <c r="F852" s="34" t="n"/>
      <c r="G852" s="34" t="n"/>
      <c r="H852" s="37" t="n"/>
      <c r="I852" s="37" t="n"/>
      <c r="J852" s="34" t="n"/>
      <c r="K852" s="34" t="n"/>
      <c r="L852" s="34" t="n"/>
      <c r="M852" s="39" t="n"/>
      <c r="N852" s="35" t="n"/>
      <c r="O852" s="40" t="str">
        <f>IF($A852="","",MONTH($A852))</f>
        <v/>
      </c>
      <c r="P852" s="40" t="str">
        <f>IF($A852="","",YEAR($A852))</f>
        <v/>
      </c>
      <c r="Q852" s="41" t="str">
        <f>IF($A852="","",DATE(P852,O852,1))</f>
        <v/>
      </c>
      <c r="R852" s="36" t="str">
        <f>IF(OR($A852="",$N852=""),"",IF(AND($C852&lt;&gt;"Transferência",N($I852)&gt;1),$N852/$I852,$N852))</f>
        <v/>
      </c>
      <c r="S852" s="41" t="str">
        <f>IF(OR($A852="",$F852="",$C852&lt;&gt;"Despesa"),"",IF(COUNTIF(Cartoes_Nome,$F852)=0,"",DATE(P852,O852+IF(DAY($A852)&gt;=INDEX(Cartoes_Fech,MATCH($F852,Cartoes_Nome,0)),1,0),1)))</f>
        <v/>
      </c>
      <c r="T852" s="42" t="str">
        <f>IF($A852="","",IF(COUNTIFS(L_Data,$A852,L_Desc,$B852,L_Valor,$N852,L_Tipo,$C852)&gt;1,"⚠ Possível duplicidade",IF(OR(AND($C852="Despesa",COUNTIF(CatD_Nome,$D852)=0),AND($C852="Receita",COUNTIF(CatR_Nome,$D852)=0)),"⚠ Categoria não combina com o tipo",IF(OR($N852="",$C852=""),"⚠ Falta valor ou tipo",""))))</f>
        <v/>
      </c>
      <c r="U852" s="40">
        <f>IF($A852="",0,P852*12+O852)</f>
        <v>0</v>
      </c>
      <c r="V852" s="40">
        <f>IF($A852="",0,U852+MAX(0,N($I852)-MAX(N($H852),1)))</f>
        <v>0</v>
      </c>
      <c r="W852" s="40">
        <f>IF(S852="",0,YEAR(S852)*12+MONTH(S852))</f>
        <v>0</v>
      </c>
      <c r="X852" s="40">
        <f>IF(W852=0,0,W852+V852-U852)</f>
        <v>0</v>
      </c>
      <c r="Y852" s="36">
        <f>IF(W852=0,0,N(R852)*MAX(0,X852-MAX(W852,YEAR(Cfg_Hoje)*12+MONTH(Cfg_Hoje)+IF(DAY(Cfg_Hoje)&gt;=INDEX(Cartoes_Fech,MATCH($F852,Cartoes_Nome,0)),1,0))+1))</f>
        <v>0</v>
      </c>
      <c r="Z852" s="40">
        <f>IF($A852="",0,DAY($A852))</f>
        <v>0</v>
      </c>
      <c r="AA852" s="40">
        <f>IF($A852="",0,WEEKDAY($A852))</f>
        <v>0</v>
      </c>
      <c r="AB852" s="36">
        <f>IF(AND($C852="Despesa",U852&gt;0,U852&lt;=Sel_Idx,V852&gt;=Sel_Idx),N(R852)+ROW()/1000000000,0)</f>
        <v>0</v>
      </c>
      <c r="AC852" s="40">
        <f>IF(AND($C852="Despesa",U852&gt;0,U852&lt;=Sel_Idx,V852&gt;=Sel_Idx),Z852*10000+ROW(),0)</f>
        <v>0</v>
      </c>
      <c r="AD852" s="40">
        <f>IF(AC852=0,0,COUNTIFS(L_CalChave,"&gt;0",L_CalChave,"&lt;"&amp;AC852)+1)</f>
        <v>0</v>
      </c>
    </row>
    <row r="853">
      <c r="A853" s="38" t="n"/>
      <c r="B853" s="39" t="n"/>
      <c r="C853" s="34" t="n"/>
      <c r="D853" s="34" t="n"/>
      <c r="E853" s="34" t="n"/>
      <c r="F853" s="34" t="n"/>
      <c r="G853" s="34" t="n"/>
      <c r="H853" s="37" t="n"/>
      <c r="I853" s="37" t="n"/>
      <c r="J853" s="34" t="n"/>
      <c r="K853" s="34" t="n"/>
      <c r="L853" s="34" t="n"/>
      <c r="M853" s="39" t="n"/>
      <c r="N853" s="35" t="n"/>
      <c r="O853" s="40" t="str">
        <f>IF($A853="","",MONTH($A853))</f>
        <v/>
      </c>
      <c r="P853" s="40" t="str">
        <f>IF($A853="","",YEAR($A853))</f>
        <v/>
      </c>
      <c r="Q853" s="41" t="str">
        <f>IF($A853="","",DATE(P853,O853,1))</f>
        <v/>
      </c>
      <c r="R853" s="36" t="str">
        <f>IF(OR($A853="",$N853=""),"",IF(AND($C853&lt;&gt;"Transferência",N($I853)&gt;1),$N853/$I853,$N853))</f>
        <v/>
      </c>
      <c r="S853" s="41" t="str">
        <f>IF(OR($A853="",$F853="",$C853&lt;&gt;"Despesa"),"",IF(COUNTIF(Cartoes_Nome,$F853)=0,"",DATE(P853,O853+IF(DAY($A853)&gt;=INDEX(Cartoes_Fech,MATCH($F853,Cartoes_Nome,0)),1,0),1)))</f>
        <v/>
      </c>
      <c r="T853" s="42" t="str">
        <f>IF($A853="","",IF(COUNTIFS(L_Data,$A853,L_Desc,$B853,L_Valor,$N853,L_Tipo,$C853)&gt;1,"⚠ Possível duplicidade",IF(OR(AND($C853="Despesa",COUNTIF(CatD_Nome,$D853)=0),AND($C853="Receita",COUNTIF(CatR_Nome,$D853)=0)),"⚠ Categoria não combina com o tipo",IF(OR($N853="",$C853=""),"⚠ Falta valor ou tipo",""))))</f>
        <v/>
      </c>
      <c r="U853" s="40">
        <f>IF($A853="",0,P853*12+O853)</f>
        <v>0</v>
      </c>
      <c r="V853" s="40">
        <f>IF($A853="",0,U853+MAX(0,N($I853)-MAX(N($H853),1)))</f>
        <v>0</v>
      </c>
      <c r="W853" s="40">
        <f>IF(S853="",0,YEAR(S853)*12+MONTH(S853))</f>
        <v>0</v>
      </c>
      <c r="X853" s="40">
        <f>IF(W853=0,0,W853+V853-U853)</f>
        <v>0</v>
      </c>
      <c r="Y853" s="36">
        <f>IF(W853=0,0,N(R853)*MAX(0,X853-MAX(W853,YEAR(Cfg_Hoje)*12+MONTH(Cfg_Hoje)+IF(DAY(Cfg_Hoje)&gt;=INDEX(Cartoes_Fech,MATCH($F853,Cartoes_Nome,0)),1,0))+1))</f>
        <v>0</v>
      </c>
      <c r="Z853" s="40">
        <f>IF($A853="",0,DAY($A853))</f>
        <v>0</v>
      </c>
      <c r="AA853" s="40">
        <f>IF($A853="",0,WEEKDAY($A853))</f>
        <v>0</v>
      </c>
      <c r="AB853" s="36">
        <f>IF(AND($C853="Despesa",U853&gt;0,U853&lt;=Sel_Idx,V853&gt;=Sel_Idx),N(R853)+ROW()/1000000000,0)</f>
        <v>0</v>
      </c>
      <c r="AC853" s="40">
        <f>IF(AND($C853="Despesa",U853&gt;0,U853&lt;=Sel_Idx,V853&gt;=Sel_Idx),Z853*10000+ROW(),0)</f>
        <v>0</v>
      </c>
      <c r="AD853" s="40">
        <f>IF(AC853=0,0,COUNTIFS(L_CalChave,"&gt;0",L_CalChave,"&lt;"&amp;AC853)+1)</f>
        <v>0</v>
      </c>
    </row>
    <row r="854">
      <c r="A854" s="38" t="n"/>
      <c r="B854" s="39" t="n"/>
      <c r="C854" s="34" t="n"/>
      <c r="D854" s="34" t="n"/>
      <c r="E854" s="34" t="n"/>
      <c r="F854" s="34" t="n"/>
      <c r="G854" s="34" t="n"/>
      <c r="H854" s="37" t="n"/>
      <c r="I854" s="37" t="n"/>
      <c r="J854" s="34" t="n"/>
      <c r="K854" s="34" t="n"/>
      <c r="L854" s="34" t="n"/>
      <c r="M854" s="39" t="n"/>
      <c r="N854" s="35" t="n"/>
      <c r="O854" s="40" t="str">
        <f>IF($A854="","",MONTH($A854))</f>
        <v/>
      </c>
      <c r="P854" s="40" t="str">
        <f>IF($A854="","",YEAR($A854))</f>
        <v/>
      </c>
      <c r="Q854" s="41" t="str">
        <f>IF($A854="","",DATE(P854,O854,1))</f>
        <v/>
      </c>
      <c r="R854" s="36" t="str">
        <f>IF(OR($A854="",$N854=""),"",IF(AND($C854&lt;&gt;"Transferência",N($I854)&gt;1),$N854/$I854,$N854))</f>
        <v/>
      </c>
      <c r="S854" s="41" t="str">
        <f>IF(OR($A854="",$F854="",$C854&lt;&gt;"Despesa"),"",IF(COUNTIF(Cartoes_Nome,$F854)=0,"",DATE(P854,O854+IF(DAY($A854)&gt;=INDEX(Cartoes_Fech,MATCH($F854,Cartoes_Nome,0)),1,0),1)))</f>
        <v/>
      </c>
      <c r="T854" s="42" t="str">
        <f>IF($A854="","",IF(COUNTIFS(L_Data,$A854,L_Desc,$B854,L_Valor,$N854,L_Tipo,$C854)&gt;1,"⚠ Possível duplicidade",IF(OR(AND($C854="Despesa",COUNTIF(CatD_Nome,$D854)=0),AND($C854="Receita",COUNTIF(CatR_Nome,$D854)=0)),"⚠ Categoria não combina com o tipo",IF(OR($N854="",$C854=""),"⚠ Falta valor ou tipo",""))))</f>
        <v/>
      </c>
      <c r="U854" s="40">
        <f>IF($A854="",0,P854*12+O854)</f>
        <v>0</v>
      </c>
      <c r="V854" s="40">
        <f>IF($A854="",0,U854+MAX(0,N($I854)-MAX(N($H854),1)))</f>
        <v>0</v>
      </c>
      <c r="W854" s="40">
        <f>IF(S854="",0,YEAR(S854)*12+MONTH(S854))</f>
        <v>0</v>
      </c>
      <c r="X854" s="40">
        <f>IF(W854=0,0,W854+V854-U854)</f>
        <v>0</v>
      </c>
      <c r="Y854" s="36">
        <f>IF(W854=0,0,N(R854)*MAX(0,X854-MAX(W854,YEAR(Cfg_Hoje)*12+MONTH(Cfg_Hoje)+IF(DAY(Cfg_Hoje)&gt;=INDEX(Cartoes_Fech,MATCH($F854,Cartoes_Nome,0)),1,0))+1))</f>
        <v>0</v>
      </c>
      <c r="Z854" s="40">
        <f>IF($A854="",0,DAY($A854))</f>
        <v>0</v>
      </c>
      <c r="AA854" s="40">
        <f>IF($A854="",0,WEEKDAY($A854))</f>
        <v>0</v>
      </c>
      <c r="AB854" s="36">
        <f>IF(AND($C854="Despesa",U854&gt;0,U854&lt;=Sel_Idx,V854&gt;=Sel_Idx),N(R854)+ROW()/1000000000,0)</f>
        <v>0</v>
      </c>
      <c r="AC854" s="40">
        <f>IF(AND($C854="Despesa",U854&gt;0,U854&lt;=Sel_Idx,V854&gt;=Sel_Idx),Z854*10000+ROW(),0)</f>
        <v>0</v>
      </c>
      <c r="AD854" s="40">
        <f>IF(AC854=0,0,COUNTIFS(L_CalChave,"&gt;0",L_CalChave,"&lt;"&amp;AC854)+1)</f>
        <v>0</v>
      </c>
    </row>
    <row r="855">
      <c r="A855" s="38" t="n"/>
      <c r="B855" s="39" t="n"/>
      <c r="C855" s="34" t="n"/>
      <c r="D855" s="34" t="n"/>
      <c r="E855" s="34" t="n"/>
      <c r="F855" s="34" t="n"/>
      <c r="G855" s="34" t="n"/>
      <c r="H855" s="37" t="n"/>
      <c r="I855" s="37" t="n"/>
      <c r="J855" s="34" t="n"/>
      <c r="K855" s="34" t="n"/>
      <c r="L855" s="34" t="n"/>
      <c r="M855" s="39" t="n"/>
      <c r="N855" s="35" t="n"/>
      <c r="O855" s="40" t="str">
        <f>IF($A855="","",MONTH($A855))</f>
        <v/>
      </c>
      <c r="P855" s="40" t="str">
        <f>IF($A855="","",YEAR($A855))</f>
        <v/>
      </c>
      <c r="Q855" s="41" t="str">
        <f>IF($A855="","",DATE(P855,O855,1))</f>
        <v/>
      </c>
      <c r="R855" s="36" t="str">
        <f>IF(OR($A855="",$N855=""),"",IF(AND($C855&lt;&gt;"Transferência",N($I855)&gt;1),$N855/$I855,$N855))</f>
        <v/>
      </c>
      <c r="S855" s="41" t="str">
        <f>IF(OR($A855="",$F855="",$C855&lt;&gt;"Despesa"),"",IF(COUNTIF(Cartoes_Nome,$F855)=0,"",DATE(P855,O855+IF(DAY($A855)&gt;=INDEX(Cartoes_Fech,MATCH($F855,Cartoes_Nome,0)),1,0),1)))</f>
        <v/>
      </c>
      <c r="T855" s="42" t="str">
        <f>IF($A855="","",IF(COUNTIFS(L_Data,$A855,L_Desc,$B855,L_Valor,$N855,L_Tipo,$C855)&gt;1,"⚠ Possível duplicidade",IF(OR(AND($C855="Despesa",COUNTIF(CatD_Nome,$D855)=0),AND($C855="Receita",COUNTIF(CatR_Nome,$D855)=0)),"⚠ Categoria não combina com o tipo",IF(OR($N855="",$C855=""),"⚠ Falta valor ou tipo",""))))</f>
        <v/>
      </c>
      <c r="U855" s="40">
        <f>IF($A855="",0,P855*12+O855)</f>
        <v>0</v>
      </c>
      <c r="V855" s="40">
        <f>IF($A855="",0,U855+MAX(0,N($I855)-MAX(N($H855),1)))</f>
        <v>0</v>
      </c>
      <c r="W855" s="40">
        <f>IF(S855="",0,YEAR(S855)*12+MONTH(S855))</f>
        <v>0</v>
      </c>
      <c r="X855" s="40">
        <f>IF(W855=0,0,W855+V855-U855)</f>
        <v>0</v>
      </c>
      <c r="Y855" s="36">
        <f>IF(W855=0,0,N(R855)*MAX(0,X855-MAX(W855,YEAR(Cfg_Hoje)*12+MONTH(Cfg_Hoje)+IF(DAY(Cfg_Hoje)&gt;=INDEX(Cartoes_Fech,MATCH($F855,Cartoes_Nome,0)),1,0))+1))</f>
        <v>0</v>
      </c>
      <c r="Z855" s="40">
        <f>IF($A855="",0,DAY($A855))</f>
        <v>0</v>
      </c>
      <c r="AA855" s="40">
        <f>IF($A855="",0,WEEKDAY($A855))</f>
        <v>0</v>
      </c>
      <c r="AB855" s="36">
        <f>IF(AND($C855="Despesa",U855&gt;0,U855&lt;=Sel_Idx,V855&gt;=Sel_Idx),N(R855)+ROW()/1000000000,0)</f>
        <v>0</v>
      </c>
      <c r="AC855" s="40">
        <f>IF(AND($C855="Despesa",U855&gt;0,U855&lt;=Sel_Idx,V855&gt;=Sel_Idx),Z855*10000+ROW(),0)</f>
        <v>0</v>
      </c>
      <c r="AD855" s="40">
        <f>IF(AC855=0,0,COUNTIFS(L_CalChave,"&gt;0",L_CalChave,"&lt;"&amp;AC855)+1)</f>
        <v>0</v>
      </c>
    </row>
    <row r="856">
      <c r="A856" s="38" t="n"/>
      <c r="B856" s="39" t="n"/>
      <c r="C856" s="34" t="n"/>
      <c r="D856" s="34" t="n"/>
      <c r="E856" s="34" t="n"/>
      <c r="F856" s="34" t="n"/>
      <c r="G856" s="34" t="n"/>
      <c r="H856" s="37" t="n"/>
      <c r="I856" s="37" t="n"/>
      <c r="J856" s="34" t="n"/>
      <c r="K856" s="34" t="n"/>
      <c r="L856" s="34" t="n"/>
      <c r="M856" s="39" t="n"/>
      <c r="N856" s="35" t="n"/>
      <c r="O856" s="40" t="str">
        <f>IF($A856="","",MONTH($A856))</f>
        <v/>
      </c>
      <c r="P856" s="40" t="str">
        <f>IF($A856="","",YEAR($A856))</f>
        <v/>
      </c>
      <c r="Q856" s="41" t="str">
        <f>IF($A856="","",DATE(P856,O856,1))</f>
        <v/>
      </c>
      <c r="R856" s="36" t="str">
        <f>IF(OR($A856="",$N856=""),"",IF(AND($C856&lt;&gt;"Transferência",N($I856)&gt;1),$N856/$I856,$N856))</f>
        <v/>
      </c>
      <c r="S856" s="41" t="str">
        <f>IF(OR($A856="",$F856="",$C856&lt;&gt;"Despesa"),"",IF(COUNTIF(Cartoes_Nome,$F856)=0,"",DATE(P856,O856+IF(DAY($A856)&gt;=INDEX(Cartoes_Fech,MATCH($F856,Cartoes_Nome,0)),1,0),1)))</f>
        <v/>
      </c>
      <c r="T856" s="42" t="str">
        <f>IF($A856="","",IF(COUNTIFS(L_Data,$A856,L_Desc,$B856,L_Valor,$N856,L_Tipo,$C856)&gt;1,"⚠ Possível duplicidade",IF(OR(AND($C856="Despesa",COUNTIF(CatD_Nome,$D856)=0),AND($C856="Receita",COUNTIF(CatR_Nome,$D856)=0)),"⚠ Categoria não combina com o tipo",IF(OR($N856="",$C856=""),"⚠ Falta valor ou tipo",""))))</f>
        <v/>
      </c>
      <c r="U856" s="40">
        <f>IF($A856="",0,P856*12+O856)</f>
        <v>0</v>
      </c>
      <c r="V856" s="40">
        <f>IF($A856="",0,U856+MAX(0,N($I856)-MAX(N($H856),1)))</f>
        <v>0</v>
      </c>
      <c r="W856" s="40">
        <f>IF(S856="",0,YEAR(S856)*12+MONTH(S856))</f>
        <v>0</v>
      </c>
      <c r="X856" s="40">
        <f>IF(W856=0,0,W856+V856-U856)</f>
        <v>0</v>
      </c>
      <c r="Y856" s="36">
        <f>IF(W856=0,0,N(R856)*MAX(0,X856-MAX(W856,YEAR(Cfg_Hoje)*12+MONTH(Cfg_Hoje)+IF(DAY(Cfg_Hoje)&gt;=INDEX(Cartoes_Fech,MATCH($F856,Cartoes_Nome,0)),1,0))+1))</f>
        <v>0</v>
      </c>
      <c r="Z856" s="40">
        <f>IF($A856="",0,DAY($A856))</f>
        <v>0</v>
      </c>
      <c r="AA856" s="40">
        <f>IF($A856="",0,WEEKDAY($A856))</f>
        <v>0</v>
      </c>
      <c r="AB856" s="36">
        <f>IF(AND($C856="Despesa",U856&gt;0,U856&lt;=Sel_Idx,V856&gt;=Sel_Idx),N(R856)+ROW()/1000000000,0)</f>
        <v>0</v>
      </c>
      <c r="AC856" s="40">
        <f>IF(AND($C856="Despesa",U856&gt;0,U856&lt;=Sel_Idx,V856&gt;=Sel_Idx),Z856*10000+ROW(),0)</f>
        <v>0</v>
      </c>
      <c r="AD856" s="40">
        <f>IF(AC856=0,0,COUNTIFS(L_CalChave,"&gt;0",L_CalChave,"&lt;"&amp;AC856)+1)</f>
        <v>0</v>
      </c>
    </row>
    <row r="857">
      <c r="A857" s="38" t="n"/>
      <c r="B857" s="39" t="n"/>
      <c r="C857" s="34" t="n"/>
      <c r="D857" s="34" t="n"/>
      <c r="E857" s="34" t="n"/>
      <c r="F857" s="34" t="n"/>
      <c r="G857" s="34" t="n"/>
      <c r="H857" s="37" t="n"/>
      <c r="I857" s="37" t="n"/>
      <c r="J857" s="34" t="n"/>
      <c r="K857" s="34" t="n"/>
      <c r="L857" s="34" t="n"/>
      <c r="M857" s="39" t="n"/>
      <c r="N857" s="35" t="n"/>
      <c r="O857" s="40" t="str">
        <f>IF($A857="","",MONTH($A857))</f>
        <v/>
      </c>
      <c r="P857" s="40" t="str">
        <f>IF($A857="","",YEAR($A857))</f>
        <v/>
      </c>
      <c r="Q857" s="41" t="str">
        <f>IF($A857="","",DATE(P857,O857,1))</f>
        <v/>
      </c>
      <c r="R857" s="36" t="str">
        <f>IF(OR($A857="",$N857=""),"",IF(AND($C857&lt;&gt;"Transferência",N($I857)&gt;1),$N857/$I857,$N857))</f>
        <v/>
      </c>
      <c r="S857" s="41" t="str">
        <f>IF(OR($A857="",$F857="",$C857&lt;&gt;"Despesa"),"",IF(COUNTIF(Cartoes_Nome,$F857)=0,"",DATE(P857,O857+IF(DAY($A857)&gt;=INDEX(Cartoes_Fech,MATCH($F857,Cartoes_Nome,0)),1,0),1)))</f>
        <v/>
      </c>
      <c r="T857" s="42" t="str">
        <f>IF($A857="","",IF(COUNTIFS(L_Data,$A857,L_Desc,$B857,L_Valor,$N857,L_Tipo,$C857)&gt;1,"⚠ Possível duplicidade",IF(OR(AND($C857="Despesa",COUNTIF(CatD_Nome,$D857)=0),AND($C857="Receita",COUNTIF(CatR_Nome,$D857)=0)),"⚠ Categoria não combina com o tipo",IF(OR($N857="",$C857=""),"⚠ Falta valor ou tipo",""))))</f>
        <v/>
      </c>
      <c r="U857" s="40">
        <f>IF($A857="",0,P857*12+O857)</f>
        <v>0</v>
      </c>
      <c r="V857" s="40">
        <f>IF($A857="",0,U857+MAX(0,N($I857)-MAX(N($H857),1)))</f>
        <v>0</v>
      </c>
      <c r="W857" s="40">
        <f>IF(S857="",0,YEAR(S857)*12+MONTH(S857))</f>
        <v>0</v>
      </c>
      <c r="X857" s="40">
        <f>IF(W857=0,0,W857+V857-U857)</f>
        <v>0</v>
      </c>
      <c r="Y857" s="36">
        <f>IF(W857=0,0,N(R857)*MAX(0,X857-MAX(W857,YEAR(Cfg_Hoje)*12+MONTH(Cfg_Hoje)+IF(DAY(Cfg_Hoje)&gt;=INDEX(Cartoes_Fech,MATCH($F857,Cartoes_Nome,0)),1,0))+1))</f>
        <v>0</v>
      </c>
      <c r="Z857" s="40">
        <f>IF($A857="",0,DAY($A857))</f>
        <v>0</v>
      </c>
      <c r="AA857" s="40">
        <f>IF($A857="",0,WEEKDAY($A857))</f>
        <v>0</v>
      </c>
      <c r="AB857" s="36">
        <f>IF(AND($C857="Despesa",U857&gt;0,U857&lt;=Sel_Idx,V857&gt;=Sel_Idx),N(R857)+ROW()/1000000000,0)</f>
        <v>0</v>
      </c>
      <c r="AC857" s="40">
        <f>IF(AND($C857="Despesa",U857&gt;0,U857&lt;=Sel_Idx,V857&gt;=Sel_Idx),Z857*10000+ROW(),0)</f>
        <v>0</v>
      </c>
      <c r="AD857" s="40">
        <f>IF(AC857=0,0,COUNTIFS(L_CalChave,"&gt;0",L_CalChave,"&lt;"&amp;AC857)+1)</f>
        <v>0</v>
      </c>
    </row>
    <row r="858">
      <c r="A858" s="38" t="n"/>
      <c r="B858" s="39" t="n"/>
      <c r="C858" s="34" t="n"/>
      <c r="D858" s="34" t="n"/>
      <c r="E858" s="34" t="n"/>
      <c r="F858" s="34" t="n"/>
      <c r="G858" s="34" t="n"/>
      <c r="H858" s="37" t="n"/>
      <c r="I858" s="37" t="n"/>
      <c r="J858" s="34" t="n"/>
      <c r="K858" s="34" t="n"/>
      <c r="L858" s="34" t="n"/>
      <c r="M858" s="39" t="n"/>
      <c r="N858" s="35" t="n"/>
      <c r="O858" s="40" t="str">
        <f>IF($A858="","",MONTH($A858))</f>
        <v/>
      </c>
      <c r="P858" s="40" t="str">
        <f>IF($A858="","",YEAR($A858))</f>
        <v/>
      </c>
      <c r="Q858" s="41" t="str">
        <f>IF($A858="","",DATE(P858,O858,1))</f>
        <v/>
      </c>
      <c r="R858" s="36" t="str">
        <f>IF(OR($A858="",$N858=""),"",IF(AND($C858&lt;&gt;"Transferência",N($I858)&gt;1),$N858/$I858,$N858))</f>
        <v/>
      </c>
      <c r="S858" s="41" t="str">
        <f>IF(OR($A858="",$F858="",$C858&lt;&gt;"Despesa"),"",IF(COUNTIF(Cartoes_Nome,$F858)=0,"",DATE(P858,O858+IF(DAY($A858)&gt;=INDEX(Cartoes_Fech,MATCH($F858,Cartoes_Nome,0)),1,0),1)))</f>
        <v/>
      </c>
      <c r="T858" s="42" t="str">
        <f>IF($A858="","",IF(COUNTIFS(L_Data,$A858,L_Desc,$B858,L_Valor,$N858,L_Tipo,$C858)&gt;1,"⚠ Possível duplicidade",IF(OR(AND($C858="Despesa",COUNTIF(CatD_Nome,$D858)=0),AND($C858="Receita",COUNTIF(CatR_Nome,$D858)=0)),"⚠ Categoria não combina com o tipo",IF(OR($N858="",$C858=""),"⚠ Falta valor ou tipo",""))))</f>
        <v/>
      </c>
      <c r="U858" s="40">
        <f>IF($A858="",0,P858*12+O858)</f>
        <v>0</v>
      </c>
      <c r="V858" s="40">
        <f>IF($A858="",0,U858+MAX(0,N($I858)-MAX(N($H858),1)))</f>
        <v>0</v>
      </c>
      <c r="W858" s="40">
        <f>IF(S858="",0,YEAR(S858)*12+MONTH(S858))</f>
        <v>0</v>
      </c>
      <c r="X858" s="40">
        <f>IF(W858=0,0,W858+V858-U858)</f>
        <v>0</v>
      </c>
      <c r="Y858" s="36">
        <f>IF(W858=0,0,N(R858)*MAX(0,X858-MAX(W858,YEAR(Cfg_Hoje)*12+MONTH(Cfg_Hoje)+IF(DAY(Cfg_Hoje)&gt;=INDEX(Cartoes_Fech,MATCH($F858,Cartoes_Nome,0)),1,0))+1))</f>
        <v>0</v>
      </c>
      <c r="Z858" s="40">
        <f>IF($A858="",0,DAY($A858))</f>
        <v>0</v>
      </c>
      <c r="AA858" s="40">
        <f>IF($A858="",0,WEEKDAY($A858))</f>
        <v>0</v>
      </c>
      <c r="AB858" s="36">
        <f>IF(AND($C858="Despesa",U858&gt;0,U858&lt;=Sel_Idx,V858&gt;=Sel_Idx),N(R858)+ROW()/1000000000,0)</f>
        <v>0</v>
      </c>
      <c r="AC858" s="40">
        <f>IF(AND($C858="Despesa",U858&gt;0,U858&lt;=Sel_Idx,V858&gt;=Sel_Idx),Z858*10000+ROW(),0)</f>
        <v>0</v>
      </c>
      <c r="AD858" s="40">
        <f>IF(AC858=0,0,COUNTIFS(L_CalChave,"&gt;0",L_CalChave,"&lt;"&amp;AC858)+1)</f>
        <v>0</v>
      </c>
    </row>
    <row r="859">
      <c r="A859" s="38" t="n"/>
      <c r="B859" s="39" t="n"/>
      <c r="C859" s="34" t="n"/>
      <c r="D859" s="34" t="n"/>
      <c r="E859" s="34" t="n"/>
      <c r="F859" s="34" t="n"/>
      <c r="G859" s="34" t="n"/>
      <c r="H859" s="37" t="n"/>
      <c r="I859" s="37" t="n"/>
      <c r="J859" s="34" t="n"/>
      <c r="K859" s="34" t="n"/>
      <c r="L859" s="34" t="n"/>
      <c r="M859" s="39" t="n"/>
      <c r="N859" s="35" t="n"/>
      <c r="O859" s="40" t="str">
        <f>IF($A859="","",MONTH($A859))</f>
        <v/>
      </c>
      <c r="P859" s="40" t="str">
        <f>IF($A859="","",YEAR($A859))</f>
        <v/>
      </c>
      <c r="Q859" s="41" t="str">
        <f>IF($A859="","",DATE(P859,O859,1))</f>
        <v/>
      </c>
      <c r="R859" s="36" t="str">
        <f>IF(OR($A859="",$N859=""),"",IF(AND($C859&lt;&gt;"Transferência",N($I859)&gt;1),$N859/$I859,$N859))</f>
        <v/>
      </c>
      <c r="S859" s="41" t="str">
        <f>IF(OR($A859="",$F859="",$C859&lt;&gt;"Despesa"),"",IF(COUNTIF(Cartoes_Nome,$F859)=0,"",DATE(P859,O859+IF(DAY($A859)&gt;=INDEX(Cartoes_Fech,MATCH($F859,Cartoes_Nome,0)),1,0),1)))</f>
        <v/>
      </c>
      <c r="T859" s="42" t="str">
        <f>IF($A859="","",IF(COUNTIFS(L_Data,$A859,L_Desc,$B859,L_Valor,$N859,L_Tipo,$C859)&gt;1,"⚠ Possível duplicidade",IF(OR(AND($C859="Despesa",COUNTIF(CatD_Nome,$D859)=0),AND($C859="Receita",COUNTIF(CatR_Nome,$D859)=0)),"⚠ Categoria não combina com o tipo",IF(OR($N859="",$C859=""),"⚠ Falta valor ou tipo",""))))</f>
        <v/>
      </c>
      <c r="U859" s="40">
        <f>IF($A859="",0,P859*12+O859)</f>
        <v>0</v>
      </c>
      <c r="V859" s="40">
        <f>IF($A859="",0,U859+MAX(0,N($I859)-MAX(N($H859),1)))</f>
        <v>0</v>
      </c>
      <c r="W859" s="40">
        <f>IF(S859="",0,YEAR(S859)*12+MONTH(S859))</f>
        <v>0</v>
      </c>
      <c r="X859" s="40">
        <f>IF(W859=0,0,W859+V859-U859)</f>
        <v>0</v>
      </c>
      <c r="Y859" s="36">
        <f>IF(W859=0,0,N(R859)*MAX(0,X859-MAX(W859,YEAR(Cfg_Hoje)*12+MONTH(Cfg_Hoje)+IF(DAY(Cfg_Hoje)&gt;=INDEX(Cartoes_Fech,MATCH($F859,Cartoes_Nome,0)),1,0))+1))</f>
        <v>0</v>
      </c>
      <c r="Z859" s="40">
        <f>IF($A859="",0,DAY($A859))</f>
        <v>0</v>
      </c>
      <c r="AA859" s="40">
        <f>IF($A859="",0,WEEKDAY($A859))</f>
        <v>0</v>
      </c>
      <c r="AB859" s="36">
        <f>IF(AND($C859="Despesa",U859&gt;0,U859&lt;=Sel_Idx,V859&gt;=Sel_Idx),N(R859)+ROW()/1000000000,0)</f>
        <v>0</v>
      </c>
      <c r="AC859" s="40">
        <f>IF(AND($C859="Despesa",U859&gt;0,U859&lt;=Sel_Idx,V859&gt;=Sel_Idx),Z859*10000+ROW(),0)</f>
        <v>0</v>
      </c>
      <c r="AD859" s="40">
        <f>IF(AC859=0,0,COUNTIFS(L_CalChave,"&gt;0",L_CalChave,"&lt;"&amp;AC859)+1)</f>
        <v>0</v>
      </c>
    </row>
    <row r="860">
      <c r="A860" s="38" t="n"/>
      <c r="B860" s="39" t="n"/>
      <c r="C860" s="34" t="n"/>
      <c r="D860" s="34" t="n"/>
      <c r="E860" s="34" t="n"/>
      <c r="F860" s="34" t="n"/>
      <c r="G860" s="34" t="n"/>
      <c r="H860" s="37" t="n"/>
      <c r="I860" s="37" t="n"/>
      <c r="J860" s="34" t="n"/>
      <c r="K860" s="34" t="n"/>
      <c r="L860" s="34" t="n"/>
      <c r="M860" s="39" t="n"/>
      <c r="N860" s="35" t="n"/>
      <c r="O860" s="40" t="str">
        <f>IF($A860="","",MONTH($A860))</f>
        <v/>
      </c>
      <c r="P860" s="40" t="str">
        <f>IF($A860="","",YEAR($A860))</f>
        <v/>
      </c>
      <c r="Q860" s="41" t="str">
        <f>IF($A860="","",DATE(P860,O860,1))</f>
        <v/>
      </c>
      <c r="R860" s="36" t="str">
        <f>IF(OR($A860="",$N860=""),"",IF(AND($C860&lt;&gt;"Transferência",N($I860)&gt;1),$N860/$I860,$N860))</f>
        <v/>
      </c>
      <c r="S860" s="41" t="str">
        <f>IF(OR($A860="",$F860="",$C860&lt;&gt;"Despesa"),"",IF(COUNTIF(Cartoes_Nome,$F860)=0,"",DATE(P860,O860+IF(DAY($A860)&gt;=INDEX(Cartoes_Fech,MATCH($F860,Cartoes_Nome,0)),1,0),1)))</f>
        <v/>
      </c>
      <c r="T860" s="42" t="str">
        <f>IF($A860="","",IF(COUNTIFS(L_Data,$A860,L_Desc,$B860,L_Valor,$N860,L_Tipo,$C860)&gt;1,"⚠ Possível duplicidade",IF(OR(AND($C860="Despesa",COUNTIF(CatD_Nome,$D860)=0),AND($C860="Receita",COUNTIF(CatR_Nome,$D860)=0)),"⚠ Categoria não combina com o tipo",IF(OR($N860="",$C860=""),"⚠ Falta valor ou tipo",""))))</f>
        <v/>
      </c>
      <c r="U860" s="40">
        <f>IF($A860="",0,P860*12+O860)</f>
        <v>0</v>
      </c>
      <c r="V860" s="40">
        <f>IF($A860="",0,U860+MAX(0,N($I860)-MAX(N($H860),1)))</f>
        <v>0</v>
      </c>
      <c r="W860" s="40">
        <f>IF(S860="",0,YEAR(S860)*12+MONTH(S860))</f>
        <v>0</v>
      </c>
      <c r="X860" s="40">
        <f>IF(W860=0,0,W860+V860-U860)</f>
        <v>0</v>
      </c>
      <c r="Y860" s="36">
        <f>IF(W860=0,0,N(R860)*MAX(0,X860-MAX(W860,YEAR(Cfg_Hoje)*12+MONTH(Cfg_Hoje)+IF(DAY(Cfg_Hoje)&gt;=INDEX(Cartoes_Fech,MATCH($F860,Cartoes_Nome,0)),1,0))+1))</f>
        <v>0</v>
      </c>
      <c r="Z860" s="40">
        <f>IF($A860="",0,DAY($A860))</f>
        <v>0</v>
      </c>
      <c r="AA860" s="40">
        <f>IF($A860="",0,WEEKDAY($A860))</f>
        <v>0</v>
      </c>
      <c r="AB860" s="36">
        <f>IF(AND($C860="Despesa",U860&gt;0,U860&lt;=Sel_Idx,V860&gt;=Sel_Idx),N(R860)+ROW()/1000000000,0)</f>
        <v>0</v>
      </c>
      <c r="AC860" s="40">
        <f>IF(AND($C860="Despesa",U860&gt;0,U860&lt;=Sel_Idx,V860&gt;=Sel_Idx),Z860*10000+ROW(),0)</f>
        <v>0</v>
      </c>
      <c r="AD860" s="40">
        <f>IF(AC860=0,0,COUNTIFS(L_CalChave,"&gt;0",L_CalChave,"&lt;"&amp;AC860)+1)</f>
        <v>0</v>
      </c>
    </row>
    <row r="861">
      <c r="A861" s="38" t="n"/>
      <c r="B861" s="39" t="n"/>
      <c r="C861" s="34" t="n"/>
      <c r="D861" s="34" t="n"/>
      <c r="E861" s="34" t="n"/>
      <c r="F861" s="34" t="n"/>
      <c r="G861" s="34" t="n"/>
      <c r="H861" s="37" t="n"/>
      <c r="I861" s="37" t="n"/>
      <c r="J861" s="34" t="n"/>
      <c r="K861" s="34" t="n"/>
      <c r="L861" s="34" t="n"/>
      <c r="M861" s="39" t="n"/>
      <c r="N861" s="35" t="n"/>
      <c r="O861" s="40" t="str">
        <f>IF($A861="","",MONTH($A861))</f>
        <v/>
      </c>
      <c r="P861" s="40" t="str">
        <f>IF($A861="","",YEAR($A861))</f>
        <v/>
      </c>
      <c r="Q861" s="41" t="str">
        <f>IF($A861="","",DATE(P861,O861,1))</f>
        <v/>
      </c>
      <c r="R861" s="36" t="str">
        <f>IF(OR($A861="",$N861=""),"",IF(AND($C861&lt;&gt;"Transferência",N($I861)&gt;1),$N861/$I861,$N861))</f>
        <v/>
      </c>
      <c r="S861" s="41" t="str">
        <f>IF(OR($A861="",$F861="",$C861&lt;&gt;"Despesa"),"",IF(COUNTIF(Cartoes_Nome,$F861)=0,"",DATE(P861,O861+IF(DAY($A861)&gt;=INDEX(Cartoes_Fech,MATCH($F861,Cartoes_Nome,0)),1,0),1)))</f>
        <v/>
      </c>
      <c r="T861" s="42" t="str">
        <f>IF($A861="","",IF(COUNTIFS(L_Data,$A861,L_Desc,$B861,L_Valor,$N861,L_Tipo,$C861)&gt;1,"⚠ Possível duplicidade",IF(OR(AND($C861="Despesa",COUNTIF(CatD_Nome,$D861)=0),AND($C861="Receita",COUNTIF(CatR_Nome,$D861)=0)),"⚠ Categoria não combina com o tipo",IF(OR($N861="",$C861=""),"⚠ Falta valor ou tipo",""))))</f>
        <v/>
      </c>
      <c r="U861" s="40">
        <f>IF($A861="",0,P861*12+O861)</f>
        <v>0</v>
      </c>
      <c r="V861" s="40">
        <f>IF($A861="",0,U861+MAX(0,N($I861)-MAX(N($H861),1)))</f>
        <v>0</v>
      </c>
      <c r="W861" s="40">
        <f>IF(S861="",0,YEAR(S861)*12+MONTH(S861))</f>
        <v>0</v>
      </c>
      <c r="X861" s="40">
        <f>IF(W861=0,0,W861+V861-U861)</f>
        <v>0</v>
      </c>
      <c r="Y861" s="36">
        <f>IF(W861=0,0,N(R861)*MAX(0,X861-MAX(W861,YEAR(Cfg_Hoje)*12+MONTH(Cfg_Hoje)+IF(DAY(Cfg_Hoje)&gt;=INDEX(Cartoes_Fech,MATCH($F861,Cartoes_Nome,0)),1,0))+1))</f>
        <v>0</v>
      </c>
      <c r="Z861" s="40">
        <f>IF($A861="",0,DAY($A861))</f>
        <v>0</v>
      </c>
      <c r="AA861" s="40">
        <f>IF($A861="",0,WEEKDAY($A861))</f>
        <v>0</v>
      </c>
      <c r="AB861" s="36">
        <f>IF(AND($C861="Despesa",U861&gt;0,U861&lt;=Sel_Idx,V861&gt;=Sel_Idx),N(R861)+ROW()/1000000000,0)</f>
        <v>0</v>
      </c>
      <c r="AC861" s="40">
        <f>IF(AND($C861="Despesa",U861&gt;0,U861&lt;=Sel_Idx,V861&gt;=Sel_Idx),Z861*10000+ROW(),0)</f>
        <v>0</v>
      </c>
      <c r="AD861" s="40">
        <f>IF(AC861=0,0,COUNTIFS(L_CalChave,"&gt;0",L_CalChave,"&lt;"&amp;AC861)+1)</f>
        <v>0</v>
      </c>
    </row>
    <row r="862">
      <c r="A862" s="38" t="n"/>
      <c r="B862" s="39" t="n"/>
      <c r="C862" s="34" t="n"/>
      <c r="D862" s="34" t="n"/>
      <c r="E862" s="34" t="n"/>
      <c r="F862" s="34" t="n"/>
      <c r="G862" s="34" t="n"/>
      <c r="H862" s="37" t="n"/>
      <c r="I862" s="37" t="n"/>
      <c r="J862" s="34" t="n"/>
      <c r="K862" s="34" t="n"/>
      <c r="L862" s="34" t="n"/>
      <c r="M862" s="39" t="n"/>
      <c r="N862" s="35" t="n"/>
      <c r="O862" s="40" t="str">
        <f>IF($A862="","",MONTH($A862))</f>
        <v/>
      </c>
      <c r="P862" s="40" t="str">
        <f>IF($A862="","",YEAR($A862))</f>
        <v/>
      </c>
      <c r="Q862" s="41" t="str">
        <f>IF($A862="","",DATE(P862,O862,1))</f>
        <v/>
      </c>
      <c r="R862" s="36" t="str">
        <f>IF(OR($A862="",$N862=""),"",IF(AND($C862&lt;&gt;"Transferência",N($I862)&gt;1),$N862/$I862,$N862))</f>
        <v/>
      </c>
      <c r="S862" s="41" t="str">
        <f>IF(OR($A862="",$F862="",$C862&lt;&gt;"Despesa"),"",IF(COUNTIF(Cartoes_Nome,$F862)=0,"",DATE(P862,O862+IF(DAY($A862)&gt;=INDEX(Cartoes_Fech,MATCH($F862,Cartoes_Nome,0)),1,0),1)))</f>
        <v/>
      </c>
      <c r="T862" s="42" t="str">
        <f>IF($A862="","",IF(COUNTIFS(L_Data,$A862,L_Desc,$B862,L_Valor,$N862,L_Tipo,$C862)&gt;1,"⚠ Possível duplicidade",IF(OR(AND($C862="Despesa",COUNTIF(CatD_Nome,$D862)=0),AND($C862="Receita",COUNTIF(CatR_Nome,$D862)=0)),"⚠ Categoria não combina com o tipo",IF(OR($N862="",$C862=""),"⚠ Falta valor ou tipo",""))))</f>
        <v/>
      </c>
      <c r="U862" s="40">
        <f>IF($A862="",0,P862*12+O862)</f>
        <v>0</v>
      </c>
      <c r="V862" s="40">
        <f>IF($A862="",0,U862+MAX(0,N($I862)-MAX(N($H862),1)))</f>
        <v>0</v>
      </c>
      <c r="W862" s="40">
        <f>IF(S862="",0,YEAR(S862)*12+MONTH(S862))</f>
        <v>0</v>
      </c>
      <c r="X862" s="40">
        <f>IF(W862=0,0,W862+V862-U862)</f>
        <v>0</v>
      </c>
      <c r="Y862" s="36">
        <f>IF(W862=0,0,N(R862)*MAX(0,X862-MAX(W862,YEAR(Cfg_Hoje)*12+MONTH(Cfg_Hoje)+IF(DAY(Cfg_Hoje)&gt;=INDEX(Cartoes_Fech,MATCH($F862,Cartoes_Nome,0)),1,0))+1))</f>
        <v>0</v>
      </c>
      <c r="Z862" s="40">
        <f>IF($A862="",0,DAY($A862))</f>
        <v>0</v>
      </c>
      <c r="AA862" s="40">
        <f>IF($A862="",0,WEEKDAY($A862))</f>
        <v>0</v>
      </c>
      <c r="AB862" s="36">
        <f>IF(AND($C862="Despesa",U862&gt;0,U862&lt;=Sel_Idx,V862&gt;=Sel_Idx),N(R862)+ROW()/1000000000,0)</f>
        <v>0</v>
      </c>
      <c r="AC862" s="40">
        <f>IF(AND($C862="Despesa",U862&gt;0,U862&lt;=Sel_Idx,V862&gt;=Sel_Idx),Z862*10000+ROW(),0)</f>
        <v>0</v>
      </c>
      <c r="AD862" s="40">
        <f>IF(AC862=0,0,COUNTIFS(L_CalChave,"&gt;0",L_CalChave,"&lt;"&amp;AC862)+1)</f>
        <v>0</v>
      </c>
    </row>
    <row r="863">
      <c r="A863" s="38" t="n"/>
      <c r="B863" s="39" t="n"/>
      <c r="C863" s="34" t="n"/>
      <c r="D863" s="34" t="n"/>
      <c r="E863" s="34" t="n"/>
      <c r="F863" s="34" t="n"/>
      <c r="G863" s="34" t="n"/>
      <c r="H863" s="37" t="n"/>
      <c r="I863" s="37" t="n"/>
      <c r="J863" s="34" t="n"/>
      <c r="K863" s="34" t="n"/>
      <c r="L863" s="34" t="n"/>
      <c r="M863" s="39" t="n"/>
      <c r="N863" s="35" t="n"/>
      <c r="O863" s="40" t="str">
        <f>IF($A863="","",MONTH($A863))</f>
        <v/>
      </c>
      <c r="P863" s="40" t="str">
        <f>IF($A863="","",YEAR($A863))</f>
        <v/>
      </c>
      <c r="Q863" s="41" t="str">
        <f>IF($A863="","",DATE(P863,O863,1))</f>
        <v/>
      </c>
      <c r="R863" s="36" t="str">
        <f>IF(OR($A863="",$N863=""),"",IF(AND($C863&lt;&gt;"Transferência",N($I863)&gt;1),$N863/$I863,$N863))</f>
        <v/>
      </c>
      <c r="S863" s="41" t="str">
        <f>IF(OR($A863="",$F863="",$C863&lt;&gt;"Despesa"),"",IF(COUNTIF(Cartoes_Nome,$F863)=0,"",DATE(P863,O863+IF(DAY($A863)&gt;=INDEX(Cartoes_Fech,MATCH($F863,Cartoes_Nome,0)),1,0),1)))</f>
        <v/>
      </c>
      <c r="T863" s="42" t="str">
        <f>IF($A863="","",IF(COUNTIFS(L_Data,$A863,L_Desc,$B863,L_Valor,$N863,L_Tipo,$C863)&gt;1,"⚠ Possível duplicidade",IF(OR(AND($C863="Despesa",COUNTIF(CatD_Nome,$D863)=0),AND($C863="Receita",COUNTIF(CatR_Nome,$D863)=0)),"⚠ Categoria não combina com o tipo",IF(OR($N863="",$C863=""),"⚠ Falta valor ou tipo",""))))</f>
        <v/>
      </c>
      <c r="U863" s="40">
        <f>IF($A863="",0,P863*12+O863)</f>
        <v>0</v>
      </c>
      <c r="V863" s="40">
        <f>IF($A863="",0,U863+MAX(0,N($I863)-MAX(N($H863),1)))</f>
        <v>0</v>
      </c>
      <c r="W863" s="40">
        <f>IF(S863="",0,YEAR(S863)*12+MONTH(S863))</f>
        <v>0</v>
      </c>
      <c r="X863" s="40">
        <f>IF(W863=0,0,W863+V863-U863)</f>
        <v>0</v>
      </c>
      <c r="Y863" s="36">
        <f>IF(W863=0,0,N(R863)*MAX(0,X863-MAX(W863,YEAR(Cfg_Hoje)*12+MONTH(Cfg_Hoje)+IF(DAY(Cfg_Hoje)&gt;=INDEX(Cartoes_Fech,MATCH($F863,Cartoes_Nome,0)),1,0))+1))</f>
        <v>0</v>
      </c>
      <c r="Z863" s="40">
        <f>IF($A863="",0,DAY($A863))</f>
        <v>0</v>
      </c>
      <c r="AA863" s="40">
        <f>IF($A863="",0,WEEKDAY($A863))</f>
        <v>0</v>
      </c>
      <c r="AB863" s="36">
        <f>IF(AND($C863="Despesa",U863&gt;0,U863&lt;=Sel_Idx,V863&gt;=Sel_Idx),N(R863)+ROW()/1000000000,0)</f>
        <v>0</v>
      </c>
      <c r="AC863" s="40">
        <f>IF(AND($C863="Despesa",U863&gt;0,U863&lt;=Sel_Idx,V863&gt;=Sel_Idx),Z863*10000+ROW(),0)</f>
        <v>0</v>
      </c>
      <c r="AD863" s="40">
        <f>IF(AC863=0,0,COUNTIFS(L_CalChave,"&gt;0",L_CalChave,"&lt;"&amp;AC863)+1)</f>
        <v>0</v>
      </c>
    </row>
    <row r="864">
      <c r="A864" s="38" t="n"/>
      <c r="B864" s="39" t="n"/>
      <c r="C864" s="34" t="n"/>
      <c r="D864" s="34" t="n"/>
      <c r="E864" s="34" t="n"/>
      <c r="F864" s="34" t="n"/>
      <c r="G864" s="34" t="n"/>
      <c r="H864" s="37" t="n"/>
      <c r="I864" s="37" t="n"/>
      <c r="J864" s="34" t="n"/>
      <c r="K864" s="34" t="n"/>
      <c r="L864" s="34" t="n"/>
      <c r="M864" s="39" t="n"/>
      <c r="N864" s="35" t="n"/>
      <c r="O864" s="40" t="str">
        <f>IF($A864="","",MONTH($A864))</f>
        <v/>
      </c>
      <c r="P864" s="40" t="str">
        <f>IF($A864="","",YEAR($A864))</f>
        <v/>
      </c>
      <c r="Q864" s="41" t="str">
        <f>IF($A864="","",DATE(P864,O864,1))</f>
        <v/>
      </c>
      <c r="R864" s="36" t="str">
        <f>IF(OR($A864="",$N864=""),"",IF(AND($C864&lt;&gt;"Transferência",N($I864)&gt;1),$N864/$I864,$N864))</f>
        <v/>
      </c>
      <c r="S864" s="41" t="str">
        <f>IF(OR($A864="",$F864="",$C864&lt;&gt;"Despesa"),"",IF(COUNTIF(Cartoes_Nome,$F864)=0,"",DATE(P864,O864+IF(DAY($A864)&gt;=INDEX(Cartoes_Fech,MATCH($F864,Cartoes_Nome,0)),1,0),1)))</f>
        <v/>
      </c>
      <c r="T864" s="42" t="str">
        <f>IF($A864="","",IF(COUNTIFS(L_Data,$A864,L_Desc,$B864,L_Valor,$N864,L_Tipo,$C864)&gt;1,"⚠ Possível duplicidade",IF(OR(AND($C864="Despesa",COUNTIF(CatD_Nome,$D864)=0),AND($C864="Receita",COUNTIF(CatR_Nome,$D864)=0)),"⚠ Categoria não combina com o tipo",IF(OR($N864="",$C864=""),"⚠ Falta valor ou tipo",""))))</f>
        <v/>
      </c>
      <c r="U864" s="40">
        <f>IF($A864="",0,P864*12+O864)</f>
        <v>0</v>
      </c>
      <c r="V864" s="40">
        <f>IF($A864="",0,U864+MAX(0,N($I864)-MAX(N($H864),1)))</f>
        <v>0</v>
      </c>
      <c r="W864" s="40">
        <f>IF(S864="",0,YEAR(S864)*12+MONTH(S864))</f>
        <v>0</v>
      </c>
      <c r="X864" s="40">
        <f>IF(W864=0,0,W864+V864-U864)</f>
        <v>0</v>
      </c>
      <c r="Y864" s="36">
        <f>IF(W864=0,0,N(R864)*MAX(0,X864-MAX(W864,YEAR(Cfg_Hoje)*12+MONTH(Cfg_Hoje)+IF(DAY(Cfg_Hoje)&gt;=INDEX(Cartoes_Fech,MATCH($F864,Cartoes_Nome,0)),1,0))+1))</f>
        <v>0</v>
      </c>
      <c r="Z864" s="40">
        <f>IF($A864="",0,DAY($A864))</f>
        <v>0</v>
      </c>
      <c r="AA864" s="40">
        <f>IF($A864="",0,WEEKDAY($A864))</f>
        <v>0</v>
      </c>
      <c r="AB864" s="36">
        <f>IF(AND($C864="Despesa",U864&gt;0,U864&lt;=Sel_Idx,V864&gt;=Sel_Idx),N(R864)+ROW()/1000000000,0)</f>
        <v>0</v>
      </c>
      <c r="AC864" s="40">
        <f>IF(AND($C864="Despesa",U864&gt;0,U864&lt;=Sel_Idx,V864&gt;=Sel_Idx),Z864*10000+ROW(),0)</f>
        <v>0</v>
      </c>
      <c r="AD864" s="40">
        <f>IF(AC864=0,0,COUNTIFS(L_CalChave,"&gt;0",L_CalChave,"&lt;"&amp;AC864)+1)</f>
        <v>0</v>
      </c>
    </row>
    <row r="865">
      <c r="A865" s="38" t="n"/>
      <c r="B865" s="39" t="n"/>
      <c r="C865" s="34" t="n"/>
      <c r="D865" s="34" t="n"/>
      <c r="E865" s="34" t="n"/>
      <c r="F865" s="34" t="n"/>
      <c r="G865" s="34" t="n"/>
      <c r="H865" s="37" t="n"/>
      <c r="I865" s="37" t="n"/>
      <c r="J865" s="34" t="n"/>
      <c r="K865" s="34" t="n"/>
      <c r="L865" s="34" t="n"/>
      <c r="M865" s="39" t="n"/>
      <c r="N865" s="35" t="n"/>
      <c r="O865" s="40" t="str">
        <f>IF($A865="","",MONTH($A865))</f>
        <v/>
      </c>
      <c r="P865" s="40" t="str">
        <f>IF($A865="","",YEAR($A865))</f>
        <v/>
      </c>
      <c r="Q865" s="41" t="str">
        <f>IF($A865="","",DATE(P865,O865,1))</f>
        <v/>
      </c>
      <c r="R865" s="36" t="str">
        <f>IF(OR($A865="",$N865=""),"",IF(AND($C865&lt;&gt;"Transferência",N($I865)&gt;1),$N865/$I865,$N865))</f>
        <v/>
      </c>
      <c r="S865" s="41" t="str">
        <f>IF(OR($A865="",$F865="",$C865&lt;&gt;"Despesa"),"",IF(COUNTIF(Cartoes_Nome,$F865)=0,"",DATE(P865,O865+IF(DAY($A865)&gt;=INDEX(Cartoes_Fech,MATCH($F865,Cartoes_Nome,0)),1,0),1)))</f>
        <v/>
      </c>
      <c r="T865" s="42" t="str">
        <f>IF($A865="","",IF(COUNTIFS(L_Data,$A865,L_Desc,$B865,L_Valor,$N865,L_Tipo,$C865)&gt;1,"⚠ Possível duplicidade",IF(OR(AND($C865="Despesa",COUNTIF(CatD_Nome,$D865)=0),AND($C865="Receita",COUNTIF(CatR_Nome,$D865)=0)),"⚠ Categoria não combina com o tipo",IF(OR($N865="",$C865=""),"⚠ Falta valor ou tipo",""))))</f>
        <v/>
      </c>
      <c r="U865" s="40">
        <f>IF($A865="",0,P865*12+O865)</f>
        <v>0</v>
      </c>
      <c r="V865" s="40">
        <f>IF($A865="",0,U865+MAX(0,N($I865)-MAX(N($H865),1)))</f>
        <v>0</v>
      </c>
      <c r="W865" s="40">
        <f>IF(S865="",0,YEAR(S865)*12+MONTH(S865))</f>
        <v>0</v>
      </c>
      <c r="X865" s="40">
        <f>IF(W865=0,0,W865+V865-U865)</f>
        <v>0</v>
      </c>
      <c r="Y865" s="36">
        <f>IF(W865=0,0,N(R865)*MAX(0,X865-MAX(W865,YEAR(Cfg_Hoje)*12+MONTH(Cfg_Hoje)+IF(DAY(Cfg_Hoje)&gt;=INDEX(Cartoes_Fech,MATCH($F865,Cartoes_Nome,0)),1,0))+1))</f>
        <v>0</v>
      </c>
      <c r="Z865" s="40">
        <f>IF($A865="",0,DAY($A865))</f>
        <v>0</v>
      </c>
      <c r="AA865" s="40">
        <f>IF($A865="",0,WEEKDAY($A865))</f>
        <v>0</v>
      </c>
      <c r="AB865" s="36">
        <f>IF(AND($C865="Despesa",U865&gt;0,U865&lt;=Sel_Idx,V865&gt;=Sel_Idx),N(R865)+ROW()/1000000000,0)</f>
        <v>0</v>
      </c>
      <c r="AC865" s="40">
        <f>IF(AND($C865="Despesa",U865&gt;0,U865&lt;=Sel_Idx,V865&gt;=Sel_Idx),Z865*10000+ROW(),0)</f>
        <v>0</v>
      </c>
      <c r="AD865" s="40">
        <f>IF(AC865=0,0,COUNTIFS(L_CalChave,"&gt;0",L_CalChave,"&lt;"&amp;AC865)+1)</f>
        <v>0</v>
      </c>
    </row>
    <row r="866">
      <c r="A866" s="38" t="n"/>
      <c r="B866" s="39" t="n"/>
      <c r="C866" s="34" t="n"/>
      <c r="D866" s="34" t="n"/>
      <c r="E866" s="34" t="n"/>
      <c r="F866" s="34" t="n"/>
      <c r="G866" s="34" t="n"/>
      <c r="H866" s="37" t="n"/>
      <c r="I866" s="37" t="n"/>
      <c r="J866" s="34" t="n"/>
      <c r="K866" s="34" t="n"/>
      <c r="L866" s="34" t="n"/>
      <c r="M866" s="39" t="n"/>
      <c r="N866" s="35" t="n"/>
      <c r="O866" s="40" t="str">
        <f>IF($A866="","",MONTH($A866))</f>
        <v/>
      </c>
      <c r="P866" s="40" t="str">
        <f>IF($A866="","",YEAR($A866))</f>
        <v/>
      </c>
      <c r="Q866" s="41" t="str">
        <f>IF($A866="","",DATE(P866,O866,1))</f>
        <v/>
      </c>
      <c r="R866" s="36" t="str">
        <f>IF(OR($A866="",$N866=""),"",IF(AND($C866&lt;&gt;"Transferência",N($I866)&gt;1),$N866/$I866,$N866))</f>
        <v/>
      </c>
      <c r="S866" s="41" t="str">
        <f>IF(OR($A866="",$F866="",$C866&lt;&gt;"Despesa"),"",IF(COUNTIF(Cartoes_Nome,$F866)=0,"",DATE(P866,O866+IF(DAY($A866)&gt;=INDEX(Cartoes_Fech,MATCH($F866,Cartoes_Nome,0)),1,0),1)))</f>
        <v/>
      </c>
      <c r="T866" s="42" t="str">
        <f>IF($A866="","",IF(COUNTIFS(L_Data,$A866,L_Desc,$B866,L_Valor,$N866,L_Tipo,$C866)&gt;1,"⚠ Possível duplicidade",IF(OR(AND($C866="Despesa",COUNTIF(CatD_Nome,$D866)=0),AND($C866="Receita",COUNTIF(CatR_Nome,$D866)=0)),"⚠ Categoria não combina com o tipo",IF(OR($N866="",$C866=""),"⚠ Falta valor ou tipo",""))))</f>
        <v/>
      </c>
      <c r="U866" s="40">
        <f>IF($A866="",0,P866*12+O866)</f>
        <v>0</v>
      </c>
      <c r="V866" s="40">
        <f>IF($A866="",0,U866+MAX(0,N($I866)-MAX(N($H866),1)))</f>
        <v>0</v>
      </c>
      <c r="W866" s="40">
        <f>IF(S866="",0,YEAR(S866)*12+MONTH(S866))</f>
        <v>0</v>
      </c>
      <c r="X866" s="40">
        <f>IF(W866=0,0,W866+V866-U866)</f>
        <v>0</v>
      </c>
      <c r="Y866" s="36">
        <f>IF(W866=0,0,N(R866)*MAX(0,X866-MAX(W866,YEAR(Cfg_Hoje)*12+MONTH(Cfg_Hoje)+IF(DAY(Cfg_Hoje)&gt;=INDEX(Cartoes_Fech,MATCH($F866,Cartoes_Nome,0)),1,0))+1))</f>
        <v>0</v>
      </c>
      <c r="Z866" s="40">
        <f>IF($A866="",0,DAY($A866))</f>
        <v>0</v>
      </c>
      <c r="AA866" s="40">
        <f>IF($A866="",0,WEEKDAY($A866))</f>
        <v>0</v>
      </c>
      <c r="AB866" s="36">
        <f>IF(AND($C866="Despesa",U866&gt;0,U866&lt;=Sel_Idx,V866&gt;=Sel_Idx),N(R866)+ROW()/1000000000,0)</f>
        <v>0</v>
      </c>
      <c r="AC866" s="40">
        <f>IF(AND($C866="Despesa",U866&gt;0,U866&lt;=Sel_Idx,V866&gt;=Sel_Idx),Z866*10000+ROW(),0)</f>
        <v>0</v>
      </c>
      <c r="AD866" s="40">
        <f>IF(AC866=0,0,COUNTIFS(L_CalChave,"&gt;0",L_CalChave,"&lt;"&amp;AC866)+1)</f>
        <v>0</v>
      </c>
    </row>
    <row r="867">
      <c r="A867" s="38" t="n"/>
      <c r="B867" s="39" t="n"/>
      <c r="C867" s="34" t="n"/>
      <c r="D867" s="34" t="n"/>
      <c r="E867" s="34" t="n"/>
      <c r="F867" s="34" t="n"/>
      <c r="G867" s="34" t="n"/>
      <c r="H867" s="37" t="n"/>
      <c r="I867" s="37" t="n"/>
      <c r="J867" s="34" t="n"/>
      <c r="K867" s="34" t="n"/>
      <c r="L867" s="34" t="n"/>
      <c r="M867" s="39" t="n"/>
      <c r="N867" s="35" t="n"/>
      <c r="O867" s="40" t="str">
        <f>IF($A867="","",MONTH($A867))</f>
        <v/>
      </c>
      <c r="P867" s="40" t="str">
        <f>IF($A867="","",YEAR($A867))</f>
        <v/>
      </c>
      <c r="Q867" s="41" t="str">
        <f>IF($A867="","",DATE(P867,O867,1))</f>
        <v/>
      </c>
      <c r="R867" s="36" t="str">
        <f>IF(OR($A867="",$N867=""),"",IF(AND($C867&lt;&gt;"Transferência",N($I867)&gt;1),$N867/$I867,$N867))</f>
        <v/>
      </c>
      <c r="S867" s="41" t="str">
        <f>IF(OR($A867="",$F867="",$C867&lt;&gt;"Despesa"),"",IF(COUNTIF(Cartoes_Nome,$F867)=0,"",DATE(P867,O867+IF(DAY($A867)&gt;=INDEX(Cartoes_Fech,MATCH($F867,Cartoes_Nome,0)),1,0),1)))</f>
        <v/>
      </c>
      <c r="T867" s="42" t="str">
        <f>IF($A867="","",IF(COUNTIFS(L_Data,$A867,L_Desc,$B867,L_Valor,$N867,L_Tipo,$C867)&gt;1,"⚠ Possível duplicidade",IF(OR(AND($C867="Despesa",COUNTIF(CatD_Nome,$D867)=0),AND($C867="Receita",COUNTIF(CatR_Nome,$D867)=0)),"⚠ Categoria não combina com o tipo",IF(OR($N867="",$C867=""),"⚠ Falta valor ou tipo",""))))</f>
        <v/>
      </c>
      <c r="U867" s="40">
        <f>IF($A867="",0,P867*12+O867)</f>
        <v>0</v>
      </c>
      <c r="V867" s="40">
        <f>IF($A867="",0,U867+MAX(0,N($I867)-MAX(N($H867),1)))</f>
        <v>0</v>
      </c>
      <c r="W867" s="40">
        <f>IF(S867="",0,YEAR(S867)*12+MONTH(S867))</f>
        <v>0</v>
      </c>
      <c r="X867" s="40">
        <f>IF(W867=0,0,W867+V867-U867)</f>
        <v>0</v>
      </c>
      <c r="Y867" s="36">
        <f>IF(W867=0,0,N(R867)*MAX(0,X867-MAX(W867,YEAR(Cfg_Hoje)*12+MONTH(Cfg_Hoje)+IF(DAY(Cfg_Hoje)&gt;=INDEX(Cartoes_Fech,MATCH($F867,Cartoes_Nome,0)),1,0))+1))</f>
        <v>0</v>
      </c>
      <c r="Z867" s="40">
        <f>IF($A867="",0,DAY($A867))</f>
        <v>0</v>
      </c>
      <c r="AA867" s="40">
        <f>IF($A867="",0,WEEKDAY($A867))</f>
        <v>0</v>
      </c>
      <c r="AB867" s="36">
        <f>IF(AND($C867="Despesa",U867&gt;0,U867&lt;=Sel_Idx,V867&gt;=Sel_Idx),N(R867)+ROW()/1000000000,0)</f>
        <v>0</v>
      </c>
      <c r="AC867" s="40">
        <f>IF(AND($C867="Despesa",U867&gt;0,U867&lt;=Sel_Idx,V867&gt;=Sel_Idx),Z867*10000+ROW(),0)</f>
        <v>0</v>
      </c>
      <c r="AD867" s="40">
        <f>IF(AC867=0,0,COUNTIFS(L_CalChave,"&gt;0",L_CalChave,"&lt;"&amp;AC867)+1)</f>
        <v>0</v>
      </c>
    </row>
    <row r="868">
      <c r="A868" s="38" t="n"/>
      <c r="B868" s="39" t="n"/>
      <c r="C868" s="34" t="n"/>
      <c r="D868" s="34" t="n"/>
      <c r="E868" s="34" t="n"/>
      <c r="F868" s="34" t="n"/>
      <c r="G868" s="34" t="n"/>
      <c r="H868" s="37" t="n"/>
      <c r="I868" s="37" t="n"/>
      <c r="J868" s="34" t="n"/>
      <c r="K868" s="34" t="n"/>
      <c r="L868" s="34" t="n"/>
      <c r="M868" s="39" t="n"/>
      <c r="N868" s="35" t="n"/>
      <c r="O868" s="40" t="str">
        <f>IF($A868="","",MONTH($A868))</f>
        <v/>
      </c>
      <c r="P868" s="40" t="str">
        <f>IF($A868="","",YEAR($A868))</f>
        <v/>
      </c>
      <c r="Q868" s="41" t="str">
        <f>IF($A868="","",DATE(P868,O868,1))</f>
        <v/>
      </c>
      <c r="R868" s="36" t="str">
        <f>IF(OR($A868="",$N868=""),"",IF(AND($C868&lt;&gt;"Transferência",N($I868)&gt;1),$N868/$I868,$N868))</f>
        <v/>
      </c>
      <c r="S868" s="41" t="str">
        <f>IF(OR($A868="",$F868="",$C868&lt;&gt;"Despesa"),"",IF(COUNTIF(Cartoes_Nome,$F868)=0,"",DATE(P868,O868+IF(DAY($A868)&gt;=INDEX(Cartoes_Fech,MATCH($F868,Cartoes_Nome,0)),1,0),1)))</f>
        <v/>
      </c>
      <c r="T868" s="42" t="str">
        <f>IF($A868="","",IF(COUNTIFS(L_Data,$A868,L_Desc,$B868,L_Valor,$N868,L_Tipo,$C868)&gt;1,"⚠ Possível duplicidade",IF(OR(AND($C868="Despesa",COUNTIF(CatD_Nome,$D868)=0),AND($C868="Receita",COUNTIF(CatR_Nome,$D868)=0)),"⚠ Categoria não combina com o tipo",IF(OR($N868="",$C868=""),"⚠ Falta valor ou tipo",""))))</f>
        <v/>
      </c>
      <c r="U868" s="40">
        <f>IF($A868="",0,P868*12+O868)</f>
        <v>0</v>
      </c>
      <c r="V868" s="40">
        <f>IF($A868="",0,U868+MAX(0,N($I868)-MAX(N($H868),1)))</f>
        <v>0</v>
      </c>
      <c r="W868" s="40">
        <f>IF(S868="",0,YEAR(S868)*12+MONTH(S868))</f>
        <v>0</v>
      </c>
      <c r="X868" s="40">
        <f>IF(W868=0,0,W868+V868-U868)</f>
        <v>0</v>
      </c>
      <c r="Y868" s="36">
        <f>IF(W868=0,0,N(R868)*MAX(0,X868-MAX(W868,YEAR(Cfg_Hoje)*12+MONTH(Cfg_Hoje)+IF(DAY(Cfg_Hoje)&gt;=INDEX(Cartoes_Fech,MATCH($F868,Cartoes_Nome,0)),1,0))+1))</f>
        <v>0</v>
      </c>
      <c r="Z868" s="40">
        <f>IF($A868="",0,DAY($A868))</f>
        <v>0</v>
      </c>
      <c r="AA868" s="40">
        <f>IF($A868="",0,WEEKDAY($A868))</f>
        <v>0</v>
      </c>
      <c r="AB868" s="36">
        <f>IF(AND($C868="Despesa",U868&gt;0,U868&lt;=Sel_Idx,V868&gt;=Sel_Idx),N(R868)+ROW()/1000000000,0)</f>
        <v>0</v>
      </c>
      <c r="AC868" s="40">
        <f>IF(AND($C868="Despesa",U868&gt;0,U868&lt;=Sel_Idx,V868&gt;=Sel_Idx),Z868*10000+ROW(),0)</f>
        <v>0</v>
      </c>
      <c r="AD868" s="40">
        <f>IF(AC868=0,0,COUNTIFS(L_CalChave,"&gt;0",L_CalChave,"&lt;"&amp;AC868)+1)</f>
        <v>0</v>
      </c>
    </row>
    <row r="869">
      <c r="A869" s="38" t="n"/>
      <c r="B869" s="39" t="n"/>
      <c r="C869" s="34" t="n"/>
      <c r="D869" s="34" t="n"/>
      <c r="E869" s="34" t="n"/>
      <c r="F869" s="34" t="n"/>
      <c r="G869" s="34" t="n"/>
      <c r="H869" s="37" t="n"/>
      <c r="I869" s="37" t="n"/>
      <c r="J869" s="34" t="n"/>
      <c r="K869" s="34" t="n"/>
      <c r="L869" s="34" t="n"/>
      <c r="M869" s="39" t="n"/>
      <c r="N869" s="35" t="n"/>
      <c r="O869" s="40" t="str">
        <f>IF($A869="","",MONTH($A869))</f>
        <v/>
      </c>
      <c r="P869" s="40" t="str">
        <f>IF($A869="","",YEAR($A869))</f>
        <v/>
      </c>
      <c r="Q869" s="41" t="str">
        <f>IF($A869="","",DATE(P869,O869,1))</f>
        <v/>
      </c>
      <c r="R869" s="36" t="str">
        <f>IF(OR($A869="",$N869=""),"",IF(AND($C869&lt;&gt;"Transferência",N($I869)&gt;1),$N869/$I869,$N869))</f>
        <v/>
      </c>
      <c r="S869" s="41" t="str">
        <f>IF(OR($A869="",$F869="",$C869&lt;&gt;"Despesa"),"",IF(COUNTIF(Cartoes_Nome,$F869)=0,"",DATE(P869,O869+IF(DAY($A869)&gt;=INDEX(Cartoes_Fech,MATCH($F869,Cartoes_Nome,0)),1,0),1)))</f>
        <v/>
      </c>
      <c r="T869" s="42" t="str">
        <f>IF($A869="","",IF(COUNTIFS(L_Data,$A869,L_Desc,$B869,L_Valor,$N869,L_Tipo,$C869)&gt;1,"⚠ Possível duplicidade",IF(OR(AND($C869="Despesa",COUNTIF(CatD_Nome,$D869)=0),AND($C869="Receita",COUNTIF(CatR_Nome,$D869)=0)),"⚠ Categoria não combina com o tipo",IF(OR($N869="",$C869=""),"⚠ Falta valor ou tipo",""))))</f>
        <v/>
      </c>
      <c r="U869" s="40">
        <f>IF($A869="",0,P869*12+O869)</f>
        <v>0</v>
      </c>
      <c r="V869" s="40">
        <f>IF($A869="",0,U869+MAX(0,N($I869)-MAX(N($H869),1)))</f>
        <v>0</v>
      </c>
      <c r="W869" s="40">
        <f>IF(S869="",0,YEAR(S869)*12+MONTH(S869))</f>
        <v>0</v>
      </c>
      <c r="X869" s="40">
        <f>IF(W869=0,0,W869+V869-U869)</f>
        <v>0</v>
      </c>
      <c r="Y869" s="36">
        <f>IF(W869=0,0,N(R869)*MAX(0,X869-MAX(W869,YEAR(Cfg_Hoje)*12+MONTH(Cfg_Hoje)+IF(DAY(Cfg_Hoje)&gt;=INDEX(Cartoes_Fech,MATCH($F869,Cartoes_Nome,0)),1,0))+1))</f>
        <v>0</v>
      </c>
      <c r="Z869" s="40">
        <f>IF($A869="",0,DAY($A869))</f>
        <v>0</v>
      </c>
      <c r="AA869" s="40">
        <f>IF($A869="",0,WEEKDAY($A869))</f>
        <v>0</v>
      </c>
      <c r="AB869" s="36">
        <f>IF(AND($C869="Despesa",U869&gt;0,U869&lt;=Sel_Idx,V869&gt;=Sel_Idx),N(R869)+ROW()/1000000000,0)</f>
        <v>0</v>
      </c>
      <c r="AC869" s="40">
        <f>IF(AND($C869="Despesa",U869&gt;0,U869&lt;=Sel_Idx,V869&gt;=Sel_Idx),Z869*10000+ROW(),0)</f>
        <v>0</v>
      </c>
      <c r="AD869" s="40">
        <f>IF(AC869=0,0,COUNTIFS(L_CalChave,"&gt;0",L_CalChave,"&lt;"&amp;AC869)+1)</f>
        <v>0</v>
      </c>
    </row>
    <row r="870">
      <c r="A870" s="38" t="n"/>
      <c r="B870" s="39" t="n"/>
      <c r="C870" s="34" t="n"/>
      <c r="D870" s="34" t="n"/>
      <c r="E870" s="34" t="n"/>
      <c r="F870" s="34" t="n"/>
      <c r="G870" s="34" t="n"/>
      <c r="H870" s="37" t="n"/>
      <c r="I870" s="37" t="n"/>
      <c r="J870" s="34" t="n"/>
      <c r="K870" s="34" t="n"/>
      <c r="L870" s="34" t="n"/>
      <c r="M870" s="39" t="n"/>
      <c r="N870" s="35" t="n"/>
      <c r="O870" s="40" t="str">
        <f>IF($A870="","",MONTH($A870))</f>
        <v/>
      </c>
      <c r="P870" s="40" t="str">
        <f>IF($A870="","",YEAR($A870))</f>
        <v/>
      </c>
      <c r="Q870" s="41" t="str">
        <f>IF($A870="","",DATE(P870,O870,1))</f>
        <v/>
      </c>
      <c r="R870" s="36" t="str">
        <f>IF(OR($A870="",$N870=""),"",IF(AND($C870&lt;&gt;"Transferência",N($I870)&gt;1),$N870/$I870,$N870))</f>
        <v/>
      </c>
      <c r="S870" s="41" t="str">
        <f>IF(OR($A870="",$F870="",$C870&lt;&gt;"Despesa"),"",IF(COUNTIF(Cartoes_Nome,$F870)=0,"",DATE(P870,O870+IF(DAY($A870)&gt;=INDEX(Cartoes_Fech,MATCH($F870,Cartoes_Nome,0)),1,0),1)))</f>
        <v/>
      </c>
      <c r="T870" s="42" t="str">
        <f>IF($A870="","",IF(COUNTIFS(L_Data,$A870,L_Desc,$B870,L_Valor,$N870,L_Tipo,$C870)&gt;1,"⚠ Possível duplicidade",IF(OR(AND($C870="Despesa",COUNTIF(CatD_Nome,$D870)=0),AND($C870="Receita",COUNTIF(CatR_Nome,$D870)=0)),"⚠ Categoria não combina com o tipo",IF(OR($N870="",$C870=""),"⚠ Falta valor ou tipo",""))))</f>
        <v/>
      </c>
      <c r="U870" s="40">
        <f>IF($A870="",0,P870*12+O870)</f>
        <v>0</v>
      </c>
      <c r="V870" s="40">
        <f>IF($A870="",0,U870+MAX(0,N($I870)-MAX(N($H870),1)))</f>
        <v>0</v>
      </c>
      <c r="W870" s="40">
        <f>IF(S870="",0,YEAR(S870)*12+MONTH(S870))</f>
        <v>0</v>
      </c>
      <c r="X870" s="40">
        <f>IF(W870=0,0,W870+V870-U870)</f>
        <v>0</v>
      </c>
      <c r="Y870" s="36">
        <f>IF(W870=0,0,N(R870)*MAX(0,X870-MAX(W870,YEAR(Cfg_Hoje)*12+MONTH(Cfg_Hoje)+IF(DAY(Cfg_Hoje)&gt;=INDEX(Cartoes_Fech,MATCH($F870,Cartoes_Nome,0)),1,0))+1))</f>
        <v>0</v>
      </c>
      <c r="Z870" s="40">
        <f>IF($A870="",0,DAY($A870))</f>
        <v>0</v>
      </c>
      <c r="AA870" s="40">
        <f>IF($A870="",0,WEEKDAY($A870))</f>
        <v>0</v>
      </c>
      <c r="AB870" s="36">
        <f>IF(AND($C870="Despesa",U870&gt;0,U870&lt;=Sel_Idx,V870&gt;=Sel_Idx),N(R870)+ROW()/1000000000,0)</f>
        <v>0</v>
      </c>
      <c r="AC870" s="40">
        <f>IF(AND($C870="Despesa",U870&gt;0,U870&lt;=Sel_Idx,V870&gt;=Sel_Idx),Z870*10000+ROW(),0)</f>
        <v>0</v>
      </c>
      <c r="AD870" s="40">
        <f>IF(AC870=0,0,COUNTIFS(L_CalChave,"&gt;0",L_CalChave,"&lt;"&amp;AC870)+1)</f>
        <v>0</v>
      </c>
    </row>
    <row r="871">
      <c r="A871" s="38" t="n"/>
      <c r="B871" s="39" t="n"/>
      <c r="C871" s="34" t="n"/>
      <c r="D871" s="34" t="n"/>
      <c r="E871" s="34" t="n"/>
      <c r="F871" s="34" t="n"/>
      <c r="G871" s="34" t="n"/>
      <c r="H871" s="37" t="n"/>
      <c r="I871" s="37" t="n"/>
      <c r="J871" s="34" t="n"/>
      <c r="K871" s="34" t="n"/>
      <c r="L871" s="34" t="n"/>
      <c r="M871" s="39" t="n"/>
      <c r="N871" s="35" t="n"/>
      <c r="O871" s="40" t="str">
        <f>IF($A871="","",MONTH($A871))</f>
        <v/>
      </c>
      <c r="P871" s="40" t="str">
        <f>IF($A871="","",YEAR($A871))</f>
        <v/>
      </c>
      <c r="Q871" s="41" t="str">
        <f>IF($A871="","",DATE(P871,O871,1))</f>
        <v/>
      </c>
      <c r="R871" s="36" t="str">
        <f>IF(OR($A871="",$N871=""),"",IF(AND($C871&lt;&gt;"Transferência",N($I871)&gt;1),$N871/$I871,$N871))</f>
        <v/>
      </c>
      <c r="S871" s="41" t="str">
        <f>IF(OR($A871="",$F871="",$C871&lt;&gt;"Despesa"),"",IF(COUNTIF(Cartoes_Nome,$F871)=0,"",DATE(P871,O871+IF(DAY($A871)&gt;=INDEX(Cartoes_Fech,MATCH($F871,Cartoes_Nome,0)),1,0),1)))</f>
        <v/>
      </c>
      <c r="T871" s="42" t="str">
        <f>IF($A871="","",IF(COUNTIFS(L_Data,$A871,L_Desc,$B871,L_Valor,$N871,L_Tipo,$C871)&gt;1,"⚠ Possível duplicidade",IF(OR(AND($C871="Despesa",COUNTIF(CatD_Nome,$D871)=0),AND($C871="Receita",COUNTIF(CatR_Nome,$D871)=0)),"⚠ Categoria não combina com o tipo",IF(OR($N871="",$C871=""),"⚠ Falta valor ou tipo",""))))</f>
        <v/>
      </c>
      <c r="U871" s="40">
        <f>IF($A871="",0,P871*12+O871)</f>
        <v>0</v>
      </c>
      <c r="V871" s="40">
        <f>IF($A871="",0,U871+MAX(0,N($I871)-MAX(N($H871),1)))</f>
        <v>0</v>
      </c>
      <c r="W871" s="40">
        <f>IF(S871="",0,YEAR(S871)*12+MONTH(S871))</f>
        <v>0</v>
      </c>
      <c r="X871" s="40">
        <f>IF(W871=0,0,W871+V871-U871)</f>
        <v>0</v>
      </c>
      <c r="Y871" s="36">
        <f>IF(W871=0,0,N(R871)*MAX(0,X871-MAX(W871,YEAR(Cfg_Hoje)*12+MONTH(Cfg_Hoje)+IF(DAY(Cfg_Hoje)&gt;=INDEX(Cartoes_Fech,MATCH($F871,Cartoes_Nome,0)),1,0))+1))</f>
        <v>0</v>
      </c>
      <c r="Z871" s="40">
        <f>IF($A871="",0,DAY($A871))</f>
        <v>0</v>
      </c>
      <c r="AA871" s="40">
        <f>IF($A871="",0,WEEKDAY($A871))</f>
        <v>0</v>
      </c>
      <c r="AB871" s="36">
        <f>IF(AND($C871="Despesa",U871&gt;0,U871&lt;=Sel_Idx,V871&gt;=Sel_Idx),N(R871)+ROW()/1000000000,0)</f>
        <v>0</v>
      </c>
      <c r="AC871" s="40">
        <f>IF(AND($C871="Despesa",U871&gt;0,U871&lt;=Sel_Idx,V871&gt;=Sel_Idx),Z871*10000+ROW(),0)</f>
        <v>0</v>
      </c>
      <c r="AD871" s="40">
        <f>IF(AC871=0,0,COUNTIFS(L_CalChave,"&gt;0",L_CalChave,"&lt;"&amp;AC871)+1)</f>
        <v>0</v>
      </c>
    </row>
    <row r="872">
      <c r="A872" s="38" t="n"/>
      <c r="B872" s="39" t="n"/>
      <c r="C872" s="34" t="n"/>
      <c r="D872" s="34" t="n"/>
      <c r="E872" s="34" t="n"/>
      <c r="F872" s="34" t="n"/>
      <c r="G872" s="34" t="n"/>
      <c r="H872" s="37" t="n"/>
      <c r="I872" s="37" t="n"/>
      <c r="J872" s="34" t="n"/>
      <c r="K872" s="34" t="n"/>
      <c r="L872" s="34" t="n"/>
      <c r="M872" s="39" t="n"/>
      <c r="N872" s="35" t="n"/>
      <c r="O872" s="40" t="str">
        <f>IF($A872="","",MONTH($A872))</f>
        <v/>
      </c>
      <c r="P872" s="40" t="str">
        <f>IF($A872="","",YEAR($A872))</f>
        <v/>
      </c>
      <c r="Q872" s="41" t="str">
        <f>IF($A872="","",DATE(P872,O872,1))</f>
        <v/>
      </c>
      <c r="R872" s="36" t="str">
        <f>IF(OR($A872="",$N872=""),"",IF(AND($C872&lt;&gt;"Transferência",N($I872)&gt;1),$N872/$I872,$N872))</f>
        <v/>
      </c>
      <c r="S872" s="41" t="str">
        <f>IF(OR($A872="",$F872="",$C872&lt;&gt;"Despesa"),"",IF(COUNTIF(Cartoes_Nome,$F872)=0,"",DATE(P872,O872+IF(DAY($A872)&gt;=INDEX(Cartoes_Fech,MATCH($F872,Cartoes_Nome,0)),1,0),1)))</f>
        <v/>
      </c>
      <c r="T872" s="42" t="str">
        <f>IF($A872="","",IF(COUNTIFS(L_Data,$A872,L_Desc,$B872,L_Valor,$N872,L_Tipo,$C872)&gt;1,"⚠ Possível duplicidade",IF(OR(AND($C872="Despesa",COUNTIF(CatD_Nome,$D872)=0),AND($C872="Receita",COUNTIF(CatR_Nome,$D872)=0)),"⚠ Categoria não combina com o tipo",IF(OR($N872="",$C872=""),"⚠ Falta valor ou tipo",""))))</f>
        <v/>
      </c>
      <c r="U872" s="40">
        <f>IF($A872="",0,P872*12+O872)</f>
        <v>0</v>
      </c>
      <c r="V872" s="40">
        <f>IF($A872="",0,U872+MAX(0,N($I872)-MAX(N($H872),1)))</f>
        <v>0</v>
      </c>
      <c r="W872" s="40">
        <f>IF(S872="",0,YEAR(S872)*12+MONTH(S872))</f>
        <v>0</v>
      </c>
      <c r="X872" s="40">
        <f>IF(W872=0,0,W872+V872-U872)</f>
        <v>0</v>
      </c>
      <c r="Y872" s="36">
        <f>IF(W872=0,0,N(R872)*MAX(0,X872-MAX(W872,YEAR(Cfg_Hoje)*12+MONTH(Cfg_Hoje)+IF(DAY(Cfg_Hoje)&gt;=INDEX(Cartoes_Fech,MATCH($F872,Cartoes_Nome,0)),1,0))+1))</f>
        <v>0</v>
      </c>
      <c r="Z872" s="40">
        <f>IF($A872="",0,DAY($A872))</f>
        <v>0</v>
      </c>
      <c r="AA872" s="40">
        <f>IF($A872="",0,WEEKDAY($A872))</f>
        <v>0</v>
      </c>
      <c r="AB872" s="36">
        <f>IF(AND($C872="Despesa",U872&gt;0,U872&lt;=Sel_Idx,V872&gt;=Sel_Idx),N(R872)+ROW()/1000000000,0)</f>
        <v>0</v>
      </c>
      <c r="AC872" s="40">
        <f>IF(AND($C872="Despesa",U872&gt;0,U872&lt;=Sel_Idx,V872&gt;=Sel_Idx),Z872*10000+ROW(),0)</f>
        <v>0</v>
      </c>
      <c r="AD872" s="40">
        <f>IF(AC872=0,0,COUNTIFS(L_CalChave,"&gt;0",L_CalChave,"&lt;"&amp;AC872)+1)</f>
        <v>0</v>
      </c>
    </row>
    <row r="873">
      <c r="A873" s="38" t="n"/>
      <c r="B873" s="39" t="n"/>
      <c r="C873" s="34" t="n"/>
      <c r="D873" s="34" t="n"/>
      <c r="E873" s="34" t="n"/>
      <c r="F873" s="34" t="n"/>
      <c r="G873" s="34" t="n"/>
      <c r="H873" s="37" t="n"/>
      <c r="I873" s="37" t="n"/>
      <c r="J873" s="34" t="n"/>
      <c r="K873" s="34" t="n"/>
      <c r="L873" s="34" t="n"/>
      <c r="M873" s="39" t="n"/>
      <c r="N873" s="35" t="n"/>
      <c r="O873" s="40" t="str">
        <f>IF($A873="","",MONTH($A873))</f>
        <v/>
      </c>
      <c r="P873" s="40" t="str">
        <f>IF($A873="","",YEAR($A873))</f>
        <v/>
      </c>
      <c r="Q873" s="41" t="str">
        <f>IF($A873="","",DATE(P873,O873,1))</f>
        <v/>
      </c>
      <c r="R873" s="36" t="str">
        <f>IF(OR($A873="",$N873=""),"",IF(AND($C873&lt;&gt;"Transferência",N($I873)&gt;1),$N873/$I873,$N873))</f>
        <v/>
      </c>
      <c r="S873" s="41" t="str">
        <f>IF(OR($A873="",$F873="",$C873&lt;&gt;"Despesa"),"",IF(COUNTIF(Cartoes_Nome,$F873)=0,"",DATE(P873,O873+IF(DAY($A873)&gt;=INDEX(Cartoes_Fech,MATCH($F873,Cartoes_Nome,0)),1,0),1)))</f>
        <v/>
      </c>
      <c r="T873" s="42" t="str">
        <f>IF($A873="","",IF(COUNTIFS(L_Data,$A873,L_Desc,$B873,L_Valor,$N873,L_Tipo,$C873)&gt;1,"⚠ Possível duplicidade",IF(OR(AND($C873="Despesa",COUNTIF(CatD_Nome,$D873)=0),AND($C873="Receita",COUNTIF(CatR_Nome,$D873)=0)),"⚠ Categoria não combina com o tipo",IF(OR($N873="",$C873=""),"⚠ Falta valor ou tipo",""))))</f>
        <v/>
      </c>
      <c r="U873" s="40">
        <f>IF($A873="",0,P873*12+O873)</f>
        <v>0</v>
      </c>
      <c r="V873" s="40">
        <f>IF($A873="",0,U873+MAX(0,N($I873)-MAX(N($H873),1)))</f>
        <v>0</v>
      </c>
      <c r="W873" s="40">
        <f>IF(S873="",0,YEAR(S873)*12+MONTH(S873))</f>
        <v>0</v>
      </c>
      <c r="X873" s="40">
        <f>IF(W873=0,0,W873+V873-U873)</f>
        <v>0</v>
      </c>
      <c r="Y873" s="36">
        <f>IF(W873=0,0,N(R873)*MAX(0,X873-MAX(W873,YEAR(Cfg_Hoje)*12+MONTH(Cfg_Hoje)+IF(DAY(Cfg_Hoje)&gt;=INDEX(Cartoes_Fech,MATCH($F873,Cartoes_Nome,0)),1,0))+1))</f>
        <v>0</v>
      </c>
      <c r="Z873" s="40">
        <f>IF($A873="",0,DAY($A873))</f>
        <v>0</v>
      </c>
      <c r="AA873" s="40">
        <f>IF($A873="",0,WEEKDAY($A873))</f>
        <v>0</v>
      </c>
      <c r="AB873" s="36">
        <f>IF(AND($C873="Despesa",U873&gt;0,U873&lt;=Sel_Idx,V873&gt;=Sel_Idx),N(R873)+ROW()/1000000000,0)</f>
        <v>0</v>
      </c>
      <c r="AC873" s="40">
        <f>IF(AND($C873="Despesa",U873&gt;0,U873&lt;=Sel_Idx,V873&gt;=Sel_Idx),Z873*10000+ROW(),0)</f>
        <v>0</v>
      </c>
      <c r="AD873" s="40">
        <f>IF(AC873=0,0,COUNTIFS(L_CalChave,"&gt;0",L_CalChave,"&lt;"&amp;AC873)+1)</f>
        <v>0</v>
      </c>
    </row>
    <row r="874">
      <c r="A874" s="38" t="n"/>
      <c r="B874" s="39" t="n"/>
      <c r="C874" s="34" t="n"/>
      <c r="D874" s="34" t="n"/>
      <c r="E874" s="34" t="n"/>
      <c r="F874" s="34" t="n"/>
      <c r="G874" s="34" t="n"/>
      <c r="H874" s="37" t="n"/>
      <c r="I874" s="37" t="n"/>
      <c r="J874" s="34" t="n"/>
      <c r="K874" s="34" t="n"/>
      <c r="L874" s="34" t="n"/>
      <c r="M874" s="39" t="n"/>
      <c r="N874" s="35" t="n"/>
      <c r="O874" s="40" t="str">
        <f>IF($A874="","",MONTH($A874))</f>
        <v/>
      </c>
      <c r="P874" s="40" t="str">
        <f>IF($A874="","",YEAR($A874))</f>
        <v/>
      </c>
      <c r="Q874" s="41" t="str">
        <f>IF($A874="","",DATE(P874,O874,1))</f>
        <v/>
      </c>
      <c r="R874" s="36" t="str">
        <f>IF(OR($A874="",$N874=""),"",IF(AND($C874&lt;&gt;"Transferência",N($I874)&gt;1),$N874/$I874,$N874))</f>
        <v/>
      </c>
      <c r="S874" s="41" t="str">
        <f>IF(OR($A874="",$F874="",$C874&lt;&gt;"Despesa"),"",IF(COUNTIF(Cartoes_Nome,$F874)=0,"",DATE(P874,O874+IF(DAY($A874)&gt;=INDEX(Cartoes_Fech,MATCH($F874,Cartoes_Nome,0)),1,0),1)))</f>
        <v/>
      </c>
      <c r="T874" s="42" t="str">
        <f>IF($A874="","",IF(COUNTIFS(L_Data,$A874,L_Desc,$B874,L_Valor,$N874,L_Tipo,$C874)&gt;1,"⚠ Possível duplicidade",IF(OR(AND($C874="Despesa",COUNTIF(CatD_Nome,$D874)=0),AND($C874="Receita",COUNTIF(CatR_Nome,$D874)=0)),"⚠ Categoria não combina com o tipo",IF(OR($N874="",$C874=""),"⚠ Falta valor ou tipo",""))))</f>
        <v/>
      </c>
      <c r="U874" s="40">
        <f>IF($A874="",0,P874*12+O874)</f>
        <v>0</v>
      </c>
      <c r="V874" s="40">
        <f>IF($A874="",0,U874+MAX(0,N($I874)-MAX(N($H874),1)))</f>
        <v>0</v>
      </c>
      <c r="W874" s="40">
        <f>IF(S874="",0,YEAR(S874)*12+MONTH(S874))</f>
        <v>0</v>
      </c>
      <c r="X874" s="40">
        <f>IF(W874=0,0,W874+V874-U874)</f>
        <v>0</v>
      </c>
      <c r="Y874" s="36">
        <f>IF(W874=0,0,N(R874)*MAX(0,X874-MAX(W874,YEAR(Cfg_Hoje)*12+MONTH(Cfg_Hoje)+IF(DAY(Cfg_Hoje)&gt;=INDEX(Cartoes_Fech,MATCH($F874,Cartoes_Nome,0)),1,0))+1))</f>
        <v>0</v>
      </c>
      <c r="Z874" s="40">
        <f>IF($A874="",0,DAY($A874))</f>
        <v>0</v>
      </c>
      <c r="AA874" s="40">
        <f>IF($A874="",0,WEEKDAY($A874))</f>
        <v>0</v>
      </c>
      <c r="AB874" s="36">
        <f>IF(AND($C874="Despesa",U874&gt;0,U874&lt;=Sel_Idx,V874&gt;=Sel_Idx),N(R874)+ROW()/1000000000,0)</f>
        <v>0</v>
      </c>
      <c r="AC874" s="40">
        <f>IF(AND($C874="Despesa",U874&gt;0,U874&lt;=Sel_Idx,V874&gt;=Sel_Idx),Z874*10000+ROW(),0)</f>
        <v>0</v>
      </c>
      <c r="AD874" s="40">
        <f>IF(AC874=0,0,COUNTIFS(L_CalChave,"&gt;0",L_CalChave,"&lt;"&amp;AC874)+1)</f>
        <v>0</v>
      </c>
    </row>
    <row r="875">
      <c r="A875" s="38" t="n"/>
      <c r="B875" s="39" t="n"/>
      <c r="C875" s="34" t="n"/>
      <c r="D875" s="34" t="n"/>
      <c r="E875" s="34" t="n"/>
      <c r="F875" s="34" t="n"/>
      <c r="G875" s="34" t="n"/>
      <c r="H875" s="37" t="n"/>
      <c r="I875" s="37" t="n"/>
      <c r="J875" s="34" t="n"/>
      <c r="K875" s="34" t="n"/>
      <c r="L875" s="34" t="n"/>
      <c r="M875" s="39" t="n"/>
      <c r="N875" s="35" t="n"/>
      <c r="O875" s="40" t="str">
        <f>IF($A875="","",MONTH($A875))</f>
        <v/>
      </c>
      <c r="P875" s="40" t="str">
        <f>IF($A875="","",YEAR($A875))</f>
        <v/>
      </c>
      <c r="Q875" s="41" t="str">
        <f>IF($A875="","",DATE(P875,O875,1))</f>
        <v/>
      </c>
      <c r="R875" s="36" t="str">
        <f>IF(OR($A875="",$N875=""),"",IF(AND($C875&lt;&gt;"Transferência",N($I875)&gt;1),$N875/$I875,$N875))</f>
        <v/>
      </c>
      <c r="S875" s="41" t="str">
        <f>IF(OR($A875="",$F875="",$C875&lt;&gt;"Despesa"),"",IF(COUNTIF(Cartoes_Nome,$F875)=0,"",DATE(P875,O875+IF(DAY($A875)&gt;=INDEX(Cartoes_Fech,MATCH($F875,Cartoes_Nome,0)),1,0),1)))</f>
        <v/>
      </c>
      <c r="T875" s="42" t="str">
        <f>IF($A875="","",IF(COUNTIFS(L_Data,$A875,L_Desc,$B875,L_Valor,$N875,L_Tipo,$C875)&gt;1,"⚠ Possível duplicidade",IF(OR(AND($C875="Despesa",COUNTIF(CatD_Nome,$D875)=0),AND($C875="Receita",COUNTIF(CatR_Nome,$D875)=0)),"⚠ Categoria não combina com o tipo",IF(OR($N875="",$C875=""),"⚠ Falta valor ou tipo",""))))</f>
        <v/>
      </c>
      <c r="U875" s="40">
        <f>IF($A875="",0,P875*12+O875)</f>
        <v>0</v>
      </c>
      <c r="V875" s="40">
        <f>IF($A875="",0,U875+MAX(0,N($I875)-MAX(N($H875),1)))</f>
        <v>0</v>
      </c>
      <c r="W875" s="40">
        <f>IF(S875="",0,YEAR(S875)*12+MONTH(S875))</f>
        <v>0</v>
      </c>
      <c r="X875" s="40">
        <f>IF(W875=0,0,W875+V875-U875)</f>
        <v>0</v>
      </c>
      <c r="Y875" s="36">
        <f>IF(W875=0,0,N(R875)*MAX(0,X875-MAX(W875,YEAR(Cfg_Hoje)*12+MONTH(Cfg_Hoje)+IF(DAY(Cfg_Hoje)&gt;=INDEX(Cartoes_Fech,MATCH($F875,Cartoes_Nome,0)),1,0))+1))</f>
        <v>0</v>
      </c>
      <c r="Z875" s="40">
        <f>IF($A875="",0,DAY($A875))</f>
        <v>0</v>
      </c>
      <c r="AA875" s="40">
        <f>IF($A875="",0,WEEKDAY($A875))</f>
        <v>0</v>
      </c>
      <c r="AB875" s="36">
        <f>IF(AND($C875="Despesa",U875&gt;0,U875&lt;=Sel_Idx,V875&gt;=Sel_Idx),N(R875)+ROW()/1000000000,0)</f>
        <v>0</v>
      </c>
      <c r="AC875" s="40">
        <f>IF(AND($C875="Despesa",U875&gt;0,U875&lt;=Sel_Idx,V875&gt;=Sel_Idx),Z875*10000+ROW(),0)</f>
        <v>0</v>
      </c>
      <c r="AD875" s="40">
        <f>IF(AC875=0,0,COUNTIFS(L_CalChave,"&gt;0",L_CalChave,"&lt;"&amp;AC875)+1)</f>
        <v>0</v>
      </c>
    </row>
    <row r="876">
      <c r="A876" s="38" t="n"/>
      <c r="B876" s="39" t="n"/>
      <c r="C876" s="34" t="n"/>
      <c r="D876" s="34" t="n"/>
      <c r="E876" s="34" t="n"/>
      <c r="F876" s="34" t="n"/>
      <c r="G876" s="34" t="n"/>
      <c r="H876" s="37" t="n"/>
      <c r="I876" s="37" t="n"/>
      <c r="J876" s="34" t="n"/>
      <c r="K876" s="34" t="n"/>
      <c r="L876" s="34" t="n"/>
      <c r="M876" s="39" t="n"/>
      <c r="N876" s="35" t="n"/>
      <c r="O876" s="40" t="str">
        <f>IF($A876="","",MONTH($A876))</f>
        <v/>
      </c>
      <c r="P876" s="40" t="str">
        <f>IF($A876="","",YEAR($A876))</f>
        <v/>
      </c>
      <c r="Q876" s="41" t="str">
        <f>IF($A876="","",DATE(P876,O876,1))</f>
        <v/>
      </c>
      <c r="R876" s="36" t="str">
        <f>IF(OR($A876="",$N876=""),"",IF(AND($C876&lt;&gt;"Transferência",N($I876)&gt;1),$N876/$I876,$N876))</f>
        <v/>
      </c>
      <c r="S876" s="41" t="str">
        <f>IF(OR($A876="",$F876="",$C876&lt;&gt;"Despesa"),"",IF(COUNTIF(Cartoes_Nome,$F876)=0,"",DATE(P876,O876+IF(DAY($A876)&gt;=INDEX(Cartoes_Fech,MATCH($F876,Cartoes_Nome,0)),1,0),1)))</f>
        <v/>
      </c>
      <c r="T876" s="42" t="str">
        <f>IF($A876="","",IF(COUNTIFS(L_Data,$A876,L_Desc,$B876,L_Valor,$N876,L_Tipo,$C876)&gt;1,"⚠ Possível duplicidade",IF(OR(AND($C876="Despesa",COUNTIF(CatD_Nome,$D876)=0),AND($C876="Receita",COUNTIF(CatR_Nome,$D876)=0)),"⚠ Categoria não combina com o tipo",IF(OR($N876="",$C876=""),"⚠ Falta valor ou tipo",""))))</f>
        <v/>
      </c>
      <c r="U876" s="40">
        <f>IF($A876="",0,P876*12+O876)</f>
        <v>0</v>
      </c>
      <c r="V876" s="40">
        <f>IF($A876="",0,U876+MAX(0,N($I876)-MAX(N($H876),1)))</f>
        <v>0</v>
      </c>
      <c r="W876" s="40">
        <f>IF(S876="",0,YEAR(S876)*12+MONTH(S876))</f>
        <v>0</v>
      </c>
      <c r="X876" s="40">
        <f>IF(W876=0,0,W876+V876-U876)</f>
        <v>0</v>
      </c>
      <c r="Y876" s="36">
        <f>IF(W876=0,0,N(R876)*MAX(0,X876-MAX(W876,YEAR(Cfg_Hoje)*12+MONTH(Cfg_Hoje)+IF(DAY(Cfg_Hoje)&gt;=INDEX(Cartoes_Fech,MATCH($F876,Cartoes_Nome,0)),1,0))+1))</f>
        <v>0</v>
      </c>
      <c r="Z876" s="40">
        <f>IF($A876="",0,DAY($A876))</f>
        <v>0</v>
      </c>
      <c r="AA876" s="40">
        <f>IF($A876="",0,WEEKDAY($A876))</f>
        <v>0</v>
      </c>
      <c r="AB876" s="36">
        <f>IF(AND($C876="Despesa",U876&gt;0,U876&lt;=Sel_Idx,V876&gt;=Sel_Idx),N(R876)+ROW()/1000000000,0)</f>
        <v>0</v>
      </c>
      <c r="AC876" s="40">
        <f>IF(AND($C876="Despesa",U876&gt;0,U876&lt;=Sel_Idx,V876&gt;=Sel_Idx),Z876*10000+ROW(),0)</f>
        <v>0</v>
      </c>
      <c r="AD876" s="40">
        <f>IF(AC876=0,0,COUNTIFS(L_CalChave,"&gt;0",L_CalChave,"&lt;"&amp;AC876)+1)</f>
        <v>0</v>
      </c>
    </row>
    <row r="877">
      <c r="A877" s="38" t="n"/>
      <c r="B877" s="39" t="n"/>
      <c r="C877" s="34" t="n"/>
      <c r="D877" s="34" t="n"/>
      <c r="E877" s="34" t="n"/>
      <c r="F877" s="34" t="n"/>
      <c r="G877" s="34" t="n"/>
      <c r="H877" s="37" t="n"/>
      <c r="I877" s="37" t="n"/>
      <c r="J877" s="34" t="n"/>
      <c r="K877" s="34" t="n"/>
      <c r="L877" s="34" t="n"/>
      <c r="M877" s="39" t="n"/>
      <c r="N877" s="35" t="n"/>
      <c r="O877" s="40" t="str">
        <f>IF($A877="","",MONTH($A877))</f>
        <v/>
      </c>
      <c r="P877" s="40" t="str">
        <f>IF($A877="","",YEAR($A877))</f>
        <v/>
      </c>
      <c r="Q877" s="41" t="str">
        <f>IF($A877="","",DATE(P877,O877,1))</f>
        <v/>
      </c>
      <c r="R877" s="36" t="str">
        <f>IF(OR($A877="",$N877=""),"",IF(AND($C877&lt;&gt;"Transferência",N($I877)&gt;1),$N877/$I877,$N877))</f>
        <v/>
      </c>
      <c r="S877" s="41" t="str">
        <f>IF(OR($A877="",$F877="",$C877&lt;&gt;"Despesa"),"",IF(COUNTIF(Cartoes_Nome,$F877)=0,"",DATE(P877,O877+IF(DAY($A877)&gt;=INDEX(Cartoes_Fech,MATCH($F877,Cartoes_Nome,0)),1,0),1)))</f>
        <v/>
      </c>
      <c r="T877" s="42" t="str">
        <f>IF($A877="","",IF(COUNTIFS(L_Data,$A877,L_Desc,$B877,L_Valor,$N877,L_Tipo,$C877)&gt;1,"⚠ Possível duplicidade",IF(OR(AND($C877="Despesa",COUNTIF(CatD_Nome,$D877)=0),AND($C877="Receita",COUNTIF(CatR_Nome,$D877)=0)),"⚠ Categoria não combina com o tipo",IF(OR($N877="",$C877=""),"⚠ Falta valor ou tipo",""))))</f>
        <v/>
      </c>
      <c r="U877" s="40">
        <f>IF($A877="",0,P877*12+O877)</f>
        <v>0</v>
      </c>
      <c r="V877" s="40">
        <f>IF($A877="",0,U877+MAX(0,N($I877)-MAX(N($H877),1)))</f>
        <v>0</v>
      </c>
      <c r="W877" s="40">
        <f>IF(S877="",0,YEAR(S877)*12+MONTH(S877))</f>
        <v>0</v>
      </c>
      <c r="X877" s="40">
        <f>IF(W877=0,0,W877+V877-U877)</f>
        <v>0</v>
      </c>
      <c r="Y877" s="36">
        <f>IF(W877=0,0,N(R877)*MAX(0,X877-MAX(W877,YEAR(Cfg_Hoje)*12+MONTH(Cfg_Hoje)+IF(DAY(Cfg_Hoje)&gt;=INDEX(Cartoes_Fech,MATCH($F877,Cartoes_Nome,0)),1,0))+1))</f>
        <v>0</v>
      </c>
      <c r="Z877" s="40">
        <f>IF($A877="",0,DAY($A877))</f>
        <v>0</v>
      </c>
      <c r="AA877" s="40">
        <f>IF($A877="",0,WEEKDAY($A877))</f>
        <v>0</v>
      </c>
      <c r="AB877" s="36">
        <f>IF(AND($C877="Despesa",U877&gt;0,U877&lt;=Sel_Idx,V877&gt;=Sel_Idx),N(R877)+ROW()/1000000000,0)</f>
        <v>0</v>
      </c>
      <c r="AC877" s="40">
        <f>IF(AND($C877="Despesa",U877&gt;0,U877&lt;=Sel_Idx,V877&gt;=Sel_Idx),Z877*10000+ROW(),0)</f>
        <v>0</v>
      </c>
      <c r="AD877" s="40">
        <f>IF(AC877=0,0,COUNTIFS(L_CalChave,"&gt;0",L_CalChave,"&lt;"&amp;AC877)+1)</f>
        <v>0</v>
      </c>
    </row>
    <row r="878">
      <c r="A878" s="38" t="n"/>
      <c r="B878" s="39" t="n"/>
      <c r="C878" s="34" t="n"/>
      <c r="D878" s="34" t="n"/>
      <c r="E878" s="34" t="n"/>
      <c r="F878" s="34" t="n"/>
      <c r="G878" s="34" t="n"/>
      <c r="H878" s="37" t="n"/>
      <c r="I878" s="37" t="n"/>
      <c r="J878" s="34" t="n"/>
      <c r="K878" s="34" t="n"/>
      <c r="L878" s="34" t="n"/>
      <c r="M878" s="39" t="n"/>
      <c r="N878" s="35" t="n"/>
      <c r="O878" s="40" t="str">
        <f>IF($A878="","",MONTH($A878))</f>
        <v/>
      </c>
      <c r="P878" s="40" t="str">
        <f>IF($A878="","",YEAR($A878))</f>
        <v/>
      </c>
      <c r="Q878" s="41" t="str">
        <f>IF($A878="","",DATE(P878,O878,1))</f>
        <v/>
      </c>
      <c r="R878" s="36" t="str">
        <f>IF(OR($A878="",$N878=""),"",IF(AND($C878&lt;&gt;"Transferência",N($I878)&gt;1),$N878/$I878,$N878))</f>
        <v/>
      </c>
      <c r="S878" s="41" t="str">
        <f>IF(OR($A878="",$F878="",$C878&lt;&gt;"Despesa"),"",IF(COUNTIF(Cartoes_Nome,$F878)=0,"",DATE(P878,O878+IF(DAY($A878)&gt;=INDEX(Cartoes_Fech,MATCH($F878,Cartoes_Nome,0)),1,0),1)))</f>
        <v/>
      </c>
      <c r="T878" s="42" t="str">
        <f>IF($A878="","",IF(COUNTIFS(L_Data,$A878,L_Desc,$B878,L_Valor,$N878,L_Tipo,$C878)&gt;1,"⚠ Possível duplicidade",IF(OR(AND($C878="Despesa",COUNTIF(CatD_Nome,$D878)=0),AND($C878="Receita",COUNTIF(CatR_Nome,$D878)=0)),"⚠ Categoria não combina com o tipo",IF(OR($N878="",$C878=""),"⚠ Falta valor ou tipo",""))))</f>
        <v/>
      </c>
      <c r="U878" s="40">
        <f>IF($A878="",0,P878*12+O878)</f>
        <v>0</v>
      </c>
      <c r="V878" s="40">
        <f>IF($A878="",0,U878+MAX(0,N($I878)-MAX(N($H878),1)))</f>
        <v>0</v>
      </c>
      <c r="W878" s="40">
        <f>IF(S878="",0,YEAR(S878)*12+MONTH(S878))</f>
        <v>0</v>
      </c>
      <c r="X878" s="40">
        <f>IF(W878=0,0,W878+V878-U878)</f>
        <v>0</v>
      </c>
      <c r="Y878" s="36">
        <f>IF(W878=0,0,N(R878)*MAX(0,X878-MAX(W878,YEAR(Cfg_Hoje)*12+MONTH(Cfg_Hoje)+IF(DAY(Cfg_Hoje)&gt;=INDEX(Cartoes_Fech,MATCH($F878,Cartoes_Nome,0)),1,0))+1))</f>
        <v>0</v>
      </c>
      <c r="Z878" s="40">
        <f>IF($A878="",0,DAY($A878))</f>
        <v>0</v>
      </c>
      <c r="AA878" s="40">
        <f>IF($A878="",0,WEEKDAY($A878))</f>
        <v>0</v>
      </c>
      <c r="AB878" s="36">
        <f>IF(AND($C878="Despesa",U878&gt;0,U878&lt;=Sel_Idx,V878&gt;=Sel_Idx),N(R878)+ROW()/1000000000,0)</f>
        <v>0</v>
      </c>
      <c r="AC878" s="40">
        <f>IF(AND($C878="Despesa",U878&gt;0,U878&lt;=Sel_Idx,V878&gt;=Sel_Idx),Z878*10000+ROW(),0)</f>
        <v>0</v>
      </c>
      <c r="AD878" s="40">
        <f>IF(AC878=0,0,COUNTIFS(L_CalChave,"&gt;0",L_CalChave,"&lt;"&amp;AC878)+1)</f>
        <v>0</v>
      </c>
    </row>
    <row r="879">
      <c r="A879" s="38" t="n"/>
      <c r="B879" s="39" t="n"/>
      <c r="C879" s="34" t="n"/>
      <c r="D879" s="34" t="n"/>
      <c r="E879" s="34" t="n"/>
      <c r="F879" s="34" t="n"/>
      <c r="G879" s="34" t="n"/>
      <c r="H879" s="37" t="n"/>
      <c r="I879" s="37" t="n"/>
      <c r="J879" s="34" t="n"/>
      <c r="K879" s="34" t="n"/>
      <c r="L879" s="34" t="n"/>
      <c r="M879" s="39" t="n"/>
      <c r="N879" s="35" t="n"/>
      <c r="O879" s="40" t="str">
        <f>IF($A879="","",MONTH($A879))</f>
        <v/>
      </c>
      <c r="P879" s="40" t="str">
        <f>IF($A879="","",YEAR($A879))</f>
        <v/>
      </c>
      <c r="Q879" s="41" t="str">
        <f>IF($A879="","",DATE(P879,O879,1))</f>
        <v/>
      </c>
      <c r="R879" s="36" t="str">
        <f>IF(OR($A879="",$N879=""),"",IF(AND($C879&lt;&gt;"Transferência",N($I879)&gt;1),$N879/$I879,$N879))</f>
        <v/>
      </c>
      <c r="S879" s="41" t="str">
        <f>IF(OR($A879="",$F879="",$C879&lt;&gt;"Despesa"),"",IF(COUNTIF(Cartoes_Nome,$F879)=0,"",DATE(P879,O879+IF(DAY($A879)&gt;=INDEX(Cartoes_Fech,MATCH($F879,Cartoes_Nome,0)),1,0),1)))</f>
        <v/>
      </c>
      <c r="T879" s="42" t="str">
        <f>IF($A879="","",IF(COUNTIFS(L_Data,$A879,L_Desc,$B879,L_Valor,$N879,L_Tipo,$C879)&gt;1,"⚠ Possível duplicidade",IF(OR(AND($C879="Despesa",COUNTIF(CatD_Nome,$D879)=0),AND($C879="Receita",COUNTIF(CatR_Nome,$D879)=0)),"⚠ Categoria não combina com o tipo",IF(OR($N879="",$C879=""),"⚠ Falta valor ou tipo",""))))</f>
        <v/>
      </c>
      <c r="U879" s="40">
        <f>IF($A879="",0,P879*12+O879)</f>
        <v>0</v>
      </c>
      <c r="V879" s="40">
        <f>IF($A879="",0,U879+MAX(0,N($I879)-MAX(N($H879),1)))</f>
        <v>0</v>
      </c>
      <c r="W879" s="40">
        <f>IF(S879="",0,YEAR(S879)*12+MONTH(S879))</f>
        <v>0</v>
      </c>
      <c r="X879" s="40">
        <f>IF(W879=0,0,W879+V879-U879)</f>
        <v>0</v>
      </c>
      <c r="Y879" s="36">
        <f>IF(W879=0,0,N(R879)*MAX(0,X879-MAX(W879,YEAR(Cfg_Hoje)*12+MONTH(Cfg_Hoje)+IF(DAY(Cfg_Hoje)&gt;=INDEX(Cartoes_Fech,MATCH($F879,Cartoes_Nome,0)),1,0))+1))</f>
        <v>0</v>
      </c>
      <c r="Z879" s="40">
        <f>IF($A879="",0,DAY($A879))</f>
        <v>0</v>
      </c>
      <c r="AA879" s="40">
        <f>IF($A879="",0,WEEKDAY($A879))</f>
        <v>0</v>
      </c>
      <c r="AB879" s="36">
        <f>IF(AND($C879="Despesa",U879&gt;0,U879&lt;=Sel_Idx,V879&gt;=Sel_Idx),N(R879)+ROW()/1000000000,0)</f>
        <v>0</v>
      </c>
      <c r="AC879" s="40">
        <f>IF(AND($C879="Despesa",U879&gt;0,U879&lt;=Sel_Idx,V879&gt;=Sel_Idx),Z879*10000+ROW(),0)</f>
        <v>0</v>
      </c>
      <c r="AD879" s="40">
        <f>IF(AC879=0,0,COUNTIFS(L_CalChave,"&gt;0",L_CalChave,"&lt;"&amp;AC879)+1)</f>
        <v>0</v>
      </c>
    </row>
    <row r="880">
      <c r="A880" s="38" t="n"/>
      <c r="B880" s="39" t="n"/>
      <c r="C880" s="34" t="n"/>
      <c r="D880" s="34" t="n"/>
      <c r="E880" s="34" t="n"/>
      <c r="F880" s="34" t="n"/>
      <c r="G880" s="34" t="n"/>
      <c r="H880" s="37" t="n"/>
      <c r="I880" s="37" t="n"/>
      <c r="J880" s="34" t="n"/>
      <c r="K880" s="34" t="n"/>
      <c r="L880" s="34" t="n"/>
      <c r="M880" s="39" t="n"/>
      <c r="N880" s="35" t="n"/>
      <c r="O880" s="40" t="str">
        <f>IF($A880="","",MONTH($A880))</f>
        <v/>
      </c>
      <c r="P880" s="40" t="str">
        <f>IF($A880="","",YEAR($A880))</f>
        <v/>
      </c>
      <c r="Q880" s="41" t="str">
        <f>IF($A880="","",DATE(P880,O880,1))</f>
        <v/>
      </c>
      <c r="R880" s="36" t="str">
        <f>IF(OR($A880="",$N880=""),"",IF(AND($C880&lt;&gt;"Transferência",N($I880)&gt;1),$N880/$I880,$N880))</f>
        <v/>
      </c>
      <c r="S880" s="41" t="str">
        <f>IF(OR($A880="",$F880="",$C880&lt;&gt;"Despesa"),"",IF(COUNTIF(Cartoes_Nome,$F880)=0,"",DATE(P880,O880+IF(DAY($A880)&gt;=INDEX(Cartoes_Fech,MATCH($F880,Cartoes_Nome,0)),1,0),1)))</f>
        <v/>
      </c>
      <c r="T880" s="42" t="str">
        <f>IF($A880="","",IF(COUNTIFS(L_Data,$A880,L_Desc,$B880,L_Valor,$N880,L_Tipo,$C880)&gt;1,"⚠ Possível duplicidade",IF(OR(AND($C880="Despesa",COUNTIF(CatD_Nome,$D880)=0),AND($C880="Receita",COUNTIF(CatR_Nome,$D880)=0)),"⚠ Categoria não combina com o tipo",IF(OR($N880="",$C880=""),"⚠ Falta valor ou tipo",""))))</f>
        <v/>
      </c>
      <c r="U880" s="40">
        <f>IF($A880="",0,P880*12+O880)</f>
        <v>0</v>
      </c>
      <c r="V880" s="40">
        <f>IF($A880="",0,U880+MAX(0,N($I880)-MAX(N($H880),1)))</f>
        <v>0</v>
      </c>
      <c r="W880" s="40">
        <f>IF(S880="",0,YEAR(S880)*12+MONTH(S880))</f>
        <v>0</v>
      </c>
      <c r="X880" s="40">
        <f>IF(W880=0,0,W880+V880-U880)</f>
        <v>0</v>
      </c>
      <c r="Y880" s="36">
        <f>IF(W880=0,0,N(R880)*MAX(0,X880-MAX(W880,YEAR(Cfg_Hoje)*12+MONTH(Cfg_Hoje)+IF(DAY(Cfg_Hoje)&gt;=INDEX(Cartoes_Fech,MATCH($F880,Cartoes_Nome,0)),1,0))+1))</f>
        <v>0</v>
      </c>
      <c r="Z880" s="40">
        <f>IF($A880="",0,DAY($A880))</f>
        <v>0</v>
      </c>
      <c r="AA880" s="40">
        <f>IF($A880="",0,WEEKDAY($A880))</f>
        <v>0</v>
      </c>
      <c r="AB880" s="36">
        <f>IF(AND($C880="Despesa",U880&gt;0,U880&lt;=Sel_Idx,V880&gt;=Sel_Idx),N(R880)+ROW()/1000000000,0)</f>
        <v>0</v>
      </c>
      <c r="AC880" s="40">
        <f>IF(AND($C880="Despesa",U880&gt;0,U880&lt;=Sel_Idx,V880&gt;=Sel_Idx),Z880*10000+ROW(),0)</f>
        <v>0</v>
      </c>
      <c r="AD880" s="40">
        <f>IF(AC880=0,0,COUNTIFS(L_CalChave,"&gt;0",L_CalChave,"&lt;"&amp;AC880)+1)</f>
        <v>0</v>
      </c>
    </row>
    <row r="881">
      <c r="A881" s="38" t="n"/>
      <c r="B881" s="39" t="n"/>
      <c r="C881" s="34" t="n"/>
      <c r="D881" s="34" t="n"/>
      <c r="E881" s="34" t="n"/>
      <c r="F881" s="34" t="n"/>
      <c r="G881" s="34" t="n"/>
      <c r="H881" s="37" t="n"/>
      <c r="I881" s="37" t="n"/>
      <c r="J881" s="34" t="n"/>
      <c r="K881" s="34" t="n"/>
      <c r="L881" s="34" t="n"/>
      <c r="M881" s="39" t="n"/>
      <c r="N881" s="35" t="n"/>
      <c r="O881" s="40" t="str">
        <f>IF($A881="","",MONTH($A881))</f>
        <v/>
      </c>
      <c r="P881" s="40" t="str">
        <f>IF($A881="","",YEAR($A881))</f>
        <v/>
      </c>
      <c r="Q881" s="41" t="str">
        <f>IF($A881="","",DATE(P881,O881,1))</f>
        <v/>
      </c>
      <c r="R881" s="36" t="str">
        <f>IF(OR($A881="",$N881=""),"",IF(AND($C881&lt;&gt;"Transferência",N($I881)&gt;1),$N881/$I881,$N881))</f>
        <v/>
      </c>
      <c r="S881" s="41" t="str">
        <f>IF(OR($A881="",$F881="",$C881&lt;&gt;"Despesa"),"",IF(COUNTIF(Cartoes_Nome,$F881)=0,"",DATE(P881,O881+IF(DAY($A881)&gt;=INDEX(Cartoes_Fech,MATCH($F881,Cartoes_Nome,0)),1,0),1)))</f>
        <v/>
      </c>
      <c r="T881" s="42" t="str">
        <f>IF($A881="","",IF(COUNTIFS(L_Data,$A881,L_Desc,$B881,L_Valor,$N881,L_Tipo,$C881)&gt;1,"⚠ Possível duplicidade",IF(OR(AND($C881="Despesa",COUNTIF(CatD_Nome,$D881)=0),AND($C881="Receita",COUNTIF(CatR_Nome,$D881)=0)),"⚠ Categoria não combina com o tipo",IF(OR($N881="",$C881=""),"⚠ Falta valor ou tipo",""))))</f>
        <v/>
      </c>
      <c r="U881" s="40">
        <f>IF($A881="",0,P881*12+O881)</f>
        <v>0</v>
      </c>
      <c r="V881" s="40">
        <f>IF($A881="",0,U881+MAX(0,N($I881)-MAX(N($H881),1)))</f>
        <v>0</v>
      </c>
      <c r="W881" s="40">
        <f>IF(S881="",0,YEAR(S881)*12+MONTH(S881))</f>
        <v>0</v>
      </c>
      <c r="X881" s="40">
        <f>IF(W881=0,0,W881+V881-U881)</f>
        <v>0</v>
      </c>
      <c r="Y881" s="36">
        <f>IF(W881=0,0,N(R881)*MAX(0,X881-MAX(W881,YEAR(Cfg_Hoje)*12+MONTH(Cfg_Hoje)+IF(DAY(Cfg_Hoje)&gt;=INDEX(Cartoes_Fech,MATCH($F881,Cartoes_Nome,0)),1,0))+1))</f>
        <v>0</v>
      </c>
      <c r="Z881" s="40">
        <f>IF($A881="",0,DAY($A881))</f>
        <v>0</v>
      </c>
      <c r="AA881" s="40">
        <f>IF($A881="",0,WEEKDAY($A881))</f>
        <v>0</v>
      </c>
      <c r="AB881" s="36">
        <f>IF(AND($C881="Despesa",U881&gt;0,U881&lt;=Sel_Idx,V881&gt;=Sel_Idx),N(R881)+ROW()/1000000000,0)</f>
        <v>0</v>
      </c>
      <c r="AC881" s="40">
        <f>IF(AND($C881="Despesa",U881&gt;0,U881&lt;=Sel_Idx,V881&gt;=Sel_Idx),Z881*10000+ROW(),0)</f>
        <v>0</v>
      </c>
      <c r="AD881" s="40">
        <f>IF(AC881=0,0,COUNTIFS(L_CalChave,"&gt;0",L_CalChave,"&lt;"&amp;AC881)+1)</f>
        <v>0</v>
      </c>
    </row>
    <row r="882">
      <c r="A882" s="38" t="n"/>
      <c r="B882" s="39" t="n"/>
      <c r="C882" s="34" t="n"/>
      <c r="D882" s="34" t="n"/>
      <c r="E882" s="34" t="n"/>
      <c r="F882" s="34" t="n"/>
      <c r="G882" s="34" t="n"/>
      <c r="H882" s="37" t="n"/>
      <c r="I882" s="37" t="n"/>
      <c r="J882" s="34" t="n"/>
      <c r="K882" s="34" t="n"/>
      <c r="L882" s="34" t="n"/>
      <c r="M882" s="39" t="n"/>
      <c r="N882" s="35" t="n"/>
      <c r="O882" s="40" t="str">
        <f>IF($A882="","",MONTH($A882))</f>
        <v/>
      </c>
      <c r="P882" s="40" t="str">
        <f>IF($A882="","",YEAR($A882))</f>
        <v/>
      </c>
      <c r="Q882" s="41" t="str">
        <f>IF($A882="","",DATE(P882,O882,1))</f>
        <v/>
      </c>
      <c r="R882" s="36" t="str">
        <f>IF(OR($A882="",$N882=""),"",IF(AND($C882&lt;&gt;"Transferência",N($I882)&gt;1),$N882/$I882,$N882))</f>
        <v/>
      </c>
      <c r="S882" s="41" t="str">
        <f>IF(OR($A882="",$F882="",$C882&lt;&gt;"Despesa"),"",IF(COUNTIF(Cartoes_Nome,$F882)=0,"",DATE(P882,O882+IF(DAY($A882)&gt;=INDEX(Cartoes_Fech,MATCH($F882,Cartoes_Nome,0)),1,0),1)))</f>
        <v/>
      </c>
      <c r="T882" s="42" t="str">
        <f>IF($A882="","",IF(COUNTIFS(L_Data,$A882,L_Desc,$B882,L_Valor,$N882,L_Tipo,$C882)&gt;1,"⚠ Possível duplicidade",IF(OR(AND($C882="Despesa",COUNTIF(CatD_Nome,$D882)=0),AND($C882="Receita",COUNTIF(CatR_Nome,$D882)=0)),"⚠ Categoria não combina com o tipo",IF(OR($N882="",$C882=""),"⚠ Falta valor ou tipo",""))))</f>
        <v/>
      </c>
      <c r="U882" s="40">
        <f>IF($A882="",0,P882*12+O882)</f>
        <v>0</v>
      </c>
      <c r="V882" s="40">
        <f>IF($A882="",0,U882+MAX(0,N($I882)-MAX(N($H882),1)))</f>
        <v>0</v>
      </c>
      <c r="W882" s="40">
        <f>IF(S882="",0,YEAR(S882)*12+MONTH(S882))</f>
        <v>0</v>
      </c>
      <c r="X882" s="40">
        <f>IF(W882=0,0,W882+V882-U882)</f>
        <v>0</v>
      </c>
      <c r="Y882" s="36">
        <f>IF(W882=0,0,N(R882)*MAX(0,X882-MAX(W882,YEAR(Cfg_Hoje)*12+MONTH(Cfg_Hoje)+IF(DAY(Cfg_Hoje)&gt;=INDEX(Cartoes_Fech,MATCH($F882,Cartoes_Nome,0)),1,0))+1))</f>
        <v>0</v>
      </c>
      <c r="Z882" s="40">
        <f>IF($A882="",0,DAY($A882))</f>
        <v>0</v>
      </c>
      <c r="AA882" s="40">
        <f>IF($A882="",0,WEEKDAY($A882))</f>
        <v>0</v>
      </c>
      <c r="AB882" s="36">
        <f>IF(AND($C882="Despesa",U882&gt;0,U882&lt;=Sel_Idx,V882&gt;=Sel_Idx),N(R882)+ROW()/1000000000,0)</f>
        <v>0</v>
      </c>
      <c r="AC882" s="40">
        <f>IF(AND($C882="Despesa",U882&gt;0,U882&lt;=Sel_Idx,V882&gt;=Sel_Idx),Z882*10000+ROW(),0)</f>
        <v>0</v>
      </c>
      <c r="AD882" s="40">
        <f>IF(AC882=0,0,COUNTIFS(L_CalChave,"&gt;0",L_CalChave,"&lt;"&amp;AC882)+1)</f>
        <v>0</v>
      </c>
    </row>
    <row r="883">
      <c r="A883" s="38" t="n"/>
      <c r="B883" s="39" t="n"/>
      <c r="C883" s="34" t="n"/>
      <c r="D883" s="34" t="n"/>
      <c r="E883" s="34" t="n"/>
      <c r="F883" s="34" t="n"/>
      <c r="G883" s="34" t="n"/>
      <c r="H883" s="37" t="n"/>
      <c r="I883" s="37" t="n"/>
      <c r="J883" s="34" t="n"/>
      <c r="K883" s="34" t="n"/>
      <c r="L883" s="34" t="n"/>
      <c r="M883" s="39" t="n"/>
      <c r="N883" s="35" t="n"/>
      <c r="O883" s="40" t="str">
        <f>IF($A883="","",MONTH($A883))</f>
        <v/>
      </c>
      <c r="P883" s="40" t="str">
        <f>IF($A883="","",YEAR($A883))</f>
        <v/>
      </c>
      <c r="Q883" s="41" t="str">
        <f>IF($A883="","",DATE(P883,O883,1))</f>
        <v/>
      </c>
      <c r="R883" s="36" t="str">
        <f>IF(OR($A883="",$N883=""),"",IF(AND($C883&lt;&gt;"Transferência",N($I883)&gt;1),$N883/$I883,$N883))</f>
        <v/>
      </c>
      <c r="S883" s="41" t="str">
        <f>IF(OR($A883="",$F883="",$C883&lt;&gt;"Despesa"),"",IF(COUNTIF(Cartoes_Nome,$F883)=0,"",DATE(P883,O883+IF(DAY($A883)&gt;=INDEX(Cartoes_Fech,MATCH($F883,Cartoes_Nome,0)),1,0),1)))</f>
        <v/>
      </c>
      <c r="T883" s="42" t="str">
        <f>IF($A883="","",IF(COUNTIFS(L_Data,$A883,L_Desc,$B883,L_Valor,$N883,L_Tipo,$C883)&gt;1,"⚠ Possível duplicidade",IF(OR(AND($C883="Despesa",COUNTIF(CatD_Nome,$D883)=0),AND($C883="Receita",COUNTIF(CatR_Nome,$D883)=0)),"⚠ Categoria não combina com o tipo",IF(OR($N883="",$C883=""),"⚠ Falta valor ou tipo",""))))</f>
        <v/>
      </c>
      <c r="U883" s="40">
        <f>IF($A883="",0,P883*12+O883)</f>
        <v>0</v>
      </c>
      <c r="V883" s="40">
        <f>IF($A883="",0,U883+MAX(0,N($I883)-MAX(N($H883),1)))</f>
        <v>0</v>
      </c>
      <c r="W883" s="40">
        <f>IF(S883="",0,YEAR(S883)*12+MONTH(S883))</f>
        <v>0</v>
      </c>
      <c r="X883" s="40">
        <f>IF(W883=0,0,W883+V883-U883)</f>
        <v>0</v>
      </c>
      <c r="Y883" s="36">
        <f>IF(W883=0,0,N(R883)*MAX(0,X883-MAX(W883,YEAR(Cfg_Hoje)*12+MONTH(Cfg_Hoje)+IF(DAY(Cfg_Hoje)&gt;=INDEX(Cartoes_Fech,MATCH($F883,Cartoes_Nome,0)),1,0))+1))</f>
        <v>0</v>
      </c>
      <c r="Z883" s="40">
        <f>IF($A883="",0,DAY($A883))</f>
        <v>0</v>
      </c>
      <c r="AA883" s="40">
        <f>IF($A883="",0,WEEKDAY($A883))</f>
        <v>0</v>
      </c>
      <c r="AB883" s="36">
        <f>IF(AND($C883="Despesa",U883&gt;0,U883&lt;=Sel_Idx,V883&gt;=Sel_Idx),N(R883)+ROW()/1000000000,0)</f>
        <v>0</v>
      </c>
      <c r="AC883" s="40">
        <f>IF(AND($C883="Despesa",U883&gt;0,U883&lt;=Sel_Idx,V883&gt;=Sel_Idx),Z883*10000+ROW(),0)</f>
        <v>0</v>
      </c>
      <c r="AD883" s="40">
        <f>IF(AC883=0,0,COUNTIFS(L_CalChave,"&gt;0",L_CalChave,"&lt;"&amp;AC883)+1)</f>
        <v>0</v>
      </c>
    </row>
    <row r="884">
      <c r="A884" s="38" t="n"/>
      <c r="B884" s="39" t="n"/>
      <c r="C884" s="34" t="n"/>
      <c r="D884" s="34" t="n"/>
      <c r="E884" s="34" t="n"/>
      <c r="F884" s="34" t="n"/>
      <c r="G884" s="34" t="n"/>
      <c r="H884" s="37" t="n"/>
      <c r="I884" s="37" t="n"/>
      <c r="J884" s="34" t="n"/>
      <c r="K884" s="34" t="n"/>
      <c r="L884" s="34" t="n"/>
      <c r="M884" s="39" t="n"/>
      <c r="N884" s="35" t="n"/>
      <c r="O884" s="40" t="str">
        <f>IF($A884="","",MONTH($A884))</f>
        <v/>
      </c>
      <c r="P884" s="40" t="str">
        <f>IF($A884="","",YEAR($A884))</f>
        <v/>
      </c>
      <c r="Q884" s="41" t="str">
        <f>IF($A884="","",DATE(P884,O884,1))</f>
        <v/>
      </c>
      <c r="R884" s="36" t="str">
        <f>IF(OR($A884="",$N884=""),"",IF(AND($C884&lt;&gt;"Transferência",N($I884)&gt;1),$N884/$I884,$N884))</f>
        <v/>
      </c>
      <c r="S884" s="41" t="str">
        <f>IF(OR($A884="",$F884="",$C884&lt;&gt;"Despesa"),"",IF(COUNTIF(Cartoes_Nome,$F884)=0,"",DATE(P884,O884+IF(DAY($A884)&gt;=INDEX(Cartoes_Fech,MATCH($F884,Cartoes_Nome,0)),1,0),1)))</f>
        <v/>
      </c>
      <c r="T884" s="42" t="str">
        <f>IF($A884="","",IF(COUNTIFS(L_Data,$A884,L_Desc,$B884,L_Valor,$N884,L_Tipo,$C884)&gt;1,"⚠ Possível duplicidade",IF(OR(AND($C884="Despesa",COUNTIF(CatD_Nome,$D884)=0),AND($C884="Receita",COUNTIF(CatR_Nome,$D884)=0)),"⚠ Categoria não combina com o tipo",IF(OR($N884="",$C884=""),"⚠ Falta valor ou tipo",""))))</f>
        <v/>
      </c>
      <c r="U884" s="40">
        <f>IF($A884="",0,P884*12+O884)</f>
        <v>0</v>
      </c>
      <c r="V884" s="40">
        <f>IF($A884="",0,U884+MAX(0,N($I884)-MAX(N($H884),1)))</f>
        <v>0</v>
      </c>
      <c r="W884" s="40">
        <f>IF(S884="",0,YEAR(S884)*12+MONTH(S884))</f>
        <v>0</v>
      </c>
      <c r="X884" s="40">
        <f>IF(W884=0,0,W884+V884-U884)</f>
        <v>0</v>
      </c>
      <c r="Y884" s="36">
        <f>IF(W884=0,0,N(R884)*MAX(0,X884-MAX(W884,YEAR(Cfg_Hoje)*12+MONTH(Cfg_Hoje)+IF(DAY(Cfg_Hoje)&gt;=INDEX(Cartoes_Fech,MATCH($F884,Cartoes_Nome,0)),1,0))+1))</f>
        <v>0</v>
      </c>
      <c r="Z884" s="40">
        <f>IF($A884="",0,DAY($A884))</f>
        <v>0</v>
      </c>
      <c r="AA884" s="40">
        <f>IF($A884="",0,WEEKDAY($A884))</f>
        <v>0</v>
      </c>
      <c r="AB884" s="36">
        <f>IF(AND($C884="Despesa",U884&gt;0,U884&lt;=Sel_Idx,V884&gt;=Sel_Idx),N(R884)+ROW()/1000000000,0)</f>
        <v>0</v>
      </c>
      <c r="AC884" s="40">
        <f>IF(AND($C884="Despesa",U884&gt;0,U884&lt;=Sel_Idx,V884&gt;=Sel_Idx),Z884*10000+ROW(),0)</f>
        <v>0</v>
      </c>
      <c r="AD884" s="40">
        <f>IF(AC884=0,0,COUNTIFS(L_CalChave,"&gt;0",L_CalChave,"&lt;"&amp;AC884)+1)</f>
        <v>0</v>
      </c>
    </row>
    <row r="885">
      <c r="A885" s="38" t="n"/>
      <c r="B885" s="39" t="n"/>
      <c r="C885" s="34" t="n"/>
      <c r="D885" s="34" t="n"/>
      <c r="E885" s="34" t="n"/>
      <c r="F885" s="34" t="n"/>
      <c r="G885" s="34" t="n"/>
      <c r="H885" s="37" t="n"/>
      <c r="I885" s="37" t="n"/>
      <c r="J885" s="34" t="n"/>
      <c r="K885" s="34" t="n"/>
      <c r="L885" s="34" t="n"/>
      <c r="M885" s="39" t="n"/>
      <c r="N885" s="35" t="n"/>
      <c r="O885" s="40" t="str">
        <f>IF($A885="","",MONTH($A885))</f>
        <v/>
      </c>
      <c r="P885" s="40" t="str">
        <f>IF($A885="","",YEAR($A885))</f>
        <v/>
      </c>
      <c r="Q885" s="41" t="str">
        <f>IF($A885="","",DATE(P885,O885,1))</f>
        <v/>
      </c>
      <c r="R885" s="36" t="str">
        <f>IF(OR($A885="",$N885=""),"",IF(AND($C885&lt;&gt;"Transferência",N($I885)&gt;1),$N885/$I885,$N885))</f>
        <v/>
      </c>
      <c r="S885" s="41" t="str">
        <f>IF(OR($A885="",$F885="",$C885&lt;&gt;"Despesa"),"",IF(COUNTIF(Cartoes_Nome,$F885)=0,"",DATE(P885,O885+IF(DAY($A885)&gt;=INDEX(Cartoes_Fech,MATCH($F885,Cartoes_Nome,0)),1,0),1)))</f>
        <v/>
      </c>
      <c r="T885" s="42" t="str">
        <f>IF($A885="","",IF(COUNTIFS(L_Data,$A885,L_Desc,$B885,L_Valor,$N885,L_Tipo,$C885)&gt;1,"⚠ Possível duplicidade",IF(OR(AND($C885="Despesa",COUNTIF(CatD_Nome,$D885)=0),AND($C885="Receita",COUNTIF(CatR_Nome,$D885)=0)),"⚠ Categoria não combina com o tipo",IF(OR($N885="",$C885=""),"⚠ Falta valor ou tipo",""))))</f>
        <v/>
      </c>
      <c r="U885" s="40">
        <f>IF($A885="",0,P885*12+O885)</f>
        <v>0</v>
      </c>
      <c r="V885" s="40">
        <f>IF($A885="",0,U885+MAX(0,N($I885)-MAX(N($H885),1)))</f>
        <v>0</v>
      </c>
      <c r="W885" s="40">
        <f>IF(S885="",0,YEAR(S885)*12+MONTH(S885))</f>
        <v>0</v>
      </c>
      <c r="X885" s="40">
        <f>IF(W885=0,0,W885+V885-U885)</f>
        <v>0</v>
      </c>
      <c r="Y885" s="36">
        <f>IF(W885=0,0,N(R885)*MAX(0,X885-MAX(W885,YEAR(Cfg_Hoje)*12+MONTH(Cfg_Hoje)+IF(DAY(Cfg_Hoje)&gt;=INDEX(Cartoes_Fech,MATCH($F885,Cartoes_Nome,0)),1,0))+1))</f>
        <v>0</v>
      </c>
      <c r="Z885" s="40">
        <f>IF($A885="",0,DAY($A885))</f>
        <v>0</v>
      </c>
      <c r="AA885" s="40">
        <f>IF($A885="",0,WEEKDAY($A885))</f>
        <v>0</v>
      </c>
      <c r="AB885" s="36">
        <f>IF(AND($C885="Despesa",U885&gt;0,U885&lt;=Sel_Idx,V885&gt;=Sel_Idx),N(R885)+ROW()/1000000000,0)</f>
        <v>0</v>
      </c>
      <c r="AC885" s="40">
        <f>IF(AND($C885="Despesa",U885&gt;0,U885&lt;=Sel_Idx,V885&gt;=Sel_Idx),Z885*10000+ROW(),0)</f>
        <v>0</v>
      </c>
      <c r="AD885" s="40">
        <f>IF(AC885=0,0,COUNTIFS(L_CalChave,"&gt;0",L_CalChave,"&lt;"&amp;AC885)+1)</f>
        <v>0</v>
      </c>
    </row>
    <row r="886">
      <c r="A886" s="38" t="n"/>
      <c r="B886" s="39" t="n"/>
      <c r="C886" s="34" t="n"/>
      <c r="D886" s="34" t="n"/>
      <c r="E886" s="34" t="n"/>
      <c r="F886" s="34" t="n"/>
      <c r="G886" s="34" t="n"/>
      <c r="H886" s="37" t="n"/>
      <c r="I886" s="37" t="n"/>
      <c r="J886" s="34" t="n"/>
      <c r="K886" s="34" t="n"/>
      <c r="L886" s="34" t="n"/>
      <c r="M886" s="39" t="n"/>
      <c r="N886" s="35" t="n"/>
      <c r="O886" s="40" t="str">
        <f>IF($A886="","",MONTH($A886))</f>
        <v/>
      </c>
      <c r="P886" s="40" t="str">
        <f>IF($A886="","",YEAR($A886))</f>
        <v/>
      </c>
      <c r="Q886" s="41" t="str">
        <f>IF($A886="","",DATE(P886,O886,1))</f>
        <v/>
      </c>
      <c r="R886" s="36" t="str">
        <f>IF(OR($A886="",$N886=""),"",IF(AND($C886&lt;&gt;"Transferência",N($I886)&gt;1),$N886/$I886,$N886))</f>
        <v/>
      </c>
      <c r="S886" s="41" t="str">
        <f>IF(OR($A886="",$F886="",$C886&lt;&gt;"Despesa"),"",IF(COUNTIF(Cartoes_Nome,$F886)=0,"",DATE(P886,O886+IF(DAY($A886)&gt;=INDEX(Cartoes_Fech,MATCH($F886,Cartoes_Nome,0)),1,0),1)))</f>
        <v/>
      </c>
      <c r="T886" s="42" t="str">
        <f>IF($A886="","",IF(COUNTIFS(L_Data,$A886,L_Desc,$B886,L_Valor,$N886,L_Tipo,$C886)&gt;1,"⚠ Possível duplicidade",IF(OR(AND($C886="Despesa",COUNTIF(CatD_Nome,$D886)=0),AND($C886="Receita",COUNTIF(CatR_Nome,$D886)=0)),"⚠ Categoria não combina com o tipo",IF(OR($N886="",$C886=""),"⚠ Falta valor ou tipo",""))))</f>
        <v/>
      </c>
      <c r="U886" s="40">
        <f>IF($A886="",0,P886*12+O886)</f>
        <v>0</v>
      </c>
      <c r="V886" s="40">
        <f>IF($A886="",0,U886+MAX(0,N($I886)-MAX(N($H886),1)))</f>
        <v>0</v>
      </c>
      <c r="W886" s="40">
        <f>IF(S886="",0,YEAR(S886)*12+MONTH(S886))</f>
        <v>0</v>
      </c>
      <c r="X886" s="40">
        <f>IF(W886=0,0,W886+V886-U886)</f>
        <v>0</v>
      </c>
      <c r="Y886" s="36">
        <f>IF(W886=0,0,N(R886)*MAX(0,X886-MAX(W886,YEAR(Cfg_Hoje)*12+MONTH(Cfg_Hoje)+IF(DAY(Cfg_Hoje)&gt;=INDEX(Cartoes_Fech,MATCH($F886,Cartoes_Nome,0)),1,0))+1))</f>
        <v>0</v>
      </c>
      <c r="Z886" s="40">
        <f>IF($A886="",0,DAY($A886))</f>
        <v>0</v>
      </c>
      <c r="AA886" s="40">
        <f>IF($A886="",0,WEEKDAY($A886))</f>
        <v>0</v>
      </c>
      <c r="AB886" s="36">
        <f>IF(AND($C886="Despesa",U886&gt;0,U886&lt;=Sel_Idx,V886&gt;=Sel_Idx),N(R886)+ROW()/1000000000,0)</f>
        <v>0</v>
      </c>
      <c r="AC886" s="40">
        <f>IF(AND($C886="Despesa",U886&gt;0,U886&lt;=Sel_Idx,V886&gt;=Sel_Idx),Z886*10000+ROW(),0)</f>
        <v>0</v>
      </c>
      <c r="AD886" s="40">
        <f>IF(AC886=0,0,COUNTIFS(L_CalChave,"&gt;0",L_CalChave,"&lt;"&amp;AC886)+1)</f>
        <v>0</v>
      </c>
    </row>
    <row r="887">
      <c r="A887" s="38" t="n"/>
      <c r="B887" s="39" t="n"/>
      <c r="C887" s="34" t="n"/>
      <c r="D887" s="34" t="n"/>
      <c r="E887" s="34" t="n"/>
      <c r="F887" s="34" t="n"/>
      <c r="G887" s="34" t="n"/>
      <c r="H887" s="37" t="n"/>
      <c r="I887" s="37" t="n"/>
      <c r="J887" s="34" t="n"/>
      <c r="K887" s="34" t="n"/>
      <c r="L887" s="34" t="n"/>
      <c r="M887" s="39" t="n"/>
      <c r="N887" s="35" t="n"/>
      <c r="O887" s="40" t="str">
        <f>IF($A887="","",MONTH($A887))</f>
        <v/>
      </c>
      <c r="P887" s="40" t="str">
        <f>IF($A887="","",YEAR($A887))</f>
        <v/>
      </c>
      <c r="Q887" s="41" t="str">
        <f>IF($A887="","",DATE(P887,O887,1))</f>
        <v/>
      </c>
      <c r="R887" s="36" t="str">
        <f>IF(OR($A887="",$N887=""),"",IF(AND($C887&lt;&gt;"Transferência",N($I887)&gt;1),$N887/$I887,$N887))</f>
        <v/>
      </c>
      <c r="S887" s="41" t="str">
        <f>IF(OR($A887="",$F887="",$C887&lt;&gt;"Despesa"),"",IF(COUNTIF(Cartoes_Nome,$F887)=0,"",DATE(P887,O887+IF(DAY($A887)&gt;=INDEX(Cartoes_Fech,MATCH($F887,Cartoes_Nome,0)),1,0),1)))</f>
        <v/>
      </c>
      <c r="T887" s="42" t="str">
        <f>IF($A887="","",IF(COUNTIFS(L_Data,$A887,L_Desc,$B887,L_Valor,$N887,L_Tipo,$C887)&gt;1,"⚠ Possível duplicidade",IF(OR(AND($C887="Despesa",COUNTIF(CatD_Nome,$D887)=0),AND($C887="Receita",COUNTIF(CatR_Nome,$D887)=0)),"⚠ Categoria não combina com o tipo",IF(OR($N887="",$C887=""),"⚠ Falta valor ou tipo",""))))</f>
        <v/>
      </c>
      <c r="U887" s="40">
        <f>IF($A887="",0,P887*12+O887)</f>
        <v>0</v>
      </c>
      <c r="V887" s="40">
        <f>IF($A887="",0,U887+MAX(0,N($I887)-MAX(N($H887),1)))</f>
        <v>0</v>
      </c>
      <c r="W887" s="40">
        <f>IF(S887="",0,YEAR(S887)*12+MONTH(S887))</f>
        <v>0</v>
      </c>
      <c r="X887" s="40">
        <f>IF(W887=0,0,W887+V887-U887)</f>
        <v>0</v>
      </c>
      <c r="Y887" s="36">
        <f>IF(W887=0,0,N(R887)*MAX(0,X887-MAX(W887,YEAR(Cfg_Hoje)*12+MONTH(Cfg_Hoje)+IF(DAY(Cfg_Hoje)&gt;=INDEX(Cartoes_Fech,MATCH($F887,Cartoes_Nome,0)),1,0))+1))</f>
        <v>0</v>
      </c>
      <c r="Z887" s="40">
        <f>IF($A887="",0,DAY($A887))</f>
        <v>0</v>
      </c>
      <c r="AA887" s="40">
        <f>IF($A887="",0,WEEKDAY($A887))</f>
        <v>0</v>
      </c>
      <c r="AB887" s="36">
        <f>IF(AND($C887="Despesa",U887&gt;0,U887&lt;=Sel_Idx,V887&gt;=Sel_Idx),N(R887)+ROW()/1000000000,0)</f>
        <v>0</v>
      </c>
      <c r="AC887" s="40">
        <f>IF(AND($C887="Despesa",U887&gt;0,U887&lt;=Sel_Idx,V887&gt;=Sel_Idx),Z887*10000+ROW(),0)</f>
        <v>0</v>
      </c>
      <c r="AD887" s="40">
        <f>IF(AC887=0,0,COUNTIFS(L_CalChave,"&gt;0",L_CalChave,"&lt;"&amp;AC887)+1)</f>
        <v>0</v>
      </c>
    </row>
    <row r="888">
      <c r="A888" s="38" t="n"/>
      <c r="B888" s="39" t="n"/>
      <c r="C888" s="34" t="n"/>
      <c r="D888" s="34" t="n"/>
      <c r="E888" s="34" t="n"/>
      <c r="F888" s="34" t="n"/>
      <c r="G888" s="34" t="n"/>
      <c r="H888" s="37" t="n"/>
      <c r="I888" s="37" t="n"/>
      <c r="J888" s="34" t="n"/>
      <c r="K888" s="34" t="n"/>
      <c r="L888" s="34" t="n"/>
      <c r="M888" s="39" t="n"/>
      <c r="N888" s="35" t="n"/>
      <c r="O888" s="40" t="str">
        <f>IF($A888="","",MONTH($A888))</f>
        <v/>
      </c>
      <c r="P888" s="40" t="str">
        <f>IF($A888="","",YEAR($A888))</f>
        <v/>
      </c>
      <c r="Q888" s="41" t="str">
        <f>IF($A888="","",DATE(P888,O888,1))</f>
        <v/>
      </c>
      <c r="R888" s="36" t="str">
        <f>IF(OR($A888="",$N888=""),"",IF(AND($C888&lt;&gt;"Transferência",N($I888)&gt;1),$N888/$I888,$N888))</f>
        <v/>
      </c>
      <c r="S888" s="41" t="str">
        <f>IF(OR($A888="",$F888="",$C888&lt;&gt;"Despesa"),"",IF(COUNTIF(Cartoes_Nome,$F888)=0,"",DATE(P888,O888+IF(DAY($A888)&gt;=INDEX(Cartoes_Fech,MATCH($F888,Cartoes_Nome,0)),1,0),1)))</f>
        <v/>
      </c>
      <c r="T888" s="42" t="str">
        <f>IF($A888="","",IF(COUNTIFS(L_Data,$A888,L_Desc,$B888,L_Valor,$N888,L_Tipo,$C888)&gt;1,"⚠ Possível duplicidade",IF(OR(AND($C888="Despesa",COUNTIF(CatD_Nome,$D888)=0),AND($C888="Receita",COUNTIF(CatR_Nome,$D888)=0)),"⚠ Categoria não combina com o tipo",IF(OR($N888="",$C888=""),"⚠ Falta valor ou tipo",""))))</f>
        <v/>
      </c>
      <c r="U888" s="40">
        <f>IF($A888="",0,P888*12+O888)</f>
        <v>0</v>
      </c>
      <c r="V888" s="40">
        <f>IF($A888="",0,U888+MAX(0,N($I888)-MAX(N($H888),1)))</f>
        <v>0</v>
      </c>
      <c r="W888" s="40">
        <f>IF(S888="",0,YEAR(S888)*12+MONTH(S888))</f>
        <v>0</v>
      </c>
      <c r="X888" s="40">
        <f>IF(W888=0,0,W888+V888-U888)</f>
        <v>0</v>
      </c>
      <c r="Y888" s="36">
        <f>IF(W888=0,0,N(R888)*MAX(0,X888-MAX(W888,YEAR(Cfg_Hoje)*12+MONTH(Cfg_Hoje)+IF(DAY(Cfg_Hoje)&gt;=INDEX(Cartoes_Fech,MATCH($F888,Cartoes_Nome,0)),1,0))+1))</f>
        <v>0</v>
      </c>
      <c r="Z888" s="40">
        <f>IF($A888="",0,DAY($A888))</f>
        <v>0</v>
      </c>
      <c r="AA888" s="40">
        <f>IF($A888="",0,WEEKDAY($A888))</f>
        <v>0</v>
      </c>
      <c r="AB888" s="36">
        <f>IF(AND($C888="Despesa",U888&gt;0,U888&lt;=Sel_Idx,V888&gt;=Sel_Idx),N(R888)+ROW()/1000000000,0)</f>
        <v>0</v>
      </c>
      <c r="AC888" s="40">
        <f>IF(AND($C888="Despesa",U888&gt;0,U888&lt;=Sel_Idx,V888&gt;=Sel_Idx),Z888*10000+ROW(),0)</f>
        <v>0</v>
      </c>
      <c r="AD888" s="40">
        <f>IF(AC888=0,0,COUNTIFS(L_CalChave,"&gt;0",L_CalChave,"&lt;"&amp;AC888)+1)</f>
        <v>0</v>
      </c>
    </row>
    <row r="889">
      <c r="A889" s="38" t="n"/>
      <c r="B889" s="39" t="n"/>
      <c r="C889" s="34" t="n"/>
      <c r="D889" s="34" t="n"/>
      <c r="E889" s="34" t="n"/>
      <c r="F889" s="34" t="n"/>
      <c r="G889" s="34" t="n"/>
      <c r="H889" s="37" t="n"/>
      <c r="I889" s="37" t="n"/>
      <c r="J889" s="34" t="n"/>
      <c r="K889" s="34" t="n"/>
      <c r="L889" s="34" t="n"/>
      <c r="M889" s="39" t="n"/>
      <c r="N889" s="35" t="n"/>
      <c r="O889" s="40" t="str">
        <f>IF($A889="","",MONTH($A889))</f>
        <v/>
      </c>
      <c r="P889" s="40" t="str">
        <f>IF($A889="","",YEAR($A889))</f>
        <v/>
      </c>
      <c r="Q889" s="41" t="str">
        <f>IF($A889="","",DATE(P889,O889,1))</f>
        <v/>
      </c>
      <c r="R889" s="36" t="str">
        <f>IF(OR($A889="",$N889=""),"",IF(AND($C889&lt;&gt;"Transferência",N($I889)&gt;1),$N889/$I889,$N889))</f>
        <v/>
      </c>
      <c r="S889" s="41" t="str">
        <f>IF(OR($A889="",$F889="",$C889&lt;&gt;"Despesa"),"",IF(COUNTIF(Cartoes_Nome,$F889)=0,"",DATE(P889,O889+IF(DAY($A889)&gt;=INDEX(Cartoes_Fech,MATCH($F889,Cartoes_Nome,0)),1,0),1)))</f>
        <v/>
      </c>
      <c r="T889" s="42" t="str">
        <f>IF($A889="","",IF(COUNTIFS(L_Data,$A889,L_Desc,$B889,L_Valor,$N889,L_Tipo,$C889)&gt;1,"⚠ Possível duplicidade",IF(OR(AND($C889="Despesa",COUNTIF(CatD_Nome,$D889)=0),AND($C889="Receita",COUNTIF(CatR_Nome,$D889)=0)),"⚠ Categoria não combina com o tipo",IF(OR($N889="",$C889=""),"⚠ Falta valor ou tipo",""))))</f>
        <v/>
      </c>
      <c r="U889" s="40">
        <f>IF($A889="",0,P889*12+O889)</f>
        <v>0</v>
      </c>
      <c r="V889" s="40">
        <f>IF($A889="",0,U889+MAX(0,N($I889)-MAX(N($H889),1)))</f>
        <v>0</v>
      </c>
      <c r="W889" s="40">
        <f>IF(S889="",0,YEAR(S889)*12+MONTH(S889))</f>
        <v>0</v>
      </c>
      <c r="X889" s="40">
        <f>IF(W889=0,0,W889+V889-U889)</f>
        <v>0</v>
      </c>
      <c r="Y889" s="36">
        <f>IF(W889=0,0,N(R889)*MAX(0,X889-MAX(W889,YEAR(Cfg_Hoje)*12+MONTH(Cfg_Hoje)+IF(DAY(Cfg_Hoje)&gt;=INDEX(Cartoes_Fech,MATCH($F889,Cartoes_Nome,0)),1,0))+1))</f>
        <v>0</v>
      </c>
      <c r="Z889" s="40">
        <f>IF($A889="",0,DAY($A889))</f>
        <v>0</v>
      </c>
      <c r="AA889" s="40">
        <f>IF($A889="",0,WEEKDAY($A889))</f>
        <v>0</v>
      </c>
      <c r="AB889" s="36">
        <f>IF(AND($C889="Despesa",U889&gt;0,U889&lt;=Sel_Idx,V889&gt;=Sel_Idx),N(R889)+ROW()/1000000000,0)</f>
        <v>0</v>
      </c>
      <c r="AC889" s="40">
        <f>IF(AND($C889="Despesa",U889&gt;0,U889&lt;=Sel_Idx,V889&gt;=Sel_Idx),Z889*10000+ROW(),0)</f>
        <v>0</v>
      </c>
      <c r="AD889" s="40">
        <f>IF(AC889=0,0,COUNTIFS(L_CalChave,"&gt;0",L_CalChave,"&lt;"&amp;AC889)+1)</f>
        <v>0</v>
      </c>
    </row>
    <row r="890">
      <c r="A890" s="38" t="n"/>
      <c r="B890" s="39" t="n"/>
      <c r="C890" s="34" t="n"/>
      <c r="D890" s="34" t="n"/>
      <c r="E890" s="34" t="n"/>
      <c r="F890" s="34" t="n"/>
      <c r="G890" s="34" t="n"/>
      <c r="H890" s="37" t="n"/>
      <c r="I890" s="37" t="n"/>
      <c r="J890" s="34" t="n"/>
      <c r="K890" s="34" t="n"/>
      <c r="L890" s="34" t="n"/>
      <c r="M890" s="39" t="n"/>
      <c r="N890" s="35" t="n"/>
      <c r="O890" s="40" t="str">
        <f>IF($A890="","",MONTH($A890))</f>
        <v/>
      </c>
      <c r="P890" s="40" t="str">
        <f>IF($A890="","",YEAR($A890))</f>
        <v/>
      </c>
      <c r="Q890" s="41" t="str">
        <f>IF($A890="","",DATE(P890,O890,1))</f>
        <v/>
      </c>
      <c r="R890" s="36" t="str">
        <f>IF(OR($A890="",$N890=""),"",IF(AND($C890&lt;&gt;"Transferência",N($I890)&gt;1),$N890/$I890,$N890))</f>
        <v/>
      </c>
      <c r="S890" s="41" t="str">
        <f>IF(OR($A890="",$F890="",$C890&lt;&gt;"Despesa"),"",IF(COUNTIF(Cartoes_Nome,$F890)=0,"",DATE(P890,O890+IF(DAY($A890)&gt;=INDEX(Cartoes_Fech,MATCH($F890,Cartoes_Nome,0)),1,0),1)))</f>
        <v/>
      </c>
      <c r="T890" s="42" t="str">
        <f>IF($A890="","",IF(COUNTIFS(L_Data,$A890,L_Desc,$B890,L_Valor,$N890,L_Tipo,$C890)&gt;1,"⚠ Possível duplicidade",IF(OR(AND($C890="Despesa",COUNTIF(CatD_Nome,$D890)=0),AND($C890="Receita",COUNTIF(CatR_Nome,$D890)=0)),"⚠ Categoria não combina com o tipo",IF(OR($N890="",$C890=""),"⚠ Falta valor ou tipo",""))))</f>
        <v/>
      </c>
      <c r="U890" s="40">
        <f>IF($A890="",0,P890*12+O890)</f>
        <v>0</v>
      </c>
      <c r="V890" s="40">
        <f>IF($A890="",0,U890+MAX(0,N($I890)-MAX(N($H890),1)))</f>
        <v>0</v>
      </c>
      <c r="W890" s="40">
        <f>IF(S890="",0,YEAR(S890)*12+MONTH(S890))</f>
        <v>0</v>
      </c>
      <c r="X890" s="40">
        <f>IF(W890=0,0,W890+V890-U890)</f>
        <v>0</v>
      </c>
      <c r="Y890" s="36">
        <f>IF(W890=0,0,N(R890)*MAX(0,X890-MAX(W890,YEAR(Cfg_Hoje)*12+MONTH(Cfg_Hoje)+IF(DAY(Cfg_Hoje)&gt;=INDEX(Cartoes_Fech,MATCH($F890,Cartoes_Nome,0)),1,0))+1))</f>
        <v>0</v>
      </c>
      <c r="Z890" s="40">
        <f>IF($A890="",0,DAY($A890))</f>
        <v>0</v>
      </c>
      <c r="AA890" s="40">
        <f>IF($A890="",0,WEEKDAY($A890))</f>
        <v>0</v>
      </c>
      <c r="AB890" s="36">
        <f>IF(AND($C890="Despesa",U890&gt;0,U890&lt;=Sel_Idx,V890&gt;=Sel_Idx),N(R890)+ROW()/1000000000,0)</f>
        <v>0</v>
      </c>
      <c r="AC890" s="40">
        <f>IF(AND($C890="Despesa",U890&gt;0,U890&lt;=Sel_Idx,V890&gt;=Sel_Idx),Z890*10000+ROW(),0)</f>
        <v>0</v>
      </c>
      <c r="AD890" s="40">
        <f>IF(AC890=0,0,COUNTIFS(L_CalChave,"&gt;0",L_CalChave,"&lt;"&amp;AC890)+1)</f>
        <v>0</v>
      </c>
    </row>
    <row r="891">
      <c r="A891" s="38" t="n"/>
      <c r="B891" s="39" t="n"/>
      <c r="C891" s="34" t="n"/>
      <c r="D891" s="34" t="n"/>
      <c r="E891" s="34" t="n"/>
      <c r="F891" s="34" t="n"/>
      <c r="G891" s="34" t="n"/>
      <c r="H891" s="37" t="n"/>
      <c r="I891" s="37" t="n"/>
      <c r="J891" s="34" t="n"/>
      <c r="K891" s="34" t="n"/>
      <c r="L891" s="34" t="n"/>
      <c r="M891" s="39" t="n"/>
      <c r="N891" s="35" t="n"/>
      <c r="O891" s="40" t="str">
        <f>IF($A891="","",MONTH($A891))</f>
        <v/>
      </c>
      <c r="P891" s="40" t="str">
        <f>IF($A891="","",YEAR($A891))</f>
        <v/>
      </c>
      <c r="Q891" s="41" t="str">
        <f>IF($A891="","",DATE(P891,O891,1))</f>
        <v/>
      </c>
      <c r="R891" s="36" t="str">
        <f>IF(OR($A891="",$N891=""),"",IF(AND($C891&lt;&gt;"Transferência",N($I891)&gt;1),$N891/$I891,$N891))</f>
        <v/>
      </c>
      <c r="S891" s="41" t="str">
        <f>IF(OR($A891="",$F891="",$C891&lt;&gt;"Despesa"),"",IF(COUNTIF(Cartoes_Nome,$F891)=0,"",DATE(P891,O891+IF(DAY($A891)&gt;=INDEX(Cartoes_Fech,MATCH($F891,Cartoes_Nome,0)),1,0),1)))</f>
        <v/>
      </c>
      <c r="T891" s="42" t="str">
        <f>IF($A891="","",IF(COUNTIFS(L_Data,$A891,L_Desc,$B891,L_Valor,$N891,L_Tipo,$C891)&gt;1,"⚠ Possível duplicidade",IF(OR(AND($C891="Despesa",COUNTIF(CatD_Nome,$D891)=0),AND($C891="Receita",COUNTIF(CatR_Nome,$D891)=0)),"⚠ Categoria não combina com o tipo",IF(OR($N891="",$C891=""),"⚠ Falta valor ou tipo",""))))</f>
        <v/>
      </c>
      <c r="U891" s="40">
        <f>IF($A891="",0,P891*12+O891)</f>
        <v>0</v>
      </c>
      <c r="V891" s="40">
        <f>IF($A891="",0,U891+MAX(0,N($I891)-MAX(N($H891),1)))</f>
        <v>0</v>
      </c>
      <c r="W891" s="40">
        <f>IF(S891="",0,YEAR(S891)*12+MONTH(S891))</f>
        <v>0</v>
      </c>
      <c r="X891" s="40">
        <f>IF(W891=0,0,W891+V891-U891)</f>
        <v>0</v>
      </c>
      <c r="Y891" s="36">
        <f>IF(W891=0,0,N(R891)*MAX(0,X891-MAX(W891,YEAR(Cfg_Hoje)*12+MONTH(Cfg_Hoje)+IF(DAY(Cfg_Hoje)&gt;=INDEX(Cartoes_Fech,MATCH($F891,Cartoes_Nome,0)),1,0))+1))</f>
        <v>0</v>
      </c>
      <c r="Z891" s="40">
        <f>IF($A891="",0,DAY($A891))</f>
        <v>0</v>
      </c>
      <c r="AA891" s="40">
        <f>IF($A891="",0,WEEKDAY($A891))</f>
        <v>0</v>
      </c>
      <c r="AB891" s="36">
        <f>IF(AND($C891="Despesa",U891&gt;0,U891&lt;=Sel_Idx,V891&gt;=Sel_Idx),N(R891)+ROW()/1000000000,0)</f>
        <v>0</v>
      </c>
      <c r="AC891" s="40">
        <f>IF(AND($C891="Despesa",U891&gt;0,U891&lt;=Sel_Idx,V891&gt;=Sel_Idx),Z891*10000+ROW(),0)</f>
        <v>0</v>
      </c>
      <c r="AD891" s="40">
        <f>IF(AC891=0,0,COUNTIFS(L_CalChave,"&gt;0",L_CalChave,"&lt;"&amp;AC891)+1)</f>
        <v>0</v>
      </c>
    </row>
    <row r="892">
      <c r="A892" s="38" t="n"/>
      <c r="B892" s="39" t="n"/>
      <c r="C892" s="34" t="n"/>
      <c r="D892" s="34" t="n"/>
      <c r="E892" s="34" t="n"/>
      <c r="F892" s="34" t="n"/>
      <c r="G892" s="34" t="n"/>
      <c r="H892" s="37" t="n"/>
      <c r="I892" s="37" t="n"/>
      <c r="J892" s="34" t="n"/>
      <c r="K892" s="34" t="n"/>
      <c r="L892" s="34" t="n"/>
      <c r="M892" s="39" t="n"/>
      <c r="N892" s="35" t="n"/>
      <c r="O892" s="40" t="str">
        <f>IF($A892="","",MONTH($A892))</f>
        <v/>
      </c>
      <c r="P892" s="40" t="str">
        <f>IF($A892="","",YEAR($A892))</f>
        <v/>
      </c>
      <c r="Q892" s="41" t="str">
        <f>IF($A892="","",DATE(P892,O892,1))</f>
        <v/>
      </c>
      <c r="R892" s="36" t="str">
        <f>IF(OR($A892="",$N892=""),"",IF(AND($C892&lt;&gt;"Transferência",N($I892)&gt;1),$N892/$I892,$N892))</f>
        <v/>
      </c>
      <c r="S892" s="41" t="str">
        <f>IF(OR($A892="",$F892="",$C892&lt;&gt;"Despesa"),"",IF(COUNTIF(Cartoes_Nome,$F892)=0,"",DATE(P892,O892+IF(DAY($A892)&gt;=INDEX(Cartoes_Fech,MATCH($F892,Cartoes_Nome,0)),1,0),1)))</f>
        <v/>
      </c>
      <c r="T892" s="42" t="str">
        <f>IF($A892="","",IF(COUNTIFS(L_Data,$A892,L_Desc,$B892,L_Valor,$N892,L_Tipo,$C892)&gt;1,"⚠ Possível duplicidade",IF(OR(AND($C892="Despesa",COUNTIF(CatD_Nome,$D892)=0),AND($C892="Receita",COUNTIF(CatR_Nome,$D892)=0)),"⚠ Categoria não combina com o tipo",IF(OR($N892="",$C892=""),"⚠ Falta valor ou tipo",""))))</f>
        <v/>
      </c>
      <c r="U892" s="40">
        <f>IF($A892="",0,P892*12+O892)</f>
        <v>0</v>
      </c>
      <c r="V892" s="40">
        <f>IF($A892="",0,U892+MAX(0,N($I892)-MAX(N($H892),1)))</f>
        <v>0</v>
      </c>
      <c r="W892" s="40">
        <f>IF(S892="",0,YEAR(S892)*12+MONTH(S892))</f>
        <v>0</v>
      </c>
      <c r="X892" s="40">
        <f>IF(W892=0,0,W892+V892-U892)</f>
        <v>0</v>
      </c>
      <c r="Y892" s="36">
        <f>IF(W892=0,0,N(R892)*MAX(0,X892-MAX(W892,YEAR(Cfg_Hoje)*12+MONTH(Cfg_Hoje)+IF(DAY(Cfg_Hoje)&gt;=INDEX(Cartoes_Fech,MATCH($F892,Cartoes_Nome,0)),1,0))+1))</f>
        <v>0</v>
      </c>
      <c r="Z892" s="40">
        <f>IF($A892="",0,DAY($A892))</f>
        <v>0</v>
      </c>
      <c r="AA892" s="40">
        <f>IF($A892="",0,WEEKDAY($A892))</f>
        <v>0</v>
      </c>
      <c r="AB892" s="36">
        <f>IF(AND($C892="Despesa",U892&gt;0,U892&lt;=Sel_Idx,V892&gt;=Sel_Idx),N(R892)+ROW()/1000000000,0)</f>
        <v>0</v>
      </c>
      <c r="AC892" s="40">
        <f>IF(AND($C892="Despesa",U892&gt;0,U892&lt;=Sel_Idx,V892&gt;=Sel_Idx),Z892*10000+ROW(),0)</f>
        <v>0</v>
      </c>
      <c r="AD892" s="40">
        <f>IF(AC892=0,0,COUNTIFS(L_CalChave,"&gt;0",L_CalChave,"&lt;"&amp;AC892)+1)</f>
        <v>0</v>
      </c>
    </row>
    <row r="893">
      <c r="A893" s="38" t="n"/>
      <c r="B893" s="39" t="n"/>
      <c r="C893" s="34" t="n"/>
      <c r="D893" s="34" t="n"/>
      <c r="E893" s="34" t="n"/>
      <c r="F893" s="34" t="n"/>
      <c r="G893" s="34" t="n"/>
      <c r="H893" s="37" t="n"/>
      <c r="I893" s="37" t="n"/>
      <c r="J893" s="34" t="n"/>
      <c r="K893" s="34" t="n"/>
      <c r="L893" s="34" t="n"/>
      <c r="M893" s="39" t="n"/>
      <c r="N893" s="35" t="n"/>
      <c r="O893" s="40" t="str">
        <f>IF($A893="","",MONTH($A893))</f>
        <v/>
      </c>
      <c r="P893" s="40" t="str">
        <f>IF($A893="","",YEAR($A893))</f>
        <v/>
      </c>
      <c r="Q893" s="41" t="str">
        <f>IF($A893="","",DATE(P893,O893,1))</f>
        <v/>
      </c>
      <c r="R893" s="36" t="str">
        <f>IF(OR($A893="",$N893=""),"",IF(AND($C893&lt;&gt;"Transferência",N($I893)&gt;1),$N893/$I893,$N893))</f>
        <v/>
      </c>
      <c r="S893" s="41" t="str">
        <f>IF(OR($A893="",$F893="",$C893&lt;&gt;"Despesa"),"",IF(COUNTIF(Cartoes_Nome,$F893)=0,"",DATE(P893,O893+IF(DAY($A893)&gt;=INDEX(Cartoes_Fech,MATCH($F893,Cartoes_Nome,0)),1,0),1)))</f>
        <v/>
      </c>
      <c r="T893" s="42" t="str">
        <f>IF($A893="","",IF(COUNTIFS(L_Data,$A893,L_Desc,$B893,L_Valor,$N893,L_Tipo,$C893)&gt;1,"⚠ Possível duplicidade",IF(OR(AND($C893="Despesa",COUNTIF(CatD_Nome,$D893)=0),AND($C893="Receita",COUNTIF(CatR_Nome,$D893)=0)),"⚠ Categoria não combina com o tipo",IF(OR($N893="",$C893=""),"⚠ Falta valor ou tipo",""))))</f>
        <v/>
      </c>
      <c r="U893" s="40">
        <f>IF($A893="",0,P893*12+O893)</f>
        <v>0</v>
      </c>
      <c r="V893" s="40">
        <f>IF($A893="",0,U893+MAX(0,N($I893)-MAX(N($H893),1)))</f>
        <v>0</v>
      </c>
      <c r="W893" s="40">
        <f>IF(S893="",0,YEAR(S893)*12+MONTH(S893))</f>
        <v>0</v>
      </c>
      <c r="X893" s="40">
        <f>IF(W893=0,0,W893+V893-U893)</f>
        <v>0</v>
      </c>
      <c r="Y893" s="36">
        <f>IF(W893=0,0,N(R893)*MAX(0,X893-MAX(W893,YEAR(Cfg_Hoje)*12+MONTH(Cfg_Hoje)+IF(DAY(Cfg_Hoje)&gt;=INDEX(Cartoes_Fech,MATCH($F893,Cartoes_Nome,0)),1,0))+1))</f>
        <v>0</v>
      </c>
      <c r="Z893" s="40">
        <f>IF($A893="",0,DAY($A893))</f>
        <v>0</v>
      </c>
      <c r="AA893" s="40">
        <f>IF($A893="",0,WEEKDAY($A893))</f>
        <v>0</v>
      </c>
      <c r="AB893" s="36">
        <f>IF(AND($C893="Despesa",U893&gt;0,U893&lt;=Sel_Idx,V893&gt;=Sel_Idx),N(R893)+ROW()/1000000000,0)</f>
        <v>0</v>
      </c>
      <c r="AC893" s="40">
        <f>IF(AND($C893="Despesa",U893&gt;0,U893&lt;=Sel_Idx,V893&gt;=Sel_Idx),Z893*10000+ROW(),0)</f>
        <v>0</v>
      </c>
      <c r="AD893" s="40">
        <f>IF(AC893=0,0,COUNTIFS(L_CalChave,"&gt;0",L_CalChave,"&lt;"&amp;AC893)+1)</f>
        <v>0</v>
      </c>
    </row>
    <row r="894">
      <c r="A894" s="38" t="n"/>
      <c r="B894" s="39" t="n"/>
      <c r="C894" s="34" t="n"/>
      <c r="D894" s="34" t="n"/>
      <c r="E894" s="34" t="n"/>
      <c r="F894" s="34" t="n"/>
      <c r="G894" s="34" t="n"/>
      <c r="H894" s="37" t="n"/>
      <c r="I894" s="37" t="n"/>
      <c r="J894" s="34" t="n"/>
      <c r="K894" s="34" t="n"/>
      <c r="L894" s="34" t="n"/>
      <c r="M894" s="39" t="n"/>
      <c r="N894" s="35" t="n"/>
      <c r="O894" s="40" t="str">
        <f>IF($A894="","",MONTH($A894))</f>
        <v/>
      </c>
      <c r="P894" s="40" t="str">
        <f>IF($A894="","",YEAR($A894))</f>
        <v/>
      </c>
      <c r="Q894" s="41" t="str">
        <f>IF($A894="","",DATE(P894,O894,1))</f>
        <v/>
      </c>
      <c r="R894" s="36" t="str">
        <f>IF(OR($A894="",$N894=""),"",IF(AND($C894&lt;&gt;"Transferência",N($I894)&gt;1),$N894/$I894,$N894))</f>
        <v/>
      </c>
      <c r="S894" s="41" t="str">
        <f>IF(OR($A894="",$F894="",$C894&lt;&gt;"Despesa"),"",IF(COUNTIF(Cartoes_Nome,$F894)=0,"",DATE(P894,O894+IF(DAY($A894)&gt;=INDEX(Cartoes_Fech,MATCH($F894,Cartoes_Nome,0)),1,0),1)))</f>
        <v/>
      </c>
      <c r="T894" s="42" t="str">
        <f>IF($A894="","",IF(COUNTIFS(L_Data,$A894,L_Desc,$B894,L_Valor,$N894,L_Tipo,$C894)&gt;1,"⚠ Possível duplicidade",IF(OR(AND($C894="Despesa",COUNTIF(CatD_Nome,$D894)=0),AND($C894="Receita",COUNTIF(CatR_Nome,$D894)=0)),"⚠ Categoria não combina com o tipo",IF(OR($N894="",$C894=""),"⚠ Falta valor ou tipo",""))))</f>
        <v/>
      </c>
      <c r="U894" s="40">
        <f>IF($A894="",0,P894*12+O894)</f>
        <v>0</v>
      </c>
      <c r="V894" s="40">
        <f>IF($A894="",0,U894+MAX(0,N($I894)-MAX(N($H894),1)))</f>
        <v>0</v>
      </c>
      <c r="W894" s="40">
        <f>IF(S894="",0,YEAR(S894)*12+MONTH(S894))</f>
        <v>0</v>
      </c>
      <c r="X894" s="40">
        <f>IF(W894=0,0,W894+V894-U894)</f>
        <v>0</v>
      </c>
      <c r="Y894" s="36">
        <f>IF(W894=0,0,N(R894)*MAX(0,X894-MAX(W894,YEAR(Cfg_Hoje)*12+MONTH(Cfg_Hoje)+IF(DAY(Cfg_Hoje)&gt;=INDEX(Cartoes_Fech,MATCH($F894,Cartoes_Nome,0)),1,0))+1))</f>
        <v>0</v>
      </c>
      <c r="Z894" s="40">
        <f>IF($A894="",0,DAY($A894))</f>
        <v>0</v>
      </c>
      <c r="AA894" s="40">
        <f>IF($A894="",0,WEEKDAY($A894))</f>
        <v>0</v>
      </c>
      <c r="AB894" s="36">
        <f>IF(AND($C894="Despesa",U894&gt;0,U894&lt;=Sel_Idx,V894&gt;=Sel_Idx),N(R894)+ROW()/1000000000,0)</f>
        <v>0</v>
      </c>
      <c r="AC894" s="40">
        <f>IF(AND($C894="Despesa",U894&gt;0,U894&lt;=Sel_Idx,V894&gt;=Sel_Idx),Z894*10000+ROW(),0)</f>
        <v>0</v>
      </c>
      <c r="AD894" s="40">
        <f>IF(AC894=0,0,COUNTIFS(L_CalChave,"&gt;0",L_CalChave,"&lt;"&amp;AC894)+1)</f>
        <v>0</v>
      </c>
    </row>
    <row r="895">
      <c r="A895" s="38" t="n"/>
      <c r="B895" s="39" t="n"/>
      <c r="C895" s="34" t="n"/>
      <c r="D895" s="34" t="n"/>
      <c r="E895" s="34" t="n"/>
      <c r="F895" s="34" t="n"/>
      <c r="G895" s="34" t="n"/>
      <c r="H895" s="37" t="n"/>
      <c r="I895" s="37" t="n"/>
      <c r="J895" s="34" t="n"/>
      <c r="K895" s="34" t="n"/>
      <c r="L895" s="34" t="n"/>
      <c r="M895" s="39" t="n"/>
      <c r="N895" s="35" t="n"/>
      <c r="O895" s="40" t="str">
        <f>IF($A895="","",MONTH($A895))</f>
        <v/>
      </c>
      <c r="P895" s="40" t="str">
        <f>IF($A895="","",YEAR($A895))</f>
        <v/>
      </c>
      <c r="Q895" s="41" t="str">
        <f>IF($A895="","",DATE(P895,O895,1))</f>
        <v/>
      </c>
      <c r="R895" s="36" t="str">
        <f>IF(OR($A895="",$N895=""),"",IF(AND($C895&lt;&gt;"Transferência",N($I895)&gt;1),$N895/$I895,$N895))</f>
        <v/>
      </c>
      <c r="S895" s="41" t="str">
        <f>IF(OR($A895="",$F895="",$C895&lt;&gt;"Despesa"),"",IF(COUNTIF(Cartoes_Nome,$F895)=0,"",DATE(P895,O895+IF(DAY($A895)&gt;=INDEX(Cartoes_Fech,MATCH($F895,Cartoes_Nome,0)),1,0),1)))</f>
        <v/>
      </c>
      <c r="T895" s="42" t="str">
        <f>IF($A895="","",IF(COUNTIFS(L_Data,$A895,L_Desc,$B895,L_Valor,$N895,L_Tipo,$C895)&gt;1,"⚠ Possível duplicidade",IF(OR(AND($C895="Despesa",COUNTIF(CatD_Nome,$D895)=0),AND($C895="Receita",COUNTIF(CatR_Nome,$D895)=0)),"⚠ Categoria não combina com o tipo",IF(OR($N895="",$C895=""),"⚠ Falta valor ou tipo",""))))</f>
        <v/>
      </c>
      <c r="U895" s="40">
        <f>IF($A895="",0,P895*12+O895)</f>
        <v>0</v>
      </c>
      <c r="V895" s="40">
        <f>IF($A895="",0,U895+MAX(0,N($I895)-MAX(N($H895),1)))</f>
        <v>0</v>
      </c>
      <c r="W895" s="40">
        <f>IF(S895="",0,YEAR(S895)*12+MONTH(S895))</f>
        <v>0</v>
      </c>
      <c r="X895" s="40">
        <f>IF(W895=0,0,W895+V895-U895)</f>
        <v>0</v>
      </c>
      <c r="Y895" s="36">
        <f>IF(W895=0,0,N(R895)*MAX(0,X895-MAX(W895,YEAR(Cfg_Hoje)*12+MONTH(Cfg_Hoje)+IF(DAY(Cfg_Hoje)&gt;=INDEX(Cartoes_Fech,MATCH($F895,Cartoes_Nome,0)),1,0))+1))</f>
        <v>0</v>
      </c>
      <c r="Z895" s="40">
        <f>IF($A895="",0,DAY($A895))</f>
        <v>0</v>
      </c>
      <c r="AA895" s="40">
        <f>IF($A895="",0,WEEKDAY($A895))</f>
        <v>0</v>
      </c>
      <c r="AB895" s="36">
        <f>IF(AND($C895="Despesa",U895&gt;0,U895&lt;=Sel_Idx,V895&gt;=Sel_Idx),N(R895)+ROW()/1000000000,0)</f>
        <v>0</v>
      </c>
      <c r="AC895" s="40">
        <f>IF(AND($C895="Despesa",U895&gt;0,U895&lt;=Sel_Idx,V895&gt;=Sel_Idx),Z895*10000+ROW(),0)</f>
        <v>0</v>
      </c>
      <c r="AD895" s="40">
        <f>IF(AC895=0,0,COUNTIFS(L_CalChave,"&gt;0",L_CalChave,"&lt;"&amp;AC895)+1)</f>
        <v>0</v>
      </c>
    </row>
    <row r="896">
      <c r="A896" s="38" t="n"/>
      <c r="B896" s="39" t="n"/>
      <c r="C896" s="34" t="n"/>
      <c r="D896" s="34" t="n"/>
      <c r="E896" s="34" t="n"/>
      <c r="F896" s="34" t="n"/>
      <c r="G896" s="34" t="n"/>
      <c r="H896" s="37" t="n"/>
      <c r="I896" s="37" t="n"/>
      <c r="J896" s="34" t="n"/>
      <c r="K896" s="34" t="n"/>
      <c r="L896" s="34" t="n"/>
      <c r="M896" s="39" t="n"/>
      <c r="N896" s="35" t="n"/>
      <c r="O896" s="40" t="str">
        <f>IF($A896="","",MONTH($A896))</f>
        <v/>
      </c>
      <c r="P896" s="40" t="str">
        <f>IF($A896="","",YEAR($A896))</f>
        <v/>
      </c>
      <c r="Q896" s="41" t="str">
        <f>IF($A896="","",DATE(P896,O896,1))</f>
        <v/>
      </c>
      <c r="R896" s="36" t="str">
        <f>IF(OR($A896="",$N896=""),"",IF(AND($C896&lt;&gt;"Transferência",N($I896)&gt;1),$N896/$I896,$N896))</f>
        <v/>
      </c>
      <c r="S896" s="41" t="str">
        <f>IF(OR($A896="",$F896="",$C896&lt;&gt;"Despesa"),"",IF(COUNTIF(Cartoes_Nome,$F896)=0,"",DATE(P896,O896+IF(DAY($A896)&gt;=INDEX(Cartoes_Fech,MATCH($F896,Cartoes_Nome,0)),1,0),1)))</f>
        <v/>
      </c>
      <c r="T896" s="42" t="str">
        <f>IF($A896="","",IF(COUNTIFS(L_Data,$A896,L_Desc,$B896,L_Valor,$N896,L_Tipo,$C896)&gt;1,"⚠ Possível duplicidade",IF(OR(AND($C896="Despesa",COUNTIF(CatD_Nome,$D896)=0),AND($C896="Receita",COUNTIF(CatR_Nome,$D896)=0)),"⚠ Categoria não combina com o tipo",IF(OR($N896="",$C896=""),"⚠ Falta valor ou tipo",""))))</f>
        <v/>
      </c>
      <c r="U896" s="40">
        <f>IF($A896="",0,P896*12+O896)</f>
        <v>0</v>
      </c>
      <c r="V896" s="40">
        <f>IF($A896="",0,U896+MAX(0,N($I896)-MAX(N($H896),1)))</f>
        <v>0</v>
      </c>
      <c r="W896" s="40">
        <f>IF(S896="",0,YEAR(S896)*12+MONTH(S896))</f>
        <v>0</v>
      </c>
      <c r="X896" s="40">
        <f>IF(W896=0,0,W896+V896-U896)</f>
        <v>0</v>
      </c>
      <c r="Y896" s="36">
        <f>IF(W896=0,0,N(R896)*MAX(0,X896-MAX(W896,YEAR(Cfg_Hoje)*12+MONTH(Cfg_Hoje)+IF(DAY(Cfg_Hoje)&gt;=INDEX(Cartoes_Fech,MATCH($F896,Cartoes_Nome,0)),1,0))+1))</f>
        <v>0</v>
      </c>
      <c r="Z896" s="40">
        <f>IF($A896="",0,DAY($A896))</f>
        <v>0</v>
      </c>
      <c r="AA896" s="40">
        <f>IF($A896="",0,WEEKDAY($A896))</f>
        <v>0</v>
      </c>
      <c r="AB896" s="36">
        <f>IF(AND($C896="Despesa",U896&gt;0,U896&lt;=Sel_Idx,V896&gt;=Sel_Idx),N(R896)+ROW()/1000000000,0)</f>
        <v>0</v>
      </c>
      <c r="AC896" s="40">
        <f>IF(AND($C896="Despesa",U896&gt;0,U896&lt;=Sel_Idx,V896&gt;=Sel_Idx),Z896*10000+ROW(),0)</f>
        <v>0</v>
      </c>
      <c r="AD896" s="40">
        <f>IF(AC896=0,0,COUNTIFS(L_CalChave,"&gt;0",L_CalChave,"&lt;"&amp;AC896)+1)</f>
        <v>0</v>
      </c>
    </row>
    <row r="897">
      <c r="A897" s="38" t="n"/>
      <c r="B897" s="39" t="n"/>
      <c r="C897" s="34" t="n"/>
      <c r="D897" s="34" t="n"/>
      <c r="E897" s="34" t="n"/>
      <c r="F897" s="34" t="n"/>
      <c r="G897" s="34" t="n"/>
      <c r="H897" s="37" t="n"/>
      <c r="I897" s="37" t="n"/>
      <c r="J897" s="34" t="n"/>
      <c r="K897" s="34" t="n"/>
      <c r="L897" s="34" t="n"/>
      <c r="M897" s="39" t="n"/>
      <c r="N897" s="35" t="n"/>
      <c r="O897" s="40" t="str">
        <f>IF($A897="","",MONTH($A897))</f>
        <v/>
      </c>
      <c r="P897" s="40" t="str">
        <f>IF($A897="","",YEAR($A897))</f>
        <v/>
      </c>
      <c r="Q897" s="41" t="str">
        <f>IF($A897="","",DATE(P897,O897,1))</f>
        <v/>
      </c>
      <c r="R897" s="36" t="str">
        <f>IF(OR($A897="",$N897=""),"",IF(AND($C897&lt;&gt;"Transferência",N($I897)&gt;1),$N897/$I897,$N897))</f>
        <v/>
      </c>
      <c r="S897" s="41" t="str">
        <f>IF(OR($A897="",$F897="",$C897&lt;&gt;"Despesa"),"",IF(COUNTIF(Cartoes_Nome,$F897)=0,"",DATE(P897,O897+IF(DAY($A897)&gt;=INDEX(Cartoes_Fech,MATCH($F897,Cartoes_Nome,0)),1,0),1)))</f>
        <v/>
      </c>
      <c r="T897" s="42" t="str">
        <f>IF($A897="","",IF(COUNTIFS(L_Data,$A897,L_Desc,$B897,L_Valor,$N897,L_Tipo,$C897)&gt;1,"⚠ Possível duplicidade",IF(OR(AND($C897="Despesa",COUNTIF(CatD_Nome,$D897)=0),AND($C897="Receita",COUNTIF(CatR_Nome,$D897)=0)),"⚠ Categoria não combina com o tipo",IF(OR($N897="",$C897=""),"⚠ Falta valor ou tipo",""))))</f>
        <v/>
      </c>
      <c r="U897" s="40">
        <f>IF($A897="",0,P897*12+O897)</f>
        <v>0</v>
      </c>
      <c r="V897" s="40">
        <f>IF($A897="",0,U897+MAX(0,N($I897)-MAX(N($H897),1)))</f>
        <v>0</v>
      </c>
      <c r="W897" s="40">
        <f>IF(S897="",0,YEAR(S897)*12+MONTH(S897))</f>
        <v>0</v>
      </c>
      <c r="X897" s="40">
        <f>IF(W897=0,0,W897+V897-U897)</f>
        <v>0</v>
      </c>
      <c r="Y897" s="36">
        <f>IF(W897=0,0,N(R897)*MAX(0,X897-MAX(W897,YEAR(Cfg_Hoje)*12+MONTH(Cfg_Hoje)+IF(DAY(Cfg_Hoje)&gt;=INDEX(Cartoes_Fech,MATCH($F897,Cartoes_Nome,0)),1,0))+1))</f>
        <v>0</v>
      </c>
      <c r="Z897" s="40">
        <f>IF($A897="",0,DAY($A897))</f>
        <v>0</v>
      </c>
      <c r="AA897" s="40">
        <f>IF($A897="",0,WEEKDAY($A897))</f>
        <v>0</v>
      </c>
      <c r="AB897" s="36">
        <f>IF(AND($C897="Despesa",U897&gt;0,U897&lt;=Sel_Idx,V897&gt;=Sel_Idx),N(R897)+ROW()/1000000000,0)</f>
        <v>0</v>
      </c>
      <c r="AC897" s="40">
        <f>IF(AND($C897="Despesa",U897&gt;0,U897&lt;=Sel_Idx,V897&gt;=Sel_Idx),Z897*10000+ROW(),0)</f>
        <v>0</v>
      </c>
      <c r="AD897" s="40">
        <f>IF(AC897=0,0,COUNTIFS(L_CalChave,"&gt;0",L_CalChave,"&lt;"&amp;AC897)+1)</f>
        <v>0</v>
      </c>
    </row>
    <row r="898">
      <c r="A898" s="38" t="n"/>
      <c r="B898" s="39" t="n"/>
      <c r="C898" s="34" t="n"/>
      <c r="D898" s="34" t="n"/>
      <c r="E898" s="34" t="n"/>
      <c r="F898" s="34" t="n"/>
      <c r="G898" s="34" t="n"/>
      <c r="H898" s="37" t="n"/>
      <c r="I898" s="37" t="n"/>
      <c r="J898" s="34" t="n"/>
      <c r="K898" s="34" t="n"/>
      <c r="L898" s="34" t="n"/>
      <c r="M898" s="39" t="n"/>
      <c r="N898" s="35" t="n"/>
      <c r="O898" s="40" t="str">
        <f>IF($A898="","",MONTH($A898))</f>
        <v/>
      </c>
      <c r="P898" s="40" t="str">
        <f>IF($A898="","",YEAR($A898))</f>
        <v/>
      </c>
      <c r="Q898" s="41" t="str">
        <f>IF($A898="","",DATE(P898,O898,1))</f>
        <v/>
      </c>
      <c r="R898" s="36" t="str">
        <f>IF(OR($A898="",$N898=""),"",IF(AND($C898&lt;&gt;"Transferência",N($I898)&gt;1),$N898/$I898,$N898))</f>
        <v/>
      </c>
      <c r="S898" s="41" t="str">
        <f>IF(OR($A898="",$F898="",$C898&lt;&gt;"Despesa"),"",IF(COUNTIF(Cartoes_Nome,$F898)=0,"",DATE(P898,O898+IF(DAY($A898)&gt;=INDEX(Cartoes_Fech,MATCH($F898,Cartoes_Nome,0)),1,0),1)))</f>
        <v/>
      </c>
      <c r="T898" s="42" t="str">
        <f>IF($A898="","",IF(COUNTIFS(L_Data,$A898,L_Desc,$B898,L_Valor,$N898,L_Tipo,$C898)&gt;1,"⚠ Possível duplicidade",IF(OR(AND($C898="Despesa",COUNTIF(CatD_Nome,$D898)=0),AND($C898="Receita",COUNTIF(CatR_Nome,$D898)=0)),"⚠ Categoria não combina com o tipo",IF(OR($N898="",$C898=""),"⚠ Falta valor ou tipo",""))))</f>
        <v/>
      </c>
      <c r="U898" s="40">
        <f>IF($A898="",0,P898*12+O898)</f>
        <v>0</v>
      </c>
      <c r="V898" s="40">
        <f>IF($A898="",0,U898+MAX(0,N($I898)-MAX(N($H898),1)))</f>
        <v>0</v>
      </c>
      <c r="W898" s="40">
        <f>IF(S898="",0,YEAR(S898)*12+MONTH(S898))</f>
        <v>0</v>
      </c>
      <c r="X898" s="40">
        <f>IF(W898=0,0,W898+V898-U898)</f>
        <v>0</v>
      </c>
      <c r="Y898" s="36">
        <f>IF(W898=0,0,N(R898)*MAX(0,X898-MAX(W898,YEAR(Cfg_Hoje)*12+MONTH(Cfg_Hoje)+IF(DAY(Cfg_Hoje)&gt;=INDEX(Cartoes_Fech,MATCH($F898,Cartoes_Nome,0)),1,0))+1))</f>
        <v>0</v>
      </c>
      <c r="Z898" s="40">
        <f>IF($A898="",0,DAY($A898))</f>
        <v>0</v>
      </c>
      <c r="AA898" s="40">
        <f>IF($A898="",0,WEEKDAY($A898))</f>
        <v>0</v>
      </c>
      <c r="AB898" s="36">
        <f>IF(AND($C898="Despesa",U898&gt;0,U898&lt;=Sel_Idx,V898&gt;=Sel_Idx),N(R898)+ROW()/1000000000,0)</f>
        <v>0</v>
      </c>
      <c r="AC898" s="40">
        <f>IF(AND($C898="Despesa",U898&gt;0,U898&lt;=Sel_Idx,V898&gt;=Sel_Idx),Z898*10000+ROW(),0)</f>
        <v>0</v>
      </c>
      <c r="AD898" s="40">
        <f>IF(AC898=0,0,COUNTIFS(L_CalChave,"&gt;0",L_CalChave,"&lt;"&amp;AC898)+1)</f>
        <v>0</v>
      </c>
    </row>
    <row r="899">
      <c r="A899" s="38" t="n"/>
      <c r="B899" s="39" t="n"/>
      <c r="C899" s="34" t="n"/>
      <c r="D899" s="34" t="n"/>
      <c r="E899" s="34" t="n"/>
      <c r="F899" s="34" t="n"/>
      <c r="G899" s="34" t="n"/>
      <c r="H899" s="37" t="n"/>
      <c r="I899" s="37" t="n"/>
      <c r="J899" s="34" t="n"/>
      <c r="K899" s="34" t="n"/>
      <c r="L899" s="34" t="n"/>
      <c r="M899" s="39" t="n"/>
      <c r="N899" s="35" t="n"/>
      <c r="O899" s="40" t="str">
        <f>IF($A899="","",MONTH($A899))</f>
        <v/>
      </c>
      <c r="P899" s="40" t="str">
        <f>IF($A899="","",YEAR($A899))</f>
        <v/>
      </c>
      <c r="Q899" s="41" t="str">
        <f>IF($A899="","",DATE(P899,O899,1))</f>
        <v/>
      </c>
      <c r="R899" s="36" t="str">
        <f>IF(OR($A899="",$N899=""),"",IF(AND($C899&lt;&gt;"Transferência",N($I899)&gt;1),$N899/$I899,$N899))</f>
        <v/>
      </c>
      <c r="S899" s="41" t="str">
        <f>IF(OR($A899="",$F899="",$C899&lt;&gt;"Despesa"),"",IF(COUNTIF(Cartoes_Nome,$F899)=0,"",DATE(P899,O899+IF(DAY($A899)&gt;=INDEX(Cartoes_Fech,MATCH($F899,Cartoes_Nome,0)),1,0),1)))</f>
        <v/>
      </c>
      <c r="T899" s="42" t="str">
        <f>IF($A899="","",IF(COUNTIFS(L_Data,$A899,L_Desc,$B899,L_Valor,$N899,L_Tipo,$C899)&gt;1,"⚠ Possível duplicidade",IF(OR(AND($C899="Despesa",COUNTIF(CatD_Nome,$D899)=0),AND($C899="Receita",COUNTIF(CatR_Nome,$D899)=0)),"⚠ Categoria não combina com o tipo",IF(OR($N899="",$C899=""),"⚠ Falta valor ou tipo",""))))</f>
        <v/>
      </c>
      <c r="U899" s="40">
        <f>IF($A899="",0,P899*12+O899)</f>
        <v>0</v>
      </c>
      <c r="V899" s="40">
        <f>IF($A899="",0,U899+MAX(0,N($I899)-MAX(N($H899),1)))</f>
        <v>0</v>
      </c>
      <c r="W899" s="40">
        <f>IF(S899="",0,YEAR(S899)*12+MONTH(S899))</f>
        <v>0</v>
      </c>
      <c r="X899" s="40">
        <f>IF(W899=0,0,W899+V899-U899)</f>
        <v>0</v>
      </c>
      <c r="Y899" s="36">
        <f>IF(W899=0,0,N(R899)*MAX(0,X899-MAX(W899,YEAR(Cfg_Hoje)*12+MONTH(Cfg_Hoje)+IF(DAY(Cfg_Hoje)&gt;=INDEX(Cartoes_Fech,MATCH($F899,Cartoes_Nome,0)),1,0))+1))</f>
        <v>0</v>
      </c>
      <c r="Z899" s="40">
        <f>IF($A899="",0,DAY($A899))</f>
        <v>0</v>
      </c>
      <c r="AA899" s="40">
        <f>IF($A899="",0,WEEKDAY($A899))</f>
        <v>0</v>
      </c>
      <c r="AB899" s="36">
        <f>IF(AND($C899="Despesa",U899&gt;0,U899&lt;=Sel_Idx,V899&gt;=Sel_Idx),N(R899)+ROW()/1000000000,0)</f>
        <v>0</v>
      </c>
      <c r="AC899" s="40">
        <f>IF(AND($C899="Despesa",U899&gt;0,U899&lt;=Sel_Idx,V899&gt;=Sel_Idx),Z899*10000+ROW(),0)</f>
        <v>0</v>
      </c>
      <c r="AD899" s="40">
        <f>IF(AC899=0,0,COUNTIFS(L_CalChave,"&gt;0",L_CalChave,"&lt;"&amp;AC899)+1)</f>
        <v>0</v>
      </c>
    </row>
    <row r="900">
      <c r="A900" s="38" t="n"/>
      <c r="B900" s="39" t="n"/>
      <c r="C900" s="34" t="n"/>
      <c r="D900" s="34" t="n"/>
      <c r="E900" s="34" t="n"/>
      <c r="F900" s="34" t="n"/>
      <c r="G900" s="34" t="n"/>
      <c r="H900" s="37" t="n"/>
      <c r="I900" s="37" t="n"/>
      <c r="J900" s="34" t="n"/>
      <c r="K900" s="34" t="n"/>
      <c r="L900" s="34" t="n"/>
      <c r="M900" s="39" t="n"/>
      <c r="N900" s="35" t="n"/>
      <c r="O900" s="40" t="str">
        <f>IF($A900="","",MONTH($A900))</f>
        <v/>
      </c>
      <c r="P900" s="40" t="str">
        <f>IF($A900="","",YEAR($A900))</f>
        <v/>
      </c>
      <c r="Q900" s="41" t="str">
        <f>IF($A900="","",DATE(P900,O900,1))</f>
        <v/>
      </c>
      <c r="R900" s="36" t="str">
        <f>IF(OR($A900="",$N900=""),"",IF(AND($C900&lt;&gt;"Transferência",N($I900)&gt;1),$N900/$I900,$N900))</f>
        <v/>
      </c>
      <c r="S900" s="41" t="str">
        <f>IF(OR($A900="",$F900="",$C900&lt;&gt;"Despesa"),"",IF(COUNTIF(Cartoes_Nome,$F900)=0,"",DATE(P900,O900+IF(DAY($A900)&gt;=INDEX(Cartoes_Fech,MATCH($F900,Cartoes_Nome,0)),1,0),1)))</f>
        <v/>
      </c>
      <c r="T900" s="42" t="str">
        <f>IF($A900="","",IF(COUNTIFS(L_Data,$A900,L_Desc,$B900,L_Valor,$N900,L_Tipo,$C900)&gt;1,"⚠ Possível duplicidade",IF(OR(AND($C900="Despesa",COUNTIF(CatD_Nome,$D900)=0),AND($C900="Receita",COUNTIF(CatR_Nome,$D900)=0)),"⚠ Categoria não combina com o tipo",IF(OR($N900="",$C900=""),"⚠ Falta valor ou tipo",""))))</f>
        <v/>
      </c>
      <c r="U900" s="40">
        <f>IF($A900="",0,P900*12+O900)</f>
        <v>0</v>
      </c>
      <c r="V900" s="40">
        <f>IF($A900="",0,U900+MAX(0,N($I900)-MAX(N($H900),1)))</f>
        <v>0</v>
      </c>
      <c r="W900" s="40">
        <f>IF(S900="",0,YEAR(S900)*12+MONTH(S900))</f>
        <v>0</v>
      </c>
      <c r="X900" s="40">
        <f>IF(W900=0,0,W900+V900-U900)</f>
        <v>0</v>
      </c>
      <c r="Y900" s="36">
        <f>IF(W900=0,0,N(R900)*MAX(0,X900-MAX(W900,YEAR(Cfg_Hoje)*12+MONTH(Cfg_Hoje)+IF(DAY(Cfg_Hoje)&gt;=INDEX(Cartoes_Fech,MATCH($F900,Cartoes_Nome,0)),1,0))+1))</f>
        <v>0</v>
      </c>
      <c r="Z900" s="40">
        <f>IF($A900="",0,DAY($A900))</f>
        <v>0</v>
      </c>
      <c r="AA900" s="40">
        <f>IF($A900="",0,WEEKDAY($A900))</f>
        <v>0</v>
      </c>
      <c r="AB900" s="36">
        <f>IF(AND($C900="Despesa",U900&gt;0,U900&lt;=Sel_Idx,V900&gt;=Sel_Idx),N(R900)+ROW()/1000000000,0)</f>
        <v>0</v>
      </c>
      <c r="AC900" s="40">
        <f>IF(AND($C900="Despesa",U900&gt;0,U900&lt;=Sel_Idx,V900&gt;=Sel_Idx),Z900*10000+ROW(),0)</f>
        <v>0</v>
      </c>
      <c r="AD900" s="40">
        <f>IF(AC900=0,0,COUNTIFS(L_CalChave,"&gt;0",L_CalChave,"&lt;"&amp;AC900)+1)</f>
        <v>0</v>
      </c>
    </row>
    <row r="901">
      <c r="A901" s="38" t="n"/>
      <c r="B901" s="39" t="n"/>
      <c r="C901" s="34" t="n"/>
      <c r="D901" s="34" t="n"/>
      <c r="E901" s="34" t="n"/>
      <c r="F901" s="34" t="n"/>
      <c r="G901" s="34" t="n"/>
      <c r="H901" s="37" t="n"/>
      <c r="I901" s="37" t="n"/>
      <c r="J901" s="34" t="n"/>
      <c r="K901" s="34" t="n"/>
      <c r="L901" s="34" t="n"/>
      <c r="M901" s="39" t="n"/>
      <c r="N901" s="35" t="n"/>
      <c r="O901" s="40" t="str">
        <f>IF($A901="","",MONTH($A901))</f>
        <v/>
      </c>
      <c r="P901" s="40" t="str">
        <f>IF($A901="","",YEAR($A901))</f>
        <v/>
      </c>
      <c r="Q901" s="41" t="str">
        <f>IF($A901="","",DATE(P901,O901,1))</f>
        <v/>
      </c>
      <c r="R901" s="36" t="str">
        <f>IF(OR($A901="",$N901=""),"",IF(AND($C901&lt;&gt;"Transferência",N($I901)&gt;1),$N901/$I901,$N901))</f>
        <v/>
      </c>
      <c r="S901" s="41" t="str">
        <f>IF(OR($A901="",$F901="",$C901&lt;&gt;"Despesa"),"",IF(COUNTIF(Cartoes_Nome,$F901)=0,"",DATE(P901,O901+IF(DAY($A901)&gt;=INDEX(Cartoes_Fech,MATCH($F901,Cartoes_Nome,0)),1,0),1)))</f>
        <v/>
      </c>
      <c r="T901" s="42" t="str">
        <f>IF($A901="","",IF(COUNTIFS(L_Data,$A901,L_Desc,$B901,L_Valor,$N901,L_Tipo,$C901)&gt;1,"⚠ Possível duplicidade",IF(OR(AND($C901="Despesa",COUNTIF(CatD_Nome,$D901)=0),AND($C901="Receita",COUNTIF(CatR_Nome,$D901)=0)),"⚠ Categoria não combina com o tipo",IF(OR($N901="",$C901=""),"⚠ Falta valor ou tipo",""))))</f>
        <v/>
      </c>
      <c r="U901" s="40">
        <f>IF($A901="",0,P901*12+O901)</f>
        <v>0</v>
      </c>
      <c r="V901" s="40">
        <f>IF($A901="",0,U901+MAX(0,N($I901)-MAX(N($H901),1)))</f>
        <v>0</v>
      </c>
      <c r="W901" s="40">
        <f>IF(S901="",0,YEAR(S901)*12+MONTH(S901))</f>
        <v>0</v>
      </c>
      <c r="X901" s="40">
        <f>IF(W901=0,0,W901+V901-U901)</f>
        <v>0</v>
      </c>
      <c r="Y901" s="36">
        <f>IF(W901=0,0,N(R901)*MAX(0,X901-MAX(W901,YEAR(Cfg_Hoje)*12+MONTH(Cfg_Hoje)+IF(DAY(Cfg_Hoje)&gt;=INDEX(Cartoes_Fech,MATCH($F901,Cartoes_Nome,0)),1,0))+1))</f>
        <v>0</v>
      </c>
      <c r="Z901" s="40">
        <f>IF($A901="",0,DAY($A901))</f>
        <v>0</v>
      </c>
      <c r="AA901" s="40">
        <f>IF($A901="",0,WEEKDAY($A901))</f>
        <v>0</v>
      </c>
      <c r="AB901" s="36">
        <f>IF(AND($C901="Despesa",U901&gt;0,U901&lt;=Sel_Idx,V901&gt;=Sel_Idx),N(R901)+ROW()/1000000000,0)</f>
        <v>0</v>
      </c>
      <c r="AC901" s="40">
        <f>IF(AND($C901="Despesa",U901&gt;0,U901&lt;=Sel_Idx,V901&gt;=Sel_Idx),Z901*10000+ROW(),0)</f>
        <v>0</v>
      </c>
      <c r="AD901" s="40">
        <f>IF(AC901=0,0,COUNTIFS(L_CalChave,"&gt;0",L_CalChave,"&lt;"&amp;AC901)+1)</f>
        <v>0</v>
      </c>
    </row>
    <row r="902">
      <c r="A902" s="38" t="n"/>
      <c r="B902" s="39" t="n"/>
      <c r="C902" s="34" t="n"/>
      <c r="D902" s="34" t="n"/>
      <c r="E902" s="34" t="n"/>
      <c r="F902" s="34" t="n"/>
      <c r="G902" s="34" t="n"/>
      <c r="H902" s="37" t="n"/>
      <c r="I902" s="37" t="n"/>
      <c r="J902" s="34" t="n"/>
      <c r="K902" s="34" t="n"/>
      <c r="L902" s="34" t="n"/>
      <c r="M902" s="39" t="n"/>
      <c r="N902" s="35" t="n"/>
      <c r="O902" s="40" t="str">
        <f>IF($A902="","",MONTH($A902))</f>
        <v/>
      </c>
      <c r="P902" s="40" t="str">
        <f>IF($A902="","",YEAR($A902))</f>
        <v/>
      </c>
      <c r="Q902" s="41" t="str">
        <f>IF($A902="","",DATE(P902,O902,1))</f>
        <v/>
      </c>
      <c r="R902" s="36" t="str">
        <f>IF(OR($A902="",$N902=""),"",IF(AND($C902&lt;&gt;"Transferência",N($I902)&gt;1),$N902/$I902,$N902))</f>
        <v/>
      </c>
      <c r="S902" s="41" t="str">
        <f>IF(OR($A902="",$F902="",$C902&lt;&gt;"Despesa"),"",IF(COUNTIF(Cartoes_Nome,$F902)=0,"",DATE(P902,O902+IF(DAY($A902)&gt;=INDEX(Cartoes_Fech,MATCH($F902,Cartoes_Nome,0)),1,0),1)))</f>
        <v/>
      </c>
      <c r="T902" s="42" t="str">
        <f>IF($A902="","",IF(COUNTIFS(L_Data,$A902,L_Desc,$B902,L_Valor,$N902,L_Tipo,$C902)&gt;1,"⚠ Possível duplicidade",IF(OR(AND($C902="Despesa",COUNTIF(CatD_Nome,$D902)=0),AND($C902="Receita",COUNTIF(CatR_Nome,$D902)=0)),"⚠ Categoria não combina com o tipo",IF(OR($N902="",$C902=""),"⚠ Falta valor ou tipo",""))))</f>
        <v/>
      </c>
      <c r="U902" s="40">
        <f>IF($A902="",0,P902*12+O902)</f>
        <v>0</v>
      </c>
      <c r="V902" s="40">
        <f>IF($A902="",0,U902+MAX(0,N($I902)-MAX(N($H902),1)))</f>
        <v>0</v>
      </c>
      <c r="W902" s="40">
        <f>IF(S902="",0,YEAR(S902)*12+MONTH(S902))</f>
        <v>0</v>
      </c>
      <c r="X902" s="40">
        <f>IF(W902=0,0,W902+V902-U902)</f>
        <v>0</v>
      </c>
      <c r="Y902" s="36">
        <f>IF(W902=0,0,N(R902)*MAX(0,X902-MAX(W902,YEAR(Cfg_Hoje)*12+MONTH(Cfg_Hoje)+IF(DAY(Cfg_Hoje)&gt;=INDEX(Cartoes_Fech,MATCH($F902,Cartoes_Nome,0)),1,0))+1))</f>
        <v>0</v>
      </c>
      <c r="Z902" s="40">
        <f>IF($A902="",0,DAY($A902))</f>
        <v>0</v>
      </c>
      <c r="AA902" s="40">
        <f>IF($A902="",0,WEEKDAY($A902))</f>
        <v>0</v>
      </c>
      <c r="AB902" s="36">
        <f>IF(AND($C902="Despesa",U902&gt;0,U902&lt;=Sel_Idx,V902&gt;=Sel_Idx),N(R902)+ROW()/1000000000,0)</f>
        <v>0</v>
      </c>
      <c r="AC902" s="40">
        <f>IF(AND($C902="Despesa",U902&gt;0,U902&lt;=Sel_Idx,V902&gt;=Sel_Idx),Z902*10000+ROW(),0)</f>
        <v>0</v>
      </c>
      <c r="AD902" s="40">
        <f>IF(AC902=0,0,COUNTIFS(L_CalChave,"&gt;0",L_CalChave,"&lt;"&amp;AC902)+1)</f>
        <v>0</v>
      </c>
    </row>
    <row r="903">
      <c r="A903" s="38" t="n"/>
      <c r="B903" s="39" t="n"/>
      <c r="C903" s="34" t="n"/>
      <c r="D903" s="34" t="n"/>
      <c r="E903" s="34" t="n"/>
      <c r="F903" s="34" t="n"/>
      <c r="G903" s="34" t="n"/>
      <c r="H903" s="37" t="n"/>
      <c r="I903" s="37" t="n"/>
      <c r="J903" s="34" t="n"/>
      <c r="K903" s="34" t="n"/>
      <c r="L903" s="34" t="n"/>
      <c r="M903" s="39" t="n"/>
      <c r="N903" s="35" t="n"/>
      <c r="O903" s="40" t="str">
        <f>IF($A903="","",MONTH($A903))</f>
        <v/>
      </c>
      <c r="P903" s="40" t="str">
        <f>IF($A903="","",YEAR($A903))</f>
        <v/>
      </c>
      <c r="Q903" s="41" t="str">
        <f>IF($A903="","",DATE(P903,O903,1))</f>
        <v/>
      </c>
      <c r="R903" s="36" t="str">
        <f>IF(OR($A903="",$N903=""),"",IF(AND($C903&lt;&gt;"Transferência",N($I903)&gt;1),$N903/$I903,$N903))</f>
        <v/>
      </c>
      <c r="S903" s="41" t="str">
        <f>IF(OR($A903="",$F903="",$C903&lt;&gt;"Despesa"),"",IF(COUNTIF(Cartoes_Nome,$F903)=0,"",DATE(P903,O903+IF(DAY($A903)&gt;=INDEX(Cartoes_Fech,MATCH($F903,Cartoes_Nome,0)),1,0),1)))</f>
        <v/>
      </c>
      <c r="T903" s="42" t="str">
        <f>IF($A903="","",IF(COUNTIFS(L_Data,$A903,L_Desc,$B903,L_Valor,$N903,L_Tipo,$C903)&gt;1,"⚠ Possível duplicidade",IF(OR(AND($C903="Despesa",COUNTIF(CatD_Nome,$D903)=0),AND($C903="Receita",COUNTIF(CatR_Nome,$D903)=0)),"⚠ Categoria não combina com o tipo",IF(OR($N903="",$C903=""),"⚠ Falta valor ou tipo",""))))</f>
        <v/>
      </c>
      <c r="U903" s="40">
        <f>IF($A903="",0,P903*12+O903)</f>
        <v>0</v>
      </c>
      <c r="V903" s="40">
        <f>IF($A903="",0,U903+MAX(0,N($I903)-MAX(N($H903),1)))</f>
        <v>0</v>
      </c>
      <c r="W903" s="40">
        <f>IF(S903="",0,YEAR(S903)*12+MONTH(S903))</f>
        <v>0</v>
      </c>
      <c r="X903" s="40">
        <f>IF(W903=0,0,W903+V903-U903)</f>
        <v>0</v>
      </c>
      <c r="Y903" s="36">
        <f>IF(W903=0,0,N(R903)*MAX(0,X903-MAX(W903,YEAR(Cfg_Hoje)*12+MONTH(Cfg_Hoje)+IF(DAY(Cfg_Hoje)&gt;=INDEX(Cartoes_Fech,MATCH($F903,Cartoes_Nome,0)),1,0))+1))</f>
        <v>0</v>
      </c>
      <c r="Z903" s="40">
        <f>IF($A903="",0,DAY($A903))</f>
        <v>0</v>
      </c>
      <c r="AA903" s="40">
        <f>IF($A903="",0,WEEKDAY($A903))</f>
        <v>0</v>
      </c>
      <c r="AB903" s="36">
        <f>IF(AND($C903="Despesa",U903&gt;0,U903&lt;=Sel_Idx,V903&gt;=Sel_Idx),N(R903)+ROW()/1000000000,0)</f>
        <v>0</v>
      </c>
      <c r="AC903" s="40">
        <f>IF(AND($C903="Despesa",U903&gt;0,U903&lt;=Sel_Idx,V903&gt;=Sel_Idx),Z903*10000+ROW(),0)</f>
        <v>0</v>
      </c>
      <c r="AD903" s="40">
        <f>IF(AC903=0,0,COUNTIFS(L_CalChave,"&gt;0",L_CalChave,"&lt;"&amp;AC903)+1)</f>
        <v>0</v>
      </c>
    </row>
    <row r="904">
      <c r="A904" s="38" t="n"/>
      <c r="B904" s="39" t="n"/>
      <c r="C904" s="34" t="n"/>
      <c r="D904" s="34" t="n"/>
      <c r="E904" s="34" t="n"/>
      <c r="F904" s="34" t="n"/>
      <c r="G904" s="34" t="n"/>
      <c r="H904" s="37" t="n"/>
      <c r="I904" s="37" t="n"/>
      <c r="J904" s="34" t="n"/>
      <c r="K904" s="34" t="n"/>
      <c r="L904" s="34" t="n"/>
      <c r="M904" s="39" t="n"/>
      <c r="N904" s="35" t="n"/>
      <c r="O904" s="40" t="str">
        <f>IF($A904="","",MONTH($A904))</f>
        <v/>
      </c>
      <c r="P904" s="40" t="str">
        <f>IF($A904="","",YEAR($A904))</f>
        <v/>
      </c>
      <c r="Q904" s="41" t="str">
        <f>IF($A904="","",DATE(P904,O904,1))</f>
        <v/>
      </c>
      <c r="R904" s="36" t="str">
        <f>IF(OR($A904="",$N904=""),"",IF(AND($C904&lt;&gt;"Transferência",N($I904)&gt;1),$N904/$I904,$N904))</f>
        <v/>
      </c>
      <c r="S904" s="41" t="str">
        <f>IF(OR($A904="",$F904="",$C904&lt;&gt;"Despesa"),"",IF(COUNTIF(Cartoes_Nome,$F904)=0,"",DATE(P904,O904+IF(DAY($A904)&gt;=INDEX(Cartoes_Fech,MATCH($F904,Cartoes_Nome,0)),1,0),1)))</f>
        <v/>
      </c>
      <c r="T904" s="42" t="str">
        <f>IF($A904="","",IF(COUNTIFS(L_Data,$A904,L_Desc,$B904,L_Valor,$N904,L_Tipo,$C904)&gt;1,"⚠ Possível duplicidade",IF(OR(AND($C904="Despesa",COUNTIF(CatD_Nome,$D904)=0),AND($C904="Receita",COUNTIF(CatR_Nome,$D904)=0)),"⚠ Categoria não combina com o tipo",IF(OR($N904="",$C904=""),"⚠ Falta valor ou tipo",""))))</f>
        <v/>
      </c>
      <c r="U904" s="40">
        <f>IF($A904="",0,P904*12+O904)</f>
        <v>0</v>
      </c>
      <c r="V904" s="40">
        <f>IF($A904="",0,U904+MAX(0,N($I904)-MAX(N($H904),1)))</f>
        <v>0</v>
      </c>
      <c r="W904" s="40">
        <f>IF(S904="",0,YEAR(S904)*12+MONTH(S904))</f>
        <v>0</v>
      </c>
      <c r="X904" s="40">
        <f>IF(W904=0,0,W904+V904-U904)</f>
        <v>0</v>
      </c>
      <c r="Y904" s="36">
        <f>IF(W904=0,0,N(R904)*MAX(0,X904-MAX(W904,YEAR(Cfg_Hoje)*12+MONTH(Cfg_Hoje)+IF(DAY(Cfg_Hoje)&gt;=INDEX(Cartoes_Fech,MATCH($F904,Cartoes_Nome,0)),1,0))+1))</f>
        <v>0</v>
      </c>
      <c r="Z904" s="40">
        <f>IF($A904="",0,DAY($A904))</f>
        <v>0</v>
      </c>
      <c r="AA904" s="40">
        <f>IF($A904="",0,WEEKDAY($A904))</f>
        <v>0</v>
      </c>
      <c r="AB904" s="36">
        <f>IF(AND($C904="Despesa",U904&gt;0,U904&lt;=Sel_Idx,V904&gt;=Sel_Idx),N(R904)+ROW()/1000000000,0)</f>
        <v>0</v>
      </c>
      <c r="AC904" s="40">
        <f>IF(AND($C904="Despesa",U904&gt;0,U904&lt;=Sel_Idx,V904&gt;=Sel_Idx),Z904*10000+ROW(),0)</f>
        <v>0</v>
      </c>
      <c r="AD904" s="40">
        <f>IF(AC904=0,0,COUNTIFS(L_CalChave,"&gt;0",L_CalChave,"&lt;"&amp;AC904)+1)</f>
        <v>0</v>
      </c>
    </row>
    <row r="905">
      <c r="A905" s="38" t="n"/>
      <c r="B905" s="39" t="n"/>
      <c r="C905" s="34" t="n"/>
      <c r="D905" s="34" t="n"/>
      <c r="E905" s="34" t="n"/>
      <c r="F905" s="34" t="n"/>
      <c r="G905" s="34" t="n"/>
      <c r="H905" s="37" t="n"/>
      <c r="I905" s="37" t="n"/>
      <c r="J905" s="34" t="n"/>
      <c r="K905" s="34" t="n"/>
      <c r="L905" s="34" t="n"/>
      <c r="M905" s="39" t="n"/>
      <c r="N905" s="35" t="n"/>
      <c r="O905" s="40" t="str">
        <f>IF($A905="","",MONTH($A905))</f>
        <v/>
      </c>
      <c r="P905" s="40" t="str">
        <f>IF($A905="","",YEAR($A905))</f>
        <v/>
      </c>
      <c r="Q905" s="41" t="str">
        <f>IF($A905="","",DATE(P905,O905,1))</f>
        <v/>
      </c>
      <c r="R905" s="36" t="str">
        <f>IF(OR($A905="",$N905=""),"",IF(AND($C905&lt;&gt;"Transferência",N($I905)&gt;1),$N905/$I905,$N905))</f>
        <v/>
      </c>
      <c r="S905" s="41" t="str">
        <f>IF(OR($A905="",$F905="",$C905&lt;&gt;"Despesa"),"",IF(COUNTIF(Cartoes_Nome,$F905)=0,"",DATE(P905,O905+IF(DAY($A905)&gt;=INDEX(Cartoes_Fech,MATCH($F905,Cartoes_Nome,0)),1,0),1)))</f>
        <v/>
      </c>
      <c r="T905" s="42" t="str">
        <f>IF($A905="","",IF(COUNTIFS(L_Data,$A905,L_Desc,$B905,L_Valor,$N905,L_Tipo,$C905)&gt;1,"⚠ Possível duplicidade",IF(OR(AND($C905="Despesa",COUNTIF(CatD_Nome,$D905)=0),AND($C905="Receita",COUNTIF(CatR_Nome,$D905)=0)),"⚠ Categoria não combina com o tipo",IF(OR($N905="",$C905=""),"⚠ Falta valor ou tipo",""))))</f>
        <v/>
      </c>
      <c r="U905" s="40">
        <f>IF($A905="",0,P905*12+O905)</f>
        <v>0</v>
      </c>
      <c r="V905" s="40">
        <f>IF($A905="",0,U905+MAX(0,N($I905)-MAX(N($H905),1)))</f>
        <v>0</v>
      </c>
      <c r="W905" s="40">
        <f>IF(S905="",0,YEAR(S905)*12+MONTH(S905))</f>
        <v>0</v>
      </c>
      <c r="X905" s="40">
        <f>IF(W905=0,0,W905+V905-U905)</f>
        <v>0</v>
      </c>
      <c r="Y905" s="36">
        <f>IF(W905=0,0,N(R905)*MAX(0,X905-MAX(W905,YEAR(Cfg_Hoje)*12+MONTH(Cfg_Hoje)+IF(DAY(Cfg_Hoje)&gt;=INDEX(Cartoes_Fech,MATCH($F905,Cartoes_Nome,0)),1,0))+1))</f>
        <v>0</v>
      </c>
      <c r="Z905" s="40">
        <f>IF($A905="",0,DAY($A905))</f>
        <v>0</v>
      </c>
      <c r="AA905" s="40">
        <f>IF($A905="",0,WEEKDAY($A905))</f>
        <v>0</v>
      </c>
      <c r="AB905" s="36">
        <f>IF(AND($C905="Despesa",U905&gt;0,U905&lt;=Sel_Idx,V905&gt;=Sel_Idx),N(R905)+ROW()/1000000000,0)</f>
        <v>0</v>
      </c>
      <c r="AC905" s="40">
        <f>IF(AND($C905="Despesa",U905&gt;0,U905&lt;=Sel_Idx,V905&gt;=Sel_Idx),Z905*10000+ROW(),0)</f>
        <v>0</v>
      </c>
      <c r="AD905" s="40">
        <f>IF(AC905=0,0,COUNTIFS(L_CalChave,"&gt;0",L_CalChave,"&lt;"&amp;AC905)+1)</f>
        <v>0</v>
      </c>
    </row>
    <row r="906">
      <c r="A906" s="38" t="n"/>
      <c r="B906" s="39" t="n"/>
      <c r="C906" s="34" t="n"/>
      <c r="D906" s="34" t="n"/>
      <c r="E906" s="34" t="n"/>
      <c r="F906" s="34" t="n"/>
      <c r="G906" s="34" t="n"/>
      <c r="H906" s="37" t="n"/>
      <c r="I906" s="37" t="n"/>
      <c r="J906" s="34" t="n"/>
      <c r="K906" s="34" t="n"/>
      <c r="L906" s="34" t="n"/>
      <c r="M906" s="39" t="n"/>
      <c r="N906" s="35" t="n"/>
      <c r="O906" s="40" t="str">
        <f>IF($A906="","",MONTH($A906))</f>
        <v/>
      </c>
      <c r="P906" s="40" t="str">
        <f>IF($A906="","",YEAR($A906))</f>
        <v/>
      </c>
      <c r="Q906" s="41" t="str">
        <f>IF($A906="","",DATE(P906,O906,1))</f>
        <v/>
      </c>
      <c r="R906" s="36" t="str">
        <f>IF(OR($A906="",$N906=""),"",IF(AND($C906&lt;&gt;"Transferência",N($I906)&gt;1),$N906/$I906,$N906))</f>
        <v/>
      </c>
      <c r="S906" s="41" t="str">
        <f>IF(OR($A906="",$F906="",$C906&lt;&gt;"Despesa"),"",IF(COUNTIF(Cartoes_Nome,$F906)=0,"",DATE(P906,O906+IF(DAY($A906)&gt;=INDEX(Cartoes_Fech,MATCH($F906,Cartoes_Nome,0)),1,0),1)))</f>
        <v/>
      </c>
      <c r="T906" s="42" t="str">
        <f>IF($A906="","",IF(COUNTIFS(L_Data,$A906,L_Desc,$B906,L_Valor,$N906,L_Tipo,$C906)&gt;1,"⚠ Possível duplicidade",IF(OR(AND($C906="Despesa",COUNTIF(CatD_Nome,$D906)=0),AND($C906="Receita",COUNTIF(CatR_Nome,$D906)=0)),"⚠ Categoria não combina com o tipo",IF(OR($N906="",$C906=""),"⚠ Falta valor ou tipo",""))))</f>
        <v/>
      </c>
      <c r="U906" s="40">
        <f>IF($A906="",0,P906*12+O906)</f>
        <v>0</v>
      </c>
      <c r="V906" s="40">
        <f>IF($A906="",0,U906+MAX(0,N($I906)-MAX(N($H906),1)))</f>
        <v>0</v>
      </c>
      <c r="W906" s="40">
        <f>IF(S906="",0,YEAR(S906)*12+MONTH(S906))</f>
        <v>0</v>
      </c>
      <c r="X906" s="40">
        <f>IF(W906=0,0,W906+V906-U906)</f>
        <v>0</v>
      </c>
      <c r="Y906" s="36">
        <f>IF(W906=0,0,N(R906)*MAX(0,X906-MAX(W906,YEAR(Cfg_Hoje)*12+MONTH(Cfg_Hoje)+IF(DAY(Cfg_Hoje)&gt;=INDEX(Cartoes_Fech,MATCH($F906,Cartoes_Nome,0)),1,0))+1))</f>
        <v>0</v>
      </c>
      <c r="Z906" s="40">
        <f>IF($A906="",0,DAY($A906))</f>
        <v>0</v>
      </c>
      <c r="AA906" s="40">
        <f>IF($A906="",0,WEEKDAY($A906))</f>
        <v>0</v>
      </c>
      <c r="AB906" s="36">
        <f>IF(AND($C906="Despesa",U906&gt;0,U906&lt;=Sel_Idx,V906&gt;=Sel_Idx),N(R906)+ROW()/1000000000,0)</f>
        <v>0</v>
      </c>
      <c r="AC906" s="40">
        <f>IF(AND($C906="Despesa",U906&gt;0,U906&lt;=Sel_Idx,V906&gt;=Sel_Idx),Z906*10000+ROW(),0)</f>
        <v>0</v>
      </c>
      <c r="AD906" s="40">
        <f>IF(AC906=0,0,COUNTIFS(L_CalChave,"&gt;0",L_CalChave,"&lt;"&amp;AC906)+1)</f>
        <v>0</v>
      </c>
    </row>
    <row r="907">
      <c r="A907" s="38" t="n"/>
      <c r="B907" s="39" t="n"/>
      <c r="C907" s="34" t="n"/>
      <c r="D907" s="34" t="n"/>
      <c r="E907" s="34" t="n"/>
      <c r="F907" s="34" t="n"/>
      <c r="G907" s="34" t="n"/>
      <c r="H907" s="37" t="n"/>
      <c r="I907" s="37" t="n"/>
      <c r="J907" s="34" t="n"/>
      <c r="K907" s="34" t="n"/>
      <c r="L907" s="34" t="n"/>
      <c r="M907" s="39" t="n"/>
      <c r="N907" s="35" t="n"/>
      <c r="O907" s="40" t="str">
        <f>IF($A907="","",MONTH($A907))</f>
        <v/>
      </c>
      <c r="P907" s="40" t="str">
        <f>IF($A907="","",YEAR($A907))</f>
        <v/>
      </c>
      <c r="Q907" s="41" t="str">
        <f>IF($A907="","",DATE(P907,O907,1))</f>
        <v/>
      </c>
      <c r="R907" s="36" t="str">
        <f>IF(OR($A907="",$N907=""),"",IF(AND($C907&lt;&gt;"Transferência",N($I907)&gt;1),$N907/$I907,$N907))</f>
        <v/>
      </c>
      <c r="S907" s="41" t="str">
        <f>IF(OR($A907="",$F907="",$C907&lt;&gt;"Despesa"),"",IF(COUNTIF(Cartoes_Nome,$F907)=0,"",DATE(P907,O907+IF(DAY($A907)&gt;=INDEX(Cartoes_Fech,MATCH($F907,Cartoes_Nome,0)),1,0),1)))</f>
        <v/>
      </c>
      <c r="T907" s="42" t="str">
        <f>IF($A907="","",IF(COUNTIFS(L_Data,$A907,L_Desc,$B907,L_Valor,$N907,L_Tipo,$C907)&gt;1,"⚠ Possível duplicidade",IF(OR(AND($C907="Despesa",COUNTIF(CatD_Nome,$D907)=0),AND($C907="Receita",COUNTIF(CatR_Nome,$D907)=0)),"⚠ Categoria não combina com o tipo",IF(OR($N907="",$C907=""),"⚠ Falta valor ou tipo",""))))</f>
        <v/>
      </c>
      <c r="U907" s="40">
        <f>IF($A907="",0,P907*12+O907)</f>
        <v>0</v>
      </c>
      <c r="V907" s="40">
        <f>IF($A907="",0,U907+MAX(0,N($I907)-MAX(N($H907),1)))</f>
        <v>0</v>
      </c>
      <c r="W907" s="40">
        <f>IF(S907="",0,YEAR(S907)*12+MONTH(S907))</f>
        <v>0</v>
      </c>
      <c r="X907" s="40">
        <f>IF(W907=0,0,W907+V907-U907)</f>
        <v>0</v>
      </c>
      <c r="Y907" s="36">
        <f>IF(W907=0,0,N(R907)*MAX(0,X907-MAX(W907,YEAR(Cfg_Hoje)*12+MONTH(Cfg_Hoje)+IF(DAY(Cfg_Hoje)&gt;=INDEX(Cartoes_Fech,MATCH($F907,Cartoes_Nome,0)),1,0))+1))</f>
        <v>0</v>
      </c>
      <c r="Z907" s="40">
        <f>IF($A907="",0,DAY($A907))</f>
        <v>0</v>
      </c>
      <c r="AA907" s="40">
        <f>IF($A907="",0,WEEKDAY($A907))</f>
        <v>0</v>
      </c>
      <c r="AB907" s="36">
        <f>IF(AND($C907="Despesa",U907&gt;0,U907&lt;=Sel_Idx,V907&gt;=Sel_Idx),N(R907)+ROW()/1000000000,0)</f>
        <v>0</v>
      </c>
      <c r="AC907" s="40">
        <f>IF(AND($C907="Despesa",U907&gt;0,U907&lt;=Sel_Idx,V907&gt;=Sel_Idx),Z907*10000+ROW(),0)</f>
        <v>0</v>
      </c>
      <c r="AD907" s="40">
        <f>IF(AC907=0,0,COUNTIFS(L_CalChave,"&gt;0",L_CalChave,"&lt;"&amp;AC907)+1)</f>
        <v>0</v>
      </c>
    </row>
    <row r="908">
      <c r="A908" s="38" t="n"/>
      <c r="B908" s="39" t="n"/>
      <c r="C908" s="34" t="n"/>
      <c r="D908" s="34" t="n"/>
      <c r="E908" s="34" t="n"/>
      <c r="F908" s="34" t="n"/>
      <c r="G908" s="34" t="n"/>
      <c r="H908" s="37" t="n"/>
      <c r="I908" s="37" t="n"/>
      <c r="J908" s="34" t="n"/>
      <c r="K908" s="34" t="n"/>
      <c r="L908" s="34" t="n"/>
      <c r="M908" s="39" t="n"/>
      <c r="N908" s="35" t="n"/>
      <c r="O908" s="40" t="str">
        <f>IF($A908="","",MONTH($A908))</f>
        <v/>
      </c>
      <c r="P908" s="40" t="str">
        <f>IF($A908="","",YEAR($A908))</f>
        <v/>
      </c>
      <c r="Q908" s="41" t="str">
        <f>IF($A908="","",DATE(P908,O908,1))</f>
        <v/>
      </c>
      <c r="R908" s="36" t="str">
        <f>IF(OR($A908="",$N908=""),"",IF(AND($C908&lt;&gt;"Transferência",N($I908)&gt;1),$N908/$I908,$N908))</f>
        <v/>
      </c>
      <c r="S908" s="41" t="str">
        <f>IF(OR($A908="",$F908="",$C908&lt;&gt;"Despesa"),"",IF(COUNTIF(Cartoes_Nome,$F908)=0,"",DATE(P908,O908+IF(DAY($A908)&gt;=INDEX(Cartoes_Fech,MATCH($F908,Cartoes_Nome,0)),1,0),1)))</f>
        <v/>
      </c>
      <c r="T908" s="42" t="str">
        <f>IF($A908="","",IF(COUNTIFS(L_Data,$A908,L_Desc,$B908,L_Valor,$N908,L_Tipo,$C908)&gt;1,"⚠ Possível duplicidade",IF(OR(AND($C908="Despesa",COUNTIF(CatD_Nome,$D908)=0),AND($C908="Receita",COUNTIF(CatR_Nome,$D908)=0)),"⚠ Categoria não combina com o tipo",IF(OR($N908="",$C908=""),"⚠ Falta valor ou tipo",""))))</f>
        <v/>
      </c>
      <c r="U908" s="40">
        <f>IF($A908="",0,P908*12+O908)</f>
        <v>0</v>
      </c>
      <c r="V908" s="40">
        <f>IF($A908="",0,U908+MAX(0,N($I908)-MAX(N($H908),1)))</f>
        <v>0</v>
      </c>
      <c r="W908" s="40">
        <f>IF(S908="",0,YEAR(S908)*12+MONTH(S908))</f>
        <v>0</v>
      </c>
      <c r="X908" s="40">
        <f>IF(W908=0,0,W908+V908-U908)</f>
        <v>0</v>
      </c>
      <c r="Y908" s="36">
        <f>IF(W908=0,0,N(R908)*MAX(0,X908-MAX(W908,YEAR(Cfg_Hoje)*12+MONTH(Cfg_Hoje)+IF(DAY(Cfg_Hoje)&gt;=INDEX(Cartoes_Fech,MATCH($F908,Cartoes_Nome,0)),1,0))+1))</f>
        <v>0</v>
      </c>
      <c r="Z908" s="40">
        <f>IF($A908="",0,DAY($A908))</f>
        <v>0</v>
      </c>
      <c r="AA908" s="40">
        <f>IF($A908="",0,WEEKDAY($A908))</f>
        <v>0</v>
      </c>
      <c r="AB908" s="36">
        <f>IF(AND($C908="Despesa",U908&gt;0,U908&lt;=Sel_Idx,V908&gt;=Sel_Idx),N(R908)+ROW()/1000000000,0)</f>
        <v>0</v>
      </c>
      <c r="AC908" s="40">
        <f>IF(AND($C908="Despesa",U908&gt;0,U908&lt;=Sel_Idx,V908&gt;=Sel_Idx),Z908*10000+ROW(),0)</f>
        <v>0</v>
      </c>
      <c r="AD908" s="40">
        <f>IF(AC908=0,0,COUNTIFS(L_CalChave,"&gt;0",L_CalChave,"&lt;"&amp;AC908)+1)</f>
        <v>0</v>
      </c>
    </row>
    <row r="909">
      <c r="A909" s="38" t="n"/>
      <c r="B909" s="39" t="n"/>
      <c r="C909" s="34" t="n"/>
      <c r="D909" s="34" t="n"/>
      <c r="E909" s="34" t="n"/>
      <c r="F909" s="34" t="n"/>
      <c r="G909" s="34" t="n"/>
      <c r="H909" s="37" t="n"/>
      <c r="I909" s="37" t="n"/>
      <c r="J909" s="34" t="n"/>
      <c r="K909" s="34" t="n"/>
      <c r="L909" s="34" t="n"/>
      <c r="M909" s="39" t="n"/>
      <c r="N909" s="35" t="n"/>
      <c r="O909" s="40" t="str">
        <f>IF($A909="","",MONTH($A909))</f>
        <v/>
      </c>
      <c r="P909" s="40" t="str">
        <f>IF($A909="","",YEAR($A909))</f>
        <v/>
      </c>
      <c r="Q909" s="41" t="str">
        <f>IF($A909="","",DATE(P909,O909,1))</f>
        <v/>
      </c>
      <c r="R909" s="36" t="str">
        <f>IF(OR($A909="",$N909=""),"",IF(AND($C909&lt;&gt;"Transferência",N($I909)&gt;1),$N909/$I909,$N909))</f>
        <v/>
      </c>
      <c r="S909" s="41" t="str">
        <f>IF(OR($A909="",$F909="",$C909&lt;&gt;"Despesa"),"",IF(COUNTIF(Cartoes_Nome,$F909)=0,"",DATE(P909,O909+IF(DAY($A909)&gt;=INDEX(Cartoes_Fech,MATCH($F909,Cartoes_Nome,0)),1,0),1)))</f>
        <v/>
      </c>
      <c r="T909" s="42" t="str">
        <f>IF($A909="","",IF(COUNTIFS(L_Data,$A909,L_Desc,$B909,L_Valor,$N909,L_Tipo,$C909)&gt;1,"⚠ Possível duplicidade",IF(OR(AND($C909="Despesa",COUNTIF(CatD_Nome,$D909)=0),AND($C909="Receita",COUNTIF(CatR_Nome,$D909)=0)),"⚠ Categoria não combina com o tipo",IF(OR($N909="",$C909=""),"⚠ Falta valor ou tipo",""))))</f>
        <v/>
      </c>
      <c r="U909" s="40">
        <f>IF($A909="",0,P909*12+O909)</f>
        <v>0</v>
      </c>
      <c r="V909" s="40">
        <f>IF($A909="",0,U909+MAX(0,N($I909)-MAX(N($H909),1)))</f>
        <v>0</v>
      </c>
      <c r="W909" s="40">
        <f>IF(S909="",0,YEAR(S909)*12+MONTH(S909))</f>
        <v>0</v>
      </c>
      <c r="X909" s="40">
        <f>IF(W909=0,0,W909+V909-U909)</f>
        <v>0</v>
      </c>
      <c r="Y909" s="36">
        <f>IF(W909=0,0,N(R909)*MAX(0,X909-MAX(W909,YEAR(Cfg_Hoje)*12+MONTH(Cfg_Hoje)+IF(DAY(Cfg_Hoje)&gt;=INDEX(Cartoes_Fech,MATCH($F909,Cartoes_Nome,0)),1,0))+1))</f>
        <v>0</v>
      </c>
      <c r="Z909" s="40">
        <f>IF($A909="",0,DAY($A909))</f>
        <v>0</v>
      </c>
      <c r="AA909" s="40">
        <f>IF($A909="",0,WEEKDAY($A909))</f>
        <v>0</v>
      </c>
      <c r="AB909" s="36">
        <f>IF(AND($C909="Despesa",U909&gt;0,U909&lt;=Sel_Idx,V909&gt;=Sel_Idx),N(R909)+ROW()/1000000000,0)</f>
        <v>0</v>
      </c>
      <c r="AC909" s="40">
        <f>IF(AND($C909="Despesa",U909&gt;0,U909&lt;=Sel_Idx,V909&gt;=Sel_Idx),Z909*10000+ROW(),0)</f>
        <v>0</v>
      </c>
      <c r="AD909" s="40">
        <f>IF(AC909=0,0,COUNTIFS(L_CalChave,"&gt;0",L_CalChave,"&lt;"&amp;AC909)+1)</f>
        <v>0</v>
      </c>
    </row>
    <row r="910">
      <c r="A910" s="38" t="n"/>
      <c r="B910" s="39" t="n"/>
      <c r="C910" s="34" t="n"/>
      <c r="D910" s="34" t="n"/>
      <c r="E910" s="34" t="n"/>
      <c r="F910" s="34" t="n"/>
      <c r="G910" s="34" t="n"/>
      <c r="H910" s="37" t="n"/>
      <c r="I910" s="37" t="n"/>
      <c r="J910" s="34" t="n"/>
      <c r="K910" s="34" t="n"/>
      <c r="L910" s="34" t="n"/>
      <c r="M910" s="39" t="n"/>
      <c r="N910" s="35" t="n"/>
      <c r="O910" s="40" t="str">
        <f>IF($A910="","",MONTH($A910))</f>
        <v/>
      </c>
      <c r="P910" s="40" t="str">
        <f>IF($A910="","",YEAR($A910))</f>
        <v/>
      </c>
      <c r="Q910" s="41" t="str">
        <f>IF($A910="","",DATE(P910,O910,1))</f>
        <v/>
      </c>
      <c r="R910" s="36" t="str">
        <f>IF(OR($A910="",$N910=""),"",IF(AND($C910&lt;&gt;"Transferência",N($I910)&gt;1),$N910/$I910,$N910))</f>
        <v/>
      </c>
      <c r="S910" s="41" t="str">
        <f>IF(OR($A910="",$F910="",$C910&lt;&gt;"Despesa"),"",IF(COUNTIF(Cartoes_Nome,$F910)=0,"",DATE(P910,O910+IF(DAY($A910)&gt;=INDEX(Cartoes_Fech,MATCH($F910,Cartoes_Nome,0)),1,0),1)))</f>
        <v/>
      </c>
      <c r="T910" s="42" t="str">
        <f>IF($A910="","",IF(COUNTIFS(L_Data,$A910,L_Desc,$B910,L_Valor,$N910,L_Tipo,$C910)&gt;1,"⚠ Possível duplicidade",IF(OR(AND($C910="Despesa",COUNTIF(CatD_Nome,$D910)=0),AND($C910="Receita",COUNTIF(CatR_Nome,$D910)=0)),"⚠ Categoria não combina com o tipo",IF(OR($N910="",$C910=""),"⚠ Falta valor ou tipo",""))))</f>
        <v/>
      </c>
      <c r="U910" s="40">
        <f>IF($A910="",0,P910*12+O910)</f>
        <v>0</v>
      </c>
      <c r="V910" s="40">
        <f>IF($A910="",0,U910+MAX(0,N($I910)-MAX(N($H910),1)))</f>
        <v>0</v>
      </c>
      <c r="W910" s="40">
        <f>IF(S910="",0,YEAR(S910)*12+MONTH(S910))</f>
        <v>0</v>
      </c>
      <c r="X910" s="40">
        <f>IF(W910=0,0,W910+V910-U910)</f>
        <v>0</v>
      </c>
      <c r="Y910" s="36">
        <f>IF(W910=0,0,N(R910)*MAX(0,X910-MAX(W910,YEAR(Cfg_Hoje)*12+MONTH(Cfg_Hoje)+IF(DAY(Cfg_Hoje)&gt;=INDEX(Cartoes_Fech,MATCH($F910,Cartoes_Nome,0)),1,0))+1))</f>
        <v>0</v>
      </c>
      <c r="Z910" s="40">
        <f>IF($A910="",0,DAY($A910))</f>
        <v>0</v>
      </c>
      <c r="AA910" s="40">
        <f>IF($A910="",0,WEEKDAY($A910))</f>
        <v>0</v>
      </c>
      <c r="AB910" s="36">
        <f>IF(AND($C910="Despesa",U910&gt;0,U910&lt;=Sel_Idx,V910&gt;=Sel_Idx),N(R910)+ROW()/1000000000,0)</f>
        <v>0</v>
      </c>
      <c r="AC910" s="40">
        <f>IF(AND($C910="Despesa",U910&gt;0,U910&lt;=Sel_Idx,V910&gt;=Sel_Idx),Z910*10000+ROW(),0)</f>
        <v>0</v>
      </c>
      <c r="AD910" s="40">
        <f>IF(AC910=0,0,COUNTIFS(L_CalChave,"&gt;0",L_CalChave,"&lt;"&amp;AC910)+1)</f>
        <v>0</v>
      </c>
    </row>
    <row r="911">
      <c r="A911" s="38" t="n"/>
      <c r="B911" s="39" t="n"/>
      <c r="C911" s="34" t="n"/>
      <c r="D911" s="34" t="n"/>
      <c r="E911" s="34" t="n"/>
      <c r="F911" s="34" t="n"/>
      <c r="G911" s="34" t="n"/>
      <c r="H911" s="37" t="n"/>
      <c r="I911" s="37" t="n"/>
      <c r="J911" s="34" t="n"/>
      <c r="K911" s="34" t="n"/>
      <c r="L911" s="34" t="n"/>
      <c r="M911" s="39" t="n"/>
      <c r="N911" s="35" t="n"/>
      <c r="O911" s="40" t="str">
        <f>IF($A911="","",MONTH($A911))</f>
        <v/>
      </c>
      <c r="P911" s="40" t="str">
        <f>IF($A911="","",YEAR($A911))</f>
        <v/>
      </c>
      <c r="Q911" s="41" t="str">
        <f>IF($A911="","",DATE(P911,O911,1))</f>
        <v/>
      </c>
      <c r="R911" s="36" t="str">
        <f>IF(OR($A911="",$N911=""),"",IF(AND($C911&lt;&gt;"Transferência",N($I911)&gt;1),$N911/$I911,$N911))</f>
        <v/>
      </c>
      <c r="S911" s="41" t="str">
        <f>IF(OR($A911="",$F911="",$C911&lt;&gt;"Despesa"),"",IF(COUNTIF(Cartoes_Nome,$F911)=0,"",DATE(P911,O911+IF(DAY($A911)&gt;=INDEX(Cartoes_Fech,MATCH($F911,Cartoes_Nome,0)),1,0),1)))</f>
        <v/>
      </c>
      <c r="T911" s="42" t="str">
        <f>IF($A911="","",IF(COUNTIFS(L_Data,$A911,L_Desc,$B911,L_Valor,$N911,L_Tipo,$C911)&gt;1,"⚠ Possível duplicidade",IF(OR(AND($C911="Despesa",COUNTIF(CatD_Nome,$D911)=0),AND($C911="Receita",COUNTIF(CatR_Nome,$D911)=0)),"⚠ Categoria não combina com o tipo",IF(OR($N911="",$C911=""),"⚠ Falta valor ou tipo",""))))</f>
        <v/>
      </c>
      <c r="U911" s="40">
        <f>IF($A911="",0,P911*12+O911)</f>
        <v>0</v>
      </c>
      <c r="V911" s="40">
        <f>IF($A911="",0,U911+MAX(0,N($I911)-MAX(N($H911),1)))</f>
        <v>0</v>
      </c>
      <c r="W911" s="40">
        <f>IF(S911="",0,YEAR(S911)*12+MONTH(S911))</f>
        <v>0</v>
      </c>
      <c r="X911" s="40">
        <f>IF(W911=0,0,W911+V911-U911)</f>
        <v>0</v>
      </c>
      <c r="Y911" s="36">
        <f>IF(W911=0,0,N(R911)*MAX(0,X911-MAX(W911,YEAR(Cfg_Hoje)*12+MONTH(Cfg_Hoje)+IF(DAY(Cfg_Hoje)&gt;=INDEX(Cartoes_Fech,MATCH($F911,Cartoes_Nome,0)),1,0))+1))</f>
        <v>0</v>
      </c>
      <c r="Z911" s="40">
        <f>IF($A911="",0,DAY($A911))</f>
        <v>0</v>
      </c>
      <c r="AA911" s="40">
        <f>IF($A911="",0,WEEKDAY($A911))</f>
        <v>0</v>
      </c>
      <c r="AB911" s="36">
        <f>IF(AND($C911="Despesa",U911&gt;0,U911&lt;=Sel_Idx,V911&gt;=Sel_Idx),N(R911)+ROW()/1000000000,0)</f>
        <v>0</v>
      </c>
      <c r="AC911" s="40">
        <f>IF(AND($C911="Despesa",U911&gt;0,U911&lt;=Sel_Idx,V911&gt;=Sel_Idx),Z911*10000+ROW(),0)</f>
        <v>0</v>
      </c>
      <c r="AD911" s="40">
        <f>IF(AC911=0,0,COUNTIFS(L_CalChave,"&gt;0",L_CalChave,"&lt;"&amp;AC911)+1)</f>
        <v>0</v>
      </c>
    </row>
    <row r="912">
      <c r="A912" s="38" t="n"/>
      <c r="B912" s="39" t="n"/>
      <c r="C912" s="34" t="n"/>
      <c r="D912" s="34" t="n"/>
      <c r="E912" s="34" t="n"/>
      <c r="F912" s="34" t="n"/>
      <c r="G912" s="34" t="n"/>
      <c r="H912" s="37" t="n"/>
      <c r="I912" s="37" t="n"/>
      <c r="J912" s="34" t="n"/>
      <c r="K912" s="34" t="n"/>
      <c r="L912" s="34" t="n"/>
      <c r="M912" s="39" t="n"/>
      <c r="N912" s="35" t="n"/>
      <c r="O912" s="40" t="str">
        <f>IF($A912="","",MONTH($A912))</f>
        <v/>
      </c>
      <c r="P912" s="40" t="str">
        <f>IF($A912="","",YEAR($A912))</f>
        <v/>
      </c>
      <c r="Q912" s="41" t="str">
        <f>IF($A912="","",DATE(P912,O912,1))</f>
        <v/>
      </c>
      <c r="R912" s="36" t="str">
        <f>IF(OR($A912="",$N912=""),"",IF(AND($C912&lt;&gt;"Transferência",N($I912)&gt;1),$N912/$I912,$N912))</f>
        <v/>
      </c>
      <c r="S912" s="41" t="str">
        <f>IF(OR($A912="",$F912="",$C912&lt;&gt;"Despesa"),"",IF(COUNTIF(Cartoes_Nome,$F912)=0,"",DATE(P912,O912+IF(DAY($A912)&gt;=INDEX(Cartoes_Fech,MATCH($F912,Cartoes_Nome,0)),1,0),1)))</f>
        <v/>
      </c>
      <c r="T912" s="42" t="str">
        <f>IF($A912="","",IF(COUNTIFS(L_Data,$A912,L_Desc,$B912,L_Valor,$N912,L_Tipo,$C912)&gt;1,"⚠ Possível duplicidade",IF(OR(AND($C912="Despesa",COUNTIF(CatD_Nome,$D912)=0),AND($C912="Receita",COUNTIF(CatR_Nome,$D912)=0)),"⚠ Categoria não combina com o tipo",IF(OR($N912="",$C912=""),"⚠ Falta valor ou tipo",""))))</f>
        <v/>
      </c>
      <c r="U912" s="40">
        <f>IF($A912="",0,P912*12+O912)</f>
        <v>0</v>
      </c>
      <c r="V912" s="40">
        <f>IF($A912="",0,U912+MAX(0,N($I912)-MAX(N($H912),1)))</f>
        <v>0</v>
      </c>
      <c r="W912" s="40">
        <f>IF(S912="",0,YEAR(S912)*12+MONTH(S912))</f>
        <v>0</v>
      </c>
      <c r="X912" s="40">
        <f>IF(W912=0,0,W912+V912-U912)</f>
        <v>0</v>
      </c>
      <c r="Y912" s="36">
        <f>IF(W912=0,0,N(R912)*MAX(0,X912-MAX(W912,YEAR(Cfg_Hoje)*12+MONTH(Cfg_Hoje)+IF(DAY(Cfg_Hoje)&gt;=INDEX(Cartoes_Fech,MATCH($F912,Cartoes_Nome,0)),1,0))+1))</f>
        <v>0</v>
      </c>
      <c r="Z912" s="40">
        <f>IF($A912="",0,DAY($A912))</f>
        <v>0</v>
      </c>
      <c r="AA912" s="40">
        <f>IF($A912="",0,WEEKDAY($A912))</f>
        <v>0</v>
      </c>
      <c r="AB912" s="36">
        <f>IF(AND($C912="Despesa",U912&gt;0,U912&lt;=Sel_Idx,V912&gt;=Sel_Idx),N(R912)+ROW()/1000000000,0)</f>
        <v>0</v>
      </c>
      <c r="AC912" s="40">
        <f>IF(AND($C912="Despesa",U912&gt;0,U912&lt;=Sel_Idx,V912&gt;=Sel_Idx),Z912*10000+ROW(),0)</f>
        <v>0</v>
      </c>
      <c r="AD912" s="40">
        <f>IF(AC912=0,0,COUNTIFS(L_CalChave,"&gt;0",L_CalChave,"&lt;"&amp;AC912)+1)</f>
        <v>0</v>
      </c>
    </row>
    <row r="913">
      <c r="A913" s="38" t="n"/>
      <c r="B913" s="39" t="n"/>
      <c r="C913" s="34" t="n"/>
      <c r="D913" s="34" t="n"/>
      <c r="E913" s="34" t="n"/>
      <c r="F913" s="34" t="n"/>
      <c r="G913" s="34" t="n"/>
      <c r="H913" s="37" t="n"/>
      <c r="I913" s="37" t="n"/>
      <c r="J913" s="34" t="n"/>
      <c r="K913" s="34" t="n"/>
      <c r="L913" s="34" t="n"/>
      <c r="M913" s="39" t="n"/>
      <c r="N913" s="35" t="n"/>
      <c r="O913" s="40" t="str">
        <f>IF($A913="","",MONTH($A913))</f>
        <v/>
      </c>
      <c r="P913" s="40" t="str">
        <f>IF($A913="","",YEAR($A913))</f>
        <v/>
      </c>
      <c r="Q913" s="41" t="str">
        <f>IF($A913="","",DATE(P913,O913,1))</f>
        <v/>
      </c>
      <c r="R913" s="36" t="str">
        <f>IF(OR($A913="",$N913=""),"",IF(AND($C913&lt;&gt;"Transferência",N($I913)&gt;1),$N913/$I913,$N913))</f>
        <v/>
      </c>
      <c r="S913" s="41" t="str">
        <f>IF(OR($A913="",$F913="",$C913&lt;&gt;"Despesa"),"",IF(COUNTIF(Cartoes_Nome,$F913)=0,"",DATE(P913,O913+IF(DAY($A913)&gt;=INDEX(Cartoes_Fech,MATCH($F913,Cartoes_Nome,0)),1,0),1)))</f>
        <v/>
      </c>
      <c r="T913" s="42" t="str">
        <f>IF($A913="","",IF(COUNTIFS(L_Data,$A913,L_Desc,$B913,L_Valor,$N913,L_Tipo,$C913)&gt;1,"⚠ Possível duplicidade",IF(OR(AND($C913="Despesa",COUNTIF(CatD_Nome,$D913)=0),AND($C913="Receita",COUNTIF(CatR_Nome,$D913)=0)),"⚠ Categoria não combina com o tipo",IF(OR($N913="",$C913=""),"⚠ Falta valor ou tipo",""))))</f>
        <v/>
      </c>
      <c r="U913" s="40">
        <f>IF($A913="",0,P913*12+O913)</f>
        <v>0</v>
      </c>
      <c r="V913" s="40">
        <f>IF($A913="",0,U913+MAX(0,N($I913)-MAX(N($H913),1)))</f>
        <v>0</v>
      </c>
      <c r="W913" s="40">
        <f>IF(S913="",0,YEAR(S913)*12+MONTH(S913))</f>
        <v>0</v>
      </c>
      <c r="X913" s="40">
        <f>IF(W913=0,0,W913+V913-U913)</f>
        <v>0</v>
      </c>
      <c r="Y913" s="36">
        <f>IF(W913=0,0,N(R913)*MAX(0,X913-MAX(W913,YEAR(Cfg_Hoje)*12+MONTH(Cfg_Hoje)+IF(DAY(Cfg_Hoje)&gt;=INDEX(Cartoes_Fech,MATCH($F913,Cartoes_Nome,0)),1,0))+1))</f>
        <v>0</v>
      </c>
      <c r="Z913" s="40">
        <f>IF($A913="",0,DAY($A913))</f>
        <v>0</v>
      </c>
      <c r="AA913" s="40">
        <f>IF($A913="",0,WEEKDAY($A913))</f>
        <v>0</v>
      </c>
      <c r="AB913" s="36">
        <f>IF(AND($C913="Despesa",U913&gt;0,U913&lt;=Sel_Idx,V913&gt;=Sel_Idx),N(R913)+ROW()/1000000000,0)</f>
        <v>0</v>
      </c>
      <c r="AC913" s="40">
        <f>IF(AND($C913="Despesa",U913&gt;0,U913&lt;=Sel_Idx,V913&gt;=Sel_Idx),Z913*10000+ROW(),0)</f>
        <v>0</v>
      </c>
      <c r="AD913" s="40">
        <f>IF(AC913=0,0,COUNTIFS(L_CalChave,"&gt;0",L_CalChave,"&lt;"&amp;AC913)+1)</f>
        <v>0</v>
      </c>
    </row>
    <row r="914">
      <c r="A914" s="38" t="n"/>
      <c r="B914" s="39" t="n"/>
      <c r="C914" s="34" t="n"/>
      <c r="D914" s="34" t="n"/>
      <c r="E914" s="34" t="n"/>
      <c r="F914" s="34" t="n"/>
      <c r="G914" s="34" t="n"/>
      <c r="H914" s="37" t="n"/>
      <c r="I914" s="37" t="n"/>
      <c r="J914" s="34" t="n"/>
      <c r="K914" s="34" t="n"/>
      <c r="L914" s="34" t="n"/>
      <c r="M914" s="39" t="n"/>
      <c r="N914" s="35" t="n"/>
      <c r="O914" s="40" t="str">
        <f>IF($A914="","",MONTH($A914))</f>
        <v/>
      </c>
      <c r="P914" s="40" t="str">
        <f>IF($A914="","",YEAR($A914))</f>
        <v/>
      </c>
      <c r="Q914" s="41" t="str">
        <f>IF($A914="","",DATE(P914,O914,1))</f>
        <v/>
      </c>
      <c r="R914" s="36" t="str">
        <f>IF(OR($A914="",$N914=""),"",IF(AND($C914&lt;&gt;"Transferência",N($I914)&gt;1),$N914/$I914,$N914))</f>
        <v/>
      </c>
      <c r="S914" s="41" t="str">
        <f>IF(OR($A914="",$F914="",$C914&lt;&gt;"Despesa"),"",IF(COUNTIF(Cartoes_Nome,$F914)=0,"",DATE(P914,O914+IF(DAY($A914)&gt;=INDEX(Cartoes_Fech,MATCH($F914,Cartoes_Nome,0)),1,0),1)))</f>
        <v/>
      </c>
      <c r="T914" s="42" t="str">
        <f>IF($A914="","",IF(COUNTIFS(L_Data,$A914,L_Desc,$B914,L_Valor,$N914,L_Tipo,$C914)&gt;1,"⚠ Possível duplicidade",IF(OR(AND($C914="Despesa",COUNTIF(CatD_Nome,$D914)=0),AND($C914="Receita",COUNTIF(CatR_Nome,$D914)=0)),"⚠ Categoria não combina com o tipo",IF(OR($N914="",$C914=""),"⚠ Falta valor ou tipo",""))))</f>
        <v/>
      </c>
      <c r="U914" s="40">
        <f>IF($A914="",0,P914*12+O914)</f>
        <v>0</v>
      </c>
      <c r="V914" s="40">
        <f>IF($A914="",0,U914+MAX(0,N($I914)-MAX(N($H914),1)))</f>
        <v>0</v>
      </c>
      <c r="W914" s="40">
        <f>IF(S914="",0,YEAR(S914)*12+MONTH(S914))</f>
        <v>0</v>
      </c>
      <c r="X914" s="40">
        <f>IF(W914=0,0,W914+V914-U914)</f>
        <v>0</v>
      </c>
      <c r="Y914" s="36">
        <f>IF(W914=0,0,N(R914)*MAX(0,X914-MAX(W914,YEAR(Cfg_Hoje)*12+MONTH(Cfg_Hoje)+IF(DAY(Cfg_Hoje)&gt;=INDEX(Cartoes_Fech,MATCH($F914,Cartoes_Nome,0)),1,0))+1))</f>
        <v>0</v>
      </c>
      <c r="Z914" s="40">
        <f>IF($A914="",0,DAY($A914))</f>
        <v>0</v>
      </c>
      <c r="AA914" s="40">
        <f>IF($A914="",0,WEEKDAY($A914))</f>
        <v>0</v>
      </c>
      <c r="AB914" s="36">
        <f>IF(AND($C914="Despesa",U914&gt;0,U914&lt;=Sel_Idx,V914&gt;=Sel_Idx),N(R914)+ROW()/1000000000,0)</f>
        <v>0</v>
      </c>
      <c r="AC914" s="40">
        <f>IF(AND($C914="Despesa",U914&gt;0,U914&lt;=Sel_Idx,V914&gt;=Sel_Idx),Z914*10000+ROW(),0)</f>
        <v>0</v>
      </c>
      <c r="AD914" s="40">
        <f>IF(AC914=0,0,COUNTIFS(L_CalChave,"&gt;0",L_CalChave,"&lt;"&amp;AC914)+1)</f>
        <v>0</v>
      </c>
    </row>
    <row r="915">
      <c r="A915" s="38" t="n"/>
      <c r="B915" s="39" t="n"/>
      <c r="C915" s="34" t="n"/>
      <c r="D915" s="34" t="n"/>
      <c r="E915" s="34" t="n"/>
      <c r="F915" s="34" t="n"/>
      <c r="G915" s="34" t="n"/>
      <c r="H915" s="37" t="n"/>
      <c r="I915" s="37" t="n"/>
      <c r="J915" s="34" t="n"/>
      <c r="K915" s="34" t="n"/>
      <c r="L915" s="34" t="n"/>
      <c r="M915" s="39" t="n"/>
      <c r="N915" s="35" t="n"/>
      <c r="O915" s="40" t="str">
        <f>IF($A915="","",MONTH($A915))</f>
        <v/>
      </c>
      <c r="P915" s="40" t="str">
        <f>IF($A915="","",YEAR($A915))</f>
        <v/>
      </c>
      <c r="Q915" s="41" t="str">
        <f>IF($A915="","",DATE(P915,O915,1))</f>
        <v/>
      </c>
      <c r="R915" s="36" t="str">
        <f>IF(OR($A915="",$N915=""),"",IF(AND($C915&lt;&gt;"Transferência",N($I915)&gt;1),$N915/$I915,$N915))</f>
        <v/>
      </c>
      <c r="S915" s="41" t="str">
        <f>IF(OR($A915="",$F915="",$C915&lt;&gt;"Despesa"),"",IF(COUNTIF(Cartoes_Nome,$F915)=0,"",DATE(P915,O915+IF(DAY($A915)&gt;=INDEX(Cartoes_Fech,MATCH($F915,Cartoes_Nome,0)),1,0),1)))</f>
        <v/>
      </c>
      <c r="T915" s="42" t="str">
        <f>IF($A915="","",IF(COUNTIFS(L_Data,$A915,L_Desc,$B915,L_Valor,$N915,L_Tipo,$C915)&gt;1,"⚠ Possível duplicidade",IF(OR(AND($C915="Despesa",COUNTIF(CatD_Nome,$D915)=0),AND($C915="Receita",COUNTIF(CatR_Nome,$D915)=0)),"⚠ Categoria não combina com o tipo",IF(OR($N915="",$C915=""),"⚠ Falta valor ou tipo",""))))</f>
        <v/>
      </c>
      <c r="U915" s="40">
        <f>IF($A915="",0,P915*12+O915)</f>
        <v>0</v>
      </c>
      <c r="V915" s="40">
        <f>IF($A915="",0,U915+MAX(0,N($I915)-MAX(N($H915),1)))</f>
        <v>0</v>
      </c>
      <c r="W915" s="40">
        <f>IF(S915="",0,YEAR(S915)*12+MONTH(S915))</f>
        <v>0</v>
      </c>
      <c r="X915" s="40">
        <f>IF(W915=0,0,W915+V915-U915)</f>
        <v>0</v>
      </c>
      <c r="Y915" s="36">
        <f>IF(W915=0,0,N(R915)*MAX(0,X915-MAX(W915,YEAR(Cfg_Hoje)*12+MONTH(Cfg_Hoje)+IF(DAY(Cfg_Hoje)&gt;=INDEX(Cartoes_Fech,MATCH($F915,Cartoes_Nome,0)),1,0))+1))</f>
        <v>0</v>
      </c>
      <c r="Z915" s="40">
        <f>IF($A915="",0,DAY($A915))</f>
        <v>0</v>
      </c>
      <c r="AA915" s="40">
        <f>IF($A915="",0,WEEKDAY($A915))</f>
        <v>0</v>
      </c>
      <c r="AB915" s="36">
        <f>IF(AND($C915="Despesa",U915&gt;0,U915&lt;=Sel_Idx,V915&gt;=Sel_Idx),N(R915)+ROW()/1000000000,0)</f>
        <v>0</v>
      </c>
      <c r="AC915" s="40">
        <f>IF(AND($C915="Despesa",U915&gt;0,U915&lt;=Sel_Idx,V915&gt;=Sel_Idx),Z915*10000+ROW(),0)</f>
        <v>0</v>
      </c>
      <c r="AD915" s="40">
        <f>IF(AC915=0,0,COUNTIFS(L_CalChave,"&gt;0",L_CalChave,"&lt;"&amp;AC915)+1)</f>
        <v>0</v>
      </c>
    </row>
    <row r="916">
      <c r="A916" s="38" t="n"/>
      <c r="B916" s="39" t="n"/>
      <c r="C916" s="34" t="n"/>
      <c r="D916" s="34" t="n"/>
      <c r="E916" s="34" t="n"/>
      <c r="F916" s="34" t="n"/>
      <c r="G916" s="34" t="n"/>
      <c r="H916" s="37" t="n"/>
      <c r="I916" s="37" t="n"/>
      <c r="J916" s="34" t="n"/>
      <c r="K916" s="34" t="n"/>
      <c r="L916" s="34" t="n"/>
      <c r="M916" s="39" t="n"/>
      <c r="N916" s="35" t="n"/>
      <c r="O916" s="40" t="str">
        <f>IF($A916="","",MONTH($A916))</f>
        <v/>
      </c>
      <c r="P916" s="40" t="str">
        <f>IF($A916="","",YEAR($A916))</f>
        <v/>
      </c>
      <c r="Q916" s="41" t="str">
        <f>IF($A916="","",DATE(P916,O916,1))</f>
        <v/>
      </c>
      <c r="R916" s="36" t="str">
        <f>IF(OR($A916="",$N916=""),"",IF(AND($C916&lt;&gt;"Transferência",N($I916)&gt;1),$N916/$I916,$N916))</f>
        <v/>
      </c>
      <c r="S916" s="41" t="str">
        <f>IF(OR($A916="",$F916="",$C916&lt;&gt;"Despesa"),"",IF(COUNTIF(Cartoes_Nome,$F916)=0,"",DATE(P916,O916+IF(DAY($A916)&gt;=INDEX(Cartoes_Fech,MATCH($F916,Cartoes_Nome,0)),1,0),1)))</f>
        <v/>
      </c>
      <c r="T916" s="42" t="str">
        <f>IF($A916="","",IF(COUNTIFS(L_Data,$A916,L_Desc,$B916,L_Valor,$N916,L_Tipo,$C916)&gt;1,"⚠ Possível duplicidade",IF(OR(AND($C916="Despesa",COUNTIF(CatD_Nome,$D916)=0),AND($C916="Receita",COUNTIF(CatR_Nome,$D916)=0)),"⚠ Categoria não combina com o tipo",IF(OR($N916="",$C916=""),"⚠ Falta valor ou tipo",""))))</f>
        <v/>
      </c>
      <c r="U916" s="40">
        <f>IF($A916="",0,P916*12+O916)</f>
        <v>0</v>
      </c>
      <c r="V916" s="40">
        <f>IF($A916="",0,U916+MAX(0,N($I916)-MAX(N($H916),1)))</f>
        <v>0</v>
      </c>
      <c r="W916" s="40">
        <f>IF(S916="",0,YEAR(S916)*12+MONTH(S916))</f>
        <v>0</v>
      </c>
      <c r="X916" s="40">
        <f>IF(W916=0,0,W916+V916-U916)</f>
        <v>0</v>
      </c>
      <c r="Y916" s="36">
        <f>IF(W916=0,0,N(R916)*MAX(0,X916-MAX(W916,YEAR(Cfg_Hoje)*12+MONTH(Cfg_Hoje)+IF(DAY(Cfg_Hoje)&gt;=INDEX(Cartoes_Fech,MATCH($F916,Cartoes_Nome,0)),1,0))+1))</f>
        <v>0</v>
      </c>
      <c r="Z916" s="40">
        <f>IF($A916="",0,DAY($A916))</f>
        <v>0</v>
      </c>
      <c r="AA916" s="40">
        <f>IF($A916="",0,WEEKDAY($A916))</f>
        <v>0</v>
      </c>
      <c r="AB916" s="36">
        <f>IF(AND($C916="Despesa",U916&gt;0,U916&lt;=Sel_Idx,V916&gt;=Sel_Idx),N(R916)+ROW()/1000000000,0)</f>
        <v>0</v>
      </c>
      <c r="AC916" s="40">
        <f>IF(AND($C916="Despesa",U916&gt;0,U916&lt;=Sel_Idx,V916&gt;=Sel_Idx),Z916*10000+ROW(),0)</f>
        <v>0</v>
      </c>
      <c r="AD916" s="40">
        <f>IF(AC916=0,0,COUNTIFS(L_CalChave,"&gt;0",L_CalChave,"&lt;"&amp;AC916)+1)</f>
        <v>0</v>
      </c>
    </row>
    <row r="917">
      <c r="A917" s="38" t="n"/>
      <c r="B917" s="39" t="n"/>
      <c r="C917" s="34" t="n"/>
      <c r="D917" s="34" t="n"/>
      <c r="E917" s="34" t="n"/>
      <c r="F917" s="34" t="n"/>
      <c r="G917" s="34" t="n"/>
      <c r="H917" s="37" t="n"/>
      <c r="I917" s="37" t="n"/>
      <c r="J917" s="34" t="n"/>
      <c r="K917" s="34" t="n"/>
      <c r="L917" s="34" t="n"/>
      <c r="M917" s="39" t="n"/>
      <c r="N917" s="35" t="n"/>
      <c r="O917" s="40" t="str">
        <f>IF($A917="","",MONTH($A917))</f>
        <v/>
      </c>
      <c r="P917" s="40" t="str">
        <f>IF($A917="","",YEAR($A917))</f>
        <v/>
      </c>
      <c r="Q917" s="41" t="str">
        <f>IF($A917="","",DATE(P917,O917,1))</f>
        <v/>
      </c>
      <c r="R917" s="36" t="str">
        <f>IF(OR($A917="",$N917=""),"",IF(AND($C917&lt;&gt;"Transferência",N($I917)&gt;1),$N917/$I917,$N917))</f>
        <v/>
      </c>
      <c r="S917" s="41" t="str">
        <f>IF(OR($A917="",$F917="",$C917&lt;&gt;"Despesa"),"",IF(COUNTIF(Cartoes_Nome,$F917)=0,"",DATE(P917,O917+IF(DAY($A917)&gt;=INDEX(Cartoes_Fech,MATCH($F917,Cartoes_Nome,0)),1,0),1)))</f>
        <v/>
      </c>
      <c r="T917" s="42" t="str">
        <f>IF($A917="","",IF(COUNTIFS(L_Data,$A917,L_Desc,$B917,L_Valor,$N917,L_Tipo,$C917)&gt;1,"⚠ Possível duplicidade",IF(OR(AND($C917="Despesa",COUNTIF(CatD_Nome,$D917)=0),AND($C917="Receita",COUNTIF(CatR_Nome,$D917)=0)),"⚠ Categoria não combina com o tipo",IF(OR($N917="",$C917=""),"⚠ Falta valor ou tipo",""))))</f>
        <v/>
      </c>
      <c r="U917" s="40">
        <f>IF($A917="",0,P917*12+O917)</f>
        <v>0</v>
      </c>
      <c r="V917" s="40">
        <f>IF($A917="",0,U917+MAX(0,N($I917)-MAX(N($H917),1)))</f>
        <v>0</v>
      </c>
      <c r="W917" s="40">
        <f>IF(S917="",0,YEAR(S917)*12+MONTH(S917))</f>
        <v>0</v>
      </c>
      <c r="X917" s="40">
        <f>IF(W917=0,0,W917+V917-U917)</f>
        <v>0</v>
      </c>
      <c r="Y917" s="36">
        <f>IF(W917=0,0,N(R917)*MAX(0,X917-MAX(W917,YEAR(Cfg_Hoje)*12+MONTH(Cfg_Hoje)+IF(DAY(Cfg_Hoje)&gt;=INDEX(Cartoes_Fech,MATCH($F917,Cartoes_Nome,0)),1,0))+1))</f>
        <v>0</v>
      </c>
      <c r="Z917" s="40">
        <f>IF($A917="",0,DAY($A917))</f>
        <v>0</v>
      </c>
      <c r="AA917" s="40">
        <f>IF($A917="",0,WEEKDAY($A917))</f>
        <v>0</v>
      </c>
      <c r="AB917" s="36">
        <f>IF(AND($C917="Despesa",U917&gt;0,U917&lt;=Sel_Idx,V917&gt;=Sel_Idx),N(R917)+ROW()/1000000000,0)</f>
        <v>0</v>
      </c>
      <c r="AC917" s="40">
        <f>IF(AND($C917="Despesa",U917&gt;0,U917&lt;=Sel_Idx,V917&gt;=Sel_Idx),Z917*10000+ROW(),0)</f>
        <v>0</v>
      </c>
      <c r="AD917" s="40">
        <f>IF(AC917=0,0,COUNTIFS(L_CalChave,"&gt;0",L_CalChave,"&lt;"&amp;AC917)+1)</f>
        <v>0</v>
      </c>
    </row>
    <row r="918">
      <c r="A918" s="38" t="n"/>
      <c r="B918" s="39" t="n"/>
      <c r="C918" s="34" t="n"/>
      <c r="D918" s="34" t="n"/>
      <c r="E918" s="34" t="n"/>
      <c r="F918" s="34" t="n"/>
      <c r="G918" s="34" t="n"/>
      <c r="H918" s="37" t="n"/>
      <c r="I918" s="37" t="n"/>
      <c r="J918" s="34" t="n"/>
      <c r="K918" s="34" t="n"/>
      <c r="L918" s="34" t="n"/>
      <c r="M918" s="39" t="n"/>
      <c r="N918" s="35" t="n"/>
      <c r="O918" s="40" t="str">
        <f>IF($A918="","",MONTH($A918))</f>
        <v/>
      </c>
      <c r="P918" s="40" t="str">
        <f>IF($A918="","",YEAR($A918))</f>
        <v/>
      </c>
      <c r="Q918" s="41" t="str">
        <f>IF($A918="","",DATE(P918,O918,1))</f>
        <v/>
      </c>
      <c r="R918" s="36" t="str">
        <f>IF(OR($A918="",$N918=""),"",IF(AND($C918&lt;&gt;"Transferência",N($I918)&gt;1),$N918/$I918,$N918))</f>
        <v/>
      </c>
      <c r="S918" s="41" t="str">
        <f>IF(OR($A918="",$F918="",$C918&lt;&gt;"Despesa"),"",IF(COUNTIF(Cartoes_Nome,$F918)=0,"",DATE(P918,O918+IF(DAY($A918)&gt;=INDEX(Cartoes_Fech,MATCH($F918,Cartoes_Nome,0)),1,0),1)))</f>
        <v/>
      </c>
      <c r="T918" s="42" t="str">
        <f>IF($A918="","",IF(COUNTIFS(L_Data,$A918,L_Desc,$B918,L_Valor,$N918,L_Tipo,$C918)&gt;1,"⚠ Possível duplicidade",IF(OR(AND($C918="Despesa",COUNTIF(CatD_Nome,$D918)=0),AND($C918="Receita",COUNTIF(CatR_Nome,$D918)=0)),"⚠ Categoria não combina com o tipo",IF(OR($N918="",$C918=""),"⚠ Falta valor ou tipo",""))))</f>
        <v/>
      </c>
      <c r="U918" s="40">
        <f>IF($A918="",0,P918*12+O918)</f>
        <v>0</v>
      </c>
      <c r="V918" s="40">
        <f>IF($A918="",0,U918+MAX(0,N($I918)-MAX(N($H918),1)))</f>
        <v>0</v>
      </c>
      <c r="W918" s="40">
        <f>IF(S918="",0,YEAR(S918)*12+MONTH(S918))</f>
        <v>0</v>
      </c>
      <c r="X918" s="40">
        <f>IF(W918=0,0,W918+V918-U918)</f>
        <v>0</v>
      </c>
      <c r="Y918" s="36">
        <f>IF(W918=0,0,N(R918)*MAX(0,X918-MAX(W918,YEAR(Cfg_Hoje)*12+MONTH(Cfg_Hoje)+IF(DAY(Cfg_Hoje)&gt;=INDEX(Cartoes_Fech,MATCH($F918,Cartoes_Nome,0)),1,0))+1))</f>
        <v>0</v>
      </c>
      <c r="Z918" s="40">
        <f>IF($A918="",0,DAY($A918))</f>
        <v>0</v>
      </c>
      <c r="AA918" s="40">
        <f>IF($A918="",0,WEEKDAY($A918))</f>
        <v>0</v>
      </c>
      <c r="AB918" s="36">
        <f>IF(AND($C918="Despesa",U918&gt;0,U918&lt;=Sel_Idx,V918&gt;=Sel_Idx),N(R918)+ROW()/1000000000,0)</f>
        <v>0</v>
      </c>
      <c r="AC918" s="40">
        <f>IF(AND($C918="Despesa",U918&gt;0,U918&lt;=Sel_Idx,V918&gt;=Sel_Idx),Z918*10000+ROW(),0)</f>
        <v>0</v>
      </c>
      <c r="AD918" s="40">
        <f>IF(AC918=0,0,COUNTIFS(L_CalChave,"&gt;0",L_CalChave,"&lt;"&amp;AC918)+1)</f>
        <v>0</v>
      </c>
    </row>
    <row r="919">
      <c r="A919" s="38" t="n"/>
      <c r="B919" s="39" t="n"/>
      <c r="C919" s="34" t="n"/>
      <c r="D919" s="34" t="n"/>
      <c r="E919" s="34" t="n"/>
      <c r="F919" s="34" t="n"/>
      <c r="G919" s="34" t="n"/>
      <c r="H919" s="37" t="n"/>
      <c r="I919" s="37" t="n"/>
      <c r="J919" s="34" t="n"/>
      <c r="K919" s="34" t="n"/>
      <c r="L919" s="34" t="n"/>
      <c r="M919" s="39" t="n"/>
      <c r="N919" s="35" t="n"/>
      <c r="O919" s="40" t="str">
        <f>IF($A919="","",MONTH($A919))</f>
        <v/>
      </c>
      <c r="P919" s="40" t="str">
        <f>IF($A919="","",YEAR($A919))</f>
        <v/>
      </c>
      <c r="Q919" s="41" t="str">
        <f>IF($A919="","",DATE(P919,O919,1))</f>
        <v/>
      </c>
      <c r="R919" s="36" t="str">
        <f>IF(OR($A919="",$N919=""),"",IF(AND($C919&lt;&gt;"Transferência",N($I919)&gt;1),$N919/$I919,$N919))</f>
        <v/>
      </c>
      <c r="S919" s="41" t="str">
        <f>IF(OR($A919="",$F919="",$C919&lt;&gt;"Despesa"),"",IF(COUNTIF(Cartoes_Nome,$F919)=0,"",DATE(P919,O919+IF(DAY($A919)&gt;=INDEX(Cartoes_Fech,MATCH($F919,Cartoes_Nome,0)),1,0),1)))</f>
        <v/>
      </c>
      <c r="T919" s="42" t="str">
        <f>IF($A919="","",IF(COUNTIFS(L_Data,$A919,L_Desc,$B919,L_Valor,$N919,L_Tipo,$C919)&gt;1,"⚠ Possível duplicidade",IF(OR(AND($C919="Despesa",COUNTIF(CatD_Nome,$D919)=0),AND($C919="Receita",COUNTIF(CatR_Nome,$D919)=0)),"⚠ Categoria não combina com o tipo",IF(OR($N919="",$C919=""),"⚠ Falta valor ou tipo",""))))</f>
        <v/>
      </c>
      <c r="U919" s="40">
        <f>IF($A919="",0,P919*12+O919)</f>
        <v>0</v>
      </c>
      <c r="V919" s="40">
        <f>IF($A919="",0,U919+MAX(0,N($I919)-MAX(N($H919),1)))</f>
        <v>0</v>
      </c>
      <c r="W919" s="40">
        <f>IF(S919="",0,YEAR(S919)*12+MONTH(S919))</f>
        <v>0</v>
      </c>
      <c r="X919" s="40">
        <f>IF(W919=0,0,W919+V919-U919)</f>
        <v>0</v>
      </c>
      <c r="Y919" s="36">
        <f>IF(W919=0,0,N(R919)*MAX(0,X919-MAX(W919,YEAR(Cfg_Hoje)*12+MONTH(Cfg_Hoje)+IF(DAY(Cfg_Hoje)&gt;=INDEX(Cartoes_Fech,MATCH($F919,Cartoes_Nome,0)),1,0))+1))</f>
        <v>0</v>
      </c>
      <c r="Z919" s="40">
        <f>IF($A919="",0,DAY($A919))</f>
        <v>0</v>
      </c>
      <c r="AA919" s="40">
        <f>IF($A919="",0,WEEKDAY($A919))</f>
        <v>0</v>
      </c>
      <c r="AB919" s="36">
        <f>IF(AND($C919="Despesa",U919&gt;0,U919&lt;=Sel_Idx,V919&gt;=Sel_Idx),N(R919)+ROW()/1000000000,0)</f>
        <v>0</v>
      </c>
      <c r="AC919" s="40">
        <f>IF(AND($C919="Despesa",U919&gt;0,U919&lt;=Sel_Idx,V919&gt;=Sel_Idx),Z919*10000+ROW(),0)</f>
        <v>0</v>
      </c>
      <c r="AD919" s="40">
        <f>IF(AC919=0,0,COUNTIFS(L_CalChave,"&gt;0",L_CalChave,"&lt;"&amp;AC919)+1)</f>
        <v>0</v>
      </c>
    </row>
    <row r="920">
      <c r="A920" s="38" t="n"/>
      <c r="B920" s="39" t="n"/>
      <c r="C920" s="34" t="n"/>
      <c r="D920" s="34" t="n"/>
      <c r="E920" s="34" t="n"/>
      <c r="F920" s="34" t="n"/>
      <c r="G920" s="34" t="n"/>
      <c r="H920" s="37" t="n"/>
      <c r="I920" s="37" t="n"/>
      <c r="J920" s="34" t="n"/>
      <c r="K920" s="34" t="n"/>
      <c r="L920" s="34" t="n"/>
      <c r="M920" s="39" t="n"/>
      <c r="N920" s="35" t="n"/>
      <c r="O920" s="40" t="str">
        <f>IF($A920="","",MONTH($A920))</f>
        <v/>
      </c>
      <c r="P920" s="40" t="str">
        <f>IF($A920="","",YEAR($A920))</f>
        <v/>
      </c>
      <c r="Q920" s="41" t="str">
        <f>IF($A920="","",DATE(P920,O920,1))</f>
        <v/>
      </c>
      <c r="R920" s="36" t="str">
        <f>IF(OR($A920="",$N920=""),"",IF(AND($C920&lt;&gt;"Transferência",N($I920)&gt;1),$N920/$I920,$N920))</f>
        <v/>
      </c>
      <c r="S920" s="41" t="str">
        <f>IF(OR($A920="",$F920="",$C920&lt;&gt;"Despesa"),"",IF(COUNTIF(Cartoes_Nome,$F920)=0,"",DATE(P920,O920+IF(DAY($A920)&gt;=INDEX(Cartoes_Fech,MATCH($F920,Cartoes_Nome,0)),1,0),1)))</f>
        <v/>
      </c>
      <c r="T920" s="42" t="str">
        <f>IF($A920="","",IF(COUNTIFS(L_Data,$A920,L_Desc,$B920,L_Valor,$N920,L_Tipo,$C920)&gt;1,"⚠ Possível duplicidade",IF(OR(AND($C920="Despesa",COUNTIF(CatD_Nome,$D920)=0),AND($C920="Receita",COUNTIF(CatR_Nome,$D920)=0)),"⚠ Categoria não combina com o tipo",IF(OR($N920="",$C920=""),"⚠ Falta valor ou tipo",""))))</f>
        <v/>
      </c>
      <c r="U920" s="40">
        <f>IF($A920="",0,P920*12+O920)</f>
        <v>0</v>
      </c>
      <c r="V920" s="40">
        <f>IF($A920="",0,U920+MAX(0,N($I920)-MAX(N($H920),1)))</f>
        <v>0</v>
      </c>
      <c r="W920" s="40">
        <f>IF(S920="",0,YEAR(S920)*12+MONTH(S920))</f>
        <v>0</v>
      </c>
      <c r="X920" s="40">
        <f>IF(W920=0,0,W920+V920-U920)</f>
        <v>0</v>
      </c>
      <c r="Y920" s="36">
        <f>IF(W920=0,0,N(R920)*MAX(0,X920-MAX(W920,YEAR(Cfg_Hoje)*12+MONTH(Cfg_Hoje)+IF(DAY(Cfg_Hoje)&gt;=INDEX(Cartoes_Fech,MATCH($F920,Cartoes_Nome,0)),1,0))+1))</f>
        <v>0</v>
      </c>
      <c r="Z920" s="40">
        <f>IF($A920="",0,DAY($A920))</f>
        <v>0</v>
      </c>
      <c r="AA920" s="40">
        <f>IF($A920="",0,WEEKDAY($A920))</f>
        <v>0</v>
      </c>
      <c r="AB920" s="36">
        <f>IF(AND($C920="Despesa",U920&gt;0,U920&lt;=Sel_Idx,V920&gt;=Sel_Idx),N(R920)+ROW()/1000000000,0)</f>
        <v>0</v>
      </c>
      <c r="AC920" s="40">
        <f>IF(AND($C920="Despesa",U920&gt;0,U920&lt;=Sel_Idx,V920&gt;=Sel_Idx),Z920*10000+ROW(),0)</f>
        <v>0</v>
      </c>
      <c r="AD920" s="40">
        <f>IF(AC920=0,0,COUNTIFS(L_CalChave,"&gt;0",L_CalChave,"&lt;"&amp;AC920)+1)</f>
        <v>0</v>
      </c>
    </row>
    <row r="921">
      <c r="A921" s="38" t="n"/>
      <c r="B921" s="39" t="n"/>
      <c r="C921" s="34" t="n"/>
      <c r="D921" s="34" t="n"/>
      <c r="E921" s="34" t="n"/>
      <c r="F921" s="34" t="n"/>
      <c r="G921" s="34" t="n"/>
      <c r="H921" s="37" t="n"/>
      <c r="I921" s="37" t="n"/>
      <c r="J921" s="34" t="n"/>
      <c r="K921" s="34" t="n"/>
      <c r="L921" s="34" t="n"/>
      <c r="M921" s="39" t="n"/>
      <c r="N921" s="35" t="n"/>
      <c r="O921" s="40" t="str">
        <f>IF($A921="","",MONTH($A921))</f>
        <v/>
      </c>
      <c r="P921" s="40" t="str">
        <f>IF($A921="","",YEAR($A921))</f>
        <v/>
      </c>
      <c r="Q921" s="41" t="str">
        <f>IF($A921="","",DATE(P921,O921,1))</f>
        <v/>
      </c>
      <c r="R921" s="36" t="str">
        <f>IF(OR($A921="",$N921=""),"",IF(AND($C921&lt;&gt;"Transferência",N($I921)&gt;1),$N921/$I921,$N921))</f>
        <v/>
      </c>
      <c r="S921" s="41" t="str">
        <f>IF(OR($A921="",$F921="",$C921&lt;&gt;"Despesa"),"",IF(COUNTIF(Cartoes_Nome,$F921)=0,"",DATE(P921,O921+IF(DAY($A921)&gt;=INDEX(Cartoes_Fech,MATCH($F921,Cartoes_Nome,0)),1,0),1)))</f>
        <v/>
      </c>
      <c r="T921" s="42" t="str">
        <f>IF($A921="","",IF(COUNTIFS(L_Data,$A921,L_Desc,$B921,L_Valor,$N921,L_Tipo,$C921)&gt;1,"⚠ Possível duplicidade",IF(OR(AND($C921="Despesa",COUNTIF(CatD_Nome,$D921)=0),AND($C921="Receita",COUNTIF(CatR_Nome,$D921)=0)),"⚠ Categoria não combina com o tipo",IF(OR($N921="",$C921=""),"⚠ Falta valor ou tipo",""))))</f>
        <v/>
      </c>
      <c r="U921" s="40">
        <f>IF($A921="",0,P921*12+O921)</f>
        <v>0</v>
      </c>
      <c r="V921" s="40">
        <f>IF($A921="",0,U921+MAX(0,N($I921)-MAX(N($H921),1)))</f>
        <v>0</v>
      </c>
      <c r="W921" s="40">
        <f>IF(S921="",0,YEAR(S921)*12+MONTH(S921))</f>
        <v>0</v>
      </c>
      <c r="X921" s="40">
        <f>IF(W921=0,0,W921+V921-U921)</f>
        <v>0</v>
      </c>
      <c r="Y921" s="36">
        <f>IF(W921=0,0,N(R921)*MAX(0,X921-MAX(W921,YEAR(Cfg_Hoje)*12+MONTH(Cfg_Hoje)+IF(DAY(Cfg_Hoje)&gt;=INDEX(Cartoes_Fech,MATCH($F921,Cartoes_Nome,0)),1,0))+1))</f>
        <v>0</v>
      </c>
      <c r="Z921" s="40">
        <f>IF($A921="",0,DAY($A921))</f>
        <v>0</v>
      </c>
      <c r="AA921" s="40">
        <f>IF($A921="",0,WEEKDAY($A921))</f>
        <v>0</v>
      </c>
      <c r="AB921" s="36">
        <f>IF(AND($C921="Despesa",U921&gt;0,U921&lt;=Sel_Idx,V921&gt;=Sel_Idx),N(R921)+ROW()/1000000000,0)</f>
        <v>0</v>
      </c>
      <c r="AC921" s="40">
        <f>IF(AND($C921="Despesa",U921&gt;0,U921&lt;=Sel_Idx,V921&gt;=Sel_Idx),Z921*10000+ROW(),0)</f>
        <v>0</v>
      </c>
      <c r="AD921" s="40">
        <f>IF(AC921=0,0,COUNTIFS(L_CalChave,"&gt;0",L_CalChave,"&lt;"&amp;AC921)+1)</f>
        <v>0</v>
      </c>
    </row>
    <row r="922">
      <c r="A922" s="38" t="n"/>
      <c r="B922" s="39" t="n"/>
      <c r="C922" s="34" t="n"/>
      <c r="D922" s="34" t="n"/>
      <c r="E922" s="34" t="n"/>
      <c r="F922" s="34" t="n"/>
      <c r="G922" s="34" t="n"/>
      <c r="H922" s="37" t="n"/>
      <c r="I922" s="37" t="n"/>
      <c r="J922" s="34" t="n"/>
      <c r="K922" s="34" t="n"/>
      <c r="L922" s="34" t="n"/>
      <c r="M922" s="39" t="n"/>
      <c r="N922" s="35" t="n"/>
      <c r="O922" s="40" t="str">
        <f>IF($A922="","",MONTH($A922))</f>
        <v/>
      </c>
      <c r="P922" s="40" t="str">
        <f>IF($A922="","",YEAR($A922))</f>
        <v/>
      </c>
      <c r="Q922" s="41" t="str">
        <f>IF($A922="","",DATE(P922,O922,1))</f>
        <v/>
      </c>
      <c r="R922" s="36" t="str">
        <f>IF(OR($A922="",$N922=""),"",IF(AND($C922&lt;&gt;"Transferência",N($I922)&gt;1),$N922/$I922,$N922))</f>
        <v/>
      </c>
      <c r="S922" s="41" t="str">
        <f>IF(OR($A922="",$F922="",$C922&lt;&gt;"Despesa"),"",IF(COUNTIF(Cartoes_Nome,$F922)=0,"",DATE(P922,O922+IF(DAY($A922)&gt;=INDEX(Cartoes_Fech,MATCH($F922,Cartoes_Nome,0)),1,0),1)))</f>
        <v/>
      </c>
      <c r="T922" s="42" t="str">
        <f>IF($A922="","",IF(COUNTIFS(L_Data,$A922,L_Desc,$B922,L_Valor,$N922,L_Tipo,$C922)&gt;1,"⚠ Possível duplicidade",IF(OR(AND($C922="Despesa",COUNTIF(CatD_Nome,$D922)=0),AND($C922="Receita",COUNTIF(CatR_Nome,$D922)=0)),"⚠ Categoria não combina com o tipo",IF(OR($N922="",$C922=""),"⚠ Falta valor ou tipo",""))))</f>
        <v/>
      </c>
      <c r="U922" s="40">
        <f>IF($A922="",0,P922*12+O922)</f>
        <v>0</v>
      </c>
      <c r="V922" s="40">
        <f>IF($A922="",0,U922+MAX(0,N($I922)-MAX(N($H922),1)))</f>
        <v>0</v>
      </c>
      <c r="W922" s="40">
        <f>IF(S922="",0,YEAR(S922)*12+MONTH(S922))</f>
        <v>0</v>
      </c>
      <c r="X922" s="40">
        <f>IF(W922=0,0,W922+V922-U922)</f>
        <v>0</v>
      </c>
      <c r="Y922" s="36">
        <f>IF(W922=0,0,N(R922)*MAX(0,X922-MAX(W922,YEAR(Cfg_Hoje)*12+MONTH(Cfg_Hoje)+IF(DAY(Cfg_Hoje)&gt;=INDEX(Cartoes_Fech,MATCH($F922,Cartoes_Nome,0)),1,0))+1))</f>
        <v>0</v>
      </c>
      <c r="Z922" s="40">
        <f>IF($A922="",0,DAY($A922))</f>
        <v>0</v>
      </c>
      <c r="AA922" s="40">
        <f>IF($A922="",0,WEEKDAY($A922))</f>
        <v>0</v>
      </c>
      <c r="AB922" s="36">
        <f>IF(AND($C922="Despesa",U922&gt;0,U922&lt;=Sel_Idx,V922&gt;=Sel_Idx),N(R922)+ROW()/1000000000,0)</f>
        <v>0</v>
      </c>
      <c r="AC922" s="40">
        <f>IF(AND($C922="Despesa",U922&gt;0,U922&lt;=Sel_Idx,V922&gt;=Sel_Idx),Z922*10000+ROW(),0)</f>
        <v>0</v>
      </c>
      <c r="AD922" s="40">
        <f>IF(AC922=0,0,COUNTIFS(L_CalChave,"&gt;0",L_CalChave,"&lt;"&amp;AC922)+1)</f>
        <v>0</v>
      </c>
    </row>
    <row r="923">
      <c r="A923" s="38" t="n"/>
      <c r="B923" s="39" t="n"/>
      <c r="C923" s="34" t="n"/>
      <c r="D923" s="34" t="n"/>
      <c r="E923" s="34" t="n"/>
      <c r="F923" s="34" t="n"/>
      <c r="G923" s="34" t="n"/>
      <c r="H923" s="37" t="n"/>
      <c r="I923" s="37" t="n"/>
      <c r="J923" s="34" t="n"/>
      <c r="K923" s="34" t="n"/>
      <c r="L923" s="34" t="n"/>
      <c r="M923" s="39" t="n"/>
      <c r="N923" s="35" t="n"/>
      <c r="O923" s="40" t="str">
        <f>IF($A923="","",MONTH($A923))</f>
        <v/>
      </c>
      <c r="P923" s="40" t="str">
        <f>IF($A923="","",YEAR($A923))</f>
        <v/>
      </c>
      <c r="Q923" s="41" t="str">
        <f>IF($A923="","",DATE(P923,O923,1))</f>
        <v/>
      </c>
      <c r="R923" s="36" t="str">
        <f>IF(OR($A923="",$N923=""),"",IF(AND($C923&lt;&gt;"Transferência",N($I923)&gt;1),$N923/$I923,$N923))</f>
        <v/>
      </c>
      <c r="S923" s="41" t="str">
        <f>IF(OR($A923="",$F923="",$C923&lt;&gt;"Despesa"),"",IF(COUNTIF(Cartoes_Nome,$F923)=0,"",DATE(P923,O923+IF(DAY($A923)&gt;=INDEX(Cartoes_Fech,MATCH($F923,Cartoes_Nome,0)),1,0),1)))</f>
        <v/>
      </c>
      <c r="T923" s="42" t="str">
        <f>IF($A923="","",IF(COUNTIFS(L_Data,$A923,L_Desc,$B923,L_Valor,$N923,L_Tipo,$C923)&gt;1,"⚠ Possível duplicidade",IF(OR(AND($C923="Despesa",COUNTIF(CatD_Nome,$D923)=0),AND($C923="Receita",COUNTIF(CatR_Nome,$D923)=0)),"⚠ Categoria não combina com o tipo",IF(OR($N923="",$C923=""),"⚠ Falta valor ou tipo",""))))</f>
        <v/>
      </c>
      <c r="U923" s="40">
        <f>IF($A923="",0,P923*12+O923)</f>
        <v>0</v>
      </c>
      <c r="V923" s="40">
        <f>IF($A923="",0,U923+MAX(0,N($I923)-MAX(N($H923),1)))</f>
        <v>0</v>
      </c>
      <c r="W923" s="40">
        <f>IF(S923="",0,YEAR(S923)*12+MONTH(S923))</f>
        <v>0</v>
      </c>
      <c r="X923" s="40">
        <f>IF(W923=0,0,W923+V923-U923)</f>
        <v>0</v>
      </c>
      <c r="Y923" s="36">
        <f>IF(W923=0,0,N(R923)*MAX(0,X923-MAX(W923,YEAR(Cfg_Hoje)*12+MONTH(Cfg_Hoje)+IF(DAY(Cfg_Hoje)&gt;=INDEX(Cartoes_Fech,MATCH($F923,Cartoes_Nome,0)),1,0))+1))</f>
        <v>0</v>
      </c>
      <c r="Z923" s="40">
        <f>IF($A923="",0,DAY($A923))</f>
        <v>0</v>
      </c>
      <c r="AA923" s="40">
        <f>IF($A923="",0,WEEKDAY($A923))</f>
        <v>0</v>
      </c>
      <c r="AB923" s="36">
        <f>IF(AND($C923="Despesa",U923&gt;0,U923&lt;=Sel_Idx,V923&gt;=Sel_Idx),N(R923)+ROW()/1000000000,0)</f>
        <v>0</v>
      </c>
      <c r="AC923" s="40">
        <f>IF(AND($C923="Despesa",U923&gt;0,U923&lt;=Sel_Idx,V923&gt;=Sel_Idx),Z923*10000+ROW(),0)</f>
        <v>0</v>
      </c>
      <c r="AD923" s="40">
        <f>IF(AC923=0,0,COUNTIFS(L_CalChave,"&gt;0",L_CalChave,"&lt;"&amp;AC923)+1)</f>
        <v>0</v>
      </c>
    </row>
    <row r="924">
      <c r="A924" s="38" t="n"/>
      <c r="B924" s="39" t="n"/>
      <c r="C924" s="34" t="n"/>
      <c r="D924" s="34" t="n"/>
      <c r="E924" s="34" t="n"/>
      <c r="F924" s="34" t="n"/>
      <c r="G924" s="34" t="n"/>
      <c r="H924" s="37" t="n"/>
      <c r="I924" s="37" t="n"/>
      <c r="J924" s="34" t="n"/>
      <c r="K924" s="34" t="n"/>
      <c r="L924" s="34" t="n"/>
      <c r="M924" s="39" t="n"/>
      <c r="N924" s="35" t="n"/>
      <c r="O924" s="40" t="str">
        <f>IF($A924="","",MONTH($A924))</f>
        <v/>
      </c>
      <c r="P924" s="40" t="str">
        <f>IF($A924="","",YEAR($A924))</f>
        <v/>
      </c>
      <c r="Q924" s="41" t="str">
        <f>IF($A924="","",DATE(P924,O924,1))</f>
        <v/>
      </c>
      <c r="R924" s="36" t="str">
        <f>IF(OR($A924="",$N924=""),"",IF(AND($C924&lt;&gt;"Transferência",N($I924)&gt;1),$N924/$I924,$N924))</f>
        <v/>
      </c>
      <c r="S924" s="41" t="str">
        <f>IF(OR($A924="",$F924="",$C924&lt;&gt;"Despesa"),"",IF(COUNTIF(Cartoes_Nome,$F924)=0,"",DATE(P924,O924+IF(DAY($A924)&gt;=INDEX(Cartoes_Fech,MATCH($F924,Cartoes_Nome,0)),1,0),1)))</f>
        <v/>
      </c>
      <c r="T924" s="42" t="str">
        <f>IF($A924="","",IF(COUNTIFS(L_Data,$A924,L_Desc,$B924,L_Valor,$N924,L_Tipo,$C924)&gt;1,"⚠ Possível duplicidade",IF(OR(AND($C924="Despesa",COUNTIF(CatD_Nome,$D924)=0),AND($C924="Receita",COUNTIF(CatR_Nome,$D924)=0)),"⚠ Categoria não combina com o tipo",IF(OR($N924="",$C924=""),"⚠ Falta valor ou tipo",""))))</f>
        <v/>
      </c>
      <c r="U924" s="40">
        <f>IF($A924="",0,P924*12+O924)</f>
        <v>0</v>
      </c>
      <c r="V924" s="40">
        <f>IF($A924="",0,U924+MAX(0,N($I924)-MAX(N($H924),1)))</f>
        <v>0</v>
      </c>
      <c r="W924" s="40">
        <f>IF(S924="",0,YEAR(S924)*12+MONTH(S924))</f>
        <v>0</v>
      </c>
      <c r="X924" s="40">
        <f>IF(W924=0,0,W924+V924-U924)</f>
        <v>0</v>
      </c>
      <c r="Y924" s="36">
        <f>IF(W924=0,0,N(R924)*MAX(0,X924-MAX(W924,YEAR(Cfg_Hoje)*12+MONTH(Cfg_Hoje)+IF(DAY(Cfg_Hoje)&gt;=INDEX(Cartoes_Fech,MATCH($F924,Cartoes_Nome,0)),1,0))+1))</f>
        <v>0</v>
      </c>
      <c r="Z924" s="40">
        <f>IF($A924="",0,DAY($A924))</f>
        <v>0</v>
      </c>
      <c r="AA924" s="40">
        <f>IF($A924="",0,WEEKDAY($A924))</f>
        <v>0</v>
      </c>
      <c r="AB924" s="36">
        <f>IF(AND($C924="Despesa",U924&gt;0,U924&lt;=Sel_Idx,V924&gt;=Sel_Idx),N(R924)+ROW()/1000000000,0)</f>
        <v>0</v>
      </c>
      <c r="AC924" s="40">
        <f>IF(AND($C924="Despesa",U924&gt;0,U924&lt;=Sel_Idx,V924&gt;=Sel_Idx),Z924*10000+ROW(),0)</f>
        <v>0</v>
      </c>
      <c r="AD924" s="40">
        <f>IF(AC924=0,0,COUNTIFS(L_CalChave,"&gt;0",L_CalChave,"&lt;"&amp;AC924)+1)</f>
        <v>0</v>
      </c>
    </row>
    <row r="925">
      <c r="A925" s="38" t="n"/>
      <c r="B925" s="39" t="n"/>
      <c r="C925" s="34" t="n"/>
      <c r="D925" s="34" t="n"/>
      <c r="E925" s="34" t="n"/>
      <c r="F925" s="34" t="n"/>
      <c r="G925" s="34" t="n"/>
      <c r="H925" s="37" t="n"/>
      <c r="I925" s="37" t="n"/>
      <c r="J925" s="34" t="n"/>
      <c r="K925" s="34" t="n"/>
      <c r="L925" s="34" t="n"/>
      <c r="M925" s="39" t="n"/>
      <c r="N925" s="35" t="n"/>
      <c r="O925" s="40" t="str">
        <f>IF($A925="","",MONTH($A925))</f>
        <v/>
      </c>
      <c r="P925" s="40" t="str">
        <f>IF($A925="","",YEAR($A925))</f>
        <v/>
      </c>
      <c r="Q925" s="41" t="str">
        <f>IF($A925="","",DATE(P925,O925,1))</f>
        <v/>
      </c>
      <c r="R925" s="36" t="str">
        <f>IF(OR($A925="",$N925=""),"",IF(AND($C925&lt;&gt;"Transferência",N($I925)&gt;1),$N925/$I925,$N925))</f>
        <v/>
      </c>
      <c r="S925" s="41" t="str">
        <f>IF(OR($A925="",$F925="",$C925&lt;&gt;"Despesa"),"",IF(COUNTIF(Cartoes_Nome,$F925)=0,"",DATE(P925,O925+IF(DAY($A925)&gt;=INDEX(Cartoes_Fech,MATCH($F925,Cartoes_Nome,0)),1,0),1)))</f>
        <v/>
      </c>
      <c r="T925" s="42" t="str">
        <f>IF($A925="","",IF(COUNTIFS(L_Data,$A925,L_Desc,$B925,L_Valor,$N925,L_Tipo,$C925)&gt;1,"⚠ Possível duplicidade",IF(OR(AND($C925="Despesa",COUNTIF(CatD_Nome,$D925)=0),AND($C925="Receita",COUNTIF(CatR_Nome,$D925)=0)),"⚠ Categoria não combina com o tipo",IF(OR($N925="",$C925=""),"⚠ Falta valor ou tipo",""))))</f>
        <v/>
      </c>
      <c r="U925" s="40">
        <f>IF($A925="",0,P925*12+O925)</f>
        <v>0</v>
      </c>
      <c r="V925" s="40">
        <f>IF($A925="",0,U925+MAX(0,N($I925)-MAX(N($H925),1)))</f>
        <v>0</v>
      </c>
      <c r="W925" s="40">
        <f>IF(S925="",0,YEAR(S925)*12+MONTH(S925))</f>
        <v>0</v>
      </c>
      <c r="X925" s="40">
        <f>IF(W925=0,0,W925+V925-U925)</f>
        <v>0</v>
      </c>
      <c r="Y925" s="36">
        <f>IF(W925=0,0,N(R925)*MAX(0,X925-MAX(W925,YEAR(Cfg_Hoje)*12+MONTH(Cfg_Hoje)+IF(DAY(Cfg_Hoje)&gt;=INDEX(Cartoes_Fech,MATCH($F925,Cartoes_Nome,0)),1,0))+1))</f>
        <v>0</v>
      </c>
      <c r="Z925" s="40">
        <f>IF($A925="",0,DAY($A925))</f>
        <v>0</v>
      </c>
      <c r="AA925" s="40">
        <f>IF($A925="",0,WEEKDAY($A925))</f>
        <v>0</v>
      </c>
      <c r="AB925" s="36">
        <f>IF(AND($C925="Despesa",U925&gt;0,U925&lt;=Sel_Idx,V925&gt;=Sel_Idx),N(R925)+ROW()/1000000000,0)</f>
        <v>0</v>
      </c>
      <c r="AC925" s="40">
        <f>IF(AND($C925="Despesa",U925&gt;0,U925&lt;=Sel_Idx,V925&gt;=Sel_Idx),Z925*10000+ROW(),0)</f>
        <v>0</v>
      </c>
      <c r="AD925" s="40">
        <f>IF(AC925=0,0,COUNTIFS(L_CalChave,"&gt;0",L_CalChave,"&lt;"&amp;AC925)+1)</f>
        <v>0</v>
      </c>
    </row>
    <row r="926">
      <c r="A926" s="38" t="n"/>
      <c r="B926" s="39" t="n"/>
      <c r="C926" s="34" t="n"/>
      <c r="D926" s="34" t="n"/>
      <c r="E926" s="34" t="n"/>
      <c r="F926" s="34" t="n"/>
      <c r="G926" s="34" t="n"/>
      <c r="H926" s="37" t="n"/>
      <c r="I926" s="37" t="n"/>
      <c r="J926" s="34" t="n"/>
      <c r="K926" s="34" t="n"/>
      <c r="L926" s="34" t="n"/>
      <c r="M926" s="39" t="n"/>
      <c r="N926" s="35" t="n"/>
      <c r="O926" s="40" t="str">
        <f>IF($A926="","",MONTH($A926))</f>
        <v/>
      </c>
      <c r="P926" s="40" t="str">
        <f>IF($A926="","",YEAR($A926))</f>
        <v/>
      </c>
      <c r="Q926" s="41" t="str">
        <f>IF($A926="","",DATE(P926,O926,1))</f>
        <v/>
      </c>
      <c r="R926" s="36" t="str">
        <f>IF(OR($A926="",$N926=""),"",IF(AND($C926&lt;&gt;"Transferência",N($I926)&gt;1),$N926/$I926,$N926))</f>
        <v/>
      </c>
      <c r="S926" s="41" t="str">
        <f>IF(OR($A926="",$F926="",$C926&lt;&gt;"Despesa"),"",IF(COUNTIF(Cartoes_Nome,$F926)=0,"",DATE(P926,O926+IF(DAY($A926)&gt;=INDEX(Cartoes_Fech,MATCH($F926,Cartoes_Nome,0)),1,0),1)))</f>
        <v/>
      </c>
      <c r="T926" s="42" t="str">
        <f>IF($A926="","",IF(COUNTIFS(L_Data,$A926,L_Desc,$B926,L_Valor,$N926,L_Tipo,$C926)&gt;1,"⚠ Possível duplicidade",IF(OR(AND($C926="Despesa",COUNTIF(CatD_Nome,$D926)=0),AND($C926="Receita",COUNTIF(CatR_Nome,$D926)=0)),"⚠ Categoria não combina com o tipo",IF(OR($N926="",$C926=""),"⚠ Falta valor ou tipo",""))))</f>
        <v/>
      </c>
      <c r="U926" s="40">
        <f>IF($A926="",0,P926*12+O926)</f>
        <v>0</v>
      </c>
      <c r="V926" s="40">
        <f>IF($A926="",0,U926+MAX(0,N($I926)-MAX(N($H926),1)))</f>
        <v>0</v>
      </c>
      <c r="W926" s="40">
        <f>IF(S926="",0,YEAR(S926)*12+MONTH(S926))</f>
        <v>0</v>
      </c>
      <c r="X926" s="40">
        <f>IF(W926=0,0,W926+V926-U926)</f>
        <v>0</v>
      </c>
      <c r="Y926" s="36">
        <f>IF(W926=0,0,N(R926)*MAX(0,X926-MAX(W926,YEAR(Cfg_Hoje)*12+MONTH(Cfg_Hoje)+IF(DAY(Cfg_Hoje)&gt;=INDEX(Cartoes_Fech,MATCH($F926,Cartoes_Nome,0)),1,0))+1))</f>
        <v>0</v>
      </c>
      <c r="Z926" s="40">
        <f>IF($A926="",0,DAY($A926))</f>
        <v>0</v>
      </c>
      <c r="AA926" s="40">
        <f>IF($A926="",0,WEEKDAY($A926))</f>
        <v>0</v>
      </c>
      <c r="AB926" s="36">
        <f>IF(AND($C926="Despesa",U926&gt;0,U926&lt;=Sel_Idx,V926&gt;=Sel_Idx),N(R926)+ROW()/1000000000,0)</f>
        <v>0</v>
      </c>
      <c r="AC926" s="40">
        <f>IF(AND($C926="Despesa",U926&gt;0,U926&lt;=Sel_Idx,V926&gt;=Sel_Idx),Z926*10000+ROW(),0)</f>
        <v>0</v>
      </c>
      <c r="AD926" s="40">
        <f>IF(AC926=0,0,COUNTIFS(L_CalChave,"&gt;0",L_CalChave,"&lt;"&amp;AC926)+1)</f>
        <v>0</v>
      </c>
    </row>
    <row r="927">
      <c r="A927" s="38" t="n"/>
      <c r="B927" s="39" t="n"/>
      <c r="C927" s="34" t="n"/>
      <c r="D927" s="34" t="n"/>
      <c r="E927" s="34" t="n"/>
      <c r="F927" s="34" t="n"/>
      <c r="G927" s="34" t="n"/>
      <c r="H927" s="37" t="n"/>
      <c r="I927" s="37" t="n"/>
      <c r="J927" s="34" t="n"/>
      <c r="K927" s="34" t="n"/>
      <c r="L927" s="34" t="n"/>
      <c r="M927" s="39" t="n"/>
      <c r="N927" s="35" t="n"/>
      <c r="O927" s="40" t="str">
        <f>IF($A927="","",MONTH($A927))</f>
        <v/>
      </c>
      <c r="P927" s="40" t="str">
        <f>IF($A927="","",YEAR($A927))</f>
        <v/>
      </c>
      <c r="Q927" s="41" t="str">
        <f>IF($A927="","",DATE(P927,O927,1))</f>
        <v/>
      </c>
      <c r="R927" s="36" t="str">
        <f>IF(OR($A927="",$N927=""),"",IF(AND($C927&lt;&gt;"Transferência",N($I927)&gt;1),$N927/$I927,$N927))</f>
        <v/>
      </c>
      <c r="S927" s="41" t="str">
        <f>IF(OR($A927="",$F927="",$C927&lt;&gt;"Despesa"),"",IF(COUNTIF(Cartoes_Nome,$F927)=0,"",DATE(P927,O927+IF(DAY($A927)&gt;=INDEX(Cartoes_Fech,MATCH($F927,Cartoes_Nome,0)),1,0),1)))</f>
        <v/>
      </c>
      <c r="T927" s="42" t="str">
        <f>IF($A927="","",IF(COUNTIFS(L_Data,$A927,L_Desc,$B927,L_Valor,$N927,L_Tipo,$C927)&gt;1,"⚠ Possível duplicidade",IF(OR(AND($C927="Despesa",COUNTIF(CatD_Nome,$D927)=0),AND($C927="Receita",COUNTIF(CatR_Nome,$D927)=0)),"⚠ Categoria não combina com o tipo",IF(OR($N927="",$C927=""),"⚠ Falta valor ou tipo",""))))</f>
        <v/>
      </c>
      <c r="U927" s="40">
        <f>IF($A927="",0,P927*12+O927)</f>
        <v>0</v>
      </c>
      <c r="V927" s="40">
        <f>IF($A927="",0,U927+MAX(0,N($I927)-MAX(N($H927),1)))</f>
        <v>0</v>
      </c>
      <c r="W927" s="40">
        <f>IF(S927="",0,YEAR(S927)*12+MONTH(S927))</f>
        <v>0</v>
      </c>
      <c r="X927" s="40">
        <f>IF(W927=0,0,W927+V927-U927)</f>
        <v>0</v>
      </c>
      <c r="Y927" s="36">
        <f>IF(W927=0,0,N(R927)*MAX(0,X927-MAX(W927,YEAR(Cfg_Hoje)*12+MONTH(Cfg_Hoje)+IF(DAY(Cfg_Hoje)&gt;=INDEX(Cartoes_Fech,MATCH($F927,Cartoes_Nome,0)),1,0))+1))</f>
        <v>0</v>
      </c>
      <c r="Z927" s="40">
        <f>IF($A927="",0,DAY($A927))</f>
        <v>0</v>
      </c>
      <c r="AA927" s="40">
        <f>IF($A927="",0,WEEKDAY($A927))</f>
        <v>0</v>
      </c>
      <c r="AB927" s="36">
        <f>IF(AND($C927="Despesa",U927&gt;0,U927&lt;=Sel_Idx,V927&gt;=Sel_Idx),N(R927)+ROW()/1000000000,0)</f>
        <v>0</v>
      </c>
      <c r="AC927" s="40">
        <f>IF(AND($C927="Despesa",U927&gt;0,U927&lt;=Sel_Idx,V927&gt;=Sel_Idx),Z927*10000+ROW(),0)</f>
        <v>0</v>
      </c>
      <c r="AD927" s="40">
        <f>IF(AC927=0,0,COUNTIFS(L_CalChave,"&gt;0",L_CalChave,"&lt;"&amp;AC927)+1)</f>
        <v>0</v>
      </c>
    </row>
    <row r="928">
      <c r="A928" s="38" t="n"/>
      <c r="B928" s="39" t="n"/>
      <c r="C928" s="34" t="n"/>
      <c r="D928" s="34" t="n"/>
      <c r="E928" s="34" t="n"/>
      <c r="F928" s="34" t="n"/>
      <c r="G928" s="34" t="n"/>
      <c r="H928" s="37" t="n"/>
      <c r="I928" s="37" t="n"/>
      <c r="J928" s="34" t="n"/>
      <c r="K928" s="34" t="n"/>
      <c r="L928" s="34" t="n"/>
      <c r="M928" s="39" t="n"/>
      <c r="N928" s="35" t="n"/>
      <c r="O928" s="40" t="str">
        <f>IF($A928="","",MONTH($A928))</f>
        <v/>
      </c>
      <c r="P928" s="40" t="str">
        <f>IF($A928="","",YEAR($A928))</f>
        <v/>
      </c>
      <c r="Q928" s="41" t="str">
        <f>IF($A928="","",DATE(P928,O928,1))</f>
        <v/>
      </c>
      <c r="R928" s="36" t="str">
        <f>IF(OR($A928="",$N928=""),"",IF(AND($C928&lt;&gt;"Transferência",N($I928)&gt;1),$N928/$I928,$N928))</f>
        <v/>
      </c>
      <c r="S928" s="41" t="str">
        <f>IF(OR($A928="",$F928="",$C928&lt;&gt;"Despesa"),"",IF(COUNTIF(Cartoes_Nome,$F928)=0,"",DATE(P928,O928+IF(DAY($A928)&gt;=INDEX(Cartoes_Fech,MATCH($F928,Cartoes_Nome,0)),1,0),1)))</f>
        <v/>
      </c>
      <c r="T928" s="42" t="str">
        <f>IF($A928="","",IF(COUNTIFS(L_Data,$A928,L_Desc,$B928,L_Valor,$N928,L_Tipo,$C928)&gt;1,"⚠ Possível duplicidade",IF(OR(AND($C928="Despesa",COUNTIF(CatD_Nome,$D928)=0),AND($C928="Receita",COUNTIF(CatR_Nome,$D928)=0)),"⚠ Categoria não combina com o tipo",IF(OR($N928="",$C928=""),"⚠ Falta valor ou tipo",""))))</f>
        <v/>
      </c>
      <c r="U928" s="40">
        <f>IF($A928="",0,P928*12+O928)</f>
        <v>0</v>
      </c>
      <c r="V928" s="40">
        <f>IF($A928="",0,U928+MAX(0,N($I928)-MAX(N($H928),1)))</f>
        <v>0</v>
      </c>
      <c r="W928" s="40">
        <f>IF(S928="",0,YEAR(S928)*12+MONTH(S928))</f>
        <v>0</v>
      </c>
      <c r="X928" s="40">
        <f>IF(W928=0,0,W928+V928-U928)</f>
        <v>0</v>
      </c>
      <c r="Y928" s="36">
        <f>IF(W928=0,0,N(R928)*MAX(0,X928-MAX(W928,YEAR(Cfg_Hoje)*12+MONTH(Cfg_Hoje)+IF(DAY(Cfg_Hoje)&gt;=INDEX(Cartoes_Fech,MATCH($F928,Cartoes_Nome,0)),1,0))+1))</f>
        <v>0</v>
      </c>
      <c r="Z928" s="40">
        <f>IF($A928="",0,DAY($A928))</f>
        <v>0</v>
      </c>
      <c r="AA928" s="40">
        <f>IF($A928="",0,WEEKDAY($A928))</f>
        <v>0</v>
      </c>
      <c r="AB928" s="36">
        <f>IF(AND($C928="Despesa",U928&gt;0,U928&lt;=Sel_Idx,V928&gt;=Sel_Idx),N(R928)+ROW()/1000000000,0)</f>
        <v>0</v>
      </c>
      <c r="AC928" s="40">
        <f>IF(AND($C928="Despesa",U928&gt;0,U928&lt;=Sel_Idx,V928&gt;=Sel_Idx),Z928*10000+ROW(),0)</f>
        <v>0</v>
      </c>
      <c r="AD928" s="40">
        <f>IF(AC928=0,0,COUNTIFS(L_CalChave,"&gt;0",L_CalChave,"&lt;"&amp;AC928)+1)</f>
        <v>0</v>
      </c>
    </row>
    <row r="929">
      <c r="A929" s="38" t="n"/>
      <c r="B929" s="39" t="n"/>
      <c r="C929" s="34" t="n"/>
      <c r="D929" s="34" t="n"/>
      <c r="E929" s="34" t="n"/>
      <c r="F929" s="34" t="n"/>
      <c r="G929" s="34" t="n"/>
      <c r="H929" s="37" t="n"/>
      <c r="I929" s="37" t="n"/>
      <c r="J929" s="34" t="n"/>
      <c r="K929" s="34" t="n"/>
      <c r="L929" s="34" t="n"/>
      <c r="M929" s="39" t="n"/>
      <c r="N929" s="35" t="n"/>
      <c r="O929" s="40" t="str">
        <f>IF($A929="","",MONTH($A929))</f>
        <v/>
      </c>
      <c r="P929" s="40" t="str">
        <f>IF($A929="","",YEAR($A929))</f>
        <v/>
      </c>
      <c r="Q929" s="41" t="str">
        <f>IF($A929="","",DATE(P929,O929,1))</f>
        <v/>
      </c>
      <c r="R929" s="36" t="str">
        <f>IF(OR($A929="",$N929=""),"",IF(AND($C929&lt;&gt;"Transferência",N($I929)&gt;1),$N929/$I929,$N929))</f>
        <v/>
      </c>
      <c r="S929" s="41" t="str">
        <f>IF(OR($A929="",$F929="",$C929&lt;&gt;"Despesa"),"",IF(COUNTIF(Cartoes_Nome,$F929)=0,"",DATE(P929,O929+IF(DAY($A929)&gt;=INDEX(Cartoes_Fech,MATCH($F929,Cartoes_Nome,0)),1,0),1)))</f>
        <v/>
      </c>
      <c r="T929" s="42" t="str">
        <f>IF($A929="","",IF(COUNTIFS(L_Data,$A929,L_Desc,$B929,L_Valor,$N929,L_Tipo,$C929)&gt;1,"⚠ Possível duplicidade",IF(OR(AND($C929="Despesa",COUNTIF(CatD_Nome,$D929)=0),AND($C929="Receita",COUNTIF(CatR_Nome,$D929)=0)),"⚠ Categoria não combina com o tipo",IF(OR($N929="",$C929=""),"⚠ Falta valor ou tipo",""))))</f>
        <v/>
      </c>
      <c r="U929" s="40">
        <f>IF($A929="",0,P929*12+O929)</f>
        <v>0</v>
      </c>
      <c r="V929" s="40">
        <f>IF($A929="",0,U929+MAX(0,N($I929)-MAX(N($H929),1)))</f>
        <v>0</v>
      </c>
      <c r="W929" s="40">
        <f>IF(S929="",0,YEAR(S929)*12+MONTH(S929))</f>
        <v>0</v>
      </c>
      <c r="X929" s="40">
        <f>IF(W929=0,0,W929+V929-U929)</f>
        <v>0</v>
      </c>
      <c r="Y929" s="36">
        <f>IF(W929=0,0,N(R929)*MAX(0,X929-MAX(W929,YEAR(Cfg_Hoje)*12+MONTH(Cfg_Hoje)+IF(DAY(Cfg_Hoje)&gt;=INDEX(Cartoes_Fech,MATCH($F929,Cartoes_Nome,0)),1,0))+1))</f>
        <v>0</v>
      </c>
      <c r="Z929" s="40">
        <f>IF($A929="",0,DAY($A929))</f>
        <v>0</v>
      </c>
      <c r="AA929" s="40">
        <f>IF($A929="",0,WEEKDAY($A929))</f>
        <v>0</v>
      </c>
      <c r="AB929" s="36">
        <f>IF(AND($C929="Despesa",U929&gt;0,U929&lt;=Sel_Idx,V929&gt;=Sel_Idx),N(R929)+ROW()/1000000000,0)</f>
        <v>0</v>
      </c>
      <c r="AC929" s="40">
        <f>IF(AND($C929="Despesa",U929&gt;0,U929&lt;=Sel_Idx,V929&gt;=Sel_Idx),Z929*10000+ROW(),0)</f>
        <v>0</v>
      </c>
      <c r="AD929" s="40">
        <f>IF(AC929=0,0,COUNTIFS(L_CalChave,"&gt;0",L_CalChave,"&lt;"&amp;AC929)+1)</f>
        <v>0</v>
      </c>
    </row>
    <row r="930">
      <c r="A930" s="38" t="n"/>
      <c r="B930" s="39" t="n"/>
      <c r="C930" s="34" t="n"/>
      <c r="D930" s="34" t="n"/>
      <c r="E930" s="34" t="n"/>
      <c r="F930" s="34" t="n"/>
      <c r="G930" s="34" t="n"/>
      <c r="H930" s="37" t="n"/>
      <c r="I930" s="37" t="n"/>
      <c r="J930" s="34" t="n"/>
      <c r="K930" s="34" t="n"/>
      <c r="L930" s="34" t="n"/>
      <c r="M930" s="39" t="n"/>
      <c r="N930" s="35" t="n"/>
      <c r="O930" s="40" t="str">
        <f>IF($A930="","",MONTH($A930))</f>
        <v/>
      </c>
      <c r="P930" s="40" t="str">
        <f>IF($A930="","",YEAR($A930))</f>
        <v/>
      </c>
      <c r="Q930" s="41" t="str">
        <f>IF($A930="","",DATE(P930,O930,1))</f>
        <v/>
      </c>
      <c r="R930" s="36" t="str">
        <f>IF(OR($A930="",$N930=""),"",IF(AND($C930&lt;&gt;"Transferência",N($I930)&gt;1),$N930/$I930,$N930))</f>
        <v/>
      </c>
      <c r="S930" s="41" t="str">
        <f>IF(OR($A930="",$F930="",$C930&lt;&gt;"Despesa"),"",IF(COUNTIF(Cartoes_Nome,$F930)=0,"",DATE(P930,O930+IF(DAY($A930)&gt;=INDEX(Cartoes_Fech,MATCH($F930,Cartoes_Nome,0)),1,0),1)))</f>
        <v/>
      </c>
      <c r="T930" s="42" t="str">
        <f>IF($A930="","",IF(COUNTIFS(L_Data,$A930,L_Desc,$B930,L_Valor,$N930,L_Tipo,$C930)&gt;1,"⚠ Possível duplicidade",IF(OR(AND($C930="Despesa",COUNTIF(CatD_Nome,$D930)=0),AND($C930="Receita",COUNTIF(CatR_Nome,$D930)=0)),"⚠ Categoria não combina com o tipo",IF(OR($N930="",$C930=""),"⚠ Falta valor ou tipo",""))))</f>
        <v/>
      </c>
      <c r="U930" s="40">
        <f>IF($A930="",0,P930*12+O930)</f>
        <v>0</v>
      </c>
      <c r="V930" s="40">
        <f>IF($A930="",0,U930+MAX(0,N($I930)-MAX(N($H930),1)))</f>
        <v>0</v>
      </c>
      <c r="W930" s="40">
        <f>IF(S930="",0,YEAR(S930)*12+MONTH(S930))</f>
        <v>0</v>
      </c>
      <c r="X930" s="40">
        <f>IF(W930=0,0,W930+V930-U930)</f>
        <v>0</v>
      </c>
      <c r="Y930" s="36">
        <f>IF(W930=0,0,N(R930)*MAX(0,X930-MAX(W930,YEAR(Cfg_Hoje)*12+MONTH(Cfg_Hoje)+IF(DAY(Cfg_Hoje)&gt;=INDEX(Cartoes_Fech,MATCH($F930,Cartoes_Nome,0)),1,0))+1))</f>
        <v>0</v>
      </c>
      <c r="Z930" s="40">
        <f>IF($A930="",0,DAY($A930))</f>
        <v>0</v>
      </c>
      <c r="AA930" s="40">
        <f>IF($A930="",0,WEEKDAY($A930))</f>
        <v>0</v>
      </c>
      <c r="AB930" s="36">
        <f>IF(AND($C930="Despesa",U930&gt;0,U930&lt;=Sel_Idx,V930&gt;=Sel_Idx),N(R930)+ROW()/1000000000,0)</f>
        <v>0</v>
      </c>
      <c r="AC930" s="40">
        <f>IF(AND($C930="Despesa",U930&gt;0,U930&lt;=Sel_Idx,V930&gt;=Sel_Idx),Z930*10000+ROW(),0)</f>
        <v>0</v>
      </c>
      <c r="AD930" s="40">
        <f>IF(AC930=0,0,COUNTIFS(L_CalChave,"&gt;0",L_CalChave,"&lt;"&amp;AC930)+1)</f>
        <v>0</v>
      </c>
    </row>
    <row r="931">
      <c r="A931" s="38" t="n"/>
      <c r="B931" s="39" t="n"/>
      <c r="C931" s="34" t="n"/>
      <c r="D931" s="34" t="n"/>
      <c r="E931" s="34" t="n"/>
      <c r="F931" s="34" t="n"/>
      <c r="G931" s="34" t="n"/>
      <c r="H931" s="37" t="n"/>
      <c r="I931" s="37" t="n"/>
      <c r="J931" s="34" t="n"/>
      <c r="K931" s="34" t="n"/>
      <c r="L931" s="34" t="n"/>
      <c r="M931" s="39" t="n"/>
      <c r="N931" s="35" t="n"/>
      <c r="O931" s="40" t="str">
        <f>IF($A931="","",MONTH($A931))</f>
        <v/>
      </c>
      <c r="P931" s="40" t="str">
        <f>IF($A931="","",YEAR($A931))</f>
        <v/>
      </c>
      <c r="Q931" s="41" t="str">
        <f>IF($A931="","",DATE(P931,O931,1))</f>
        <v/>
      </c>
      <c r="R931" s="36" t="str">
        <f>IF(OR($A931="",$N931=""),"",IF(AND($C931&lt;&gt;"Transferência",N($I931)&gt;1),$N931/$I931,$N931))</f>
        <v/>
      </c>
      <c r="S931" s="41" t="str">
        <f>IF(OR($A931="",$F931="",$C931&lt;&gt;"Despesa"),"",IF(COUNTIF(Cartoes_Nome,$F931)=0,"",DATE(P931,O931+IF(DAY($A931)&gt;=INDEX(Cartoes_Fech,MATCH($F931,Cartoes_Nome,0)),1,0),1)))</f>
        <v/>
      </c>
      <c r="T931" s="42" t="str">
        <f>IF($A931="","",IF(COUNTIFS(L_Data,$A931,L_Desc,$B931,L_Valor,$N931,L_Tipo,$C931)&gt;1,"⚠ Possível duplicidade",IF(OR(AND($C931="Despesa",COUNTIF(CatD_Nome,$D931)=0),AND($C931="Receita",COUNTIF(CatR_Nome,$D931)=0)),"⚠ Categoria não combina com o tipo",IF(OR($N931="",$C931=""),"⚠ Falta valor ou tipo",""))))</f>
        <v/>
      </c>
      <c r="U931" s="40">
        <f>IF($A931="",0,P931*12+O931)</f>
        <v>0</v>
      </c>
      <c r="V931" s="40">
        <f>IF($A931="",0,U931+MAX(0,N($I931)-MAX(N($H931),1)))</f>
        <v>0</v>
      </c>
      <c r="W931" s="40">
        <f>IF(S931="",0,YEAR(S931)*12+MONTH(S931))</f>
        <v>0</v>
      </c>
      <c r="X931" s="40">
        <f>IF(W931=0,0,W931+V931-U931)</f>
        <v>0</v>
      </c>
      <c r="Y931" s="36">
        <f>IF(W931=0,0,N(R931)*MAX(0,X931-MAX(W931,YEAR(Cfg_Hoje)*12+MONTH(Cfg_Hoje)+IF(DAY(Cfg_Hoje)&gt;=INDEX(Cartoes_Fech,MATCH($F931,Cartoes_Nome,0)),1,0))+1))</f>
        <v>0</v>
      </c>
      <c r="Z931" s="40">
        <f>IF($A931="",0,DAY($A931))</f>
        <v>0</v>
      </c>
      <c r="AA931" s="40">
        <f>IF($A931="",0,WEEKDAY($A931))</f>
        <v>0</v>
      </c>
      <c r="AB931" s="36">
        <f>IF(AND($C931="Despesa",U931&gt;0,U931&lt;=Sel_Idx,V931&gt;=Sel_Idx),N(R931)+ROW()/1000000000,0)</f>
        <v>0</v>
      </c>
      <c r="AC931" s="40">
        <f>IF(AND($C931="Despesa",U931&gt;0,U931&lt;=Sel_Idx,V931&gt;=Sel_Idx),Z931*10000+ROW(),0)</f>
        <v>0</v>
      </c>
      <c r="AD931" s="40">
        <f>IF(AC931=0,0,COUNTIFS(L_CalChave,"&gt;0",L_CalChave,"&lt;"&amp;AC931)+1)</f>
        <v>0</v>
      </c>
    </row>
    <row r="932">
      <c r="A932" s="38" t="n"/>
      <c r="B932" s="39" t="n"/>
      <c r="C932" s="34" t="n"/>
      <c r="D932" s="34" t="n"/>
      <c r="E932" s="34" t="n"/>
      <c r="F932" s="34" t="n"/>
      <c r="G932" s="34" t="n"/>
      <c r="H932" s="37" t="n"/>
      <c r="I932" s="37" t="n"/>
      <c r="J932" s="34" t="n"/>
      <c r="K932" s="34" t="n"/>
      <c r="L932" s="34" t="n"/>
      <c r="M932" s="39" t="n"/>
      <c r="N932" s="35" t="n"/>
      <c r="O932" s="40" t="str">
        <f>IF($A932="","",MONTH($A932))</f>
        <v/>
      </c>
      <c r="P932" s="40" t="str">
        <f>IF($A932="","",YEAR($A932))</f>
        <v/>
      </c>
      <c r="Q932" s="41" t="str">
        <f>IF($A932="","",DATE(P932,O932,1))</f>
        <v/>
      </c>
      <c r="R932" s="36" t="str">
        <f>IF(OR($A932="",$N932=""),"",IF(AND($C932&lt;&gt;"Transferência",N($I932)&gt;1),$N932/$I932,$N932))</f>
        <v/>
      </c>
      <c r="S932" s="41" t="str">
        <f>IF(OR($A932="",$F932="",$C932&lt;&gt;"Despesa"),"",IF(COUNTIF(Cartoes_Nome,$F932)=0,"",DATE(P932,O932+IF(DAY($A932)&gt;=INDEX(Cartoes_Fech,MATCH($F932,Cartoes_Nome,0)),1,0),1)))</f>
        <v/>
      </c>
      <c r="T932" s="42" t="str">
        <f>IF($A932="","",IF(COUNTIFS(L_Data,$A932,L_Desc,$B932,L_Valor,$N932,L_Tipo,$C932)&gt;1,"⚠ Possível duplicidade",IF(OR(AND($C932="Despesa",COUNTIF(CatD_Nome,$D932)=0),AND($C932="Receita",COUNTIF(CatR_Nome,$D932)=0)),"⚠ Categoria não combina com o tipo",IF(OR($N932="",$C932=""),"⚠ Falta valor ou tipo",""))))</f>
        <v/>
      </c>
      <c r="U932" s="40">
        <f>IF($A932="",0,P932*12+O932)</f>
        <v>0</v>
      </c>
      <c r="V932" s="40">
        <f>IF($A932="",0,U932+MAX(0,N($I932)-MAX(N($H932),1)))</f>
        <v>0</v>
      </c>
      <c r="W932" s="40">
        <f>IF(S932="",0,YEAR(S932)*12+MONTH(S932))</f>
        <v>0</v>
      </c>
      <c r="X932" s="40">
        <f>IF(W932=0,0,W932+V932-U932)</f>
        <v>0</v>
      </c>
      <c r="Y932" s="36">
        <f>IF(W932=0,0,N(R932)*MAX(0,X932-MAX(W932,YEAR(Cfg_Hoje)*12+MONTH(Cfg_Hoje)+IF(DAY(Cfg_Hoje)&gt;=INDEX(Cartoes_Fech,MATCH($F932,Cartoes_Nome,0)),1,0))+1))</f>
        <v>0</v>
      </c>
      <c r="Z932" s="40">
        <f>IF($A932="",0,DAY($A932))</f>
        <v>0</v>
      </c>
      <c r="AA932" s="40">
        <f>IF($A932="",0,WEEKDAY($A932))</f>
        <v>0</v>
      </c>
      <c r="AB932" s="36">
        <f>IF(AND($C932="Despesa",U932&gt;0,U932&lt;=Sel_Idx,V932&gt;=Sel_Idx),N(R932)+ROW()/1000000000,0)</f>
        <v>0</v>
      </c>
      <c r="AC932" s="40">
        <f>IF(AND($C932="Despesa",U932&gt;0,U932&lt;=Sel_Idx,V932&gt;=Sel_Idx),Z932*10000+ROW(),0)</f>
        <v>0</v>
      </c>
      <c r="AD932" s="40">
        <f>IF(AC932=0,0,COUNTIFS(L_CalChave,"&gt;0",L_CalChave,"&lt;"&amp;AC932)+1)</f>
        <v>0</v>
      </c>
    </row>
    <row r="933">
      <c r="A933" s="38" t="n"/>
      <c r="B933" s="39" t="n"/>
      <c r="C933" s="34" t="n"/>
      <c r="D933" s="34" t="n"/>
      <c r="E933" s="34" t="n"/>
      <c r="F933" s="34" t="n"/>
      <c r="G933" s="34" t="n"/>
      <c r="H933" s="37" t="n"/>
      <c r="I933" s="37" t="n"/>
      <c r="J933" s="34" t="n"/>
      <c r="K933" s="34" t="n"/>
      <c r="L933" s="34" t="n"/>
      <c r="M933" s="39" t="n"/>
      <c r="N933" s="35" t="n"/>
      <c r="O933" s="40" t="str">
        <f>IF($A933="","",MONTH($A933))</f>
        <v/>
      </c>
      <c r="P933" s="40" t="str">
        <f>IF($A933="","",YEAR($A933))</f>
        <v/>
      </c>
      <c r="Q933" s="41" t="str">
        <f>IF($A933="","",DATE(P933,O933,1))</f>
        <v/>
      </c>
      <c r="R933" s="36" t="str">
        <f>IF(OR($A933="",$N933=""),"",IF(AND($C933&lt;&gt;"Transferência",N($I933)&gt;1),$N933/$I933,$N933))</f>
        <v/>
      </c>
      <c r="S933" s="41" t="str">
        <f>IF(OR($A933="",$F933="",$C933&lt;&gt;"Despesa"),"",IF(COUNTIF(Cartoes_Nome,$F933)=0,"",DATE(P933,O933+IF(DAY($A933)&gt;=INDEX(Cartoes_Fech,MATCH($F933,Cartoes_Nome,0)),1,0),1)))</f>
        <v/>
      </c>
      <c r="T933" s="42" t="str">
        <f>IF($A933="","",IF(COUNTIFS(L_Data,$A933,L_Desc,$B933,L_Valor,$N933,L_Tipo,$C933)&gt;1,"⚠ Possível duplicidade",IF(OR(AND($C933="Despesa",COUNTIF(CatD_Nome,$D933)=0),AND($C933="Receita",COUNTIF(CatR_Nome,$D933)=0)),"⚠ Categoria não combina com o tipo",IF(OR($N933="",$C933=""),"⚠ Falta valor ou tipo",""))))</f>
        <v/>
      </c>
      <c r="U933" s="40">
        <f>IF($A933="",0,P933*12+O933)</f>
        <v>0</v>
      </c>
      <c r="V933" s="40">
        <f>IF($A933="",0,U933+MAX(0,N($I933)-MAX(N($H933),1)))</f>
        <v>0</v>
      </c>
      <c r="W933" s="40">
        <f>IF(S933="",0,YEAR(S933)*12+MONTH(S933))</f>
        <v>0</v>
      </c>
      <c r="X933" s="40">
        <f>IF(W933=0,0,W933+V933-U933)</f>
        <v>0</v>
      </c>
      <c r="Y933" s="36">
        <f>IF(W933=0,0,N(R933)*MAX(0,X933-MAX(W933,YEAR(Cfg_Hoje)*12+MONTH(Cfg_Hoje)+IF(DAY(Cfg_Hoje)&gt;=INDEX(Cartoes_Fech,MATCH($F933,Cartoes_Nome,0)),1,0))+1))</f>
        <v>0</v>
      </c>
      <c r="Z933" s="40">
        <f>IF($A933="",0,DAY($A933))</f>
        <v>0</v>
      </c>
      <c r="AA933" s="40">
        <f>IF($A933="",0,WEEKDAY($A933))</f>
        <v>0</v>
      </c>
      <c r="AB933" s="36">
        <f>IF(AND($C933="Despesa",U933&gt;0,U933&lt;=Sel_Idx,V933&gt;=Sel_Idx),N(R933)+ROW()/1000000000,0)</f>
        <v>0</v>
      </c>
      <c r="AC933" s="40">
        <f>IF(AND($C933="Despesa",U933&gt;0,U933&lt;=Sel_Idx,V933&gt;=Sel_Idx),Z933*10000+ROW(),0)</f>
        <v>0</v>
      </c>
      <c r="AD933" s="40">
        <f>IF(AC933=0,0,COUNTIFS(L_CalChave,"&gt;0",L_CalChave,"&lt;"&amp;AC933)+1)</f>
        <v>0</v>
      </c>
    </row>
    <row r="934">
      <c r="A934" s="38" t="n"/>
      <c r="B934" s="39" t="n"/>
      <c r="C934" s="34" t="n"/>
      <c r="D934" s="34" t="n"/>
      <c r="E934" s="34" t="n"/>
      <c r="F934" s="34" t="n"/>
      <c r="G934" s="34" t="n"/>
      <c r="H934" s="37" t="n"/>
      <c r="I934" s="37" t="n"/>
      <c r="J934" s="34" t="n"/>
      <c r="K934" s="34" t="n"/>
      <c r="L934" s="34" t="n"/>
      <c r="M934" s="39" t="n"/>
      <c r="N934" s="35" t="n"/>
      <c r="O934" s="40" t="str">
        <f>IF($A934="","",MONTH($A934))</f>
        <v/>
      </c>
      <c r="P934" s="40" t="str">
        <f>IF($A934="","",YEAR($A934))</f>
        <v/>
      </c>
      <c r="Q934" s="41" t="str">
        <f>IF($A934="","",DATE(P934,O934,1))</f>
        <v/>
      </c>
      <c r="R934" s="36" t="str">
        <f>IF(OR($A934="",$N934=""),"",IF(AND($C934&lt;&gt;"Transferência",N($I934)&gt;1),$N934/$I934,$N934))</f>
        <v/>
      </c>
      <c r="S934" s="41" t="str">
        <f>IF(OR($A934="",$F934="",$C934&lt;&gt;"Despesa"),"",IF(COUNTIF(Cartoes_Nome,$F934)=0,"",DATE(P934,O934+IF(DAY($A934)&gt;=INDEX(Cartoes_Fech,MATCH($F934,Cartoes_Nome,0)),1,0),1)))</f>
        <v/>
      </c>
      <c r="T934" s="42" t="str">
        <f>IF($A934="","",IF(COUNTIFS(L_Data,$A934,L_Desc,$B934,L_Valor,$N934,L_Tipo,$C934)&gt;1,"⚠ Possível duplicidade",IF(OR(AND($C934="Despesa",COUNTIF(CatD_Nome,$D934)=0),AND($C934="Receita",COUNTIF(CatR_Nome,$D934)=0)),"⚠ Categoria não combina com o tipo",IF(OR($N934="",$C934=""),"⚠ Falta valor ou tipo",""))))</f>
        <v/>
      </c>
      <c r="U934" s="40">
        <f>IF($A934="",0,P934*12+O934)</f>
        <v>0</v>
      </c>
      <c r="V934" s="40">
        <f>IF($A934="",0,U934+MAX(0,N($I934)-MAX(N($H934),1)))</f>
        <v>0</v>
      </c>
      <c r="W934" s="40">
        <f>IF(S934="",0,YEAR(S934)*12+MONTH(S934))</f>
        <v>0</v>
      </c>
      <c r="X934" s="40">
        <f>IF(W934=0,0,W934+V934-U934)</f>
        <v>0</v>
      </c>
      <c r="Y934" s="36">
        <f>IF(W934=0,0,N(R934)*MAX(0,X934-MAX(W934,YEAR(Cfg_Hoje)*12+MONTH(Cfg_Hoje)+IF(DAY(Cfg_Hoje)&gt;=INDEX(Cartoes_Fech,MATCH($F934,Cartoes_Nome,0)),1,0))+1))</f>
        <v>0</v>
      </c>
      <c r="Z934" s="40">
        <f>IF($A934="",0,DAY($A934))</f>
        <v>0</v>
      </c>
      <c r="AA934" s="40">
        <f>IF($A934="",0,WEEKDAY($A934))</f>
        <v>0</v>
      </c>
      <c r="AB934" s="36">
        <f>IF(AND($C934="Despesa",U934&gt;0,U934&lt;=Sel_Idx,V934&gt;=Sel_Idx),N(R934)+ROW()/1000000000,0)</f>
        <v>0</v>
      </c>
      <c r="AC934" s="40">
        <f>IF(AND($C934="Despesa",U934&gt;0,U934&lt;=Sel_Idx,V934&gt;=Sel_Idx),Z934*10000+ROW(),0)</f>
        <v>0</v>
      </c>
      <c r="AD934" s="40">
        <f>IF(AC934=0,0,COUNTIFS(L_CalChave,"&gt;0",L_CalChave,"&lt;"&amp;AC934)+1)</f>
        <v>0</v>
      </c>
    </row>
    <row r="935">
      <c r="A935" s="38" t="n"/>
      <c r="B935" s="39" t="n"/>
      <c r="C935" s="34" t="n"/>
      <c r="D935" s="34" t="n"/>
      <c r="E935" s="34" t="n"/>
      <c r="F935" s="34" t="n"/>
      <c r="G935" s="34" t="n"/>
      <c r="H935" s="37" t="n"/>
      <c r="I935" s="37" t="n"/>
      <c r="J935" s="34" t="n"/>
      <c r="K935" s="34" t="n"/>
      <c r="L935" s="34" t="n"/>
      <c r="M935" s="39" t="n"/>
      <c r="N935" s="35" t="n"/>
      <c r="O935" s="40" t="str">
        <f>IF($A935="","",MONTH($A935))</f>
        <v/>
      </c>
      <c r="P935" s="40" t="str">
        <f>IF($A935="","",YEAR($A935))</f>
        <v/>
      </c>
      <c r="Q935" s="41" t="str">
        <f>IF($A935="","",DATE(P935,O935,1))</f>
        <v/>
      </c>
      <c r="R935" s="36" t="str">
        <f>IF(OR($A935="",$N935=""),"",IF(AND($C935&lt;&gt;"Transferência",N($I935)&gt;1),$N935/$I935,$N935))</f>
        <v/>
      </c>
      <c r="S935" s="41" t="str">
        <f>IF(OR($A935="",$F935="",$C935&lt;&gt;"Despesa"),"",IF(COUNTIF(Cartoes_Nome,$F935)=0,"",DATE(P935,O935+IF(DAY($A935)&gt;=INDEX(Cartoes_Fech,MATCH($F935,Cartoes_Nome,0)),1,0),1)))</f>
        <v/>
      </c>
      <c r="T935" s="42" t="str">
        <f>IF($A935="","",IF(COUNTIFS(L_Data,$A935,L_Desc,$B935,L_Valor,$N935,L_Tipo,$C935)&gt;1,"⚠ Possível duplicidade",IF(OR(AND($C935="Despesa",COUNTIF(CatD_Nome,$D935)=0),AND($C935="Receita",COUNTIF(CatR_Nome,$D935)=0)),"⚠ Categoria não combina com o tipo",IF(OR($N935="",$C935=""),"⚠ Falta valor ou tipo",""))))</f>
        <v/>
      </c>
      <c r="U935" s="40">
        <f>IF($A935="",0,P935*12+O935)</f>
        <v>0</v>
      </c>
      <c r="V935" s="40">
        <f>IF($A935="",0,U935+MAX(0,N($I935)-MAX(N($H935),1)))</f>
        <v>0</v>
      </c>
      <c r="W935" s="40">
        <f>IF(S935="",0,YEAR(S935)*12+MONTH(S935))</f>
        <v>0</v>
      </c>
      <c r="X935" s="40">
        <f>IF(W935=0,0,W935+V935-U935)</f>
        <v>0</v>
      </c>
      <c r="Y935" s="36">
        <f>IF(W935=0,0,N(R935)*MAX(0,X935-MAX(W935,YEAR(Cfg_Hoje)*12+MONTH(Cfg_Hoje)+IF(DAY(Cfg_Hoje)&gt;=INDEX(Cartoes_Fech,MATCH($F935,Cartoes_Nome,0)),1,0))+1))</f>
        <v>0</v>
      </c>
      <c r="Z935" s="40">
        <f>IF($A935="",0,DAY($A935))</f>
        <v>0</v>
      </c>
      <c r="AA935" s="40">
        <f>IF($A935="",0,WEEKDAY($A935))</f>
        <v>0</v>
      </c>
      <c r="AB935" s="36">
        <f>IF(AND($C935="Despesa",U935&gt;0,U935&lt;=Sel_Idx,V935&gt;=Sel_Idx),N(R935)+ROW()/1000000000,0)</f>
        <v>0</v>
      </c>
      <c r="AC935" s="40">
        <f>IF(AND($C935="Despesa",U935&gt;0,U935&lt;=Sel_Idx,V935&gt;=Sel_Idx),Z935*10000+ROW(),0)</f>
        <v>0</v>
      </c>
      <c r="AD935" s="40">
        <f>IF(AC935=0,0,COUNTIFS(L_CalChave,"&gt;0",L_CalChave,"&lt;"&amp;AC935)+1)</f>
        <v>0</v>
      </c>
    </row>
    <row r="936">
      <c r="A936" s="38" t="n"/>
      <c r="B936" s="39" t="n"/>
      <c r="C936" s="34" t="n"/>
      <c r="D936" s="34" t="n"/>
      <c r="E936" s="34" t="n"/>
      <c r="F936" s="34" t="n"/>
      <c r="G936" s="34" t="n"/>
      <c r="H936" s="37" t="n"/>
      <c r="I936" s="37" t="n"/>
      <c r="J936" s="34" t="n"/>
      <c r="K936" s="34" t="n"/>
      <c r="L936" s="34" t="n"/>
      <c r="M936" s="39" t="n"/>
      <c r="N936" s="35" t="n"/>
      <c r="O936" s="40" t="str">
        <f>IF($A936="","",MONTH($A936))</f>
        <v/>
      </c>
      <c r="P936" s="40" t="str">
        <f>IF($A936="","",YEAR($A936))</f>
        <v/>
      </c>
      <c r="Q936" s="41" t="str">
        <f>IF($A936="","",DATE(P936,O936,1))</f>
        <v/>
      </c>
      <c r="R936" s="36" t="str">
        <f>IF(OR($A936="",$N936=""),"",IF(AND($C936&lt;&gt;"Transferência",N($I936)&gt;1),$N936/$I936,$N936))</f>
        <v/>
      </c>
      <c r="S936" s="41" t="str">
        <f>IF(OR($A936="",$F936="",$C936&lt;&gt;"Despesa"),"",IF(COUNTIF(Cartoes_Nome,$F936)=0,"",DATE(P936,O936+IF(DAY($A936)&gt;=INDEX(Cartoes_Fech,MATCH($F936,Cartoes_Nome,0)),1,0),1)))</f>
        <v/>
      </c>
      <c r="T936" s="42" t="str">
        <f>IF($A936="","",IF(COUNTIFS(L_Data,$A936,L_Desc,$B936,L_Valor,$N936,L_Tipo,$C936)&gt;1,"⚠ Possível duplicidade",IF(OR(AND($C936="Despesa",COUNTIF(CatD_Nome,$D936)=0),AND($C936="Receita",COUNTIF(CatR_Nome,$D936)=0)),"⚠ Categoria não combina com o tipo",IF(OR($N936="",$C936=""),"⚠ Falta valor ou tipo",""))))</f>
        <v/>
      </c>
      <c r="U936" s="40">
        <f>IF($A936="",0,P936*12+O936)</f>
        <v>0</v>
      </c>
      <c r="V936" s="40">
        <f>IF($A936="",0,U936+MAX(0,N($I936)-MAX(N($H936),1)))</f>
        <v>0</v>
      </c>
      <c r="W936" s="40">
        <f>IF(S936="",0,YEAR(S936)*12+MONTH(S936))</f>
        <v>0</v>
      </c>
      <c r="X936" s="40">
        <f>IF(W936=0,0,W936+V936-U936)</f>
        <v>0</v>
      </c>
      <c r="Y936" s="36">
        <f>IF(W936=0,0,N(R936)*MAX(0,X936-MAX(W936,YEAR(Cfg_Hoje)*12+MONTH(Cfg_Hoje)+IF(DAY(Cfg_Hoje)&gt;=INDEX(Cartoes_Fech,MATCH($F936,Cartoes_Nome,0)),1,0))+1))</f>
        <v>0</v>
      </c>
      <c r="Z936" s="40">
        <f>IF($A936="",0,DAY($A936))</f>
        <v>0</v>
      </c>
      <c r="AA936" s="40">
        <f>IF($A936="",0,WEEKDAY($A936))</f>
        <v>0</v>
      </c>
      <c r="AB936" s="36">
        <f>IF(AND($C936="Despesa",U936&gt;0,U936&lt;=Sel_Idx,V936&gt;=Sel_Idx),N(R936)+ROW()/1000000000,0)</f>
        <v>0</v>
      </c>
      <c r="AC936" s="40">
        <f>IF(AND($C936="Despesa",U936&gt;0,U936&lt;=Sel_Idx,V936&gt;=Sel_Idx),Z936*10000+ROW(),0)</f>
        <v>0</v>
      </c>
      <c r="AD936" s="40">
        <f>IF(AC936=0,0,COUNTIFS(L_CalChave,"&gt;0",L_CalChave,"&lt;"&amp;AC936)+1)</f>
        <v>0</v>
      </c>
    </row>
    <row r="937">
      <c r="A937" s="38" t="n"/>
      <c r="B937" s="39" t="n"/>
      <c r="C937" s="34" t="n"/>
      <c r="D937" s="34" t="n"/>
      <c r="E937" s="34" t="n"/>
      <c r="F937" s="34" t="n"/>
      <c r="G937" s="34" t="n"/>
      <c r="H937" s="37" t="n"/>
      <c r="I937" s="37" t="n"/>
      <c r="J937" s="34" t="n"/>
      <c r="K937" s="34" t="n"/>
      <c r="L937" s="34" t="n"/>
      <c r="M937" s="39" t="n"/>
      <c r="N937" s="35" t="n"/>
      <c r="O937" s="40" t="str">
        <f>IF($A937="","",MONTH($A937))</f>
        <v/>
      </c>
      <c r="P937" s="40" t="str">
        <f>IF($A937="","",YEAR($A937))</f>
        <v/>
      </c>
      <c r="Q937" s="41" t="str">
        <f>IF($A937="","",DATE(P937,O937,1))</f>
        <v/>
      </c>
      <c r="R937" s="36" t="str">
        <f>IF(OR($A937="",$N937=""),"",IF(AND($C937&lt;&gt;"Transferência",N($I937)&gt;1),$N937/$I937,$N937))</f>
        <v/>
      </c>
      <c r="S937" s="41" t="str">
        <f>IF(OR($A937="",$F937="",$C937&lt;&gt;"Despesa"),"",IF(COUNTIF(Cartoes_Nome,$F937)=0,"",DATE(P937,O937+IF(DAY($A937)&gt;=INDEX(Cartoes_Fech,MATCH($F937,Cartoes_Nome,0)),1,0),1)))</f>
        <v/>
      </c>
      <c r="T937" s="42" t="str">
        <f>IF($A937="","",IF(COUNTIFS(L_Data,$A937,L_Desc,$B937,L_Valor,$N937,L_Tipo,$C937)&gt;1,"⚠ Possível duplicidade",IF(OR(AND($C937="Despesa",COUNTIF(CatD_Nome,$D937)=0),AND($C937="Receita",COUNTIF(CatR_Nome,$D937)=0)),"⚠ Categoria não combina com o tipo",IF(OR($N937="",$C937=""),"⚠ Falta valor ou tipo",""))))</f>
        <v/>
      </c>
      <c r="U937" s="40">
        <f>IF($A937="",0,P937*12+O937)</f>
        <v>0</v>
      </c>
      <c r="V937" s="40">
        <f>IF($A937="",0,U937+MAX(0,N($I937)-MAX(N($H937),1)))</f>
        <v>0</v>
      </c>
      <c r="W937" s="40">
        <f>IF(S937="",0,YEAR(S937)*12+MONTH(S937))</f>
        <v>0</v>
      </c>
      <c r="X937" s="40">
        <f>IF(W937=0,0,W937+V937-U937)</f>
        <v>0</v>
      </c>
      <c r="Y937" s="36">
        <f>IF(W937=0,0,N(R937)*MAX(0,X937-MAX(W937,YEAR(Cfg_Hoje)*12+MONTH(Cfg_Hoje)+IF(DAY(Cfg_Hoje)&gt;=INDEX(Cartoes_Fech,MATCH($F937,Cartoes_Nome,0)),1,0))+1))</f>
        <v>0</v>
      </c>
      <c r="Z937" s="40">
        <f>IF($A937="",0,DAY($A937))</f>
        <v>0</v>
      </c>
      <c r="AA937" s="40">
        <f>IF($A937="",0,WEEKDAY($A937))</f>
        <v>0</v>
      </c>
      <c r="AB937" s="36">
        <f>IF(AND($C937="Despesa",U937&gt;0,U937&lt;=Sel_Idx,V937&gt;=Sel_Idx),N(R937)+ROW()/1000000000,0)</f>
        <v>0</v>
      </c>
      <c r="AC937" s="40">
        <f>IF(AND($C937="Despesa",U937&gt;0,U937&lt;=Sel_Idx,V937&gt;=Sel_Idx),Z937*10000+ROW(),0)</f>
        <v>0</v>
      </c>
      <c r="AD937" s="40">
        <f>IF(AC937=0,0,COUNTIFS(L_CalChave,"&gt;0",L_CalChave,"&lt;"&amp;AC937)+1)</f>
        <v>0</v>
      </c>
    </row>
    <row r="938">
      <c r="A938" s="38" t="n"/>
      <c r="B938" s="39" t="n"/>
      <c r="C938" s="34" t="n"/>
      <c r="D938" s="34" t="n"/>
      <c r="E938" s="34" t="n"/>
      <c r="F938" s="34" t="n"/>
      <c r="G938" s="34" t="n"/>
      <c r="H938" s="37" t="n"/>
      <c r="I938" s="37" t="n"/>
      <c r="J938" s="34" t="n"/>
      <c r="K938" s="34" t="n"/>
      <c r="L938" s="34" t="n"/>
      <c r="M938" s="39" t="n"/>
      <c r="N938" s="35" t="n"/>
      <c r="O938" s="40" t="str">
        <f>IF($A938="","",MONTH($A938))</f>
        <v/>
      </c>
      <c r="P938" s="40" t="str">
        <f>IF($A938="","",YEAR($A938))</f>
        <v/>
      </c>
      <c r="Q938" s="41" t="str">
        <f>IF($A938="","",DATE(P938,O938,1))</f>
        <v/>
      </c>
      <c r="R938" s="36" t="str">
        <f>IF(OR($A938="",$N938=""),"",IF(AND($C938&lt;&gt;"Transferência",N($I938)&gt;1),$N938/$I938,$N938))</f>
        <v/>
      </c>
      <c r="S938" s="41" t="str">
        <f>IF(OR($A938="",$F938="",$C938&lt;&gt;"Despesa"),"",IF(COUNTIF(Cartoes_Nome,$F938)=0,"",DATE(P938,O938+IF(DAY($A938)&gt;=INDEX(Cartoes_Fech,MATCH($F938,Cartoes_Nome,0)),1,0),1)))</f>
        <v/>
      </c>
      <c r="T938" s="42" t="str">
        <f>IF($A938="","",IF(COUNTIFS(L_Data,$A938,L_Desc,$B938,L_Valor,$N938,L_Tipo,$C938)&gt;1,"⚠ Possível duplicidade",IF(OR(AND($C938="Despesa",COUNTIF(CatD_Nome,$D938)=0),AND($C938="Receita",COUNTIF(CatR_Nome,$D938)=0)),"⚠ Categoria não combina com o tipo",IF(OR($N938="",$C938=""),"⚠ Falta valor ou tipo",""))))</f>
        <v/>
      </c>
      <c r="U938" s="40">
        <f>IF($A938="",0,P938*12+O938)</f>
        <v>0</v>
      </c>
      <c r="V938" s="40">
        <f>IF($A938="",0,U938+MAX(0,N($I938)-MAX(N($H938),1)))</f>
        <v>0</v>
      </c>
      <c r="W938" s="40">
        <f>IF(S938="",0,YEAR(S938)*12+MONTH(S938))</f>
        <v>0</v>
      </c>
      <c r="X938" s="40">
        <f>IF(W938=0,0,W938+V938-U938)</f>
        <v>0</v>
      </c>
      <c r="Y938" s="36">
        <f>IF(W938=0,0,N(R938)*MAX(0,X938-MAX(W938,YEAR(Cfg_Hoje)*12+MONTH(Cfg_Hoje)+IF(DAY(Cfg_Hoje)&gt;=INDEX(Cartoes_Fech,MATCH($F938,Cartoes_Nome,0)),1,0))+1))</f>
        <v>0</v>
      </c>
      <c r="Z938" s="40">
        <f>IF($A938="",0,DAY($A938))</f>
        <v>0</v>
      </c>
      <c r="AA938" s="40">
        <f>IF($A938="",0,WEEKDAY($A938))</f>
        <v>0</v>
      </c>
      <c r="AB938" s="36">
        <f>IF(AND($C938="Despesa",U938&gt;0,U938&lt;=Sel_Idx,V938&gt;=Sel_Idx),N(R938)+ROW()/1000000000,0)</f>
        <v>0</v>
      </c>
      <c r="AC938" s="40">
        <f>IF(AND($C938="Despesa",U938&gt;0,U938&lt;=Sel_Idx,V938&gt;=Sel_Idx),Z938*10000+ROW(),0)</f>
        <v>0</v>
      </c>
      <c r="AD938" s="40">
        <f>IF(AC938=0,0,COUNTIFS(L_CalChave,"&gt;0",L_CalChave,"&lt;"&amp;AC938)+1)</f>
        <v>0</v>
      </c>
    </row>
    <row r="939">
      <c r="A939" s="38" t="n"/>
      <c r="B939" s="39" t="n"/>
      <c r="C939" s="34" t="n"/>
      <c r="D939" s="34" t="n"/>
      <c r="E939" s="34" t="n"/>
      <c r="F939" s="34" t="n"/>
      <c r="G939" s="34" t="n"/>
      <c r="H939" s="37" t="n"/>
      <c r="I939" s="37" t="n"/>
      <c r="J939" s="34" t="n"/>
      <c r="K939" s="34" t="n"/>
      <c r="L939" s="34" t="n"/>
      <c r="M939" s="39" t="n"/>
      <c r="N939" s="35" t="n"/>
      <c r="O939" s="40" t="str">
        <f>IF($A939="","",MONTH($A939))</f>
        <v/>
      </c>
      <c r="P939" s="40" t="str">
        <f>IF($A939="","",YEAR($A939))</f>
        <v/>
      </c>
      <c r="Q939" s="41" t="str">
        <f>IF($A939="","",DATE(P939,O939,1))</f>
        <v/>
      </c>
      <c r="R939" s="36" t="str">
        <f>IF(OR($A939="",$N939=""),"",IF(AND($C939&lt;&gt;"Transferência",N($I939)&gt;1),$N939/$I939,$N939))</f>
        <v/>
      </c>
      <c r="S939" s="41" t="str">
        <f>IF(OR($A939="",$F939="",$C939&lt;&gt;"Despesa"),"",IF(COUNTIF(Cartoes_Nome,$F939)=0,"",DATE(P939,O939+IF(DAY($A939)&gt;=INDEX(Cartoes_Fech,MATCH($F939,Cartoes_Nome,0)),1,0),1)))</f>
        <v/>
      </c>
      <c r="T939" s="42" t="str">
        <f>IF($A939="","",IF(COUNTIFS(L_Data,$A939,L_Desc,$B939,L_Valor,$N939,L_Tipo,$C939)&gt;1,"⚠ Possível duplicidade",IF(OR(AND($C939="Despesa",COUNTIF(CatD_Nome,$D939)=0),AND($C939="Receita",COUNTIF(CatR_Nome,$D939)=0)),"⚠ Categoria não combina com o tipo",IF(OR($N939="",$C939=""),"⚠ Falta valor ou tipo",""))))</f>
        <v/>
      </c>
      <c r="U939" s="40">
        <f>IF($A939="",0,P939*12+O939)</f>
        <v>0</v>
      </c>
      <c r="V939" s="40">
        <f>IF($A939="",0,U939+MAX(0,N($I939)-MAX(N($H939),1)))</f>
        <v>0</v>
      </c>
      <c r="W939" s="40">
        <f>IF(S939="",0,YEAR(S939)*12+MONTH(S939))</f>
        <v>0</v>
      </c>
      <c r="X939" s="40">
        <f>IF(W939=0,0,W939+V939-U939)</f>
        <v>0</v>
      </c>
      <c r="Y939" s="36">
        <f>IF(W939=0,0,N(R939)*MAX(0,X939-MAX(W939,YEAR(Cfg_Hoje)*12+MONTH(Cfg_Hoje)+IF(DAY(Cfg_Hoje)&gt;=INDEX(Cartoes_Fech,MATCH($F939,Cartoes_Nome,0)),1,0))+1))</f>
        <v>0</v>
      </c>
      <c r="Z939" s="40">
        <f>IF($A939="",0,DAY($A939))</f>
        <v>0</v>
      </c>
      <c r="AA939" s="40">
        <f>IF($A939="",0,WEEKDAY($A939))</f>
        <v>0</v>
      </c>
      <c r="AB939" s="36">
        <f>IF(AND($C939="Despesa",U939&gt;0,U939&lt;=Sel_Idx,V939&gt;=Sel_Idx),N(R939)+ROW()/1000000000,0)</f>
        <v>0</v>
      </c>
      <c r="AC939" s="40">
        <f>IF(AND($C939="Despesa",U939&gt;0,U939&lt;=Sel_Idx,V939&gt;=Sel_Idx),Z939*10000+ROW(),0)</f>
        <v>0</v>
      </c>
      <c r="AD939" s="40">
        <f>IF(AC939=0,0,COUNTIFS(L_CalChave,"&gt;0",L_CalChave,"&lt;"&amp;AC939)+1)</f>
        <v>0</v>
      </c>
    </row>
    <row r="940">
      <c r="A940" s="38" t="n"/>
      <c r="B940" s="39" t="n"/>
      <c r="C940" s="34" t="n"/>
      <c r="D940" s="34" t="n"/>
      <c r="E940" s="34" t="n"/>
      <c r="F940" s="34" t="n"/>
      <c r="G940" s="34" t="n"/>
      <c r="H940" s="37" t="n"/>
      <c r="I940" s="37" t="n"/>
      <c r="J940" s="34" t="n"/>
      <c r="K940" s="34" t="n"/>
      <c r="L940" s="34" t="n"/>
      <c r="M940" s="39" t="n"/>
      <c r="N940" s="35" t="n"/>
      <c r="O940" s="40" t="str">
        <f>IF($A940="","",MONTH($A940))</f>
        <v/>
      </c>
      <c r="P940" s="40" t="str">
        <f>IF($A940="","",YEAR($A940))</f>
        <v/>
      </c>
      <c r="Q940" s="41" t="str">
        <f>IF($A940="","",DATE(P940,O940,1))</f>
        <v/>
      </c>
      <c r="R940" s="36" t="str">
        <f>IF(OR($A940="",$N940=""),"",IF(AND($C940&lt;&gt;"Transferência",N($I940)&gt;1),$N940/$I940,$N940))</f>
        <v/>
      </c>
      <c r="S940" s="41" t="str">
        <f>IF(OR($A940="",$F940="",$C940&lt;&gt;"Despesa"),"",IF(COUNTIF(Cartoes_Nome,$F940)=0,"",DATE(P940,O940+IF(DAY($A940)&gt;=INDEX(Cartoes_Fech,MATCH($F940,Cartoes_Nome,0)),1,0),1)))</f>
        <v/>
      </c>
      <c r="T940" s="42" t="str">
        <f>IF($A940="","",IF(COUNTIFS(L_Data,$A940,L_Desc,$B940,L_Valor,$N940,L_Tipo,$C940)&gt;1,"⚠ Possível duplicidade",IF(OR(AND($C940="Despesa",COUNTIF(CatD_Nome,$D940)=0),AND($C940="Receita",COUNTIF(CatR_Nome,$D940)=0)),"⚠ Categoria não combina com o tipo",IF(OR($N940="",$C940=""),"⚠ Falta valor ou tipo",""))))</f>
        <v/>
      </c>
      <c r="U940" s="40">
        <f>IF($A940="",0,P940*12+O940)</f>
        <v>0</v>
      </c>
      <c r="V940" s="40">
        <f>IF($A940="",0,U940+MAX(0,N($I940)-MAX(N($H940),1)))</f>
        <v>0</v>
      </c>
      <c r="W940" s="40">
        <f>IF(S940="",0,YEAR(S940)*12+MONTH(S940))</f>
        <v>0</v>
      </c>
      <c r="X940" s="40">
        <f>IF(W940=0,0,W940+V940-U940)</f>
        <v>0</v>
      </c>
      <c r="Y940" s="36">
        <f>IF(W940=0,0,N(R940)*MAX(0,X940-MAX(W940,YEAR(Cfg_Hoje)*12+MONTH(Cfg_Hoje)+IF(DAY(Cfg_Hoje)&gt;=INDEX(Cartoes_Fech,MATCH($F940,Cartoes_Nome,0)),1,0))+1))</f>
        <v>0</v>
      </c>
      <c r="Z940" s="40">
        <f>IF($A940="",0,DAY($A940))</f>
        <v>0</v>
      </c>
      <c r="AA940" s="40">
        <f>IF($A940="",0,WEEKDAY($A940))</f>
        <v>0</v>
      </c>
      <c r="AB940" s="36">
        <f>IF(AND($C940="Despesa",U940&gt;0,U940&lt;=Sel_Idx,V940&gt;=Sel_Idx),N(R940)+ROW()/1000000000,0)</f>
        <v>0</v>
      </c>
      <c r="AC940" s="40">
        <f>IF(AND($C940="Despesa",U940&gt;0,U940&lt;=Sel_Idx,V940&gt;=Sel_Idx),Z940*10000+ROW(),0)</f>
        <v>0</v>
      </c>
      <c r="AD940" s="40">
        <f>IF(AC940=0,0,COUNTIFS(L_CalChave,"&gt;0",L_CalChave,"&lt;"&amp;AC940)+1)</f>
        <v>0</v>
      </c>
    </row>
    <row r="941">
      <c r="A941" s="38" t="n"/>
      <c r="B941" s="39" t="n"/>
      <c r="C941" s="34" t="n"/>
      <c r="D941" s="34" t="n"/>
      <c r="E941" s="34" t="n"/>
      <c r="F941" s="34" t="n"/>
      <c r="G941" s="34" t="n"/>
      <c r="H941" s="37" t="n"/>
      <c r="I941" s="37" t="n"/>
      <c r="J941" s="34" t="n"/>
      <c r="K941" s="34" t="n"/>
      <c r="L941" s="34" t="n"/>
      <c r="M941" s="39" t="n"/>
      <c r="N941" s="35" t="n"/>
      <c r="O941" s="40" t="str">
        <f>IF($A941="","",MONTH($A941))</f>
        <v/>
      </c>
      <c r="P941" s="40" t="str">
        <f>IF($A941="","",YEAR($A941))</f>
        <v/>
      </c>
      <c r="Q941" s="41" t="str">
        <f>IF($A941="","",DATE(P941,O941,1))</f>
        <v/>
      </c>
      <c r="R941" s="36" t="str">
        <f>IF(OR($A941="",$N941=""),"",IF(AND($C941&lt;&gt;"Transferência",N($I941)&gt;1),$N941/$I941,$N941))</f>
        <v/>
      </c>
      <c r="S941" s="41" t="str">
        <f>IF(OR($A941="",$F941="",$C941&lt;&gt;"Despesa"),"",IF(COUNTIF(Cartoes_Nome,$F941)=0,"",DATE(P941,O941+IF(DAY($A941)&gt;=INDEX(Cartoes_Fech,MATCH($F941,Cartoes_Nome,0)),1,0),1)))</f>
        <v/>
      </c>
      <c r="T941" s="42" t="str">
        <f>IF($A941="","",IF(COUNTIFS(L_Data,$A941,L_Desc,$B941,L_Valor,$N941,L_Tipo,$C941)&gt;1,"⚠ Possível duplicidade",IF(OR(AND($C941="Despesa",COUNTIF(CatD_Nome,$D941)=0),AND($C941="Receita",COUNTIF(CatR_Nome,$D941)=0)),"⚠ Categoria não combina com o tipo",IF(OR($N941="",$C941=""),"⚠ Falta valor ou tipo",""))))</f>
        <v/>
      </c>
      <c r="U941" s="40">
        <f>IF($A941="",0,P941*12+O941)</f>
        <v>0</v>
      </c>
      <c r="V941" s="40">
        <f>IF($A941="",0,U941+MAX(0,N($I941)-MAX(N($H941),1)))</f>
        <v>0</v>
      </c>
      <c r="W941" s="40">
        <f>IF(S941="",0,YEAR(S941)*12+MONTH(S941))</f>
        <v>0</v>
      </c>
      <c r="X941" s="40">
        <f>IF(W941=0,0,W941+V941-U941)</f>
        <v>0</v>
      </c>
      <c r="Y941" s="36">
        <f>IF(W941=0,0,N(R941)*MAX(0,X941-MAX(W941,YEAR(Cfg_Hoje)*12+MONTH(Cfg_Hoje)+IF(DAY(Cfg_Hoje)&gt;=INDEX(Cartoes_Fech,MATCH($F941,Cartoes_Nome,0)),1,0))+1))</f>
        <v>0</v>
      </c>
      <c r="Z941" s="40">
        <f>IF($A941="",0,DAY($A941))</f>
        <v>0</v>
      </c>
      <c r="AA941" s="40">
        <f>IF($A941="",0,WEEKDAY($A941))</f>
        <v>0</v>
      </c>
      <c r="AB941" s="36">
        <f>IF(AND($C941="Despesa",U941&gt;0,U941&lt;=Sel_Idx,V941&gt;=Sel_Idx),N(R941)+ROW()/1000000000,0)</f>
        <v>0</v>
      </c>
      <c r="AC941" s="40">
        <f>IF(AND($C941="Despesa",U941&gt;0,U941&lt;=Sel_Idx,V941&gt;=Sel_Idx),Z941*10000+ROW(),0)</f>
        <v>0</v>
      </c>
      <c r="AD941" s="40">
        <f>IF(AC941=0,0,COUNTIFS(L_CalChave,"&gt;0",L_CalChave,"&lt;"&amp;AC941)+1)</f>
        <v>0</v>
      </c>
    </row>
    <row r="942">
      <c r="A942" s="38" t="n"/>
      <c r="B942" s="39" t="n"/>
      <c r="C942" s="34" t="n"/>
      <c r="D942" s="34" t="n"/>
      <c r="E942" s="34" t="n"/>
      <c r="F942" s="34" t="n"/>
      <c r="G942" s="34" t="n"/>
      <c r="H942" s="37" t="n"/>
      <c r="I942" s="37" t="n"/>
      <c r="J942" s="34" t="n"/>
      <c r="K942" s="34" t="n"/>
      <c r="L942" s="34" t="n"/>
      <c r="M942" s="39" t="n"/>
      <c r="N942" s="35" t="n"/>
      <c r="O942" s="40" t="str">
        <f>IF($A942="","",MONTH($A942))</f>
        <v/>
      </c>
      <c r="P942" s="40" t="str">
        <f>IF($A942="","",YEAR($A942))</f>
        <v/>
      </c>
      <c r="Q942" s="41" t="str">
        <f>IF($A942="","",DATE(P942,O942,1))</f>
        <v/>
      </c>
      <c r="R942" s="36" t="str">
        <f>IF(OR($A942="",$N942=""),"",IF(AND($C942&lt;&gt;"Transferência",N($I942)&gt;1),$N942/$I942,$N942))</f>
        <v/>
      </c>
      <c r="S942" s="41" t="str">
        <f>IF(OR($A942="",$F942="",$C942&lt;&gt;"Despesa"),"",IF(COUNTIF(Cartoes_Nome,$F942)=0,"",DATE(P942,O942+IF(DAY($A942)&gt;=INDEX(Cartoes_Fech,MATCH($F942,Cartoes_Nome,0)),1,0),1)))</f>
        <v/>
      </c>
      <c r="T942" s="42" t="str">
        <f>IF($A942="","",IF(COUNTIFS(L_Data,$A942,L_Desc,$B942,L_Valor,$N942,L_Tipo,$C942)&gt;1,"⚠ Possível duplicidade",IF(OR(AND($C942="Despesa",COUNTIF(CatD_Nome,$D942)=0),AND($C942="Receita",COUNTIF(CatR_Nome,$D942)=0)),"⚠ Categoria não combina com o tipo",IF(OR($N942="",$C942=""),"⚠ Falta valor ou tipo",""))))</f>
        <v/>
      </c>
      <c r="U942" s="40">
        <f>IF($A942="",0,P942*12+O942)</f>
        <v>0</v>
      </c>
      <c r="V942" s="40">
        <f>IF($A942="",0,U942+MAX(0,N($I942)-MAX(N($H942),1)))</f>
        <v>0</v>
      </c>
      <c r="W942" s="40">
        <f>IF(S942="",0,YEAR(S942)*12+MONTH(S942))</f>
        <v>0</v>
      </c>
      <c r="X942" s="40">
        <f>IF(W942=0,0,W942+V942-U942)</f>
        <v>0</v>
      </c>
      <c r="Y942" s="36">
        <f>IF(W942=0,0,N(R942)*MAX(0,X942-MAX(W942,YEAR(Cfg_Hoje)*12+MONTH(Cfg_Hoje)+IF(DAY(Cfg_Hoje)&gt;=INDEX(Cartoes_Fech,MATCH($F942,Cartoes_Nome,0)),1,0))+1))</f>
        <v>0</v>
      </c>
      <c r="Z942" s="40">
        <f>IF($A942="",0,DAY($A942))</f>
        <v>0</v>
      </c>
      <c r="AA942" s="40">
        <f>IF($A942="",0,WEEKDAY($A942))</f>
        <v>0</v>
      </c>
      <c r="AB942" s="36">
        <f>IF(AND($C942="Despesa",U942&gt;0,U942&lt;=Sel_Idx,V942&gt;=Sel_Idx),N(R942)+ROW()/1000000000,0)</f>
        <v>0</v>
      </c>
      <c r="AC942" s="40">
        <f>IF(AND($C942="Despesa",U942&gt;0,U942&lt;=Sel_Idx,V942&gt;=Sel_Idx),Z942*10000+ROW(),0)</f>
        <v>0</v>
      </c>
      <c r="AD942" s="40">
        <f>IF(AC942=0,0,COUNTIFS(L_CalChave,"&gt;0",L_CalChave,"&lt;"&amp;AC942)+1)</f>
        <v>0</v>
      </c>
    </row>
    <row r="943">
      <c r="A943" s="38" t="n"/>
      <c r="B943" s="39" t="n"/>
      <c r="C943" s="34" t="n"/>
      <c r="D943" s="34" t="n"/>
      <c r="E943" s="34" t="n"/>
      <c r="F943" s="34" t="n"/>
      <c r="G943" s="34" t="n"/>
      <c r="H943" s="37" t="n"/>
      <c r="I943" s="37" t="n"/>
      <c r="J943" s="34" t="n"/>
      <c r="K943" s="34" t="n"/>
      <c r="L943" s="34" t="n"/>
      <c r="M943" s="39" t="n"/>
      <c r="N943" s="35" t="n"/>
      <c r="O943" s="40" t="str">
        <f>IF($A943="","",MONTH($A943))</f>
        <v/>
      </c>
      <c r="P943" s="40" t="str">
        <f>IF($A943="","",YEAR($A943))</f>
        <v/>
      </c>
      <c r="Q943" s="41" t="str">
        <f>IF($A943="","",DATE(P943,O943,1))</f>
        <v/>
      </c>
      <c r="R943" s="36" t="str">
        <f>IF(OR($A943="",$N943=""),"",IF(AND($C943&lt;&gt;"Transferência",N($I943)&gt;1),$N943/$I943,$N943))</f>
        <v/>
      </c>
      <c r="S943" s="41" t="str">
        <f>IF(OR($A943="",$F943="",$C943&lt;&gt;"Despesa"),"",IF(COUNTIF(Cartoes_Nome,$F943)=0,"",DATE(P943,O943+IF(DAY($A943)&gt;=INDEX(Cartoes_Fech,MATCH($F943,Cartoes_Nome,0)),1,0),1)))</f>
        <v/>
      </c>
      <c r="T943" s="42" t="str">
        <f>IF($A943="","",IF(COUNTIFS(L_Data,$A943,L_Desc,$B943,L_Valor,$N943,L_Tipo,$C943)&gt;1,"⚠ Possível duplicidade",IF(OR(AND($C943="Despesa",COUNTIF(CatD_Nome,$D943)=0),AND($C943="Receita",COUNTIF(CatR_Nome,$D943)=0)),"⚠ Categoria não combina com o tipo",IF(OR($N943="",$C943=""),"⚠ Falta valor ou tipo",""))))</f>
        <v/>
      </c>
      <c r="U943" s="40">
        <f>IF($A943="",0,P943*12+O943)</f>
        <v>0</v>
      </c>
      <c r="V943" s="40">
        <f>IF($A943="",0,U943+MAX(0,N($I943)-MAX(N($H943),1)))</f>
        <v>0</v>
      </c>
      <c r="W943" s="40">
        <f>IF(S943="",0,YEAR(S943)*12+MONTH(S943))</f>
        <v>0</v>
      </c>
      <c r="X943" s="40">
        <f>IF(W943=0,0,W943+V943-U943)</f>
        <v>0</v>
      </c>
      <c r="Y943" s="36">
        <f>IF(W943=0,0,N(R943)*MAX(0,X943-MAX(W943,YEAR(Cfg_Hoje)*12+MONTH(Cfg_Hoje)+IF(DAY(Cfg_Hoje)&gt;=INDEX(Cartoes_Fech,MATCH($F943,Cartoes_Nome,0)),1,0))+1))</f>
        <v>0</v>
      </c>
      <c r="Z943" s="40">
        <f>IF($A943="",0,DAY($A943))</f>
        <v>0</v>
      </c>
      <c r="AA943" s="40">
        <f>IF($A943="",0,WEEKDAY($A943))</f>
        <v>0</v>
      </c>
      <c r="AB943" s="36">
        <f>IF(AND($C943="Despesa",U943&gt;0,U943&lt;=Sel_Idx,V943&gt;=Sel_Idx),N(R943)+ROW()/1000000000,0)</f>
        <v>0</v>
      </c>
      <c r="AC943" s="40">
        <f>IF(AND($C943="Despesa",U943&gt;0,U943&lt;=Sel_Idx,V943&gt;=Sel_Idx),Z943*10000+ROW(),0)</f>
        <v>0</v>
      </c>
      <c r="AD943" s="40">
        <f>IF(AC943=0,0,COUNTIFS(L_CalChave,"&gt;0",L_CalChave,"&lt;"&amp;AC943)+1)</f>
        <v>0</v>
      </c>
    </row>
    <row r="944">
      <c r="A944" s="38" t="n"/>
      <c r="B944" s="39" t="n"/>
      <c r="C944" s="34" t="n"/>
      <c r="D944" s="34" t="n"/>
      <c r="E944" s="34" t="n"/>
      <c r="F944" s="34" t="n"/>
      <c r="G944" s="34" t="n"/>
      <c r="H944" s="37" t="n"/>
      <c r="I944" s="37" t="n"/>
      <c r="J944" s="34" t="n"/>
      <c r="K944" s="34" t="n"/>
      <c r="L944" s="34" t="n"/>
      <c r="M944" s="39" t="n"/>
      <c r="N944" s="35" t="n"/>
      <c r="O944" s="40" t="str">
        <f>IF($A944="","",MONTH($A944))</f>
        <v/>
      </c>
      <c r="P944" s="40" t="str">
        <f>IF($A944="","",YEAR($A944))</f>
        <v/>
      </c>
      <c r="Q944" s="41" t="str">
        <f>IF($A944="","",DATE(P944,O944,1))</f>
        <v/>
      </c>
      <c r="R944" s="36" t="str">
        <f>IF(OR($A944="",$N944=""),"",IF(AND($C944&lt;&gt;"Transferência",N($I944)&gt;1),$N944/$I944,$N944))</f>
        <v/>
      </c>
      <c r="S944" s="41" t="str">
        <f>IF(OR($A944="",$F944="",$C944&lt;&gt;"Despesa"),"",IF(COUNTIF(Cartoes_Nome,$F944)=0,"",DATE(P944,O944+IF(DAY($A944)&gt;=INDEX(Cartoes_Fech,MATCH($F944,Cartoes_Nome,0)),1,0),1)))</f>
        <v/>
      </c>
      <c r="T944" s="42" t="str">
        <f>IF($A944="","",IF(COUNTIFS(L_Data,$A944,L_Desc,$B944,L_Valor,$N944,L_Tipo,$C944)&gt;1,"⚠ Possível duplicidade",IF(OR(AND($C944="Despesa",COUNTIF(CatD_Nome,$D944)=0),AND($C944="Receita",COUNTIF(CatR_Nome,$D944)=0)),"⚠ Categoria não combina com o tipo",IF(OR($N944="",$C944=""),"⚠ Falta valor ou tipo",""))))</f>
        <v/>
      </c>
      <c r="U944" s="40">
        <f>IF($A944="",0,P944*12+O944)</f>
        <v>0</v>
      </c>
      <c r="V944" s="40">
        <f>IF($A944="",0,U944+MAX(0,N($I944)-MAX(N($H944),1)))</f>
        <v>0</v>
      </c>
      <c r="W944" s="40">
        <f>IF(S944="",0,YEAR(S944)*12+MONTH(S944))</f>
        <v>0</v>
      </c>
      <c r="X944" s="40">
        <f>IF(W944=0,0,W944+V944-U944)</f>
        <v>0</v>
      </c>
      <c r="Y944" s="36">
        <f>IF(W944=0,0,N(R944)*MAX(0,X944-MAX(W944,YEAR(Cfg_Hoje)*12+MONTH(Cfg_Hoje)+IF(DAY(Cfg_Hoje)&gt;=INDEX(Cartoes_Fech,MATCH($F944,Cartoes_Nome,0)),1,0))+1))</f>
        <v>0</v>
      </c>
      <c r="Z944" s="40">
        <f>IF($A944="",0,DAY($A944))</f>
        <v>0</v>
      </c>
      <c r="AA944" s="40">
        <f>IF($A944="",0,WEEKDAY($A944))</f>
        <v>0</v>
      </c>
      <c r="AB944" s="36">
        <f>IF(AND($C944="Despesa",U944&gt;0,U944&lt;=Sel_Idx,V944&gt;=Sel_Idx),N(R944)+ROW()/1000000000,0)</f>
        <v>0</v>
      </c>
      <c r="AC944" s="40">
        <f>IF(AND($C944="Despesa",U944&gt;0,U944&lt;=Sel_Idx,V944&gt;=Sel_Idx),Z944*10000+ROW(),0)</f>
        <v>0</v>
      </c>
      <c r="AD944" s="40">
        <f>IF(AC944=0,0,COUNTIFS(L_CalChave,"&gt;0",L_CalChave,"&lt;"&amp;AC944)+1)</f>
        <v>0</v>
      </c>
    </row>
    <row r="945">
      <c r="A945" s="38" t="n"/>
      <c r="B945" s="39" t="n"/>
      <c r="C945" s="34" t="n"/>
      <c r="D945" s="34" t="n"/>
      <c r="E945" s="34" t="n"/>
      <c r="F945" s="34" t="n"/>
      <c r="G945" s="34" t="n"/>
      <c r="H945" s="37" t="n"/>
      <c r="I945" s="37" t="n"/>
      <c r="J945" s="34" t="n"/>
      <c r="K945" s="34" t="n"/>
      <c r="L945" s="34" t="n"/>
      <c r="M945" s="39" t="n"/>
      <c r="N945" s="35" t="n"/>
      <c r="O945" s="40" t="str">
        <f>IF($A945="","",MONTH($A945))</f>
        <v/>
      </c>
      <c r="P945" s="40" t="str">
        <f>IF($A945="","",YEAR($A945))</f>
        <v/>
      </c>
      <c r="Q945" s="41" t="str">
        <f>IF($A945="","",DATE(P945,O945,1))</f>
        <v/>
      </c>
      <c r="R945" s="36" t="str">
        <f>IF(OR($A945="",$N945=""),"",IF(AND($C945&lt;&gt;"Transferência",N($I945)&gt;1),$N945/$I945,$N945))</f>
        <v/>
      </c>
      <c r="S945" s="41" t="str">
        <f>IF(OR($A945="",$F945="",$C945&lt;&gt;"Despesa"),"",IF(COUNTIF(Cartoes_Nome,$F945)=0,"",DATE(P945,O945+IF(DAY($A945)&gt;=INDEX(Cartoes_Fech,MATCH($F945,Cartoes_Nome,0)),1,0),1)))</f>
        <v/>
      </c>
      <c r="T945" s="42" t="str">
        <f>IF($A945="","",IF(COUNTIFS(L_Data,$A945,L_Desc,$B945,L_Valor,$N945,L_Tipo,$C945)&gt;1,"⚠ Possível duplicidade",IF(OR(AND($C945="Despesa",COUNTIF(CatD_Nome,$D945)=0),AND($C945="Receita",COUNTIF(CatR_Nome,$D945)=0)),"⚠ Categoria não combina com o tipo",IF(OR($N945="",$C945=""),"⚠ Falta valor ou tipo",""))))</f>
        <v/>
      </c>
      <c r="U945" s="40">
        <f>IF($A945="",0,P945*12+O945)</f>
        <v>0</v>
      </c>
      <c r="V945" s="40">
        <f>IF($A945="",0,U945+MAX(0,N($I945)-MAX(N($H945),1)))</f>
        <v>0</v>
      </c>
      <c r="W945" s="40">
        <f>IF(S945="",0,YEAR(S945)*12+MONTH(S945))</f>
        <v>0</v>
      </c>
      <c r="X945" s="40">
        <f>IF(W945=0,0,W945+V945-U945)</f>
        <v>0</v>
      </c>
      <c r="Y945" s="36">
        <f>IF(W945=0,0,N(R945)*MAX(0,X945-MAX(W945,YEAR(Cfg_Hoje)*12+MONTH(Cfg_Hoje)+IF(DAY(Cfg_Hoje)&gt;=INDEX(Cartoes_Fech,MATCH($F945,Cartoes_Nome,0)),1,0))+1))</f>
        <v>0</v>
      </c>
      <c r="Z945" s="40">
        <f>IF($A945="",0,DAY($A945))</f>
        <v>0</v>
      </c>
      <c r="AA945" s="40">
        <f>IF($A945="",0,WEEKDAY($A945))</f>
        <v>0</v>
      </c>
      <c r="AB945" s="36">
        <f>IF(AND($C945="Despesa",U945&gt;0,U945&lt;=Sel_Idx,V945&gt;=Sel_Idx),N(R945)+ROW()/1000000000,0)</f>
        <v>0</v>
      </c>
      <c r="AC945" s="40">
        <f>IF(AND($C945="Despesa",U945&gt;0,U945&lt;=Sel_Idx,V945&gt;=Sel_Idx),Z945*10000+ROW(),0)</f>
        <v>0</v>
      </c>
      <c r="AD945" s="40">
        <f>IF(AC945=0,0,COUNTIFS(L_CalChave,"&gt;0",L_CalChave,"&lt;"&amp;AC945)+1)</f>
        <v>0</v>
      </c>
    </row>
    <row r="946">
      <c r="A946" s="38" t="n"/>
      <c r="B946" s="39" t="n"/>
      <c r="C946" s="34" t="n"/>
      <c r="D946" s="34" t="n"/>
      <c r="E946" s="34" t="n"/>
      <c r="F946" s="34" t="n"/>
      <c r="G946" s="34" t="n"/>
      <c r="H946" s="37" t="n"/>
      <c r="I946" s="37" t="n"/>
      <c r="J946" s="34" t="n"/>
      <c r="K946" s="34" t="n"/>
      <c r="L946" s="34" t="n"/>
      <c r="M946" s="39" t="n"/>
      <c r="N946" s="35" t="n"/>
      <c r="O946" s="40" t="str">
        <f>IF($A946="","",MONTH($A946))</f>
        <v/>
      </c>
      <c r="P946" s="40" t="str">
        <f>IF($A946="","",YEAR($A946))</f>
        <v/>
      </c>
      <c r="Q946" s="41" t="str">
        <f>IF($A946="","",DATE(P946,O946,1))</f>
        <v/>
      </c>
      <c r="R946" s="36" t="str">
        <f>IF(OR($A946="",$N946=""),"",IF(AND($C946&lt;&gt;"Transferência",N($I946)&gt;1),$N946/$I946,$N946))</f>
        <v/>
      </c>
      <c r="S946" s="41" t="str">
        <f>IF(OR($A946="",$F946="",$C946&lt;&gt;"Despesa"),"",IF(COUNTIF(Cartoes_Nome,$F946)=0,"",DATE(P946,O946+IF(DAY($A946)&gt;=INDEX(Cartoes_Fech,MATCH($F946,Cartoes_Nome,0)),1,0),1)))</f>
        <v/>
      </c>
      <c r="T946" s="42" t="str">
        <f>IF($A946="","",IF(COUNTIFS(L_Data,$A946,L_Desc,$B946,L_Valor,$N946,L_Tipo,$C946)&gt;1,"⚠ Possível duplicidade",IF(OR(AND($C946="Despesa",COUNTIF(CatD_Nome,$D946)=0),AND($C946="Receita",COUNTIF(CatR_Nome,$D946)=0)),"⚠ Categoria não combina com o tipo",IF(OR($N946="",$C946=""),"⚠ Falta valor ou tipo",""))))</f>
        <v/>
      </c>
      <c r="U946" s="40">
        <f>IF($A946="",0,P946*12+O946)</f>
        <v>0</v>
      </c>
      <c r="V946" s="40">
        <f>IF($A946="",0,U946+MAX(0,N($I946)-MAX(N($H946),1)))</f>
        <v>0</v>
      </c>
      <c r="W946" s="40">
        <f>IF(S946="",0,YEAR(S946)*12+MONTH(S946))</f>
        <v>0</v>
      </c>
      <c r="X946" s="40">
        <f>IF(W946=0,0,W946+V946-U946)</f>
        <v>0</v>
      </c>
      <c r="Y946" s="36">
        <f>IF(W946=0,0,N(R946)*MAX(0,X946-MAX(W946,YEAR(Cfg_Hoje)*12+MONTH(Cfg_Hoje)+IF(DAY(Cfg_Hoje)&gt;=INDEX(Cartoes_Fech,MATCH($F946,Cartoes_Nome,0)),1,0))+1))</f>
        <v>0</v>
      </c>
      <c r="Z946" s="40">
        <f>IF($A946="",0,DAY($A946))</f>
        <v>0</v>
      </c>
      <c r="AA946" s="40">
        <f>IF($A946="",0,WEEKDAY($A946))</f>
        <v>0</v>
      </c>
      <c r="AB946" s="36">
        <f>IF(AND($C946="Despesa",U946&gt;0,U946&lt;=Sel_Idx,V946&gt;=Sel_Idx),N(R946)+ROW()/1000000000,0)</f>
        <v>0</v>
      </c>
      <c r="AC946" s="40">
        <f>IF(AND($C946="Despesa",U946&gt;0,U946&lt;=Sel_Idx,V946&gt;=Sel_Idx),Z946*10000+ROW(),0)</f>
        <v>0</v>
      </c>
      <c r="AD946" s="40">
        <f>IF(AC946=0,0,COUNTIFS(L_CalChave,"&gt;0",L_CalChave,"&lt;"&amp;AC946)+1)</f>
        <v>0</v>
      </c>
    </row>
    <row r="947">
      <c r="A947" s="38" t="n"/>
      <c r="B947" s="39" t="n"/>
      <c r="C947" s="34" t="n"/>
      <c r="D947" s="34" t="n"/>
      <c r="E947" s="34" t="n"/>
      <c r="F947" s="34" t="n"/>
      <c r="G947" s="34" t="n"/>
      <c r="H947" s="37" t="n"/>
      <c r="I947" s="37" t="n"/>
      <c r="J947" s="34" t="n"/>
      <c r="K947" s="34" t="n"/>
      <c r="L947" s="34" t="n"/>
      <c r="M947" s="39" t="n"/>
      <c r="N947" s="35" t="n"/>
      <c r="O947" s="40" t="str">
        <f>IF($A947="","",MONTH($A947))</f>
        <v/>
      </c>
      <c r="P947" s="40" t="str">
        <f>IF($A947="","",YEAR($A947))</f>
        <v/>
      </c>
      <c r="Q947" s="41" t="str">
        <f>IF($A947="","",DATE(P947,O947,1))</f>
        <v/>
      </c>
      <c r="R947" s="36" t="str">
        <f>IF(OR($A947="",$N947=""),"",IF(AND($C947&lt;&gt;"Transferência",N($I947)&gt;1),$N947/$I947,$N947))</f>
        <v/>
      </c>
      <c r="S947" s="41" t="str">
        <f>IF(OR($A947="",$F947="",$C947&lt;&gt;"Despesa"),"",IF(COUNTIF(Cartoes_Nome,$F947)=0,"",DATE(P947,O947+IF(DAY($A947)&gt;=INDEX(Cartoes_Fech,MATCH($F947,Cartoes_Nome,0)),1,0),1)))</f>
        <v/>
      </c>
      <c r="T947" s="42" t="str">
        <f>IF($A947="","",IF(COUNTIFS(L_Data,$A947,L_Desc,$B947,L_Valor,$N947,L_Tipo,$C947)&gt;1,"⚠ Possível duplicidade",IF(OR(AND($C947="Despesa",COUNTIF(CatD_Nome,$D947)=0),AND($C947="Receita",COUNTIF(CatR_Nome,$D947)=0)),"⚠ Categoria não combina com o tipo",IF(OR($N947="",$C947=""),"⚠ Falta valor ou tipo",""))))</f>
        <v/>
      </c>
      <c r="U947" s="40">
        <f>IF($A947="",0,P947*12+O947)</f>
        <v>0</v>
      </c>
      <c r="V947" s="40">
        <f>IF($A947="",0,U947+MAX(0,N($I947)-MAX(N($H947),1)))</f>
        <v>0</v>
      </c>
      <c r="W947" s="40">
        <f>IF(S947="",0,YEAR(S947)*12+MONTH(S947))</f>
        <v>0</v>
      </c>
      <c r="X947" s="40">
        <f>IF(W947=0,0,W947+V947-U947)</f>
        <v>0</v>
      </c>
      <c r="Y947" s="36">
        <f>IF(W947=0,0,N(R947)*MAX(0,X947-MAX(W947,YEAR(Cfg_Hoje)*12+MONTH(Cfg_Hoje)+IF(DAY(Cfg_Hoje)&gt;=INDEX(Cartoes_Fech,MATCH($F947,Cartoes_Nome,0)),1,0))+1))</f>
        <v>0</v>
      </c>
      <c r="Z947" s="40">
        <f>IF($A947="",0,DAY($A947))</f>
        <v>0</v>
      </c>
      <c r="AA947" s="40">
        <f>IF($A947="",0,WEEKDAY($A947))</f>
        <v>0</v>
      </c>
      <c r="AB947" s="36">
        <f>IF(AND($C947="Despesa",U947&gt;0,U947&lt;=Sel_Idx,V947&gt;=Sel_Idx),N(R947)+ROW()/1000000000,0)</f>
        <v>0</v>
      </c>
      <c r="AC947" s="40">
        <f>IF(AND($C947="Despesa",U947&gt;0,U947&lt;=Sel_Idx,V947&gt;=Sel_Idx),Z947*10000+ROW(),0)</f>
        <v>0</v>
      </c>
      <c r="AD947" s="40">
        <f>IF(AC947=0,0,COUNTIFS(L_CalChave,"&gt;0",L_CalChave,"&lt;"&amp;AC947)+1)</f>
        <v>0</v>
      </c>
    </row>
    <row r="948">
      <c r="A948" s="38" t="n"/>
      <c r="B948" s="39" t="n"/>
      <c r="C948" s="34" t="n"/>
      <c r="D948" s="34" t="n"/>
      <c r="E948" s="34" t="n"/>
      <c r="F948" s="34" t="n"/>
      <c r="G948" s="34" t="n"/>
      <c r="H948" s="37" t="n"/>
      <c r="I948" s="37" t="n"/>
      <c r="J948" s="34" t="n"/>
      <c r="K948" s="34" t="n"/>
      <c r="L948" s="34" t="n"/>
      <c r="M948" s="39" t="n"/>
      <c r="N948" s="35" t="n"/>
      <c r="O948" s="40" t="str">
        <f>IF($A948="","",MONTH($A948))</f>
        <v/>
      </c>
      <c r="P948" s="40" t="str">
        <f>IF($A948="","",YEAR($A948))</f>
        <v/>
      </c>
      <c r="Q948" s="41" t="str">
        <f>IF($A948="","",DATE(P948,O948,1))</f>
        <v/>
      </c>
      <c r="R948" s="36" t="str">
        <f>IF(OR($A948="",$N948=""),"",IF(AND($C948&lt;&gt;"Transferência",N($I948)&gt;1),$N948/$I948,$N948))</f>
        <v/>
      </c>
      <c r="S948" s="41" t="str">
        <f>IF(OR($A948="",$F948="",$C948&lt;&gt;"Despesa"),"",IF(COUNTIF(Cartoes_Nome,$F948)=0,"",DATE(P948,O948+IF(DAY($A948)&gt;=INDEX(Cartoes_Fech,MATCH($F948,Cartoes_Nome,0)),1,0),1)))</f>
        <v/>
      </c>
      <c r="T948" s="42" t="str">
        <f>IF($A948="","",IF(COUNTIFS(L_Data,$A948,L_Desc,$B948,L_Valor,$N948,L_Tipo,$C948)&gt;1,"⚠ Possível duplicidade",IF(OR(AND($C948="Despesa",COUNTIF(CatD_Nome,$D948)=0),AND($C948="Receita",COUNTIF(CatR_Nome,$D948)=0)),"⚠ Categoria não combina com o tipo",IF(OR($N948="",$C948=""),"⚠ Falta valor ou tipo",""))))</f>
        <v/>
      </c>
      <c r="U948" s="40">
        <f>IF($A948="",0,P948*12+O948)</f>
        <v>0</v>
      </c>
      <c r="V948" s="40">
        <f>IF($A948="",0,U948+MAX(0,N($I948)-MAX(N($H948),1)))</f>
        <v>0</v>
      </c>
      <c r="W948" s="40">
        <f>IF(S948="",0,YEAR(S948)*12+MONTH(S948))</f>
        <v>0</v>
      </c>
      <c r="X948" s="40">
        <f>IF(W948=0,0,W948+V948-U948)</f>
        <v>0</v>
      </c>
      <c r="Y948" s="36">
        <f>IF(W948=0,0,N(R948)*MAX(0,X948-MAX(W948,YEAR(Cfg_Hoje)*12+MONTH(Cfg_Hoje)+IF(DAY(Cfg_Hoje)&gt;=INDEX(Cartoes_Fech,MATCH($F948,Cartoes_Nome,0)),1,0))+1))</f>
        <v>0</v>
      </c>
      <c r="Z948" s="40">
        <f>IF($A948="",0,DAY($A948))</f>
        <v>0</v>
      </c>
      <c r="AA948" s="40">
        <f>IF($A948="",0,WEEKDAY($A948))</f>
        <v>0</v>
      </c>
      <c r="AB948" s="36">
        <f>IF(AND($C948="Despesa",U948&gt;0,U948&lt;=Sel_Idx,V948&gt;=Sel_Idx),N(R948)+ROW()/1000000000,0)</f>
        <v>0</v>
      </c>
      <c r="AC948" s="40">
        <f>IF(AND($C948="Despesa",U948&gt;0,U948&lt;=Sel_Idx,V948&gt;=Sel_Idx),Z948*10000+ROW(),0)</f>
        <v>0</v>
      </c>
      <c r="AD948" s="40">
        <f>IF(AC948=0,0,COUNTIFS(L_CalChave,"&gt;0",L_CalChave,"&lt;"&amp;AC948)+1)</f>
        <v>0</v>
      </c>
    </row>
    <row r="949">
      <c r="A949" s="38" t="n"/>
      <c r="B949" s="39" t="n"/>
      <c r="C949" s="34" t="n"/>
      <c r="D949" s="34" t="n"/>
      <c r="E949" s="34" t="n"/>
      <c r="F949" s="34" t="n"/>
      <c r="G949" s="34" t="n"/>
      <c r="H949" s="37" t="n"/>
      <c r="I949" s="37" t="n"/>
      <c r="J949" s="34" t="n"/>
      <c r="K949" s="34" t="n"/>
      <c r="L949" s="34" t="n"/>
      <c r="M949" s="39" t="n"/>
      <c r="N949" s="35" t="n"/>
      <c r="O949" s="40" t="str">
        <f>IF($A949="","",MONTH($A949))</f>
        <v/>
      </c>
      <c r="P949" s="40" t="str">
        <f>IF($A949="","",YEAR($A949))</f>
        <v/>
      </c>
      <c r="Q949" s="41" t="str">
        <f>IF($A949="","",DATE(P949,O949,1))</f>
        <v/>
      </c>
      <c r="R949" s="36" t="str">
        <f>IF(OR($A949="",$N949=""),"",IF(AND($C949&lt;&gt;"Transferência",N($I949)&gt;1),$N949/$I949,$N949))</f>
        <v/>
      </c>
      <c r="S949" s="41" t="str">
        <f>IF(OR($A949="",$F949="",$C949&lt;&gt;"Despesa"),"",IF(COUNTIF(Cartoes_Nome,$F949)=0,"",DATE(P949,O949+IF(DAY($A949)&gt;=INDEX(Cartoes_Fech,MATCH($F949,Cartoes_Nome,0)),1,0),1)))</f>
        <v/>
      </c>
      <c r="T949" s="42" t="str">
        <f>IF($A949="","",IF(COUNTIFS(L_Data,$A949,L_Desc,$B949,L_Valor,$N949,L_Tipo,$C949)&gt;1,"⚠ Possível duplicidade",IF(OR(AND($C949="Despesa",COUNTIF(CatD_Nome,$D949)=0),AND($C949="Receita",COUNTIF(CatR_Nome,$D949)=0)),"⚠ Categoria não combina com o tipo",IF(OR($N949="",$C949=""),"⚠ Falta valor ou tipo",""))))</f>
        <v/>
      </c>
      <c r="U949" s="40">
        <f>IF($A949="",0,P949*12+O949)</f>
        <v>0</v>
      </c>
      <c r="V949" s="40">
        <f>IF($A949="",0,U949+MAX(0,N($I949)-MAX(N($H949),1)))</f>
        <v>0</v>
      </c>
      <c r="W949" s="40">
        <f>IF(S949="",0,YEAR(S949)*12+MONTH(S949))</f>
        <v>0</v>
      </c>
      <c r="X949" s="40">
        <f>IF(W949=0,0,W949+V949-U949)</f>
        <v>0</v>
      </c>
      <c r="Y949" s="36">
        <f>IF(W949=0,0,N(R949)*MAX(0,X949-MAX(W949,YEAR(Cfg_Hoje)*12+MONTH(Cfg_Hoje)+IF(DAY(Cfg_Hoje)&gt;=INDEX(Cartoes_Fech,MATCH($F949,Cartoes_Nome,0)),1,0))+1))</f>
        <v>0</v>
      </c>
      <c r="Z949" s="40">
        <f>IF($A949="",0,DAY($A949))</f>
        <v>0</v>
      </c>
      <c r="AA949" s="40">
        <f>IF($A949="",0,WEEKDAY($A949))</f>
        <v>0</v>
      </c>
      <c r="AB949" s="36">
        <f>IF(AND($C949="Despesa",U949&gt;0,U949&lt;=Sel_Idx,V949&gt;=Sel_Idx),N(R949)+ROW()/1000000000,0)</f>
        <v>0</v>
      </c>
      <c r="AC949" s="40">
        <f>IF(AND($C949="Despesa",U949&gt;0,U949&lt;=Sel_Idx,V949&gt;=Sel_Idx),Z949*10000+ROW(),0)</f>
        <v>0</v>
      </c>
      <c r="AD949" s="40">
        <f>IF(AC949=0,0,COUNTIFS(L_CalChave,"&gt;0",L_CalChave,"&lt;"&amp;AC949)+1)</f>
        <v>0</v>
      </c>
    </row>
    <row r="950">
      <c r="A950" s="38" t="n"/>
      <c r="B950" s="39" t="n"/>
      <c r="C950" s="34" t="n"/>
      <c r="D950" s="34" t="n"/>
      <c r="E950" s="34" t="n"/>
      <c r="F950" s="34" t="n"/>
      <c r="G950" s="34" t="n"/>
      <c r="H950" s="37" t="n"/>
      <c r="I950" s="37" t="n"/>
      <c r="J950" s="34" t="n"/>
      <c r="K950" s="34" t="n"/>
      <c r="L950" s="34" t="n"/>
      <c r="M950" s="39" t="n"/>
      <c r="N950" s="35" t="n"/>
      <c r="O950" s="40" t="str">
        <f>IF($A950="","",MONTH($A950))</f>
        <v/>
      </c>
      <c r="P950" s="40" t="str">
        <f>IF($A950="","",YEAR($A950))</f>
        <v/>
      </c>
      <c r="Q950" s="41" t="str">
        <f>IF($A950="","",DATE(P950,O950,1))</f>
        <v/>
      </c>
      <c r="R950" s="36" t="str">
        <f>IF(OR($A950="",$N950=""),"",IF(AND($C950&lt;&gt;"Transferência",N($I950)&gt;1),$N950/$I950,$N950))</f>
        <v/>
      </c>
      <c r="S950" s="41" t="str">
        <f>IF(OR($A950="",$F950="",$C950&lt;&gt;"Despesa"),"",IF(COUNTIF(Cartoes_Nome,$F950)=0,"",DATE(P950,O950+IF(DAY($A950)&gt;=INDEX(Cartoes_Fech,MATCH($F950,Cartoes_Nome,0)),1,0),1)))</f>
        <v/>
      </c>
      <c r="T950" s="42" t="str">
        <f>IF($A950="","",IF(COUNTIFS(L_Data,$A950,L_Desc,$B950,L_Valor,$N950,L_Tipo,$C950)&gt;1,"⚠ Possível duplicidade",IF(OR(AND($C950="Despesa",COUNTIF(CatD_Nome,$D950)=0),AND($C950="Receita",COUNTIF(CatR_Nome,$D950)=0)),"⚠ Categoria não combina com o tipo",IF(OR($N950="",$C950=""),"⚠ Falta valor ou tipo",""))))</f>
        <v/>
      </c>
      <c r="U950" s="40">
        <f>IF($A950="",0,P950*12+O950)</f>
        <v>0</v>
      </c>
      <c r="V950" s="40">
        <f>IF($A950="",0,U950+MAX(0,N($I950)-MAX(N($H950),1)))</f>
        <v>0</v>
      </c>
      <c r="W950" s="40">
        <f>IF(S950="",0,YEAR(S950)*12+MONTH(S950))</f>
        <v>0</v>
      </c>
      <c r="X950" s="40">
        <f>IF(W950=0,0,W950+V950-U950)</f>
        <v>0</v>
      </c>
      <c r="Y950" s="36">
        <f>IF(W950=0,0,N(R950)*MAX(0,X950-MAX(W950,YEAR(Cfg_Hoje)*12+MONTH(Cfg_Hoje)+IF(DAY(Cfg_Hoje)&gt;=INDEX(Cartoes_Fech,MATCH($F950,Cartoes_Nome,0)),1,0))+1))</f>
        <v>0</v>
      </c>
      <c r="Z950" s="40">
        <f>IF($A950="",0,DAY($A950))</f>
        <v>0</v>
      </c>
      <c r="AA950" s="40">
        <f>IF($A950="",0,WEEKDAY($A950))</f>
        <v>0</v>
      </c>
      <c r="AB950" s="36">
        <f>IF(AND($C950="Despesa",U950&gt;0,U950&lt;=Sel_Idx,V950&gt;=Sel_Idx),N(R950)+ROW()/1000000000,0)</f>
        <v>0</v>
      </c>
      <c r="AC950" s="40">
        <f>IF(AND($C950="Despesa",U950&gt;0,U950&lt;=Sel_Idx,V950&gt;=Sel_Idx),Z950*10000+ROW(),0)</f>
        <v>0</v>
      </c>
      <c r="AD950" s="40">
        <f>IF(AC950=0,0,COUNTIFS(L_CalChave,"&gt;0",L_CalChave,"&lt;"&amp;AC950)+1)</f>
        <v>0</v>
      </c>
    </row>
    <row r="951">
      <c r="A951" s="38" t="n"/>
      <c r="B951" s="39" t="n"/>
      <c r="C951" s="34" t="n"/>
      <c r="D951" s="34" t="n"/>
      <c r="E951" s="34" t="n"/>
      <c r="F951" s="34" t="n"/>
      <c r="G951" s="34" t="n"/>
      <c r="H951" s="37" t="n"/>
      <c r="I951" s="37" t="n"/>
      <c r="J951" s="34" t="n"/>
      <c r="K951" s="34" t="n"/>
      <c r="L951" s="34" t="n"/>
      <c r="M951" s="39" t="n"/>
      <c r="N951" s="35" t="n"/>
      <c r="O951" s="40" t="str">
        <f>IF($A951="","",MONTH($A951))</f>
        <v/>
      </c>
      <c r="P951" s="40" t="str">
        <f>IF($A951="","",YEAR($A951))</f>
        <v/>
      </c>
      <c r="Q951" s="41" t="str">
        <f>IF($A951="","",DATE(P951,O951,1))</f>
        <v/>
      </c>
      <c r="R951" s="36" t="str">
        <f>IF(OR($A951="",$N951=""),"",IF(AND($C951&lt;&gt;"Transferência",N($I951)&gt;1),$N951/$I951,$N951))</f>
        <v/>
      </c>
      <c r="S951" s="41" t="str">
        <f>IF(OR($A951="",$F951="",$C951&lt;&gt;"Despesa"),"",IF(COUNTIF(Cartoes_Nome,$F951)=0,"",DATE(P951,O951+IF(DAY($A951)&gt;=INDEX(Cartoes_Fech,MATCH($F951,Cartoes_Nome,0)),1,0),1)))</f>
        <v/>
      </c>
      <c r="T951" s="42" t="str">
        <f>IF($A951="","",IF(COUNTIFS(L_Data,$A951,L_Desc,$B951,L_Valor,$N951,L_Tipo,$C951)&gt;1,"⚠ Possível duplicidade",IF(OR(AND($C951="Despesa",COUNTIF(CatD_Nome,$D951)=0),AND($C951="Receita",COUNTIF(CatR_Nome,$D951)=0)),"⚠ Categoria não combina com o tipo",IF(OR($N951="",$C951=""),"⚠ Falta valor ou tipo",""))))</f>
        <v/>
      </c>
      <c r="U951" s="40">
        <f>IF($A951="",0,P951*12+O951)</f>
        <v>0</v>
      </c>
      <c r="V951" s="40">
        <f>IF($A951="",0,U951+MAX(0,N($I951)-MAX(N($H951),1)))</f>
        <v>0</v>
      </c>
      <c r="W951" s="40">
        <f>IF(S951="",0,YEAR(S951)*12+MONTH(S951))</f>
        <v>0</v>
      </c>
      <c r="X951" s="40">
        <f>IF(W951=0,0,W951+V951-U951)</f>
        <v>0</v>
      </c>
      <c r="Y951" s="36">
        <f>IF(W951=0,0,N(R951)*MAX(0,X951-MAX(W951,YEAR(Cfg_Hoje)*12+MONTH(Cfg_Hoje)+IF(DAY(Cfg_Hoje)&gt;=INDEX(Cartoes_Fech,MATCH($F951,Cartoes_Nome,0)),1,0))+1))</f>
        <v>0</v>
      </c>
      <c r="Z951" s="40">
        <f>IF($A951="",0,DAY($A951))</f>
        <v>0</v>
      </c>
      <c r="AA951" s="40">
        <f>IF($A951="",0,WEEKDAY($A951))</f>
        <v>0</v>
      </c>
      <c r="AB951" s="36">
        <f>IF(AND($C951="Despesa",U951&gt;0,U951&lt;=Sel_Idx,V951&gt;=Sel_Idx),N(R951)+ROW()/1000000000,0)</f>
        <v>0</v>
      </c>
      <c r="AC951" s="40">
        <f>IF(AND($C951="Despesa",U951&gt;0,U951&lt;=Sel_Idx,V951&gt;=Sel_Idx),Z951*10000+ROW(),0)</f>
        <v>0</v>
      </c>
      <c r="AD951" s="40">
        <f>IF(AC951=0,0,COUNTIFS(L_CalChave,"&gt;0",L_CalChave,"&lt;"&amp;AC951)+1)</f>
        <v>0</v>
      </c>
    </row>
    <row r="952">
      <c r="A952" s="38" t="n"/>
      <c r="B952" s="39" t="n"/>
      <c r="C952" s="34" t="n"/>
      <c r="D952" s="34" t="n"/>
      <c r="E952" s="34" t="n"/>
      <c r="F952" s="34" t="n"/>
      <c r="G952" s="34" t="n"/>
      <c r="H952" s="37" t="n"/>
      <c r="I952" s="37" t="n"/>
      <c r="J952" s="34" t="n"/>
      <c r="K952" s="34" t="n"/>
      <c r="L952" s="34" t="n"/>
      <c r="M952" s="39" t="n"/>
      <c r="N952" s="35" t="n"/>
      <c r="O952" s="40" t="str">
        <f>IF($A952="","",MONTH($A952))</f>
        <v/>
      </c>
      <c r="P952" s="40" t="str">
        <f>IF($A952="","",YEAR($A952))</f>
        <v/>
      </c>
      <c r="Q952" s="41" t="str">
        <f>IF($A952="","",DATE(P952,O952,1))</f>
        <v/>
      </c>
      <c r="R952" s="36" t="str">
        <f>IF(OR($A952="",$N952=""),"",IF(AND($C952&lt;&gt;"Transferência",N($I952)&gt;1),$N952/$I952,$N952))</f>
        <v/>
      </c>
      <c r="S952" s="41" t="str">
        <f>IF(OR($A952="",$F952="",$C952&lt;&gt;"Despesa"),"",IF(COUNTIF(Cartoes_Nome,$F952)=0,"",DATE(P952,O952+IF(DAY($A952)&gt;=INDEX(Cartoes_Fech,MATCH($F952,Cartoes_Nome,0)),1,0),1)))</f>
        <v/>
      </c>
      <c r="T952" s="42" t="str">
        <f>IF($A952="","",IF(COUNTIFS(L_Data,$A952,L_Desc,$B952,L_Valor,$N952,L_Tipo,$C952)&gt;1,"⚠ Possível duplicidade",IF(OR(AND($C952="Despesa",COUNTIF(CatD_Nome,$D952)=0),AND($C952="Receita",COUNTIF(CatR_Nome,$D952)=0)),"⚠ Categoria não combina com o tipo",IF(OR($N952="",$C952=""),"⚠ Falta valor ou tipo",""))))</f>
        <v/>
      </c>
      <c r="U952" s="40">
        <f>IF($A952="",0,P952*12+O952)</f>
        <v>0</v>
      </c>
      <c r="V952" s="40">
        <f>IF($A952="",0,U952+MAX(0,N($I952)-MAX(N($H952),1)))</f>
        <v>0</v>
      </c>
      <c r="W952" s="40">
        <f>IF(S952="",0,YEAR(S952)*12+MONTH(S952))</f>
        <v>0</v>
      </c>
      <c r="X952" s="40">
        <f>IF(W952=0,0,W952+V952-U952)</f>
        <v>0</v>
      </c>
      <c r="Y952" s="36">
        <f>IF(W952=0,0,N(R952)*MAX(0,X952-MAX(W952,YEAR(Cfg_Hoje)*12+MONTH(Cfg_Hoje)+IF(DAY(Cfg_Hoje)&gt;=INDEX(Cartoes_Fech,MATCH($F952,Cartoes_Nome,0)),1,0))+1))</f>
        <v>0</v>
      </c>
      <c r="Z952" s="40">
        <f>IF($A952="",0,DAY($A952))</f>
        <v>0</v>
      </c>
      <c r="AA952" s="40">
        <f>IF($A952="",0,WEEKDAY($A952))</f>
        <v>0</v>
      </c>
      <c r="AB952" s="36">
        <f>IF(AND($C952="Despesa",U952&gt;0,U952&lt;=Sel_Idx,V952&gt;=Sel_Idx),N(R952)+ROW()/1000000000,0)</f>
        <v>0</v>
      </c>
      <c r="AC952" s="40">
        <f>IF(AND($C952="Despesa",U952&gt;0,U952&lt;=Sel_Idx,V952&gt;=Sel_Idx),Z952*10000+ROW(),0)</f>
        <v>0</v>
      </c>
      <c r="AD952" s="40">
        <f>IF(AC952=0,0,COUNTIFS(L_CalChave,"&gt;0",L_CalChave,"&lt;"&amp;AC952)+1)</f>
        <v>0</v>
      </c>
    </row>
    <row r="953">
      <c r="A953" s="38" t="n"/>
      <c r="B953" s="39" t="n"/>
      <c r="C953" s="34" t="n"/>
      <c r="D953" s="34" t="n"/>
      <c r="E953" s="34" t="n"/>
      <c r="F953" s="34" t="n"/>
      <c r="G953" s="34" t="n"/>
      <c r="H953" s="37" t="n"/>
      <c r="I953" s="37" t="n"/>
      <c r="J953" s="34" t="n"/>
      <c r="K953" s="34" t="n"/>
      <c r="L953" s="34" t="n"/>
      <c r="M953" s="39" t="n"/>
      <c r="N953" s="35" t="n"/>
      <c r="O953" s="40" t="str">
        <f>IF($A953="","",MONTH($A953))</f>
        <v/>
      </c>
      <c r="P953" s="40" t="str">
        <f>IF($A953="","",YEAR($A953))</f>
        <v/>
      </c>
      <c r="Q953" s="41" t="str">
        <f>IF($A953="","",DATE(P953,O953,1))</f>
        <v/>
      </c>
      <c r="R953" s="36" t="str">
        <f>IF(OR($A953="",$N953=""),"",IF(AND($C953&lt;&gt;"Transferência",N($I953)&gt;1),$N953/$I953,$N953))</f>
        <v/>
      </c>
      <c r="S953" s="41" t="str">
        <f>IF(OR($A953="",$F953="",$C953&lt;&gt;"Despesa"),"",IF(COUNTIF(Cartoes_Nome,$F953)=0,"",DATE(P953,O953+IF(DAY($A953)&gt;=INDEX(Cartoes_Fech,MATCH($F953,Cartoes_Nome,0)),1,0),1)))</f>
        <v/>
      </c>
      <c r="T953" s="42" t="str">
        <f>IF($A953="","",IF(COUNTIFS(L_Data,$A953,L_Desc,$B953,L_Valor,$N953,L_Tipo,$C953)&gt;1,"⚠ Possível duplicidade",IF(OR(AND($C953="Despesa",COUNTIF(CatD_Nome,$D953)=0),AND($C953="Receita",COUNTIF(CatR_Nome,$D953)=0)),"⚠ Categoria não combina com o tipo",IF(OR($N953="",$C953=""),"⚠ Falta valor ou tipo",""))))</f>
        <v/>
      </c>
      <c r="U953" s="40">
        <f>IF($A953="",0,P953*12+O953)</f>
        <v>0</v>
      </c>
      <c r="V953" s="40">
        <f>IF($A953="",0,U953+MAX(0,N($I953)-MAX(N($H953),1)))</f>
        <v>0</v>
      </c>
      <c r="W953" s="40">
        <f>IF(S953="",0,YEAR(S953)*12+MONTH(S953))</f>
        <v>0</v>
      </c>
      <c r="X953" s="40">
        <f>IF(W953=0,0,W953+V953-U953)</f>
        <v>0</v>
      </c>
      <c r="Y953" s="36">
        <f>IF(W953=0,0,N(R953)*MAX(0,X953-MAX(W953,YEAR(Cfg_Hoje)*12+MONTH(Cfg_Hoje)+IF(DAY(Cfg_Hoje)&gt;=INDEX(Cartoes_Fech,MATCH($F953,Cartoes_Nome,0)),1,0))+1))</f>
        <v>0</v>
      </c>
      <c r="Z953" s="40">
        <f>IF($A953="",0,DAY($A953))</f>
        <v>0</v>
      </c>
      <c r="AA953" s="40">
        <f>IF($A953="",0,WEEKDAY($A953))</f>
        <v>0</v>
      </c>
      <c r="AB953" s="36">
        <f>IF(AND($C953="Despesa",U953&gt;0,U953&lt;=Sel_Idx,V953&gt;=Sel_Idx),N(R953)+ROW()/1000000000,0)</f>
        <v>0</v>
      </c>
      <c r="AC953" s="40">
        <f>IF(AND($C953="Despesa",U953&gt;0,U953&lt;=Sel_Idx,V953&gt;=Sel_Idx),Z953*10000+ROW(),0)</f>
        <v>0</v>
      </c>
      <c r="AD953" s="40">
        <f>IF(AC953=0,0,COUNTIFS(L_CalChave,"&gt;0",L_CalChave,"&lt;"&amp;AC953)+1)</f>
        <v>0</v>
      </c>
    </row>
    <row r="954">
      <c r="A954" s="38" t="n"/>
      <c r="B954" s="39" t="n"/>
      <c r="C954" s="34" t="n"/>
      <c r="D954" s="34" t="n"/>
      <c r="E954" s="34" t="n"/>
      <c r="F954" s="34" t="n"/>
      <c r="G954" s="34" t="n"/>
      <c r="H954" s="37" t="n"/>
      <c r="I954" s="37" t="n"/>
      <c r="J954" s="34" t="n"/>
      <c r="K954" s="34" t="n"/>
      <c r="L954" s="34" t="n"/>
      <c r="M954" s="39" t="n"/>
      <c r="N954" s="35" t="n"/>
      <c r="O954" s="40" t="str">
        <f>IF($A954="","",MONTH($A954))</f>
        <v/>
      </c>
      <c r="P954" s="40" t="str">
        <f>IF($A954="","",YEAR($A954))</f>
        <v/>
      </c>
      <c r="Q954" s="41" t="str">
        <f>IF($A954="","",DATE(P954,O954,1))</f>
        <v/>
      </c>
      <c r="R954" s="36" t="str">
        <f>IF(OR($A954="",$N954=""),"",IF(AND($C954&lt;&gt;"Transferência",N($I954)&gt;1),$N954/$I954,$N954))</f>
        <v/>
      </c>
      <c r="S954" s="41" t="str">
        <f>IF(OR($A954="",$F954="",$C954&lt;&gt;"Despesa"),"",IF(COUNTIF(Cartoes_Nome,$F954)=0,"",DATE(P954,O954+IF(DAY($A954)&gt;=INDEX(Cartoes_Fech,MATCH($F954,Cartoes_Nome,0)),1,0),1)))</f>
        <v/>
      </c>
      <c r="T954" s="42" t="str">
        <f>IF($A954="","",IF(COUNTIFS(L_Data,$A954,L_Desc,$B954,L_Valor,$N954,L_Tipo,$C954)&gt;1,"⚠ Possível duplicidade",IF(OR(AND($C954="Despesa",COUNTIF(CatD_Nome,$D954)=0),AND($C954="Receita",COUNTIF(CatR_Nome,$D954)=0)),"⚠ Categoria não combina com o tipo",IF(OR($N954="",$C954=""),"⚠ Falta valor ou tipo",""))))</f>
        <v/>
      </c>
      <c r="U954" s="40">
        <f>IF($A954="",0,P954*12+O954)</f>
        <v>0</v>
      </c>
      <c r="V954" s="40">
        <f>IF($A954="",0,U954+MAX(0,N($I954)-MAX(N($H954),1)))</f>
        <v>0</v>
      </c>
      <c r="W954" s="40">
        <f>IF(S954="",0,YEAR(S954)*12+MONTH(S954))</f>
        <v>0</v>
      </c>
      <c r="X954" s="40">
        <f>IF(W954=0,0,W954+V954-U954)</f>
        <v>0</v>
      </c>
      <c r="Y954" s="36">
        <f>IF(W954=0,0,N(R954)*MAX(0,X954-MAX(W954,YEAR(Cfg_Hoje)*12+MONTH(Cfg_Hoje)+IF(DAY(Cfg_Hoje)&gt;=INDEX(Cartoes_Fech,MATCH($F954,Cartoes_Nome,0)),1,0))+1))</f>
        <v>0</v>
      </c>
      <c r="Z954" s="40">
        <f>IF($A954="",0,DAY($A954))</f>
        <v>0</v>
      </c>
      <c r="AA954" s="40">
        <f>IF($A954="",0,WEEKDAY($A954))</f>
        <v>0</v>
      </c>
      <c r="AB954" s="36">
        <f>IF(AND($C954="Despesa",U954&gt;0,U954&lt;=Sel_Idx,V954&gt;=Sel_Idx),N(R954)+ROW()/1000000000,0)</f>
        <v>0</v>
      </c>
      <c r="AC954" s="40">
        <f>IF(AND($C954="Despesa",U954&gt;0,U954&lt;=Sel_Idx,V954&gt;=Sel_Idx),Z954*10000+ROW(),0)</f>
        <v>0</v>
      </c>
      <c r="AD954" s="40">
        <f>IF(AC954=0,0,COUNTIFS(L_CalChave,"&gt;0",L_CalChave,"&lt;"&amp;AC954)+1)</f>
        <v>0</v>
      </c>
    </row>
    <row r="955">
      <c r="A955" s="38" t="n"/>
      <c r="B955" s="39" t="n"/>
      <c r="C955" s="34" t="n"/>
      <c r="D955" s="34" t="n"/>
      <c r="E955" s="34" t="n"/>
      <c r="F955" s="34" t="n"/>
      <c r="G955" s="34" t="n"/>
      <c r="H955" s="37" t="n"/>
      <c r="I955" s="37" t="n"/>
      <c r="J955" s="34" t="n"/>
      <c r="K955" s="34" t="n"/>
      <c r="L955" s="34" t="n"/>
      <c r="M955" s="39" t="n"/>
      <c r="N955" s="35" t="n"/>
      <c r="O955" s="40" t="str">
        <f>IF($A955="","",MONTH($A955))</f>
        <v/>
      </c>
      <c r="P955" s="40" t="str">
        <f>IF($A955="","",YEAR($A955))</f>
        <v/>
      </c>
      <c r="Q955" s="41" t="str">
        <f>IF($A955="","",DATE(P955,O955,1))</f>
        <v/>
      </c>
      <c r="R955" s="36" t="str">
        <f>IF(OR($A955="",$N955=""),"",IF(AND($C955&lt;&gt;"Transferência",N($I955)&gt;1),$N955/$I955,$N955))</f>
        <v/>
      </c>
      <c r="S955" s="41" t="str">
        <f>IF(OR($A955="",$F955="",$C955&lt;&gt;"Despesa"),"",IF(COUNTIF(Cartoes_Nome,$F955)=0,"",DATE(P955,O955+IF(DAY($A955)&gt;=INDEX(Cartoes_Fech,MATCH($F955,Cartoes_Nome,0)),1,0),1)))</f>
        <v/>
      </c>
      <c r="T955" s="42" t="str">
        <f>IF($A955="","",IF(COUNTIFS(L_Data,$A955,L_Desc,$B955,L_Valor,$N955,L_Tipo,$C955)&gt;1,"⚠ Possível duplicidade",IF(OR(AND($C955="Despesa",COUNTIF(CatD_Nome,$D955)=0),AND($C955="Receita",COUNTIF(CatR_Nome,$D955)=0)),"⚠ Categoria não combina com o tipo",IF(OR($N955="",$C955=""),"⚠ Falta valor ou tipo",""))))</f>
        <v/>
      </c>
      <c r="U955" s="40">
        <f>IF($A955="",0,P955*12+O955)</f>
        <v>0</v>
      </c>
      <c r="V955" s="40">
        <f>IF($A955="",0,U955+MAX(0,N($I955)-MAX(N($H955),1)))</f>
        <v>0</v>
      </c>
      <c r="W955" s="40">
        <f>IF(S955="",0,YEAR(S955)*12+MONTH(S955))</f>
        <v>0</v>
      </c>
      <c r="X955" s="40">
        <f>IF(W955=0,0,W955+V955-U955)</f>
        <v>0</v>
      </c>
      <c r="Y955" s="36">
        <f>IF(W955=0,0,N(R955)*MAX(0,X955-MAX(W955,YEAR(Cfg_Hoje)*12+MONTH(Cfg_Hoje)+IF(DAY(Cfg_Hoje)&gt;=INDEX(Cartoes_Fech,MATCH($F955,Cartoes_Nome,0)),1,0))+1))</f>
        <v>0</v>
      </c>
      <c r="Z955" s="40">
        <f>IF($A955="",0,DAY($A955))</f>
        <v>0</v>
      </c>
      <c r="AA955" s="40">
        <f>IF($A955="",0,WEEKDAY($A955))</f>
        <v>0</v>
      </c>
      <c r="AB955" s="36">
        <f>IF(AND($C955="Despesa",U955&gt;0,U955&lt;=Sel_Idx,V955&gt;=Sel_Idx),N(R955)+ROW()/1000000000,0)</f>
        <v>0</v>
      </c>
      <c r="AC955" s="40">
        <f>IF(AND($C955="Despesa",U955&gt;0,U955&lt;=Sel_Idx,V955&gt;=Sel_Idx),Z955*10000+ROW(),0)</f>
        <v>0</v>
      </c>
      <c r="AD955" s="40">
        <f>IF(AC955=0,0,COUNTIFS(L_CalChave,"&gt;0",L_CalChave,"&lt;"&amp;AC955)+1)</f>
        <v>0</v>
      </c>
    </row>
    <row r="956">
      <c r="A956" s="38" t="n"/>
      <c r="B956" s="39" t="n"/>
      <c r="C956" s="34" t="n"/>
      <c r="D956" s="34" t="n"/>
      <c r="E956" s="34" t="n"/>
      <c r="F956" s="34" t="n"/>
      <c r="G956" s="34" t="n"/>
      <c r="H956" s="37" t="n"/>
      <c r="I956" s="37" t="n"/>
      <c r="J956" s="34" t="n"/>
      <c r="K956" s="34" t="n"/>
      <c r="L956" s="34" t="n"/>
      <c r="M956" s="39" t="n"/>
      <c r="N956" s="35" t="n"/>
      <c r="O956" s="40" t="str">
        <f>IF($A956="","",MONTH($A956))</f>
        <v/>
      </c>
      <c r="P956" s="40" t="str">
        <f>IF($A956="","",YEAR($A956))</f>
        <v/>
      </c>
      <c r="Q956" s="41" t="str">
        <f>IF($A956="","",DATE(P956,O956,1))</f>
        <v/>
      </c>
      <c r="R956" s="36" t="str">
        <f>IF(OR($A956="",$N956=""),"",IF(AND($C956&lt;&gt;"Transferência",N($I956)&gt;1),$N956/$I956,$N956))</f>
        <v/>
      </c>
      <c r="S956" s="41" t="str">
        <f>IF(OR($A956="",$F956="",$C956&lt;&gt;"Despesa"),"",IF(COUNTIF(Cartoes_Nome,$F956)=0,"",DATE(P956,O956+IF(DAY($A956)&gt;=INDEX(Cartoes_Fech,MATCH($F956,Cartoes_Nome,0)),1,0),1)))</f>
        <v/>
      </c>
      <c r="T956" s="42" t="str">
        <f>IF($A956="","",IF(COUNTIFS(L_Data,$A956,L_Desc,$B956,L_Valor,$N956,L_Tipo,$C956)&gt;1,"⚠ Possível duplicidade",IF(OR(AND($C956="Despesa",COUNTIF(CatD_Nome,$D956)=0),AND($C956="Receita",COUNTIF(CatR_Nome,$D956)=0)),"⚠ Categoria não combina com o tipo",IF(OR($N956="",$C956=""),"⚠ Falta valor ou tipo",""))))</f>
        <v/>
      </c>
      <c r="U956" s="40">
        <f>IF($A956="",0,P956*12+O956)</f>
        <v>0</v>
      </c>
      <c r="V956" s="40">
        <f>IF($A956="",0,U956+MAX(0,N($I956)-MAX(N($H956),1)))</f>
        <v>0</v>
      </c>
      <c r="W956" s="40">
        <f>IF(S956="",0,YEAR(S956)*12+MONTH(S956))</f>
        <v>0</v>
      </c>
      <c r="X956" s="40">
        <f>IF(W956=0,0,W956+V956-U956)</f>
        <v>0</v>
      </c>
      <c r="Y956" s="36">
        <f>IF(W956=0,0,N(R956)*MAX(0,X956-MAX(W956,YEAR(Cfg_Hoje)*12+MONTH(Cfg_Hoje)+IF(DAY(Cfg_Hoje)&gt;=INDEX(Cartoes_Fech,MATCH($F956,Cartoes_Nome,0)),1,0))+1))</f>
        <v>0</v>
      </c>
      <c r="Z956" s="40">
        <f>IF($A956="",0,DAY($A956))</f>
        <v>0</v>
      </c>
      <c r="AA956" s="40">
        <f>IF($A956="",0,WEEKDAY($A956))</f>
        <v>0</v>
      </c>
      <c r="AB956" s="36">
        <f>IF(AND($C956="Despesa",U956&gt;0,U956&lt;=Sel_Idx,V956&gt;=Sel_Idx),N(R956)+ROW()/1000000000,0)</f>
        <v>0</v>
      </c>
      <c r="AC956" s="40">
        <f>IF(AND($C956="Despesa",U956&gt;0,U956&lt;=Sel_Idx,V956&gt;=Sel_Idx),Z956*10000+ROW(),0)</f>
        <v>0</v>
      </c>
      <c r="AD956" s="40">
        <f>IF(AC956=0,0,COUNTIFS(L_CalChave,"&gt;0",L_CalChave,"&lt;"&amp;AC956)+1)</f>
        <v>0</v>
      </c>
    </row>
    <row r="957">
      <c r="A957" s="38" t="n"/>
      <c r="B957" s="39" t="n"/>
      <c r="C957" s="34" t="n"/>
      <c r="D957" s="34" t="n"/>
      <c r="E957" s="34" t="n"/>
      <c r="F957" s="34" t="n"/>
      <c r="G957" s="34" t="n"/>
      <c r="H957" s="37" t="n"/>
      <c r="I957" s="37" t="n"/>
      <c r="J957" s="34" t="n"/>
      <c r="K957" s="34" t="n"/>
      <c r="L957" s="34" t="n"/>
      <c r="M957" s="39" t="n"/>
      <c r="N957" s="35" t="n"/>
      <c r="O957" s="40" t="str">
        <f>IF($A957="","",MONTH($A957))</f>
        <v/>
      </c>
      <c r="P957" s="40" t="str">
        <f>IF($A957="","",YEAR($A957))</f>
        <v/>
      </c>
      <c r="Q957" s="41" t="str">
        <f>IF($A957="","",DATE(P957,O957,1))</f>
        <v/>
      </c>
      <c r="R957" s="36" t="str">
        <f>IF(OR($A957="",$N957=""),"",IF(AND($C957&lt;&gt;"Transferência",N($I957)&gt;1),$N957/$I957,$N957))</f>
        <v/>
      </c>
      <c r="S957" s="41" t="str">
        <f>IF(OR($A957="",$F957="",$C957&lt;&gt;"Despesa"),"",IF(COUNTIF(Cartoes_Nome,$F957)=0,"",DATE(P957,O957+IF(DAY($A957)&gt;=INDEX(Cartoes_Fech,MATCH($F957,Cartoes_Nome,0)),1,0),1)))</f>
        <v/>
      </c>
      <c r="T957" s="42" t="str">
        <f>IF($A957="","",IF(COUNTIFS(L_Data,$A957,L_Desc,$B957,L_Valor,$N957,L_Tipo,$C957)&gt;1,"⚠ Possível duplicidade",IF(OR(AND($C957="Despesa",COUNTIF(CatD_Nome,$D957)=0),AND($C957="Receita",COUNTIF(CatR_Nome,$D957)=0)),"⚠ Categoria não combina com o tipo",IF(OR($N957="",$C957=""),"⚠ Falta valor ou tipo",""))))</f>
        <v/>
      </c>
      <c r="U957" s="40">
        <f>IF($A957="",0,P957*12+O957)</f>
        <v>0</v>
      </c>
      <c r="V957" s="40">
        <f>IF($A957="",0,U957+MAX(0,N($I957)-MAX(N($H957),1)))</f>
        <v>0</v>
      </c>
      <c r="W957" s="40">
        <f>IF(S957="",0,YEAR(S957)*12+MONTH(S957))</f>
        <v>0</v>
      </c>
      <c r="X957" s="40">
        <f>IF(W957=0,0,W957+V957-U957)</f>
        <v>0</v>
      </c>
      <c r="Y957" s="36">
        <f>IF(W957=0,0,N(R957)*MAX(0,X957-MAX(W957,YEAR(Cfg_Hoje)*12+MONTH(Cfg_Hoje)+IF(DAY(Cfg_Hoje)&gt;=INDEX(Cartoes_Fech,MATCH($F957,Cartoes_Nome,0)),1,0))+1))</f>
        <v>0</v>
      </c>
      <c r="Z957" s="40">
        <f>IF($A957="",0,DAY($A957))</f>
        <v>0</v>
      </c>
      <c r="AA957" s="40">
        <f>IF($A957="",0,WEEKDAY($A957))</f>
        <v>0</v>
      </c>
      <c r="AB957" s="36">
        <f>IF(AND($C957="Despesa",U957&gt;0,U957&lt;=Sel_Idx,V957&gt;=Sel_Idx),N(R957)+ROW()/1000000000,0)</f>
        <v>0</v>
      </c>
      <c r="AC957" s="40">
        <f>IF(AND($C957="Despesa",U957&gt;0,U957&lt;=Sel_Idx,V957&gt;=Sel_Idx),Z957*10000+ROW(),0)</f>
        <v>0</v>
      </c>
      <c r="AD957" s="40">
        <f>IF(AC957=0,0,COUNTIFS(L_CalChave,"&gt;0",L_CalChave,"&lt;"&amp;AC957)+1)</f>
        <v>0</v>
      </c>
    </row>
    <row r="958">
      <c r="A958" s="38" t="n"/>
      <c r="B958" s="39" t="n"/>
      <c r="C958" s="34" t="n"/>
      <c r="D958" s="34" t="n"/>
      <c r="E958" s="34" t="n"/>
      <c r="F958" s="34" t="n"/>
      <c r="G958" s="34" t="n"/>
      <c r="H958" s="37" t="n"/>
      <c r="I958" s="37" t="n"/>
      <c r="J958" s="34" t="n"/>
      <c r="K958" s="34" t="n"/>
      <c r="L958" s="34" t="n"/>
      <c r="M958" s="39" t="n"/>
      <c r="N958" s="35" t="n"/>
      <c r="O958" s="40" t="str">
        <f>IF($A958="","",MONTH($A958))</f>
        <v/>
      </c>
      <c r="P958" s="40" t="str">
        <f>IF($A958="","",YEAR($A958))</f>
        <v/>
      </c>
      <c r="Q958" s="41" t="str">
        <f>IF($A958="","",DATE(P958,O958,1))</f>
        <v/>
      </c>
      <c r="R958" s="36" t="str">
        <f>IF(OR($A958="",$N958=""),"",IF(AND($C958&lt;&gt;"Transferência",N($I958)&gt;1),$N958/$I958,$N958))</f>
        <v/>
      </c>
      <c r="S958" s="41" t="str">
        <f>IF(OR($A958="",$F958="",$C958&lt;&gt;"Despesa"),"",IF(COUNTIF(Cartoes_Nome,$F958)=0,"",DATE(P958,O958+IF(DAY($A958)&gt;=INDEX(Cartoes_Fech,MATCH($F958,Cartoes_Nome,0)),1,0),1)))</f>
        <v/>
      </c>
      <c r="T958" s="42" t="str">
        <f>IF($A958="","",IF(COUNTIFS(L_Data,$A958,L_Desc,$B958,L_Valor,$N958,L_Tipo,$C958)&gt;1,"⚠ Possível duplicidade",IF(OR(AND($C958="Despesa",COUNTIF(CatD_Nome,$D958)=0),AND($C958="Receita",COUNTIF(CatR_Nome,$D958)=0)),"⚠ Categoria não combina com o tipo",IF(OR($N958="",$C958=""),"⚠ Falta valor ou tipo",""))))</f>
        <v/>
      </c>
      <c r="U958" s="40">
        <f>IF($A958="",0,P958*12+O958)</f>
        <v>0</v>
      </c>
      <c r="V958" s="40">
        <f>IF($A958="",0,U958+MAX(0,N($I958)-MAX(N($H958),1)))</f>
        <v>0</v>
      </c>
      <c r="W958" s="40">
        <f>IF(S958="",0,YEAR(S958)*12+MONTH(S958))</f>
        <v>0</v>
      </c>
      <c r="X958" s="40">
        <f>IF(W958=0,0,W958+V958-U958)</f>
        <v>0</v>
      </c>
      <c r="Y958" s="36">
        <f>IF(W958=0,0,N(R958)*MAX(0,X958-MAX(W958,YEAR(Cfg_Hoje)*12+MONTH(Cfg_Hoje)+IF(DAY(Cfg_Hoje)&gt;=INDEX(Cartoes_Fech,MATCH($F958,Cartoes_Nome,0)),1,0))+1))</f>
        <v>0</v>
      </c>
      <c r="Z958" s="40">
        <f>IF($A958="",0,DAY($A958))</f>
        <v>0</v>
      </c>
      <c r="AA958" s="40">
        <f>IF($A958="",0,WEEKDAY($A958))</f>
        <v>0</v>
      </c>
      <c r="AB958" s="36">
        <f>IF(AND($C958="Despesa",U958&gt;0,U958&lt;=Sel_Idx,V958&gt;=Sel_Idx),N(R958)+ROW()/1000000000,0)</f>
        <v>0</v>
      </c>
      <c r="AC958" s="40">
        <f>IF(AND($C958="Despesa",U958&gt;0,U958&lt;=Sel_Idx,V958&gt;=Sel_Idx),Z958*10000+ROW(),0)</f>
        <v>0</v>
      </c>
      <c r="AD958" s="40">
        <f>IF(AC958=0,0,COUNTIFS(L_CalChave,"&gt;0",L_CalChave,"&lt;"&amp;AC958)+1)</f>
        <v>0</v>
      </c>
    </row>
    <row r="959">
      <c r="A959" s="38" t="n"/>
      <c r="B959" s="39" t="n"/>
      <c r="C959" s="34" t="n"/>
      <c r="D959" s="34" t="n"/>
      <c r="E959" s="34" t="n"/>
      <c r="F959" s="34" t="n"/>
      <c r="G959" s="34" t="n"/>
      <c r="H959" s="37" t="n"/>
      <c r="I959" s="37" t="n"/>
      <c r="J959" s="34" t="n"/>
      <c r="K959" s="34" t="n"/>
      <c r="L959" s="34" t="n"/>
      <c r="M959" s="39" t="n"/>
      <c r="N959" s="35" t="n"/>
      <c r="O959" s="40" t="str">
        <f>IF($A959="","",MONTH($A959))</f>
        <v/>
      </c>
      <c r="P959" s="40" t="str">
        <f>IF($A959="","",YEAR($A959))</f>
        <v/>
      </c>
      <c r="Q959" s="41" t="str">
        <f>IF($A959="","",DATE(P959,O959,1))</f>
        <v/>
      </c>
      <c r="R959" s="36" t="str">
        <f>IF(OR($A959="",$N959=""),"",IF(AND($C959&lt;&gt;"Transferência",N($I959)&gt;1),$N959/$I959,$N959))</f>
        <v/>
      </c>
      <c r="S959" s="41" t="str">
        <f>IF(OR($A959="",$F959="",$C959&lt;&gt;"Despesa"),"",IF(COUNTIF(Cartoes_Nome,$F959)=0,"",DATE(P959,O959+IF(DAY($A959)&gt;=INDEX(Cartoes_Fech,MATCH($F959,Cartoes_Nome,0)),1,0),1)))</f>
        <v/>
      </c>
      <c r="T959" s="42" t="str">
        <f>IF($A959="","",IF(COUNTIFS(L_Data,$A959,L_Desc,$B959,L_Valor,$N959,L_Tipo,$C959)&gt;1,"⚠ Possível duplicidade",IF(OR(AND($C959="Despesa",COUNTIF(CatD_Nome,$D959)=0),AND($C959="Receita",COUNTIF(CatR_Nome,$D959)=0)),"⚠ Categoria não combina com o tipo",IF(OR($N959="",$C959=""),"⚠ Falta valor ou tipo",""))))</f>
        <v/>
      </c>
      <c r="U959" s="40">
        <f>IF($A959="",0,P959*12+O959)</f>
        <v>0</v>
      </c>
      <c r="V959" s="40">
        <f>IF($A959="",0,U959+MAX(0,N($I959)-MAX(N($H959),1)))</f>
        <v>0</v>
      </c>
      <c r="W959" s="40">
        <f>IF(S959="",0,YEAR(S959)*12+MONTH(S959))</f>
        <v>0</v>
      </c>
      <c r="X959" s="40">
        <f>IF(W959=0,0,W959+V959-U959)</f>
        <v>0</v>
      </c>
      <c r="Y959" s="36">
        <f>IF(W959=0,0,N(R959)*MAX(0,X959-MAX(W959,YEAR(Cfg_Hoje)*12+MONTH(Cfg_Hoje)+IF(DAY(Cfg_Hoje)&gt;=INDEX(Cartoes_Fech,MATCH($F959,Cartoes_Nome,0)),1,0))+1))</f>
        <v>0</v>
      </c>
      <c r="Z959" s="40">
        <f>IF($A959="",0,DAY($A959))</f>
        <v>0</v>
      </c>
      <c r="AA959" s="40">
        <f>IF($A959="",0,WEEKDAY($A959))</f>
        <v>0</v>
      </c>
      <c r="AB959" s="36">
        <f>IF(AND($C959="Despesa",U959&gt;0,U959&lt;=Sel_Idx,V959&gt;=Sel_Idx),N(R959)+ROW()/1000000000,0)</f>
        <v>0</v>
      </c>
      <c r="AC959" s="40">
        <f>IF(AND($C959="Despesa",U959&gt;0,U959&lt;=Sel_Idx,V959&gt;=Sel_Idx),Z959*10000+ROW(),0)</f>
        <v>0</v>
      </c>
      <c r="AD959" s="40">
        <f>IF(AC959=0,0,COUNTIFS(L_CalChave,"&gt;0",L_CalChave,"&lt;"&amp;AC959)+1)</f>
        <v>0</v>
      </c>
    </row>
    <row r="960">
      <c r="A960" s="38" t="n"/>
      <c r="B960" s="39" t="n"/>
      <c r="C960" s="34" t="n"/>
      <c r="D960" s="34" t="n"/>
      <c r="E960" s="34" t="n"/>
      <c r="F960" s="34" t="n"/>
      <c r="G960" s="34" t="n"/>
      <c r="H960" s="37" t="n"/>
      <c r="I960" s="37" t="n"/>
      <c r="J960" s="34" t="n"/>
      <c r="K960" s="34" t="n"/>
      <c r="L960" s="34" t="n"/>
      <c r="M960" s="39" t="n"/>
      <c r="N960" s="35" t="n"/>
      <c r="O960" s="40" t="str">
        <f>IF($A960="","",MONTH($A960))</f>
        <v/>
      </c>
      <c r="P960" s="40" t="str">
        <f>IF($A960="","",YEAR($A960))</f>
        <v/>
      </c>
      <c r="Q960" s="41" t="str">
        <f>IF($A960="","",DATE(P960,O960,1))</f>
        <v/>
      </c>
      <c r="R960" s="36" t="str">
        <f>IF(OR($A960="",$N960=""),"",IF(AND($C960&lt;&gt;"Transferência",N($I960)&gt;1),$N960/$I960,$N960))</f>
        <v/>
      </c>
      <c r="S960" s="41" t="str">
        <f>IF(OR($A960="",$F960="",$C960&lt;&gt;"Despesa"),"",IF(COUNTIF(Cartoes_Nome,$F960)=0,"",DATE(P960,O960+IF(DAY($A960)&gt;=INDEX(Cartoes_Fech,MATCH($F960,Cartoes_Nome,0)),1,0),1)))</f>
        <v/>
      </c>
      <c r="T960" s="42" t="str">
        <f>IF($A960="","",IF(COUNTIFS(L_Data,$A960,L_Desc,$B960,L_Valor,$N960,L_Tipo,$C960)&gt;1,"⚠ Possível duplicidade",IF(OR(AND($C960="Despesa",COUNTIF(CatD_Nome,$D960)=0),AND($C960="Receita",COUNTIF(CatR_Nome,$D960)=0)),"⚠ Categoria não combina com o tipo",IF(OR($N960="",$C960=""),"⚠ Falta valor ou tipo",""))))</f>
        <v/>
      </c>
      <c r="U960" s="40">
        <f>IF($A960="",0,P960*12+O960)</f>
        <v>0</v>
      </c>
      <c r="V960" s="40">
        <f>IF($A960="",0,U960+MAX(0,N($I960)-MAX(N($H960),1)))</f>
        <v>0</v>
      </c>
      <c r="W960" s="40">
        <f>IF(S960="",0,YEAR(S960)*12+MONTH(S960))</f>
        <v>0</v>
      </c>
      <c r="X960" s="40">
        <f>IF(W960=0,0,W960+V960-U960)</f>
        <v>0</v>
      </c>
      <c r="Y960" s="36">
        <f>IF(W960=0,0,N(R960)*MAX(0,X960-MAX(W960,YEAR(Cfg_Hoje)*12+MONTH(Cfg_Hoje)+IF(DAY(Cfg_Hoje)&gt;=INDEX(Cartoes_Fech,MATCH($F960,Cartoes_Nome,0)),1,0))+1))</f>
        <v>0</v>
      </c>
      <c r="Z960" s="40">
        <f>IF($A960="",0,DAY($A960))</f>
        <v>0</v>
      </c>
      <c r="AA960" s="40">
        <f>IF($A960="",0,WEEKDAY($A960))</f>
        <v>0</v>
      </c>
      <c r="AB960" s="36">
        <f>IF(AND($C960="Despesa",U960&gt;0,U960&lt;=Sel_Idx,V960&gt;=Sel_Idx),N(R960)+ROW()/1000000000,0)</f>
        <v>0</v>
      </c>
      <c r="AC960" s="40">
        <f>IF(AND($C960="Despesa",U960&gt;0,U960&lt;=Sel_Idx,V960&gt;=Sel_Idx),Z960*10000+ROW(),0)</f>
        <v>0</v>
      </c>
      <c r="AD960" s="40">
        <f>IF(AC960=0,0,COUNTIFS(L_CalChave,"&gt;0",L_CalChave,"&lt;"&amp;AC960)+1)</f>
        <v>0</v>
      </c>
    </row>
    <row r="961">
      <c r="A961" s="38" t="n"/>
      <c r="B961" s="39" t="n"/>
      <c r="C961" s="34" t="n"/>
      <c r="D961" s="34" t="n"/>
      <c r="E961" s="34" t="n"/>
      <c r="F961" s="34" t="n"/>
      <c r="G961" s="34" t="n"/>
      <c r="H961" s="37" t="n"/>
      <c r="I961" s="37" t="n"/>
      <c r="J961" s="34" t="n"/>
      <c r="K961" s="34" t="n"/>
      <c r="L961" s="34" t="n"/>
      <c r="M961" s="39" t="n"/>
      <c r="N961" s="35" t="n"/>
      <c r="O961" s="40" t="str">
        <f>IF($A961="","",MONTH($A961))</f>
        <v/>
      </c>
      <c r="P961" s="40" t="str">
        <f>IF($A961="","",YEAR($A961))</f>
        <v/>
      </c>
      <c r="Q961" s="41" t="str">
        <f>IF($A961="","",DATE(P961,O961,1))</f>
        <v/>
      </c>
      <c r="R961" s="36" t="str">
        <f>IF(OR($A961="",$N961=""),"",IF(AND($C961&lt;&gt;"Transferência",N($I961)&gt;1),$N961/$I961,$N961))</f>
        <v/>
      </c>
      <c r="S961" s="41" t="str">
        <f>IF(OR($A961="",$F961="",$C961&lt;&gt;"Despesa"),"",IF(COUNTIF(Cartoes_Nome,$F961)=0,"",DATE(P961,O961+IF(DAY($A961)&gt;=INDEX(Cartoes_Fech,MATCH($F961,Cartoes_Nome,0)),1,0),1)))</f>
        <v/>
      </c>
      <c r="T961" s="42" t="str">
        <f>IF($A961="","",IF(COUNTIFS(L_Data,$A961,L_Desc,$B961,L_Valor,$N961,L_Tipo,$C961)&gt;1,"⚠ Possível duplicidade",IF(OR(AND($C961="Despesa",COUNTIF(CatD_Nome,$D961)=0),AND($C961="Receita",COUNTIF(CatR_Nome,$D961)=0)),"⚠ Categoria não combina com o tipo",IF(OR($N961="",$C961=""),"⚠ Falta valor ou tipo",""))))</f>
        <v/>
      </c>
      <c r="U961" s="40">
        <f>IF($A961="",0,P961*12+O961)</f>
        <v>0</v>
      </c>
      <c r="V961" s="40">
        <f>IF($A961="",0,U961+MAX(0,N($I961)-MAX(N($H961),1)))</f>
        <v>0</v>
      </c>
      <c r="W961" s="40">
        <f>IF(S961="",0,YEAR(S961)*12+MONTH(S961))</f>
        <v>0</v>
      </c>
      <c r="X961" s="40">
        <f>IF(W961=0,0,W961+V961-U961)</f>
        <v>0</v>
      </c>
      <c r="Y961" s="36">
        <f>IF(W961=0,0,N(R961)*MAX(0,X961-MAX(W961,YEAR(Cfg_Hoje)*12+MONTH(Cfg_Hoje)+IF(DAY(Cfg_Hoje)&gt;=INDEX(Cartoes_Fech,MATCH($F961,Cartoes_Nome,0)),1,0))+1))</f>
        <v>0</v>
      </c>
      <c r="Z961" s="40">
        <f>IF($A961="",0,DAY($A961))</f>
        <v>0</v>
      </c>
      <c r="AA961" s="40">
        <f>IF($A961="",0,WEEKDAY($A961))</f>
        <v>0</v>
      </c>
      <c r="AB961" s="36">
        <f>IF(AND($C961="Despesa",U961&gt;0,U961&lt;=Sel_Idx,V961&gt;=Sel_Idx),N(R961)+ROW()/1000000000,0)</f>
        <v>0</v>
      </c>
      <c r="AC961" s="40">
        <f>IF(AND($C961="Despesa",U961&gt;0,U961&lt;=Sel_Idx,V961&gt;=Sel_Idx),Z961*10000+ROW(),0)</f>
        <v>0</v>
      </c>
      <c r="AD961" s="40">
        <f>IF(AC961=0,0,COUNTIFS(L_CalChave,"&gt;0",L_CalChave,"&lt;"&amp;AC961)+1)</f>
        <v>0</v>
      </c>
    </row>
    <row r="962">
      <c r="A962" s="38" t="n"/>
      <c r="B962" s="39" t="n"/>
      <c r="C962" s="34" t="n"/>
      <c r="D962" s="34" t="n"/>
      <c r="E962" s="34" t="n"/>
      <c r="F962" s="34" t="n"/>
      <c r="G962" s="34" t="n"/>
      <c r="H962" s="37" t="n"/>
      <c r="I962" s="37" t="n"/>
      <c r="J962" s="34" t="n"/>
      <c r="K962" s="34" t="n"/>
      <c r="L962" s="34" t="n"/>
      <c r="M962" s="39" t="n"/>
      <c r="N962" s="35" t="n"/>
      <c r="O962" s="40" t="str">
        <f>IF($A962="","",MONTH($A962))</f>
        <v/>
      </c>
      <c r="P962" s="40" t="str">
        <f>IF($A962="","",YEAR($A962))</f>
        <v/>
      </c>
      <c r="Q962" s="41" t="str">
        <f>IF($A962="","",DATE(P962,O962,1))</f>
        <v/>
      </c>
      <c r="R962" s="36" t="str">
        <f>IF(OR($A962="",$N962=""),"",IF(AND($C962&lt;&gt;"Transferência",N($I962)&gt;1),$N962/$I962,$N962))</f>
        <v/>
      </c>
      <c r="S962" s="41" t="str">
        <f>IF(OR($A962="",$F962="",$C962&lt;&gt;"Despesa"),"",IF(COUNTIF(Cartoes_Nome,$F962)=0,"",DATE(P962,O962+IF(DAY($A962)&gt;=INDEX(Cartoes_Fech,MATCH($F962,Cartoes_Nome,0)),1,0),1)))</f>
        <v/>
      </c>
      <c r="T962" s="42" t="str">
        <f>IF($A962="","",IF(COUNTIFS(L_Data,$A962,L_Desc,$B962,L_Valor,$N962,L_Tipo,$C962)&gt;1,"⚠ Possível duplicidade",IF(OR(AND($C962="Despesa",COUNTIF(CatD_Nome,$D962)=0),AND($C962="Receita",COUNTIF(CatR_Nome,$D962)=0)),"⚠ Categoria não combina com o tipo",IF(OR($N962="",$C962=""),"⚠ Falta valor ou tipo",""))))</f>
        <v/>
      </c>
      <c r="U962" s="40">
        <f>IF($A962="",0,P962*12+O962)</f>
        <v>0</v>
      </c>
      <c r="V962" s="40">
        <f>IF($A962="",0,U962+MAX(0,N($I962)-MAX(N($H962),1)))</f>
        <v>0</v>
      </c>
      <c r="W962" s="40">
        <f>IF(S962="",0,YEAR(S962)*12+MONTH(S962))</f>
        <v>0</v>
      </c>
      <c r="X962" s="40">
        <f>IF(W962=0,0,W962+V962-U962)</f>
        <v>0</v>
      </c>
      <c r="Y962" s="36">
        <f>IF(W962=0,0,N(R962)*MAX(0,X962-MAX(W962,YEAR(Cfg_Hoje)*12+MONTH(Cfg_Hoje)+IF(DAY(Cfg_Hoje)&gt;=INDEX(Cartoes_Fech,MATCH($F962,Cartoes_Nome,0)),1,0))+1))</f>
        <v>0</v>
      </c>
      <c r="Z962" s="40">
        <f>IF($A962="",0,DAY($A962))</f>
        <v>0</v>
      </c>
      <c r="AA962" s="40">
        <f>IF($A962="",0,WEEKDAY($A962))</f>
        <v>0</v>
      </c>
      <c r="AB962" s="36">
        <f>IF(AND($C962="Despesa",U962&gt;0,U962&lt;=Sel_Idx,V962&gt;=Sel_Idx),N(R962)+ROW()/1000000000,0)</f>
        <v>0</v>
      </c>
      <c r="AC962" s="40">
        <f>IF(AND($C962="Despesa",U962&gt;0,U962&lt;=Sel_Idx,V962&gt;=Sel_Idx),Z962*10000+ROW(),0)</f>
        <v>0</v>
      </c>
      <c r="AD962" s="40">
        <f>IF(AC962=0,0,COUNTIFS(L_CalChave,"&gt;0",L_CalChave,"&lt;"&amp;AC962)+1)</f>
        <v>0</v>
      </c>
    </row>
    <row r="963">
      <c r="A963" s="38" t="n"/>
      <c r="B963" s="39" t="n"/>
      <c r="C963" s="34" t="n"/>
      <c r="D963" s="34" t="n"/>
      <c r="E963" s="34" t="n"/>
      <c r="F963" s="34" t="n"/>
      <c r="G963" s="34" t="n"/>
      <c r="H963" s="37" t="n"/>
      <c r="I963" s="37" t="n"/>
      <c r="J963" s="34" t="n"/>
      <c r="K963" s="34" t="n"/>
      <c r="L963" s="34" t="n"/>
      <c r="M963" s="39" t="n"/>
      <c r="N963" s="35" t="n"/>
      <c r="O963" s="40" t="str">
        <f>IF($A963="","",MONTH($A963))</f>
        <v/>
      </c>
      <c r="P963" s="40" t="str">
        <f>IF($A963="","",YEAR($A963))</f>
        <v/>
      </c>
      <c r="Q963" s="41" t="str">
        <f>IF($A963="","",DATE(P963,O963,1))</f>
        <v/>
      </c>
      <c r="R963" s="36" t="str">
        <f>IF(OR($A963="",$N963=""),"",IF(AND($C963&lt;&gt;"Transferência",N($I963)&gt;1),$N963/$I963,$N963))</f>
        <v/>
      </c>
      <c r="S963" s="41" t="str">
        <f>IF(OR($A963="",$F963="",$C963&lt;&gt;"Despesa"),"",IF(COUNTIF(Cartoes_Nome,$F963)=0,"",DATE(P963,O963+IF(DAY($A963)&gt;=INDEX(Cartoes_Fech,MATCH($F963,Cartoes_Nome,0)),1,0),1)))</f>
        <v/>
      </c>
      <c r="T963" s="42" t="str">
        <f>IF($A963="","",IF(COUNTIFS(L_Data,$A963,L_Desc,$B963,L_Valor,$N963,L_Tipo,$C963)&gt;1,"⚠ Possível duplicidade",IF(OR(AND($C963="Despesa",COUNTIF(CatD_Nome,$D963)=0),AND($C963="Receita",COUNTIF(CatR_Nome,$D963)=0)),"⚠ Categoria não combina com o tipo",IF(OR($N963="",$C963=""),"⚠ Falta valor ou tipo",""))))</f>
        <v/>
      </c>
      <c r="U963" s="40">
        <f>IF($A963="",0,P963*12+O963)</f>
        <v>0</v>
      </c>
      <c r="V963" s="40">
        <f>IF($A963="",0,U963+MAX(0,N($I963)-MAX(N($H963),1)))</f>
        <v>0</v>
      </c>
      <c r="W963" s="40">
        <f>IF(S963="",0,YEAR(S963)*12+MONTH(S963))</f>
        <v>0</v>
      </c>
      <c r="X963" s="40">
        <f>IF(W963=0,0,W963+V963-U963)</f>
        <v>0</v>
      </c>
      <c r="Y963" s="36">
        <f>IF(W963=0,0,N(R963)*MAX(0,X963-MAX(W963,YEAR(Cfg_Hoje)*12+MONTH(Cfg_Hoje)+IF(DAY(Cfg_Hoje)&gt;=INDEX(Cartoes_Fech,MATCH($F963,Cartoes_Nome,0)),1,0))+1))</f>
        <v>0</v>
      </c>
      <c r="Z963" s="40">
        <f>IF($A963="",0,DAY($A963))</f>
        <v>0</v>
      </c>
      <c r="AA963" s="40">
        <f>IF($A963="",0,WEEKDAY($A963))</f>
        <v>0</v>
      </c>
      <c r="AB963" s="36">
        <f>IF(AND($C963="Despesa",U963&gt;0,U963&lt;=Sel_Idx,V963&gt;=Sel_Idx),N(R963)+ROW()/1000000000,0)</f>
        <v>0</v>
      </c>
      <c r="AC963" s="40">
        <f>IF(AND($C963="Despesa",U963&gt;0,U963&lt;=Sel_Idx,V963&gt;=Sel_Idx),Z963*10000+ROW(),0)</f>
        <v>0</v>
      </c>
      <c r="AD963" s="40">
        <f>IF(AC963=0,0,COUNTIFS(L_CalChave,"&gt;0",L_CalChave,"&lt;"&amp;AC963)+1)</f>
        <v>0</v>
      </c>
    </row>
    <row r="964">
      <c r="A964" s="38" t="n"/>
      <c r="B964" s="39" t="n"/>
      <c r="C964" s="34" t="n"/>
      <c r="D964" s="34" t="n"/>
      <c r="E964" s="34" t="n"/>
      <c r="F964" s="34" t="n"/>
      <c r="G964" s="34" t="n"/>
      <c r="H964" s="37" t="n"/>
      <c r="I964" s="37" t="n"/>
      <c r="J964" s="34" t="n"/>
      <c r="K964" s="34" t="n"/>
      <c r="L964" s="34" t="n"/>
      <c r="M964" s="39" t="n"/>
      <c r="N964" s="35" t="n"/>
      <c r="O964" s="40" t="str">
        <f>IF($A964="","",MONTH($A964))</f>
        <v/>
      </c>
      <c r="P964" s="40" t="str">
        <f>IF($A964="","",YEAR($A964))</f>
        <v/>
      </c>
      <c r="Q964" s="41" t="str">
        <f>IF($A964="","",DATE(P964,O964,1))</f>
        <v/>
      </c>
      <c r="R964" s="36" t="str">
        <f>IF(OR($A964="",$N964=""),"",IF(AND($C964&lt;&gt;"Transferência",N($I964)&gt;1),$N964/$I964,$N964))</f>
        <v/>
      </c>
      <c r="S964" s="41" t="str">
        <f>IF(OR($A964="",$F964="",$C964&lt;&gt;"Despesa"),"",IF(COUNTIF(Cartoes_Nome,$F964)=0,"",DATE(P964,O964+IF(DAY($A964)&gt;=INDEX(Cartoes_Fech,MATCH($F964,Cartoes_Nome,0)),1,0),1)))</f>
        <v/>
      </c>
      <c r="T964" s="42" t="str">
        <f>IF($A964="","",IF(COUNTIFS(L_Data,$A964,L_Desc,$B964,L_Valor,$N964,L_Tipo,$C964)&gt;1,"⚠ Possível duplicidade",IF(OR(AND($C964="Despesa",COUNTIF(CatD_Nome,$D964)=0),AND($C964="Receita",COUNTIF(CatR_Nome,$D964)=0)),"⚠ Categoria não combina com o tipo",IF(OR($N964="",$C964=""),"⚠ Falta valor ou tipo",""))))</f>
        <v/>
      </c>
      <c r="U964" s="40">
        <f>IF($A964="",0,P964*12+O964)</f>
        <v>0</v>
      </c>
      <c r="V964" s="40">
        <f>IF($A964="",0,U964+MAX(0,N($I964)-MAX(N($H964),1)))</f>
        <v>0</v>
      </c>
      <c r="W964" s="40">
        <f>IF(S964="",0,YEAR(S964)*12+MONTH(S964))</f>
        <v>0</v>
      </c>
      <c r="X964" s="40">
        <f>IF(W964=0,0,W964+V964-U964)</f>
        <v>0</v>
      </c>
      <c r="Y964" s="36">
        <f>IF(W964=0,0,N(R964)*MAX(0,X964-MAX(W964,YEAR(Cfg_Hoje)*12+MONTH(Cfg_Hoje)+IF(DAY(Cfg_Hoje)&gt;=INDEX(Cartoes_Fech,MATCH($F964,Cartoes_Nome,0)),1,0))+1))</f>
        <v>0</v>
      </c>
      <c r="Z964" s="40">
        <f>IF($A964="",0,DAY($A964))</f>
        <v>0</v>
      </c>
      <c r="AA964" s="40">
        <f>IF($A964="",0,WEEKDAY($A964))</f>
        <v>0</v>
      </c>
      <c r="AB964" s="36">
        <f>IF(AND($C964="Despesa",U964&gt;0,U964&lt;=Sel_Idx,V964&gt;=Sel_Idx),N(R964)+ROW()/1000000000,0)</f>
        <v>0</v>
      </c>
      <c r="AC964" s="40">
        <f>IF(AND($C964="Despesa",U964&gt;0,U964&lt;=Sel_Idx,V964&gt;=Sel_Idx),Z964*10000+ROW(),0)</f>
        <v>0</v>
      </c>
      <c r="AD964" s="40">
        <f>IF(AC964=0,0,COUNTIFS(L_CalChave,"&gt;0",L_CalChave,"&lt;"&amp;AC964)+1)</f>
        <v>0</v>
      </c>
    </row>
    <row r="965">
      <c r="A965" s="38" t="n"/>
      <c r="B965" s="39" t="n"/>
      <c r="C965" s="34" t="n"/>
      <c r="D965" s="34" t="n"/>
      <c r="E965" s="34" t="n"/>
      <c r="F965" s="34" t="n"/>
      <c r="G965" s="34" t="n"/>
      <c r="H965" s="37" t="n"/>
      <c r="I965" s="37" t="n"/>
      <c r="J965" s="34" t="n"/>
      <c r="K965" s="34" t="n"/>
      <c r="L965" s="34" t="n"/>
      <c r="M965" s="39" t="n"/>
      <c r="N965" s="35" t="n"/>
      <c r="O965" s="40" t="str">
        <f>IF($A965="","",MONTH($A965))</f>
        <v/>
      </c>
      <c r="P965" s="40" t="str">
        <f>IF($A965="","",YEAR($A965))</f>
        <v/>
      </c>
      <c r="Q965" s="41" t="str">
        <f>IF($A965="","",DATE(P965,O965,1))</f>
        <v/>
      </c>
      <c r="R965" s="36" t="str">
        <f>IF(OR($A965="",$N965=""),"",IF(AND($C965&lt;&gt;"Transferência",N($I965)&gt;1),$N965/$I965,$N965))</f>
        <v/>
      </c>
      <c r="S965" s="41" t="str">
        <f>IF(OR($A965="",$F965="",$C965&lt;&gt;"Despesa"),"",IF(COUNTIF(Cartoes_Nome,$F965)=0,"",DATE(P965,O965+IF(DAY($A965)&gt;=INDEX(Cartoes_Fech,MATCH($F965,Cartoes_Nome,0)),1,0),1)))</f>
        <v/>
      </c>
      <c r="T965" s="42" t="str">
        <f>IF($A965="","",IF(COUNTIFS(L_Data,$A965,L_Desc,$B965,L_Valor,$N965,L_Tipo,$C965)&gt;1,"⚠ Possível duplicidade",IF(OR(AND($C965="Despesa",COUNTIF(CatD_Nome,$D965)=0),AND($C965="Receita",COUNTIF(CatR_Nome,$D965)=0)),"⚠ Categoria não combina com o tipo",IF(OR($N965="",$C965=""),"⚠ Falta valor ou tipo",""))))</f>
        <v/>
      </c>
      <c r="U965" s="40">
        <f>IF($A965="",0,P965*12+O965)</f>
        <v>0</v>
      </c>
      <c r="V965" s="40">
        <f>IF($A965="",0,U965+MAX(0,N($I965)-MAX(N($H965),1)))</f>
        <v>0</v>
      </c>
      <c r="W965" s="40">
        <f>IF(S965="",0,YEAR(S965)*12+MONTH(S965))</f>
        <v>0</v>
      </c>
      <c r="X965" s="40">
        <f>IF(W965=0,0,W965+V965-U965)</f>
        <v>0</v>
      </c>
      <c r="Y965" s="36">
        <f>IF(W965=0,0,N(R965)*MAX(0,X965-MAX(W965,YEAR(Cfg_Hoje)*12+MONTH(Cfg_Hoje)+IF(DAY(Cfg_Hoje)&gt;=INDEX(Cartoes_Fech,MATCH($F965,Cartoes_Nome,0)),1,0))+1))</f>
        <v>0</v>
      </c>
      <c r="Z965" s="40">
        <f>IF($A965="",0,DAY($A965))</f>
        <v>0</v>
      </c>
      <c r="AA965" s="40">
        <f>IF($A965="",0,WEEKDAY($A965))</f>
        <v>0</v>
      </c>
      <c r="AB965" s="36">
        <f>IF(AND($C965="Despesa",U965&gt;0,U965&lt;=Sel_Idx,V965&gt;=Sel_Idx),N(R965)+ROW()/1000000000,0)</f>
        <v>0</v>
      </c>
      <c r="AC965" s="40">
        <f>IF(AND($C965="Despesa",U965&gt;0,U965&lt;=Sel_Idx,V965&gt;=Sel_Idx),Z965*10000+ROW(),0)</f>
        <v>0</v>
      </c>
      <c r="AD965" s="40">
        <f>IF(AC965=0,0,COUNTIFS(L_CalChave,"&gt;0",L_CalChave,"&lt;"&amp;AC965)+1)</f>
        <v>0</v>
      </c>
    </row>
    <row r="966">
      <c r="A966" s="38" t="n"/>
      <c r="B966" s="39" t="n"/>
      <c r="C966" s="34" t="n"/>
      <c r="D966" s="34" t="n"/>
      <c r="E966" s="34" t="n"/>
      <c r="F966" s="34" t="n"/>
      <c r="G966" s="34" t="n"/>
      <c r="H966" s="37" t="n"/>
      <c r="I966" s="37" t="n"/>
      <c r="J966" s="34" t="n"/>
      <c r="K966" s="34" t="n"/>
      <c r="L966" s="34" t="n"/>
      <c r="M966" s="39" t="n"/>
      <c r="N966" s="35" t="n"/>
      <c r="O966" s="40" t="str">
        <f>IF($A966="","",MONTH($A966))</f>
        <v/>
      </c>
      <c r="P966" s="40" t="str">
        <f>IF($A966="","",YEAR($A966))</f>
        <v/>
      </c>
      <c r="Q966" s="41" t="str">
        <f>IF($A966="","",DATE(P966,O966,1))</f>
        <v/>
      </c>
      <c r="R966" s="36" t="str">
        <f>IF(OR($A966="",$N966=""),"",IF(AND($C966&lt;&gt;"Transferência",N($I966)&gt;1),$N966/$I966,$N966))</f>
        <v/>
      </c>
      <c r="S966" s="41" t="str">
        <f>IF(OR($A966="",$F966="",$C966&lt;&gt;"Despesa"),"",IF(COUNTIF(Cartoes_Nome,$F966)=0,"",DATE(P966,O966+IF(DAY($A966)&gt;=INDEX(Cartoes_Fech,MATCH($F966,Cartoes_Nome,0)),1,0),1)))</f>
        <v/>
      </c>
      <c r="T966" s="42" t="str">
        <f>IF($A966="","",IF(COUNTIFS(L_Data,$A966,L_Desc,$B966,L_Valor,$N966,L_Tipo,$C966)&gt;1,"⚠ Possível duplicidade",IF(OR(AND($C966="Despesa",COUNTIF(CatD_Nome,$D966)=0),AND($C966="Receita",COUNTIF(CatR_Nome,$D966)=0)),"⚠ Categoria não combina com o tipo",IF(OR($N966="",$C966=""),"⚠ Falta valor ou tipo",""))))</f>
        <v/>
      </c>
      <c r="U966" s="40">
        <f>IF($A966="",0,P966*12+O966)</f>
        <v>0</v>
      </c>
      <c r="V966" s="40">
        <f>IF($A966="",0,U966+MAX(0,N($I966)-MAX(N($H966),1)))</f>
        <v>0</v>
      </c>
      <c r="W966" s="40">
        <f>IF(S966="",0,YEAR(S966)*12+MONTH(S966))</f>
        <v>0</v>
      </c>
      <c r="X966" s="40">
        <f>IF(W966=0,0,W966+V966-U966)</f>
        <v>0</v>
      </c>
      <c r="Y966" s="36">
        <f>IF(W966=0,0,N(R966)*MAX(0,X966-MAX(W966,YEAR(Cfg_Hoje)*12+MONTH(Cfg_Hoje)+IF(DAY(Cfg_Hoje)&gt;=INDEX(Cartoes_Fech,MATCH($F966,Cartoes_Nome,0)),1,0))+1))</f>
        <v>0</v>
      </c>
      <c r="Z966" s="40">
        <f>IF($A966="",0,DAY($A966))</f>
        <v>0</v>
      </c>
      <c r="AA966" s="40">
        <f>IF($A966="",0,WEEKDAY($A966))</f>
        <v>0</v>
      </c>
      <c r="AB966" s="36">
        <f>IF(AND($C966="Despesa",U966&gt;0,U966&lt;=Sel_Idx,V966&gt;=Sel_Idx),N(R966)+ROW()/1000000000,0)</f>
        <v>0</v>
      </c>
      <c r="AC966" s="40">
        <f>IF(AND($C966="Despesa",U966&gt;0,U966&lt;=Sel_Idx,V966&gt;=Sel_Idx),Z966*10000+ROW(),0)</f>
        <v>0</v>
      </c>
      <c r="AD966" s="40">
        <f>IF(AC966=0,0,COUNTIFS(L_CalChave,"&gt;0",L_CalChave,"&lt;"&amp;AC966)+1)</f>
        <v>0</v>
      </c>
    </row>
    <row r="967">
      <c r="A967" s="38" t="n"/>
      <c r="B967" s="39" t="n"/>
      <c r="C967" s="34" t="n"/>
      <c r="D967" s="34" t="n"/>
      <c r="E967" s="34" t="n"/>
      <c r="F967" s="34" t="n"/>
      <c r="G967" s="34" t="n"/>
      <c r="H967" s="37" t="n"/>
      <c r="I967" s="37" t="n"/>
      <c r="J967" s="34" t="n"/>
      <c r="K967" s="34" t="n"/>
      <c r="L967" s="34" t="n"/>
      <c r="M967" s="39" t="n"/>
      <c r="N967" s="35" t="n"/>
      <c r="O967" s="40" t="str">
        <f>IF($A967="","",MONTH($A967))</f>
        <v/>
      </c>
      <c r="P967" s="40" t="str">
        <f>IF($A967="","",YEAR($A967))</f>
        <v/>
      </c>
      <c r="Q967" s="41" t="str">
        <f>IF($A967="","",DATE(P967,O967,1))</f>
        <v/>
      </c>
      <c r="R967" s="36" t="str">
        <f>IF(OR($A967="",$N967=""),"",IF(AND($C967&lt;&gt;"Transferência",N($I967)&gt;1),$N967/$I967,$N967))</f>
        <v/>
      </c>
      <c r="S967" s="41" t="str">
        <f>IF(OR($A967="",$F967="",$C967&lt;&gt;"Despesa"),"",IF(COUNTIF(Cartoes_Nome,$F967)=0,"",DATE(P967,O967+IF(DAY($A967)&gt;=INDEX(Cartoes_Fech,MATCH($F967,Cartoes_Nome,0)),1,0),1)))</f>
        <v/>
      </c>
      <c r="T967" s="42" t="str">
        <f>IF($A967="","",IF(COUNTIFS(L_Data,$A967,L_Desc,$B967,L_Valor,$N967,L_Tipo,$C967)&gt;1,"⚠ Possível duplicidade",IF(OR(AND($C967="Despesa",COUNTIF(CatD_Nome,$D967)=0),AND($C967="Receita",COUNTIF(CatR_Nome,$D967)=0)),"⚠ Categoria não combina com o tipo",IF(OR($N967="",$C967=""),"⚠ Falta valor ou tipo",""))))</f>
        <v/>
      </c>
      <c r="U967" s="40">
        <f>IF($A967="",0,P967*12+O967)</f>
        <v>0</v>
      </c>
      <c r="V967" s="40">
        <f>IF($A967="",0,U967+MAX(0,N($I967)-MAX(N($H967),1)))</f>
        <v>0</v>
      </c>
      <c r="W967" s="40">
        <f>IF(S967="",0,YEAR(S967)*12+MONTH(S967))</f>
        <v>0</v>
      </c>
      <c r="X967" s="40">
        <f>IF(W967=0,0,W967+V967-U967)</f>
        <v>0</v>
      </c>
      <c r="Y967" s="36">
        <f>IF(W967=0,0,N(R967)*MAX(0,X967-MAX(W967,YEAR(Cfg_Hoje)*12+MONTH(Cfg_Hoje)+IF(DAY(Cfg_Hoje)&gt;=INDEX(Cartoes_Fech,MATCH($F967,Cartoes_Nome,0)),1,0))+1))</f>
        <v>0</v>
      </c>
      <c r="Z967" s="40">
        <f>IF($A967="",0,DAY($A967))</f>
        <v>0</v>
      </c>
      <c r="AA967" s="40">
        <f>IF($A967="",0,WEEKDAY($A967))</f>
        <v>0</v>
      </c>
      <c r="AB967" s="36">
        <f>IF(AND($C967="Despesa",U967&gt;0,U967&lt;=Sel_Idx,V967&gt;=Sel_Idx),N(R967)+ROW()/1000000000,0)</f>
        <v>0</v>
      </c>
      <c r="AC967" s="40">
        <f>IF(AND($C967="Despesa",U967&gt;0,U967&lt;=Sel_Idx,V967&gt;=Sel_Idx),Z967*10000+ROW(),0)</f>
        <v>0</v>
      </c>
      <c r="AD967" s="40">
        <f>IF(AC967=0,0,COUNTIFS(L_CalChave,"&gt;0",L_CalChave,"&lt;"&amp;AC967)+1)</f>
        <v>0</v>
      </c>
    </row>
    <row r="968">
      <c r="A968" s="38" t="n"/>
      <c r="B968" s="39" t="n"/>
      <c r="C968" s="34" t="n"/>
      <c r="D968" s="34" t="n"/>
      <c r="E968" s="34" t="n"/>
      <c r="F968" s="34" t="n"/>
      <c r="G968" s="34" t="n"/>
      <c r="H968" s="37" t="n"/>
      <c r="I968" s="37" t="n"/>
      <c r="J968" s="34" t="n"/>
      <c r="K968" s="34" t="n"/>
      <c r="L968" s="34" t="n"/>
      <c r="M968" s="39" t="n"/>
      <c r="N968" s="35" t="n"/>
      <c r="O968" s="40" t="str">
        <f>IF($A968="","",MONTH($A968))</f>
        <v/>
      </c>
      <c r="P968" s="40" t="str">
        <f>IF($A968="","",YEAR($A968))</f>
        <v/>
      </c>
      <c r="Q968" s="41" t="str">
        <f>IF($A968="","",DATE(P968,O968,1))</f>
        <v/>
      </c>
      <c r="R968" s="36" t="str">
        <f>IF(OR($A968="",$N968=""),"",IF(AND($C968&lt;&gt;"Transferência",N($I968)&gt;1),$N968/$I968,$N968))</f>
        <v/>
      </c>
      <c r="S968" s="41" t="str">
        <f>IF(OR($A968="",$F968="",$C968&lt;&gt;"Despesa"),"",IF(COUNTIF(Cartoes_Nome,$F968)=0,"",DATE(P968,O968+IF(DAY($A968)&gt;=INDEX(Cartoes_Fech,MATCH($F968,Cartoes_Nome,0)),1,0),1)))</f>
        <v/>
      </c>
      <c r="T968" s="42" t="str">
        <f>IF($A968="","",IF(COUNTIFS(L_Data,$A968,L_Desc,$B968,L_Valor,$N968,L_Tipo,$C968)&gt;1,"⚠ Possível duplicidade",IF(OR(AND($C968="Despesa",COUNTIF(CatD_Nome,$D968)=0),AND($C968="Receita",COUNTIF(CatR_Nome,$D968)=0)),"⚠ Categoria não combina com o tipo",IF(OR($N968="",$C968=""),"⚠ Falta valor ou tipo",""))))</f>
        <v/>
      </c>
      <c r="U968" s="40">
        <f>IF($A968="",0,P968*12+O968)</f>
        <v>0</v>
      </c>
      <c r="V968" s="40">
        <f>IF($A968="",0,U968+MAX(0,N($I968)-MAX(N($H968),1)))</f>
        <v>0</v>
      </c>
      <c r="W968" s="40">
        <f>IF(S968="",0,YEAR(S968)*12+MONTH(S968))</f>
        <v>0</v>
      </c>
      <c r="X968" s="40">
        <f>IF(W968=0,0,W968+V968-U968)</f>
        <v>0</v>
      </c>
      <c r="Y968" s="36">
        <f>IF(W968=0,0,N(R968)*MAX(0,X968-MAX(W968,YEAR(Cfg_Hoje)*12+MONTH(Cfg_Hoje)+IF(DAY(Cfg_Hoje)&gt;=INDEX(Cartoes_Fech,MATCH($F968,Cartoes_Nome,0)),1,0))+1))</f>
        <v>0</v>
      </c>
      <c r="Z968" s="40">
        <f>IF($A968="",0,DAY($A968))</f>
        <v>0</v>
      </c>
      <c r="AA968" s="40">
        <f>IF($A968="",0,WEEKDAY($A968))</f>
        <v>0</v>
      </c>
      <c r="AB968" s="36">
        <f>IF(AND($C968="Despesa",U968&gt;0,U968&lt;=Sel_Idx,V968&gt;=Sel_Idx),N(R968)+ROW()/1000000000,0)</f>
        <v>0</v>
      </c>
      <c r="AC968" s="40">
        <f>IF(AND($C968="Despesa",U968&gt;0,U968&lt;=Sel_Idx,V968&gt;=Sel_Idx),Z968*10000+ROW(),0)</f>
        <v>0</v>
      </c>
      <c r="AD968" s="40">
        <f>IF(AC968=0,0,COUNTIFS(L_CalChave,"&gt;0",L_CalChave,"&lt;"&amp;AC968)+1)</f>
        <v>0</v>
      </c>
    </row>
    <row r="969">
      <c r="A969" s="38" t="n"/>
      <c r="B969" s="39" t="n"/>
      <c r="C969" s="34" t="n"/>
      <c r="D969" s="34" t="n"/>
      <c r="E969" s="34" t="n"/>
      <c r="F969" s="34" t="n"/>
      <c r="G969" s="34" t="n"/>
      <c r="H969" s="37" t="n"/>
      <c r="I969" s="37" t="n"/>
      <c r="J969" s="34" t="n"/>
      <c r="K969" s="34" t="n"/>
      <c r="L969" s="34" t="n"/>
      <c r="M969" s="39" t="n"/>
      <c r="N969" s="35" t="n"/>
      <c r="O969" s="40" t="str">
        <f>IF($A969="","",MONTH($A969))</f>
        <v/>
      </c>
      <c r="P969" s="40" t="str">
        <f>IF($A969="","",YEAR($A969))</f>
        <v/>
      </c>
      <c r="Q969" s="41" t="str">
        <f>IF($A969="","",DATE(P969,O969,1))</f>
        <v/>
      </c>
      <c r="R969" s="36" t="str">
        <f>IF(OR($A969="",$N969=""),"",IF(AND($C969&lt;&gt;"Transferência",N($I969)&gt;1),$N969/$I969,$N969))</f>
        <v/>
      </c>
      <c r="S969" s="41" t="str">
        <f>IF(OR($A969="",$F969="",$C969&lt;&gt;"Despesa"),"",IF(COUNTIF(Cartoes_Nome,$F969)=0,"",DATE(P969,O969+IF(DAY($A969)&gt;=INDEX(Cartoes_Fech,MATCH($F969,Cartoes_Nome,0)),1,0),1)))</f>
        <v/>
      </c>
      <c r="T969" s="42" t="str">
        <f>IF($A969="","",IF(COUNTIFS(L_Data,$A969,L_Desc,$B969,L_Valor,$N969,L_Tipo,$C969)&gt;1,"⚠ Possível duplicidade",IF(OR(AND($C969="Despesa",COUNTIF(CatD_Nome,$D969)=0),AND($C969="Receita",COUNTIF(CatR_Nome,$D969)=0)),"⚠ Categoria não combina com o tipo",IF(OR($N969="",$C969=""),"⚠ Falta valor ou tipo",""))))</f>
        <v/>
      </c>
      <c r="U969" s="40">
        <f>IF($A969="",0,P969*12+O969)</f>
        <v>0</v>
      </c>
      <c r="V969" s="40">
        <f>IF($A969="",0,U969+MAX(0,N($I969)-MAX(N($H969),1)))</f>
        <v>0</v>
      </c>
      <c r="W969" s="40">
        <f>IF(S969="",0,YEAR(S969)*12+MONTH(S969))</f>
        <v>0</v>
      </c>
      <c r="X969" s="40">
        <f>IF(W969=0,0,W969+V969-U969)</f>
        <v>0</v>
      </c>
      <c r="Y969" s="36">
        <f>IF(W969=0,0,N(R969)*MAX(0,X969-MAX(W969,YEAR(Cfg_Hoje)*12+MONTH(Cfg_Hoje)+IF(DAY(Cfg_Hoje)&gt;=INDEX(Cartoes_Fech,MATCH($F969,Cartoes_Nome,0)),1,0))+1))</f>
        <v>0</v>
      </c>
      <c r="Z969" s="40">
        <f>IF($A969="",0,DAY($A969))</f>
        <v>0</v>
      </c>
      <c r="AA969" s="40">
        <f>IF($A969="",0,WEEKDAY($A969))</f>
        <v>0</v>
      </c>
      <c r="AB969" s="36">
        <f>IF(AND($C969="Despesa",U969&gt;0,U969&lt;=Sel_Idx,V969&gt;=Sel_Idx),N(R969)+ROW()/1000000000,0)</f>
        <v>0</v>
      </c>
      <c r="AC969" s="40">
        <f>IF(AND($C969="Despesa",U969&gt;0,U969&lt;=Sel_Idx,V969&gt;=Sel_Idx),Z969*10000+ROW(),0)</f>
        <v>0</v>
      </c>
      <c r="AD969" s="40">
        <f>IF(AC969=0,0,COUNTIFS(L_CalChave,"&gt;0",L_CalChave,"&lt;"&amp;AC969)+1)</f>
        <v>0</v>
      </c>
    </row>
    <row r="970">
      <c r="A970" s="38" t="n"/>
      <c r="B970" s="39" t="n"/>
      <c r="C970" s="34" t="n"/>
      <c r="D970" s="34" t="n"/>
      <c r="E970" s="34" t="n"/>
      <c r="F970" s="34" t="n"/>
      <c r="G970" s="34" t="n"/>
      <c r="H970" s="37" t="n"/>
      <c r="I970" s="37" t="n"/>
      <c r="J970" s="34" t="n"/>
      <c r="K970" s="34" t="n"/>
      <c r="L970" s="34" t="n"/>
      <c r="M970" s="39" t="n"/>
      <c r="N970" s="35" t="n"/>
      <c r="O970" s="40" t="str">
        <f>IF($A970="","",MONTH($A970))</f>
        <v/>
      </c>
      <c r="P970" s="40" t="str">
        <f>IF($A970="","",YEAR($A970))</f>
        <v/>
      </c>
      <c r="Q970" s="41" t="str">
        <f>IF($A970="","",DATE(P970,O970,1))</f>
        <v/>
      </c>
      <c r="R970" s="36" t="str">
        <f>IF(OR($A970="",$N970=""),"",IF(AND($C970&lt;&gt;"Transferência",N($I970)&gt;1),$N970/$I970,$N970))</f>
        <v/>
      </c>
      <c r="S970" s="41" t="str">
        <f>IF(OR($A970="",$F970="",$C970&lt;&gt;"Despesa"),"",IF(COUNTIF(Cartoes_Nome,$F970)=0,"",DATE(P970,O970+IF(DAY($A970)&gt;=INDEX(Cartoes_Fech,MATCH($F970,Cartoes_Nome,0)),1,0),1)))</f>
        <v/>
      </c>
      <c r="T970" s="42" t="str">
        <f>IF($A970="","",IF(COUNTIFS(L_Data,$A970,L_Desc,$B970,L_Valor,$N970,L_Tipo,$C970)&gt;1,"⚠ Possível duplicidade",IF(OR(AND($C970="Despesa",COUNTIF(CatD_Nome,$D970)=0),AND($C970="Receita",COUNTIF(CatR_Nome,$D970)=0)),"⚠ Categoria não combina com o tipo",IF(OR($N970="",$C970=""),"⚠ Falta valor ou tipo",""))))</f>
        <v/>
      </c>
      <c r="U970" s="40">
        <f>IF($A970="",0,P970*12+O970)</f>
        <v>0</v>
      </c>
      <c r="V970" s="40">
        <f>IF($A970="",0,U970+MAX(0,N($I970)-MAX(N($H970),1)))</f>
        <v>0</v>
      </c>
      <c r="W970" s="40">
        <f>IF(S970="",0,YEAR(S970)*12+MONTH(S970))</f>
        <v>0</v>
      </c>
      <c r="X970" s="40">
        <f>IF(W970=0,0,W970+V970-U970)</f>
        <v>0</v>
      </c>
      <c r="Y970" s="36">
        <f>IF(W970=0,0,N(R970)*MAX(0,X970-MAX(W970,YEAR(Cfg_Hoje)*12+MONTH(Cfg_Hoje)+IF(DAY(Cfg_Hoje)&gt;=INDEX(Cartoes_Fech,MATCH($F970,Cartoes_Nome,0)),1,0))+1))</f>
        <v>0</v>
      </c>
      <c r="Z970" s="40">
        <f>IF($A970="",0,DAY($A970))</f>
        <v>0</v>
      </c>
      <c r="AA970" s="40">
        <f>IF($A970="",0,WEEKDAY($A970))</f>
        <v>0</v>
      </c>
      <c r="AB970" s="36">
        <f>IF(AND($C970="Despesa",U970&gt;0,U970&lt;=Sel_Idx,V970&gt;=Sel_Idx),N(R970)+ROW()/1000000000,0)</f>
        <v>0</v>
      </c>
      <c r="AC970" s="40">
        <f>IF(AND($C970="Despesa",U970&gt;0,U970&lt;=Sel_Idx,V970&gt;=Sel_Idx),Z970*10000+ROW(),0)</f>
        <v>0</v>
      </c>
      <c r="AD970" s="40">
        <f>IF(AC970=0,0,COUNTIFS(L_CalChave,"&gt;0",L_CalChave,"&lt;"&amp;AC970)+1)</f>
        <v>0</v>
      </c>
    </row>
    <row r="971">
      <c r="A971" s="38" t="n"/>
      <c r="B971" s="39" t="n"/>
      <c r="C971" s="34" t="n"/>
      <c r="D971" s="34" t="n"/>
      <c r="E971" s="34" t="n"/>
      <c r="F971" s="34" t="n"/>
      <c r="G971" s="34" t="n"/>
      <c r="H971" s="37" t="n"/>
      <c r="I971" s="37" t="n"/>
      <c r="J971" s="34" t="n"/>
      <c r="K971" s="34" t="n"/>
      <c r="L971" s="34" t="n"/>
      <c r="M971" s="39" t="n"/>
      <c r="N971" s="35" t="n"/>
      <c r="O971" s="40" t="str">
        <f>IF($A971="","",MONTH($A971))</f>
        <v/>
      </c>
      <c r="P971" s="40" t="str">
        <f>IF($A971="","",YEAR($A971))</f>
        <v/>
      </c>
      <c r="Q971" s="41" t="str">
        <f>IF($A971="","",DATE(P971,O971,1))</f>
        <v/>
      </c>
      <c r="R971" s="36" t="str">
        <f>IF(OR($A971="",$N971=""),"",IF(AND($C971&lt;&gt;"Transferência",N($I971)&gt;1),$N971/$I971,$N971))</f>
        <v/>
      </c>
      <c r="S971" s="41" t="str">
        <f>IF(OR($A971="",$F971="",$C971&lt;&gt;"Despesa"),"",IF(COUNTIF(Cartoes_Nome,$F971)=0,"",DATE(P971,O971+IF(DAY($A971)&gt;=INDEX(Cartoes_Fech,MATCH($F971,Cartoes_Nome,0)),1,0),1)))</f>
        <v/>
      </c>
      <c r="T971" s="42" t="str">
        <f>IF($A971="","",IF(COUNTIFS(L_Data,$A971,L_Desc,$B971,L_Valor,$N971,L_Tipo,$C971)&gt;1,"⚠ Possível duplicidade",IF(OR(AND($C971="Despesa",COUNTIF(CatD_Nome,$D971)=0),AND($C971="Receita",COUNTIF(CatR_Nome,$D971)=0)),"⚠ Categoria não combina com o tipo",IF(OR($N971="",$C971=""),"⚠ Falta valor ou tipo",""))))</f>
        <v/>
      </c>
      <c r="U971" s="40">
        <f>IF($A971="",0,P971*12+O971)</f>
        <v>0</v>
      </c>
      <c r="V971" s="40">
        <f>IF($A971="",0,U971+MAX(0,N($I971)-MAX(N($H971),1)))</f>
        <v>0</v>
      </c>
      <c r="W971" s="40">
        <f>IF(S971="",0,YEAR(S971)*12+MONTH(S971))</f>
        <v>0</v>
      </c>
      <c r="X971" s="40">
        <f>IF(W971=0,0,W971+V971-U971)</f>
        <v>0</v>
      </c>
      <c r="Y971" s="36">
        <f>IF(W971=0,0,N(R971)*MAX(0,X971-MAX(W971,YEAR(Cfg_Hoje)*12+MONTH(Cfg_Hoje)+IF(DAY(Cfg_Hoje)&gt;=INDEX(Cartoes_Fech,MATCH($F971,Cartoes_Nome,0)),1,0))+1))</f>
        <v>0</v>
      </c>
      <c r="Z971" s="40">
        <f>IF($A971="",0,DAY($A971))</f>
        <v>0</v>
      </c>
      <c r="AA971" s="40">
        <f>IF($A971="",0,WEEKDAY($A971))</f>
        <v>0</v>
      </c>
      <c r="AB971" s="36">
        <f>IF(AND($C971="Despesa",U971&gt;0,U971&lt;=Sel_Idx,V971&gt;=Sel_Idx),N(R971)+ROW()/1000000000,0)</f>
        <v>0</v>
      </c>
      <c r="AC971" s="40">
        <f>IF(AND($C971="Despesa",U971&gt;0,U971&lt;=Sel_Idx,V971&gt;=Sel_Idx),Z971*10000+ROW(),0)</f>
        <v>0</v>
      </c>
      <c r="AD971" s="40">
        <f>IF(AC971=0,0,COUNTIFS(L_CalChave,"&gt;0",L_CalChave,"&lt;"&amp;AC971)+1)</f>
        <v>0</v>
      </c>
    </row>
    <row r="972">
      <c r="A972" s="38" t="n"/>
      <c r="B972" s="39" t="n"/>
      <c r="C972" s="34" t="n"/>
      <c r="D972" s="34" t="n"/>
      <c r="E972" s="34" t="n"/>
      <c r="F972" s="34" t="n"/>
      <c r="G972" s="34" t="n"/>
      <c r="H972" s="37" t="n"/>
      <c r="I972" s="37" t="n"/>
      <c r="J972" s="34" t="n"/>
      <c r="K972" s="34" t="n"/>
      <c r="L972" s="34" t="n"/>
      <c r="M972" s="39" t="n"/>
      <c r="N972" s="35" t="n"/>
      <c r="O972" s="40" t="str">
        <f>IF($A972="","",MONTH($A972))</f>
        <v/>
      </c>
      <c r="P972" s="40" t="str">
        <f>IF($A972="","",YEAR($A972))</f>
        <v/>
      </c>
      <c r="Q972" s="41" t="str">
        <f>IF($A972="","",DATE(P972,O972,1))</f>
        <v/>
      </c>
      <c r="R972" s="36" t="str">
        <f>IF(OR($A972="",$N972=""),"",IF(AND($C972&lt;&gt;"Transferência",N($I972)&gt;1),$N972/$I972,$N972))</f>
        <v/>
      </c>
      <c r="S972" s="41" t="str">
        <f>IF(OR($A972="",$F972="",$C972&lt;&gt;"Despesa"),"",IF(COUNTIF(Cartoes_Nome,$F972)=0,"",DATE(P972,O972+IF(DAY($A972)&gt;=INDEX(Cartoes_Fech,MATCH($F972,Cartoes_Nome,0)),1,0),1)))</f>
        <v/>
      </c>
      <c r="T972" s="42" t="str">
        <f>IF($A972="","",IF(COUNTIFS(L_Data,$A972,L_Desc,$B972,L_Valor,$N972,L_Tipo,$C972)&gt;1,"⚠ Possível duplicidade",IF(OR(AND($C972="Despesa",COUNTIF(CatD_Nome,$D972)=0),AND($C972="Receita",COUNTIF(CatR_Nome,$D972)=0)),"⚠ Categoria não combina com o tipo",IF(OR($N972="",$C972=""),"⚠ Falta valor ou tipo",""))))</f>
        <v/>
      </c>
      <c r="U972" s="40">
        <f>IF($A972="",0,P972*12+O972)</f>
        <v>0</v>
      </c>
      <c r="V972" s="40">
        <f>IF($A972="",0,U972+MAX(0,N($I972)-MAX(N($H972),1)))</f>
        <v>0</v>
      </c>
      <c r="W972" s="40">
        <f>IF(S972="",0,YEAR(S972)*12+MONTH(S972))</f>
        <v>0</v>
      </c>
      <c r="X972" s="40">
        <f>IF(W972=0,0,W972+V972-U972)</f>
        <v>0</v>
      </c>
      <c r="Y972" s="36">
        <f>IF(W972=0,0,N(R972)*MAX(0,X972-MAX(W972,YEAR(Cfg_Hoje)*12+MONTH(Cfg_Hoje)+IF(DAY(Cfg_Hoje)&gt;=INDEX(Cartoes_Fech,MATCH($F972,Cartoes_Nome,0)),1,0))+1))</f>
        <v>0</v>
      </c>
      <c r="Z972" s="40">
        <f>IF($A972="",0,DAY($A972))</f>
        <v>0</v>
      </c>
      <c r="AA972" s="40">
        <f>IF($A972="",0,WEEKDAY($A972))</f>
        <v>0</v>
      </c>
      <c r="AB972" s="36">
        <f>IF(AND($C972="Despesa",U972&gt;0,U972&lt;=Sel_Idx,V972&gt;=Sel_Idx),N(R972)+ROW()/1000000000,0)</f>
        <v>0</v>
      </c>
      <c r="AC972" s="40">
        <f>IF(AND($C972="Despesa",U972&gt;0,U972&lt;=Sel_Idx,V972&gt;=Sel_Idx),Z972*10000+ROW(),0)</f>
        <v>0</v>
      </c>
      <c r="AD972" s="40">
        <f>IF(AC972=0,0,COUNTIFS(L_CalChave,"&gt;0",L_CalChave,"&lt;"&amp;AC972)+1)</f>
        <v>0</v>
      </c>
    </row>
    <row r="973">
      <c r="A973" s="38" t="n"/>
      <c r="B973" s="39" t="n"/>
      <c r="C973" s="34" t="n"/>
      <c r="D973" s="34" t="n"/>
      <c r="E973" s="34" t="n"/>
      <c r="F973" s="34" t="n"/>
      <c r="G973" s="34" t="n"/>
      <c r="H973" s="37" t="n"/>
      <c r="I973" s="37" t="n"/>
      <c r="J973" s="34" t="n"/>
      <c r="K973" s="34" t="n"/>
      <c r="L973" s="34" t="n"/>
      <c r="M973" s="39" t="n"/>
      <c r="N973" s="35" t="n"/>
      <c r="O973" s="40" t="str">
        <f>IF($A973="","",MONTH($A973))</f>
        <v/>
      </c>
      <c r="P973" s="40" t="str">
        <f>IF($A973="","",YEAR($A973))</f>
        <v/>
      </c>
      <c r="Q973" s="41" t="str">
        <f>IF($A973="","",DATE(P973,O973,1))</f>
        <v/>
      </c>
      <c r="R973" s="36" t="str">
        <f>IF(OR($A973="",$N973=""),"",IF(AND($C973&lt;&gt;"Transferência",N($I973)&gt;1),$N973/$I973,$N973))</f>
        <v/>
      </c>
      <c r="S973" s="41" t="str">
        <f>IF(OR($A973="",$F973="",$C973&lt;&gt;"Despesa"),"",IF(COUNTIF(Cartoes_Nome,$F973)=0,"",DATE(P973,O973+IF(DAY($A973)&gt;=INDEX(Cartoes_Fech,MATCH($F973,Cartoes_Nome,0)),1,0),1)))</f>
        <v/>
      </c>
      <c r="T973" s="42" t="str">
        <f>IF($A973="","",IF(COUNTIFS(L_Data,$A973,L_Desc,$B973,L_Valor,$N973,L_Tipo,$C973)&gt;1,"⚠ Possível duplicidade",IF(OR(AND($C973="Despesa",COUNTIF(CatD_Nome,$D973)=0),AND($C973="Receita",COUNTIF(CatR_Nome,$D973)=0)),"⚠ Categoria não combina com o tipo",IF(OR($N973="",$C973=""),"⚠ Falta valor ou tipo",""))))</f>
        <v/>
      </c>
      <c r="U973" s="40">
        <f>IF($A973="",0,P973*12+O973)</f>
        <v>0</v>
      </c>
      <c r="V973" s="40">
        <f>IF($A973="",0,U973+MAX(0,N($I973)-MAX(N($H973),1)))</f>
        <v>0</v>
      </c>
      <c r="W973" s="40">
        <f>IF(S973="",0,YEAR(S973)*12+MONTH(S973))</f>
        <v>0</v>
      </c>
      <c r="X973" s="40">
        <f>IF(W973=0,0,W973+V973-U973)</f>
        <v>0</v>
      </c>
      <c r="Y973" s="36">
        <f>IF(W973=0,0,N(R973)*MAX(0,X973-MAX(W973,YEAR(Cfg_Hoje)*12+MONTH(Cfg_Hoje)+IF(DAY(Cfg_Hoje)&gt;=INDEX(Cartoes_Fech,MATCH($F973,Cartoes_Nome,0)),1,0))+1))</f>
        <v>0</v>
      </c>
      <c r="Z973" s="40">
        <f>IF($A973="",0,DAY($A973))</f>
        <v>0</v>
      </c>
      <c r="AA973" s="40">
        <f>IF($A973="",0,WEEKDAY($A973))</f>
        <v>0</v>
      </c>
      <c r="AB973" s="36">
        <f>IF(AND($C973="Despesa",U973&gt;0,U973&lt;=Sel_Idx,V973&gt;=Sel_Idx),N(R973)+ROW()/1000000000,0)</f>
        <v>0</v>
      </c>
      <c r="AC973" s="40">
        <f>IF(AND($C973="Despesa",U973&gt;0,U973&lt;=Sel_Idx,V973&gt;=Sel_Idx),Z973*10000+ROW(),0)</f>
        <v>0</v>
      </c>
      <c r="AD973" s="40">
        <f>IF(AC973=0,0,COUNTIFS(L_CalChave,"&gt;0",L_CalChave,"&lt;"&amp;AC973)+1)</f>
        <v>0</v>
      </c>
    </row>
    <row r="974">
      <c r="A974" s="38" t="n"/>
      <c r="B974" s="39" t="n"/>
      <c r="C974" s="34" t="n"/>
      <c r="D974" s="34" t="n"/>
      <c r="E974" s="34" t="n"/>
      <c r="F974" s="34" t="n"/>
      <c r="G974" s="34" t="n"/>
      <c r="H974" s="37" t="n"/>
      <c r="I974" s="37" t="n"/>
      <c r="J974" s="34" t="n"/>
      <c r="K974" s="34" t="n"/>
      <c r="L974" s="34" t="n"/>
      <c r="M974" s="39" t="n"/>
      <c r="N974" s="35" t="n"/>
      <c r="O974" s="40" t="str">
        <f>IF($A974="","",MONTH($A974))</f>
        <v/>
      </c>
      <c r="P974" s="40" t="str">
        <f>IF($A974="","",YEAR($A974))</f>
        <v/>
      </c>
      <c r="Q974" s="41" t="str">
        <f>IF($A974="","",DATE(P974,O974,1))</f>
        <v/>
      </c>
      <c r="R974" s="36" t="str">
        <f>IF(OR($A974="",$N974=""),"",IF(AND($C974&lt;&gt;"Transferência",N($I974)&gt;1),$N974/$I974,$N974))</f>
        <v/>
      </c>
      <c r="S974" s="41" t="str">
        <f>IF(OR($A974="",$F974="",$C974&lt;&gt;"Despesa"),"",IF(COUNTIF(Cartoes_Nome,$F974)=0,"",DATE(P974,O974+IF(DAY($A974)&gt;=INDEX(Cartoes_Fech,MATCH($F974,Cartoes_Nome,0)),1,0),1)))</f>
        <v/>
      </c>
      <c r="T974" s="42" t="str">
        <f>IF($A974="","",IF(COUNTIFS(L_Data,$A974,L_Desc,$B974,L_Valor,$N974,L_Tipo,$C974)&gt;1,"⚠ Possível duplicidade",IF(OR(AND($C974="Despesa",COUNTIF(CatD_Nome,$D974)=0),AND($C974="Receita",COUNTIF(CatR_Nome,$D974)=0)),"⚠ Categoria não combina com o tipo",IF(OR($N974="",$C974=""),"⚠ Falta valor ou tipo",""))))</f>
        <v/>
      </c>
      <c r="U974" s="40">
        <f>IF($A974="",0,P974*12+O974)</f>
        <v>0</v>
      </c>
      <c r="V974" s="40">
        <f>IF($A974="",0,U974+MAX(0,N($I974)-MAX(N($H974),1)))</f>
        <v>0</v>
      </c>
      <c r="W974" s="40">
        <f>IF(S974="",0,YEAR(S974)*12+MONTH(S974))</f>
        <v>0</v>
      </c>
      <c r="X974" s="40">
        <f>IF(W974=0,0,W974+V974-U974)</f>
        <v>0</v>
      </c>
      <c r="Y974" s="36">
        <f>IF(W974=0,0,N(R974)*MAX(0,X974-MAX(W974,YEAR(Cfg_Hoje)*12+MONTH(Cfg_Hoje)+IF(DAY(Cfg_Hoje)&gt;=INDEX(Cartoes_Fech,MATCH($F974,Cartoes_Nome,0)),1,0))+1))</f>
        <v>0</v>
      </c>
      <c r="Z974" s="40">
        <f>IF($A974="",0,DAY($A974))</f>
        <v>0</v>
      </c>
      <c r="AA974" s="40">
        <f>IF($A974="",0,WEEKDAY($A974))</f>
        <v>0</v>
      </c>
      <c r="AB974" s="36">
        <f>IF(AND($C974="Despesa",U974&gt;0,U974&lt;=Sel_Idx,V974&gt;=Sel_Idx),N(R974)+ROW()/1000000000,0)</f>
        <v>0</v>
      </c>
      <c r="AC974" s="40">
        <f>IF(AND($C974="Despesa",U974&gt;0,U974&lt;=Sel_Idx,V974&gt;=Sel_Idx),Z974*10000+ROW(),0)</f>
        <v>0</v>
      </c>
      <c r="AD974" s="40">
        <f>IF(AC974=0,0,COUNTIFS(L_CalChave,"&gt;0",L_CalChave,"&lt;"&amp;AC974)+1)</f>
        <v>0</v>
      </c>
    </row>
    <row r="975">
      <c r="A975" s="38" t="n"/>
      <c r="B975" s="39" t="n"/>
      <c r="C975" s="34" t="n"/>
      <c r="D975" s="34" t="n"/>
      <c r="E975" s="34" t="n"/>
      <c r="F975" s="34" t="n"/>
      <c r="G975" s="34" t="n"/>
      <c r="H975" s="37" t="n"/>
      <c r="I975" s="37" t="n"/>
      <c r="J975" s="34" t="n"/>
      <c r="K975" s="34" t="n"/>
      <c r="L975" s="34" t="n"/>
      <c r="M975" s="39" t="n"/>
      <c r="N975" s="35" t="n"/>
      <c r="O975" s="40" t="str">
        <f>IF($A975="","",MONTH($A975))</f>
        <v/>
      </c>
      <c r="P975" s="40" t="str">
        <f>IF($A975="","",YEAR($A975))</f>
        <v/>
      </c>
      <c r="Q975" s="41" t="str">
        <f>IF($A975="","",DATE(P975,O975,1))</f>
        <v/>
      </c>
      <c r="R975" s="36" t="str">
        <f>IF(OR($A975="",$N975=""),"",IF(AND($C975&lt;&gt;"Transferência",N($I975)&gt;1),$N975/$I975,$N975))</f>
        <v/>
      </c>
      <c r="S975" s="41" t="str">
        <f>IF(OR($A975="",$F975="",$C975&lt;&gt;"Despesa"),"",IF(COUNTIF(Cartoes_Nome,$F975)=0,"",DATE(P975,O975+IF(DAY($A975)&gt;=INDEX(Cartoes_Fech,MATCH($F975,Cartoes_Nome,0)),1,0),1)))</f>
        <v/>
      </c>
      <c r="T975" s="42" t="str">
        <f>IF($A975="","",IF(COUNTIFS(L_Data,$A975,L_Desc,$B975,L_Valor,$N975,L_Tipo,$C975)&gt;1,"⚠ Possível duplicidade",IF(OR(AND($C975="Despesa",COUNTIF(CatD_Nome,$D975)=0),AND($C975="Receita",COUNTIF(CatR_Nome,$D975)=0)),"⚠ Categoria não combina com o tipo",IF(OR($N975="",$C975=""),"⚠ Falta valor ou tipo",""))))</f>
        <v/>
      </c>
      <c r="U975" s="40">
        <f>IF($A975="",0,P975*12+O975)</f>
        <v>0</v>
      </c>
      <c r="V975" s="40">
        <f>IF($A975="",0,U975+MAX(0,N($I975)-MAX(N($H975),1)))</f>
        <v>0</v>
      </c>
      <c r="W975" s="40">
        <f>IF(S975="",0,YEAR(S975)*12+MONTH(S975))</f>
        <v>0</v>
      </c>
      <c r="X975" s="40">
        <f>IF(W975=0,0,W975+V975-U975)</f>
        <v>0</v>
      </c>
      <c r="Y975" s="36">
        <f>IF(W975=0,0,N(R975)*MAX(0,X975-MAX(W975,YEAR(Cfg_Hoje)*12+MONTH(Cfg_Hoje)+IF(DAY(Cfg_Hoje)&gt;=INDEX(Cartoes_Fech,MATCH($F975,Cartoes_Nome,0)),1,0))+1))</f>
        <v>0</v>
      </c>
      <c r="Z975" s="40">
        <f>IF($A975="",0,DAY($A975))</f>
        <v>0</v>
      </c>
      <c r="AA975" s="40">
        <f>IF($A975="",0,WEEKDAY($A975))</f>
        <v>0</v>
      </c>
      <c r="AB975" s="36">
        <f>IF(AND($C975="Despesa",U975&gt;0,U975&lt;=Sel_Idx,V975&gt;=Sel_Idx),N(R975)+ROW()/1000000000,0)</f>
        <v>0</v>
      </c>
      <c r="AC975" s="40">
        <f>IF(AND($C975="Despesa",U975&gt;0,U975&lt;=Sel_Idx,V975&gt;=Sel_Idx),Z975*10000+ROW(),0)</f>
        <v>0</v>
      </c>
      <c r="AD975" s="40">
        <f>IF(AC975=0,0,COUNTIFS(L_CalChave,"&gt;0",L_CalChave,"&lt;"&amp;AC975)+1)</f>
        <v>0</v>
      </c>
    </row>
    <row r="976">
      <c r="A976" s="38" t="n"/>
      <c r="B976" s="39" t="n"/>
      <c r="C976" s="34" t="n"/>
      <c r="D976" s="34" t="n"/>
      <c r="E976" s="34" t="n"/>
      <c r="F976" s="34" t="n"/>
      <c r="G976" s="34" t="n"/>
      <c r="H976" s="37" t="n"/>
      <c r="I976" s="37" t="n"/>
      <c r="J976" s="34" t="n"/>
      <c r="K976" s="34" t="n"/>
      <c r="L976" s="34" t="n"/>
      <c r="M976" s="39" t="n"/>
      <c r="N976" s="35" t="n"/>
      <c r="O976" s="40" t="str">
        <f>IF($A976="","",MONTH($A976))</f>
        <v/>
      </c>
      <c r="P976" s="40" t="str">
        <f>IF($A976="","",YEAR($A976))</f>
        <v/>
      </c>
      <c r="Q976" s="41" t="str">
        <f>IF($A976="","",DATE(P976,O976,1))</f>
        <v/>
      </c>
      <c r="R976" s="36" t="str">
        <f>IF(OR($A976="",$N976=""),"",IF(AND($C976&lt;&gt;"Transferência",N($I976)&gt;1),$N976/$I976,$N976))</f>
        <v/>
      </c>
      <c r="S976" s="41" t="str">
        <f>IF(OR($A976="",$F976="",$C976&lt;&gt;"Despesa"),"",IF(COUNTIF(Cartoes_Nome,$F976)=0,"",DATE(P976,O976+IF(DAY($A976)&gt;=INDEX(Cartoes_Fech,MATCH($F976,Cartoes_Nome,0)),1,0),1)))</f>
        <v/>
      </c>
      <c r="T976" s="42" t="str">
        <f>IF($A976="","",IF(COUNTIFS(L_Data,$A976,L_Desc,$B976,L_Valor,$N976,L_Tipo,$C976)&gt;1,"⚠ Possível duplicidade",IF(OR(AND($C976="Despesa",COUNTIF(CatD_Nome,$D976)=0),AND($C976="Receita",COUNTIF(CatR_Nome,$D976)=0)),"⚠ Categoria não combina com o tipo",IF(OR($N976="",$C976=""),"⚠ Falta valor ou tipo",""))))</f>
        <v/>
      </c>
      <c r="U976" s="40">
        <f>IF($A976="",0,P976*12+O976)</f>
        <v>0</v>
      </c>
      <c r="V976" s="40">
        <f>IF($A976="",0,U976+MAX(0,N($I976)-MAX(N($H976),1)))</f>
        <v>0</v>
      </c>
      <c r="W976" s="40">
        <f>IF(S976="",0,YEAR(S976)*12+MONTH(S976))</f>
        <v>0</v>
      </c>
      <c r="X976" s="40">
        <f>IF(W976=0,0,W976+V976-U976)</f>
        <v>0</v>
      </c>
      <c r="Y976" s="36">
        <f>IF(W976=0,0,N(R976)*MAX(0,X976-MAX(W976,YEAR(Cfg_Hoje)*12+MONTH(Cfg_Hoje)+IF(DAY(Cfg_Hoje)&gt;=INDEX(Cartoes_Fech,MATCH($F976,Cartoes_Nome,0)),1,0))+1))</f>
        <v>0</v>
      </c>
      <c r="Z976" s="40">
        <f>IF($A976="",0,DAY($A976))</f>
        <v>0</v>
      </c>
      <c r="AA976" s="40">
        <f>IF($A976="",0,WEEKDAY($A976))</f>
        <v>0</v>
      </c>
      <c r="AB976" s="36">
        <f>IF(AND($C976="Despesa",U976&gt;0,U976&lt;=Sel_Idx,V976&gt;=Sel_Idx),N(R976)+ROW()/1000000000,0)</f>
        <v>0</v>
      </c>
      <c r="AC976" s="40">
        <f>IF(AND($C976="Despesa",U976&gt;0,U976&lt;=Sel_Idx,V976&gt;=Sel_Idx),Z976*10000+ROW(),0)</f>
        <v>0</v>
      </c>
      <c r="AD976" s="40">
        <f>IF(AC976=0,0,COUNTIFS(L_CalChave,"&gt;0",L_CalChave,"&lt;"&amp;AC976)+1)</f>
        <v>0</v>
      </c>
    </row>
    <row r="977">
      <c r="A977" s="38" t="n"/>
      <c r="B977" s="39" t="n"/>
      <c r="C977" s="34" t="n"/>
      <c r="D977" s="34" t="n"/>
      <c r="E977" s="34" t="n"/>
      <c r="F977" s="34" t="n"/>
      <c r="G977" s="34" t="n"/>
      <c r="H977" s="37" t="n"/>
      <c r="I977" s="37" t="n"/>
      <c r="J977" s="34" t="n"/>
      <c r="K977" s="34" t="n"/>
      <c r="L977" s="34" t="n"/>
      <c r="M977" s="39" t="n"/>
      <c r="N977" s="35" t="n"/>
      <c r="O977" s="40" t="str">
        <f>IF($A977="","",MONTH($A977))</f>
        <v/>
      </c>
      <c r="P977" s="40" t="str">
        <f>IF($A977="","",YEAR($A977))</f>
        <v/>
      </c>
      <c r="Q977" s="41" t="str">
        <f>IF($A977="","",DATE(P977,O977,1))</f>
        <v/>
      </c>
      <c r="R977" s="36" t="str">
        <f>IF(OR($A977="",$N977=""),"",IF(AND($C977&lt;&gt;"Transferência",N($I977)&gt;1),$N977/$I977,$N977))</f>
        <v/>
      </c>
      <c r="S977" s="41" t="str">
        <f>IF(OR($A977="",$F977="",$C977&lt;&gt;"Despesa"),"",IF(COUNTIF(Cartoes_Nome,$F977)=0,"",DATE(P977,O977+IF(DAY($A977)&gt;=INDEX(Cartoes_Fech,MATCH($F977,Cartoes_Nome,0)),1,0),1)))</f>
        <v/>
      </c>
      <c r="T977" s="42" t="str">
        <f>IF($A977="","",IF(COUNTIFS(L_Data,$A977,L_Desc,$B977,L_Valor,$N977,L_Tipo,$C977)&gt;1,"⚠ Possível duplicidade",IF(OR(AND($C977="Despesa",COUNTIF(CatD_Nome,$D977)=0),AND($C977="Receita",COUNTIF(CatR_Nome,$D977)=0)),"⚠ Categoria não combina com o tipo",IF(OR($N977="",$C977=""),"⚠ Falta valor ou tipo",""))))</f>
        <v/>
      </c>
      <c r="U977" s="40">
        <f>IF($A977="",0,P977*12+O977)</f>
        <v>0</v>
      </c>
      <c r="V977" s="40">
        <f>IF($A977="",0,U977+MAX(0,N($I977)-MAX(N($H977),1)))</f>
        <v>0</v>
      </c>
      <c r="W977" s="40">
        <f>IF(S977="",0,YEAR(S977)*12+MONTH(S977))</f>
        <v>0</v>
      </c>
      <c r="X977" s="40">
        <f>IF(W977=0,0,W977+V977-U977)</f>
        <v>0</v>
      </c>
      <c r="Y977" s="36">
        <f>IF(W977=0,0,N(R977)*MAX(0,X977-MAX(W977,YEAR(Cfg_Hoje)*12+MONTH(Cfg_Hoje)+IF(DAY(Cfg_Hoje)&gt;=INDEX(Cartoes_Fech,MATCH($F977,Cartoes_Nome,0)),1,0))+1))</f>
        <v>0</v>
      </c>
      <c r="Z977" s="40">
        <f>IF($A977="",0,DAY($A977))</f>
        <v>0</v>
      </c>
      <c r="AA977" s="40">
        <f>IF($A977="",0,WEEKDAY($A977))</f>
        <v>0</v>
      </c>
      <c r="AB977" s="36">
        <f>IF(AND($C977="Despesa",U977&gt;0,U977&lt;=Sel_Idx,V977&gt;=Sel_Idx),N(R977)+ROW()/1000000000,0)</f>
        <v>0</v>
      </c>
      <c r="AC977" s="40">
        <f>IF(AND($C977="Despesa",U977&gt;0,U977&lt;=Sel_Idx,V977&gt;=Sel_Idx),Z977*10000+ROW(),0)</f>
        <v>0</v>
      </c>
      <c r="AD977" s="40">
        <f>IF(AC977=0,0,COUNTIFS(L_CalChave,"&gt;0",L_CalChave,"&lt;"&amp;AC977)+1)</f>
        <v>0</v>
      </c>
    </row>
    <row r="978">
      <c r="A978" s="38" t="n"/>
      <c r="B978" s="39" t="n"/>
      <c r="C978" s="34" t="n"/>
      <c r="D978" s="34" t="n"/>
      <c r="E978" s="34" t="n"/>
      <c r="F978" s="34" t="n"/>
      <c r="G978" s="34" t="n"/>
      <c r="H978" s="37" t="n"/>
      <c r="I978" s="37" t="n"/>
      <c r="J978" s="34" t="n"/>
      <c r="K978" s="34" t="n"/>
      <c r="L978" s="34" t="n"/>
      <c r="M978" s="39" t="n"/>
      <c r="N978" s="35" t="n"/>
      <c r="O978" s="40" t="str">
        <f>IF($A978="","",MONTH($A978))</f>
        <v/>
      </c>
      <c r="P978" s="40" t="str">
        <f>IF($A978="","",YEAR($A978))</f>
        <v/>
      </c>
      <c r="Q978" s="41" t="str">
        <f>IF($A978="","",DATE(P978,O978,1))</f>
        <v/>
      </c>
      <c r="R978" s="36" t="str">
        <f>IF(OR($A978="",$N978=""),"",IF(AND($C978&lt;&gt;"Transferência",N($I978)&gt;1),$N978/$I978,$N978))</f>
        <v/>
      </c>
      <c r="S978" s="41" t="str">
        <f>IF(OR($A978="",$F978="",$C978&lt;&gt;"Despesa"),"",IF(COUNTIF(Cartoes_Nome,$F978)=0,"",DATE(P978,O978+IF(DAY($A978)&gt;=INDEX(Cartoes_Fech,MATCH($F978,Cartoes_Nome,0)),1,0),1)))</f>
        <v/>
      </c>
      <c r="T978" s="42" t="str">
        <f>IF($A978="","",IF(COUNTIFS(L_Data,$A978,L_Desc,$B978,L_Valor,$N978,L_Tipo,$C978)&gt;1,"⚠ Possível duplicidade",IF(OR(AND($C978="Despesa",COUNTIF(CatD_Nome,$D978)=0),AND($C978="Receita",COUNTIF(CatR_Nome,$D978)=0)),"⚠ Categoria não combina com o tipo",IF(OR($N978="",$C978=""),"⚠ Falta valor ou tipo",""))))</f>
        <v/>
      </c>
      <c r="U978" s="40">
        <f>IF($A978="",0,P978*12+O978)</f>
        <v>0</v>
      </c>
      <c r="V978" s="40">
        <f>IF($A978="",0,U978+MAX(0,N($I978)-MAX(N($H978),1)))</f>
        <v>0</v>
      </c>
      <c r="W978" s="40">
        <f>IF(S978="",0,YEAR(S978)*12+MONTH(S978))</f>
        <v>0</v>
      </c>
      <c r="X978" s="40">
        <f>IF(W978=0,0,W978+V978-U978)</f>
        <v>0</v>
      </c>
      <c r="Y978" s="36">
        <f>IF(W978=0,0,N(R978)*MAX(0,X978-MAX(W978,YEAR(Cfg_Hoje)*12+MONTH(Cfg_Hoje)+IF(DAY(Cfg_Hoje)&gt;=INDEX(Cartoes_Fech,MATCH($F978,Cartoes_Nome,0)),1,0))+1))</f>
        <v>0</v>
      </c>
      <c r="Z978" s="40">
        <f>IF($A978="",0,DAY($A978))</f>
        <v>0</v>
      </c>
      <c r="AA978" s="40">
        <f>IF($A978="",0,WEEKDAY($A978))</f>
        <v>0</v>
      </c>
      <c r="AB978" s="36">
        <f>IF(AND($C978="Despesa",U978&gt;0,U978&lt;=Sel_Idx,V978&gt;=Sel_Idx),N(R978)+ROW()/1000000000,0)</f>
        <v>0</v>
      </c>
      <c r="AC978" s="40">
        <f>IF(AND($C978="Despesa",U978&gt;0,U978&lt;=Sel_Idx,V978&gt;=Sel_Idx),Z978*10000+ROW(),0)</f>
        <v>0</v>
      </c>
      <c r="AD978" s="40">
        <f>IF(AC978=0,0,COUNTIFS(L_CalChave,"&gt;0",L_CalChave,"&lt;"&amp;AC978)+1)</f>
        <v>0</v>
      </c>
    </row>
    <row r="979">
      <c r="A979" s="38" t="n"/>
      <c r="B979" s="39" t="n"/>
      <c r="C979" s="34" t="n"/>
      <c r="D979" s="34" t="n"/>
      <c r="E979" s="34" t="n"/>
      <c r="F979" s="34" t="n"/>
      <c r="G979" s="34" t="n"/>
      <c r="H979" s="37" t="n"/>
      <c r="I979" s="37" t="n"/>
      <c r="J979" s="34" t="n"/>
      <c r="K979" s="34" t="n"/>
      <c r="L979" s="34" t="n"/>
      <c r="M979" s="39" t="n"/>
      <c r="N979" s="35" t="n"/>
      <c r="O979" s="40" t="str">
        <f>IF($A979="","",MONTH($A979))</f>
        <v/>
      </c>
      <c r="P979" s="40" t="str">
        <f>IF($A979="","",YEAR($A979))</f>
        <v/>
      </c>
      <c r="Q979" s="41" t="str">
        <f>IF($A979="","",DATE(P979,O979,1))</f>
        <v/>
      </c>
      <c r="R979" s="36" t="str">
        <f>IF(OR($A979="",$N979=""),"",IF(AND($C979&lt;&gt;"Transferência",N($I979)&gt;1),$N979/$I979,$N979))</f>
        <v/>
      </c>
      <c r="S979" s="41" t="str">
        <f>IF(OR($A979="",$F979="",$C979&lt;&gt;"Despesa"),"",IF(COUNTIF(Cartoes_Nome,$F979)=0,"",DATE(P979,O979+IF(DAY($A979)&gt;=INDEX(Cartoes_Fech,MATCH($F979,Cartoes_Nome,0)),1,0),1)))</f>
        <v/>
      </c>
      <c r="T979" s="42" t="str">
        <f>IF($A979="","",IF(COUNTIFS(L_Data,$A979,L_Desc,$B979,L_Valor,$N979,L_Tipo,$C979)&gt;1,"⚠ Possível duplicidade",IF(OR(AND($C979="Despesa",COUNTIF(CatD_Nome,$D979)=0),AND($C979="Receita",COUNTIF(CatR_Nome,$D979)=0)),"⚠ Categoria não combina com o tipo",IF(OR($N979="",$C979=""),"⚠ Falta valor ou tipo",""))))</f>
        <v/>
      </c>
      <c r="U979" s="40">
        <f>IF($A979="",0,P979*12+O979)</f>
        <v>0</v>
      </c>
      <c r="V979" s="40">
        <f>IF($A979="",0,U979+MAX(0,N($I979)-MAX(N($H979),1)))</f>
        <v>0</v>
      </c>
      <c r="W979" s="40">
        <f>IF(S979="",0,YEAR(S979)*12+MONTH(S979))</f>
        <v>0</v>
      </c>
      <c r="X979" s="40">
        <f>IF(W979=0,0,W979+V979-U979)</f>
        <v>0</v>
      </c>
      <c r="Y979" s="36">
        <f>IF(W979=0,0,N(R979)*MAX(0,X979-MAX(W979,YEAR(Cfg_Hoje)*12+MONTH(Cfg_Hoje)+IF(DAY(Cfg_Hoje)&gt;=INDEX(Cartoes_Fech,MATCH($F979,Cartoes_Nome,0)),1,0))+1))</f>
        <v>0</v>
      </c>
      <c r="Z979" s="40">
        <f>IF($A979="",0,DAY($A979))</f>
        <v>0</v>
      </c>
      <c r="AA979" s="40">
        <f>IF($A979="",0,WEEKDAY($A979))</f>
        <v>0</v>
      </c>
      <c r="AB979" s="36">
        <f>IF(AND($C979="Despesa",U979&gt;0,U979&lt;=Sel_Idx,V979&gt;=Sel_Idx),N(R979)+ROW()/1000000000,0)</f>
        <v>0</v>
      </c>
      <c r="AC979" s="40">
        <f>IF(AND($C979="Despesa",U979&gt;0,U979&lt;=Sel_Idx,V979&gt;=Sel_Idx),Z979*10000+ROW(),0)</f>
        <v>0</v>
      </c>
      <c r="AD979" s="40">
        <f>IF(AC979=0,0,COUNTIFS(L_CalChave,"&gt;0",L_CalChave,"&lt;"&amp;AC979)+1)</f>
        <v>0</v>
      </c>
    </row>
    <row r="980">
      <c r="A980" s="38" t="n"/>
      <c r="B980" s="39" t="n"/>
      <c r="C980" s="34" t="n"/>
      <c r="D980" s="34" t="n"/>
      <c r="E980" s="34" t="n"/>
      <c r="F980" s="34" t="n"/>
      <c r="G980" s="34" t="n"/>
      <c r="H980" s="37" t="n"/>
      <c r="I980" s="37" t="n"/>
      <c r="J980" s="34" t="n"/>
      <c r="K980" s="34" t="n"/>
      <c r="L980" s="34" t="n"/>
      <c r="M980" s="39" t="n"/>
      <c r="N980" s="35" t="n"/>
      <c r="O980" s="40" t="str">
        <f>IF($A980="","",MONTH($A980))</f>
        <v/>
      </c>
      <c r="P980" s="40" t="str">
        <f>IF($A980="","",YEAR($A980))</f>
        <v/>
      </c>
      <c r="Q980" s="41" t="str">
        <f>IF($A980="","",DATE(P980,O980,1))</f>
        <v/>
      </c>
      <c r="R980" s="36" t="str">
        <f>IF(OR($A980="",$N980=""),"",IF(AND($C980&lt;&gt;"Transferência",N($I980)&gt;1),$N980/$I980,$N980))</f>
        <v/>
      </c>
      <c r="S980" s="41" t="str">
        <f>IF(OR($A980="",$F980="",$C980&lt;&gt;"Despesa"),"",IF(COUNTIF(Cartoes_Nome,$F980)=0,"",DATE(P980,O980+IF(DAY($A980)&gt;=INDEX(Cartoes_Fech,MATCH($F980,Cartoes_Nome,0)),1,0),1)))</f>
        <v/>
      </c>
      <c r="T980" s="42" t="str">
        <f>IF($A980="","",IF(COUNTIFS(L_Data,$A980,L_Desc,$B980,L_Valor,$N980,L_Tipo,$C980)&gt;1,"⚠ Possível duplicidade",IF(OR(AND($C980="Despesa",COUNTIF(CatD_Nome,$D980)=0),AND($C980="Receita",COUNTIF(CatR_Nome,$D980)=0)),"⚠ Categoria não combina com o tipo",IF(OR($N980="",$C980=""),"⚠ Falta valor ou tipo",""))))</f>
        <v/>
      </c>
      <c r="U980" s="40">
        <f>IF($A980="",0,P980*12+O980)</f>
        <v>0</v>
      </c>
      <c r="V980" s="40">
        <f>IF($A980="",0,U980+MAX(0,N($I980)-MAX(N($H980),1)))</f>
        <v>0</v>
      </c>
      <c r="W980" s="40">
        <f>IF(S980="",0,YEAR(S980)*12+MONTH(S980))</f>
        <v>0</v>
      </c>
      <c r="X980" s="40">
        <f>IF(W980=0,0,W980+V980-U980)</f>
        <v>0</v>
      </c>
      <c r="Y980" s="36">
        <f>IF(W980=0,0,N(R980)*MAX(0,X980-MAX(W980,YEAR(Cfg_Hoje)*12+MONTH(Cfg_Hoje)+IF(DAY(Cfg_Hoje)&gt;=INDEX(Cartoes_Fech,MATCH($F980,Cartoes_Nome,0)),1,0))+1))</f>
        <v>0</v>
      </c>
      <c r="Z980" s="40">
        <f>IF($A980="",0,DAY($A980))</f>
        <v>0</v>
      </c>
      <c r="AA980" s="40">
        <f>IF($A980="",0,WEEKDAY($A980))</f>
        <v>0</v>
      </c>
      <c r="AB980" s="36">
        <f>IF(AND($C980="Despesa",U980&gt;0,U980&lt;=Sel_Idx,V980&gt;=Sel_Idx),N(R980)+ROW()/1000000000,0)</f>
        <v>0</v>
      </c>
      <c r="AC980" s="40">
        <f>IF(AND($C980="Despesa",U980&gt;0,U980&lt;=Sel_Idx,V980&gt;=Sel_Idx),Z980*10000+ROW(),0)</f>
        <v>0</v>
      </c>
      <c r="AD980" s="40">
        <f>IF(AC980=0,0,COUNTIFS(L_CalChave,"&gt;0",L_CalChave,"&lt;"&amp;AC980)+1)</f>
        <v>0</v>
      </c>
    </row>
    <row r="981">
      <c r="A981" s="38" t="n"/>
      <c r="B981" s="39" t="n"/>
      <c r="C981" s="34" t="n"/>
      <c r="D981" s="34" t="n"/>
      <c r="E981" s="34" t="n"/>
      <c r="F981" s="34" t="n"/>
      <c r="G981" s="34" t="n"/>
      <c r="H981" s="37" t="n"/>
      <c r="I981" s="37" t="n"/>
      <c r="J981" s="34" t="n"/>
      <c r="K981" s="34" t="n"/>
      <c r="L981" s="34" t="n"/>
      <c r="M981" s="39" t="n"/>
      <c r="N981" s="35" t="n"/>
      <c r="O981" s="40" t="str">
        <f>IF($A981="","",MONTH($A981))</f>
        <v/>
      </c>
      <c r="P981" s="40" t="str">
        <f>IF($A981="","",YEAR($A981))</f>
        <v/>
      </c>
      <c r="Q981" s="41" t="str">
        <f>IF($A981="","",DATE(P981,O981,1))</f>
        <v/>
      </c>
      <c r="R981" s="36" t="str">
        <f>IF(OR($A981="",$N981=""),"",IF(AND($C981&lt;&gt;"Transferência",N($I981)&gt;1),$N981/$I981,$N981))</f>
        <v/>
      </c>
      <c r="S981" s="41" t="str">
        <f>IF(OR($A981="",$F981="",$C981&lt;&gt;"Despesa"),"",IF(COUNTIF(Cartoes_Nome,$F981)=0,"",DATE(P981,O981+IF(DAY($A981)&gt;=INDEX(Cartoes_Fech,MATCH($F981,Cartoes_Nome,0)),1,0),1)))</f>
        <v/>
      </c>
      <c r="T981" s="42" t="str">
        <f>IF($A981="","",IF(COUNTIFS(L_Data,$A981,L_Desc,$B981,L_Valor,$N981,L_Tipo,$C981)&gt;1,"⚠ Possível duplicidade",IF(OR(AND($C981="Despesa",COUNTIF(CatD_Nome,$D981)=0),AND($C981="Receita",COUNTIF(CatR_Nome,$D981)=0)),"⚠ Categoria não combina com o tipo",IF(OR($N981="",$C981=""),"⚠ Falta valor ou tipo",""))))</f>
        <v/>
      </c>
      <c r="U981" s="40">
        <f>IF($A981="",0,P981*12+O981)</f>
        <v>0</v>
      </c>
      <c r="V981" s="40">
        <f>IF($A981="",0,U981+MAX(0,N($I981)-MAX(N($H981),1)))</f>
        <v>0</v>
      </c>
      <c r="W981" s="40">
        <f>IF(S981="",0,YEAR(S981)*12+MONTH(S981))</f>
        <v>0</v>
      </c>
      <c r="X981" s="40">
        <f>IF(W981=0,0,W981+V981-U981)</f>
        <v>0</v>
      </c>
      <c r="Y981" s="36">
        <f>IF(W981=0,0,N(R981)*MAX(0,X981-MAX(W981,YEAR(Cfg_Hoje)*12+MONTH(Cfg_Hoje)+IF(DAY(Cfg_Hoje)&gt;=INDEX(Cartoes_Fech,MATCH($F981,Cartoes_Nome,0)),1,0))+1))</f>
        <v>0</v>
      </c>
      <c r="Z981" s="40">
        <f>IF($A981="",0,DAY($A981))</f>
        <v>0</v>
      </c>
      <c r="AA981" s="40">
        <f>IF($A981="",0,WEEKDAY($A981))</f>
        <v>0</v>
      </c>
      <c r="AB981" s="36">
        <f>IF(AND($C981="Despesa",U981&gt;0,U981&lt;=Sel_Idx,V981&gt;=Sel_Idx),N(R981)+ROW()/1000000000,0)</f>
        <v>0</v>
      </c>
      <c r="AC981" s="40">
        <f>IF(AND($C981="Despesa",U981&gt;0,U981&lt;=Sel_Idx,V981&gt;=Sel_Idx),Z981*10000+ROW(),0)</f>
        <v>0</v>
      </c>
      <c r="AD981" s="40">
        <f>IF(AC981=0,0,COUNTIFS(L_CalChave,"&gt;0",L_CalChave,"&lt;"&amp;AC981)+1)</f>
        <v>0</v>
      </c>
    </row>
    <row r="982">
      <c r="A982" s="38" t="n"/>
      <c r="B982" s="39" t="n"/>
      <c r="C982" s="34" t="n"/>
      <c r="D982" s="34" t="n"/>
      <c r="E982" s="34" t="n"/>
      <c r="F982" s="34" t="n"/>
      <c r="G982" s="34" t="n"/>
      <c r="H982" s="37" t="n"/>
      <c r="I982" s="37" t="n"/>
      <c r="J982" s="34" t="n"/>
      <c r="K982" s="34" t="n"/>
      <c r="L982" s="34" t="n"/>
      <c r="M982" s="39" t="n"/>
      <c r="N982" s="35" t="n"/>
      <c r="O982" s="40" t="str">
        <f>IF($A982="","",MONTH($A982))</f>
        <v/>
      </c>
      <c r="P982" s="40" t="str">
        <f>IF($A982="","",YEAR($A982))</f>
        <v/>
      </c>
      <c r="Q982" s="41" t="str">
        <f>IF($A982="","",DATE(P982,O982,1))</f>
        <v/>
      </c>
      <c r="R982" s="36" t="str">
        <f>IF(OR($A982="",$N982=""),"",IF(AND($C982&lt;&gt;"Transferência",N($I982)&gt;1),$N982/$I982,$N982))</f>
        <v/>
      </c>
      <c r="S982" s="41" t="str">
        <f>IF(OR($A982="",$F982="",$C982&lt;&gt;"Despesa"),"",IF(COUNTIF(Cartoes_Nome,$F982)=0,"",DATE(P982,O982+IF(DAY($A982)&gt;=INDEX(Cartoes_Fech,MATCH($F982,Cartoes_Nome,0)),1,0),1)))</f>
        <v/>
      </c>
      <c r="T982" s="42" t="str">
        <f>IF($A982="","",IF(COUNTIFS(L_Data,$A982,L_Desc,$B982,L_Valor,$N982,L_Tipo,$C982)&gt;1,"⚠ Possível duplicidade",IF(OR(AND($C982="Despesa",COUNTIF(CatD_Nome,$D982)=0),AND($C982="Receita",COUNTIF(CatR_Nome,$D982)=0)),"⚠ Categoria não combina com o tipo",IF(OR($N982="",$C982=""),"⚠ Falta valor ou tipo",""))))</f>
        <v/>
      </c>
      <c r="U982" s="40">
        <f>IF($A982="",0,P982*12+O982)</f>
        <v>0</v>
      </c>
      <c r="V982" s="40">
        <f>IF($A982="",0,U982+MAX(0,N($I982)-MAX(N($H982),1)))</f>
        <v>0</v>
      </c>
      <c r="W982" s="40">
        <f>IF(S982="",0,YEAR(S982)*12+MONTH(S982))</f>
        <v>0</v>
      </c>
      <c r="X982" s="40">
        <f>IF(W982=0,0,W982+V982-U982)</f>
        <v>0</v>
      </c>
      <c r="Y982" s="36">
        <f>IF(W982=0,0,N(R982)*MAX(0,X982-MAX(W982,YEAR(Cfg_Hoje)*12+MONTH(Cfg_Hoje)+IF(DAY(Cfg_Hoje)&gt;=INDEX(Cartoes_Fech,MATCH($F982,Cartoes_Nome,0)),1,0))+1))</f>
        <v>0</v>
      </c>
      <c r="Z982" s="40">
        <f>IF($A982="",0,DAY($A982))</f>
        <v>0</v>
      </c>
      <c r="AA982" s="40">
        <f>IF($A982="",0,WEEKDAY($A982))</f>
        <v>0</v>
      </c>
      <c r="AB982" s="36">
        <f>IF(AND($C982="Despesa",U982&gt;0,U982&lt;=Sel_Idx,V982&gt;=Sel_Idx),N(R982)+ROW()/1000000000,0)</f>
        <v>0</v>
      </c>
      <c r="AC982" s="40">
        <f>IF(AND($C982="Despesa",U982&gt;0,U982&lt;=Sel_Idx,V982&gt;=Sel_Idx),Z982*10000+ROW(),0)</f>
        <v>0</v>
      </c>
      <c r="AD982" s="40">
        <f>IF(AC982=0,0,COUNTIFS(L_CalChave,"&gt;0",L_CalChave,"&lt;"&amp;AC982)+1)</f>
        <v>0</v>
      </c>
    </row>
    <row r="983">
      <c r="A983" s="38" t="n"/>
      <c r="B983" s="39" t="n"/>
      <c r="C983" s="34" t="n"/>
      <c r="D983" s="34" t="n"/>
      <c r="E983" s="34" t="n"/>
      <c r="F983" s="34" t="n"/>
      <c r="G983" s="34" t="n"/>
      <c r="H983" s="37" t="n"/>
      <c r="I983" s="37" t="n"/>
      <c r="J983" s="34" t="n"/>
      <c r="K983" s="34" t="n"/>
      <c r="L983" s="34" t="n"/>
      <c r="M983" s="39" t="n"/>
      <c r="N983" s="35" t="n"/>
      <c r="O983" s="40" t="str">
        <f>IF($A983="","",MONTH($A983))</f>
        <v/>
      </c>
      <c r="P983" s="40" t="str">
        <f>IF($A983="","",YEAR($A983))</f>
        <v/>
      </c>
      <c r="Q983" s="41" t="str">
        <f>IF($A983="","",DATE(P983,O983,1))</f>
        <v/>
      </c>
      <c r="R983" s="36" t="str">
        <f>IF(OR($A983="",$N983=""),"",IF(AND($C983&lt;&gt;"Transferência",N($I983)&gt;1),$N983/$I983,$N983))</f>
        <v/>
      </c>
      <c r="S983" s="41" t="str">
        <f>IF(OR($A983="",$F983="",$C983&lt;&gt;"Despesa"),"",IF(COUNTIF(Cartoes_Nome,$F983)=0,"",DATE(P983,O983+IF(DAY($A983)&gt;=INDEX(Cartoes_Fech,MATCH($F983,Cartoes_Nome,0)),1,0),1)))</f>
        <v/>
      </c>
      <c r="T983" s="42" t="str">
        <f>IF($A983="","",IF(COUNTIFS(L_Data,$A983,L_Desc,$B983,L_Valor,$N983,L_Tipo,$C983)&gt;1,"⚠ Possível duplicidade",IF(OR(AND($C983="Despesa",COUNTIF(CatD_Nome,$D983)=0),AND($C983="Receita",COUNTIF(CatR_Nome,$D983)=0)),"⚠ Categoria não combina com o tipo",IF(OR($N983="",$C983=""),"⚠ Falta valor ou tipo",""))))</f>
        <v/>
      </c>
      <c r="U983" s="40">
        <f>IF($A983="",0,P983*12+O983)</f>
        <v>0</v>
      </c>
      <c r="V983" s="40">
        <f>IF($A983="",0,U983+MAX(0,N($I983)-MAX(N($H983),1)))</f>
        <v>0</v>
      </c>
      <c r="W983" s="40">
        <f>IF(S983="",0,YEAR(S983)*12+MONTH(S983))</f>
        <v>0</v>
      </c>
      <c r="X983" s="40">
        <f>IF(W983=0,0,W983+V983-U983)</f>
        <v>0</v>
      </c>
      <c r="Y983" s="36">
        <f>IF(W983=0,0,N(R983)*MAX(0,X983-MAX(W983,YEAR(Cfg_Hoje)*12+MONTH(Cfg_Hoje)+IF(DAY(Cfg_Hoje)&gt;=INDEX(Cartoes_Fech,MATCH($F983,Cartoes_Nome,0)),1,0))+1))</f>
        <v>0</v>
      </c>
      <c r="Z983" s="40">
        <f>IF($A983="",0,DAY($A983))</f>
        <v>0</v>
      </c>
      <c r="AA983" s="40">
        <f>IF($A983="",0,WEEKDAY($A983))</f>
        <v>0</v>
      </c>
      <c r="AB983" s="36">
        <f>IF(AND($C983="Despesa",U983&gt;0,U983&lt;=Sel_Idx,V983&gt;=Sel_Idx),N(R983)+ROW()/1000000000,0)</f>
        <v>0</v>
      </c>
      <c r="AC983" s="40">
        <f>IF(AND($C983="Despesa",U983&gt;0,U983&lt;=Sel_Idx,V983&gt;=Sel_Idx),Z983*10000+ROW(),0)</f>
        <v>0</v>
      </c>
      <c r="AD983" s="40">
        <f>IF(AC983=0,0,COUNTIFS(L_CalChave,"&gt;0",L_CalChave,"&lt;"&amp;AC983)+1)</f>
        <v>0</v>
      </c>
    </row>
    <row r="984">
      <c r="A984" s="38" t="n"/>
      <c r="B984" s="39" t="n"/>
      <c r="C984" s="34" t="n"/>
      <c r="D984" s="34" t="n"/>
      <c r="E984" s="34" t="n"/>
      <c r="F984" s="34" t="n"/>
      <c r="G984" s="34" t="n"/>
      <c r="H984" s="37" t="n"/>
      <c r="I984" s="37" t="n"/>
      <c r="J984" s="34" t="n"/>
      <c r="K984" s="34" t="n"/>
      <c r="L984" s="34" t="n"/>
      <c r="M984" s="39" t="n"/>
      <c r="N984" s="35" t="n"/>
      <c r="O984" s="40" t="str">
        <f>IF($A984="","",MONTH($A984))</f>
        <v/>
      </c>
      <c r="P984" s="40" t="str">
        <f>IF($A984="","",YEAR($A984))</f>
        <v/>
      </c>
      <c r="Q984" s="41" t="str">
        <f>IF($A984="","",DATE(P984,O984,1))</f>
        <v/>
      </c>
      <c r="R984" s="36" t="str">
        <f>IF(OR($A984="",$N984=""),"",IF(AND($C984&lt;&gt;"Transferência",N($I984)&gt;1),$N984/$I984,$N984))</f>
        <v/>
      </c>
      <c r="S984" s="41" t="str">
        <f>IF(OR($A984="",$F984="",$C984&lt;&gt;"Despesa"),"",IF(COUNTIF(Cartoes_Nome,$F984)=0,"",DATE(P984,O984+IF(DAY($A984)&gt;=INDEX(Cartoes_Fech,MATCH($F984,Cartoes_Nome,0)),1,0),1)))</f>
        <v/>
      </c>
      <c r="T984" s="42" t="str">
        <f>IF($A984="","",IF(COUNTIFS(L_Data,$A984,L_Desc,$B984,L_Valor,$N984,L_Tipo,$C984)&gt;1,"⚠ Possível duplicidade",IF(OR(AND($C984="Despesa",COUNTIF(CatD_Nome,$D984)=0),AND($C984="Receita",COUNTIF(CatR_Nome,$D984)=0)),"⚠ Categoria não combina com o tipo",IF(OR($N984="",$C984=""),"⚠ Falta valor ou tipo",""))))</f>
        <v/>
      </c>
      <c r="U984" s="40">
        <f>IF($A984="",0,P984*12+O984)</f>
        <v>0</v>
      </c>
      <c r="V984" s="40">
        <f>IF($A984="",0,U984+MAX(0,N($I984)-MAX(N($H984),1)))</f>
        <v>0</v>
      </c>
      <c r="W984" s="40">
        <f>IF(S984="",0,YEAR(S984)*12+MONTH(S984))</f>
        <v>0</v>
      </c>
      <c r="X984" s="40">
        <f>IF(W984=0,0,W984+V984-U984)</f>
        <v>0</v>
      </c>
      <c r="Y984" s="36">
        <f>IF(W984=0,0,N(R984)*MAX(0,X984-MAX(W984,YEAR(Cfg_Hoje)*12+MONTH(Cfg_Hoje)+IF(DAY(Cfg_Hoje)&gt;=INDEX(Cartoes_Fech,MATCH($F984,Cartoes_Nome,0)),1,0))+1))</f>
        <v>0</v>
      </c>
      <c r="Z984" s="40">
        <f>IF($A984="",0,DAY($A984))</f>
        <v>0</v>
      </c>
      <c r="AA984" s="40">
        <f>IF($A984="",0,WEEKDAY($A984))</f>
        <v>0</v>
      </c>
      <c r="AB984" s="36">
        <f>IF(AND($C984="Despesa",U984&gt;0,U984&lt;=Sel_Idx,V984&gt;=Sel_Idx),N(R984)+ROW()/1000000000,0)</f>
        <v>0</v>
      </c>
      <c r="AC984" s="40">
        <f>IF(AND($C984="Despesa",U984&gt;0,U984&lt;=Sel_Idx,V984&gt;=Sel_Idx),Z984*10000+ROW(),0)</f>
        <v>0</v>
      </c>
      <c r="AD984" s="40">
        <f>IF(AC984=0,0,COUNTIFS(L_CalChave,"&gt;0",L_CalChave,"&lt;"&amp;AC984)+1)</f>
        <v>0</v>
      </c>
    </row>
    <row r="985">
      <c r="A985" s="38" t="n"/>
      <c r="B985" s="39" t="n"/>
      <c r="C985" s="34" t="n"/>
      <c r="D985" s="34" t="n"/>
      <c r="E985" s="34" t="n"/>
      <c r="F985" s="34" t="n"/>
      <c r="G985" s="34" t="n"/>
      <c r="H985" s="37" t="n"/>
      <c r="I985" s="37" t="n"/>
      <c r="J985" s="34" t="n"/>
      <c r="K985" s="34" t="n"/>
      <c r="L985" s="34" t="n"/>
      <c r="M985" s="39" t="n"/>
      <c r="N985" s="35" t="n"/>
      <c r="O985" s="40" t="str">
        <f>IF($A985="","",MONTH($A985))</f>
        <v/>
      </c>
      <c r="P985" s="40" t="str">
        <f>IF($A985="","",YEAR($A985))</f>
        <v/>
      </c>
      <c r="Q985" s="41" t="str">
        <f>IF($A985="","",DATE(P985,O985,1))</f>
        <v/>
      </c>
      <c r="R985" s="36" t="str">
        <f>IF(OR($A985="",$N985=""),"",IF(AND($C985&lt;&gt;"Transferência",N($I985)&gt;1),$N985/$I985,$N985))</f>
        <v/>
      </c>
      <c r="S985" s="41" t="str">
        <f>IF(OR($A985="",$F985="",$C985&lt;&gt;"Despesa"),"",IF(COUNTIF(Cartoes_Nome,$F985)=0,"",DATE(P985,O985+IF(DAY($A985)&gt;=INDEX(Cartoes_Fech,MATCH($F985,Cartoes_Nome,0)),1,0),1)))</f>
        <v/>
      </c>
      <c r="T985" s="42" t="str">
        <f>IF($A985="","",IF(COUNTIFS(L_Data,$A985,L_Desc,$B985,L_Valor,$N985,L_Tipo,$C985)&gt;1,"⚠ Possível duplicidade",IF(OR(AND($C985="Despesa",COUNTIF(CatD_Nome,$D985)=0),AND($C985="Receita",COUNTIF(CatR_Nome,$D985)=0)),"⚠ Categoria não combina com o tipo",IF(OR($N985="",$C985=""),"⚠ Falta valor ou tipo",""))))</f>
        <v/>
      </c>
      <c r="U985" s="40">
        <f>IF($A985="",0,P985*12+O985)</f>
        <v>0</v>
      </c>
      <c r="V985" s="40">
        <f>IF($A985="",0,U985+MAX(0,N($I985)-MAX(N($H985),1)))</f>
        <v>0</v>
      </c>
      <c r="W985" s="40">
        <f>IF(S985="",0,YEAR(S985)*12+MONTH(S985))</f>
        <v>0</v>
      </c>
      <c r="X985" s="40">
        <f>IF(W985=0,0,W985+V985-U985)</f>
        <v>0</v>
      </c>
      <c r="Y985" s="36">
        <f>IF(W985=0,0,N(R985)*MAX(0,X985-MAX(W985,YEAR(Cfg_Hoje)*12+MONTH(Cfg_Hoje)+IF(DAY(Cfg_Hoje)&gt;=INDEX(Cartoes_Fech,MATCH($F985,Cartoes_Nome,0)),1,0))+1))</f>
        <v>0</v>
      </c>
      <c r="Z985" s="40">
        <f>IF($A985="",0,DAY($A985))</f>
        <v>0</v>
      </c>
      <c r="AA985" s="40">
        <f>IF($A985="",0,WEEKDAY($A985))</f>
        <v>0</v>
      </c>
      <c r="AB985" s="36">
        <f>IF(AND($C985="Despesa",U985&gt;0,U985&lt;=Sel_Idx,V985&gt;=Sel_Idx),N(R985)+ROW()/1000000000,0)</f>
        <v>0</v>
      </c>
      <c r="AC985" s="40">
        <f>IF(AND($C985="Despesa",U985&gt;0,U985&lt;=Sel_Idx,V985&gt;=Sel_Idx),Z985*10000+ROW(),0)</f>
        <v>0</v>
      </c>
      <c r="AD985" s="40">
        <f>IF(AC985=0,0,COUNTIFS(L_CalChave,"&gt;0",L_CalChave,"&lt;"&amp;AC985)+1)</f>
        <v>0</v>
      </c>
    </row>
    <row r="986">
      <c r="A986" s="38" t="n"/>
      <c r="B986" s="39" t="n"/>
      <c r="C986" s="34" t="n"/>
      <c r="D986" s="34" t="n"/>
      <c r="E986" s="34" t="n"/>
      <c r="F986" s="34" t="n"/>
      <c r="G986" s="34" t="n"/>
      <c r="H986" s="37" t="n"/>
      <c r="I986" s="37" t="n"/>
      <c r="J986" s="34" t="n"/>
      <c r="K986" s="34" t="n"/>
      <c r="L986" s="34" t="n"/>
      <c r="M986" s="39" t="n"/>
      <c r="N986" s="35" t="n"/>
      <c r="O986" s="40" t="str">
        <f>IF($A986="","",MONTH($A986))</f>
        <v/>
      </c>
      <c r="P986" s="40" t="str">
        <f>IF($A986="","",YEAR($A986))</f>
        <v/>
      </c>
      <c r="Q986" s="41" t="str">
        <f>IF($A986="","",DATE(P986,O986,1))</f>
        <v/>
      </c>
      <c r="R986" s="36" t="str">
        <f>IF(OR($A986="",$N986=""),"",IF(AND($C986&lt;&gt;"Transferência",N($I986)&gt;1),$N986/$I986,$N986))</f>
        <v/>
      </c>
      <c r="S986" s="41" t="str">
        <f>IF(OR($A986="",$F986="",$C986&lt;&gt;"Despesa"),"",IF(COUNTIF(Cartoes_Nome,$F986)=0,"",DATE(P986,O986+IF(DAY($A986)&gt;=INDEX(Cartoes_Fech,MATCH($F986,Cartoes_Nome,0)),1,0),1)))</f>
        <v/>
      </c>
      <c r="T986" s="42" t="str">
        <f>IF($A986="","",IF(COUNTIFS(L_Data,$A986,L_Desc,$B986,L_Valor,$N986,L_Tipo,$C986)&gt;1,"⚠ Possível duplicidade",IF(OR(AND($C986="Despesa",COUNTIF(CatD_Nome,$D986)=0),AND($C986="Receita",COUNTIF(CatR_Nome,$D986)=0)),"⚠ Categoria não combina com o tipo",IF(OR($N986="",$C986=""),"⚠ Falta valor ou tipo",""))))</f>
        <v/>
      </c>
      <c r="U986" s="40">
        <f>IF($A986="",0,P986*12+O986)</f>
        <v>0</v>
      </c>
      <c r="V986" s="40">
        <f>IF($A986="",0,U986+MAX(0,N($I986)-MAX(N($H986),1)))</f>
        <v>0</v>
      </c>
      <c r="W986" s="40">
        <f>IF(S986="",0,YEAR(S986)*12+MONTH(S986))</f>
        <v>0</v>
      </c>
      <c r="X986" s="40">
        <f>IF(W986=0,0,W986+V986-U986)</f>
        <v>0</v>
      </c>
      <c r="Y986" s="36">
        <f>IF(W986=0,0,N(R986)*MAX(0,X986-MAX(W986,YEAR(Cfg_Hoje)*12+MONTH(Cfg_Hoje)+IF(DAY(Cfg_Hoje)&gt;=INDEX(Cartoes_Fech,MATCH($F986,Cartoes_Nome,0)),1,0))+1))</f>
        <v>0</v>
      </c>
      <c r="Z986" s="40">
        <f>IF($A986="",0,DAY($A986))</f>
        <v>0</v>
      </c>
      <c r="AA986" s="40">
        <f>IF($A986="",0,WEEKDAY($A986))</f>
        <v>0</v>
      </c>
      <c r="AB986" s="36">
        <f>IF(AND($C986="Despesa",U986&gt;0,U986&lt;=Sel_Idx,V986&gt;=Sel_Idx),N(R986)+ROW()/1000000000,0)</f>
        <v>0</v>
      </c>
      <c r="AC986" s="40">
        <f>IF(AND($C986="Despesa",U986&gt;0,U986&lt;=Sel_Idx,V986&gt;=Sel_Idx),Z986*10000+ROW(),0)</f>
        <v>0</v>
      </c>
      <c r="AD986" s="40">
        <f>IF(AC986=0,0,COUNTIFS(L_CalChave,"&gt;0",L_CalChave,"&lt;"&amp;AC986)+1)</f>
        <v>0</v>
      </c>
    </row>
    <row r="987">
      <c r="A987" s="38" t="n"/>
      <c r="B987" s="39" t="n"/>
      <c r="C987" s="34" t="n"/>
      <c r="D987" s="34" t="n"/>
      <c r="E987" s="34" t="n"/>
      <c r="F987" s="34" t="n"/>
      <c r="G987" s="34" t="n"/>
      <c r="H987" s="37" t="n"/>
      <c r="I987" s="37" t="n"/>
      <c r="J987" s="34" t="n"/>
      <c r="K987" s="34" t="n"/>
      <c r="L987" s="34" t="n"/>
      <c r="M987" s="39" t="n"/>
      <c r="N987" s="35" t="n"/>
      <c r="O987" s="40" t="str">
        <f>IF($A987="","",MONTH($A987))</f>
        <v/>
      </c>
      <c r="P987" s="40" t="str">
        <f>IF($A987="","",YEAR($A987))</f>
        <v/>
      </c>
      <c r="Q987" s="41" t="str">
        <f>IF($A987="","",DATE(P987,O987,1))</f>
        <v/>
      </c>
      <c r="R987" s="36" t="str">
        <f>IF(OR($A987="",$N987=""),"",IF(AND($C987&lt;&gt;"Transferência",N($I987)&gt;1),$N987/$I987,$N987))</f>
        <v/>
      </c>
      <c r="S987" s="41" t="str">
        <f>IF(OR($A987="",$F987="",$C987&lt;&gt;"Despesa"),"",IF(COUNTIF(Cartoes_Nome,$F987)=0,"",DATE(P987,O987+IF(DAY($A987)&gt;=INDEX(Cartoes_Fech,MATCH($F987,Cartoes_Nome,0)),1,0),1)))</f>
        <v/>
      </c>
      <c r="T987" s="42" t="str">
        <f>IF($A987="","",IF(COUNTIFS(L_Data,$A987,L_Desc,$B987,L_Valor,$N987,L_Tipo,$C987)&gt;1,"⚠ Possível duplicidade",IF(OR(AND($C987="Despesa",COUNTIF(CatD_Nome,$D987)=0),AND($C987="Receita",COUNTIF(CatR_Nome,$D987)=0)),"⚠ Categoria não combina com o tipo",IF(OR($N987="",$C987=""),"⚠ Falta valor ou tipo",""))))</f>
        <v/>
      </c>
      <c r="U987" s="40">
        <f>IF($A987="",0,P987*12+O987)</f>
        <v>0</v>
      </c>
      <c r="V987" s="40">
        <f>IF($A987="",0,U987+MAX(0,N($I987)-MAX(N($H987),1)))</f>
        <v>0</v>
      </c>
      <c r="W987" s="40">
        <f>IF(S987="",0,YEAR(S987)*12+MONTH(S987))</f>
        <v>0</v>
      </c>
      <c r="X987" s="40">
        <f>IF(W987=0,0,W987+V987-U987)</f>
        <v>0</v>
      </c>
      <c r="Y987" s="36">
        <f>IF(W987=0,0,N(R987)*MAX(0,X987-MAX(W987,YEAR(Cfg_Hoje)*12+MONTH(Cfg_Hoje)+IF(DAY(Cfg_Hoje)&gt;=INDEX(Cartoes_Fech,MATCH($F987,Cartoes_Nome,0)),1,0))+1))</f>
        <v>0</v>
      </c>
      <c r="Z987" s="40">
        <f>IF($A987="",0,DAY($A987))</f>
        <v>0</v>
      </c>
      <c r="AA987" s="40">
        <f>IF($A987="",0,WEEKDAY($A987))</f>
        <v>0</v>
      </c>
      <c r="AB987" s="36">
        <f>IF(AND($C987="Despesa",U987&gt;0,U987&lt;=Sel_Idx,V987&gt;=Sel_Idx),N(R987)+ROW()/1000000000,0)</f>
        <v>0</v>
      </c>
      <c r="AC987" s="40">
        <f>IF(AND($C987="Despesa",U987&gt;0,U987&lt;=Sel_Idx,V987&gt;=Sel_Idx),Z987*10000+ROW(),0)</f>
        <v>0</v>
      </c>
      <c r="AD987" s="40">
        <f>IF(AC987=0,0,COUNTIFS(L_CalChave,"&gt;0",L_CalChave,"&lt;"&amp;AC987)+1)</f>
        <v>0</v>
      </c>
    </row>
    <row r="988">
      <c r="A988" s="38" t="n"/>
      <c r="B988" s="39" t="n"/>
      <c r="C988" s="34" t="n"/>
      <c r="D988" s="34" t="n"/>
      <c r="E988" s="34" t="n"/>
      <c r="F988" s="34" t="n"/>
      <c r="G988" s="34" t="n"/>
      <c r="H988" s="37" t="n"/>
      <c r="I988" s="37" t="n"/>
      <c r="J988" s="34" t="n"/>
      <c r="K988" s="34" t="n"/>
      <c r="L988" s="34" t="n"/>
      <c r="M988" s="39" t="n"/>
      <c r="N988" s="35" t="n"/>
      <c r="O988" s="40" t="str">
        <f>IF($A988="","",MONTH($A988))</f>
        <v/>
      </c>
      <c r="P988" s="40" t="str">
        <f>IF($A988="","",YEAR($A988))</f>
        <v/>
      </c>
      <c r="Q988" s="41" t="str">
        <f>IF($A988="","",DATE(P988,O988,1))</f>
        <v/>
      </c>
      <c r="R988" s="36" t="str">
        <f>IF(OR($A988="",$N988=""),"",IF(AND($C988&lt;&gt;"Transferência",N($I988)&gt;1),$N988/$I988,$N988))</f>
        <v/>
      </c>
      <c r="S988" s="41" t="str">
        <f>IF(OR($A988="",$F988="",$C988&lt;&gt;"Despesa"),"",IF(COUNTIF(Cartoes_Nome,$F988)=0,"",DATE(P988,O988+IF(DAY($A988)&gt;=INDEX(Cartoes_Fech,MATCH($F988,Cartoes_Nome,0)),1,0),1)))</f>
        <v/>
      </c>
      <c r="T988" s="42" t="str">
        <f>IF($A988="","",IF(COUNTIFS(L_Data,$A988,L_Desc,$B988,L_Valor,$N988,L_Tipo,$C988)&gt;1,"⚠ Possível duplicidade",IF(OR(AND($C988="Despesa",COUNTIF(CatD_Nome,$D988)=0),AND($C988="Receita",COUNTIF(CatR_Nome,$D988)=0)),"⚠ Categoria não combina com o tipo",IF(OR($N988="",$C988=""),"⚠ Falta valor ou tipo",""))))</f>
        <v/>
      </c>
      <c r="U988" s="40">
        <f>IF($A988="",0,P988*12+O988)</f>
        <v>0</v>
      </c>
      <c r="V988" s="40">
        <f>IF($A988="",0,U988+MAX(0,N($I988)-MAX(N($H988),1)))</f>
        <v>0</v>
      </c>
      <c r="W988" s="40">
        <f>IF(S988="",0,YEAR(S988)*12+MONTH(S988))</f>
        <v>0</v>
      </c>
      <c r="X988" s="40">
        <f>IF(W988=0,0,W988+V988-U988)</f>
        <v>0</v>
      </c>
      <c r="Y988" s="36">
        <f>IF(W988=0,0,N(R988)*MAX(0,X988-MAX(W988,YEAR(Cfg_Hoje)*12+MONTH(Cfg_Hoje)+IF(DAY(Cfg_Hoje)&gt;=INDEX(Cartoes_Fech,MATCH($F988,Cartoes_Nome,0)),1,0))+1))</f>
        <v>0</v>
      </c>
      <c r="Z988" s="40">
        <f>IF($A988="",0,DAY($A988))</f>
        <v>0</v>
      </c>
      <c r="AA988" s="40">
        <f>IF($A988="",0,WEEKDAY($A988))</f>
        <v>0</v>
      </c>
      <c r="AB988" s="36">
        <f>IF(AND($C988="Despesa",U988&gt;0,U988&lt;=Sel_Idx,V988&gt;=Sel_Idx),N(R988)+ROW()/1000000000,0)</f>
        <v>0</v>
      </c>
      <c r="AC988" s="40">
        <f>IF(AND($C988="Despesa",U988&gt;0,U988&lt;=Sel_Idx,V988&gt;=Sel_Idx),Z988*10000+ROW(),0)</f>
        <v>0</v>
      </c>
      <c r="AD988" s="40">
        <f>IF(AC988=0,0,COUNTIFS(L_CalChave,"&gt;0",L_CalChave,"&lt;"&amp;AC988)+1)</f>
        <v>0</v>
      </c>
    </row>
    <row r="989">
      <c r="A989" s="38" t="n"/>
      <c r="B989" s="39" t="n"/>
      <c r="C989" s="34" t="n"/>
      <c r="D989" s="34" t="n"/>
      <c r="E989" s="34" t="n"/>
      <c r="F989" s="34" t="n"/>
      <c r="G989" s="34" t="n"/>
      <c r="H989" s="37" t="n"/>
      <c r="I989" s="37" t="n"/>
      <c r="J989" s="34" t="n"/>
      <c r="K989" s="34" t="n"/>
      <c r="L989" s="34" t="n"/>
      <c r="M989" s="39" t="n"/>
      <c r="N989" s="35" t="n"/>
      <c r="O989" s="40" t="str">
        <f>IF($A989="","",MONTH($A989))</f>
        <v/>
      </c>
      <c r="P989" s="40" t="str">
        <f>IF($A989="","",YEAR($A989))</f>
        <v/>
      </c>
      <c r="Q989" s="41" t="str">
        <f>IF($A989="","",DATE(P989,O989,1))</f>
        <v/>
      </c>
      <c r="R989" s="36" t="str">
        <f>IF(OR($A989="",$N989=""),"",IF(AND($C989&lt;&gt;"Transferência",N($I989)&gt;1),$N989/$I989,$N989))</f>
        <v/>
      </c>
      <c r="S989" s="41" t="str">
        <f>IF(OR($A989="",$F989="",$C989&lt;&gt;"Despesa"),"",IF(COUNTIF(Cartoes_Nome,$F989)=0,"",DATE(P989,O989+IF(DAY($A989)&gt;=INDEX(Cartoes_Fech,MATCH($F989,Cartoes_Nome,0)),1,0),1)))</f>
        <v/>
      </c>
      <c r="T989" s="42" t="str">
        <f>IF($A989="","",IF(COUNTIFS(L_Data,$A989,L_Desc,$B989,L_Valor,$N989,L_Tipo,$C989)&gt;1,"⚠ Possível duplicidade",IF(OR(AND($C989="Despesa",COUNTIF(CatD_Nome,$D989)=0),AND($C989="Receita",COUNTIF(CatR_Nome,$D989)=0)),"⚠ Categoria não combina com o tipo",IF(OR($N989="",$C989=""),"⚠ Falta valor ou tipo",""))))</f>
        <v/>
      </c>
      <c r="U989" s="40">
        <f>IF($A989="",0,P989*12+O989)</f>
        <v>0</v>
      </c>
      <c r="V989" s="40">
        <f>IF($A989="",0,U989+MAX(0,N($I989)-MAX(N($H989),1)))</f>
        <v>0</v>
      </c>
      <c r="W989" s="40">
        <f>IF(S989="",0,YEAR(S989)*12+MONTH(S989))</f>
        <v>0</v>
      </c>
      <c r="X989" s="40">
        <f>IF(W989=0,0,W989+V989-U989)</f>
        <v>0</v>
      </c>
      <c r="Y989" s="36">
        <f>IF(W989=0,0,N(R989)*MAX(0,X989-MAX(W989,YEAR(Cfg_Hoje)*12+MONTH(Cfg_Hoje)+IF(DAY(Cfg_Hoje)&gt;=INDEX(Cartoes_Fech,MATCH($F989,Cartoes_Nome,0)),1,0))+1))</f>
        <v>0</v>
      </c>
      <c r="Z989" s="40">
        <f>IF($A989="",0,DAY($A989))</f>
        <v>0</v>
      </c>
      <c r="AA989" s="40">
        <f>IF($A989="",0,WEEKDAY($A989))</f>
        <v>0</v>
      </c>
      <c r="AB989" s="36">
        <f>IF(AND($C989="Despesa",U989&gt;0,U989&lt;=Sel_Idx,V989&gt;=Sel_Idx),N(R989)+ROW()/1000000000,0)</f>
        <v>0</v>
      </c>
      <c r="AC989" s="40">
        <f>IF(AND($C989="Despesa",U989&gt;0,U989&lt;=Sel_Idx,V989&gt;=Sel_Idx),Z989*10000+ROW(),0)</f>
        <v>0</v>
      </c>
      <c r="AD989" s="40">
        <f>IF(AC989=0,0,COUNTIFS(L_CalChave,"&gt;0",L_CalChave,"&lt;"&amp;AC989)+1)</f>
        <v>0</v>
      </c>
    </row>
    <row r="990">
      <c r="A990" s="38" t="n"/>
      <c r="B990" s="39" t="n"/>
      <c r="C990" s="34" t="n"/>
      <c r="D990" s="34" t="n"/>
      <c r="E990" s="34" t="n"/>
      <c r="F990" s="34" t="n"/>
      <c r="G990" s="34" t="n"/>
      <c r="H990" s="37" t="n"/>
      <c r="I990" s="37" t="n"/>
      <c r="J990" s="34" t="n"/>
      <c r="K990" s="34" t="n"/>
      <c r="L990" s="34" t="n"/>
      <c r="M990" s="39" t="n"/>
      <c r="N990" s="35" t="n"/>
      <c r="O990" s="40" t="str">
        <f>IF($A990="","",MONTH($A990))</f>
        <v/>
      </c>
      <c r="P990" s="40" t="str">
        <f>IF($A990="","",YEAR($A990))</f>
        <v/>
      </c>
      <c r="Q990" s="41" t="str">
        <f>IF($A990="","",DATE(P990,O990,1))</f>
        <v/>
      </c>
      <c r="R990" s="36" t="str">
        <f>IF(OR($A990="",$N990=""),"",IF(AND($C990&lt;&gt;"Transferência",N($I990)&gt;1),$N990/$I990,$N990))</f>
        <v/>
      </c>
      <c r="S990" s="41" t="str">
        <f>IF(OR($A990="",$F990="",$C990&lt;&gt;"Despesa"),"",IF(COUNTIF(Cartoes_Nome,$F990)=0,"",DATE(P990,O990+IF(DAY($A990)&gt;=INDEX(Cartoes_Fech,MATCH($F990,Cartoes_Nome,0)),1,0),1)))</f>
        <v/>
      </c>
      <c r="T990" s="42" t="str">
        <f>IF($A990="","",IF(COUNTIFS(L_Data,$A990,L_Desc,$B990,L_Valor,$N990,L_Tipo,$C990)&gt;1,"⚠ Possível duplicidade",IF(OR(AND($C990="Despesa",COUNTIF(CatD_Nome,$D990)=0),AND($C990="Receita",COUNTIF(CatR_Nome,$D990)=0)),"⚠ Categoria não combina com o tipo",IF(OR($N990="",$C990=""),"⚠ Falta valor ou tipo",""))))</f>
        <v/>
      </c>
      <c r="U990" s="40">
        <f>IF($A990="",0,P990*12+O990)</f>
        <v>0</v>
      </c>
      <c r="V990" s="40">
        <f>IF($A990="",0,U990+MAX(0,N($I990)-MAX(N($H990),1)))</f>
        <v>0</v>
      </c>
      <c r="W990" s="40">
        <f>IF(S990="",0,YEAR(S990)*12+MONTH(S990))</f>
        <v>0</v>
      </c>
      <c r="X990" s="40">
        <f>IF(W990=0,0,W990+V990-U990)</f>
        <v>0</v>
      </c>
      <c r="Y990" s="36">
        <f>IF(W990=0,0,N(R990)*MAX(0,X990-MAX(W990,YEAR(Cfg_Hoje)*12+MONTH(Cfg_Hoje)+IF(DAY(Cfg_Hoje)&gt;=INDEX(Cartoes_Fech,MATCH($F990,Cartoes_Nome,0)),1,0))+1))</f>
        <v>0</v>
      </c>
      <c r="Z990" s="40">
        <f>IF($A990="",0,DAY($A990))</f>
        <v>0</v>
      </c>
      <c r="AA990" s="40">
        <f>IF($A990="",0,WEEKDAY($A990))</f>
        <v>0</v>
      </c>
      <c r="AB990" s="36">
        <f>IF(AND($C990="Despesa",U990&gt;0,U990&lt;=Sel_Idx,V990&gt;=Sel_Idx),N(R990)+ROW()/1000000000,0)</f>
        <v>0</v>
      </c>
      <c r="AC990" s="40">
        <f>IF(AND($C990="Despesa",U990&gt;0,U990&lt;=Sel_Idx,V990&gt;=Sel_Idx),Z990*10000+ROW(),0)</f>
        <v>0</v>
      </c>
      <c r="AD990" s="40">
        <f>IF(AC990=0,0,COUNTIFS(L_CalChave,"&gt;0",L_CalChave,"&lt;"&amp;AC990)+1)</f>
        <v>0</v>
      </c>
    </row>
    <row r="991">
      <c r="A991" s="38" t="n"/>
      <c r="B991" s="39" t="n"/>
      <c r="C991" s="34" t="n"/>
      <c r="D991" s="34" t="n"/>
      <c r="E991" s="34" t="n"/>
      <c r="F991" s="34" t="n"/>
      <c r="G991" s="34" t="n"/>
      <c r="H991" s="37" t="n"/>
      <c r="I991" s="37" t="n"/>
      <c r="J991" s="34" t="n"/>
      <c r="K991" s="34" t="n"/>
      <c r="L991" s="34" t="n"/>
      <c r="M991" s="39" t="n"/>
      <c r="N991" s="35" t="n"/>
      <c r="O991" s="40" t="str">
        <f>IF($A991="","",MONTH($A991))</f>
        <v/>
      </c>
      <c r="P991" s="40" t="str">
        <f>IF($A991="","",YEAR($A991))</f>
        <v/>
      </c>
      <c r="Q991" s="41" t="str">
        <f>IF($A991="","",DATE(P991,O991,1))</f>
        <v/>
      </c>
      <c r="R991" s="36" t="str">
        <f>IF(OR($A991="",$N991=""),"",IF(AND($C991&lt;&gt;"Transferência",N($I991)&gt;1),$N991/$I991,$N991))</f>
        <v/>
      </c>
      <c r="S991" s="41" t="str">
        <f>IF(OR($A991="",$F991="",$C991&lt;&gt;"Despesa"),"",IF(COUNTIF(Cartoes_Nome,$F991)=0,"",DATE(P991,O991+IF(DAY($A991)&gt;=INDEX(Cartoes_Fech,MATCH($F991,Cartoes_Nome,0)),1,0),1)))</f>
        <v/>
      </c>
      <c r="T991" s="42" t="str">
        <f>IF($A991="","",IF(COUNTIFS(L_Data,$A991,L_Desc,$B991,L_Valor,$N991,L_Tipo,$C991)&gt;1,"⚠ Possível duplicidade",IF(OR(AND($C991="Despesa",COUNTIF(CatD_Nome,$D991)=0),AND($C991="Receita",COUNTIF(CatR_Nome,$D991)=0)),"⚠ Categoria não combina com o tipo",IF(OR($N991="",$C991=""),"⚠ Falta valor ou tipo",""))))</f>
        <v/>
      </c>
      <c r="U991" s="40">
        <f>IF($A991="",0,P991*12+O991)</f>
        <v>0</v>
      </c>
      <c r="V991" s="40">
        <f>IF($A991="",0,U991+MAX(0,N($I991)-MAX(N($H991),1)))</f>
        <v>0</v>
      </c>
      <c r="W991" s="40">
        <f>IF(S991="",0,YEAR(S991)*12+MONTH(S991))</f>
        <v>0</v>
      </c>
      <c r="X991" s="40">
        <f>IF(W991=0,0,W991+V991-U991)</f>
        <v>0</v>
      </c>
      <c r="Y991" s="36">
        <f>IF(W991=0,0,N(R991)*MAX(0,X991-MAX(W991,YEAR(Cfg_Hoje)*12+MONTH(Cfg_Hoje)+IF(DAY(Cfg_Hoje)&gt;=INDEX(Cartoes_Fech,MATCH($F991,Cartoes_Nome,0)),1,0))+1))</f>
        <v>0</v>
      </c>
      <c r="Z991" s="40">
        <f>IF($A991="",0,DAY($A991))</f>
        <v>0</v>
      </c>
      <c r="AA991" s="40">
        <f>IF($A991="",0,WEEKDAY($A991))</f>
        <v>0</v>
      </c>
      <c r="AB991" s="36">
        <f>IF(AND($C991="Despesa",U991&gt;0,U991&lt;=Sel_Idx,V991&gt;=Sel_Idx),N(R991)+ROW()/1000000000,0)</f>
        <v>0</v>
      </c>
      <c r="AC991" s="40">
        <f>IF(AND($C991="Despesa",U991&gt;0,U991&lt;=Sel_Idx,V991&gt;=Sel_Idx),Z991*10000+ROW(),0)</f>
        <v>0</v>
      </c>
      <c r="AD991" s="40">
        <f>IF(AC991=0,0,COUNTIFS(L_CalChave,"&gt;0",L_CalChave,"&lt;"&amp;AC991)+1)</f>
        <v>0</v>
      </c>
    </row>
    <row r="992">
      <c r="A992" s="38" t="n"/>
      <c r="B992" s="39" t="n"/>
      <c r="C992" s="34" t="n"/>
      <c r="D992" s="34" t="n"/>
      <c r="E992" s="34" t="n"/>
      <c r="F992" s="34" t="n"/>
      <c r="G992" s="34" t="n"/>
      <c r="H992" s="37" t="n"/>
      <c r="I992" s="37" t="n"/>
      <c r="J992" s="34" t="n"/>
      <c r="K992" s="34" t="n"/>
      <c r="L992" s="34" t="n"/>
      <c r="M992" s="39" t="n"/>
      <c r="N992" s="35" t="n"/>
      <c r="O992" s="40" t="str">
        <f>IF($A992="","",MONTH($A992))</f>
        <v/>
      </c>
      <c r="P992" s="40" t="str">
        <f>IF($A992="","",YEAR($A992))</f>
        <v/>
      </c>
      <c r="Q992" s="41" t="str">
        <f>IF($A992="","",DATE(P992,O992,1))</f>
        <v/>
      </c>
      <c r="R992" s="36" t="str">
        <f>IF(OR($A992="",$N992=""),"",IF(AND($C992&lt;&gt;"Transferência",N($I992)&gt;1),$N992/$I992,$N992))</f>
        <v/>
      </c>
      <c r="S992" s="41" t="str">
        <f>IF(OR($A992="",$F992="",$C992&lt;&gt;"Despesa"),"",IF(COUNTIF(Cartoes_Nome,$F992)=0,"",DATE(P992,O992+IF(DAY($A992)&gt;=INDEX(Cartoes_Fech,MATCH($F992,Cartoes_Nome,0)),1,0),1)))</f>
        <v/>
      </c>
      <c r="T992" s="42" t="str">
        <f>IF($A992="","",IF(COUNTIFS(L_Data,$A992,L_Desc,$B992,L_Valor,$N992,L_Tipo,$C992)&gt;1,"⚠ Possível duplicidade",IF(OR(AND($C992="Despesa",COUNTIF(CatD_Nome,$D992)=0),AND($C992="Receita",COUNTIF(CatR_Nome,$D992)=0)),"⚠ Categoria não combina com o tipo",IF(OR($N992="",$C992=""),"⚠ Falta valor ou tipo",""))))</f>
        <v/>
      </c>
      <c r="U992" s="40">
        <f>IF($A992="",0,P992*12+O992)</f>
        <v>0</v>
      </c>
      <c r="V992" s="40">
        <f>IF($A992="",0,U992+MAX(0,N($I992)-MAX(N($H992),1)))</f>
        <v>0</v>
      </c>
      <c r="W992" s="40">
        <f>IF(S992="",0,YEAR(S992)*12+MONTH(S992))</f>
        <v>0</v>
      </c>
      <c r="X992" s="40">
        <f>IF(W992=0,0,W992+V992-U992)</f>
        <v>0</v>
      </c>
      <c r="Y992" s="36">
        <f>IF(W992=0,0,N(R992)*MAX(0,X992-MAX(W992,YEAR(Cfg_Hoje)*12+MONTH(Cfg_Hoje)+IF(DAY(Cfg_Hoje)&gt;=INDEX(Cartoes_Fech,MATCH($F992,Cartoes_Nome,0)),1,0))+1))</f>
        <v>0</v>
      </c>
      <c r="Z992" s="40">
        <f>IF($A992="",0,DAY($A992))</f>
        <v>0</v>
      </c>
      <c r="AA992" s="40">
        <f>IF($A992="",0,WEEKDAY($A992))</f>
        <v>0</v>
      </c>
      <c r="AB992" s="36">
        <f>IF(AND($C992="Despesa",U992&gt;0,U992&lt;=Sel_Idx,V992&gt;=Sel_Idx),N(R992)+ROW()/1000000000,0)</f>
        <v>0</v>
      </c>
      <c r="AC992" s="40">
        <f>IF(AND($C992="Despesa",U992&gt;0,U992&lt;=Sel_Idx,V992&gt;=Sel_Idx),Z992*10000+ROW(),0)</f>
        <v>0</v>
      </c>
      <c r="AD992" s="40">
        <f>IF(AC992=0,0,COUNTIFS(L_CalChave,"&gt;0",L_CalChave,"&lt;"&amp;AC992)+1)</f>
        <v>0</v>
      </c>
    </row>
    <row r="993">
      <c r="A993" s="38" t="n"/>
      <c r="B993" s="39" t="n"/>
      <c r="C993" s="34" t="n"/>
      <c r="D993" s="34" t="n"/>
      <c r="E993" s="34" t="n"/>
      <c r="F993" s="34" t="n"/>
      <c r="G993" s="34" t="n"/>
      <c r="H993" s="37" t="n"/>
      <c r="I993" s="37" t="n"/>
      <c r="J993" s="34" t="n"/>
      <c r="K993" s="34" t="n"/>
      <c r="L993" s="34" t="n"/>
      <c r="M993" s="39" t="n"/>
      <c r="N993" s="35" t="n"/>
      <c r="O993" s="40" t="str">
        <f>IF($A993="","",MONTH($A993))</f>
        <v/>
      </c>
      <c r="P993" s="40" t="str">
        <f>IF($A993="","",YEAR($A993))</f>
        <v/>
      </c>
      <c r="Q993" s="41" t="str">
        <f>IF($A993="","",DATE(P993,O993,1))</f>
        <v/>
      </c>
      <c r="R993" s="36" t="str">
        <f>IF(OR($A993="",$N993=""),"",IF(AND($C993&lt;&gt;"Transferência",N($I993)&gt;1),$N993/$I993,$N993))</f>
        <v/>
      </c>
      <c r="S993" s="41" t="str">
        <f>IF(OR($A993="",$F993="",$C993&lt;&gt;"Despesa"),"",IF(COUNTIF(Cartoes_Nome,$F993)=0,"",DATE(P993,O993+IF(DAY($A993)&gt;=INDEX(Cartoes_Fech,MATCH($F993,Cartoes_Nome,0)),1,0),1)))</f>
        <v/>
      </c>
      <c r="T993" s="42" t="str">
        <f>IF($A993="","",IF(COUNTIFS(L_Data,$A993,L_Desc,$B993,L_Valor,$N993,L_Tipo,$C993)&gt;1,"⚠ Possível duplicidade",IF(OR(AND($C993="Despesa",COUNTIF(CatD_Nome,$D993)=0),AND($C993="Receita",COUNTIF(CatR_Nome,$D993)=0)),"⚠ Categoria não combina com o tipo",IF(OR($N993="",$C993=""),"⚠ Falta valor ou tipo",""))))</f>
        <v/>
      </c>
      <c r="U993" s="40">
        <f>IF($A993="",0,P993*12+O993)</f>
        <v>0</v>
      </c>
      <c r="V993" s="40">
        <f>IF($A993="",0,U993+MAX(0,N($I993)-MAX(N($H993),1)))</f>
        <v>0</v>
      </c>
      <c r="W993" s="40">
        <f>IF(S993="",0,YEAR(S993)*12+MONTH(S993))</f>
        <v>0</v>
      </c>
      <c r="X993" s="40">
        <f>IF(W993=0,0,W993+V993-U993)</f>
        <v>0</v>
      </c>
      <c r="Y993" s="36">
        <f>IF(W993=0,0,N(R993)*MAX(0,X993-MAX(W993,YEAR(Cfg_Hoje)*12+MONTH(Cfg_Hoje)+IF(DAY(Cfg_Hoje)&gt;=INDEX(Cartoes_Fech,MATCH($F993,Cartoes_Nome,0)),1,0))+1))</f>
        <v>0</v>
      </c>
      <c r="Z993" s="40">
        <f>IF($A993="",0,DAY($A993))</f>
        <v>0</v>
      </c>
      <c r="AA993" s="40">
        <f>IF($A993="",0,WEEKDAY($A993))</f>
        <v>0</v>
      </c>
      <c r="AB993" s="36">
        <f>IF(AND($C993="Despesa",U993&gt;0,U993&lt;=Sel_Idx,V993&gt;=Sel_Idx),N(R993)+ROW()/1000000000,0)</f>
        <v>0</v>
      </c>
      <c r="AC993" s="40">
        <f>IF(AND($C993="Despesa",U993&gt;0,U993&lt;=Sel_Idx,V993&gt;=Sel_Idx),Z993*10000+ROW(),0)</f>
        <v>0</v>
      </c>
      <c r="AD993" s="40">
        <f>IF(AC993=0,0,COUNTIFS(L_CalChave,"&gt;0",L_CalChave,"&lt;"&amp;AC993)+1)</f>
        <v>0</v>
      </c>
    </row>
    <row r="994">
      <c r="A994" s="38" t="n"/>
      <c r="B994" s="39" t="n"/>
      <c r="C994" s="34" t="n"/>
      <c r="D994" s="34" t="n"/>
      <c r="E994" s="34" t="n"/>
      <c r="F994" s="34" t="n"/>
      <c r="G994" s="34" t="n"/>
      <c r="H994" s="37" t="n"/>
      <c r="I994" s="37" t="n"/>
      <c r="J994" s="34" t="n"/>
      <c r="K994" s="34" t="n"/>
      <c r="L994" s="34" t="n"/>
      <c r="M994" s="39" t="n"/>
      <c r="N994" s="35" t="n"/>
      <c r="O994" s="40" t="str">
        <f>IF($A994="","",MONTH($A994))</f>
        <v/>
      </c>
      <c r="P994" s="40" t="str">
        <f>IF($A994="","",YEAR($A994))</f>
        <v/>
      </c>
      <c r="Q994" s="41" t="str">
        <f>IF($A994="","",DATE(P994,O994,1))</f>
        <v/>
      </c>
      <c r="R994" s="36" t="str">
        <f>IF(OR($A994="",$N994=""),"",IF(AND($C994&lt;&gt;"Transferência",N($I994)&gt;1),$N994/$I994,$N994))</f>
        <v/>
      </c>
      <c r="S994" s="41" t="str">
        <f>IF(OR($A994="",$F994="",$C994&lt;&gt;"Despesa"),"",IF(COUNTIF(Cartoes_Nome,$F994)=0,"",DATE(P994,O994+IF(DAY($A994)&gt;=INDEX(Cartoes_Fech,MATCH($F994,Cartoes_Nome,0)),1,0),1)))</f>
        <v/>
      </c>
      <c r="T994" s="42" t="str">
        <f>IF($A994="","",IF(COUNTIFS(L_Data,$A994,L_Desc,$B994,L_Valor,$N994,L_Tipo,$C994)&gt;1,"⚠ Possível duplicidade",IF(OR(AND($C994="Despesa",COUNTIF(CatD_Nome,$D994)=0),AND($C994="Receita",COUNTIF(CatR_Nome,$D994)=0)),"⚠ Categoria não combina com o tipo",IF(OR($N994="",$C994=""),"⚠ Falta valor ou tipo",""))))</f>
        <v/>
      </c>
      <c r="U994" s="40">
        <f>IF($A994="",0,P994*12+O994)</f>
        <v>0</v>
      </c>
      <c r="V994" s="40">
        <f>IF($A994="",0,U994+MAX(0,N($I994)-MAX(N($H994),1)))</f>
        <v>0</v>
      </c>
      <c r="W994" s="40">
        <f>IF(S994="",0,YEAR(S994)*12+MONTH(S994))</f>
        <v>0</v>
      </c>
      <c r="X994" s="40">
        <f>IF(W994=0,0,W994+V994-U994)</f>
        <v>0</v>
      </c>
      <c r="Y994" s="36">
        <f>IF(W994=0,0,N(R994)*MAX(0,X994-MAX(W994,YEAR(Cfg_Hoje)*12+MONTH(Cfg_Hoje)+IF(DAY(Cfg_Hoje)&gt;=INDEX(Cartoes_Fech,MATCH($F994,Cartoes_Nome,0)),1,0))+1))</f>
        <v>0</v>
      </c>
      <c r="Z994" s="40">
        <f>IF($A994="",0,DAY($A994))</f>
        <v>0</v>
      </c>
      <c r="AA994" s="40">
        <f>IF($A994="",0,WEEKDAY($A994))</f>
        <v>0</v>
      </c>
      <c r="AB994" s="36">
        <f>IF(AND($C994="Despesa",U994&gt;0,U994&lt;=Sel_Idx,V994&gt;=Sel_Idx),N(R994)+ROW()/1000000000,0)</f>
        <v>0</v>
      </c>
      <c r="AC994" s="40">
        <f>IF(AND($C994="Despesa",U994&gt;0,U994&lt;=Sel_Idx,V994&gt;=Sel_Idx),Z994*10000+ROW(),0)</f>
        <v>0</v>
      </c>
      <c r="AD994" s="40">
        <f>IF(AC994=0,0,COUNTIFS(L_CalChave,"&gt;0",L_CalChave,"&lt;"&amp;AC994)+1)</f>
        <v>0</v>
      </c>
    </row>
    <row r="995">
      <c r="A995" s="38" t="n"/>
      <c r="B995" s="39" t="n"/>
      <c r="C995" s="34" t="n"/>
      <c r="D995" s="34" t="n"/>
      <c r="E995" s="34" t="n"/>
      <c r="F995" s="34" t="n"/>
      <c r="G995" s="34" t="n"/>
      <c r="H995" s="37" t="n"/>
      <c r="I995" s="37" t="n"/>
      <c r="J995" s="34" t="n"/>
      <c r="K995" s="34" t="n"/>
      <c r="L995" s="34" t="n"/>
      <c r="M995" s="39" t="n"/>
      <c r="N995" s="35" t="n"/>
      <c r="O995" s="40" t="str">
        <f>IF($A995="","",MONTH($A995))</f>
        <v/>
      </c>
      <c r="P995" s="40" t="str">
        <f>IF($A995="","",YEAR($A995))</f>
        <v/>
      </c>
      <c r="Q995" s="41" t="str">
        <f>IF($A995="","",DATE(P995,O995,1))</f>
        <v/>
      </c>
      <c r="R995" s="36" t="str">
        <f>IF(OR($A995="",$N995=""),"",IF(AND($C995&lt;&gt;"Transferência",N($I995)&gt;1),$N995/$I995,$N995))</f>
        <v/>
      </c>
      <c r="S995" s="41" t="str">
        <f>IF(OR($A995="",$F995="",$C995&lt;&gt;"Despesa"),"",IF(COUNTIF(Cartoes_Nome,$F995)=0,"",DATE(P995,O995+IF(DAY($A995)&gt;=INDEX(Cartoes_Fech,MATCH($F995,Cartoes_Nome,0)),1,0),1)))</f>
        <v/>
      </c>
      <c r="T995" s="42" t="str">
        <f>IF($A995="","",IF(COUNTIFS(L_Data,$A995,L_Desc,$B995,L_Valor,$N995,L_Tipo,$C995)&gt;1,"⚠ Possível duplicidade",IF(OR(AND($C995="Despesa",COUNTIF(CatD_Nome,$D995)=0),AND($C995="Receita",COUNTIF(CatR_Nome,$D995)=0)),"⚠ Categoria não combina com o tipo",IF(OR($N995="",$C995=""),"⚠ Falta valor ou tipo",""))))</f>
        <v/>
      </c>
      <c r="U995" s="40">
        <f>IF($A995="",0,P995*12+O995)</f>
        <v>0</v>
      </c>
      <c r="V995" s="40">
        <f>IF($A995="",0,U995+MAX(0,N($I995)-MAX(N($H995),1)))</f>
        <v>0</v>
      </c>
      <c r="W995" s="40">
        <f>IF(S995="",0,YEAR(S995)*12+MONTH(S995))</f>
        <v>0</v>
      </c>
      <c r="X995" s="40">
        <f>IF(W995=0,0,W995+V995-U995)</f>
        <v>0</v>
      </c>
      <c r="Y995" s="36">
        <f>IF(W995=0,0,N(R995)*MAX(0,X995-MAX(W995,YEAR(Cfg_Hoje)*12+MONTH(Cfg_Hoje)+IF(DAY(Cfg_Hoje)&gt;=INDEX(Cartoes_Fech,MATCH($F995,Cartoes_Nome,0)),1,0))+1))</f>
        <v>0</v>
      </c>
      <c r="Z995" s="40">
        <f>IF($A995="",0,DAY($A995))</f>
        <v>0</v>
      </c>
      <c r="AA995" s="40">
        <f>IF($A995="",0,WEEKDAY($A995))</f>
        <v>0</v>
      </c>
      <c r="AB995" s="36">
        <f>IF(AND($C995="Despesa",U995&gt;0,U995&lt;=Sel_Idx,V995&gt;=Sel_Idx),N(R995)+ROW()/1000000000,0)</f>
        <v>0</v>
      </c>
      <c r="AC995" s="40">
        <f>IF(AND($C995="Despesa",U995&gt;0,U995&lt;=Sel_Idx,V995&gt;=Sel_Idx),Z995*10000+ROW(),0)</f>
        <v>0</v>
      </c>
      <c r="AD995" s="40">
        <f>IF(AC995=0,0,COUNTIFS(L_CalChave,"&gt;0",L_CalChave,"&lt;"&amp;AC995)+1)</f>
        <v>0</v>
      </c>
    </row>
    <row r="996">
      <c r="A996" s="38" t="n"/>
      <c r="B996" s="39" t="n"/>
      <c r="C996" s="34" t="n"/>
      <c r="D996" s="34" t="n"/>
      <c r="E996" s="34" t="n"/>
      <c r="F996" s="34" t="n"/>
      <c r="G996" s="34" t="n"/>
      <c r="H996" s="37" t="n"/>
      <c r="I996" s="37" t="n"/>
      <c r="J996" s="34" t="n"/>
      <c r="K996" s="34" t="n"/>
      <c r="L996" s="34" t="n"/>
      <c r="M996" s="39" t="n"/>
      <c r="N996" s="35" t="n"/>
      <c r="O996" s="40" t="str">
        <f>IF($A996="","",MONTH($A996))</f>
        <v/>
      </c>
      <c r="P996" s="40" t="str">
        <f>IF($A996="","",YEAR($A996))</f>
        <v/>
      </c>
      <c r="Q996" s="41" t="str">
        <f>IF($A996="","",DATE(P996,O996,1))</f>
        <v/>
      </c>
      <c r="R996" s="36" t="str">
        <f>IF(OR($A996="",$N996=""),"",IF(AND($C996&lt;&gt;"Transferência",N($I996)&gt;1),$N996/$I996,$N996))</f>
        <v/>
      </c>
      <c r="S996" s="41" t="str">
        <f>IF(OR($A996="",$F996="",$C996&lt;&gt;"Despesa"),"",IF(COUNTIF(Cartoes_Nome,$F996)=0,"",DATE(P996,O996+IF(DAY($A996)&gt;=INDEX(Cartoes_Fech,MATCH($F996,Cartoes_Nome,0)),1,0),1)))</f>
        <v/>
      </c>
      <c r="T996" s="42" t="str">
        <f>IF($A996="","",IF(COUNTIFS(L_Data,$A996,L_Desc,$B996,L_Valor,$N996,L_Tipo,$C996)&gt;1,"⚠ Possível duplicidade",IF(OR(AND($C996="Despesa",COUNTIF(CatD_Nome,$D996)=0),AND($C996="Receita",COUNTIF(CatR_Nome,$D996)=0)),"⚠ Categoria não combina com o tipo",IF(OR($N996="",$C996=""),"⚠ Falta valor ou tipo",""))))</f>
        <v/>
      </c>
      <c r="U996" s="40">
        <f>IF($A996="",0,P996*12+O996)</f>
        <v>0</v>
      </c>
      <c r="V996" s="40">
        <f>IF($A996="",0,U996+MAX(0,N($I996)-MAX(N($H996),1)))</f>
        <v>0</v>
      </c>
      <c r="W996" s="40">
        <f>IF(S996="",0,YEAR(S996)*12+MONTH(S996))</f>
        <v>0</v>
      </c>
      <c r="X996" s="40">
        <f>IF(W996=0,0,W996+V996-U996)</f>
        <v>0</v>
      </c>
      <c r="Y996" s="36">
        <f>IF(W996=0,0,N(R996)*MAX(0,X996-MAX(W996,YEAR(Cfg_Hoje)*12+MONTH(Cfg_Hoje)+IF(DAY(Cfg_Hoje)&gt;=INDEX(Cartoes_Fech,MATCH($F996,Cartoes_Nome,0)),1,0))+1))</f>
        <v>0</v>
      </c>
      <c r="Z996" s="40">
        <f>IF($A996="",0,DAY($A996))</f>
        <v>0</v>
      </c>
      <c r="AA996" s="40">
        <f>IF($A996="",0,WEEKDAY($A996))</f>
        <v>0</v>
      </c>
      <c r="AB996" s="36">
        <f>IF(AND($C996="Despesa",U996&gt;0,U996&lt;=Sel_Idx,V996&gt;=Sel_Idx),N(R996)+ROW()/1000000000,0)</f>
        <v>0</v>
      </c>
      <c r="AC996" s="40">
        <f>IF(AND($C996="Despesa",U996&gt;0,U996&lt;=Sel_Idx,V996&gt;=Sel_Idx),Z996*10000+ROW(),0)</f>
        <v>0</v>
      </c>
      <c r="AD996" s="40">
        <f>IF(AC996=0,0,COUNTIFS(L_CalChave,"&gt;0",L_CalChave,"&lt;"&amp;AC996)+1)</f>
        <v>0</v>
      </c>
    </row>
    <row r="997">
      <c r="A997" s="38" t="n"/>
      <c r="B997" s="39" t="n"/>
      <c r="C997" s="34" t="n"/>
      <c r="D997" s="34" t="n"/>
      <c r="E997" s="34" t="n"/>
      <c r="F997" s="34" t="n"/>
      <c r="G997" s="34" t="n"/>
      <c r="H997" s="37" t="n"/>
      <c r="I997" s="37" t="n"/>
      <c r="J997" s="34" t="n"/>
      <c r="K997" s="34" t="n"/>
      <c r="L997" s="34" t="n"/>
      <c r="M997" s="39" t="n"/>
      <c r="N997" s="35" t="n"/>
      <c r="O997" s="40" t="str">
        <f>IF($A997="","",MONTH($A997))</f>
        <v/>
      </c>
      <c r="P997" s="40" t="str">
        <f>IF($A997="","",YEAR($A997))</f>
        <v/>
      </c>
      <c r="Q997" s="41" t="str">
        <f>IF($A997="","",DATE(P997,O997,1))</f>
        <v/>
      </c>
      <c r="R997" s="36" t="str">
        <f>IF(OR($A997="",$N997=""),"",IF(AND($C997&lt;&gt;"Transferência",N($I997)&gt;1),$N997/$I997,$N997))</f>
        <v/>
      </c>
      <c r="S997" s="41" t="str">
        <f>IF(OR($A997="",$F997="",$C997&lt;&gt;"Despesa"),"",IF(COUNTIF(Cartoes_Nome,$F997)=0,"",DATE(P997,O997+IF(DAY($A997)&gt;=INDEX(Cartoes_Fech,MATCH($F997,Cartoes_Nome,0)),1,0),1)))</f>
        <v/>
      </c>
      <c r="T997" s="42" t="str">
        <f>IF($A997="","",IF(COUNTIFS(L_Data,$A997,L_Desc,$B997,L_Valor,$N997,L_Tipo,$C997)&gt;1,"⚠ Possível duplicidade",IF(OR(AND($C997="Despesa",COUNTIF(CatD_Nome,$D997)=0),AND($C997="Receita",COUNTIF(CatR_Nome,$D997)=0)),"⚠ Categoria não combina com o tipo",IF(OR($N997="",$C997=""),"⚠ Falta valor ou tipo",""))))</f>
        <v/>
      </c>
      <c r="U997" s="40">
        <f>IF($A997="",0,P997*12+O997)</f>
        <v>0</v>
      </c>
      <c r="V997" s="40">
        <f>IF($A997="",0,U997+MAX(0,N($I997)-MAX(N($H997),1)))</f>
        <v>0</v>
      </c>
      <c r="W997" s="40">
        <f>IF(S997="",0,YEAR(S997)*12+MONTH(S997))</f>
        <v>0</v>
      </c>
      <c r="X997" s="40">
        <f>IF(W997=0,0,W997+V997-U997)</f>
        <v>0</v>
      </c>
      <c r="Y997" s="36">
        <f>IF(W997=0,0,N(R997)*MAX(0,X997-MAX(W997,YEAR(Cfg_Hoje)*12+MONTH(Cfg_Hoje)+IF(DAY(Cfg_Hoje)&gt;=INDEX(Cartoes_Fech,MATCH($F997,Cartoes_Nome,0)),1,0))+1))</f>
        <v>0</v>
      </c>
      <c r="Z997" s="40">
        <f>IF($A997="",0,DAY($A997))</f>
        <v>0</v>
      </c>
      <c r="AA997" s="40">
        <f>IF($A997="",0,WEEKDAY($A997))</f>
        <v>0</v>
      </c>
      <c r="AB997" s="36">
        <f>IF(AND($C997="Despesa",U997&gt;0,U997&lt;=Sel_Idx,V997&gt;=Sel_Idx),N(R997)+ROW()/1000000000,0)</f>
        <v>0</v>
      </c>
      <c r="AC997" s="40">
        <f>IF(AND($C997="Despesa",U997&gt;0,U997&lt;=Sel_Idx,V997&gt;=Sel_Idx),Z997*10000+ROW(),0)</f>
        <v>0</v>
      </c>
      <c r="AD997" s="40">
        <f>IF(AC997=0,0,COUNTIFS(L_CalChave,"&gt;0",L_CalChave,"&lt;"&amp;AC997)+1)</f>
        <v>0</v>
      </c>
    </row>
    <row r="998">
      <c r="A998" s="38" t="n"/>
      <c r="B998" s="39" t="n"/>
      <c r="C998" s="34" t="n"/>
      <c r="D998" s="34" t="n"/>
      <c r="E998" s="34" t="n"/>
      <c r="F998" s="34" t="n"/>
      <c r="G998" s="34" t="n"/>
      <c r="H998" s="37" t="n"/>
      <c r="I998" s="37" t="n"/>
      <c r="J998" s="34" t="n"/>
      <c r="K998" s="34" t="n"/>
      <c r="L998" s="34" t="n"/>
      <c r="M998" s="39" t="n"/>
      <c r="N998" s="35" t="n"/>
      <c r="O998" s="40" t="str">
        <f>IF($A998="","",MONTH($A998))</f>
        <v/>
      </c>
      <c r="P998" s="40" t="str">
        <f>IF($A998="","",YEAR($A998))</f>
        <v/>
      </c>
      <c r="Q998" s="41" t="str">
        <f>IF($A998="","",DATE(P998,O998,1))</f>
        <v/>
      </c>
      <c r="R998" s="36" t="str">
        <f>IF(OR($A998="",$N998=""),"",IF(AND($C998&lt;&gt;"Transferência",N($I998)&gt;1),$N998/$I998,$N998))</f>
        <v/>
      </c>
      <c r="S998" s="41" t="str">
        <f>IF(OR($A998="",$F998="",$C998&lt;&gt;"Despesa"),"",IF(COUNTIF(Cartoes_Nome,$F998)=0,"",DATE(P998,O998+IF(DAY($A998)&gt;=INDEX(Cartoes_Fech,MATCH($F998,Cartoes_Nome,0)),1,0),1)))</f>
        <v/>
      </c>
      <c r="T998" s="42" t="str">
        <f>IF($A998="","",IF(COUNTIFS(L_Data,$A998,L_Desc,$B998,L_Valor,$N998,L_Tipo,$C998)&gt;1,"⚠ Possível duplicidade",IF(OR(AND($C998="Despesa",COUNTIF(CatD_Nome,$D998)=0),AND($C998="Receita",COUNTIF(CatR_Nome,$D998)=0)),"⚠ Categoria não combina com o tipo",IF(OR($N998="",$C998=""),"⚠ Falta valor ou tipo",""))))</f>
        <v/>
      </c>
      <c r="U998" s="40">
        <f>IF($A998="",0,P998*12+O998)</f>
        <v>0</v>
      </c>
      <c r="V998" s="40">
        <f>IF($A998="",0,U998+MAX(0,N($I998)-MAX(N($H998),1)))</f>
        <v>0</v>
      </c>
      <c r="W998" s="40">
        <f>IF(S998="",0,YEAR(S998)*12+MONTH(S998))</f>
        <v>0</v>
      </c>
      <c r="X998" s="40">
        <f>IF(W998=0,0,W998+V998-U998)</f>
        <v>0</v>
      </c>
      <c r="Y998" s="36">
        <f>IF(W998=0,0,N(R998)*MAX(0,X998-MAX(W998,YEAR(Cfg_Hoje)*12+MONTH(Cfg_Hoje)+IF(DAY(Cfg_Hoje)&gt;=INDEX(Cartoes_Fech,MATCH($F998,Cartoes_Nome,0)),1,0))+1))</f>
        <v>0</v>
      </c>
      <c r="Z998" s="40">
        <f>IF($A998="",0,DAY($A998))</f>
        <v>0</v>
      </c>
      <c r="AA998" s="40">
        <f>IF($A998="",0,WEEKDAY($A998))</f>
        <v>0</v>
      </c>
      <c r="AB998" s="36">
        <f>IF(AND($C998="Despesa",U998&gt;0,U998&lt;=Sel_Idx,V998&gt;=Sel_Idx),N(R998)+ROW()/1000000000,0)</f>
        <v>0</v>
      </c>
      <c r="AC998" s="40">
        <f>IF(AND($C998="Despesa",U998&gt;0,U998&lt;=Sel_Idx,V998&gt;=Sel_Idx),Z998*10000+ROW(),0)</f>
        <v>0</v>
      </c>
      <c r="AD998" s="40">
        <f>IF(AC998=0,0,COUNTIFS(L_CalChave,"&gt;0",L_CalChave,"&lt;"&amp;AC998)+1)</f>
        <v>0</v>
      </c>
    </row>
    <row r="999">
      <c r="A999" s="38" t="n"/>
      <c r="B999" s="39" t="n"/>
      <c r="C999" s="34" t="n"/>
      <c r="D999" s="34" t="n"/>
      <c r="E999" s="34" t="n"/>
      <c r="F999" s="34" t="n"/>
      <c r="G999" s="34" t="n"/>
      <c r="H999" s="37" t="n"/>
      <c r="I999" s="37" t="n"/>
      <c r="J999" s="34" t="n"/>
      <c r="K999" s="34" t="n"/>
      <c r="L999" s="34" t="n"/>
      <c r="M999" s="39" t="n"/>
      <c r="N999" s="35" t="n"/>
      <c r="O999" s="40" t="str">
        <f>IF($A999="","",MONTH($A999))</f>
        <v/>
      </c>
      <c r="P999" s="40" t="str">
        <f>IF($A999="","",YEAR($A999))</f>
        <v/>
      </c>
      <c r="Q999" s="41" t="str">
        <f>IF($A999="","",DATE(P999,O999,1))</f>
        <v/>
      </c>
      <c r="R999" s="36" t="str">
        <f>IF(OR($A999="",$N999=""),"",IF(AND($C999&lt;&gt;"Transferência",N($I999)&gt;1),$N999/$I999,$N999))</f>
        <v/>
      </c>
      <c r="S999" s="41" t="str">
        <f>IF(OR($A999="",$F999="",$C999&lt;&gt;"Despesa"),"",IF(COUNTIF(Cartoes_Nome,$F999)=0,"",DATE(P999,O999+IF(DAY($A999)&gt;=INDEX(Cartoes_Fech,MATCH($F999,Cartoes_Nome,0)),1,0),1)))</f>
        <v/>
      </c>
      <c r="T999" s="42" t="str">
        <f>IF($A999="","",IF(COUNTIFS(L_Data,$A999,L_Desc,$B999,L_Valor,$N999,L_Tipo,$C999)&gt;1,"⚠ Possível duplicidade",IF(OR(AND($C999="Despesa",COUNTIF(CatD_Nome,$D999)=0),AND($C999="Receita",COUNTIF(CatR_Nome,$D999)=0)),"⚠ Categoria não combina com o tipo",IF(OR($N999="",$C999=""),"⚠ Falta valor ou tipo",""))))</f>
        <v/>
      </c>
      <c r="U999" s="40">
        <f>IF($A999="",0,P999*12+O999)</f>
        <v>0</v>
      </c>
      <c r="V999" s="40">
        <f>IF($A999="",0,U999+MAX(0,N($I999)-MAX(N($H999),1)))</f>
        <v>0</v>
      </c>
      <c r="W999" s="40">
        <f>IF(S999="",0,YEAR(S999)*12+MONTH(S999))</f>
        <v>0</v>
      </c>
      <c r="X999" s="40">
        <f>IF(W999=0,0,W999+V999-U999)</f>
        <v>0</v>
      </c>
      <c r="Y999" s="36">
        <f>IF(W999=0,0,N(R999)*MAX(0,X999-MAX(W999,YEAR(Cfg_Hoje)*12+MONTH(Cfg_Hoje)+IF(DAY(Cfg_Hoje)&gt;=INDEX(Cartoes_Fech,MATCH($F999,Cartoes_Nome,0)),1,0))+1))</f>
        <v>0</v>
      </c>
      <c r="Z999" s="40">
        <f>IF($A999="",0,DAY($A999))</f>
        <v>0</v>
      </c>
      <c r="AA999" s="40">
        <f>IF($A999="",0,WEEKDAY($A999))</f>
        <v>0</v>
      </c>
      <c r="AB999" s="36">
        <f>IF(AND($C999="Despesa",U999&gt;0,U999&lt;=Sel_Idx,V999&gt;=Sel_Idx),N(R999)+ROW()/1000000000,0)</f>
        <v>0</v>
      </c>
      <c r="AC999" s="40">
        <f>IF(AND($C999="Despesa",U999&gt;0,U999&lt;=Sel_Idx,V999&gt;=Sel_Idx),Z999*10000+ROW(),0)</f>
        <v>0</v>
      </c>
      <c r="AD999" s="40">
        <f>IF(AC999=0,0,COUNTIFS(L_CalChave,"&gt;0",L_CalChave,"&lt;"&amp;AC999)+1)</f>
        <v>0</v>
      </c>
    </row>
    <row r="1000">
      <c r="A1000" s="38" t="n"/>
      <c r="B1000" s="39" t="n"/>
      <c r="C1000" s="34" t="n"/>
      <c r="D1000" s="34" t="n"/>
      <c r="E1000" s="34" t="n"/>
      <c r="F1000" s="34" t="n"/>
      <c r="G1000" s="34" t="n"/>
      <c r="H1000" s="37" t="n"/>
      <c r="I1000" s="37" t="n"/>
      <c r="J1000" s="34" t="n"/>
      <c r="K1000" s="34" t="n"/>
      <c r="L1000" s="34" t="n"/>
      <c r="M1000" s="39" t="n"/>
      <c r="N1000" s="35" t="n"/>
      <c r="O1000" s="40" t="str">
        <f>IF($A1000="","",MONTH($A1000))</f>
        <v/>
      </c>
      <c r="P1000" s="40" t="str">
        <f>IF($A1000="","",YEAR($A1000))</f>
        <v/>
      </c>
      <c r="Q1000" s="41" t="str">
        <f>IF($A1000="","",DATE(P1000,O1000,1))</f>
        <v/>
      </c>
      <c r="R1000" s="36" t="str">
        <f>IF(OR($A1000="",$N1000=""),"",IF(AND($C1000&lt;&gt;"Transferência",N($I1000)&gt;1),$N1000/$I1000,$N1000))</f>
        <v/>
      </c>
      <c r="S1000" s="41" t="str">
        <f>IF(OR($A1000="",$F1000="",$C1000&lt;&gt;"Despesa"),"",IF(COUNTIF(Cartoes_Nome,$F1000)=0,"",DATE(P1000,O1000+IF(DAY($A1000)&gt;=INDEX(Cartoes_Fech,MATCH($F1000,Cartoes_Nome,0)),1,0),1)))</f>
        <v/>
      </c>
      <c r="T1000" s="42" t="str">
        <f>IF($A1000="","",IF(COUNTIFS(L_Data,$A1000,L_Desc,$B1000,L_Valor,$N1000,L_Tipo,$C1000)&gt;1,"⚠ Possível duplicidade",IF(OR(AND($C1000="Despesa",COUNTIF(CatD_Nome,$D1000)=0),AND($C1000="Receita",COUNTIF(CatR_Nome,$D1000)=0)),"⚠ Categoria não combina com o tipo",IF(OR($N1000="",$C1000=""),"⚠ Falta valor ou tipo",""))))</f>
        <v/>
      </c>
      <c r="U1000" s="40">
        <f>IF($A1000="",0,P1000*12+O1000)</f>
        <v>0</v>
      </c>
      <c r="V1000" s="40">
        <f>IF($A1000="",0,U1000+MAX(0,N($I1000)-MAX(N($H1000),1)))</f>
        <v>0</v>
      </c>
      <c r="W1000" s="40">
        <f>IF(S1000="",0,YEAR(S1000)*12+MONTH(S1000))</f>
        <v>0</v>
      </c>
      <c r="X1000" s="40">
        <f>IF(W1000=0,0,W1000+V1000-U1000)</f>
        <v>0</v>
      </c>
      <c r="Y1000" s="36">
        <f>IF(W1000=0,0,N(R1000)*MAX(0,X1000-MAX(W1000,YEAR(Cfg_Hoje)*12+MONTH(Cfg_Hoje)+IF(DAY(Cfg_Hoje)&gt;=INDEX(Cartoes_Fech,MATCH($F1000,Cartoes_Nome,0)),1,0))+1))</f>
        <v>0</v>
      </c>
      <c r="Z1000" s="40">
        <f>IF($A1000="",0,DAY($A1000))</f>
        <v>0</v>
      </c>
      <c r="AA1000" s="40">
        <f>IF($A1000="",0,WEEKDAY($A1000))</f>
        <v>0</v>
      </c>
      <c r="AB1000" s="36">
        <f>IF(AND($C1000="Despesa",U1000&gt;0,U1000&lt;=Sel_Idx,V1000&gt;=Sel_Idx),N(R1000)+ROW()/1000000000,0)</f>
        <v>0</v>
      </c>
      <c r="AC1000" s="40">
        <f>IF(AND($C1000="Despesa",U1000&gt;0,U1000&lt;=Sel_Idx,V1000&gt;=Sel_Idx),Z1000*10000+ROW(),0)</f>
        <v>0</v>
      </c>
      <c r="AD1000" s="40">
        <f>IF(AC1000=0,0,COUNTIFS(L_CalChave,"&gt;0",L_CalChave,"&lt;"&amp;AC1000)+1)</f>
        <v>0</v>
      </c>
    </row>
    <row r="1001">
      <c r="A1001" s="38" t="n"/>
      <c r="B1001" s="39" t="n"/>
      <c r="C1001" s="34" t="n"/>
      <c r="D1001" s="34" t="n"/>
      <c r="E1001" s="34" t="n"/>
      <c r="F1001" s="34" t="n"/>
      <c r="G1001" s="34" t="n"/>
      <c r="H1001" s="37" t="n"/>
      <c r="I1001" s="37" t="n"/>
      <c r="J1001" s="34" t="n"/>
      <c r="K1001" s="34" t="n"/>
      <c r="L1001" s="34" t="n"/>
      <c r="M1001" s="39" t="n"/>
      <c r="N1001" s="35" t="n"/>
      <c r="O1001" s="40" t="str">
        <f>IF($A1001="","",MONTH($A1001))</f>
        <v/>
      </c>
      <c r="P1001" s="40" t="str">
        <f>IF($A1001="","",YEAR($A1001))</f>
        <v/>
      </c>
      <c r="Q1001" s="41" t="str">
        <f>IF($A1001="","",DATE(P1001,O1001,1))</f>
        <v/>
      </c>
      <c r="R1001" s="36" t="str">
        <f>IF(OR($A1001="",$N1001=""),"",IF(AND($C1001&lt;&gt;"Transferência",N($I1001)&gt;1),$N1001/$I1001,$N1001))</f>
        <v/>
      </c>
      <c r="S1001" s="41" t="str">
        <f>IF(OR($A1001="",$F1001="",$C1001&lt;&gt;"Despesa"),"",IF(COUNTIF(Cartoes_Nome,$F1001)=0,"",DATE(P1001,O1001+IF(DAY($A1001)&gt;=INDEX(Cartoes_Fech,MATCH($F1001,Cartoes_Nome,0)),1,0),1)))</f>
        <v/>
      </c>
      <c r="T1001" s="42" t="str">
        <f>IF($A1001="","",IF(COUNTIFS(L_Data,$A1001,L_Desc,$B1001,L_Valor,$N1001,L_Tipo,$C1001)&gt;1,"⚠ Possível duplicidade",IF(OR(AND($C1001="Despesa",COUNTIF(CatD_Nome,$D1001)=0),AND($C1001="Receita",COUNTIF(CatR_Nome,$D1001)=0)),"⚠ Categoria não combina com o tipo",IF(OR($N1001="",$C1001=""),"⚠ Falta valor ou tipo",""))))</f>
        <v/>
      </c>
      <c r="U1001" s="40">
        <f>IF($A1001="",0,P1001*12+O1001)</f>
        <v>0</v>
      </c>
      <c r="V1001" s="40">
        <f>IF($A1001="",0,U1001+MAX(0,N($I1001)-MAX(N($H1001),1)))</f>
        <v>0</v>
      </c>
      <c r="W1001" s="40">
        <f>IF(S1001="",0,YEAR(S1001)*12+MONTH(S1001))</f>
        <v>0</v>
      </c>
      <c r="X1001" s="40">
        <f>IF(W1001=0,0,W1001+V1001-U1001)</f>
        <v>0</v>
      </c>
      <c r="Y1001" s="36">
        <f>IF(W1001=0,0,N(R1001)*MAX(0,X1001-MAX(W1001,YEAR(Cfg_Hoje)*12+MONTH(Cfg_Hoje)+IF(DAY(Cfg_Hoje)&gt;=INDEX(Cartoes_Fech,MATCH($F1001,Cartoes_Nome,0)),1,0))+1))</f>
        <v>0</v>
      </c>
      <c r="Z1001" s="40">
        <f>IF($A1001="",0,DAY($A1001))</f>
        <v>0</v>
      </c>
      <c r="AA1001" s="40">
        <f>IF($A1001="",0,WEEKDAY($A1001))</f>
        <v>0</v>
      </c>
      <c r="AB1001" s="36">
        <f>IF(AND($C1001="Despesa",U1001&gt;0,U1001&lt;=Sel_Idx,V1001&gt;=Sel_Idx),N(R1001)+ROW()/1000000000,0)</f>
        <v>0</v>
      </c>
      <c r="AC1001" s="40">
        <f>IF(AND($C1001="Despesa",U1001&gt;0,U1001&lt;=Sel_Idx,V1001&gt;=Sel_Idx),Z1001*10000+ROW(),0)</f>
        <v>0</v>
      </c>
      <c r="AD1001" s="40">
        <f>IF(AC1001=0,0,COUNTIFS(L_CalChave,"&gt;0",L_CalChave,"&lt;"&amp;AC1001)+1)</f>
        <v>0</v>
      </c>
    </row>
    <row r="1002">
      <c r="A1002" s="38" t="n"/>
      <c r="B1002" s="39" t="n"/>
      <c r="C1002" s="34" t="n"/>
      <c r="D1002" s="34" t="n"/>
      <c r="E1002" s="34" t="n"/>
      <c r="F1002" s="34" t="n"/>
      <c r="G1002" s="34" t="n"/>
      <c r="H1002" s="37" t="n"/>
      <c r="I1002" s="37" t="n"/>
      <c r="J1002" s="34" t="n"/>
      <c r="K1002" s="34" t="n"/>
      <c r="L1002" s="34" t="n"/>
      <c r="M1002" s="39" t="n"/>
      <c r="N1002" s="35" t="n"/>
      <c r="O1002" s="40" t="str">
        <f>IF($A1002="","",MONTH($A1002))</f>
        <v/>
      </c>
      <c r="P1002" s="40" t="str">
        <f>IF($A1002="","",YEAR($A1002))</f>
        <v/>
      </c>
      <c r="Q1002" s="41" t="str">
        <f>IF($A1002="","",DATE(P1002,O1002,1))</f>
        <v/>
      </c>
      <c r="R1002" s="36" t="str">
        <f>IF(OR($A1002="",$N1002=""),"",IF(AND($C1002&lt;&gt;"Transferência",N($I1002)&gt;1),$N1002/$I1002,$N1002))</f>
        <v/>
      </c>
      <c r="S1002" s="41" t="str">
        <f>IF(OR($A1002="",$F1002="",$C1002&lt;&gt;"Despesa"),"",IF(COUNTIF(Cartoes_Nome,$F1002)=0,"",DATE(P1002,O1002+IF(DAY($A1002)&gt;=INDEX(Cartoes_Fech,MATCH($F1002,Cartoes_Nome,0)),1,0),1)))</f>
        <v/>
      </c>
      <c r="T1002" s="42" t="str">
        <f>IF($A1002="","",IF(COUNTIFS(L_Data,$A1002,L_Desc,$B1002,L_Valor,$N1002,L_Tipo,$C1002)&gt;1,"⚠ Possível duplicidade",IF(OR(AND($C1002="Despesa",COUNTIF(CatD_Nome,$D1002)=0),AND($C1002="Receita",COUNTIF(CatR_Nome,$D1002)=0)),"⚠ Categoria não combina com o tipo",IF(OR($N1002="",$C1002=""),"⚠ Falta valor ou tipo",""))))</f>
        <v/>
      </c>
      <c r="U1002" s="40">
        <f>IF($A1002="",0,P1002*12+O1002)</f>
        <v>0</v>
      </c>
      <c r="V1002" s="40">
        <f>IF($A1002="",0,U1002+MAX(0,N($I1002)-MAX(N($H1002),1)))</f>
        <v>0</v>
      </c>
      <c r="W1002" s="40">
        <f>IF(S1002="",0,YEAR(S1002)*12+MONTH(S1002))</f>
        <v>0</v>
      </c>
      <c r="X1002" s="40">
        <f>IF(W1002=0,0,W1002+V1002-U1002)</f>
        <v>0</v>
      </c>
      <c r="Y1002" s="36">
        <f>IF(W1002=0,0,N(R1002)*MAX(0,X1002-MAX(W1002,YEAR(Cfg_Hoje)*12+MONTH(Cfg_Hoje)+IF(DAY(Cfg_Hoje)&gt;=INDEX(Cartoes_Fech,MATCH($F1002,Cartoes_Nome,0)),1,0))+1))</f>
        <v>0</v>
      </c>
      <c r="Z1002" s="40">
        <f>IF($A1002="",0,DAY($A1002))</f>
        <v>0</v>
      </c>
      <c r="AA1002" s="40">
        <f>IF($A1002="",0,WEEKDAY($A1002))</f>
        <v>0</v>
      </c>
      <c r="AB1002" s="36">
        <f>IF(AND($C1002="Despesa",U1002&gt;0,U1002&lt;=Sel_Idx,V1002&gt;=Sel_Idx),N(R1002)+ROW()/1000000000,0)</f>
        <v>0</v>
      </c>
      <c r="AC1002" s="40">
        <f>IF(AND($C1002="Despesa",U1002&gt;0,U1002&lt;=Sel_Idx,V1002&gt;=Sel_Idx),Z1002*10000+ROW(),0)</f>
        <v>0</v>
      </c>
      <c r="AD1002" s="40">
        <f>IF(AC1002=0,0,COUNTIFS(L_CalChave,"&gt;0",L_CalChave,"&lt;"&amp;AC1002)+1)</f>
        <v>0</v>
      </c>
    </row>
    <row r="1003">
      <c r="A1003" s="38" t="n"/>
      <c r="B1003" s="39" t="n"/>
      <c r="C1003" s="34" t="n"/>
      <c r="D1003" s="34" t="n"/>
      <c r="E1003" s="34" t="n"/>
      <c r="F1003" s="34" t="n"/>
      <c r="G1003" s="34" t="n"/>
      <c r="H1003" s="37" t="n"/>
      <c r="I1003" s="37" t="n"/>
      <c r="J1003" s="34" t="n"/>
      <c r="K1003" s="34" t="n"/>
      <c r="L1003" s="34" t="n"/>
      <c r="M1003" s="39" t="n"/>
      <c r="N1003" s="35" t="n"/>
      <c r="O1003" s="40" t="str">
        <f>IF($A1003="","",MONTH($A1003))</f>
        <v/>
      </c>
      <c r="P1003" s="40" t="str">
        <f>IF($A1003="","",YEAR($A1003))</f>
        <v/>
      </c>
      <c r="Q1003" s="41" t="str">
        <f>IF($A1003="","",DATE(P1003,O1003,1))</f>
        <v/>
      </c>
      <c r="R1003" s="36" t="str">
        <f>IF(OR($A1003="",$N1003=""),"",IF(AND($C1003&lt;&gt;"Transferência",N($I1003)&gt;1),$N1003/$I1003,$N1003))</f>
        <v/>
      </c>
      <c r="S1003" s="41" t="str">
        <f>IF(OR($A1003="",$F1003="",$C1003&lt;&gt;"Despesa"),"",IF(COUNTIF(Cartoes_Nome,$F1003)=0,"",DATE(P1003,O1003+IF(DAY($A1003)&gt;=INDEX(Cartoes_Fech,MATCH($F1003,Cartoes_Nome,0)),1,0),1)))</f>
        <v/>
      </c>
      <c r="T1003" s="42" t="str">
        <f>IF($A1003="","",IF(COUNTIFS(L_Data,$A1003,L_Desc,$B1003,L_Valor,$N1003,L_Tipo,$C1003)&gt;1,"⚠ Possível duplicidade",IF(OR(AND($C1003="Despesa",COUNTIF(CatD_Nome,$D1003)=0),AND($C1003="Receita",COUNTIF(CatR_Nome,$D1003)=0)),"⚠ Categoria não combina com o tipo",IF(OR($N1003="",$C1003=""),"⚠ Falta valor ou tipo",""))))</f>
        <v/>
      </c>
      <c r="U1003" s="40">
        <f>IF($A1003="",0,P1003*12+O1003)</f>
        <v>0</v>
      </c>
      <c r="V1003" s="40">
        <f>IF($A1003="",0,U1003+MAX(0,N($I1003)-MAX(N($H1003),1)))</f>
        <v>0</v>
      </c>
      <c r="W1003" s="40">
        <f>IF(S1003="",0,YEAR(S1003)*12+MONTH(S1003))</f>
        <v>0</v>
      </c>
      <c r="X1003" s="40">
        <f>IF(W1003=0,0,W1003+V1003-U1003)</f>
        <v>0</v>
      </c>
      <c r="Y1003" s="36">
        <f>IF(W1003=0,0,N(R1003)*MAX(0,X1003-MAX(W1003,YEAR(Cfg_Hoje)*12+MONTH(Cfg_Hoje)+IF(DAY(Cfg_Hoje)&gt;=INDEX(Cartoes_Fech,MATCH($F1003,Cartoes_Nome,0)),1,0))+1))</f>
        <v>0</v>
      </c>
      <c r="Z1003" s="40">
        <f>IF($A1003="",0,DAY($A1003))</f>
        <v>0</v>
      </c>
      <c r="AA1003" s="40">
        <f>IF($A1003="",0,WEEKDAY($A1003))</f>
        <v>0</v>
      </c>
      <c r="AB1003" s="36">
        <f>IF(AND($C1003="Despesa",U1003&gt;0,U1003&lt;=Sel_Idx,V1003&gt;=Sel_Idx),N(R1003)+ROW()/1000000000,0)</f>
        <v>0</v>
      </c>
      <c r="AC1003" s="40">
        <f>IF(AND($C1003="Despesa",U1003&gt;0,U1003&lt;=Sel_Idx,V1003&gt;=Sel_Idx),Z1003*10000+ROW(),0)</f>
        <v>0</v>
      </c>
      <c r="AD1003" s="40">
        <f>IF(AC1003=0,0,COUNTIFS(L_CalChave,"&gt;0",L_CalChave,"&lt;"&amp;AC1003)+1)</f>
        <v>0</v>
      </c>
    </row>
    <row r="1004">
      <c r="A1004" s="38" t="n"/>
      <c r="B1004" s="39" t="n"/>
      <c r="C1004" s="34" t="n"/>
      <c r="D1004" s="34" t="n"/>
      <c r="E1004" s="34" t="n"/>
      <c r="F1004" s="34" t="n"/>
      <c r="G1004" s="34" t="n"/>
      <c r="H1004" s="37" t="n"/>
      <c r="I1004" s="37" t="n"/>
      <c r="J1004" s="34" t="n"/>
      <c r="K1004" s="34" t="n"/>
      <c r="L1004" s="34" t="n"/>
      <c r="M1004" s="39" t="n"/>
      <c r="N1004" s="35" t="n"/>
      <c r="O1004" s="40" t="str">
        <f>IF($A1004="","",MONTH($A1004))</f>
        <v/>
      </c>
      <c r="P1004" s="40" t="str">
        <f>IF($A1004="","",YEAR($A1004))</f>
        <v/>
      </c>
      <c r="Q1004" s="41" t="str">
        <f>IF($A1004="","",DATE(P1004,O1004,1))</f>
        <v/>
      </c>
      <c r="R1004" s="36" t="str">
        <f>IF(OR($A1004="",$N1004=""),"",IF(AND($C1004&lt;&gt;"Transferência",N($I1004)&gt;1),$N1004/$I1004,$N1004))</f>
        <v/>
      </c>
      <c r="S1004" s="41" t="str">
        <f>IF(OR($A1004="",$F1004="",$C1004&lt;&gt;"Despesa"),"",IF(COUNTIF(Cartoes_Nome,$F1004)=0,"",DATE(P1004,O1004+IF(DAY($A1004)&gt;=INDEX(Cartoes_Fech,MATCH($F1004,Cartoes_Nome,0)),1,0),1)))</f>
        <v/>
      </c>
      <c r="T1004" s="42" t="str">
        <f>IF($A1004="","",IF(COUNTIFS(L_Data,$A1004,L_Desc,$B1004,L_Valor,$N1004,L_Tipo,$C1004)&gt;1,"⚠ Possível duplicidade",IF(OR(AND($C1004="Despesa",COUNTIF(CatD_Nome,$D1004)=0),AND($C1004="Receita",COUNTIF(CatR_Nome,$D1004)=0)),"⚠ Categoria não combina com o tipo",IF(OR($N1004="",$C1004=""),"⚠ Falta valor ou tipo",""))))</f>
        <v/>
      </c>
      <c r="U1004" s="40">
        <f>IF($A1004="",0,P1004*12+O1004)</f>
        <v>0</v>
      </c>
      <c r="V1004" s="40">
        <f>IF($A1004="",0,U1004+MAX(0,N($I1004)-MAX(N($H1004),1)))</f>
        <v>0</v>
      </c>
      <c r="W1004" s="40">
        <f>IF(S1004="",0,YEAR(S1004)*12+MONTH(S1004))</f>
        <v>0</v>
      </c>
      <c r="X1004" s="40">
        <f>IF(W1004=0,0,W1004+V1004-U1004)</f>
        <v>0</v>
      </c>
      <c r="Y1004" s="36">
        <f>IF(W1004=0,0,N(R1004)*MAX(0,X1004-MAX(W1004,YEAR(Cfg_Hoje)*12+MONTH(Cfg_Hoje)+IF(DAY(Cfg_Hoje)&gt;=INDEX(Cartoes_Fech,MATCH($F1004,Cartoes_Nome,0)),1,0))+1))</f>
        <v>0</v>
      </c>
      <c r="Z1004" s="40">
        <f>IF($A1004="",0,DAY($A1004))</f>
        <v>0</v>
      </c>
      <c r="AA1004" s="40">
        <f>IF($A1004="",0,WEEKDAY($A1004))</f>
        <v>0</v>
      </c>
      <c r="AB1004" s="36">
        <f>IF(AND($C1004="Despesa",U1004&gt;0,U1004&lt;=Sel_Idx,V1004&gt;=Sel_Idx),N(R1004)+ROW()/1000000000,0)</f>
        <v>0</v>
      </c>
      <c r="AC1004" s="40">
        <f>IF(AND($C1004="Despesa",U1004&gt;0,U1004&lt;=Sel_Idx,V1004&gt;=Sel_Idx),Z1004*10000+ROW(),0)</f>
        <v>0</v>
      </c>
      <c r="AD1004" s="40">
        <f>IF(AC1004=0,0,COUNTIFS(L_CalChave,"&gt;0",L_CalChave,"&lt;"&amp;AC1004)+1)</f>
        <v>0</v>
      </c>
    </row>
    <row r="1005">
      <c r="A1005" s="38" t="n"/>
      <c r="B1005" s="39" t="n"/>
      <c r="C1005" s="34" t="n"/>
      <c r="D1005" s="34" t="n"/>
      <c r="E1005" s="34" t="n"/>
      <c r="F1005" s="34" t="n"/>
      <c r="G1005" s="34" t="n"/>
      <c r="H1005" s="37" t="n"/>
      <c r="I1005" s="37" t="n"/>
      <c r="J1005" s="34" t="n"/>
      <c r="K1005" s="34" t="n"/>
      <c r="L1005" s="34" t="n"/>
      <c r="M1005" s="39" t="n"/>
      <c r="N1005" s="35" t="n"/>
      <c r="O1005" s="40" t="str">
        <f>IF($A1005="","",MONTH($A1005))</f>
        <v/>
      </c>
      <c r="P1005" s="40" t="str">
        <f>IF($A1005="","",YEAR($A1005))</f>
        <v/>
      </c>
      <c r="Q1005" s="41" t="str">
        <f>IF($A1005="","",DATE(P1005,O1005,1))</f>
        <v/>
      </c>
      <c r="R1005" s="36" t="str">
        <f>IF(OR($A1005="",$N1005=""),"",IF(AND($C1005&lt;&gt;"Transferência",N($I1005)&gt;1),$N1005/$I1005,$N1005))</f>
        <v/>
      </c>
      <c r="S1005" s="41" t="str">
        <f>IF(OR($A1005="",$F1005="",$C1005&lt;&gt;"Despesa"),"",IF(COUNTIF(Cartoes_Nome,$F1005)=0,"",DATE(P1005,O1005+IF(DAY($A1005)&gt;=INDEX(Cartoes_Fech,MATCH($F1005,Cartoes_Nome,0)),1,0),1)))</f>
        <v/>
      </c>
      <c r="T1005" s="42" t="str">
        <f>IF($A1005="","",IF(COUNTIFS(L_Data,$A1005,L_Desc,$B1005,L_Valor,$N1005,L_Tipo,$C1005)&gt;1,"⚠ Possível duplicidade",IF(OR(AND($C1005="Despesa",COUNTIF(CatD_Nome,$D1005)=0),AND($C1005="Receita",COUNTIF(CatR_Nome,$D1005)=0)),"⚠ Categoria não combina com o tipo",IF(OR($N1005="",$C1005=""),"⚠ Falta valor ou tipo",""))))</f>
        <v/>
      </c>
      <c r="U1005" s="40">
        <f>IF($A1005="",0,P1005*12+O1005)</f>
        <v>0</v>
      </c>
      <c r="V1005" s="40">
        <f>IF($A1005="",0,U1005+MAX(0,N($I1005)-MAX(N($H1005),1)))</f>
        <v>0</v>
      </c>
      <c r="W1005" s="40">
        <f>IF(S1005="",0,YEAR(S1005)*12+MONTH(S1005))</f>
        <v>0</v>
      </c>
      <c r="X1005" s="40">
        <f>IF(W1005=0,0,W1005+V1005-U1005)</f>
        <v>0</v>
      </c>
      <c r="Y1005" s="36">
        <f>IF(W1005=0,0,N(R1005)*MAX(0,X1005-MAX(W1005,YEAR(Cfg_Hoje)*12+MONTH(Cfg_Hoje)+IF(DAY(Cfg_Hoje)&gt;=INDEX(Cartoes_Fech,MATCH($F1005,Cartoes_Nome,0)),1,0))+1))</f>
        <v>0</v>
      </c>
      <c r="Z1005" s="40">
        <f>IF($A1005="",0,DAY($A1005))</f>
        <v>0</v>
      </c>
      <c r="AA1005" s="40">
        <f>IF($A1005="",0,WEEKDAY($A1005))</f>
        <v>0</v>
      </c>
      <c r="AB1005" s="36">
        <f>IF(AND($C1005="Despesa",U1005&gt;0,U1005&lt;=Sel_Idx,V1005&gt;=Sel_Idx),N(R1005)+ROW()/1000000000,0)</f>
        <v>0</v>
      </c>
      <c r="AC1005" s="40">
        <f>IF(AND($C1005="Despesa",U1005&gt;0,U1005&lt;=Sel_Idx,V1005&gt;=Sel_Idx),Z1005*10000+ROW(),0)</f>
        <v>0</v>
      </c>
      <c r="AD1005" s="40">
        <f>IF(AC1005=0,0,COUNTIFS(L_CalChave,"&gt;0",L_CalChave,"&lt;"&amp;AC1005)+1)</f>
        <v>0</v>
      </c>
    </row>
    <row r="1006">
      <c r="A1006" s="38" t="n"/>
      <c r="B1006" s="39" t="n"/>
      <c r="C1006" s="34" t="n"/>
      <c r="D1006" s="34" t="n"/>
      <c r="E1006" s="34" t="n"/>
      <c r="F1006" s="34" t="n"/>
      <c r="G1006" s="34" t="n"/>
      <c r="H1006" s="37" t="n"/>
      <c r="I1006" s="37" t="n"/>
      <c r="J1006" s="34" t="n"/>
      <c r="K1006" s="34" t="n"/>
      <c r="L1006" s="34" t="n"/>
      <c r="M1006" s="39" t="n"/>
      <c r="N1006" s="35" t="n"/>
      <c r="O1006" s="40" t="str">
        <f>IF($A1006="","",MONTH($A1006))</f>
        <v/>
      </c>
      <c r="P1006" s="40" t="str">
        <f>IF($A1006="","",YEAR($A1006))</f>
        <v/>
      </c>
      <c r="Q1006" s="41" t="str">
        <f>IF($A1006="","",DATE(P1006,O1006,1))</f>
        <v/>
      </c>
      <c r="R1006" s="36" t="str">
        <f>IF(OR($A1006="",$N1006=""),"",IF(AND($C1006&lt;&gt;"Transferência",N($I1006)&gt;1),$N1006/$I1006,$N1006))</f>
        <v/>
      </c>
      <c r="S1006" s="41" t="str">
        <f>IF(OR($A1006="",$F1006="",$C1006&lt;&gt;"Despesa"),"",IF(COUNTIF(Cartoes_Nome,$F1006)=0,"",DATE(P1006,O1006+IF(DAY($A1006)&gt;=INDEX(Cartoes_Fech,MATCH($F1006,Cartoes_Nome,0)),1,0),1)))</f>
        <v/>
      </c>
      <c r="T1006" s="42" t="str">
        <f>IF($A1006="","",IF(COUNTIFS(L_Data,$A1006,L_Desc,$B1006,L_Valor,$N1006,L_Tipo,$C1006)&gt;1,"⚠ Possível duplicidade",IF(OR(AND($C1006="Despesa",COUNTIF(CatD_Nome,$D1006)=0),AND($C1006="Receita",COUNTIF(CatR_Nome,$D1006)=0)),"⚠ Categoria não combina com o tipo",IF(OR($N1006="",$C1006=""),"⚠ Falta valor ou tipo",""))))</f>
        <v/>
      </c>
      <c r="U1006" s="40">
        <f>IF($A1006="",0,P1006*12+O1006)</f>
        <v>0</v>
      </c>
      <c r="V1006" s="40">
        <f>IF($A1006="",0,U1006+MAX(0,N($I1006)-MAX(N($H1006),1)))</f>
        <v>0</v>
      </c>
      <c r="W1006" s="40">
        <f>IF(S1006="",0,YEAR(S1006)*12+MONTH(S1006))</f>
        <v>0</v>
      </c>
      <c r="X1006" s="40">
        <f>IF(W1006=0,0,W1006+V1006-U1006)</f>
        <v>0</v>
      </c>
      <c r="Y1006" s="36">
        <f>IF(W1006=0,0,N(R1006)*MAX(0,X1006-MAX(W1006,YEAR(Cfg_Hoje)*12+MONTH(Cfg_Hoje)+IF(DAY(Cfg_Hoje)&gt;=INDEX(Cartoes_Fech,MATCH($F1006,Cartoes_Nome,0)),1,0))+1))</f>
        <v>0</v>
      </c>
      <c r="Z1006" s="40">
        <f>IF($A1006="",0,DAY($A1006))</f>
        <v>0</v>
      </c>
      <c r="AA1006" s="40">
        <f>IF($A1006="",0,WEEKDAY($A1006))</f>
        <v>0</v>
      </c>
      <c r="AB1006" s="36">
        <f>IF(AND($C1006="Despesa",U1006&gt;0,U1006&lt;=Sel_Idx,V1006&gt;=Sel_Idx),N(R1006)+ROW()/1000000000,0)</f>
        <v>0</v>
      </c>
      <c r="AC1006" s="40">
        <f>IF(AND($C1006="Despesa",U1006&gt;0,U1006&lt;=Sel_Idx,V1006&gt;=Sel_Idx),Z1006*10000+ROW(),0)</f>
        <v>0</v>
      </c>
      <c r="AD1006" s="40">
        <f>IF(AC1006=0,0,COUNTIFS(L_CalChave,"&gt;0",L_CalChave,"&lt;"&amp;AC1006)+1)</f>
        <v>0</v>
      </c>
    </row>
    <row r="1007">
      <c r="A1007" s="38" t="n"/>
      <c r="B1007" s="39" t="n"/>
      <c r="C1007" s="34" t="n"/>
      <c r="D1007" s="34" t="n"/>
      <c r="E1007" s="34" t="n"/>
      <c r="F1007" s="34" t="n"/>
      <c r="G1007" s="34" t="n"/>
      <c r="H1007" s="37" t="n"/>
      <c r="I1007" s="37" t="n"/>
      <c r="J1007" s="34" t="n"/>
      <c r="K1007" s="34" t="n"/>
      <c r="L1007" s="34" t="n"/>
      <c r="M1007" s="39" t="n"/>
      <c r="N1007" s="35" t="n"/>
      <c r="O1007" s="40" t="str">
        <f>IF($A1007="","",MONTH($A1007))</f>
        <v/>
      </c>
      <c r="P1007" s="40" t="str">
        <f>IF($A1007="","",YEAR($A1007))</f>
        <v/>
      </c>
      <c r="Q1007" s="41" t="str">
        <f>IF($A1007="","",DATE(P1007,O1007,1))</f>
        <v/>
      </c>
      <c r="R1007" s="36" t="str">
        <f>IF(OR($A1007="",$N1007=""),"",IF(AND($C1007&lt;&gt;"Transferência",N($I1007)&gt;1),$N1007/$I1007,$N1007))</f>
        <v/>
      </c>
      <c r="S1007" s="41" t="str">
        <f>IF(OR($A1007="",$F1007="",$C1007&lt;&gt;"Despesa"),"",IF(COUNTIF(Cartoes_Nome,$F1007)=0,"",DATE(P1007,O1007+IF(DAY($A1007)&gt;=INDEX(Cartoes_Fech,MATCH($F1007,Cartoes_Nome,0)),1,0),1)))</f>
        <v/>
      </c>
      <c r="T1007" s="42" t="str">
        <f>IF($A1007="","",IF(COUNTIFS(L_Data,$A1007,L_Desc,$B1007,L_Valor,$N1007,L_Tipo,$C1007)&gt;1,"⚠ Possível duplicidade",IF(OR(AND($C1007="Despesa",COUNTIF(CatD_Nome,$D1007)=0),AND($C1007="Receita",COUNTIF(CatR_Nome,$D1007)=0)),"⚠ Categoria não combina com o tipo",IF(OR($N1007="",$C1007=""),"⚠ Falta valor ou tipo",""))))</f>
        <v/>
      </c>
      <c r="U1007" s="40">
        <f>IF($A1007="",0,P1007*12+O1007)</f>
        <v>0</v>
      </c>
      <c r="V1007" s="40">
        <f>IF($A1007="",0,U1007+MAX(0,N($I1007)-MAX(N($H1007),1)))</f>
        <v>0</v>
      </c>
      <c r="W1007" s="40">
        <f>IF(S1007="",0,YEAR(S1007)*12+MONTH(S1007))</f>
        <v>0</v>
      </c>
      <c r="X1007" s="40">
        <f>IF(W1007=0,0,W1007+V1007-U1007)</f>
        <v>0</v>
      </c>
      <c r="Y1007" s="36">
        <f>IF(W1007=0,0,N(R1007)*MAX(0,X1007-MAX(W1007,YEAR(Cfg_Hoje)*12+MONTH(Cfg_Hoje)+IF(DAY(Cfg_Hoje)&gt;=INDEX(Cartoes_Fech,MATCH($F1007,Cartoes_Nome,0)),1,0))+1))</f>
        <v>0</v>
      </c>
      <c r="Z1007" s="40">
        <f>IF($A1007="",0,DAY($A1007))</f>
        <v>0</v>
      </c>
      <c r="AA1007" s="40">
        <f>IF($A1007="",0,WEEKDAY($A1007))</f>
        <v>0</v>
      </c>
      <c r="AB1007" s="36">
        <f>IF(AND($C1007="Despesa",U1007&gt;0,U1007&lt;=Sel_Idx,V1007&gt;=Sel_Idx),N(R1007)+ROW()/1000000000,0)</f>
        <v>0</v>
      </c>
      <c r="AC1007" s="40">
        <f>IF(AND($C1007="Despesa",U1007&gt;0,U1007&lt;=Sel_Idx,V1007&gt;=Sel_Idx),Z1007*10000+ROW(),0)</f>
        <v>0</v>
      </c>
      <c r="AD1007" s="40">
        <f>IF(AC1007=0,0,COUNTIFS(L_CalChave,"&gt;0",L_CalChave,"&lt;"&amp;AC1007)+1)</f>
        <v>0</v>
      </c>
    </row>
    <row r="1008">
      <c r="A1008" s="38" t="n"/>
      <c r="B1008" s="39" t="n"/>
      <c r="C1008" s="34" t="n"/>
      <c r="D1008" s="34" t="n"/>
      <c r="E1008" s="34" t="n"/>
      <c r="F1008" s="34" t="n"/>
      <c r="G1008" s="34" t="n"/>
      <c r="H1008" s="37" t="n"/>
      <c r="I1008" s="37" t="n"/>
      <c r="J1008" s="34" t="n"/>
      <c r="K1008" s="34" t="n"/>
      <c r="L1008" s="34" t="n"/>
      <c r="M1008" s="39" t="n"/>
      <c r="N1008" s="35" t="n"/>
      <c r="O1008" s="40" t="str">
        <f>IF($A1008="","",MONTH($A1008))</f>
        <v/>
      </c>
      <c r="P1008" s="40" t="str">
        <f>IF($A1008="","",YEAR($A1008))</f>
        <v/>
      </c>
      <c r="Q1008" s="41" t="str">
        <f>IF($A1008="","",DATE(P1008,O1008,1))</f>
        <v/>
      </c>
      <c r="R1008" s="36" t="str">
        <f>IF(OR($A1008="",$N1008=""),"",IF(AND($C1008&lt;&gt;"Transferência",N($I1008)&gt;1),$N1008/$I1008,$N1008))</f>
        <v/>
      </c>
      <c r="S1008" s="41" t="str">
        <f>IF(OR($A1008="",$F1008="",$C1008&lt;&gt;"Despesa"),"",IF(COUNTIF(Cartoes_Nome,$F1008)=0,"",DATE(P1008,O1008+IF(DAY($A1008)&gt;=INDEX(Cartoes_Fech,MATCH($F1008,Cartoes_Nome,0)),1,0),1)))</f>
        <v/>
      </c>
      <c r="T1008" s="42" t="str">
        <f>IF($A1008="","",IF(COUNTIFS(L_Data,$A1008,L_Desc,$B1008,L_Valor,$N1008,L_Tipo,$C1008)&gt;1,"⚠ Possível duplicidade",IF(OR(AND($C1008="Despesa",COUNTIF(CatD_Nome,$D1008)=0),AND($C1008="Receita",COUNTIF(CatR_Nome,$D1008)=0)),"⚠ Categoria não combina com o tipo",IF(OR($N1008="",$C1008=""),"⚠ Falta valor ou tipo",""))))</f>
        <v/>
      </c>
      <c r="U1008" s="40">
        <f>IF($A1008="",0,P1008*12+O1008)</f>
        <v>0</v>
      </c>
      <c r="V1008" s="40">
        <f>IF($A1008="",0,U1008+MAX(0,N($I1008)-MAX(N($H1008),1)))</f>
        <v>0</v>
      </c>
      <c r="W1008" s="40">
        <f>IF(S1008="",0,YEAR(S1008)*12+MONTH(S1008))</f>
        <v>0</v>
      </c>
      <c r="X1008" s="40">
        <f>IF(W1008=0,0,W1008+V1008-U1008)</f>
        <v>0</v>
      </c>
      <c r="Y1008" s="36">
        <f>IF(W1008=0,0,N(R1008)*MAX(0,X1008-MAX(W1008,YEAR(Cfg_Hoje)*12+MONTH(Cfg_Hoje)+IF(DAY(Cfg_Hoje)&gt;=INDEX(Cartoes_Fech,MATCH($F1008,Cartoes_Nome,0)),1,0))+1))</f>
        <v>0</v>
      </c>
      <c r="Z1008" s="40">
        <f>IF($A1008="",0,DAY($A1008))</f>
        <v>0</v>
      </c>
      <c r="AA1008" s="40">
        <f>IF($A1008="",0,WEEKDAY($A1008))</f>
        <v>0</v>
      </c>
      <c r="AB1008" s="36">
        <f>IF(AND($C1008="Despesa",U1008&gt;0,U1008&lt;=Sel_Idx,V1008&gt;=Sel_Idx),N(R1008)+ROW()/1000000000,0)</f>
        <v>0</v>
      </c>
      <c r="AC1008" s="40">
        <f>IF(AND($C1008="Despesa",U1008&gt;0,U1008&lt;=Sel_Idx,V1008&gt;=Sel_Idx),Z1008*10000+ROW(),0)</f>
        <v>0</v>
      </c>
      <c r="AD1008" s="40">
        <f>IF(AC1008=0,0,COUNTIFS(L_CalChave,"&gt;0",L_CalChave,"&lt;"&amp;AC1008)+1)</f>
        <v>0</v>
      </c>
    </row>
    <row r="1009">
      <c r="A1009" s="38" t="n"/>
      <c r="B1009" s="39" t="n"/>
      <c r="C1009" s="34" t="n"/>
      <c r="D1009" s="34" t="n"/>
      <c r="E1009" s="34" t="n"/>
      <c r="F1009" s="34" t="n"/>
      <c r="G1009" s="34" t="n"/>
      <c r="H1009" s="37" t="n"/>
      <c r="I1009" s="37" t="n"/>
      <c r="J1009" s="34" t="n"/>
      <c r="K1009" s="34" t="n"/>
      <c r="L1009" s="34" t="n"/>
      <c r="M1009" s="39" t="n"/>
      <c r="N1009" s="35" t="n"/>
      <c r="O1009" s="40" t="str">
        <f>IF($A1009="","",MONTH($A1009))</f>
        <v/>
      </c>
      <c r="P1009" s="40" t="str">
        <f>IF($A1009="","",YEAR($A1009))</f>
        <v/>
      </c>
      <c r="Q1009" s="41" t="str">
        <f>IF($A1009="","",DATE(P1009,O1009,1))</f>
        <v/>
      </c>
      <c r="R1009" s="36" t="str">
        <f>IF(OR($A1009="",$N1009=""),"",IF(AND($C1009&lt;&gt;"Transferência",N($I1009)&gt;1),$N1009/$I1009,$N1009))</f>
        <v/>
      </c>
      <c r="S1009" s="41" t="str">
        <f>IF(OR($A1009="",$F1009="",$C1009&lt;&gt;"Despesa"),"",IF(COUNTIF(Cartoes_Nome,$F1009)=0,"",DATE(P1009,O1009+IF(DAY($A1009)&gt;=INDEX(Cartoes_Fech,MATCH($F1009,Cartoes_Nome,0)),1,0),1)))</f>
        <v/>
      </c>
      <c r="T1009" s="42" t="str">
        <f>IF($A1009="","",IF(COUNTIFS(L_Data,$A1009,L_Desc,$B1009,L_Valor,$N1009,L_Tipo,$C1009)&gt;1,"⚠ Possível duplicidade",IF(OR(AND($C1009="Despesa",COUNTIF(CatD_Nome,$D1009)=0),AND($C1009="Receita",COUNTIF(CatR_Nome,$D1009)=0)),"⚠ Categoria não combina com o tipo",IF(OR($N1009="",$C1009=""),"⚠ Falta valor ou tipo",""))))</f>
        <v/>
      </c>
      <c r="U1009" s="40">
        <f>IF($A1009="",0,P1009*12+O1009)</f>
        <v>0</v>
      </c>
      <c r="V1009" s="40">
        <f>IF($A1009="",0,U1009+MAX(0,N($I1009)-MAX(N($H1009),1)))</f>
        <v>0</v>
      </c>
      <c r="W1009" s="40">
        <f>IF(S1009="",0,YEAR(S1009)*12+MONTH(S1009))</f>
        <v>0</v>
      </c>
      <c r="X1009" s="40">
        <f>IF(W1009=0,0,W1009+V1009-U1009)</f>
        <v>0</v>
      </c>
      <c r="Y1009" s="36">
        <f>IF(W1009=0,0,N(R1009)*MAX(0,X1009-MAX(W1009,YEAR(Cfg_Hoje)*12+MONTH(Cfg_Hoje)+IF(DAY(Cfg_Hoje)&gt;=INDEX(Cartoes_Fech,MATCH($F1009,Cartoes_Nome,0)),1,0))+1))</f>
        <v>0</v>
      </c>
      <c r="Z1009" s="40">
        <f>IF($A1009="",0,DAY($A1009))</f>
        <v>0</v>
      </c>
      <c r="AA1009" s="40">
        <f>IF($A1009="",0,WEEKDAY($A1009))</f>
        <v>0</v>
      </c>
      <c r="AB1009" s="36">
        <f>IF(AND($C1009="Despesa",U1009&gt;0,U1009&lt;=Sel_Idx,V1009&gt;=Sel_Idx),N(R1009)+ROW()/1000000000,0)</f>
        <v>0</v>
      </c>
      <c r="AC1009" s="40">
        <f>IF(AND($C1009="Despesa",U1009&gt;0,U1009&lt;=Sel_Idx,V1009&gt;=Sel_Idx),Z1009*10000+ROW(),0)</f>
        <v>0</v>
      </c>
      <c r="AD1009" s="40">
        <f>IF(AC1009=0,0,COUNTIFS(L_CalChave,"&gt;0",L_CalChave,"&lt;"&amp;AC1009)+1)</f>
        <v>0</v>
      </c>
    </row>
    <row r="1010">
      <c r="A1010" s="38" t="n"/>
      <c r="B1010" s="39" t="n"/>
      <c r="C1010" s="34" t="n"/>
      <c r="D1010" s="34" t="n"/>
      <c r="E1010" s="34" t="n"/>
      <c r="F1010" s="34" t="n"/>
      <c r="G1010" s="34" t="n"/>
      <c r="H1010" s="37" t="n"/>
      <c r="I1010" s="37" t="n"/>
      <c r="J1010" s="34" t="n"/>
      <c r="K1010" s="34" t="n"/>
      <c r="L1010" s="34" t="n"/>
      <c r="M1010" s="39" t="n"/>
      <c r="N1010" s="35" t="n"/>
      <c r="O1010" s="40" t="str">
        <f>IF($A1010="","",MONTH($A1010))</f>
        <v/>
      </c>
      <c r="P1010" s="40" t="str">
        <f>IF($A1010="","",YEAR($A1010))</f>
        <v/>
      </c>
      <c r="Q1010" s="41" t="str">
        <f>IF($A1010="","",DATE(P1010,O1010,1))</f>
        <v/>
      </c>
      <c r="R1010" s="36" t="str">
        <f>IF(OR($A1010="",$N1010=""),"",IF(AND($C1010&lt;&gt;"Transferência",N($I1010)&gt;1),$N1010/$I1010,$N1010))</f>
        <v/>
      </c>
      <c r="S1010" s="41" t="str">
        <f>IF(OR($A1010="",$F1010="",$C1010&lt;&gt;"Despesa"),"",IF(COUNTIF(Cartoes_Nome,$F1010)=0,"",DATE(P1010,O1010+IF(DAY($A1010)&gt;=INDEX(Cartoes_Fech,MATCH($F1010,Cartoes_Nome,0)),1,0),1)))</f>
        <v/>
      </c>
      <c r="T1010" s="42" t="str">
        <f>IF($A1010="","",IF(COUNTIFS(L_Data,$A1010,L_Desc,$B1010,L_Valor,$N1010,L_Tipo,$C1010)&gt;1,"⚠ Possível duplicidade",IF(OR(AND($C1010="Despesa",COUNTIF(CatD_Nome,$D1010)=0),AND($C1010="Receita",COUNTIF(CatR_Nome,$D1010)=0)),"⚠ Categoria não combina com o tipo",IF(OR($N1010="",$C1010=""),"⚠ Falta valor ou tipo",""))))</f>
        <v/>
      </c>
      <c r="U1010" s="40">
        <f>IF($A1010="",0,P1010*12+O1010)</f>
        <v>0</v>
      </c>
      <c r="V1010" s="40">
        <f>IF($A1010="",0,U1010+MAX(0,N($I1010)-MAX(N($H1010),1)))</f>
        <v>0</v>
      </c>
      <c r="W1010" s="40">
        <f>IF(S1010="",0,YEAR(S1010)*12+MONTH(S1010))</f>
        <v>0</v>
      </c>
      <c r="X1010" s="40">
        <f>IF(W1010=0,0,W1010+V1010-U1010)</f>
        <v>0</v>
      </c>
      <c r="Y1010" s="36">
        <f>IF(W1010=0,0,N(R1010)*MAX(0,X1010-MAX(W1010,YEAR(Cfg_Hoje)*12+MONTH(Cfg_Hoje)+IF(DAY(Cfg_Hoje)&gt;=INDEX(Cartoes_Fech,MATCH($F1010,Cartoes_Nome,0)),1,0))+1))</f>
        <v>0</v>
      </c>
      <c r="Z1010" s="40">
        <f>IF($A1010="",0,DAY($A1010))</f>
        <v>0</v>
      </c>
      <c r="AA1010" s="40">
        <f>IF($A1010="",0,WEEKDAY($A1010))</f>
        <v>0</v>
      </c>
      <c r="AB1010" s="36">
        <f>IF(AND($C1010="Despesa",U1010&gt;0,U1010&lt;=Sel_Idx,V1010&gt;=Sel_Idx),N(R1010)+ROW()/1000000000,0)</f>
        <v>0</v>
      </c>
      <c r="AC1010" s="40">
        <f>IF(AND($C1010="Despesa",U1010&gt;0,U1010&lt;=Sel_Idx,V1010&gt;=Sel_Idx),Z1010*10000+ROW(),0)</f>
        <v>0</v>
      </c>
      <c r="AD1010" s="40">
        <f>IF(AC1010=0,0,COUNTIFS(L_CalChave,"&gt;0",L_CalChave,"&lt;"&amp;AC1010)+1)</f>
        <v>0</v>
      </c>
    </row>
    <row r="1011">
      <c r="A1011" s="38" t="n"/>
      <c r="B1011" s="39" t="n"/>
      <c r="C1011" s="34" t="n"/>
      <c r="D1011" s="34" t="n"/>
      <c r="E1011" s="34" t="n"/>
      <c r="F1011" s="34" t="n"/>
      <c r="G1011" s="34" t="n"/>
      <c r="H1011" s="37" t="n"/>
      <c r="I1011" s="37" t="n"/>
      <c r="J1011" s="34" t="n"/>
      <c r="K1011" s="34" t="n"/>
      <c r="L1011" s="34" t="n"/>
      <c r="M1011" s="39" t="n"/>
      <c r="N1011" s="35" t="n"/>
      <c r="O1011" s="40" t="str">
        <f>IF($A1011="","",MONTH($A1011))</f>
        <v/>
      </c>
      <c r="P1011" s="40" t="str">
        <f>IF($A1011="","",YEAR($A1011))</f>
        <v/>
      </c>
      <c r="Q1011" s="41" t="str">
        <f>IF($A1011="","",DATE(P1011,O1011,1))</f>
        <v/>
      </c>
      <c r="R1011" s="36" t="str">
        <f>IF(OR($A1011="",$N1011=""),"",IF(AND($C1011&lt;&gt;"Transferência",N($I1011)&gt;1),$N1011/$I1011,$N1011))</f>
        <v/>
      </c>
      <c r="S1011" s="41" t="str">
        <f>IF(OR($A1011="",$F1011="",$C1011&lt;&gt;"Despesa"),"",IF(COUNTIF(Cartoes_Nome,$F1011)=0,"",DATE(P1011,O1011+IF(DAY($A1011)&gt;=INDEX(Cartoes_Fech,MATCH($F1011,Cartoes_Nome,0)),1,0),1)))</f>
        <v/>
      </c>
      <c r="T1011" s="42" t="str">
        <f>IF($A1011="","",IF(COUNTIFS(L_Data,$A1011,L_Desc,$B1011,L_Valor,$N1011,L_Tipo,$C1011)&gt;1,"⚠ Possível duplicidade",IF(OR(AND($C1011="Despesa",COUNTIF(CatD_Nome,$D1011)=0),AND($C1011="Receita",COUNTIF(CatR_Nome,$D1011)=0)),"⚠ Categoria não combina com o tipo",IF(OR($N1011="",$C1011=""),"⚠ Falta valor ou tipo",""))))</f>
        <v/>
      </c>
      <c r="U1011" s="40">
        <f>IF($A1011="",0,P1011*12+O1011)</f>
        <v>0</v>
      </c>
      <c r="V1011" s="40">
        <f>IF($A1011="",0,U1011+MAX(0,N($I1011)-MAX(N($H1011),1)))</f>
        <v>0</v>
      </c>
      <c r="W1011" s="40">
        <f>IF(S1011="",0,YEAR(S1011)*12+MONTH(S1011))</f>
        <v>0</v>
      </c>
      <c r="X1011" s="40">
        <f>IF(W1011=0,0,W1011+V1011-U1011)</f>
        <v>0</v>
      </c>
      <c r="Y1011" s="36">
        <f>IF(W1011=0,0,N(R1011)*MAX(0,X1011-MAX(W1011,YEAR(Cfg_Hoje)*12+MONTH(Cfg_Hoje)+IF(DAY(Cfg_Hoje)&gt;=INDEX(Cartoes_Fech,MATCH($F1011,Cartoes_Nome,0)),1,0))+1))</f>
        <v>0</v>
      </c>
      <c r="Z1011" s="40">
        <f>IF($A1011="",0,DAY($A1011))</f>
        <v>0</v>
      </c>
      <c r="AA1011" s="40">
        <f>IF($A1011="",0,WEEKDAY($A1011))</f>
        <v>0</v>
      </c>
      <c r="AB1011" s="36">
        <f>IF(AND($C1011="Despesa",U1011&gt;0,U1011&lt;=Sel_Idx,V1011&gt;=Sel_Idx),N(R1011)+ROW()/1000000000,0)</f>
        <v>0</v>
      </c>
      <c r="AC1011" s="40">
        <f>IF(AND($C1011="Despesa",U1011&gt;0,U1011&lt;=Sel_Idx,V1011&gt;=Sel_Idx),Z1011*10000+ROW(),0)</f>
        <v>0</v>
      </c>
      <c r="AD1011" s="40">
        <f>IF(AC1011=0,0,COUNTIFS(L_CalChave,"&gt;0",L_CalChave,"&lt;"&amp;AC1011)+1)</f>
        <v>0</v>
      </c>
    </row>
    <row r="1012">
      <c r="A1012" s="38" t="n"/>
      <c r="B1012" s="39" t="n"/>
      <c r="C1012" s="34" t="n"/>
      <c r="D1012" s="34" t="n"/>
      <c r="E1012" s="34" t="n"/>
      <c r="F1012" s="34" t="n"/>
      <c r="G1012" s="34" t="n"/>
      <c r="H1012" s="37" t="n"/>
      <c r="I1012" s="37" t="n"/>
      <c r="J1012" s="34" t="n"/>
      <c r="K1012" s="34" t="n"/>
      <c r="L1012" s="34" t="n"/>
      <c r="M1012" s="39" t="n"/>
      <c r="N1012" s="35" t="n"/>
      <c r="O1012" s="40" t="str">
        <f>IF($A1012="","",MONTH($A1012))</f>
        <v/>
      </c>
      <c r="P1012" s="40" t="str">
        <f>IF($A1012="","",YEAR($A1012))</f>
        <v/>
      </c>
      <c r="Q1012" s="41" t="str">
        <f>IF($A1012="","",DATE(P1012,O1012,1))</f>
        <v/>
      </c>
      <c r="R1012" s="36" t="str">
        <f>IF(OR($A1012="",$N1012=""),"",IF(AND($C1012&lt;&gt;"Transferência",N($I1012)&gt;1),$N1012/$I1012,$N1012))</f>
        <v/>
      </c>
      <c r="S1012" s="41" t="str">
        <f>IF(OR($A1012="",$F1012="",$C1012&lt;&gt;"Despesa"),"",IF(COUNTIF(Cartoes_Nome,$F1012)=0,"",DATE(P1012,O1012+IF(DAY($A1012)&gt;=INDEX(Cartoes_Fech,MATCH($F1012,Cartoes_Nome,0)),1,0),1)))</f>
        <v/>
      </c>
      <c r="T1012" s="42" t="str">
        <f>IF($A1012="","",IF(COUNTIFS(L_Data,$A1012,L_Desc,$B1012,L_Valor,$N1012,L_Tipo,$C1012)&gt;1,"⚠ Possível duplicidade",IF(OR(AND($C1012="Despesa",COUNTIF(CatD_Nome,$D1012)=0),AND($C1012="Receita",COUNTIF(CatR_Nome,$D1012)=0)),"⚠ Categoria não combina com o tipo",IF(OR($N1012="",$C1012=""),"⚠ Falta valor ou tipo",""))))</f>
        <v/>
      </c>
      <c r="U1012" s="40">
        <f>IF($A1012="",0,P1012*12+O1012)</f>
        <v>0</v>
      </c>
      <c r="V1012" s="40">
        <f>IF($A1012="",0,U1012+MAX(0,N($I1012)-MAX(N($H1012),1)))</f>
        <v>0</v>
      </c>
      <c r="W1012" s="40">
        <f>IF(S1012="",0,YEAR(S1012)*12+MONTH(S1012))</f>
        <v>0</v>
      </c>
      <c r="X1012" s="40">
        <f>IF(W1012=0,0,W1012+V1012-U1012)</f>
        <v>0</v>
      </c>
      <c r="Y1012" s="36">
        <f>IF(W1012=0,0,N(R1012)*MAX(0,X1012-MAX(W1012,YEAR(Cfg_Hoje)*12+MONTH(Cfg_Hoje)+IF(DAY(Cfg_Hoje)&gt;=INDEX(Cartoes_Fech,MATCH($F1012,Cartoes_Nome,0)),1,0))+1))</f>
        <v>0</v>
      </c>
      <c r="Z1012" s="40">
        <f>IF($A1012="",0,DAY($A1012))</f>
        <v>0</v>
      </c>
      <c r="AA1012" s="40">
        <f>IF($A1012="",0,WEEKDAY($A1012))</f>
        <v>0</v>
      </c>
      <c r="AB1012" s="36">
        <f>IF(AND($C1012="Despesa",U1012&gt;0,U1012&lt;=Sel_Idx,V1012&gt;=Sel_Idx),N(R1012)+ROW()/1000000000,0)</f>
        <v>0</v>
      </c>
      <c r="AC1012" s="40">
        <f>IF(AND($C1012="Despesa",U1012&gt;0,U1012&lt;=Sel_Idx,V1012&gt;=Sel_Idx),Z1012*10000+ROW(),0)</f>
        <v>0</v>
      </c>
      <c r="AD1012" s="40">
        <f>IF(AC1012=0,0,COUNTIFS(L_CalChave,"&gt;0",L_CalChave,"&lt;"&amp;AC1012)+1)</f>
        <v>0</v>
      </c>
    </row>
    <row r="1013">
      <c r="A1013" s="38" t="n"/>
      <c r="B1013" s="39" t="n"/>
      <c r="C1013" s="34" t="n"/>
      <c r="D1013" s="34" t="n"/>
      <c r="E1013" s="34" t="n"/>
      <c r="F1013" s="34" t="n"/>
      <c r="G1013" s="34" t="n"/>
      <c r="H1013" s="37" t="n"/>
      <c r="I1013" s="37" t="n"/>
      <c r="J1013" s="34" t="n"/>
      <c r="K1013" s="34" t="n"/>
      <c r="L1013" s="34" t="n"/>
      <c r="M1013" s="39" t="n"/>
      <c r="N1013" s="35" t="n"/>
      <c r="O1013" s="40" t="str">
        <f>IF($A1013="","",MONTH($A1013))</f>
        <v/>
      </c>
      <c r="P1013" s="40" t="str">
        <f>IF($A1013="","",YEAR($A1013))</f>
        <v/>
      </c>
      <c r="Q1013" s="41" t="str">
        <f>IF($A1013="","",DATE(P1013,O1013,1))</f>
        <v/>
      </c>
      <c r="R1013" s="36" t="str">
        <f>IF(OR($A1013="",$N1013=""),"",IF(AND($C1013&lt;&gt;"Transferência",N($I1013)&gt;1),$N1013/$I1013,$N1013))</f>
        <v/>
      </c>
      <c r="S1013" s="41" t="str">
        <f>IF(OR($A1013="",$F1013="",$C1013&lt;&gt;"Despesa"),"",IF(COUNTIF(Cartoes_Nome,$F1013)=0,"",DATE(P1013,O1013+IF(DAY($A1013)&gt;=INDEX(Cartoes_Fech,MATCH($F1013,Cartoes_Nome,0)),1,0),1)))</f>
        <v/>
      </c>
      <c r="T1013" s="42" t="str">
        <f>IF($A1013="","",IF(COUNTIFS(L_Data,$A1013,L_Desc,$B1013,L_Valor,$N1013,L_Tipo,$C1013)&gt;1,"⚠ Possível duplicidade",IF(OR(AND($C1013="Despesa",COUNTIF(CatD_Nome,$D1013)=0),AND($C1013="Receita",COUNTIF(CatR_Nome,$D1013)=0)),"⚠ Categoria não combina com o tipo",IF(OR($N1013="",$C1013=""),"⚠ Falta valor ou tipo",""))))</f>
        <v/>
      </c>
      <c r="U1013" s="40">
        <f>IF($A1013="",0,P1013*12+O1013)</f>
        <v>0</v>
      </c>
      <c r="V1013" s="40">
        <f>IF($A1013="",0,U1013+MAX(0,N($I1013)-MAX(N($H1013),1)))</f>
        <v>0</v>
      </c>
      <c r="W1013" s="40">
        <f>IF(S1013="",0,YEAR(S1013)*12+MONTH(S1013))</f>
        <v>0</v>
      </c>
      <c r="X1013" s="40">
        <f>IF(W1013=0,0,W1013+V1013-U1013)</f>
        <v>0</v>
      </c>
      <c r="Y1013" s="36">
        <f>IF(W1013=0,0,N(R1013)*MAX(0,X1013-MAX(W1013,YEAR(Cfg_Hoje)*12+MONTH(Cfg_Hoje)+IF(DAY(Cfg_Hoje)&gt;=INDEX(Cartoes_Fech,MATCH($F1013,Cartoes_Nome,0)),1,0))+1))</f>
        <v>0</v>
      </c>
      <c r="Z1013" s="40">
        <f>IF($A1013="",0,DAY($A1013))</f>
        <v>0</v>
      </c>
      <c r="AA1013" s="40">
        <f>IF($A1013="",0,WEEKDAY($A1013))</f>
        <v>0</v>
      </c>
      <c r="AB1013" s="36">
        <f>IF(AND($C1013="Despesa",U1013&gt;0,U1013&lt;=Sel_Idx,V1013&gt;=Sel_Idx),N(R1013)+ROW()/1000000000,0)</f>
        <v>0</v>
      </c>
      <c r="AC1013" s="40">
        <f>IF(AND($C1013="Despesa",U1013&gt;0,U1013&lt;=Sel_Idx,V1013&gt;=Sel_Idx),Z1013*10000+ROW(),0)</f>
        <v>0</v>
      </c>
      <c r="AD1013" s="40">
        <f>IF(AC1013=0,0,COUNTIFS(L_CalChave,"&gt;0",L_CalChave,"&lt;"&amp;AC1013)+1)</f>
        <v>0</v>
      </c>
    </row>
    <row r="1014">
      <c r="A1014" s="38" t="n"/>
      <c r="B1014" s="39" t="n"/>
      <c r="C1014" s="34" t="n"/>
      <c r="D1014" s="34" t="n"/>
      <c r="E1014" s="34" t="n"/>
      <c r="F1014" s="34" t="n"/>
      <c r="G1014" s="34" t="n"/>
      <c r="H1014" s="37" t="n"/>
      <c r="I1014" s="37" t="n"/>
      <c r="J1014" s="34" t="n"/>
      <c r="K1014" s="34" t="n"/>
      <c r="L1014" s="34" t="n"/>
      <c r="M1014" s="39" t="n"/>
      <c r="N1014" s="35" t="n"/>
      <c r="O1014" s="40" t="str">
        <f>IF($A1014="","",MONTH($A1014))</f>
        <v/>
      </c>
      <c r="P1014" s="40" t="str">
        <f>IF($A1014="","",YEAR($A1014))</f>
        <v/>
      </c>
      <c r="Q1014" s="41" t="str">
        <f>IF($A1014="","",DATE(P1014,O1014,1))</f>
        <v/>
      </c>
      <c r="R1014" s="36" t="str">
        <f>IF(OR($A1014="",$N1014=""),"",IF(AND($C1014&lt;&gt;"Transferência",N($I1014)&gt;1),$N1014/$I1014,$N1014))</f>
        <v/>
      </c>
      <c r="S1014" s="41" t="str">
        <f>IF(OR($A1014="",$F1014="",$C1014&lt;&gt;"Despesa"),"",IF(COUNTIF(Cartoes_Nome,$F1014)=0,"",DATE(P1014,O1014+IF(DAY($A1014)&gt;=INDEX(Cartoes_Fech,MATCH($F1014,Cartoes_Nome,0)),1,0),1)))</f>
        <v/>
      </c>
      <c r="T1014" s="42" t="str">
        <f>IF($A1014="","",IF(COUNTIFS(L_Data,$A1014,L_Desc,$B1014,L_Valor,$N1014,L_Tipo,$C1014)&gt;1,"⚠ Possível duplicidade",IF(OR(AND($C1014="Despesa",COUNTIF(CatD_Nome,$D1014)=0),AND($C1014="Receita",COUNTIF(CatR_Nome,$D1014)=0)),"⚠ Categoria não combina com o tipo",IF(OR($N1014="",$C1014=""),"⚠ Falta valor ou tipo",""))))</f>
        <v/>
      </c>
      <c r="U1014" s="40">
        <f>IF($A1014="",0,P1014*12+O1014)</f>
        <v>0</v>
      </c>
      <c r="V1014" s="40">
        <f>IF($A1014="",0,U1014+MAX(0,N($I1014)-MAX(N($H1014),1)))</f>
        <v>0</v>
      </c>
      <c r="W1014" s="40">
        <f>IF(S1014="",0,YEAR(S1014)*12+MONTH(S1014))</f>
        <v>0</v>
      </c>
      <c r="X1014" s="40">
        <f>IF(W1014=0,0,W1014+V1014-U1014)</f>
        <v>0</v>
      </c>
      <c r="Y1014" s="36">
        <f>IF(W1014=0,0,N(R1014)*MAX(0,X1014-MAX(W1014,YEAR(Cfg_Hoje)*12+MONTH(Cfg_Hoje)+IF(DAY(Cfg_Hoje)&gt;=INDEX(Cartoes_Fech,MATCH($F1014,Cartoes_Nome,0)),1,0))+1))</f>
        <v>0</v>
      </c>
      <c r="Z1014" s="40">
        <f>IF($A1014="",0,DAY($A1014))</f>
        <v>0</v>
      </c>
      <c r="AA1014" s="40">
        <f>IF($A1014="",0,WEEKDAY($A1014))</f>
        <v>0</v>
      </c>
      <c r="AB1014" s="36">
        <f>IF(AND($C1014="Despesa",U1014&gt;0,U1014&lt;=Sel_Idx,V1014&gt;=Sel_Idx),N(R1014)+ROW()/1000000000,0)</f>
        <v>0</v>
      </c>
      <c r="AC1014" s="40">
        <f>IF(AND($C1014="Despesa",U1014&gt;0,U1014&lt;=Sel_Idx,V1014&gt;=Sel_Idx),Z1014*10000+ROW(),0)</f>
        <v>0</v>
      </c>
      <c r="AD1014" s="40">
        <f>IF(AC1014=0,0,COUNTIFS(L_CalChave,"&gt;0",L_CalChave,"&lt;"&amp;AC1014)+1)</f>
        <v>0</v>
      </c>
    </row>
    <row r="1015">
      <c r="A1015" s="38" t="n"/>
      <c r="B1015" s="39" t="n"/>
      <c r="C1015" s="34" t="n"/>
      <c r="D1015" s="34" t="n"/>
      <c r="E1015" s="34" t="n"/>
      <c r="F1015" s="34" t="n"/>
      <c r="G1015" s="34" t="n"/>
      <c r="H1015" s="37" t="n"/>
      <c r="I1015" s="37" t="n"/>
      <c r="J1015" s="34" t="n"/>
      <c r="K1015" s="34" t="n"/>
      <c r="L1015" s="34" t="n"/>
      <c r="M1015" s="39" t="n"/>
      <c r="N1015" s="35" t="n"/>
      <c r="O1015" s="40" t="str">
        <f>IF($A1015="","",MONTH($A1015))</f>
        <v/>
      </c>
      <c r="P1015" s="40" t="str">
        <f>IF($A1015="","",YEAR($A1015))</f>
        <v/>
      </c>
      <c r="Q1015" s="41" t="str">
        <f>IF($A1015="","",DATE(P1015,O1015,1))</f>
        <v/>
      </c>
      <c r="R1015" s="36" t="str">
        <f>IF(OR($A1015="",$N1015=""),"",IF(AND($C1015&lt;&gt;"Transferência",N($I1015)&gt;1),$N1015/$I1015,$N1015))</f>
        <v/>
      </c>
      <c r="S1015" s="41" t="str">
        <f>IF(OR($A1015="",$F1015="",$C1015&lt;&gt;"Despesa"),"",IF(COUNTIF(Cartoes_Nome,$F1015)=0,"",DATE(P1015,O1015+IF(DAY($A1015)&gt;=INDEX(Cartoes_Fech,MATCH($F1015,Cartoes_Nome,0)),1,0),1)))</f>
        <v/>
      </c>
      <c r="T1015" s="42" t="str">
        <f>IF($A1015="","",IF(COUNTIFS(L_Data,$A1015,L_Desc,$B1015,L_Valor,$N1015,L_Tipo,$C1015)&gt;1,"⚠ Possível duplicidade",IF(OR(AND($C1015="Despesa",COUNTIF(CatD_Nome,$D1015)=0),AND($C1015="Receita",COUNTIF(CatR_Nome,$D1015)=0)),"⚠ Categoria não combina com o tipo",IF(OR($N1015="",$C1015=""),"⚠ Falta valor ou tipo",""))))</f>
        <v/>
      </c>
      <c r="U1015" s="40">
        <f>IF($A1015="",0,P1015*12+O1015)</f>
        <v>0</v>
      </c>
      <c r="V1015" s="40">
        <f>IF($A1015="",0,U1015+MAX(0,N($I1015)-MAX(N($H1015),1)))</f>
        <v>0</v>
      </c>
      <c r="W1015" s="40">
        <f>IF(S1015="",0,YEAR(S1015)*12+MONTH(S1015))</f>
        <v>0</v>
      </c>
      <c r="X1015" s="40">
        <f>IF(W1015=0,0,W1015+V1015-U1015)</f>
        <v>0</v>
      </c>
      <c r="Y1015" s="36">
        <f>IF(W1015=0,0,N(R1015)*MAX(0,X1015-MAX(W1015,YEAR(Cfg_Hoje)*12+MONTH(Cfg_Hoje)+IF(DAY(Cfg_Hoje)&gt;=INDEX(Cartoes_Fech,MATCH($F1015,Cartoes_Nome,0)),1,0))+1))</f>
        <v>0</v>
      </c>
      <c r="Z1015" s="40">
        <f>IF($A1015="",0,DAY($A1015))</f>
        <v>0</v>
      </c>
      <c r="AA1015" s="40">
        <f>IF($A1015="",0,WEEKDAY($A1015))</f>
        <v>0</v>
      </c>
      <c r="AB1015" s="36">
        <f>IF(AND($C1015="Despesa",U1015&gt;0,U1015&lt;=Sel_Idx,V1015&gt;=Sel_Idx),N(R1015)+ROW()/1000000000,0)</f>
        <v>0</v>
      </c>
      <c r="AC1015" s="40">
        <f>IF(AND($C1015="Despesa",U1015&gt;0,U1015&lt;=Sel_Idx,V1015&gt;=Sel_Idx),Z1015*10000+ROW(),0)</f>
        <v>0</v>
      </c>
      <c r="AD1015" s="40">
        <f>IF(AC1015=0,0,COUNTIFS(L_CalChave,"&gt;0",L_CalChave,"&lt;"&amp;AC1015)+1)</f>
        <v>0</v>
      </c>
    </row>
    <row r="1016">
      <c r="A1016" s="38" t="n"/>
      <c r="B1016" s="39" t="n"/>
      <c r="C1016" s="34" t="n"/>
      <c r="D1016" s="34" t="n"/>
      <c r="E1016" s="34" t="n"/>
      <c r="F1016" s="34" t="n"/>
      <c r="G1016" s="34" t="n"/>
      <c r="H1016" s="37" t="n"/>
      <c r="I1016" s="37" t="n"/>
      <c r="J1016" s="34" t="n"/>
      <c r="K1016" s="34" t="n"/>
      <c r="L1016" s="34" t="n"/>
      <c r="M1016" s="39" t="n"/>
      <c r="N1016" s="35" t="n"/>
      <c r="O1016" s="40" t="str">
        <f>IF($A1016="","",MONTH($A1016))</f>
        <v/>
      </c>
      <c r="P1016" s="40" t="str">
        <f>IF($A1016="","",YEAR($A1016))</f>
        <v/>
      </c>
      <c r="Q1016" s="41" t="str">
        <f>IF($A1016="","",DATE(P1016,O1016,1))</f>
        <v/>
      </c>
      <c r="R1016" s="36" t="str">
        <f>IF(OR($A1016="",$N1016=""),"",IF(AND($C1016&lt;&gt;"Transferência",N($I1016)&gt;1),$N1016/$I1016,$N1016))</f>
        <v/>
      </c>
      <c r="S1016" s="41" t="str">
        <f>IF(OR($A1016="",$F1016="",$C1016&lt;&gt;"Despesa"),"",IF(COUNTIF(Cartoes_Nome,$F1016)=0,"",DATE(P1016,O1016+IF(DAY($A1016)&gt;=INDEX(Cartoes_Fech,MATCH($F1016,Cartoes_Nome,0)),1,0),1)))</f>
        <v/>
      </c>
      <c r="T1016" s="42" t="str">
        <f>IF($A1016="","",IF(COUNTIFS(L_Data,$A1016,L_Desc,$B1016,L_Valor,$N1016,L_Tipo,$C1016)&gt;1,"⚠ Possível duplicidade",IF(OR(AND($C1016="Despesa",COUNTIF(CatD_Nome,$D1016)=0),AND($C1016="Receita",COUNTIF(CatR_Nome,$D1016)=0)),"⚠ Categoria não combina com o tipo",IF(OR($N1016="",$C1016=""),"⚠ Falta valor ou tipo",""))))</f>
        <v/>
      </c>
      <c r="U1016" s="40">
        <f>IF($A1016="",0,P1016*12+O1016)</f>
        <v>0</v>
      </c>
      <c r="V1016" s="40">
        <f>IF($A1016="",0,U1016+MAX(0,N($I1016)-MAX(N($H1016),1)))</f>
        <v>0</v>
      </c>
      <c r="W1016" s="40">
        <f>IF(S1016="",0,YEAR(S1016)*12+MONTH(S1016))</f>
        <v>0</v>
      </c>
      <c r="X1016" s="40">
        <f>IF(W1016=0,0,W1016+V1016-U1016)</f>
        <v>0</v>
      </c>
      <c r="Y1016" s="36">
        <f>IF(W1016=0,0,N(R1016)*MAX(0,X1016-MAX(W1016,YEAR(Cfg_Hoje)*12+MONTH(Cfg_Hoje)+IF(DAY(Cfg_Hoje)&gt;=INDEX(Cartoes_Fech,MATCH($F1016,Cartoes_Nome,0)),1,0))+1))</f>
        <v>0</v>
      </c>
      <c r="Z1016" s="40">
        <f>IF($A1016="",0,DAY($A1016))</f>
        <v>0</v>
      </c>
      <c r="AA1016" s="40">
        <f>IF($A1016="",0,WEEKDAY($A1016))</f>
        <v>0</v>
      </c>
      <c r="AB1016" s="36">
        <f>IF(AND($C1016="Despesa",U1016&gt;0,U1016&lt;=Sel_Idx,V1016&gt;=Sel_Idx),N(R1016)+ROW()/1000000000,0)</f>
        <v>0</v>
      </c>
      <c r="AC1016" s="40">
        <f>IF(AND($C1016="Despesa",U1016&gt;0,U1016&lt;=Sel_Idx,V1016&gt;=Sel_Idx),Z1016*10000+ROW(),0)</f>
        <v>0</v>
      </c>
      <c r="AD1016" s="40">
        <f>IF(AC1016=0,0,COUNTIFS(L_CalChave,"&gt;0",L_CalChave,"&lt;"&amp;AC1016)+1)</f>
        <v>0</v>
      </c>
    </row>
    <row r="1017">
      <c r="A1017" s="38" t="n"/>
      <c r="B1017" s="39" t="n"/>
      <c r="C1017" s="34" t="n"/>
      <c r="D1017" s="34" t="n"/>
      <c r="E1017" s="34" t="n"/>
      <c r="F1017" s="34" t="n"/>
      <c r="G1017" s="34" t="n"/>
      <c r="H1017" s="37" t="n"/>
      <c r="I1017" s="37" t="n"/>
      <c r="J1017" s="34" t="n"/>
      <c r="K1017" s="34" t="n"/>
      <c r="L1017" s="34" t="n"/>
      <c r="M1017" s="39" t="n"/>
      <c r="N1017" s="35" t="n"/>
      <c r="O1017" s="40" t="str">
        <f>IF($A1017="","",MONTH($A1017))</f>
        <v/>
      </c>
      <c r="P1017" s="40" t="str">
        <f>IF($A1017="","",YEAR($A1017))</f>
        <v/>
      </c>
      <c r="Q1017" s="41" t="str">
        <f>IF($A1017="","",DATE(P1017,O1017,1))</f>
        <v/>
      </c>
      <c r="R1017" s="36" t="str">
        <f>IF(OR($A1017="",$N1017=""),"",IF(AND($C1017&lt;&gt;"Transferência",N($I1017)&gt;1),$N1017/$I1017,$N1017))</f>
        <v/>
      </c>
      <c r="S1017" s="41" t="str">
        <f>IF(OR($A1017="",$F1017="",$C1017&lt;&gt;"Despesa"),"",IF(COUNTIF(Cartoes_Nome,$F1017)=0,"",DATE(P1017,O1017+IF(DAY($A1017)&gt;=INDEX(Cartoes_Fech,MATCH($F1017,Cartoes_Nome,0)),1,0),1)))</f>
        <v/>
      </c>
      <c r="T1017" s="42" t="str">
        <f>IF($A1017="","",IF(COUNTIFS(L_Data,$A1017,L_Desc,$B1017,L_Valor,$N1017,L_Tipo,$C1017)&gt;1,"⚠ Possível duplicidade",IF(OR(AND($C1017="Despesa",COUNTIF(CatD_Nome,$D1017)=0),AND($C1017="Receita",COUNTIF(CatR_Nome,$D1017)=0)),"⚠ Categoria não combina com o tipo",IF(OR($N1017="",$C1017=""),"⚠ Falta valor ou tipo",""))))</f>
        <v/>
      </c>
      <c r="U1017" s="40">
        <f>IF($A1017="",0,P1017*12+O1017)</f>
        <v>0</v>
      </c>
      <c r="V1017" s="40">
        <f>IF($A1017="",0,U1017+MAX(0,N($I1017)-MAX(N($H1017),1)))</f>
        <v>0</v>
      </c>
      <c r="W1017" s="40">
        <f>IF(S1017="",0,YEAR(S1017)*12+MONTH(S1017))</f>
        <v>0</v>
      </c>
      <c r="X1017" s="40">
        <f>IF(W1017=0,0,W1017+V1017-U1017)</f>
        <v>0</v>
      </c>
      <c r="Y1017" s="36">
        <f>IF(W1017=0,0,N(R1017)*MAX(0,X1017-MAX(W1017,YEAR(Cfg_Hoje)*12+MONTH(Cfg_Hoje)+IF(DAY(Cfg_Hoje)&gt;=INDEX(Cartoes_Fech,MATCH($F1017,Cartoes_Nome,0)),1,0))+1))</f>
        <v>0</v>
      </c>
      <c r="Z1017" s="40">
        <f>IF($A1017="",0,DAY($A1017))</f>
        <v>0</v>
      </c>
      <c r="AA1017" s="40">
        <f>IF($A1017="",0,WEEKDAY($A1017))</f>
        <v>0</v>
      </c>
      <c r="AB1017" s="36">
        <f>IF(AND($C1017="Despesa",U1017&gt;0,U1017&lt;=Sel_Idx,V1017&gt;=Sel_Idx),N(R1017)+ROW()/1000000000,0)</f>
        <v>0</v>
      </c>
      <c r="AC1017" s="40">
        <f>IF(AND($C1017="Despesa",U1017&gt;0,U1017&lt;=Sel_Idx,V1017&gt;=Sel_Idx),Z1017*10000+ROW(),0)</f>
        <v>0</v>
      </c>
      <c r="AD1017" s="40">
        <f>IF(AC1017=0,0,COUNTIFS(L_CalChave,"&gt;0",L_CalChave,"&lt;"&amp;AC1017)+1)</f>
        <v>0</v>
      </c>
    </row>
    <row r="1018">
      <c r="A1018" s="38" t="n"/>
      <c r="B1018" s="39" t="n"/>
      <c r="C1018" s="34" t="n"/>
      <c r="D1018" s="34" t="n"/>
      <c r="E1018" s="34" t="n"/>
      <c r="F1018" s="34" t="n"/>
      <c r="G1018" s="34" t="n"/>
      <c r="H1018" s="37" t="n"/>
      <c r="I1018" s="37" t="n"/>
      <c r="J1018" s="34" t="n"/>
      <c r="K1018" s="34" t="n"/>
      <c r="L1018" s="34" t="n"/>
      <c r="M1018" s="39" t="n"/>
      <c r="N1018" s="35" t="n"/>
      <c r="O1018" s="40" t="str">
        <f>IF($A1018="","",MONTH($A1018))</f>
        <v/>
      </c>
      <c r="P1018" s="40" t="str">
        <f>IF($A1018="","",YEAR($A1018))</f>
        <v/>
      </c>
      <c r="Q1018" s="41" t="str">
        <f>IF($A1018="","",DATE(P1018,O1018,1))</f>
        <v/>
      </c>
      <c r="R1018" s="36" t="str">
        <f>IF(OR($A1018="",$N1018=""),"",IF(AND($C1018&lt;&gt;"Transferência",N($I1018)&gt;1),$N1018/$I1018,$N1018))</f>
        <v/>
      </c>
      <c r="S1018" s="41" t="str">
        <f>IF(OR($A1018="",$F1018="",$C1018&lt;&gt;"Despesa"),"",IF(COUNTIF(Cartoes_Nome,$F1018)=0,"",DATE(P1018,O1018+IF(DAY($A1018)&gt;=INDEX(Cartoes_Fech,MATCH($F1018,Cartoes_Nome,0)),1,0),1)))</f>
        <v/>
      </c>
      <c r="T1018" s="42" t="str">
        <f>IF($A1018="","",IF(COUNTIFS(L_Data,$A1018,L_Desc,$B1018,L_Valor,$N1018,L_Tipo,$C1018)&gt;1,"⚠ Possível duplicidade",IF(OR(AND($C1018="Despesa",COUNTIF(CatD_Nome,$D1018)=0),AND($C1018="Receita",COUNTIF(CatR_Nome,$D1018)=0)),"⚠ Categoria não combina com o tipo",IF(OR($N1018="",$C1018=""),"⚠ Falta valor ou tipo",""))))</f>
        <v/>
      </c>
      <c r="U1018" s="40">
        <f>IF($A1018="",0,P1018*12+O1018)</f>
        <v>0</v>
      </c>
      <c r="V1018" s="40">
        <f>IF($A1018="",0,U1018+MAX(0,N($I1018)-MAX(N($H1018),1)))</f>
        <v>0</v>
      </c>
      <c r="W1018" s="40">
        <f>IF(S1018="",0,YEAR(S1018)*12+MONTH(S1018))</f>
        <v>0</v>
      </c>
      <c r="X1018" s="40">
        <f>IF(W1018=0,0,W1018+V1018-U1018)</f>
        <v>0</v>
      </c>
      <c r="Y1018" s="36">
        <f>IF(W1018=0,0,N(R1018)*MAX(0,X1018-MAX(W1018,YEAR(Cfg_Hoje)*12+MONTH(Cfg_Hoje)+IF(DAY(Cfg_Hoje)&gt;=INDEX(Cartoes_Fech,MATCH($F1018,Cartoes_Nome,0)),1,0))+1))</f>
        <v>0</v>
      </c>
      <c r="Z1018" s="40">
        <f>IF($A1018="",0,DAY($A1018))</f>
        <v>0</v>
      </c>
      <c r="AA1018" s="40">
        <f>IF($A1018="",0,WEEKDAY($A1018))</f>
        <v>0</v>
      </c>
      <c r="AB1018" s="36">
        <f>IF(AND($C1018="Despesa",U1018&gt;0,U1018&lt;=Sel_Idx,V1018&gt;=Sel_Idx),N(R1018)+ROW()/1000000000,0)</f>
        <v>0</v>
      </c>
      <c r="AC1018" s="40">
        <f>IF(AND($C1018="Despesa",U1018&gt;0,U1018&lt;=Sel_Idx,V1018&gt;=Sel_Idx),Z1018*10000+ROW(),0)</f>
        <v>0</v>
      </c>
      <c r="AD1018" s="40">
        <f>IF(AC1018=0,0,COUNTIFS(L_CalChave,"&gt;0",L_CalChave,"&lt;"&amp;AC1018)+1)</f>
        <v>0</v>
      </c>
    </row>
    <row r="1019">
      <c r="A1019" s="38" t="n"/>
      <c r="B1019" s="39" t="n"/>
      <c r="C1019" s="34" t="n"/>
      <c r="D1019" s="34" t="n"/>
      <c r="E1019" s="34" t="n"/>
      <c r="F1019" s="34" t="n"/>
      <c r="G1019" s="34" t="n"/>
      <c r="H1019" s="37" t="n"/>
      <c r="I1019" s="37" t="n"/>
      <c r="J1019" s="34" t="n"/>
      <c r="K1019" s="34" t="n"/>
      <c r="L1019" s="34" t="n"/>
      <c r="M1019" s="39" t="n"/>
      <c r="N1019" s="35" t="n"/>
      <c r="O1019" s="40" t="str">
        <f>IF($A1019="","",MONTH($A1019))</f>
        <v/>
      </c>
      <c r="P1019" s="40" t="str">
        <f>IF($A1019="","",YEAR($A1019))</f>
        <v/>
      </c>
      <c r="Q1019" s="41" t="str">
        <f>IF($A1019="","",DATE(P1019,O1019,1))</f>
        <v/>
      </c>
      <c r="R1019" s="36" t="str">
        <f>IF(OR($A1019="",$N1019=""),"",IF(AND($C1019&lt;&gt;"Transferência",N($I1019)&gt;1),$N1019/$I1019,$N1019))</f>
        <v/>
      </c>
      <c r="S1019" s="41" t="str">
        <f>IF(OR($A1019="",$F1019="",$C1019&lt;&gt;"Despesa"),"",IF(COUNTIF(Cartoes_Nome,$F1019)=0,"",DATE(P1019,O1019+IF(DAY($A1019)&gt;=INDEX(Cartoes_Fech,MATCH($F1019,Cartoes_Nome,0)),1,0),1)))</f>
        <v/>
      </c>
      <c r="T1019" s="42" t="str">
        <f>IF($A1019="","",IF(COUNTIFS(L_Data,$A1019,L_Desc,$B1019,L_Valor,$N1019,L_Tipo,$C1019)&gt;1,"⚠ Possível duplicidade",IF(OR(AND($C1019="Despesa",COUNTIF(CatD_Nome,$D1019)=0),AND($C1019="Receita",COUNTIF(CatR_Nome,$D1019)=0)),"⚠ Categoria não combina com o tipo",IF(OR($N1019="",$C1019=""),"⚠ Falta valor ou tipo",""))))</f>
        <v/>
      </c>
      <c r="U1019" s="40">
        <f>IF($A1019="",0,P1019*12+O1019)</f>
        <v>0</v>
      </c>
      <c r="V1019" s="40">
        <f>IF($A1019="",0,U1019+MAX(0,N($I1019)-MAX(N($H1019),1)))</f>
        <v>0</v>
      </c>
      <c r="W1019" s="40">
        <f>IF(S1019="",0,YEAR(S1019)*12+MONTH(S1019))</f>
        <v>0</v>
      </c>
      <c r="X1019" s="40">
        <f>IF(W1019=0,0,W1019+V1019-U1019)</f>
        <v>0</v>
      </c>
      <c r="Y1019" s="36">
        <f>IF(W1019=0,0,N(R1019)*MAX(0,X1019-MAX(W1019,YEAR(Cfg_Hoje)*12+MONTH(Cfg_Hoje)+IF(DAY(Cfg_Hoje)&gt;=INDEX(Cartoes_Fech,MATCH($F1019,Cartoes_Nome,0)),1,0))+1))</f>
        <v>0</v>
      </c>
      <c r="Z1019" s="40">
        <f>IF($A1019="",0,DAY($A1019))</f>
        <v>0</v>
      </c>
      <c r="AA1019" s="40">
        <f>IF($A1019="",0,WEEKDAY($A1019))</f>
        <v>0</v>
      </c>
      <c r="AB1019" s="36">
        <f>IF(AND($C1019="Despesa",U1019&gt;0,U1019&lt;=Sel_Idx,V1019&gt;=Sel_Idx),N(R1019)+ROW()/1000000000,0)</f>
        <v>0</v>
      </c>
      <c r="AC1019" s="40">
        <f>IF(AND($C1019="Despesa",U1019&gt;0,U1019&lt;=Sel_Idx,V1019&gt;=Sel_Idx),Z1019*10000+ROW(),0)</f>
        <v>0</v>
      </c>
      <c r="AD1019" s="40">
        <f>IF(AC1019=0,0,COUNTIFS(L_CalChave,"&gt;0",L_CalChave,"&lt;"&amp;AC1019)+1)</f>
        <v>0</v>
      </c>
    </row>
    <row r="1020">
      <c r="A1020" s="38" t="n"/>
      <c r="B1020" s="39" t="n"/>
      <c r="C1020" s="34" t="n"/>
      <c r="D1020" s="34" t="n"/>
      <c r="E1020" s="34" t="n"/>
      <c r="F1020" s="34" t="n"/>
      <c r="G1020" s="34" t="n"/>
      <c r="H1020" s="37" t="n"/>
      <c r="I1020" s="37" t="n"/>
      <c r="J1020" s="34" t="n"/>
      <c r="K1020" s="34" t="n"/>
      <c r="L1020" s="34" t="n"/>
      <c r="M1020" s="39" t="n"/>
      <c r="N1020" s="35" t="n"/>
      <c r="O1020" s="40" t="str">
        <f>IF($A1020="","",MONTH($A1020))</f>
        <v/>
      </c>
      <c r="P1020" s="40" t="str">
        <f>IF($A1020="","",YEAR($A1020))</f>
        <v/>
      </c>
      <c r="Q1020" s="41" t="str">
        <f>IF($A1020="","",DATE(P1020,O1020,1))</f>
        <v/>
      </c>
      <c r="R1020" s="36" t="str">
        <f>IF(OR($A1020="",$N1020=""),"",IF(AND($C1020&lt;&gt;"Transferência",N($I1020)&gt;1),$N1020/$I1020,$N1020))</f>
        <v/>
      </c>
      <c r="S1020" s="41" t="str">
        <f>IF(OR($A1020="",$F1020="",$C1020&lt;&gt;"Despesa"),"",IF(COUNTIF(Cartoes_Nome,$F1020)=0,"",DATE(P1020,O1020+IF(DAY($A1020)&gt;=INDEX(Cartoes_Fech,MATCH($F1020,Cartoes_Nome,0)),1,0),1)))</f>
        <v/>
      </c>
      <c r="T1020" s="42" t="str">
        <f>IF($A1020="","",IF(COUNTIFS(L_Data,$A1020,L_Desc,$B1020,L_Valor,$N1020,L_Tipo,$C1020)&gt;1,"⚠ Possível duplicidade",IF(OR(AND($C1020="Despesa",COUNTIF(CatD_Nome,$D1020)=0),AND($C1020="Receita",COUNTIF(CatR_Nome,$D1020)=0)),"⚠ Categoria não combina com o tipo",IF(OR($N1020="",$C1020=""),"⚠ Falta valor ou tipo",""))))</f>
        <v/>
      </c>
      <c r="U1020" s="40">
        <f>IF($A1020="",0,P1020*12+O1020)</f>
        <v>0</v>
      </c>
      <c r="V1020" s="40">
        <f>IF($A1020="",0,U1020+MAX(0,N($I1020)-MAX(N($H1020),1)))</f>
        <v>0</v>
      </c>
      <c r="W1020" s="40">
        <f>IF(S1020="",0,YEAR(S1020)*12+MONTH(S1020))</f>
        <v>0</v>
      </c>
      <c r="X1020" s="40">
        <f>IF(W1020=0,0,W1020+V1020-U1020)</f>
        <v>0</v>
      </c>
      <c r="Y1020" s="36">
        <f>IF(W1020=0,0,N(R1020)*MAX(0,X1020-MAX(W1020,YEAR(Cfg_Hoje)*12+MONTH(Cfg_Hoje)+IF(DAY(Cfg_Hoje)&gt;=INDEX(Cartoes_Fech,MATCH($F1020,Cartoes_Nome,0)),1,0))+1))</f>
        <v>0</v>
      </c>
      <c r="Z1020" s="40">
        <f>IF($A1020="",0,DAY($A1020))</f>
        <v>0</v>
      </c>
      <c r="AA1020" s="40">
        <f>IF($A1020="",0,WEEKDAY($A1020))</f>
        <v>0</v>
      </c>
      <c r="AB1020" s="36">
        <f>IF(AND($C1020="Despesa",U1020&gt;0,U1020&lt;=Sel_Idx,V1020&gt;=Sel_Idx),N(R1020)+ROW()/1000000000,0)</f>
        <v>0</v>
      </c>
      <c r="AC1020" s="40">
        <f>IF(AND($C1020="Despesa",U1020&gt;0,U1020&lt;=Sel_Idx,V1020&gt;=Sel_Idx),Z1020*10000+ROW(),0)</f>
        <v>0</v>
      </c>
      <c r="AD1020" s="40">
        <f>IF(AC1020=0,0,COUNTIFS(L_CalChave,"&gt;0",L_CalChave,"&lt;"&amp;AC1020)+1)</f>
        <v>0</v>
      </c>
    </row>
    <row r="1021">
      <c r="A1021" s="38" t="n"/>
      <c r="B1021" s="39" t="n"/>
      <c r="C1021" s="34" t="n"/>
      <c r="D1021" s="34" t="n"/>
      <c r="E1021" s="34" t="n"/>
      <c r="F1021" s="34" t="n"/>
      <c r="G1021" s="34" t="n"/>
      <c r="H1021" s="37" t="n"/>
      <c r="I1021" s="37" t="n"/>
      <c r="J1021" s="34" t="n"/>
      <c r="K1021" s="34" t="n"/>
      <c r="L1021" s="34" t="n"/>
      <c r="M1021" s="39" t="n"/>
      <c r="N1021" s="35" t="n"/>
      <c r="O1021" s="40" t="str">
        <f>IF($A1021="","",MONTH($A1021))</f>
        <v/>
      </c>
      <c r="P1021" s="40" t="str">
        <f>IF($A1021="","",YEAR($A1021))</f>
        <v/>
      </c>
      <c r="Q1021" s="41" t="str">
        <f>IF($A1021="","",DATE(P1021,O1021,1))</f>
        <v/>
      </c>
      <c r="R1021" s="36" t="str">
        <f>IF(OR($A1021="",$N1021=""),"",IF(AND($C1021&lt;&gt;"Transferência",N($I1021)&gt;1),$N1021/$I1021,$N1021))</f>
        <v/>
      </c>
      <c r="S1021" s="41" t="str">
        <f>IF(OR($A1021="",$F1021="",$C1021&lt;&gt;"Despesa"),"",IF(COUNTIF(Cartoes_Nome,$F1021)=0,"",DATE(P1021,O1021+IF(DAY($A1021)&gt;=INDEX(Cartoes_Fech,MATCH($F1021,Cartoes_Nome,0)),1,0),1)))</f>
        <v/>
      </c>
      <c r="T1021" s="42" t="str">
        <f>IF($A1021="","",IF(COUNTIFS(L_Data,$A1021,L_Desc,$B1021,L_Valor,$N1021,L_Tipo,$C1021)&gt;1,"⚠ Possível duplicidade",IF(OR(AND($C1021="Despesa",COUNTIF(CatD_Nome,$D1021)=0),AND($C1021="Receita",COUNTIF(CatR_Nome,$D1021)=0)),"⚠ Categoria não combina com o tipo",IF(OR($N1021="",$C1021=""),"⚠ Falta valor ou tipo",""))))</f>
        <v/>
      </c>
      <c r="U1021" s="40">
        <f>IF($A1021="",0,P1021*12+O1021)</f>
        <v>0</v>
      </c>
      <c r="V1021" s="40">
        <f>IF($A1021="",0,U1021+MAX(0,N($I1021)-MAX(N($H1021),1)))</f>
        <v>0</v>
      </c>
      <c r="W1021" s="40">
        <f>IF(S1021="",0,YEAR(S1021)*12+MONTH(S1021))</f>
        <v>0</v>
      </c>
      <c r="X1021" s="40">
        <f>IF(W1021=0,0,W1021+V1021-U1021)</f>
        <v>0</v>
      </c>
      <c r="Y1021" s="36">
        <f>IF(W1021=0,0,N(R1021)*MAX(0,X1021-MAX(W1021,YEAR(Cfg_Hoje)*12+MONTH(Cfg_Hoje)+IF(DAY(Cfg_Hoje)&gt;=INDEX(Cartoes_Fech,MATCH($F1021,Cartoes_Nome,0)),1,0))+1))</f>
        <v>0</v>
      </c>
      <c r="Z1021" s="40">
        <f>IF($A1021="",0,DAY($A1021))</f>
        <v>0</v>
      </c>
      <c r="AA1021" s="40">
        <f>IF($A1021="",0,WEEKDAY($A1021))</f>
        <v>0</v>
      </c>
      <c r="AB1021" s="36">
        <f>IF(AND($C1021="Despesa",U1021&gt;0,U1021&lt;=Sel_Idx,V1021&gt;=Sel_Idx),N(R1021)+ROW()/1000000000,0)</f>
        <v>0</v>
      </c>
      <c r="AC1021" s="40">
        <f>IF(AND($C1021="Despesa",U1021&gt;0,U1021&lt;=Sel_Idx,V1021&gt;=Sel_Idx),Z1021*10000+ROW(),0)</f>
        <v>0</v>
      </c>
      <c r="AD1021" s="40">
        <f>IF(AC1021=0,0,COUNTIFS(L_CalChave,"&gt;0",L_CalChave,"&lt;"&amp;AC1021)+1)</f>
        <v>0</v>
      </c>
    </row>
    <row r="1022">
      <c r="A1022" s="38" t="n"/>
      <c r="B1022" s="39" t="n"/>
      <c r="C1022" s="34" t="n"/>
      <c r="D1022" s="34" t="n"/>
      <c r="E1022" s="34" t="n"/>
      <c r="F1022" s="34" t="n"/>
      <c r="G1022" s="34" t="n"/>
      <c r="H1022" s="37" t="n"/>
      <c r="I1022" s="37" t="n"/>
      <c r="J1022" s="34" t="n"/>
      <c r="K1022" s="34" t="n"/>
      <c r="L1022" s="34" t="n"/>
      <c r="M1022" s="39" t="n"/>
      <c r="N1022" s="35" t="n"/>
      <c r="O1022" s="40" t="str">
        <f>IF($A1022="","",MONTH($A1022))</f>
        <v/>
      </c>
      <c r="P1022" s="40" t="str">
        <f>IF($A1022="","",YEAR($A1022))</f>
        <v/>
      </c>
      <c r="Q1022" s="41" t="str">
        <f>IF($A1022="","",DATE(P1022,O1022,1))</f>
        <v/>
      </c>
      <c r="R1022" s="36" t="str">
        <f>IF(OR($A1022="",$N1022=""),"",IF(AND($C1022&lt;&gt;"Transferência",N($I1022)&gt;1),$N1022/$I1022,$N1022))</f>
        <v/>
      </c>
      <c r="S1022" s="41" t="str">
        <f>IF(OR($A1022="",$F1022="",$C1022&lt;&gt;"Despesa"),"",IF(COUNTIF(Cartoes_Nome,$F1022)=0,"",DATE(P1022,O1022+IF(DAY($A1022)&gt;=INDEX(Cartoes_Fech,MATCH($F1022,Cartoes_Nome,0)),1,0),1)))</f>
        <v/>
      </c>
      <c r="T1022" s="42" t="str">
        <f>IF($A1022="","",IF(COUNTIFS(L_Data,$A1022,L_Desc,$B1022,L_Valor,$N1022,L_Tipo,$C1022)&gt;1,"⚠ Possível duplicidade",IF(OR(AND($C1022="Despesa",COUNTIF(CatD_Nome,$D1022)=0),AND($C1022="Receita",COUNTIF(CatR_Nome,$D1022)=0)),"⚠ Categoria não combina com o tipo",IF(OR($N1022="",$C1022=""),"⚠ Falta valor ou tipo",""))))</f>
        <v/>
      </c>
      <c r="U1022" s="40">
        <f>IF($A1022="",0,P1022*12+O1022)</f>
        <v>0</v>
      </c>
      <c r="V1022" s="40">
        <f>IF($A1022="",0,U1022+MAX(0,N($I1022)-MAX(N($H1022),1)))</f>
        <v>0</v>
      </c>
      <c r="W1022" s="40">
        <f>IF(S1022="",0,YEAR(S1022)*12+MONTH(S1022))</f>
        <v>0</v>
      </c>
      <c r="X1022" s="40">
        <f>IF(W1022=0,0,W1022+V1022-U1022)</f>
        <v>0</v>
      </c>
      <c r="Y1022" s="36">
        <f>IF(W1022=0,0,N(R1022)*MAX(0,X1022-MAX(W1022,YEAR(Cfg_Hoje)*12+MONTH(Cfg_Hoje)+IF(DAY(Cfg_Hoje)&gt;=INDEX(Cartoes_Fech,MATCH($F1022,Cartoes_Nome,0)),1,0))+1))</f>
        <v>0</v>
      </c>
      <c r="Z1022" s="40">
        <f>IF($A1022="",0,DAY($A1022))</f>
        <v>0</v>
      </c>
      <c r="AA1022" s="40">
        <f>IF($A1022="",0,WEEKDAY($A1022))</f>
        <v>0</v>
      </c>
      <c r="AB1022" s="36">
        <f>IF(AND($C1022="Despesa",U1022&gt;0,U1022&lt;=Sel_Idx,V1022&gt;=Sel_Idx),N(R1022)+ROW()/1000000000,0)</f>
        <v>0</v>
      </c>
      <c r="AC1022" s="40">
        <f>IF(AND($C1022="Despesa",U1022&gt;0,U1022&lt;=Sel_Idx,V1022&gt;=Sel_Idx),Z1022*10000+ROW(),0)</f>
        <v>0</v>
      </c>
      <c r="AD1022" s="40">
        <f>IF(AC1022=0,0,COUNTIFS(L_CalChave,"&gt;0",L_CalChave,"&lt;"&amp;AC1022)+1)</f>
        <v>0</v>
      </c>
    </row>
    <row r="1023">
      <c r="A1023" s="38" t="n"/>
      <c r="B1023" s="39" t="n"/>
      <c r="C1023" s="34" t="n"/>
      <c r="D1023" s="34" t="n"/>
      <c r="E1023" s="34" t="n"/>
      <c r="F1023" s="34" t="n"/>
      <c r="G1023" s="34" t="n"/>
      <c r="H1023" s="37" t="n"/>
      <c r="I1023" s="37" t="n"/>
      <c r="J1023" s="34" t="n"/>
      <c r="K1023" s="34" t="n"/>
      <c r="L1023" s="34" t="n"/>
      <c r="M1023" s="39" t="n"/>
      <c r="N1023" s="35" t="n"/>
      <c r="O1023" s="40" t="str">
        <f>IF($A1023="","",MONTH($A1023))</f>
        <v/>
      </c>
      <c r="P1023" s="40" t="str">
        <f>IF($A1023="","",YEAR($A1023))</f>
        <v/>
      </c>
      <c r="Q1023" s="41" t="str">
        <f>IF($A1023="","",DATE(P1023,O1023,1))</f>
        <v/>
      </c>
      <c r="R1023" s="36" t="str">
        <f>IF(OR($A1023="",$N1023=""),"",IF(AND($C1023&lt;&gt;"Transferência",N($I1023)&gt;1),$N1023/$I1023,$N1023))</f>
        <v/>
      </c>
      <c r="S1023" s="41" t="str">
        <f>IF(OR($A1023="",$F1023="",$C1023&lt;&gt;"Despesa"),"",IF(COUNTIF(Cartoes_Nome,$F1023)=0,"",DATE(P1023,O1023+IF(DAY($A1023)&gt;=INDEX(Cartoes_Fech,MATCH($F1023,Cartoes_Nome,0)),1,0),1)))</f>
        <v/>
      </c>
      <c r="T1023" s="42" t="str">
        <f>IF($A1023="","",IF(COUNTIFS(L_Data,$A1023,L_Desc,$B1023,L_Valor,$N1023,L_Tipo,$C1023)&gt;1,"⚠ Possível duplicidade",IF(OR(AND($C1023="Despesa",COUNTIF(CatD_Nome,$D1023)=0),AND($C1023="Receita",COUNTIF(CatR_Nome,$D1023)=0)),"⚠ Categoria não combina com o tipo",IF(OR($N1023="",$C1023=""),"⚠ Falta valor ou tipo",""))))</f>
        <v/>
      </c>
      <c r="U1023" s="40">
        <f>IF($A1023="",0,P1023*12+O1023)</f>
        <v>0</v>
      </c>
      <c r="V1023" s="40">
        <f>IF($A1023="",0,U1023+MAX(0,N($I1023)-MAX(N($H1023),1)))</f>
        <v>0</v>
      </c>
      <c r="W1023" s="40">
        <f>IF(S1023="",0,YEAR(S1023)*12+MONTH(S1023))</f>
        <v>0</v>
      </c>
      <c r="X1023" s="40">
        <f>IF(W1023=0,0,W1023+V1023-U1023)</f>
        <v>0</v>
      </c>
      <c r="Y1023" s="36">
        <f>IF(W1023=0,0,N(R1023)*MAX(0,X1023-MAX(W1023,YEAR(Cfg_Hoje)*12+MONTH(Cfg_Hoje)+IF(DAY(Cfg_Hoje)&gt;=INDEX(Cartoes_Fech,MATCH($F1023,Cartoes_Nome,0)),1,0))+1))</f>
        <v>0</v>
      </c>
      <c r="Z1023" s="40">
        <f>IF($A1023="",0,DAY($A1023))</f>
        <v>0</v>
      </c>
      <c r="AA1023" s="40">
        <f>IF($A1023="",0,WEEKDAY($A1023))</f>
        <v>0</v>
      </c>
      <c r="AB1023" s="36">
        <f>IF(AND($C1023="Despesa",U1023&gt;0,U1023&lt;=Sel_Idx,V1023&gt;=Sel_Idx),N(R1023)+ROW()/1000000000,0)</f>
        <v>0</v>
      </c>
      <c r="AC1023" s="40">
        <f>IF(AND($C1023="Despesa",U1023&gt;0,U1023&lt;=Sel_Idx,V1023&gt;=Sel_Idx),Z1023*10000+ROW(),0)</f>
        <v>0</v>
      </c>
      <c r="AD1023" s="40">
        <f>IF(AC1023=0,0,COUNTIFS(L_CalChave,"&gt;0",L_CalChave,"&lt;"&amp;AC1023)+1)</f>
        <v>0</v>
      </c>
    </row>
    <row r="1024">
      <c r="A1024" s="38" t="n"/>
      <c r="B1024" s="39" t="n"/>
      <c r="C1024" s="34" t="n"/>
      <c r="D1024" s="34" t="n"/>
      <c r="E1024" s="34" t="n"/>
      <c r="F1024" s="34" t="n"/>
      <c r="G1024" s="34" t="n"/>
      <c r="H1024" s="37" t="n"/>
      <c r="I1024" s="37" t="n"/>
      <c r="J1024" s="34" t="n"/>
      <c r="K1024" s="34" t="n"/>
      <c r="L1024" s="34" t="n"/>
      <c r="M1024" s="39" t="n"/>
      <c r="N1024" s="35" t="n"/>
      <c r="O1024" s="40" t="str">
        <f>IF($A1024="","",MONTH($A1024))</f>
        <v/>
      </c>
      <c r="P1024" s="40" t="str">
        <f>IF($A1024="","",YEAR($A1024))</f>
        <v/>
      </c>
      <c r="Q1024" s="41" t="str">
        <f>IF($A1024="","",DATE(P1024,O1024,1))</f>
        <v/>
      </c>
      <c r="R1024" s="36" t="str">
        <f>IF(OR($A1024="",$N1024=""),"",IF(AND($C1024&lt;&gt;"Transferência",N($I1024)&gt;1),$N1024/$I1024,$N1024))</f>
        <v/>
      </c>
      <c r="S1024" s="41" t="str">
        <f>IF(OR($A1024="",$F1024="",$C1024&lt;&gt;"Despesa"),"",IF(COUNTIF(Cartoes_Nome,$F1024)=0,"",DATE(P1024,O1024+IF(DAY($A1024)&gt;=INDEX(Cartoes_Fech,MATCH($F1024,Cartoes_Nome,0)),1,0),1)))</f>
        <v/>
      </c>
      <c r="T1024" s="42" t="str">
        <f>IF($A1024="","",IF(COUNTIFS(L_Data,$A1024,L_Desc,$B1024,L_Valor,$N1024,L_Tipo,$C1024)&gt;1,"⚠ Possível duplicidade",IF(OR(AND($C1024="Despesa",COUNTIF(CatD_Nome,$D1024)=0),AND($C1024="Receita",COUNTIF(CatR_Nome,$D1024)=0)),"⚠ Categoria não combina com o tipo",IF(OR($N1024="",$C1024=""),"⚠ Falta valor ou tipo",""))))</f>
        <v/>
      </c>
      <c r="U1024" s="40">
        <f>IF($A1024="",0,P1024*12+O1024)</f>
        <v>0</v>
      </c>
      <c r="V1024" s="40">
        <f>IF($A1024="",0,U1024+MAX(0,N($I1024)-MAX(N($H1024),1)))</f>
        <v>0</v>
      </c>
      <c r="W1024" s="40">
        <f>IF(S1024="",0,YEAR(S1024)*12+MONTH(S1024))</f>
        <v>0</v>
      </c>
      <c r="X1024" s="40">
        <f>IF(W1024=0,0,W1024+V1024-U1024)</f>
        <v>0</v>
      </c>
      <c r="Y1024" s="36">
        <f>IF(W1024=0,0,N(R1024)*MAX(0,X1024-MAX(W1024,YEAR(Cfg_Hoje)*12+MONTH(Cfg_Hoje)+IF(DAY(Cfg_Hoje)&gt;=INDEX(Cartoes_Fech,MATCH($F1024,Cartoes_Nome,0)),1,0))+1))</f>
        <v>0</v>
      </c>
      <c r="Z1024" s="40">
        <f>IF($A1024="",0,DAY($A1024))</f>
        <v>0</v>
      </c>
      <c r="AA1024" s="40">
        <f>IF($A1024="",0,WEEKDAY($A1024))</f>
        <v>0</v>
      </c>
      <c r="AB1024" s="36">
        <f>IF(AND($C1024="Despesa",U1024&gt;0,U1024&lt;=Sel_Idx,V1024&gt;=Sel_Idx),N(R1024)+ROW()/1000000000,0)</f>
        <v>0</v>
      </c>
      <c r="AC1024" s="40">
        <f>IF(AND($C1024="Despesa",U1024&gt;0,U1024&lt;=Sel_Idx,V1024&gt;=Sel_Idx),Z1024*10000+ROW(),0)</f>
        <v>0</v>
      </c>
      <c r="AD1024" s="40">
        <f>IF(AC1024=0,0,COUNTIFS(L_CalChave,"&gt;0",L_CalChave,"&lt;"&amp;AC1024)+1)</f>
        <v>0</v>
      </c>
    </row>
    <row r="1025">
      <c r="A1025" s="38" t="n"/>
      <c r="B1025" s="39" t="n"/>
      <c r="C1025" s="34" t="n"/>
      <c r="D1025" s="34" t="n"/>
      <c r="E1025" s="34" t="n"/>
      <c r="F1025" s="34" t="n"/>
      <c r="G1025" s="34" t="n"/>
      <c r="H1025" s="37" t="n"/>
      <c r="I1025" s="37" t="n"/>
      <c r="J1025" s="34" t="n"/>
      <c r="K1025" s="34" t="n"/>
      <c r="L1025" s="34" t="n"/>
      <c r="M1025" s="39" t="n"/>
      <c r="N1025" s="35" t="n"/>
      <c r="O1025" s="40" t="str">
        <f>IF($A1025="","",MONTH($A1025))</f>
        <v/>
      </c>
      <c r="P1025" s="40" t="str">
        <f>IF($A1025="","",YEAR($A1025))</f>
        <v/>
      </c>
      <c r="Q1025" s="41" t="str">
        <f>IF($A1025="","",DATE(P1025,O1025,1))</f>
        <v/>
      </c>
      <c r="R1025" s="36" t="str">
        <f>IF(OR($A1025="",$N1025=""),"",IF(AND($C1025&lt;&gt;"Transferência",N($I1025)&gt;1),$N1025/$I1025,$N1025))</f>
        <v/>
      </c>
      <c r="S1025" s="41" t="str">
        <f>IF(OR($A1025="",$F1025="",$C1025&lt;&gt;"Despesa"),"",IF(COUNTIF(Cartoes_Nome,$F1025)=0,"",DATE(P1025,O1025+IF(DAY($A1025)&gt;=INDEX(Cartoes_Fech,MATCH($F1025,Cartoes_Nome,0)),1,0),1)))</f>
        <v/>
      </c>
      <c r="T1025" s="42" t="str">
        <f>IF($A1025="","",IF(COUNTIFS(L_Data,$A1025,L_Desc,$B1025,L_Valor,$N1025,L_Tipo,$C1025)&gt;1,"⚠ Possível duplicidade",IF(OR(AND($C1025="Despesa",COUNTIF(CatD_Nome,$D1025)=0),AND($C1025="Receita",COUNTIF(CatR_Nome,$D1025)=0)),"⚠ Categoria não combina com o tipo",IF(OR($N1025="",$C1025=""),"⚠ Falta valor ou tipo",""))))</f>
        <v/>
      </c>
      <c r="U1025" s="40">
        <f>IF($A1025="",0,P1025*12+O1025)</f>
        <v>0</v>
      </c>
      <c r="V1025" s="40">
        <f>IF($A1025="",0,U1025+MAX(0,N($I1025)-MAX(N($H1025),1)))</f>
        <v>0</v>
      </c>
      <c r="W1025" s="40">
        <f>IF(S1025="",0,YEAR(S1025)*12+MONTH(S1025))</f>
        <v>0</v>
      </c>
      <c r="X1025" s="40">
        <f>IF(W1025=0,0,W1025+V1025-U1025)</f>
        <v>0</v>
      </c>
      <c r="Y1025" s="36">
        <f>IF(W1025=0,0,N(R1025)*MAX(0,X1025-MAX(W1025,YEAR(Cfg_Hoje)*12+MONTH(Cfg_Hoje)+IF(DAY(Cfg_Hoje)&gt;=INDEX(Cartoes_Fech,MATCH($F1025,Cartoes_Nome,0)),1,0))+1))</f>
        <v>0</v>
      </c>
      <c r="Z1025" s="40">
        <f>IF($A1025="",0,DAY($A1025))</f>
        <v>0</v>
      </c>
      <c r="AA1025" s="40">
        <f>IF($A1025="",0,WEEKDAY($A1025))</f>
        <v>0</v>
      </c>
      <c r="AB1025" s="36">
        <f>IF(AND($C1025="Despesa",U1025&gt;0,U1025&lt;=Sel_Idx,V1025&gt;=Sel_Idx),N(R1025)+ROW()/1000000000,0)</f>
        <v>0</v>
      </c>
      <c r="AC1025" s="40">
        <f>IF(AND($C1025="Despesa",U1025&gt;0,U1025&lt;=Sel_Idx,V1025&gt;=Sel_Idx),Z1025*10000+ROW(),0)</f>
        <v>0</v>
      </c>
      <c r="AD1025" s="40">
        <f>IF(AC1025=0,0,COUNTIFS(L_CalChave,"&gt;0",L_CalChave,"&lt;"&amp;AC1025)+1)</f>
        <v>0</v>
      </c>
    </row>
    <row r="1026">
      <c r="A1026" s="38" t="n"/>
      <c r="B1026" s="39" t="n"/>
      <c r="C1026" s="34" t="n"/>
      <c r="D1026" s="34" t="n"/>
      <c r="E1026" s="34" t="n"/>
      <c r="F1026" s="34" t="n"/>
      <c r="G1026" s="34" t="n"/>
      <c r="H1026" s="37" t="n"/>
      <c r="I1026" s="37" t="n"/>
      <c r="J1026" s="34" t="n"/>
      <c r="K1026" s="34" t="n"/>
      <c r="L1026" s="34" t="n"/>
      <c r="M1026" s="39" t="n"/>
      <c r="N1026" s="35" t="n"/>
      <c r="O1026" s="40" t="str">
        <f>IF($A1026="","",MONTH($A1026))</f>
        <v/>
      </c>
      <c r="P1026" s="40" t="str">
        <f>IF($A1026="","",YEAR($A1026))</f>
        <v/>
      </c>
      <c r="Q1026" s="41" t="str">
        <f>IF($A1026="","",DATE(P1026,O1026,1))</f>
        <v/>
      </c>
      <c r="R1026" s="36" t="str">
        <f>IF(OR($A1026="",$N1026=""),"",IF(AND($C1026&lt;&gt;"Transferência",N($I1026)&gt;1),$N1026/$I1026,$N1026))</f>
        <v/>
      </c>
      <c r="S1026" s="41" t="str">
        <f>IF(OR($A1026="",$F1026="",$C1026&lt;&gt;"Despesa"),"",IF(COUNTIF(Cartoes_Nome,$F1026)=0,"",DATE(P1026,O1026+IF(DAY($A1026)&gt;=INDEX(Cartoes_Fech,MATCH($F1026,Cartoes_Nome,0)),1,0),1)))</f>
        <v/>
      </c>
      <c r="T1026" s="42" t="str">
        <f>IF($A1026="","",IF(COUNTIFS(L_Data,$A1026,L_Desc,$B1026,L_Valor,$N1026,L_Tipo,$C1026)&gt;1,"⚠ Possível duplicidade",IF(OR(AND($C1026="Despesa",COUNTIF(CatD_Nome,$D1026)=0),AND($C1026="Receita",COUNTIF(CatR_Nome,$D1026)=0)),"⚠ Categoria não combina com o tipo",IF(OR($N1026="",$C1026=""),"⚠ Falta valor ou tipo",""))))</f>
        <v/>
      </c>
      <c r="U1026" s="40">
        <f>IF($A1026="",0,P1026*12+O1026)</f>
        <v>0</v>
      </c>
      <c r="V1026" s="40">
        <f>IF($A1026="",0,U1026+MAX(0,N($I1026)-MAX(N($H1026),1)))</f>
        <v>0</v>
      </c>
      <c r="W1026" s="40">
        <f>IF(S1026="",0,YEAR(S1026)*12+MONTH(S1026))</f>
        <v>0</v>
      </c>
      <c r="X1026" s="40">
        <f>IF(W1026=0,0,W1026+V1026-U1026)</f>
        <v>0</v>
      </c>
      <c r="Y1026" s="36">
        <f>IF(W1026=0,0,N(R1026)*MAX(0,X1026-MAX(W1026,YEAR(Cfg_Hoje)*12+MONTH(Cfg_Hoje)+IF(DAY(Cfg_Hoje)&gt;=INDEX(Cartoes_Fech,MATCH($F1026,Cartoes_Nome,0)),1,0))+1))</f>
        <v>0</v>
      </c>
      <c r="Z1026" s="40">
        <f>IF($A1026="",0,DAY($A1026))</f>
        <v>0</v>
      </c>
      <c r="AA1026" s="40">
        <f>IF($A1026="",0,WEEKDAY($A1026))</f>
        <v>0</v>
      </c>
      <c r="AB1026" s="36">
        <f>IF(AND($C1026="Despesa",U1026&gt;0,U1026&lt;=Sel_Idx,V1026&gt;=Sel_Idx),N(R1026)+ROW()/1000000000,0)</f>
        <v>0</v>
      </c>
      <c r="AC1026" s="40">
        <f>IF(AND($C1026="Despesa",U1026&gt;0,U1026&lt;=Sel_Idx,V1026&gt;=Sel_Idx),Z1026*10000+ROW(),0)</f>
        <v>0</v>
      </c>
      <c r="AD1026" s="40">
        <f>IF(AC1026=0,0,COUNTIFS(L_CalChave,"&gt;0",L_CalChave,"&lt;"&amp;AC1026)+1)</f>
        <v>0</v>
      </c>
    </row>
    <row r="1027">
      <c r="A1027" s="38" t="n"/>
      <c r="B1027" s="39" t="n"/>
      <c r="C1027" s="34" t="n"/>
      <c r="D1027" s="34" t="n"/>
      <c r="E1027" s="34" t="n"/>
      <c r="F1027" s="34" t="n"/>
      <c r="G1027" s="34" t="n"/>
      <c r="H1027" s="37" t="n"/>
      <c r="I1027" s="37" t="n"/>
      <c r="J1027" s="34" t="n"/>
      <c r="K1027" s="34" t="n"/>
      <c r="L1027" s="34" t="n"/>
      <c r="M1027" s="39" t="n"/>
      <c r="N1027" s="35" t="n"/>
      <c r="O1027" s="40" t="str">
        <f>IF($A1027="","",MONTH($A1027))</f>
        <v/>
      </c>
      <c r="P1027" s="40" t="str">
        <f>IF($A1027="","",YEAR($A1027))</f>
        <v/>
      </c>
      <c r="Q1027" s="41" t="str">
        <f>IF($A1027="","",DATE(P1027,O1027,1))</f>
        <v/>
      </c>
      <c r="R1027" s="36" t="str">
        <f>IF(OR($A1027="",$N1027=""),"",IF(AND($C1027&lt;&gt;"Transferência",N($I1027)&gt;1),$N1027/$I1027,$N1027))</f>
        <v/>
      </c>
      <c r="S1027" s="41" t="str">
        <f>IF(OR($A1027="",$F1027="",$C1027&lt;&gt;"Despesa"),"",IF(COUNTIF(Cartoes_Nome,$F1027)=0,"",DATE(P1027,O1027+IF(DAY($A1027)&gt;=INDEX(Cartoes_Fech,MATCH($F1027,Cartoes_Nome,0)),1,0),1)))</f>
        <v/>
      </c>
      <c r="T1027" s="42" t="str">
        <f>IF($A1027="","",IF(COUNTIFS(L_Data,$A1027,L_Desc,$B1027,L_Valor,$N1027,L_Tipo,$C1027)&gt;1,"⚠ Possível duplicidade",IF(OR(AND($C1027="Despesa",COUNTIF(CatD_Nome,$D1027)=0),AND($C1027="Receita",COUNTIF(CatR_Nome,$D1027)=0)),"⚠ Categoria não combina com o tipo",IF(OR($N1027="",$C1027=""),"⚠ Falta valor ou tipo",""))))</f>
        <v/>
      </c>
      <c r="U1027" s="40">
        <f>IF($A1027="",0,P1027*12+O1027)</f>
        <v>0</v>
      </c>
      <c r="V1027" s="40">
        <f>IF($A1027="",0,U1027+MAX(0,N($I1027)-MAX(N($H1027),1)))</f>
        <v>0</v>
      </c>
      <c r="W1027" s="40">
        <f>IF(S1027="",0,YEAR(S1027)*12+MONTH(S1027))</f>
        <v>0</v>
      </c>
      <c r="X1027" s="40">
        <f>IF(W1027=0,0,W1027+V1027-U1027)</f>
        <v>0</v>
      </c>
      <c r="Y1027" s="36">
        <f>IF(W1027=0,0,N(R1027)*MAX(0,X1027-MAX(W1027,YEAR(Cfg_Hoje)*12+MONTH(Cfg_Hoje)+IF(DAY(Cfg_Hoje)&gt;=INDEX(Cartoes_Fech,MATCH($F1027,Cartoes_Nome,0)),1,0))+1))</f>
        <v>0</v>
      </c>
      <c r="Z1027" s="40">
        <f>IF($A1027="",0,DAY($A1027))</f>
        <v>0</v>
      </c>
      <c r="AA1027" s="40">
        <f>IF($A1027="",0,WEEKDAY($A1027))</f>
        <v>0</v>
      </c>
      <c r="AB1027" s="36">
        <f>IF(AND($C1027="Despesa",U1027&gt;0,U1027&lt;=Sel_Idx,V1027&gt;=Sel_Idx),N(R1027)+ROW()/1000000000,0)</f>
        <v>0</v>
      </c>
      <c r="AC1027" s="40">
        <f>IF(AND($C1027="Despesa",U1027&gt;0,U1027&lt;=Sel_Idx,V1027&gt;=Sel_Idx),Z1027*10000+ROW(),0)</f>
        <v>0</v>
      </c>
      <c r="AD1027" s="40">
        <f>IF(AC1027=0,0,COUNTIFS(L_CalChave,"&gt;0",L_CalChave,"&lt;"&amp;AC1027)+1)</f>
        <v>0</v>
      </c>
    </row>
    <row r="1028">
      <c r="A1028" s="38" t="n"/>
      <c r="B1028" s="39" t="n"/>
      <c r="C1028" s="34" t="n"/>
      <c r="D1028" s="34" t="n"/>
      <c r="E1028" s="34" t="n"/>
      <c r="F1028" s="34" t="n"/>
      <c r="G1028" s="34" t="n"/>
      <c r="H1028" s="37" t="n"/>
      <c r="I1028" s="37" t="n"/>
      <c r="J1028" s="34" t="n"/>
      <c r="K1028" s="34" t="n"/>
      <c r="L1028" s="34" t="n"/>
      <c r="M1028" s="39" t="n"/>
      <c r="N1028" s="35" t="n"/>
      <c r="O1028" s="40" t="str">
        <f>IF($A1028="","",MONTH($A1028))</f>
        <v/>
      </c>
      <c r="P1028" s="40" t="str">
        <f>IF($A1028="","",YEAR($A1028))</f>
        <v/>
      </c>
      <c r="Q1028" s="41" t="str">
        <f>IF($A1028="","",DATE(P1028,O1028,1))</f>
        <v/>
      </c>
      <c r="R1028" s="36" t="str">
        <f>IF(OR($A1028="",$N1028=""),"",IF(AND($C1028&lt;&gt;"Transferência",N($I1028)&gt;1),$N1028/$I1028,$N1028))</f>
        <v/>
      </c>
      <c r="S1028" s="41" t="str">
        <f>IF(OR($A1028="",$F1028="",$C1028&lt;&gt;"Despesa"),"",IF(COUNTIF(Cartoes_Nome,$F1028)=0,"",DATE(P1028,O1028+IF(DAY($A1028)&gt;=INDEX(Cartoes_Fech,MATCH($F1028,Cartoes_Nome,0)),1,0),1)))</f>
        <v/>
      </c>
      <c r="T1028" s="42" t="str">
        <f>IF($A1028="","",IF(COUNTIFS(L_Data,$A1028,L_Desc,$B1028,L_Valor,$N1028,L_Tipo,$C1028)&gt;1,"⚠ Possível duplicidade",IF(OR(AND($C1028="Despesa",COUNTIF(CatD_Nome,$D1028)=0),AND($C1028="Receita",COUNTIF(CatR_Nome,$D1028)=0)),"⚠ Categoria não combina com o tipo",IF(OR($N1028="",$C1028=""),"⚠ Falta valor ou tipo",""))))</f>
        <v/>
      </c>
      <c r="U1028" s="40">
        <f>IF($A1028="",0,P1028*12+O1028)</f>
        <v>0</v>
      </c>
      <c r="V1028" s="40">
        <f>IF($A1028="",0,U1028+MAX(0,N($I1028)-MAX(N($H1028),1)))</f>
        <v>0</v>
      </c>
      <c r="W1028" s="40">
        <f>IF(S1028="",0,YEAR(S1028)*12+MONTH(S1028))</f>
        <v>0</v>
      </c>
      <c r="X1028" s="40">
        <f>IF(W1028=0,0,W1028+V1028-U1028)</f>
        <v>0</v>
      </c>
      <c r="Y1028" s="36">
        <f>IF(W1028=0,0,N(R1028)*MAX(0,X1028-MAX(W1028,YEAR(Cfg_Hoje)*12+MONTH(Cfg_Hoje)+IF(DAY(Cfg_Hoje)&gt;=INDEX(Cartoes_Fech,MATCH($F1028,Cartoes_Nome,0)),1,0))+1))</f>
        <v>0</v>
      </c>
      <c r="Z1028" s="40">
        <f>IF($A1028="",0,DAY($A1028))</f>
        <v>0</v>
      </c>
      <c r="AA1028" s="40">
        <f>IF($A1028="",0,WEEKDAY($A1028))</f>
        <v>0</v>
      </c>
      <c r="AB1028" s="36">
        <f>IF(AND($C1028="Despesa",U1028&gt;0,U1028&lt;=Sel_Idx,V1028&gt;=Sel_Idx),N(R1028)+ROW()/1000000000,0)</f>
        <v>0</v>
      </c>
      <c r="AC1028" s="40">
        <f>IF(AND($C1028="Despesa",U1028&gt;0,U1028&lt;=Sel_Idx,V1028&gt;=Sel_Idx),Z1028*10000+ROW(),0)</f>
        <v>0</v>
      </c>
      <c r="AD1028" s="40">
        <f>IF(AC1028=0,0,COUNTIFS(L_CalChave,"&gt;0",L_CalChave,"&lt;"&amp;AC1028)+1)</f>
        <v>0</v>
      </c>
    </row>
    <row r="1029">
      <c r="A1029" s="38" t="n"/>
      <c r="B1029" s="39" t="n"/>
      <c r="C1029" s="34" t="n"/>
      <c r="D1029" s="34" t="n"/>
      <c r="E1029" s="34" t="n"/>
      <c r="F1029" s="34" t="n"/>
      <c r="G1029" s="34" t="n"/>
      <c r="H1029" s="37" t="n"/>
      <c r="I1029" s="37" t="n"/>
      <c r="J1029" s="34" t="n"/>
      <c r="K1029" s="34" t="n"/>
      <c r="L1029" s="34" t="n"/>
      <c r="M1029" s="39" t="n"/>
      <c r="N1029" s="35" t="n"/>
      <c r="O1029" s="40" t="str">
        <f>IF($A1029="","",MONTH($A1029))</f>
        <v/>
      </c>
      <c r="P1029" s="40" t="str">
        <f>IF($A1029="","",YEAR($A1029))</f>
        <v/>
      </c>
      <c r="Q1029" s="41" t="str">
        <f>IF($A1029="","",DATE(P1029,O1029,1))</f>
        <v/>
      </c>
      <c r="R1029" s="36" t="str">
        <f>IF(OR($A1029="",$N1029=""),"",IF(AND($C1029&lt;&gt;"Transferência",N($I1029)&gt;1),$N1029/$I1029,$N1029))</f>
        <v/>
      </c>
      <c r="S1029" s="41" t="str">
        <f>IF(OR($A1029="",$F1029="",$C1029&lt;&gt;"Despesa"),"",IF(COUNTIF(Cartoes_Nome,$F1029)=0,"",DATE(P1029,O1029+IF(DAY($A1029)&gt;=INDEX(Cartoes_Fech,MATCH($F1029,Cartoes_Nome,0)),1,0),1)))</f>
        <v/>
      </c>
      <c r="T1029" s="42" t="str">
        <f>IF($A1029="","",IF(COUNTIFS(L_Data,$A1029,L_Desc,$B1029,L_Valor,$N1029,L_Tipo,$C1029)&gt;1,"⚠ Possível duplicidade",IF(OR(AND($C1029="Despesa",COUNTIF(CatD_Nome,$D1029)=0),AND($C1029="Receita",COUNTIF(CatR_Nome,$D1029)=0)),"⚠ Categoria não combina com o tipo",IF(OR($N1029="",$C1029=""),"⚠ Falta valor ou tipo",""))))</f>
        <v/>
      </c>
      <c r="U1029" s="40">
        <f>IF($A1029="",0,P1029*12+O1029)</f>
        <v>0</v>
      </c>
      <c r="V1029" s="40">
        <f>IF($A1029="",0,U1029+MAX(0,N($I1029)-MAX(N($H1029),1)))</f>
        <v>0</v>
      </c>
      <c r="W1029" s="40">
        <f>IF(S1029="",0,YEAR(S1029)*12+MONTH(S1029))</f>
        <v>0</v>
      </c>
      <c r="X1029" s="40">
        <f>IF(W1029=0,0,W1029+V1029-U1029)</f>
        <v>0</v>
      </c>
      <c r="Y1029" s="36">
        <f>IF(W1029=0,0,N(R1029)*MAX(0,X1029-MAX(W1029,YEAR(Cfg_Hoje)*12+MONTH(Cfg_Hoje)+IF(DAY(Cfg_Hoje)&gt;=INDEX(Cartoes_Fech,MATCH($F1029,Cartoes_Nome,0)),1,0))+1))</f>
        <v>0</v>
      </c>
      <c r="Z1029" s="40">
        <f>IF($A1029="",0,DAY($A1029))</f>
        <v>0</v>
      </c>
      <c r="AA1029" s="40">
        <f>IF($A1029="",0,WEEKDAY($A1029))</f>
        <v>0</v>
      </c>
      <c r="AB1029" s="36">
        <f>IF(AND($C1029="Despesa",U1029&gt;0,U1029&lt;=Sel_Idx,V1029&gt;=Sel_Idx),N(R1029)+ROW()/1000000000,0)</f>
        <v>0</v>
      </c>
      <c r="AC1029" s="40">
        <f>IF(AND($C1029="Despesa",U1029&gt;0,U1029&lt;=Sel_Idx,V1029&gt;=Sel_Idx),Z1029*10000+ROW(),0)</f>
        <v>0</v>
      </c>
      <c r="AD1029" s="40">
        <f>IF(AC1029=0,0,COUNTIFS(L_CalChave,"&gt;0",L_CalChave,"&lt;"&amp;AC1029)+1)</f>
        <v>0</v>
      </c>
    </row>
    <row r="1030">
      <c r="A1030" s="38" t="n"/>
      <c r="B1030" s="39" t="n"/>
      <c r="C1030" s="34" t="n"/>
      <c r="D1030" s="34" t="n"/>
      <c r="E1030" s="34" t="n"/>
      <c r="F1030" s="34" t="n"/>
      <c r="G1030" s="34" t="n"/>
      <c r="H1030" s="37" t="n"/>
      <c r="I1030" s="37" t="n"/>
      <c r="J1030" s="34" t="n"/>
      <c r="K1030" s="34" t="n"/>
      <c r="L1030" s="34" t="n"/>
      <c r="M1030" s="39" t="n"/>
      <c r="N1030" s="35" t="n"/>
      <c r="O1030" s="40" t="str">
        <f>IF($A1030="","",MONTH($A1030))</f>
        <v/>
      </c>
      <c r="P1030" s="40" t="str">
        <f>IF($A1030="","",YEAR($A1030))</f>
        <v/>
      </c>
      <c r="Q1030" s="41" t="str">
        <f>IF($A1030="","",DATE(P1030,O1030,1))</f>
        <v/>
      </c>
      <c r="R1030" s="36" t="str">
        <f>IF(OR($A1030="",$N1030=""),"",IF(AND($C1030&lt;&gt;"Transferência",N($I1030)&gt;1),$N1030/$I1030,$N1030))</f>
        <v/>
      </c>
      <c r="S1030" s="41" t="str">
        <f>IF(OR($A1030="",$F1030="",$C1030&lt;&gt;"Despesa"),"",IF(COUNTIF(Cartoes_Nome,$F1030)=0,"",DATE(P1030,O1030+IF(DAY($A1030)&gt;=INDEX(Cartoes_Fech,MATCH($F1030,Cartoes_Nome,0)),1,0),1)))</f>
        <v/>
      </c>
      <c r="T1030" s="42" t="str">
        <f>IF($A1030="","",IF(COUNTIFS(L_Data,$A1030,L_Desc,$B1030,L_Valor,$N1030,L_Tipo,$C1030)&gt;1,"⚠ Possível duplicidade",IF(OR(AND($C1030="Despesa",COUNTIF(CatD_Nome,$D1030)=0),AND($C1030="Receita",COUNTIF(CatR_Nome,$D1030)=0)),"⚠ Categoria não combina com o tipo",IF(OR($N1030="",$C1030=""),"⚠ Falta valor ou tipo",""))))</f>
        <v/>
      </c>
      <c r="U1030" s="40">
        <f>IF($A1030="",0,P1030*12+O1030)</f>
        <v>0</v>
      </c>
      <c r="V1030" s="40">
        <f>IF($A1030="",0,U1030+MAX(0,N($I1030)-MAX(N($H1030),1)))</f>
        <v>0</v>
      </c>
      <c r="W1030" s="40">
        <f>IF(S1030="",0,YEAR(S1030)*12+MONTH(S1030))</f>
        <v>0</v>
      </c>
      <c r="X1030" s="40">
        <f>IF(W1030=0,0,W1030+V1030-U1030)</f>
        <v>0</v>
      </c>
      <c r="Y1030" s="36">
        <f>IF(W1030=0,0,N(R1030)*MAX(0,X1030-MAX(W1030,YEAR(Cfg_Hoje)*12+MONTH(Cfg_Hoje)+IF(DAY(Cfg_Hoje)&gt;=INDEX(Cartoes_Fech,MATCH($F1030,Cartoes_Nome,0)),1,0))+1))</f>
        <v>0</v>
      </c>
      <c r="Z1030" s="40">
        <f>IF($A1030="",0,DAY($A1030))</f>
        <v>0</v>
      </c>
      <c r="AA1030" s="40">
        <f>IF($A1030="",0,WEEKDAY($A1030))</f>
        <v>0</v>
      </c>
      <c r="AB1030" s="36">
        <f>IF(AND($C1030="Despesa",U1030&gt;0,U1030&lt;=Sel_Idx,V1030&gt;=Sel_Idx),N(R1030)+ROW()/1000000000,0)</f>
        <v>0</v>
      </c>
      <c r="AC1030" s="40">
        <f>IF(AND($C1030="Despesa",U1030&gt;0,U1030&lt;=Sel_Idx,V1030&gt;=Sel_Idx),Z1030*10000+ROW(),0)</f>
        <v>0</v>
      </c>
      <c r="AD1030" s="40">
        <f>IF(AC1030=0,0,COUNTIFS(L_CalChave,"&gt;0",L_CalChave,"&lt;"&amp;AC1030)+1)</f>
        <v>0</v>
      </c>
    </row>
    <row r="1031">
      <c r="A1031" s="38" t="n"/>
      <c r="B1031" s="39" t="n"/>
      <c r="C1031" s="34" t="n"/>
      <c r="D1031" s="34" t="n"/>
      <c r="E1031" s="34" t="n"/>
      <c r="F1031" s="34" t="n"/>
      <c r="G1031" s="34" t="n"/>
      <c r="H1031" s="37" t="n"/>
      <c r="I1031" s="37" t="n"/>
      <c r="J1031" s="34" t="n"/>
      <c r="K1031" s="34" t="n"/>
      <c r="L1031" s="34" t="n"/>
      <c r="M1031" s="39" t="n"/>
      <c r="N1031" s="35" t="n"/>
      <c r="O1031" s="40" t="str">
        <f>IF($A1031="","",MONTH($A1031))</f>
        <v/>
      </c>
      <c r="P1031" s="40" t="str">
        <f>IF($A1031="","",YEAR($A1031))</f>
        <v/>
      </c>
      <c r="Q1031" s="41" t="str">
        <f>IF($A1031="","",DATE(P1031,O1031,1))</f>
        <v/>
      </c>
      <c r="R1031" s="36" t="str">
        <f>IF(OR($A1031="",$N1031=""),"",IF(AND($C1031&lt;&gt;"Transferência",N($I1031)&gt;1),$N1031/$I1031,$N1031))</f>
        <v/>
      </c>
      <c r="S1031" s="41" t="str">
        <f>IF(OR($A1031="",$F1031="",$C1031&lt;&gt;"Despesa"),"",IF(COUNTIF(Cartoes_Nome,$F1031)=0,"",DATE(P1031,O1031+IF(DAY($A1031)&gt;=INDEX(Cartoes_Fech,MATCH($F1031,Cartoes_Nome,0)),1,0),1)))</f>
        <v/>
      </c>
      <c r="T1031" s="42" t="str">
        <f>IF($A1031="","",IF(COUNTIFS(L_Data,$A1031,L_Desc,$B1031,L_Valor,$N1031,L_Tipo,$C1031)&gt;1,"⚠ Possível duplicidade",IF(OR(AND($C1031="Despesa",COUNTIF(CatD_Nome,$D1031)=0),AND($C1031="Receita",COUNTIF(CatR_Nome,$D1031)=0)),"⚠ Categoria não combina com o tipo",IF(OR($N1031="",$C1031=""),"⚠ Falta valor ou tipo",""))))</f>
        <v/>
      </c>
      <c r="U1031" s="40">
        <f>IF($A1031="",0,P1031*12+O1031)</f>
        <v>0</v>
      </c>
      <c r="V1031" s="40">
        <f>IF($A1031="",0,U1031+MAX(0,N($I1031)-MAX(N($H1031),1)))</f>
        <v>0</v>
      </c>
      <c r="W1031" s="40">
        <f>IF(S1031="",0,YEAR(S1031)*12+MONTH(S1031))</f>
        <v>0</v>
      </c>
      <c r="X1031" s="40">
        <f>IF(W1031=0,0,W1031+V1031-U1031)</f>
        <v>0</v>
      </c>
      <c r="Y1031" s="36">
        <f>IF(W1031=0,0,N(R1031)*MAX(0,X1031-MAX(W1031,YEAR(Cfg_Hoje)*12+MONTH(Cfg_Hoje)+IF(DAY(Cfg_Hoje)&gt;=INDEX(Cartoes_Fech,MATCH($F1031,Cartoes_Nome,0)),1,0))+1))</f>
        <v>0</v>
      </c>
      <c r="Z1031" s="40">
        <f>IF($A1031="",0,DAY($A1031))</f>
        <v>0</v>
      </c>
      <c r="AA1031" s="40">
        <f>IF($A1031="",0,WEEKDAY($A1031))</f>
        <v>0</v>
      </c>
      <c r="AB1031" s="36">
        <f>IF(AND($C1031="Despesa",U1031&gt;0,U1031&lt;=Sel_Idx,V1031&gt;=Sel_Idx),N(R1031)+ROW()/1000000000,0)</f>
        <v>0</v>
      </c>
      <c r="AC1031" s="40">
        <f>IF(AND($C1031="Despesa",U1031&gt;0,U1031&lt;=Sel_Idx,V1031&gt;=Sel_Idx),Z1031*10000+ROW(),0)</f>
        <v>0</v>
      </c>
      <c r="AD1031" s="40">
        <f>IF(AC1031=0,0,COUNTIFS(L_CalChave,"&gt;0",L_CalChave,"&lt;"&amp;AC1031)+1)</f>
        <v>0</v>
      </c>
    </row>
    <row r="1032">
      <c r="A1032" s="38" t="n"/>
      <c r="B1032" s="39" t="n"/>
      <c r="C1032" s="34" t="n"/>
      <c r="D1032" s="34" t="n"/>
      <c r="E1032" s="34" t="n"/>
      <c r="F1032" s="34" t="n"/>
      <c r="G1032" s="34" t="n"/>
      <c r="H1032" s="37" t="n"/>
      <c r="I1032" s="37" t="n"/>
      <c r="J1032" s="34" t="n"/>
      <c r="K1032" s="34" t="n"/>
      <c r="L1032" s="34" t="n"/>
      <c r="M1032" s="39" t="n"/>
      <c r="N1032" s="35" t="n"/>
      <c r="O1032" s="40" t="str">
        <f>IF($A1032="","",MONTH($A1032))</f>
        <v/>
      </c>
      <c r="P1032" s="40" t="str">
        <f>IF($A1032="","",YEAR($A1032))</f>
        <v/>
      </c>
      <c r="Q1032" s="41" t="str">
        <f>IF($A1032="","",DATE(P1032,O1032,1))</f>
        <v/>
      </c>
      <c r="R1032" s="36" t="str">
        <f>IF(OR($A1032="",$N1032=""),"",IF(AND($C1032&lt;&gt;"Transferência",N($I1032)&gt;1),$N1032/$I1032,$N1032))</f>
        <v/>
      </c>
      <c r="S1032" s="41" t="str">
        <f>IF(OR($A1032="",$F1032="",$C1032&lt;&gt;"Despesa"),"",IF(COUNTIF(Cartoes_Nome,$F1032)=0,"",DATE(P1032,O1032+IF(DAY($A1032)&gt;=INDEX(Cartoes_Fech,MATCH($F1032,Cartoes_Nome,0)),1,0),1)))</f>
        <v/>
      </c>
      <c r="T1032" s="42" t="str">
        <f>IF($A1032="","",IF(COUNTIFS(L_Data,$A1032,L_Desc,$B1032,L_Valor,$N1032,L_Tipo,$C1032)&gt;1,"⚠ Possível duplicidade",IF(OR(AND($C1032="Despesa",COUNTIF(CatD_Nome,$D1032)=0),AND($C1032="Receita",COUNTIF(CatR_Nome,$D1032)=0)),"⚠ Categoria não combina com o tipo",IF(OR($N1032="",$C1032=""),"⚠ Falta valor ou tipo",""))))</f>
        <v/>
      </c>
      <c r="U1032" s="40">
        <f>IF($A1032="",0,P1032*12+O1032)</f>
        <v>0</v>
      </c>
      <c r="V1032" s="40">
        <f>IF($A1032="",0,U1032+MAX(0,N($I1032)-MAX(N($H1032),1)))</f>
        <v>0</v>
      </c>
      <c r="W1032" s="40">
        <f>IF(S1032="",0,YEAR(S1032)*12+MONTH(S1032))</f>
        <v>0</v>
      </c>
      <c r="X1032" s="40">
        <f>IF(W1032=0,0,W1032+V1032-U1032)</f>
        <v>0</v>
      </c>
      <c r="Y1032" s="36">
        <f>IF(W1032=0,0,N(R1032)*MAX(0,X1032-MAX(W1032,YEAR(Cfg_Hoje)*12+MONTH(Cfg_Hoje)+IF(DAY(Cfg_Hoje)&gt;=INDEX(Cartoes_Fech,MATCH($F1032,Cartoes_Nome,0)),1,0))+1))</f>
        <v>0</v>
      </c>
      <c r="Z1032" s="40">
        <f>IF($A1032="",0,DAY($A1032))</f>
        <v>0</v>
      </c>
      <c r="AA1032" s="40">
        <f>IF($A1032="",0,WEEKDAY($A1032))</f>
        <v>0</v>
      </c>
      <c r="AB1032" s="36">
        <f>IF(AND($C1032="Despesa",U1032&gt;0,U1032&lt;=Sel_Idx,V1032&gt;=Sel_Idx),N(R1032)+ROW()/1000000000,0)</f>
        <v>0</v>
      </c>
      <c r="AC1032" s="40">
        <f>IF(AND($C1032="Despesa",U1032&gt;0,U1032&lt;=Sel_Idx,V1032&gt;=Sel_Idx),Z1032*10000+ROW(),0)</f>
        <v>0</v>
      </c>
      <c r="AD1032" s="40">
        <f>IF(AC1032=0,0,COUNTIFS(L_CalChave,"&gt;0",L_CalChave,"&lt;"&amp;AC1032)+1)</f>
        <v>0</v>
      </c>
    </row>
    <row r="1033">
      <c r="A1033" s="38" t="n"/>
      <c r="B1033" s="39" t="n"/>
      <c r="C1033" s="34" t="n"/>
      <c r="D1033" s="34" t="n"/>
      <c r="E1033" s="34" t="n"/>
      <c r="F1033" s="34" t="n"/>
      <c r="G1033" s="34" t="n"/>
      <c r="H1033" s="37" t="n"/>
      <c r="I1033" s="37" t="n"/>
      <c r="J1033" s="34" t="n"/>
      <c r="K1033" s="34" t="n"/>
      <c r="L1033" s="34" t="n"/>
      <c r="M1033" s="39" t="n"/>
      <c r="N1033" s="35" t="n"/>
      <c r="O1033" s="40" t="str">
        <f>IF($A1033="","",MONTH($A1033))</f>
        <v/>
      </c>
      <c r="P1033" s="40" t="str">
        <f>IF($A1033="","",YEAR($A1033))</f>
        <v/>
      </c>
      <c r="Q1033" s="41" t="str">
        <f>IF($A1033="","",DATE(P1033,O1033,1))</f>
        <v/>
      </c>
      <c r="R1033" s="36" t="str">
        <f>IF(OR($A1033="",$N1033=""),"",IF(AND($C1033&lt;&gt;"Transferência",N($I1033)&gt;1),$N1033/$I1033,$N1033))</f>
        <v/>
      </c>
      <c r="S1033" s="41" t="str">
        <f>IF(OR($A1033="",$F1033="",$C1033&lt;&gt;"Despesa"),"",IF(COUNTIF(Cartoes_Nome,$F1033)=0,"",DATE(P1033,O1033+IF(DAY($A1033)&gt;=INDEX(Cartoes_Fech,MATCH($F1033,Cartoes_Nome,0)),1,0),1)))</f>
        <v/>
      </c>
      <c r="T1033" s="42" t="str">
        <f>IF($A1033="","",IF(COUNTIFS(L_Data,$A1033,L_Desc,$B1033,L_Valor,$N1033,L_Tipo,$C1033)&gt;1,"⚠ Possível duplicidade",IF(OR(AND($C1033="Despesa",COUNTIF(CatD_Nome,$D1033)=0),AND($C1033="Receita",COUNTIF(CatR_Nome,$D1033)=0)),"⚠ Categoria não combina com o tipo",IF(OR($N1033="",$C1033=""),"⚠ Falta valor ou tipo",""))))</f>
        <v/>
      </c>
      <c r="U1033" s="40">
        <f>IF($A1033="",0,P1033*12+O1033)</f>
        <v>0</v>
      </c>
      <c r="V1033" s="40">
        <f>IF($A1033="",0,U1033+MAX(0,N($I1033)-MAX(N($H1033),1)))</f>
        <v>0</v>
      </c>
      <c r="W1033" s="40">
        <f>IF(S1033="",0,YEAR(S1033)*12+MONTH(S1033))</f>
        <v>0</v>
      </c>
      <c r="X1033" s="40">
        <f>IF(W1033=0,0,W1033+V1033-U1033)</f>
        <v>0</v>
      </c>
      <c r="Y1033" s="36">
        <f>IF(W1033=0,0,N(R1033)*MAX(0,X1033-MAX(W1033,YEAR(Cfg_Hoje)*12+MONTH(Cfg_Hoje)+IF(DAY(Cfg_Hoje)&gt;=INDEX(Cartoes_Fech,MATCH($F1033,Cartoes_Nome,0)),1,0))+1))</f>
        <v>0</v>
      </c>
      <c r="Z1033" s="40">
        <f>IF($A1033="",0,DAY($A1033))</f>
        <v>0</v>
      </c>
      <c r="AA1033" s="40">
        <f>IF($A1033="",0,WEEKDAY($A1033))</f>
        <v>0</v>
      </c>
      <c r="AB1033" s="36">
        <f>IF(AND($C1033="Despesa",U1033&gt;0,U1033&lt;=Sel_Idx,V1033&gt;=Sel_Idx),N(R1033)+ROW()/1000000000,0)</f>
        <v>0</v>
      </c>
      <c r="AC1033" s="40">
        <f>IF(AND($C1033="Despesa",U1033&gt;0,U1033&lt;=Sel_Idx,V1033&gt;=Sel_Idx),Z1033*10000+ROW(),0)</f>
        <v>0</v>
      </c>
      <c r="AD1033" s="40">
        <f>IF(AC1033=0,0,COUNTIFS(L_CalChave,"&gt;0",L_CalChave,"&lt;"&amp;AC1033)+1)</f>
        <v>0</v>
      </c>
    </row>
    <row r="1034">
      <c r="A1034" s="38" t="n"/>
      <c r="B1034" s="39" t="n"/>
      <c r="C1034" s="34" t="n"/>
      <c r="D1034" s="34" t="n"/>
      <c r="E1034" s="34" t="n"/>
      <c r="F1034" s="34" t="n"/>
      <c r="G1034" s="34" t="n"/>
      <c r="H1034" s="37" t="n"/>
      <c r="I1034" s="37" t="n"/>
      <c r="J1034" s="34" t="n"/>
      <c r="K1034" s="34" t="n"/>
      <c r="L1034" s="34" t="n"/>
      <c r="M1034" s="39" t="n"/>
      <c r="N1034" s="35" t="n"/>
      <c r="O1034" s="40" t="str">
        <f>IF($A1034="","",MONTH($A1034))</f>
        <v/>
      </c>
      <c r="P1034" s="40" t="str">
        <f>IF($A1034="","",YEAR($A1034))</f>
        <v/>
      </c>
      <c r="Q1034" s="41" t="str">
        <f>IF($A1034="","",DATE(P1034,O1034,1))</f>
        <v/>
      </c>
      <c r="R1034" s="36" t="str">
        <f>IF(OR($A1034="",$N1034=""),"",IF(AND($C1034&lt;&gt;"Transferência",N($I1034)&gt;1),$N1034/$I1034,$N1034))</f>
        <v/>
      </c>
      <c r="S1034" s="41" t="str">
        <f>IF(OR($A1034="",$F1034="",$C1034&lt;&gt;"Despesa"),"",IF(COUNTIF(Cartoes_Nome,$F1034)=0,"",DATE(P1034,O1034+IF(DAY($A1034)&gt;=INDEX(Cartoes_Fech,MATCH($F1034,Cartoes_Nome,0)),1,0),1)))</f>
        <v/>
      </c>
      <c r="T1034" s="42" t="str">
        <f>IF($A1034="","",IF(COUNTIFS(L_Data,$A1034,L_Desc,$B1034,L_Valor,$N1034,L_Tipo,$C1034)&gt;1,"⚠ Possível duplicidade",IF(OR(AND($C1034="Despesa",COUNTIF(CatD_Nome,$D1034)=0),AND($C1034="Receita",COUNTIF(CatR_Nome,$D1034)=0)),"⚠ Categoria não combina com o tipo",IF(OR($N1034="",$C1034=""),"⚠ Falta valor ou tipo",""))))</f>
        <v/>
      </c>
      <c r="U1034" s="40">
        <f>IF($A1034="",0,P1034*12+O1034)</f>
        <v>0</v>
      </c>
      <c r="V1034" s="40">
        <f>IF($A1034="",0,U1034+MAX(0,N($I1034)-MAX(N($H1034),1)))</f>
        <v>0</v>
      </c>
      <c r="W1034" s="40">
        <f>IF(S1034="",0,YEAR(S1034)*12+MONTH(S1034))</f>
        <v>0</v>
      </c>
      <c r="X1034" s="40">
        <f>IF(W1034=0,0,W1034+V1034-U1034)</f>
        <v>0</v>
      </c>
      <c r="Y1034" s="36">
        <f>IF(W1034=0,0,N(R1034)*MAX(0,X1034-MAX(W1034,YEAR(Cfg_Hoje)*12+MONTH(Cfg_Hoje)+IF(DAY(Cfg_Hoje)&gt;=INDEX(Cartoes_Fech,MATCH($F1034,Cartoes_Nome,0)),1,0))+1))</f>
        <v>0</v>
      </c>
      <c r="Z1034" s="40">
        <f>IF($A1034="",0,DAY($A1034))</f>
        <v>0</v>
      </c>
      <c r="AA1034" s="40">
        <f>IF($A1034="",0,WEEKDAY($A1034))</f>
        <v>0</v>
      </c>
      <c r="AB1034" s="36">
        <f>IF(AND($C1034="Despesa",U1034&gt;0,U1034&lt;=Sel_Idx,V1034&gt;=Sel_Idx),N(R1034)+ROW()/1000000000,0)</f>
        <v>0</v>
      </c>
      <c r="AC1034" s="40">
        <f>IF(AND($C1034="Despesa",U1034&gt;0,U1034&lt;=Sel_Idx,V1034&gt;=Sel_Idx),Z1034*10000+ROW(),0)</f>
        <v>0</v>
      </c>
      <c r="AD1034" s="40">
        <f>IF(AC1034=0,0,COUNTIFS(L_CalChave,"&gt;0",L_CalChave,"&lt;"&amp;AC1034)+1)</f>
        <v>0</v>
      </c>
    </row>
    <row r="1035">
      <c r="A1035" s="38" t="n"/>
      <c r="B1035" s="39" t="n"/>
      <c r="C1035" s="34" t="n"/>
      <c r="D1035" s="34" t="n"/>
      <c r="E1035" s="34" t="n"/>
      <c r="F1035" s="34" t="n"/>
      <c r="G1035" s="34" t="n"/>
      <c r="H1035" s="37" t="n"/>
      <c r="I1035" s="37" t="n"/>
      <c r="J1035" s="34" t="n"/>
      <c r="K1035" s="34" t="n"/>
      <c r="L1035" s="34" t="n"/>
      <c r="M1035" s="39" t="n"/>
      <c r="N1035" s="35" t="n"/>
      <c r="O1035" s="40" t="str">
        <f>IF($A1035="","",MONTH($A1035))</f>
        <v/>
      </c>
      <c r="P1035" s="40" t="str">
        <f>IF($A1035="","",YEAR($A1035))</f>
        <v/>
      </c>
      <c r="Q1035" s="41" t="str">
        <f>IF($A1035="","",DATE(P1035,O1035,1))</f>
        <v/>
      </c>
      <c r="R1035" s="36" t="str">
        <f>IF(OR($A1035="",$N1035=""),"",IF(AND($C1035&lt;&gt;"Transferência",N($I1035)&gt;1),$N1035/$I1035,$N1035))</f>
        <v/>
      </c>
      <c r="S1035" s="41" t="str">
        <f>IF(OR($A1035="",$F1035="",$C1035&lt;&gt;"Despesa"),"",IF(COUNTIF(Cartoes_Nome,$F1035)=0,"",DATE(P1035,O1035+IF(DAY($A1035)&gt;=INDEX(Cartoes_Fech,MATCH($F1035,Cartoes_Nome,0)),1,0),1)))</f>
        <v/>
      </c>
      <c r="T1035" s="42" t="str">
        <f>IF($A1035="","",IF(COUNTIFS(L_Data,$A1035,L_Desc,$B1035,L_Valor,$N1035,L_Tipo,$C1035)&gt;1,"⚠ Possível duplicidade",IF(OR(AND($C1035="Despesa",COUNTIF(CatD_Nome,$D1035)=0),AND($C1035="Receita",COUNTIF(CatR_Nome,$D1035)=0)),"⚠ Categoria não combina com o tipo",IF(OR($N1035="",$C1035=""),"⚠ Falta valor ou tipo",""))))</f>
        <v/>
      </c>
      <c r="U1035" s="40">
        <f>IF($A1035="",0,P1035*12+O1035)</f>
        <v>0</v>
      </c>
      <c r="V1035" s="40">
        <f>IF($A1035="",0,U1035+MAX(0,N($I1035)-MAX(N($H1035),1)))</f>
        <v>0</v>
      </c>
      <c r="W1035" s="40">
        <f>IF(S1035="",0,YEAR(S1035)*12+MONTH(S1035))</f>
        <v>0</v>
      </c>
      <c r="X1035" s="40">
        <f>IF(W1035=0,0,W1035+V1035-U1035)</f>
        <v>0</v>
      </c>
      <c r="Y1035" s="36">
        <f>IF(W1035=0,0,N(R1035)*MAX(0,X1035-MAX(W1035,YEAR(Cfg_Hoje)*12+MONTH(Cfg_Hoje)+IF(DAY(Cfg_Hoje)&gt;=INDEX(Cartoes_Fech,MATCH($F1035,Cartoes_Nome,0)),1,0))+1))</f>
        <v>0</v>
      </c>
      <c r="Z1035" s="40">
        <f>IF($A1035="",0,DAY($A1035))</f>
        <v>0</v>
      </c>
      <c r="AA1035" s="40">
        <f>IF($A1035="",0,WEEKDAY($A1035))</f>
        <v>0</v>
      </c>
      <c r="AB1035" s="36">
        <f>IF(AND($C1035="Despesa",U1035&gt;0,U1035&lt;=Sel_Idx,V1035&gt;=Sel_Idx),N(R1035)+ROW()/1000000000,0)</f>
        <v>0</v>
      </c>
      <c r="AC1035" s="40">
        <f>IF(AND($C1035="Despesa",U1035&gt;0,U1035&lt;=Sel_Idx,V1035&gt;=Sel_Idx),Z1035*10000+ROW(),0)</f>
        <v>0</v>
      </c>
      <c r="AD1035" s="40">
        <f>IF(AC1035=0,0,COUNTIFS(L_CalChave,"&gt;0",L_CalChave,"&lt;"&amp;AC1035)+1)</f>
        <v>0</v>
      </c>
    </row>
    <row r="1036">
      <c r="A1036" s="38" t="n"/>
      <c r="B1036" s="39" t="n"/>
      <c r="C1036" s="34" t="n"/>
      <c r="D1036" s="34" t="n"/>
      <c r="E1036" s="34" t="n"/>
      <c r="F1036" s="34" t="n"/>
      <c r="G1036" s="34" t="n"/>
      <c r="H1036" s="37" t="n"/>
      <c r="I1036" s="37" t="n"/>
      <c r="J1036" s="34" t="n"/>
      <c r="K1036" s="34" t="n"/>
      <c r="L1036" s="34" t="n"/>
      <c r="M1036" s="39" t="n"/>
      <c r="N1036" s="35" t="n"/>
      <c r="O1036" s="40" t="str">
        <f>IF($A1036="","",MONTH($A1036))</f>
        <v/>
      </c>
      <c r="P1036" s="40" t="str">
        <f>IF($A1036="","",YEAR($A1036))</f>
        <v/>
      </c>
      <c r="Q1036" s="41" t="str">
        <f>IF($A1036="","",DATE(P1036,O1036,1))</f>
        <v/>
      </c>
      <c r="R1036" s="36" t="str">
        <f>IF(OR($A1036="",$N1036=""),"",IF(AND($C1036&lt;&gt;"Transferência",N($I1036)&gt;1),$N1036/$I1036,$N1036))</f>
        <v/>
      </c>
      <c r="S1036" s="41" t="str">
        <f>IF(OR($A1036="",$F1036="",$C1036&lt;&gt;"Despesa"),"",IF(COUNTIF(Cartoes_Nome,$F1036)=0,"",DATE(P1036,O1036+IF(DAY($A1036)&gt;=INDEX(Cartoes_Fech,MATCH($F1036,Cartoes_Nome,0)),1,0),1)))</f>
        <v/>
      </c>
      <c r="T1036" s="42" t="str">
        <f>IF($A1036="","",IF(COUNTIFS(L_Data,$A1036,L_Desc,$B1036,L_Valor,$N1036,L_Tipo,$C1036)&gt;1,"⚠ Possível duplicidade",IF(OR(AND($C1036="Despesa",COUNTIF(CatD_Nome,$D1036)=0),AND($C1036="Receita",COUNTIF(CatR_Nome,$D1036)=0)),"⚠ Categoria não combina com o tipo",IF(OR($N1036="",$C1036=""),"⚠ Falta valor ou tipo",""))))</f>
        <v/>
      </c>
      <c r="U1036" s="40">
        <f>IF($A1036="",0,P1036*12+O1036)</f>
        <v>0</v>
      </c>
      <c r="V1036" s="40">
        <f>IF($A1036="",0,U1036+MAX(0,N($I1036)-MAX(N($H1036),1)))</f>
        <v>0</v>
      </c>
      <c r="W1036" s="40">
        <f>IF(S1036="",0,YEAR(S1036)*12+MONTH(S1036))</f>
        <v>0</v>
      </c>
      <c r="X1036" s="40">
        <f>IF(W1036=0,0,W1036+V1036-U1036)</f>
        <v>0</v>
      </c>
      <c r="Y1036" s="36">
        <f>IF(W1036=0,0,N(R1036)*MAX(0,X1036-MAX(W1036,YEAR(Cfg_Hoje)*12+MONTH(Cfg_Hoje)+IF(DAY(Cfg_Hoje)&gt;=INDEX(Cartoes_Fech,MATCH($F1036,Cartoes_Nome,0)),1,0))+1))</f>
        <v>0</v>
      </c>
      <c r="Z1036" s="40">
        <f>IF($A1036="",0,DAY($A1036))</f>
        <v>0</v>
      </c>
      <c r="AA1036" s="40">
        <f>IF($A1036="",0,WEEKDAY($A1036))</f>
        <v>0</v>
      </c>
      <c r="AB1036" s="36">
        <f>IF(AND($C1036="Despesa",U1036&gt;0,U1036&lt;=Sel_Idx,V1036&gt;=Sel_Idx),N(R1036)+ROW()/1000000000,0)</f>
        <v>0</v>
      </c>
      <c r="AC1036" s="40">
        <f>IF(AND($C1036="Despesa",U1036&gt;0,U1036&lt;=Sel_Idx,V1036&gt;=Sel_Idx),Z1036*10000+ROW(),0)</f>
        <v>0</v>
      </c>
      <c r="AD1036" s="40">
        <f>IF(AC1036=0,0,COUNTIFS(L_CalChave,"&gt;0",L_CalChave,"&lt;"&amp;AC1036)+1)</f>
        <v>0</v>
      </c>
    </row>
    <row r="1037">
      <c r="A1037" s="38" t="n"/>
      <c r="B1037" s="39" t="n"/>
      <c r="C1037" s="34" t="n"/>
      <c r="D1037" s="34" t="n"/>
      <c r="E1037" s="34" t="n"/>
      <c r="F1037" s="34" t="n"/>
      <c r="G1037" s="34" t="n"/>
      <c r="H1037" s="37" t="n"/>
      <c r="I1037" s="37" t="n"/>
      <c r="J1037" s="34" t="n"/>
      <c r="K1037" s="34" t="n"/>
      <c r="L1037" s="34" t="n"/>
      <c r="M1037" s="39" t="n"/>
      <c r="N1037" s="35" t="n"/>
      <c r="O1037" s="40" t="str">
        <f>IF($A1037="","",MONTH($A1037))</f>
        <v/>
      </c>
      <c r="P1037" s="40" t="str">
        <f>IF($A1037="","",YEAR($A1037))</f>
        <v/>
      </c>
      <c r="Q1037" s="41" t="str">
        <f>IF($A1037="","",DATE(P1037,O1037,1))</f>
        <v/>
      </c>
      <c r="R1037" s="36" t="str">
        <f>IF(OR($A1037="",$N1037=""),"",IF(AND($C1037&lt;&gt;"Transferência",N($I1037)&gt;1),$N1037/$I1037,$N1037))</f>
        <v/>
      </c>
      <c r="S1037" s="41" t="str">
        <f>IF(OR($A1037="",$F1037="",$C1037&lt;&gt;"Despesa"),"",IF(COUNTIF(Cartoes_Nome,$F1037)=0,"",DATE(P1037,O1037+IF(DAY($A1037)&gt;=INDEX(Cartoes_Fech,MATCH($F1037,Cartoes_Nome,0)),1,0),1)))</f>
        <v/>
      </c>
      <c r="T1037" s="42" t="str">
        <f>IF($A1037="","",IF(COUNTIFS(L_Data,$A1037,L_Desc,$B1037,L_Valor,$N1037,L_Tipo,$C1037)&gt;1,"⚠ Possível duplicidade",IF(OR(AND($C1037="Despesa",COUNTIF(CatD_Nome,$D1037)=0),AND($C1037="Receita",COUNTIF(CatR_Nome,$D1037)=0)),"⚠ Categoria não combina com o tipo",IF(OR($N1037="",$C1037=""),"⚠ Falta valor ou tipo",""))))</f>
        <v/>
      </c>
      <c r="U1037" s="40">
        <f>IF($A1037="",0,P1037*12+O1037)</f>
        <v>0</v>
      </c>
      <c r="V1037" s="40">
        <f>IF($A1037="",0,U1037+MAX(0,N($I1037)-MAX(N($H1037),1)))</f>
        <v>0</v>
      </c>
      <c r="W1037" s="40">
        <f>IF(S1037="",0,YEAR(S1037)*12+MONTH(S1037))</f>
        <v>0</v>
      </c>
      <c r="X1037" s="40">
        <f>IF(W1037=0,0,W1037+V1037-U1037)</f>
        <v>0</v>
      </c>
      <c r="Y1037" s="36">
        <f>IF(W1037=0,0,N(R1037)*MAX(0,X1037-MAX(W1037,YEAR(Cfg_Hoje)*12+MONTH(Cfg_Hoje)+IF(DAY(Cfg_Hoje)&gt;=INDEX(Cartoes_Fech,MATCH($F1037,Cartoes_Nome,0)),1,0))+1))</f>
        <v>0</v>
      </c>
      <c r="Z1037" s="40">
        <f>IF($A1037="",0,DAY($A1037))</f>
        <v>0</v>
      </c>
      <c r="AA1037" s="40">
        <f>IF($A1037="",0,WEEKDAY($A1037))</f>
        <v>0</v>
      </c>
      <c r="AB1037" s="36">
        <f>IF(AND($C1037="Despesa",U1037&gt;0,U1037&lt;=Sel_Idx,V1037&gt;=Sel_Idx),N(R1037)+ROW()/1000000000,0)</f>
        <v>0</v>
      </c>
      <c r="AC1037" s="40">
        <f>IF(AND($C1037="Despesa",U1037&gt;0,U1037&lt;=Sel_Idx,V1037&gt;=Sel_Idx),Z1037*10000+ROW(),0)</f>
        <v>0</v>
      </c>
      <c r="AD1037" s="40">
        <f>IF(AC1037=0,0,COUNTIFS(L_CalChave,"&gt;0",L_CalChave,"&lt;"&amp;AC1037)+1)</f>
        <v>0</v>
      </c>
    </row>
    <row r="1038">
      <c r="A1038" s="38" t="n"/>
      <c r="B1038" s="39" t="n"/>
      <c r="C1038" s="34" t="n"/>
      <c r="D1038" s="34" t="n"/>
      <c r="E1038" s="34" t="n"/>
      <c r="F1038" s="34" t="n"/>
      <c r="G1038" s="34" t="n"/>
      <c r="H1038" s="37" t="n"/>
      <c r="I1038" s="37" t="n"/>
      <c r="J1038" s="34" t="n"/>
      <c r="K1038" s="34" t="n"/>
      <c r="L1038" s="34" t="n"/>
      <c r="M1038" s="39" t="n"/>
      <c r="N1038" s="35" t="n"/>
      <c r="O1038" s="40" t="str">
        <f>IF($A1038="","",MONTH($A1038))</f>
        <v/>
      </c>
      <c r="P1038" s="40" t="str">
        <f>IF($A1038="","",YEAR($A1038))</f>
        <v/>
      </c>
      <c r="Q1038" s="41" t="str">
        <f>IF($A1038="","",DATE(P1038,O1038,1))</f>
        <v/>
      </c>
      <c r="R1038" s="36" t="str">
        <f>IF(OR($A1038="",$N1038=""),"",IF(AND($C1038&lt;&gt;"Transferência",N($I1038)&gt;1),$N1038/$I1038,$N1038))</f>
        <v/>
      </c>
      <c r="S1038" s="41" t="str">
        <f>IF(OR($A1038="",$F1038="",$C1038&lt;&gt;"Despesa"),"",IF(COUNTIF(Cartoes_Nome,$F1038)=0,"",DATE(P1038,O1038+IF(DAY($A1038)&gt;=INDEX(Cartoes_Fech,MATCH($F1038,Cartoes_Nome,0)),1,0),1)))</f>
        <v/>
      </c>
      <c r="T1038" s="42" t="str">
        <f>IF($A1038="","",IF(COUNTIFS(L_Data,$A1038,L_Desc,$B1038,L_Valor,$N1038,L_Tipo,$C1038)&gt;1,"⚠ Possível duplicidade",IF(OR(AND($C1038="Despesa",COUNTIF(CatD_Nome,$D1038)=0),AND($C1038="Receita",COUNTIF(CatR_Nome,$D1038)=0)),"⚠ Categoria não combina com o tipo",IF(OR($N1038="",$C1038=""),"⚠ Falta valor ou tipo",""))))</f>
        <v/>
      </c>
      <c r="U1038" s="40">
        <f>IF($A1038="",0,P1038*12+O1038)</f>
        <v>0</v>
      </c>
      <c r="V1038" s="40">
        <f>IF($A1038="",0,U1038+MAX(0,N($I1038)-MAX(N($H1038),1)))</f>
        <v>0</v>
      </c>
      <c r="W1038" s="40">
        <f>IF(S1038="",0,YEAR(S1038)*12+MONTH(S1038))</f>
        <v>0</v>
      </c>
      <c r="X1038" s="40">
        <f>IF(W1038=0,0,W1038+V1038-U1038)</f>
        <v>0</v>
      </c>
      <c r="Y1038" s="36">
        <f>IF(W1038=0,0,N(R1038)*MAX(0,X1038-MAX(W1038,YEAR(Cfg_Hoje)*12+MONTH(Cfg_Hoje)+IF(DAY(Cfg_Hoje)&gt;=INDEX(Cartoes_Fech,MATCH($F1038,Cartoes_Nome,0)),1,0))+1))</f>
        <v>0</v>
      </c>
      <c r="Z1038" s="40">
        <f>IF($A1038="",0,DAY($A1038))</f>
        <v>0</v>
      </c>
      <c r="AA1038" s="40">
        <f>IF($A1038="",0,WEEKDAY($A1038))</f>
        <v>0</v>
      </c>
      <c r="AB1038" s="36">
        <f>IF(AND($C1038="Despesa",U1038&gt;0,U1038&lt;=Sel_Idx,V1038&gt;=Sel_Idx),N(R1038)+ROW()/1000000000,0)</f>
        <v>0</v>
      </c>
      <c r="AC1038" s="40">
        <f>IF(AND($C1038="Despesa",U1038&gt;0,U1038&lt;=Sel_Idx,V1038&gt;=Sel_Idx),Z1038*10000+ROW(),0)</f>
        <v>0</v>
      </c>
      <c r="AD1038" s="40">
        <f>IF(AC1038=0,0,COUNTIFS(L_CalChave,"&gt;0",L_CalChave,"&lt;"&amp;AC1038)+1)</f>
        <v>0</v>
      </c>
    </row>
    <row r="1039">
      <c r="A1039" s="38" t="n"/>
      <c r="B1039" s="39" t="n"/>
      <c r="C1039" s="34" t="n"/>
      <c r="D1039" s="34" t="n"/>
      <c r="E1039" s="34" t="n"/>
      <c r="F1039" s="34" t="n"/>
      <c r="G1039" s="34" t="n"/>
      <c r="H1039" s="37" t="n"/>
      <c r="I1039" s="37" t="n"/>
      <c r="J1039" s="34" t="n"/>
      <c r="K1039" s="34" t="n"/>
      <c r="L1039" s="34" t="n"/>
      <c r="M1039" s="39" t="n"/>
      <c r="N1039" s="35" t="n"/>
      <c r="O1039" s="40" t="str">
        <f>IF($A1039="","",MONTH($A1039))</f>
        <v/>
      </c>
      <c r="P1039" s="40" t="str">
        <f>IF($A1039="","",YEAR($A1039))</f>
        <v/>
      </c>
      <c r="Q1039" s="41" t="str">
        <f>IF($A1039="","",DATE(P1039,O1039,1))</f>
        <v/>
      </c>
      <c r="R1039" s="36" t="str">
        <f>IF(OR($A1039="",$N1039=""),"",IF(AND($C1039&lt;&gt;"Transferência",N($I1039)&gt;1),$N1039/$I1039,$N1039))</f>
        <v/>
      </c>
      <c r="S1039" s="41" t="str">
        <f>IF(OR($A1039="",$F1039="",$C1039&lt;&gt;"Despesa"),"",IF(COUNTIF(Cartoes_Nome,$F1039)=0,"",DATE(P1039,O1039+IF(DAY($A1039)&gt;=INDEX(Cartoes_Fech,MATCH($F1039,Cartoes_Nome,0)),1,0),1)))</f>
        <v/>
      </c>
      <c r="T1039" s="42" t="str">
        <f>IF($A1039="","",IF(COUNTIFS(L_Data,$A1039,L_Desc,$B1039,L_Valor,$N1039,L_Tipo,$C1039)&gt;1,"⚠ Possível duplicidade",IF(OR(AND($C1039="Despesa",COUNTIF(CatD_Nome,$D1039)=0),AND($C1039="Receita",COUNTIF(CatR_Nome,$D1039)=0)),"⚠ Categoria não combina com o tipo",IF(OR($N1039="",$C1039=""),"⚠ Falta valor ou tipo",""))))</f>
        <v/>
      </c>
      <c r="U1039" s="40">
        <f>IF($A1039="",0,P1039*12+O1039)</f>
        <v>0</v>
      </c>
      <c r="V1039" s="40">
        <f>IF($A1039="",0,U1039+MAX(0,N($I1039)-MAX(N($H1039),1)))</f>
        <v>0</v>
      </c>
      <c r="W1039" s="40">
        <f>IF(S1039="",0,YEAR(S1039)*12+MONTH(S1039))</f>
        <v>0</v>
      </c>
      <c r="X1039" s="40">
        <f>IF(W1039=0,0,W1039+V1039-U1039)</f>
        <v>0</v>
      </c>
      <c r="Y1039" s="36">
        <f>IF(W1039=0,0,N(R1039)*MAX(0,X1039-MAX(W1039,YEAR(Cfg_Hoje)*12+MONTH(Cfg_Hoje)+IF(DAY(Cfg_Hoje)&gt;=INDEX(Cartoes_Fech,MATCH($F1039,Cartoes_Nome,0)),1,0))+1))</f>
        <v>0</v>
      </c>
      <c r="Z1039" s="40">
        <f>IF($A1039="",0,DAY($A1039))</f>
        <v>0</v>
      </c>
      <c r="AA1039" s="40">
        <f>IF($A1039="",0,WEEKDAY($A1039))</f>
        <v>0</v>
      </c>
      <c r="AB1039" s="36">
        <f>IF(AND($C1039="Despesa",U1039&gt;0,U1039&lt;=Sel_Idx,V1039&gt;=Sel_Idx),N(R1039)+ROW()/1000000000,0)</f>
        <v>0</v>
      </c>
      <c r="AC1039" s="40">
        <f>IF(AND($C1039="Despesa",U1039&gt;0,U1039&lt;=Sel_Idx,V1039&gt;=Sel_Idx),Z1039*10000+ROW(),0)</f>
        <v>0</v>
      </c>
      <c r="AD1039" s="40">
        <f>IF(AC1039=0,0,COUNTIFS(L_CalChave,"&gt;0",L_CalChave,"&lt;"&amp;AC1039)+1)</f>
        <v>0</v>
      </c>
    </row>
    <row r="1040">
      <c r="A1040" s="38" t="n"/>
      <c r="B1040" s="39" t="n"/>
      <c r="C1040" s="34" t="n"/>
      <c r="D1040" s="34" t="n"/>
      <c r="E1040" s="34" t="n"/>
      <c r="F1040" s="34" t="n"/>
      <c r="G1040" s="34" t="n"/>
      <c r="H1040" s="37" t="n"/>
      <c r="I1040" s="37" t="n"/>
      <c r="J1040" s="34" t="n"/>
      <c r="K1040" s="34" t="n"/>
      <c r="L1040" s="34" t="n"/>
      <c r="M1040" s="39" t="n"/>
      <c r="N1040" s="35" t="n"/>
      <c r="O1040" s="40" t="str">
        <f>IF($A1040="","",MONTH($A1040))</f>
        <v/>
      </c>
      <c r="P1040" s="40" t="str">
        <f>IF($A1040="","",YEAR($A1040))</f>
        <v/>
      </c>
      <c r="Q1040" s="41" t="str">
        <f>IF($A1040="","",DATE(P1040,O1040,1))</f>
        <v/>
      </c>
      <c r="R1040" s="36" t="str">
        <f>IF(OR($A1040="",$N1040=""),"",IF(AND($C1040&lt;&gt;"Transferência",N($I1040)&gt;1),$N1040/$I1040,$N1040))</f>
        <v/>
      </c>
      <c r="S1040" s="41" t="str">
        <f>IF(OR($A1040="",$F1040="",$C1040&lt;&gt;"Despesa"),"",IF(COUNTIF(Cartoes_Nome,$F1040)=0,"",DATE(P1040,O1040+IF(DAY($A1040)&gt;=INDEX(Cartoes_Fech,MATCH($F1040,Cartoes_Nome,0)),1,0),1)))</f>
        <v/>
      </c>
      <c r="T1040" s="42" t="str">
        <f>IF($A1040="","",IF(COUNTIFS(L_Data,$A1040,L_Desc,$B1040,L_Valor,$N1040,L_Tipo,$C1040)&gt;1,"⚠ Possível duplicidade",IF(OR(AND($C1040="Despesa",COUNTIF(CatD_Nome,$D1040)=0),AND($C1040="Receita",COUNTIF(CatR_Nome,$D1040)=0)),"⚠ Categoria não combina com o tipo",IF(OR($N1040="",$C1040=""),"⚠ Falta valor ou tipo",""))))</f>
        <v/>
      </c>
      <c r="U1040" s="40">
        <f>IF($A1040="",0,P1040*12+O1040)</f>
        <v>0</v>
      </c>
      <c r="V1040" s="40">
        <f>IF($A1040="",0,U1040+MAX(0,N($I1040)-MAX(N($H1040),1)))</f>
        <v>0</v>
      </c>
      <c r="W1040" s="40">
        <f>IF(S1040="",0,YEAR(S1040)*12+MONTH(S1040))</f>
        <v>0</v>
      </c>
      <c r="X1040" s="40">
        <f>IF(W1040=0,0,W1040+V1040-U1040)</f>
        <v>0</v>
      </c>
      <c r="Y1040" s="36">
        <f>IF(W1040=0,0,N(R1040)*MAX(0,X1040-MAX(W1040,YEAR(Cfg_Hoje)*12+MONTH(Cfg_Hoje)+IF(DAY(Cfg_Hoje)&gt;=INDEX(Cartoes_Fech,MATCH($F1040,Cartoes_Nome,0)),1,0))+1))</f>
        <v>0</v>
      </c>
      <c r="Z1040" s="40">
        <f>IF($A1040="",0,DAY($A1040))</f>
        <v>0</v>
      </c>
      <c r="AA1040" s="40">
        <f>IF($A1040="",0,WEEKDAY($A1040))</f>
        <v>0</v>
      </c>
      <c r="AB1040" s="36">
        <f>IF(AND($C1040="Despesa",U1040&gt;0,U1040&lt;=Sel_Idx,V1040&gt;=Sel_Idx),N(R1040)+ROW()/1000000000,0)</f>
        <v>0</v>
      </c>
      <c r="AC1040" s="40">
        <f>IF(AND($C1040="Despesa",U1040&gt;0,U1040&lt;=Sel_Idx,V1040&gt;=Sel_Idx),Z1040*10000+ROW(),0)</f>
        <v>0</v>
      </c>
      <c r="AD1040" s="40">
        <f>IF(AC1040=0,0,COUNTIFS(L_CalChave,"&gt;0",L_CalChave,"&lt;"&amp;AC1040)+1)</f>
        <v>0</v>
      </c>
    </row>
    <row r="1041">
      <c r="A1041" s="38" t="n"/>
      <c r="B1041" s="39" t="n"/>
      <c r="C1041" s="34" t="n"/>
      <c r="D1041" s="34" t="n"/>
      <c r="E1041" s="34" t="n"/>
      <c r="F1041" s="34" t="n"/>
      <c r="G1041" s="34" t="n"/>
      <c r="H1041" s="37" t="n"/>
      <c r="I1041" s="37" t="n"/>
      <c r="J1041" s="34" t="n"/>
      <c r="K1041" s="34" t="n"/>
      <c r="L1041" s="34" t="n"/>
      <c r="M1041" s="39" t="n"/>
      <c r="N1041" s="35" t="n"/>
      <c r="O1041" s="40" t="str">
        <f>IF($A1041="","",MONTH($A1041))</f>
        <v/>
      </c>
      <c r="P1041" s="40" t="str">
        <f>IF($A1041="","",YEAR($A1041))</f>
        <v/>
      </c>
      <c r="Q1041" s="41" t="str">
        <f>IF($A1041="","",DATE(P1041,O1041,1))</f>
        <v/>
      </c>
      <c r="R1041" s="36" t="str">
        <f>IF(OR($A1041="",$N1041=""),"",IF(AND($C1041&lt;&gt;"Transferência",N($I1041)&gt;1),$N1041/$I1041,$N1041))</f>
        <v/>
      </c>
      <c r="S1041" s="41" t="str">
        <f>IF(OR($A1041="",$F1041="",$C1041&lt;&gt;"Despesa"),"",IF(COUNTIF(Cartoes_Nome,$F1041)=0,"",DATE(P1041,O1041+IF(DAY($A1041)&gt;=INDEX(Cartoes_Fech,MATCH($F1041,Cartoes_Nome,0)),1,0),1)))</f>
        <v/>
      </c>
      <c r="T1041" s="42" t="str">
        <f>IF($A1041="","",IF(COUNTIFS(L_Data,$A1041,L_Desc,$B1041,L_Valor,$N1041,L_Tipo,$C1041)&gt;1,"⚠ Possível duplicidade",IF(OR(AND($C1041="Despesa",COUNTIF(CatD_Nome,$D1041)=0),AND($C1041="Receita",COUNTIF(CatR_Nome,$D1041)=0)),"⚠ Categoria não combina com o tipo",IF(OR($N1041="",$C1041=""),"⚠ Falta valor ou tipo",""))))</f>
        <v/>
      </c>
      <c r="U1041" s="40">
        <f>IF($A1041="",0,P1041*12+O1041)</f>
        <v>0</v>
      </c>
      <c r="V1041" s="40">
        <f>IF($A1041="",0,U1041+MAX(0,N($I1041)-MAX(N($H1041),1)))</f>
        <v>0</v>
      </c>
      <c r="W1041" s="40">
        <f>IF(S1041="",0,YEAR(S1041)*12+MONTH(S1041))</f>
        <v>0</v>
      </c>
      <c r="X1041" s="40">
        <f>IF(W1041=0,0,W1041+V1041-U1041)</f>
        <v>0</v>
      </c>
      <c r="Y1041" s="36">
        <f>IF(W1041=0,0,N(R1041)*MAX(0,X1041-MAX(W1041,YEAR(Cfg_Hoje)*12+MONTH(Cfg_Hoje)+IF(DAY(Cfg_Hoje)&gt;=INDEX(Cartoes_Fech,MATCH($F1041,Cartoes_Nome,0)),1,0))+1))</f>
        <v>0</v>
      </c>
      <c r="Z1041" s="40">
        <f>IF($A1041="",0,DAY($A1041))</f>
        <v>0</v>
      </c>
      <c r="AA1041" s="40">
        <f>IF($A1041="",0,WEEKDAY($A1041))</f>
        <v>0</v>
      </c>
      <c r="AB1041" s="36">
        <f>IF(AND($C1041="Despesa",U1041&gt;0,U1041&lt;=Sel_Idx,V1041&gt;=Sel_Idx),N(R1041)+ROW()/1000000000,0)</f>
        <v>0</v>
      </c>
      <c r="AC1041" s="40">
        <f>IF(AND($C1041="Despesa",U1041&gt;0,U1041&lt;=Sel_Idx,V1041&gt;=Sel_Idx),Z1041*10000+ROW(),0)</f>
        <v>0</v>
      </c>
      <c r="AD1041" s="40">
        <f>IF(AC1041=0,0,COUNTIFS(L_CalChave,"&gt;0",L_CalChave,"&lt;"&amp;AC1041)+1)</f>
        <v>0</v>
      </c>
    </row>
    <row r="1042">
      <c r="A1042" s="38" t="n"/>
      <c r="B1042" s="39" t="n"/>
      <c r="C1042" s="34" t="n"/>
      <c r="D1042" s="34" t="n"/>
      <c r="E1042" s="34" t="n"/>
      <c r="F1042" s="34" t="n"/>
      <c r="G1042" s="34" t="n"/>
      <c r="H1042" s="37" t="n"/>
      <c r="I1042" s="37" t="n"/>
      <c r="J1042" s="34" t="n"/>
      <c r="K1042" s="34" t="n"/>
      <c r="L1042" s="34" t="n"/>
      <c r="M1042" s="39" t="n"/>
      <c r="N1042" s="35" t="n"/>
      <c r="O1042" s="40" t="str">
        <f>IF($A1042="","",MONTH($A1042))</f>
        <v/>
      </c>
      <c r="P1042" s="40" t="str">
        <f>IF($A1042="","",YEAR($A1042))</f>
        <v/>
      </c>
      <c r="Q1042" s="41" t="str">
        <f>IF($A1042="","",DATE(P1042,O1042,1))</f>
        <v/>
      </c>
      <c r="R1042" s="36" t="str">
        <f>IF(OR($A1042="",$N1042=""),"",IF(AND($C1042&lt;&gt;"Transferência",N($I1042)&gt;1),$N1042/$I1042,$N1042))</f>
        <v/>
      </c>
      <c r="S1042" s="41" t="str">
        <f>IF(OR($A1042="",$F1042="",$C1042&lt;&gt;"Despesa"),"",IF(COUNTIF(Cartoes_Nome,$F1042)=0,"",DATE(P1042,O1042+IF(DAY($A1042)&gt;=INDEX(Cartoes_Fech,MATCH($F1042,Cartoes_Nome,0)),1,0),1)))</f>
        <v/>
      </c>
      <c r="T1042" s="42" t="str">
        <f>IF($A1042="","",IF(COUNTIFS(L_Data,$A1042,L_Desc,$B1042,L_Valor,$N1042,L_Tipo,$C1042)&gt;1,"⚠ Possível duplicidade",IF(OR(AND($C1042="Despesa",COUNTIF(CatD_Nome,$D1042)=0),AND($C1042="Receita",COUNTIF(CatR_Nome,$D1042)=0)),"⚠ Categoria não combina com o tipo",IF(OR($N1042="",$C1042=""),"⚠ Falta valor ou tipo",""))))</f>
        <v/>
      </c>
      <c r="U1042" s="40">
        <f>IF($A1042="",0,P1042*12+O1042)</f>
        <v>0</v>
      </c>
      <c r="V1042" s="40">
        <f>IF($A1042="",0,U1042+MAX(0,N($I1042)-MAX(N($H1042),1)))</f>
        <v>0</v>
      </c>
      <c r="W1042" s="40">
        <f>IF(S1042="",0,YEAR(S1042)*12+MONTH(S1042))</f>
        <v>0</v>
      </c>
      <c r="X1042" s="40">
        <f>IF(W1042=0,0,W1042+V1042-U1042)</f>
        <v>0</v>
      </c>
      <c r="Y1042" s="36">
        <f>IF(W1042=0,0,N(R1042)*MAX(0,X1042-MAX(W1042,YEAR(Cfg_Hoje)*12+MONTH(Cfg_Hoje)+IF(DAY(Cfg_Hoje)&gt;=INDEX(Cartoes_Fech,MATCH($F1042,Cartoes_Nome,0)),1,0))+1))</f>
        <v>0</v>
      </c>
      <c r="Z1042" s="40">
        <f>IF($A1042="",0,DAY($A1042))</f>
        <v>0</v>
      </c>
      <c r="AA1042" s="40">
        <f>IF($A1042="",0,WEEKDAY($A1042))</f>
        <v>0</v>
      </c>
      <c r="AB1042" s="36">
        <f>IF(AND($C1042="Despesa",U1042&gt;0,U1042&lt;=Sel_Idx,V1042&gt;=Sel_Idx),N(R1042)+ROW()/1000000000,0)</f>
        <v>0</v>
      </c>
      <c r="AC1042" s="40">
        <f>IF(AND($C1042="Despesa",U1042&gt;0,U1042&lt;=Sel_Idx,V1042&gt;=Sel_Idx),Z1042*10000+ROW(),0)</f>
        <v>0</v>
      </c>
      <c r="AD1042" s="40">
        <f>IF(AC1042=0,0,COUNTIFS(L_CalChave,"&gt;0",L_CalChave,"&lt;"&amp;AC1042)+1)</f>
        <v>0</v>
      </c>
    </row>
    <row r="1043">
      <c r="A1043" s="38" t="n"/>
      <c r="B1043" s="39" t="n"/>
      <c r="C1043" s="34" t="n"/>
      <c r="D1043" s="34" t="n"/>
      <c r="E1043" s="34" t="n"/>
      <c r="F1043" s="34" t="n"/>
      <c r="G1043" s="34" t="n"/>
      <c r="H1043" s="37" t="n"/>
      <c r="I1043" s="37" t="n"/>
      <c r="J1043" s="34" t="n"/>
      <c r="K1043" s="34" t="n"/>
      <c r="L1043" s="34" t="n"/>
      <c r="M1043" s="39" t="n"/>
      <c r="N1043" s="35" t="n"/>
      <c r="O1043" s="40" t="str">
        <f>IF($A1043="","",MONTH($A1043))</f>
        <v/>
      </c>
      <c r="P1043" s="40" t="str">
        <f>IF($A1043="","",YEAR($A1043))</f>
        <v/>
      </c>
      <c r="Q1043" s="41" t="str">
        <f>IF($A1043="","",DATE(P1043,O1043,1))</f>
        <v/>
      </c>
      <c r="R1043" s="36" t="str">
        <f>IF(OR($A1043="",$N1043=""),"",IF(AND($C1043&lt;&gt;"Transferência",N($I1043)&gt;1),$N1043/$I1043,$N1043))</f>
        <v/>
      </c>
      <c r="S1043" s="41" t="str">
        <f>IF(OR($A1043="",$F1043="",$C1043&lt;&gt;"Despesa"),"",IF(COUNTIF(Cartoes_Nome,$F1043)=0,"",DATE(P1043,O1043+IF(DAY($A1043)&gt;=INDEX(Cartoes_Fech,MATCH($F1043,Cartoes_Nome,0)),1,0),1)))</f>
        <v/>
      </c>
      <c r="T1043" s="42" t="str">
        <f>IF($A1043="","",IF(COUNTIFS(L_Data,$A1043,L_Desc,$B1043,L_Valor,$N1043,L_Tipo,$C1043)&gt;1,"⚠ Possível duplicidade",IF(OR(AND($C1043="Despesa",COUNTIF(CatD_Nome,$D1043)=0),AND($C1043="Receita",COUNTIF(CatR_Nome,$D1043)=0)),"⚠ Categoria não combina com o tipo",IF(OR($N1043="",$C1043=""),"⚠ Falta valor ou tipo",""))))</f>
        <v/>
      </c>
      <c r="U1043" s="40">
        <f>IF($A1043="",0,P1043*12+O1043)</f>
        <v>0</v>
      </c>
      <c r="V1043" s="40">
        <f>IF($A1043="",0,U1043+MAX(0,N($I1043)-MAX(N($H1043),1)))</f>
        <v>0</v>
      </c>
      <c r="W1043" s="40">
        <f>IF(S1043="",0,YEAR(S1043)*12+MONTH(S1043))</f>
        <v>0</v>
      </c>
      <c r="X1043" s="40">
        <f>IF(W1043=0,0,W1043+V1043-U1043)</f>
        <v>0</v>
      </c>
      <c r="Y1043" s="36">
        <f>IF(W1043=0,0,N(R1043)*MAX(0,X1043-MAX(W1043,YEAR(Cfg_Hoje)*12+MONTH(Cfg_Hoje)+IF(DAY(Cfg_Hoje)&gt;=INDEX(Cartoes_Fech,MATCH($F1043,Cartoes_Nome,0)),1,0))+1))</f>
        <v>0</v>
      </c>
      <c r="Z1043" s="40">
        <f>IF($A1043="",0,DAY($A1043))</f>
        <v>0</v>
      </c>
      <c r="AA1043" s="40">
        <f>IF($A1043="",0,WEEKDAY($A1043))</f>
        <v>0</v>
      </c>
      <c r="AB1043" s="36">
        <f>IF(AND($C1043="Despesa",U1043&gt;0,U1043&lt;=Sel_Idx,V1043&gt;=Sel_Idx),N(R1043)+ROW()/1000000000,0)</f>
        <v>0</v>
      </c>
      <c r="AC1043" s="40">
        <f>IF(AND($C1043="Despesa",U1043&gt;0,U1043&lt;=Sel_Idx,V1043&gt;=Sel_Idx),Z1043*10000+ROW(),0)</f>
        <v>0</v>
      </c>
      <c r="AD1043" s="40">
        <f>IF(AC1043=0,0,COUNTIFS(L_CalChave,"&gt;0",L_CalChave,"&lt;"&amp;AC1043)+1)</f>
        <v>0</v>
      </c>
    </row>
    <row r="1044">
      <c r="A1044" s="38" t="n"/>
      <c r="B1044" s="39" t="n"/>
      <c r="C1044" s="34" t="n"/>
      <c r="D1044" s="34" t="n"/>
      <c r="E1044" s="34" t="n"/>
      <c r="F1044" s="34" t="n"/>
      <c r="G1044" s="34" t="n"/>
      <c r="H1044" s="37" t="n"/>
      <c r="I1044" s="37" t="n"/>
      <c r="J1044" s="34" t="n"/>
      <c r="K1044" s="34" t="n"/>
      <c r="L1044" s="34" t="n"/>
      <c r="M1044" s="39" t="n"/>
      <c r="N1044" s="35" t="n"/>
      <c r="O1044" s="40" t="str">
        <f>IF($A1044="","",MONTH($A1044))</f>
        <v/>
      </c>
      <c r="P1044" s="40" t="str">
        <f>IF($A1044="","",YEAR($A1044))</f>
        <v/>
      </c>
      <c r="Q1044" s="41" t="str">
        <f>IF($A1044="","",DATE(P1044,O1044,1))</f>
        <v/>
      </c>
      <c r="R1044" s="36" t="str">
        <f>IF(OR($A1044="",$N1044=""),"",IF(AND($C1044&lt;&gt;"Transferência",N($I1044)&gt;1),$N1044/$I1044,$N1044))</f>
        <v/>
      </c>
      <c r="S1044" s="41" t="str">
        <f>IF(OR($A1044="",$F1044="",$C1044&lt;&gt;"Despesa"),"",IF(COUNTIF(Cartoes_Nome,$F1044)=0,"",DATE(P1044,O1044+IF(DAY($A1044)&gt;=INDEX(Cartoes_Fech,MATCH($F1044,Cartoes_Nome,0)),1,0),1)))</f>
        <v/>
      </c>
      <c r="T1044" s="42" t="str">
        <f>IF($A1044="","",IF(COUNTIFS(L_Data,$A1044,L_Desc,$B1044,L_Valor,$N1044,L_Tipo,$C1044)&gt;1,"⚠ Possível duplicidade",IF(OR(AND($C1044="Despesa",COUNTIF(CatD_Nome,$D1044)=0),AND($C1044="Receita",COUNTIF(CatR_Nome,$D1044)=0)),"⚠ Categoria não combina com o tipo",IF(OR($N1044="",$C1044=""),"⚠ Falta valor ou tipo",""))))</f>
        <v/>
      </c>
      <c r="U1044" s="40">
        <f>IF($A1044="",0,P1044*12+O1044)</f>
        <v>0</v>
      </c>
      <c r="V1044" s="40">
        <f>IF($A1044="",0,U1044+MAX(0,N($I1044)-MAX(N($H1044),1)))</f>
        <v>0</v>
      </c>
      <c r="W1044" s="40">
        <f>IF(S1044="",0,YEAR(S1044)*12+MONTH(S1044))</f>
        <v>0</v>
      </c>
      <c r="X1044" s="40">
        <f>IF(W1044=0,0,W1044+V1044-U1044)</f>
        <v>0</v>
      </c>
      <c r="Y1044" s="36">
        <f>IF(W1044=0,0,N(R1044)*MAX(0,X1044-MAX(W1044,YEAR(Cfg_Hoje)*12+MONTH(Cfg_Hoje)+IF(DAY(Cfg_Hoje)&gt;=INDEX(Cartoes_Fech,MATCH($F1044,Cartoes_Nome,0)),1,0))+1))</f>
        <v>0</v>
      </c>
      <c r="Z1044" s="40">
        <f>IF($A1044="",0,DAY($A1044))</f>
        <v>0</v>
      </c>
      <c r="AA1044" s="40">
        <f>IF($A1044="",0,WEEKDAY($A1044))</f>
        <v>0</v>
      </c>
      <c r="AB1044" s="36">
        <f>IF(AND($C1044="Despesa",U1044&gt;0,U1044&lt;=Sel_Idx,V1044&gt;=Sel_Idx),N(R1044)+ROW()/1000000000,0)</f>
        <v>0</v>
      </c>
      <c r="AC1044" s="40">
        <f>IF(AND($C1044="Despesa",U1044&gt;0,U1044&lt;=Sel_Idx,V1044&gt;=Sel_Idx),Z1044*10000+ROW(),0)</f>
        <v>0</v>
      </c>
      <c r="AD1044" s="40">
        <f>IF(AC1044=0,0,COUNTIFS(L_CalChave,"&gt;0",L_CalChave,"&lt;"&amp;AC1044)+1)</f>
        <v>0</v>
      </c>
    </row>
    <row r="1045">
      <c r="A1045" s="38" t="n"/>
      <c r="B1045" s="39" t="n"/>
      <c r="C1045" s="34" t="n"/>
      <c r="D1045" s="34" t="n"/>
      <c r="E1045" s="34" t="n"/>
      <c r="F1045" s="34" t="n"/>
      <c r="G1045" s="34" t="n"/>
      <c r="H1045" s="37" t="n"/>
      <c r="I1045" s="37" t="n"/>
      <c r="J1045" s="34" t="n"/>
      <c r="K1045" s="34" t="n"/>
      <c r="L1045" s="34" t="n"/>
      <c r="M1045" s="39" t="n"/>
      <c r="N1045" s="35" t="n"/>
      <c r="O1045" s="40" t="str">
        <f>IF($A1045="","",MONTH($A1045))</f>
        <v/>
      </c>
      <c r="P1045" s="40" t="str">
        <f>IF($A1045="","",YEAR($A1045))</f>
        <v/>
      </c>
      <c r="Q1045" s="41" t="str">
        <f>IF($A1045="","",DATE(P1045,O1045,1))</f>
        <v/>
      </c>
      <c r="R1045" s="36" t="str">
        <f>IF(OR($A1045="",$N1045=""),"",IF(AND($C1045&lt;&gt;"Transferência",N($I1045)&gt;1),$N1045/$I1045,$N1045))</f>
        <v/>
      </c>
      <c r="S1045" s="41" t="str">
        <f>IF(OR($A1045="",$F1045="",$C1045&lt;&gt;"Despesa"),"",IF(COUNTIF(Cartoes_Nome,$F1045)=0,"",DATE(P1045,O1045+IF(DAY($A1045)&gt;=INDEX(Cartoes_Fech,MATCH($F1045,Cartoes_Nome,0)),1,0),1)))</f>
        <v/>
      </c>
      <c r="T1045" s="42" t="str">
        <f>IF($A1045="","",IF(COUNTIFS(L_Data,$A1045,L_Desc,$B1045,L_Valor,$N1045,L_Tipo,$C1045)&gt;1,"⚠ Possível duplicidade",IF(OR(AND($C1045="Despesa",COUNTIF(CatD_Nome,$D1045)=0),AND($C1045="Receita",COUNTIF(CatR_Nome,$D1045)=0)),"⚠ Categoria não combina com o tipo",IF(OR($N1045="",$C1045=""),"⚠ Falta valor ou tipo",""))))</f>
        <v/>
      </c>
      <c r="U1045" s="40">
        <f>IF($A1045="",0,P1045*12+O1045)</f>
        <v>0</v>
      </c>
      <c r="V1045" s="40">
        <f>IF($A1045="",0,U1045+MAX(0,N($I1045)-MAX(N($H1045),1)))</f>
        <v>0</v>
      </c>
      <c r="W1045" s="40">
        <f>IF(S1045="",0,YEAR(S1045)*12+MONTH(S1045))</f>
        <v>0</v>
      </c>
      <c r="X1045" s="40">
        <f>IF(W1045=0,0,W1045+V1045-U1045)</f>
        <v>0</v>
      </c>
      <c r="Y1045" s="36">
        <f>IF(W1045=0,0,N(R1045)*MAX(0,X1045-MAX(W1045,YEAR(Cfg_Hoje)*12+MONTH(Cfg_Hoje)+IF(DAY(Cfg_Hoje)&gt;=INDEX(Cartoes_Fech,MATCH($F1045,Cartoes_Nome,0)),1,0))+1))</f>
        <v>0</v>
      </c>
      <c r="Z1045" s="40">
        <f>IF($A1045="",0,DAY($A1045))</f>
        <v>0</v>
      </c>
      <c r="AA1045" s="40">
        <f>IF($A1045="",0,WEEKDAY($A1045))</f>
        <v>0</v>
      </c>
      <c r="AB1045" s="36">
        <f>IF(AND($C1045="Despesa",U1045&gt;0,U1045&lt;=Sel_Idx,V1045&gt;=Sel_Idx),N(R1045)+ROW()/1000000000,0)</f>
        <v>0</v>
      </c>
      <c r="AC1045" s="40">
        <f>IF(AND($C1045="Despesa",U1045&gt;0,U1045&lt;=Sel_Idx,V1045&gt;=Sel_Idx),Z1045*10000+ROW(),0)</f>
        <v>0</v>
      </c>
      <c r="AD1045" s="40">
        <f>IF(AC1045=0,0,COUNTIFS(L_CalChave,"&gt;0",L_CalChave,"&lt;"&amp;AC1045)+1)</f>
        <v>0</v>
      </c>
    </row>
    <row r="1046">
      <c r="A1046" s="38" t="n"/>
      <c r="B1046" s="39" t="n"/>
      <c r="C1046" s="34" t="n"/>
      <c r="D1046" s="34" t="n"/>
      <c r="E1046" s="34" t="n"/>
      <c r="F1046" s="34" t="n"/>
      <c r="G1046" s="34" t="n"/>
      <c r="H1046" s="37" t="n"/>
      <c r="I1046" s="37" t="n"/>
      <c r="J1046" s="34" t="n"/>
      <c r="K1046" s="34" t="n"/>
      <c r="L1046" s="34" t="n"/>
      <c r="M1046" s="39" t="n"/>
      <c r="N1046" s="35" t="n"/>
      <c r="O1046" s="40" t="str">
        <f>IF($A1046="","",MONTH($A1046))</f>
        <v/>
      </c>
      <c r="P1046" s="40" t="str">
        <f>IF($A1046="","",YEAR($A1046))</f>
        <v/>
      </c>
      <c r="Q1046" s="41" t="str">
        <f>IF($A1046="","",DATE(P1046,O1046,1))</f>
        <v/>
      </c>
      <c r="R1046" s="36" t="str">
        <f>IF(OR($A1046="",$N1046=""),"",IF(AND($C1046&lt;&gt;"Transferência",N($I1046)&gt;1),$N1046/$I1046,$N1046))</f>
        <v/>
      </c>
      <c r="S1046" s="41" t="str">
        <f>IF(OR($A1046="",$F1046="",$C1046&lt;&gt;"Despesa"),"",IF(COUNTIF(Cartoes_Nome,$F1046)=0,"",DATE(P1046,O1046+IF(DAY($A1046)&gt;=INDEX(Cartoes_Fech,MATCH($F1046,Cartoes_Nome,0)),1,0),1)))</f>
        <v/>
      </c>
      <c r="T1046" s="42" t="str">
        <f>IF($A1046="","",IF(COUNTIFS(L_Data,$A1046,L_Desc,$B1046,L_Valor,$N1046,L_Tipo,$C1046)&gt;1,"⚠ Possível duplicidade",IF(OR(AND($C1046="Despesa",COUNTIF(CatD_Nome,$D1046)=0),AND($C1046="Receita",COUNTIF(CatR_Nome,$D1046)=0)),"⚠ Categoria não combina com o tipo",IF(OR($N1046="",$C1046=""),"⚠ Falta valor ou tipo",""))))</f>
        <v/>
      </c>
      <c r="U1046" s="40">
        <f>IF($A1046="",0,P1046*12+O1046)</f>
        <v>0</v>
      </c>
      <c r="V1046" s="40">
        <f>IF($A1046="",0,U1046+MAX(0,N($I1046)-MAX(N($H1046),1)))</f>
        <v>0</v>
      </c>
      <c r="W1046" s="40">
        <f>IF(S1046="",0,YEAR(S1046)*12+MONTH(S1046))</f>
        <v>0</v>
      </c>
      <c r="X1046" s="40">
        <f>IF(W1046=0,0,W1046+V1046-U1046)</f>
        <v>0</v>
      </c>
      <c r="Y1046" s="36">
        <f>IF(W1046=0,0,N(R1046)*MAX(0,X1046-MAX(W1046,YEAR(Cfg_Hoje)*12+MONTH(Cfg_Hoje)+IF(DAY(Cfg_Hoje)&gt;=INDEX(Cartoes_Fech,MATCH($F1046,Cartoes_Nome,0)),1,0))+1))</f>
        <v>0</v>
      </c>
      <c r="Z1046" s="40">
        <f>IF($A1046="",0,DAY($A1046))</f>
        <v>0</v>
      </c>
      <c r="AA1046" s="40">
        <f>IF($A1046="",0,WEEKDAY($A1046))</f>
        <v>0</v>
      </c>
      <c r="AB1046" s="36">
        <f>IF(AND($C1046="Despesa",U1046&gt;0,U1046&lt;=Sel_Idx,V1046&gt;=Sel_Idx),N(R1046)+ROW()/1000000000,0)</f>
        <v>0</v>
      </c>
      <c r="AC1046" s="40">
        <f>IF(AND($C1046="Despesa",U1046&gt;0,U1046&lt;=Sel_Idx,V1046&gt;=Sel_Idx),Z1046*10000+ROW(),0)</f>
        <v>0</v>
      </c>
      <c r="AD1046" s="40">
        <f>IF(AC1046=0,0,COUNTIFS(L_CalChave,"&gt;0",L_CalChave,"&lt;"&amp;AC1046)+1)</f>
        <v>0</v>
      </c>
    </row>
    <row r="1047">
      <c r="A1047" s="38" t="n"/>
      <c r="B1047" s="39" t="n"/>
      <c r="C1047" s="34" t="n"/>
      <c r="D1047" s="34" t="n"/>
      <c r="E1047" s="34" t="n"/>
      <c r="F1047" s="34" t="n"/>
      <c r="G1047" s="34" t="n"/>
      <c r="H1047" s="37" t="n"/>
      <c r="I1047" s="37" t="n"/>
      <c r="J1047" s="34" t="n"/>
      <c r="K1047" s="34" t="n"/>
      <c r="L1047" s="34" t="n"/>
      <c r="M1047" s="39" t="n"/>
      <c r="N1047" s="35" t="n"/>
      <c r="O1047" s="40" t="str">
        <f>IF($A1047="","",MONTH($A1047))</f>
        <v/>
      </c>
      <c r="P1047" s="40" t="str">
        <f>IF($A1047="","",YEAR($A1047))</f>
        <v/>
      </c>
      <c r="Q1047" s="41" t="str">
        <f>IF($A1047="","",DATE(P1047,O1047,1))</f>
        <v/>
      </c>
      <c r="R1047" s="36" t="str">
        <f>IF(OR($A1047="",$N1047=""),"",IF(AND($C1047&lt;&gt;"Transferência",N($I1047)&gt;1),$N1047/$I1047,$N1047))</f>
        <v/>
      </c>
      <c r="S1047" s="41" t="str">
        <f>IF(OR($A1047="",$F1047="",$C1047&lt;&gt;"Despesa"),"",IF(COUNTIF(Cartoes_Nome,$F1047)=0,"",DATE(P1047,O1047+IF(DAY($A1047)&gt;=INDEX(Cartoes_Fech,MATCH($F1047,Cartoes_Nome,0)),1,0),1)))</f>
        <v/>
      </c>
      <c r="T1047" s="42" t="str">
        <f>IF($A1047="","",IF(COUNTIFS(L_Data,$A1047,L_Desc,$B1047,L_Valor,$N1047,L_Tipo,$C1047)&gt;1,"⚠ Possível duplicidade",IF(OR(AND($C1047="Despesa",COUNTIF(CatD_Nome,$D1047)=0),AND($C1047="Receita",COUNTIF(CatR_Nome,$D1047)=0)),"⚠ Categoria não combina com o tipo",IF(OR($N1047="",$C1047=""),"⚠ Falta valor ou tipo",""))))</f>
        <v/>
      </c>
      <c r="U1047" s="40">
        <f>IF($A1047="",0,P1047*12+O1047)</f>
        <v>0</v>
      </c>
      <c r="V1047" s="40">
        <f>IF($A1047="",0,U1047+MAX(0,N($I1047)-MAX(N($H1047),1)))</f>
        <v>0</v>
      </c>
      <c r="W1047" s="40">
        <f>IF(S1047="",0,YEAR(S1047)*12+MONTH(S1047))</f>
        <v>0</v>
      </c>
      <c r="X1047" s="40">
        <f>IF(W1047=0,0,W1047+V1047-U1047)</f>
        <v>0</v>
      </c>
      <c r="Y1047" s="36">
        <f>IF(W1047=0,0,N(R1047)*MAX(0,X1047-MAX(W1047,YEAR(Cfg_Hoje)*12+MONTH(Cfg_Hoje)+IF(DAY(Cfg_Hoje)&gt;=INDEX(Cartoes_Fech,MATCH($F1047,Cartoes_Nome,0)),1,0))+1))</f>
        <v>0</v>
      </c>
      <c r="Z1047" s="40">
        <f>IF($A1047="",0,DAY($A1047))</f>
        <v>0</v>
      </c>
      <c r="AA1047" s="40">
        <f>IF($A1047="",0,WEEKDAY($A1047))</f>
        <v>0</v>
      </c>
      <c r="AB1047" s="36">
        <f>IF(AND($C1047="Despesa",U1047&gt;0,U1047&lt;=Sel_Idx,V1047&gt;=Sel_Idx),N(R1047)+ROW()/1000000000,0)</f>
        <v>0</v>
      </c>
      <c r="AC1047" s="40">
        <f>IF(AND($C1047="Despesa",U1047&gt;0,U1047&lt;=Sel_Idx,V1047&gt;=Sel_Idx),Z1047*10000+ROW(),0)</f>
        <v>0</v>
      </c>
      <c r="AD1047" s="40">
        <f>IF(AC1047=0,0,COUNTIFS(L_CalChave,"&gt;0",L_CalChave,"&lt;"&amp;AC1047)+1)</f>
        <v>0</v>
      </c>
    </row>
    <row r="1048">
      <c r="A1048" s="38" t="n"/>
      <c r="B1048" s="39" t="n"/>
      <c r="C1048" s="34" t="n"/>
      <c r="D1048" s="34" t="n"/>
      <c r="E1048" s="34" t="n"/>
      <c r="F1048" s="34" t="n"/>
      <c r="G1048" s="34" t="n"/>
      <c r="H1048" s="37" t="n"/>
      <c r="I1048" s="37" t="n"/>
      <c r="J1048" s="34" t="n"/>
      <c r="K1048" s="34" t="n"/>
      <c r="L1048" s="34" t="n"/>
      <c r="M1048" s="39" t="n"/>
      <c r="N1048" s="35" t="n"/>
      <c r="O1048" s="40" t="str">
        <f>IF($A1048="","",MONTH($A1048))</f>
        <v/>
      </c>
      <c r="P1048" s="40" t="str">
        <f>IF($A1048="","",YEAR($A1048))</f>
        <v/>
      </c>
      <c r="Q1048" s="41" t="str">
        <f>IF($A1048="","",DATE(P1048,O1048,1))</f>
        <v/>
      </c>
      <c r="R1048" s="36" t="str">
        <f>IF(OR($A1048="",$N1048=""),"",IF(AND($C1048&lt;&gt;"Transferência",N($I1048)&gt;1),$N1048/$I1048,$N1048))</f>
        <v/>
      </c>
      <c r="S1048" s="41" t="str">
        <f>IF(OR($A1048="",$F1048="",$C1048&lt;&gt;"Despesa"),"",IF(COUNTIF(Cartoes_Nome,$F1048)=0,"",DATE(P1048,O1048+IF(DAY($A1048)&gt;=INDEX(Cartoes_Fech,MATCH($F1048,Cartoes_Nome,0)),1,0),1)))</f>
        <v/>
      </c>
      <c r="T1048" s="42" t="str">
        <f>IF($A1048="","",IF(COUNTIFS(L_Data,$A1048,L_Desc,$B1048,L_Valor,$N1048,L_Tipo,$C1048)&gt;1,"⚠ Possível duplicidade",IF(OR(AND($C1048="Despesa",COUNTIF(CatD_Nome,$D1048)=0),AND($C1048="Receita",COUNTIF(CatR_Nome,$D1048)=0)),"⚠ Categoria não combina com o tipo",IF(OR($N1048="",$C1048=""),"⚠ Falta valor ou tipo",""))))</f>
        <v/>
      </c>
      <c r="U1048" s="40">
        <f>IF($A1048="",0,P1048*12+O1048)</f>
        <v>0</v>
      </c>
      <c r="V1048" s="40">
        <f>IF($A1048="",0,U1048+MAX(0,N($I1048)-MAX(N($H1048),1)))</f>
        <v>0</v>
      </c>
      <c r="W1048" s="40">
        <f>IF(S1048="",0,YEAR(S1048)*12+MONTH(S1048))</f>
        <v>0</v>
      </c>
      <c r="X1048" s="40">
        <f>IF(W1048=0,0,W1048+V1048-U1048)</f>
        <v>0</v>
      </c>
      <c r="Y1048" s="36">
        <f>IF(W1048=0,0,N(R1048)*MAX(0,X1048-MAX(W1048,YEAR(Cfg_Hoje)*12+MONTH(Cfg_Hoje)+IF(DAY(Cfg_Hoje)&gt;=INDEX(Cartoes_Fech,MATCH($F1048,Cartoes_Nome,0)),1,0))+1))</f>
        <v>0</v>
      </c>
      <c r="Z1048" s="40">
        <f>IF($A1048="",0,DAY($A1048))</f>
        <v>0</v>
      </c>
      <c r="AA1048" s="40">
        <f>IF($A1048="",0,WEEKDAY($A1048))</f>
        <v>0</v>
      </c>
      <c r="AB1048" s="36">
        <f>IF(AND($C1048="Despesa",U1048&gt;0,U1048&lt;=Sel_Idx,V1048&gt;=Sel_Idx),N(R1048)+ROW()/1000000000,0)</f>
        <v>0</v>
      </c>
      <c r="AC1048" s="40">
        <f>IF(AND($C1048="Despesa",U1048&gt;0,U1048&lt;=Sel_Idx,V1048&gt;=Sel_Idx),Z1048*10000+ROW(),0)</f>
        <v>0</v>
      </c>
      <c r="AD1048" s="40">
        <f>IF(AC1048=0,0,COUNTIFS(L_CalChave,"&gt;0",L_CalChave,"&lt;"&amp;AC1048)+1)</f>
        <v>0</v>
      </c>
    </row>
    <row r="1049">
      <c r="A1049" s="38" t="n"/>
      <c r="B1049" s="39" t="n"/>
      <c r="C1049" s="34" t="n"/>
      <c r="D1049" s="34" t="n"/>
      <c r="E1049" s="34" t="n"/>
      <c r="F1049" s="34" t="n"/>
      <c r="G1049" s="34" t="n"/>
      <c r="H1049" s="37" t="n"/>
      <c r="I1049" s="37" t="n"/>
      <c r="J1049" s="34" t="n"/>
      <c r="K1049" s="34" t="n"/>
      <c r="L1049" s="34" t="n"/>
      <c r="M1049" s="39" t="n"/>
      <c r="N1049" s="35" t="n"/>
      <c r="O1049" s="40" t="str">
        <f>IF($A1049="","",MONTH($A1049))</f>
        <v/>
      </c>
      <c r="P1049" s="40" t="str">
        <f>IF($A1049="","",YEAR($A1049))</f>
        <v/>
      </c>
      <c r="Q1049" s="41" t="str">
        <f>IF($A1049="","",DATE(P1049,O1049,1))</f>
        <v/>
      </c>
      <c r="R1049" s="36" t="str">
        <f>IF(OR($A1049="",$N1049=""),"",IF(AND($C1049&lt;&gt;"Transferência",N($I1049)&gt;1),$N1049/$I1049,$N1049))</f>
        <v/>
      </c>
      <c r="S1049" s="41" t="str">
        <f>IF(OR($A1049="",$F1049="",$C1049&lt;&gt;"Despesa"),"",IF(COUNTIF(Cartoes_Nome,$F1049)=0,"",DATE(P1049,O1049+IF(DAY($A1049)&gt;=INDEX(Cartoes_Fech,MATCH($F1049,Cartoes_Nome,0)),1,0),1)))</f>
        <v/>
      </c>
      <c r="T1049" s="42" t="str">
        <f>IF($A1049="","",IF(COUNTIFS(L_Data,$A1049,L_Desc,$B1049,L_Valor,$N1049,L_Tipo,$C1049)&gt;1,"⚠ Possível duplicidade",IF(OR(AND($C1049="Despesa",COUNTIF(CatD_Nome,$D1049)=0),AND($C1049="Receita",COUNTIF(CatR_Nome,$D1049)=0)),"⚠ Categoria não combina com o tipo",IF(OR($N1049="",$C1049=""),"⚠ Falta valor ou tipo",""))))</f>
        <v/>
      </c>
      <c r="U1049" s="40">
        <f>IF($A1049="",0,P1049*12+O1049)</f>
        <v>0</v>
      </c>
      <c r="V1049" s="40">
        <f>IF($A1049="",0,U1049+MAX(0,N($I1049)-MAX(N($H1049),1)))</f>
        <v>0</v>
      </c>
      <c r="W1049" s="40">
        <f>IF(S1049="",0,YEAR(S1049)*12+MONTH(S1049))</f>
        <v>0</v>
      </c>
      <c r="X1049" s="40">
        <f>IF(W1049=0,0,W1049+V1049-U1049)</f>
        <v>0</v>
      </c>
      <c r="Y1049" s="36">
        <f>IF(W1049=0,0,N(R1049)*MAX(0,X1049-MAX(W1049,YEAR(Cfg_Hoje)*12+MONTH(Cfg_Hoje)+IF(DAY(Cfg_Hoje)&gt;=INDEX(Cartoes_Fech,MATCH($F1049,Cartoes_Nome,0)),1,0))+1))</f>
        <v>0</v>
      </c>
      <c r="Z1049" s="40">
        <f>IF($A1049="",0,DAY($A1049))</f>
        <v>0</v>
      </c>
      <c r="AA1049" s="40">
        <f>IF($A1049="",0,WEEKDAY($A1049))</f>
        <v>0</v>
      </c>
      <c r="AB1049" s="36">
        <f>IF(AND($C1049="Despesa",U1049&gt;0,U1049&lt;=Sel_Idx,V1049&gt;=Sel_Idx),N(R1049)+ROW()/1000000000,0)</f>
        <v>0</v>
      </c>
      <c r="AC1049" s="40">
        <f>IF(AND($C1049="Despesa",U1049&gt;0,U1049&lt;=Sel_Idx,V1049&gt;=Sel_Idx),Z1049*10000+ROW(),0)</f>
        <v>0</v>
      </c>
      <c r="AD1049" s="40">
        <f>IF(AC1049=0,0,COUNTIFS(L_CalChave,"&gt;0",L_CalChave,"&lt;"&amp;AC1049)+1)</f>
        <v>0</v>
      </c>
    </row>
    <row r="1050">
      <c r="A1050" s="38" t="n"/>
      <c r="B1050" s="39" t="n"/>
      <c r="C1050" s="34" t="n"/>
      <c r="D1050" s="34" t="n"/>
      <c r="E1050" s="34" t="n"/>
      <c r="F1050" s="34" t="n"/>
      <c r="G1050" s="34" t="n"/>
      <c r="H1050" s="37" t="n"/>
      <c r="I1050" s="37" t="n"/>
      <c r="J1050" s="34" t="n"/>
      <c r="K1050" s="34" t="n"/>
      <c r="L1050" s="34" t="n"/>
      <c r="M1050" s="39" t="n"/>
      <c r="N1050" s="35" t="n"/>
      <c r="O1050" s="40" t="str">
        <f>IF($A1050="","",MONTH($A1050))</f>
        <v/>
      </c>
      <c r="P1050" s="40" t="str">
        <f>IF($A1050="","",YEAR($A1050))</f>
        <v/>
      </c>
      <c r="Q1050" s="41" t="str">
        <f>IF($A1050="","",DATE(P1050,O1050,1))</f>
        <v/>
      </c>
      <c r="R1050" s="36" t="str">
        <f>IF(OR($A1050="",$N1050=""),"",IF(AND($C1050&lt;&gt;"Transferência",N($I1050)&gt;1),$N1050/$I1050,$N1050))</f>
        <v/>
      </c>
      <c r="S1050" s="41" t="str">
        <f>IF(OR($A1050="",$F1050="",$C1050&lt;&gt;"Despesa"),"",IF(COUNTIF(Cartoes_Nome,$F1050)=0,"",DATE(P1050,O1050+IF(DAY($A1050)&gt;=INDEX(Cartoes_Fech,MATCH($F1050,Cartoes_Nome,0)),1,0),1)))</f>
        <v/>
      </c>
      <c r="T1050" s="42" t="str">
        <f>IF($A1050="","",IF(COUNTIFS(L_Data,$A1050,L_Desc,$B1050,L_Valor,$N1050,L_Tipo,$C1050)&gt;1,"⚠ Possível duplicidade",IF(OR(AND($C1050="Despesa",COUNTIF(CatD_Nome,$D1050)=0),AND($C1050="Receita",COUNTIF(CatR_Nome,$D1050)=0)),"⚠ Categoria não combina com o tipo",IF(OR($N1050="",$C1050=""),"⚠ Falta valor ou tipo",""))))</f>
        <v/>
      </c>
      <c r="U1050" s="40">
        <f>IF($A1050="",0,P1050*12+O1050)</f>
        <v>0</v>
      </c>
      <c r="V1050" s="40">
        <f>IF($A1050="",0,U1050+MAX(0,N($I1050)-MAX(N($H1050),1)))</f>
        <v>0</v>
      </c>
      <c r="W1050" s="40">
        <f>IF(S1050="",0,YEAR(S1050)*12+MONTH(S1050))</f>
        <v>0</v>
      </c>
      <c r="X1050" s="40">
        <f>IF(W1050=0,0,W1050+V1050-U1050)</f>
        <v>0</v>
      </c>
      <c r="Y1050" s="36">
        <f>IF(W1050=0,0,N(R1050)*MAX(0,X1050-MAX(W1050,YEAR(Cfg_Hoje)*12+MONTH(Cfg_Hoje)+IF(DAY(Cfg_Hoje)&gt;=INDEX(Cartoes_Fech,MATCH($F1050,Cartoes_Nome,0)),1,0))+1))</f>
        <v>0</v>
      </c>
      <c r="Z1050" s="40">
        <f>IF($A1050="",0,DAY($A1050))</f>
        <v>0</v>
      </c>
      <c r="AA1050" s="40">
        <f>IF($A1050="",0,WEEKDAY($A1050))</f>
        <v>0</v>
      </c>
      <c r="AB1050" s="36">
        <f>IF(AND($C1050="Despesa",U1050&gt;0,U1050&lt;=Sel_Idx,V1050&gt;=Sel_Idx),N(R1050)+ROW()/1000000000,0)</f>
        <v>0</v>
      </c>
      <c r="AC1050" s="40">
        <f>IF(AND($C1050="Despesa",U1050&gt;0,U1050&lt;=Sel_Idx,V1050&gt;=Sel_Idx),Z1050*10000+ROW(),0)</f>
        <v>0</v>
      </c>
      <c r="AD1050" s="40">
        <f>IF(AC1050=0,0,COUNTIFS(L_CalChave,"&gt;0",L_CalChave,"&lt;"&amp;AC1050)+1)</f>
        <v>0</v>
      </c>
    </row>
    <row r="1051">
      <c r="A1051" s="38" t="n"/>
      <c r="B1051" s="39" t="n"/>
      <c r="C1051" s="34" t="n"/>
      <c r="D1051" s="34" t="n"/>
      <c r="E1051" s="34" t="n"/>
      <c r="F1051" s="34" t="n"/>
      <c r="G1051" s="34" t="n"/>
      <c r="H1051" s="37" t="n"/>
      <c r="I1051" s="37" t="n"/>
      <c r="J1051" s="34" t="n"/>
      <c r="K1051" s="34" t="n"/>
      <c r="L1051" s="34" t="n"/>
      <c r="M1051" s="39" t="n"/>
      <c r="N1051" s="35" t="n"/>
      <c r="O1051" s="40" t="str">
        <f>IF($A1051="","",MONTH($A1051))</f>
        <v/>
      </c>
      <c r="P1051" s="40" t="str">
        <f>IF($A1051="","",YEAR($A1051))</f>
        <v/>
      </c>
      <c r="Q1051" s="41" t="str">
        <f>IF($A1051="","",DATE(P1051,O1051,1))</f>
        <v/>
      </c>
      <c r="R1051" s="36" t="str">
        <f>IF(OR($A1051="",$N1051=""),"",IF(AND($C1051&lt;&gt;"Transferência",N($I1051)&gt;1),$N1051/$I1051,$N1051))</f>
        <v/>
      </c>
      <c r="S1051" s="41" t="str">
        <f>IF(OR($A1051="",$F1051="",$C1051&lt;&gt;"Despesa"),"",IF(COUNTIF(Cartoes_Nome,$F1051)=0,"",DATE(P1051,O1051+IF(DAY($A1051)&gt;=INDEX(Cartoes_Fech,MATCH($F1051,Cartoes_Nome,0)),1,0),1)))</f>
        <v/>
      </c>
      <c r="T1051" s="42" t="str">
        <f>IF($A1051="","",IF(COUNTIFS(L_Data,$A1051,L_Desc,$B1051,L_Valor,$N1051,L_Tipo,$C1051)&gt;1,"⚠ Possível duplicidade",IF(OR(AND($C1051="Despesa",COUNTIF(CatD_Nome,$D1051)=0),AND($C1051="Receita",COUNTIF(CatR_Nome,$D1051)=0)),"⚠ Categoria não combina com o tipo",IF(OR($N1051="",$C1051=""),"⚠ Falta valor ou tipo",""))))</f>
        <v/>
      </c>
      <c r="U1051" s="40">
        <f>IF($A1051="",0,P1051*12+O1051)</f>
        <v>0</v>
      </c>
      <c r="V1051" s="40">
        <f>IF($A1051="",0,U1051+MAX(0,N($I1051)-MAX(N($H1051),1)))</f>
        <v>0</v>
      </c>
      <c r="W1051" s="40">
        <f>IF(S1051="",0,YEAR(S1051)*12+MONTH(S1051))</f>
        <v>0</v>
      </c>
      <c r="X1051" s="40">
        <f>IF(W1051=0,0,W1051+V1051-U1051)</f>
        <v>0</v>
      </c>
      <c r="Y1051" s="36">
        <f>IF(W1051=0,0,N(R1051)*MAX(0,X1051-MAX(W1051,YEAR(Cfg_Hoje)*12+MONTH(Cfg_Hoje)+IF(DAY(Cfg_Hoje)&gt;=INDEX(Cartoes_Fech,MATCH($F1051,Cartoes_Nome,0)),1,0))+1))</f>
        <v>0</v>
      </c>
      <c r="Z1051" s="40">
        <f>IF($A1051="",0,DAY($A1051))</f>
        <v>0</v>
      </c>
      <c r="AA1051" s="40">
        <f>IF($A1051="",0,WEEKDAY($A1051))</f>
        <v>0</v>
      </c>
      <c r="AB1051" s="36">
        <f>IF(AND($C1051="Despesa",U1051&gt;0,U1051&lt;=Sel_Idx,V1051&gt;=Sel_Idx),N(R1051)+ROW()/1000000000,0)</f>
        <v>0</v>
      </c>
      <c r="AC1051" s="40">
        <f>IF(AND($C1051="Despesa",U1051&gt;0,U1051&lt;=Sel_Idx,V1051&gt;=Sel_Idx),Z1051*10000+ROW(),0)</f>
        <v>0</v>
      </c>
      <c r="AD1051" s="40">
        <f>IF(AC1051=0,0,COUNTIFS(L_CalChave,"&gt;0",L_CalChave,"&lt;"&amp;AC1051)+1)</f>
        <v>0</v>
      </c>
    </row>
    <row r="1052">
      <c r="A1052" s="38" t="n"/>
      <c r="B1052" s="39" t="n"/>
      <c r="C1052" s="34" t="n"/>
      <c r="D1052" s="34" t="n"/>
      <c r="E1052" s="34" t="n"/>
      <c r="F1052" s="34" t="n"/>
      <c r="G1052" s="34" t="n"/>
      <c r="H1052" s="37" t="n"/>
      <c r="I1052" s="37" t="n"/>
      <c r="J1052" s="34" t="n"/>
      <c r="K1052" s="34" t="n"/>
      <c r="L1052" s="34" t="n"/>
      <c r="M1052" s="39" t="n"/>
      <c r="N1052" s="35" t="n"/>
      <c r="O1052" s="40" t="str">
        <f>IF($A1052="","",MONTH($A1052))</f>
        <v/>
      </c>
      <c r="P1052" s="40" t="str">
        <f>IF($A1052="","",YEAR($A1052))</f>
        <v/>
      </c>
      <c r="Q1052" s="41" t="str">
        <f>IF($A1052="","",DATE(P1052,O1052,1))</f>
        <v/>
      </c>
      <c r="R1052" s="36" t="str">
        <f>IF(OR($A1052="",$N1052=""),"",IF(AND($C1052&lt;&gt;"Transferência",N($I1052)&gt;1),$N1052/$I1052,$N1052))</f>
        <v/>
      </c>
      <c r="S1052" s="41" t="str">
        <f>IF(OR($A1052="",$F1052="",$C1052&lt;&gt;"Despesa"),"",IF(COUNTIF(Cartoes_Nome,$F1052)=0,"",DATE(P1052,O1052+IF(DAY($A1052)&gt;=INDEX(Cartoes_Fech,MATCH($F1052,Cartoes_Nome,0)),1,0),1)))</f>
        <v/>
      </c>
      <c r="T1052" s="42" t="str">
        <f>IF($A1052="","",IF(COUNTIFS(L_Data,$A1052,L_Desc,$B1052,L_Valor,$N1052,L_Tipo,$C1052)&gt;1,"⚠ Possível duplicidade",IF(OR(AND($C1052="Despesa",COUNTIF(CatD_Nome,$D1052)=0),AND($C1052="Receita",COUNTIF(CatR_Nome,$D1052)=0)),"⚠ Categoria não combina com o tipo",IF(OR($N1052="",$C1052=""),"⚠ Falta valor ou tipo",""))))</f>
        <v/>
      </c>
      <c r="U1052" s="40">
        <f>IF($A1052="",0,P1052*12+O1052)</f>
        <v>0</v>
      </c>
      <c r="V1052" s="40">
        <f>IF($A1052="",0,U1052+MAX(0,N($I1052)-MAX(N($H1052),1)))</f>
        <v>0</v>
      </c>
      <c r="W1052" s="40">
        <f>IF(S1052="",0,YEAR(S1052)*12+MONTH(S1052))</f>
        <v>0</v>
      </c>
      <c r="X1052" s="40">
        <f>IF(W1052=0,0,W1052+V1052-U1052)</f>
        <v>0</v>
      </c>
      <c r="Y1052" s="36">
        <f>IF(W1052=0,0,N(R1052)*MAX(0,X1052-MAX(W1052,YEAR(Cfg_Hoje)*12+MONTH(Cfg_Hoje)+IF(DAY(Cfg_Hoje)&gt;=INDEX(Cartoes_Fech,MATCH($F1052,Cartoes_Nome,0)),1,0))+1))</f>
        <v>0</v>
      </c>
      <c r="Z1052" s="40">
        <f>IF($A1052="",0,DAY($A1052))</f>
        <v>0</v>
      </c>
      <c r="AA1052" s="40">
        <f>IF($A1052="",0,WEEKDAY($A1052))</f>
        <v>0</v>
      </c>
      <c r="AB1052" s="36">
        <f>IF(AND($C1052="Despesa",U1052&gt;0,U1052&lt;=Sel_Idx,V1052&gt;=Sel_Idx),N(R1052)+ROW()/1000000000,0)</f>
        <v>0</v>
      </c>
      <c r="AC1052" s="40">
        <f>IF(AND($C1052="Despesa",U1052&gt;0,U1052&lt;=Sel_Idx,V1052&gt;=Sel_Idx),Z1052*10000+ROW(),0)</f>
        <v>0</v>
      </c>
      <c r="AD1052" s="40">
        <f>IF(AC1052=0,0,COUNTIFS(L_CalChave,"&gt;0",L_CalChave,"&lt;"&amp;AC1052)+1)</f>
        <v>0</v>
      </c>
    </row>
    <row r="1053">
      <c r="A1053" s="38" t="n"/>
      <c r="B1053" s="39" t="n"/>
      <c r="C1053" s="34" t="n"/>
      <c r="D1053" s="34" t="n"/>
      <c r="E1053" s="34" t="n"/>
      <c r="F1053" s="34" t="n"/>
      <c r="G1053" s="34" t="n"/>
      <c r="H1053" s="37" t="n"/>
      <c r="I1053" s="37" t="n"/>
      <c r="J1053" s="34" t="n"/>
      <c r="K1053" s="34" t="n"/>
      <c r="L1053" s="34" t="n"/>
      <c r="M1053" s="39" t="n"/>
      <c r="N1053" s="35" t="n"/>
      <c r="O1053" s="40" t="str">
        <f>IF($A1053="","",MONTH($A1053))</f>
        <v/>
      </c>
      <c r="P1053" s="40" t="str">
        <f>IF($A1053="","",YEAR($A1053))</f>
        <v/>
      </c>
      <c r="Q1053" s="41" t="str">
        <f>IF($A1053="","",DATE(P1053,O1053,1))</f>
        <v/>
      </c>
      <c r="R1053" s="36" t="str">
        <f>IF(OR($A1053="",$N1053=""),"",IF(AND($C1053&lt;&gt;"Transferência",N($I1053)&gt;1),$N1053/$I1053,$N1053))</f>
        <v/>
      </c>
      <c r="S1053" s="41" t="str">
        <f>IF(OR($A1053="",$F1053="",$C1053&lt;&gt;"Despesa"),"",IF(COUNTIF(Cartoes_Nome,$F1053)=0,"",DATE(P1053,O1053+IF(DAY($A1053)&gt;=INDEX(Cartoes_Fech,MATCH($F1053,Cartoes_Nome,0)),1,0),1)))</f>
        <v/>
      </c>
      <c r="T1053" s="42" t="str">
        <f>IF($A1053="","",IF(COUNTIFS(L_Data,$A1053,L_Desc,$B1053,L_Valor,$N1053,L_Tipo,$C1053)&gt;1,"⚠ Possível duplicidade",IF(OR(AND($C1053="Despesa",COUNTIF(CatD_Nome,$D1053)=0),AND($C1053="Receita",COUNTIF(CatR_Nome,$D1053)=0)),"⚠ Categoria não combina com o tipo",IF(OR($N1053="",$C1053=""),"⚠ Falta valor ou tipo",""))))</f>
        <v/>
      </c>
      <c r="U1053" s="40">
        <f>IF($A1053="",0,P1053*12+O1053)</f>
        <v>0</v>
      </c>
      <c r="V1053" s="40">
        <f>IF($A1053="",0,U1053+MAX(0,N($I1053)-MAX(N($H1053),1)))</f>
        <v>0</v>
      </c>
      <c r="W1053" s="40">
        <f>IF(S1053="",0,YEAR(S1053)*12+MONTH(S1053))</f>
        <v>0</v>
      </c>
      <c r="X1053" s="40">
        <f>IF(W1053=0,0,W1053+V1053-U1053)</f>
        <v>0</v>
      </c>
      <c r="Y1053" s="36">
        <f>IF(W1053=0,0,N(R1053)*MAX(0,X1053-MAX(W1053,YEAR(Cfg_Hoje)*12+MONTH(Cfg_Hoje)+IF(DAY(Cfg_Hoje)&gt;=INDEX(Cartoes_Fech,MATCH($F1053,Cartoes_Nome,0)),1,0))+1))</f>
        <v>0</v>
      </c>
      <c r="Z1053" s="40">
        <f>IF($A1053="",0,DAY($A1053))</f>
        <v>0</v>
      </c>
      <c r="AA1053" s="40">
        <f>IF($A1053="",0,WEEKDAY($A1053))</f>
        <v>0</v>
      </c>
      <c r="AB1053" s="36">
        <f>IF(AND($C1053="Despesa",U1053&gt;0,U1053&lt;=Sel_Idx,V1053&gt;=Sel_Idx),N(R1053)+ROW()/1000000000,0)</f>
        <v>0</v>
      </c>
      <c r="AC1053" s="40">
        <f>IF(AND($C1053="Despesa",U1053&gt;0,U1053&lt;=Sel_Idx,V1053&gt;=Sel_Idx),Z1053*10000+ROW(),0)</f>
        <v>0</v>
      </c>
      <c r="AD1053" s="40">
        <f>IF(AC1053=0,0,COUNTIFS(L_CalChave,"&gt;0",L_CalChave,"&lt;"&amp;AC1053)+1)</f>
        <v>0</v>
      </c>
    </row>
    <row r="1054">
      <c r="A1054" s="38" t="n"/>
      <c r="B1054" s="39" t="n"/>
      <c r="C1054" s="34" t="n"/>
      <c r="D1054" s="34" t="n"/>
      <c r="E1054" s="34" t="n"/>
      <c r="F1054" s="34" t="n"/>
      <c r="G1054" s="34" t="n"/>
      <c r="H1054" s="37" t="n"/>
      <c r="I1054" s="37" t="n"/>
      <c r="J1054" s="34" t="n"/>
      <c r="K1054" s="34" t="n"/>
      <c r="L1054" s="34" t="n"/>
      <c r="M1054" s="39" t="n"/>
      <c r="N1054" s="35" t="n"/>
      <c r="O1054" s="40" t="str">
        <f>IF($A1054="","",MONTH($A1054))</f>
        <v/>
      </c>
      <c r="P1054" s="40" t="str">
        <f>IF($A1054="","",YEAR($A1054))</f>
        <v/>
      </c>
      <c r="Q1054" s="41" t="str">
        <f>IF($A1054="","",DATE(P1054,O1054,1))</f>
        <v/>
      </c>
      <c r="R1054" s="36" t="str">
        <f>IF(OR($A1054="",$N1054=""),"",IF(AND($C1054&lt;&gt;"Transferência",N($I1054)&gt;1),$N1054/$I1054,$N1054))</f>
        <v/>
      </c>
      <c r="S1054" s="41" t="str">
        <f>IF(OR($A1054="",$F1054="",$C1054&lt;&gt;"Despesa"),"",IF(COUNTIF(Cartoes_Nome,$F1054)=0,"",DATE(P1054,O1054+IF(DAY($A1054)&gt;=INDEX(Cartoes_Fech,MATCH($F1054,Cartoes_Nome,0)),1,0),1)))</f>
        <v/>
      </c>
      <c r="T1054" s="42" t="str">
        <f>IF($A1054="","",IF(COUNTIFS(L_Data,$A1054,L_Desc,$B1054,L_Valor,$N1054,L_Tipo,$C1054)&gt;1,"⚠ Possível duplicidade",IF(OR(AND($C1054="Despesa",COUNTIF(CatD_Nome,$D1054)=0),AND($C1054="Receita",COUNTIF(CatR_Nome,$D1054)=0)),"⚠ Categoria não combina com o tipo",IF(OR($N1054="",$C1054=""),"⚠ Falta valor ou tipo",""))))</f>
        <v/>
      </c>
      <c r="U1054" s="40">
        <f>IF($A1054="",0,P1054*12+O1054)</f>
        <v>0</v>
      </c>
      <c r="V1054" s="40">
        <f>IF($A1054="",0,U1054+MAX(0,N($I1054)-MAX(N($H1054),1)))</f>
        <v>0</v>
      </c>
      <c r="W1054" s="40">
        <f>IF(S1054="",0,YEAR(S1054)*12+MONTH(S1054))</f>
        <v>0</v>
      </c>
      <c r="X1054" s="40">
        <f>IF(W1054=0,0,W1054+V1054-U1054)</f>
        <v>0</v>
      </c>
      <c r="Y1054" s="36">
        <f>IF(W1054=0,0,N(R1054)*MAX(0,X1054-MAX(W1054,YEAR(Cfg_Hoje)*12+MONTH(Cfg_Hoje)+IF(DAY(Cfg_Hoje)&gt;=INDEX(Cartoes_Fech,MATCH($F1054,Cartoes_Nome,0)),1,0))+1))</f>
        <v>0</v>
      </c>
      <c r="Z1054" s="40">
        <f>IF($A1054="",0,DAY($A1054))</f>
        <v>0</v>
      </c>
      <c r="AA1054" s="40">
        <f>IF($A1054="",0,WEEKDAY($A1054))</f>
        <v>0</v>
      </c>
      <c r="AB1054" s="36">
        <f>IF(AND($C1054="Despesa",U1054&gt;0,U1054&lt;=Sel_Idx,V1054&gt;=Sel_Idx),N(R1054)+ROW()/1000000000,0)</f>
        <v>0</v>
      </c>
      <c r="AC1054" s="40">
        <f>IF(AND($C1054="Despesa",U1054&gt;0,U1054&lt;=Sel_Idx,V1054&gt;=Sel_Idx),Z1054*10000+ROW(),0)</f>
        <v>0</v>
      </c>
      <c r="AD1054" s="40">
        <f>IF(AC1054=0,0,COUNTIFS(L_CalChave,"&gt;0",L_CalChave,"&lt;"&amp;AC1054)+1)</f>
        <v>0</v>
      </c>
    </row>
    <row r="1055">
      <c r="A1055" s="38" t="n"/>
      <c r="B1055" s="39" t="n"/>
      <c r="C1055" s="34" t="n"/>
      <c r="D1055" s="34" t="n"/>
      <c r="E1055" s="34" t="n"/>
      <c r="F1055" s="34" t="n"/>
      <c r="G1055" s="34" t="n"/>
      <c r="H1055" s="37" t="n"/>
      <c r="I1055" s="37" t="n"/>
      <c r="J1055" s="34" t="n"/>
      <c r="K1055" s="34" t="n"/>
      <c r="L1055" s="34" t="n"/>
      <c r="M1055" s="39" t="n"/>
      <c r="N1055" s="35" t="n"/>
      <c r="O1055" s="40" t="str">
        <f>IF($A1055="","",MONTH($A1055))</f>
        <v/>
      </c>
      <c r="P1055" s="40" t="str">
        <f>IF($A1055="","",YEAR($A1055))</f>
        <v/>
      </c>
      <c r="Q1055" s="41" t="str">
        <f>IF($A1055="","",DATE(P1055,O1055,1))</f>
        <v/>
      </c>
      <c r="R1055" s="36" t="str">
        <f>IF(OR($A1055="",$N1055=""),"",IF(AND($C1055&lt;&gt;"Transferência",N($I1055)&gt;1),$N1055/$I1055,$N1055))</f>
        <v/>
      </c>
      <c r="S1055" s="41" t="str">
        <f>IF(OR($A1055="",$F1055="",$C1055&lt;&gt;"Despesa"),"",IF(COUNTIF(Cartoes_Nome,$F1055)=0,"",DATE(P1055,O1055+IF(DAY($A1055)&gt;=INDEX(Cartoes_Fech,MATCH($F1055,Cartoes_Nome,0)),1,0),1)))</f>
        <v/>
      </c>
      <c r="T1055" s="42" t="str">
        <f>IF($A1055="","",IF(COUNTIFS(L_Data,$A1055,L_Desc,$B1055,L_Valor,$N1055,L_Tipo,$C1055)&gt;1,"⚠ Possível duplicidade",IF(OR(AND($C1055="Despesa",COUNTIF(CatD_Nome,$D1055)=0),AND($C1055="Receita",COUNTIF(CatR_Nome,$D1055)=0)),"⚠ Categoria não combina com o tipo",IF(OR($N1055="",$C1055=""),"⚠ Falta valor ou tipo",""))))</f>
        <v/>
      </c>
      <c r="U1055" s="40">
        <f>IF($A1055="",0,P1055*12+O1055)</f>
        <v>0</v>
      </c>
      <c r="V1055" s="40">
        <f>IF($A1055="",0,U1055+MAX(0,N($I1055)-MAX(N($H1055),1)))</f>
        <v>0</v>
      </c>
      <c r="W1055" s="40">
        <f>IF(S1055="",0,YEAR(S1055)*12+MONTH(S1055))</f>
        <v>0</v>
      </c>
      <c r="X1055" s="40">
        <f>IF(W1055=0,0,W1055+V1055-U1055)</f>
        <v>0</v>
      </c>
      <c r="Y1055" s="36">
        <f>IF(W1055=0,0,N(R1055)*MAX(0,X1055-MAX(W1055,YEAR(Cfg_Hoje)*12+MONTH(Cfg_Hoje)+IF(DAY(Cfg_Hoje)&gt;=INDEX(Cartoes_Fech,MATCH($F1055,Cartoes_Nome,0)),1,0))+1))</f>
        <v>0</v>
      </c>
      <c r="Z1055" s="40">
        <f>IF($A1055="",0,DAY($A1055))</f>
        <v>0</v>
      </c>
      <c r="AA1055" s="40">
        <f>IF($A1055="",0,WEEKDAY($A1055))</f>
        <v>0</v>
      </c>
      <c r="AB1055" s="36">
        <f>IF(AND($C1055="Despesa",U1055&gt;0,U1055&lt;=Sel_Idx,V1055&gt;=Sel_Idx),N(R1055)+ROW()/1000000000,0)</f>
        <v>0</v>
      </c>
      <c r="AC1055" s="40">
        <f>IF(AND($C1055="Despesa",U1055&gt;0,U1055&lt;=Sel_Idx,V1055&gt;=Sel_Idx),Z1055*10000+ROW(),0)</f>
        <v>0</v>
      </c>
      <c r="AD1055" s="40">
        <f>IF(AC1055=0,0,COUNTIFS(L_CalChave,"&gt;0",L_CalChave,"&lt;"&amp;AC1055)+1)</f>
        <v>0</v>
      </c>
    </row>
    <row r="1056">
      <c r="A1056" s="38" t="n"/>
      <c r="B1056" s="39" t="n"/>
      <c r="C1056" s="34" t="n"/>
      <c r="D1056" s="34" t="n"/>
      <c r="E1056" s="34" t="n"/>
      <c r="F1056" s="34" t="n"/>
      <c r="G1056" s="34" t="n"/>
      <c r="H1056" s="37" t="n"/>
      <c r="I1056" s="37" t="n"/>
      <c r="J1056" s="34" t="n"/>
      <c r="K1056" s="34" t="n"/>
      <c r="L1056" s="34" t="n"/>
      <c r="M1056" s="39" t="n"/>
      <c r="N1056" s="35" t="n"/>
      <c r="O1056" s="40" t="str">
        <f>IF($A1056="","",MONTH($A1056))</f>
        <v/>
      </c>
      <c r="P1056" s="40" t="str">
        <f>IF($A1056="","",YEAR($A1056))</f>
        <v/>
      </c>
      <c r="Q1056" s="41" t="str">
        <f>IF($A1056="","",DATE(P1056,O1056,1))</f>
        <v/>
      </c>
      <c r="R1056" s="36" t="str">
        <f>IF(OR($A1056="",$N1056=""),"",IF(AND($C1056&lt;&gt;"Transferência",N($I1056)&gt;1),$N1056/$I1056,$N1056))</f>
        <v/>
      </c>
      <c r="S1056" s="41" t="str">
        <f>IF(OR($A1056="",$F1056="",$C1056&lt;&gt;"Despesa"),"",IF(COUNTIF(Cartoes_Nome,$F1056)=0,"",DATE(P1056,O1056+IF(DAY($A1056)&gt;=INDEX(Cartoes_Fech,MATCH($F1056,Cartoes_Nome,0)),1,0),1)))</f>
        <v/>
      </c>
      <c r="T1056" s="42" t="str">
        <f>IF($A1056="","",IF(COUNTIFS(L_Data,$A1056,L_Desc,$B1056,L_Valor,$N1056,L_Tipo,$C1056)&gt;1,"⚠ Possível duplicidade",IF(OR(AND($C1056="Despesa",COUNTIF(CatD_Nome,$D1056)=0),AND($C1056="Receita",COUNTIF(CatR_Nome,$D1056)=0)),"⚠ Categoria não combina com o tipo",IF(OR($N1056="",$C1056=""),"⚠ Falta valor ou tipo",""))))</f>
        <v/>
      </c>
      <c r="U1056" s="40">
        <f>IF($A1056="",0,P1056*12+O1056)</f>
        <v>0</v>
      </c>
      <c r="V1056" s="40">
        <f>IF($A1056="",0,U1056+MAX(0,N($I1056)-MAX(N($H1056),1)))</f>
        <v>0</v>
      </c>
      <c r="W1056" s="40">
        <f>IF(S1056="",0,YEAR(S1056)*12+MONTH(S1056))</f>
        <v>0</v>
      </c>
      <c r="X1056" s="40">
        <f>IF(W1056=0,0,W1056+V1056-U1056)</f>
        <v>0</v>
      </c>
      <c r="Y1056" s="36">
        <f>IF(W1056=0,0,N(R1056)*MAX(0,X1056-MAX(W1056,YEAR(Cfg_Hoje)*12+MONTH(Cfg_Hoje)+IF(DAY(Cfg_Hoje)&gt;=INDEX(Cartoes_Fech,MATCH($F1056,Cartoes_Nome,0)),1,0))+1))</f>
        <v>0</v>
      </c>
      <c r="Z1056" s="40">
        <f>IF($A1056="",0,DAY($A1056))</f>
        <v>0</v>
      </c>
      <c r="AA1056" s="40">
        <f>IF($A1056="",0,WEEKDAY($A1056))</f>
        <v>0</v>
      </c>
      <c r="AB1056" s="36">
        <f>IF(AND($C1056="Despesa",U1056&gt;0,U1056&lt;=Sel_Idx,V1056&gt;=Sel_Idx),N(R1056)+ROW()/1000000000,0)</f>
        <v>0</v>
      </c>
      <c r="AC1056" s="40">
        <f>IF(AND($C1056="Despesa",U1056&gt;0,U1056&lt;=Sel_Idx,V1056&gt;=Sel_Idx),Z1056*10000+ROW(),0)</f>
        <v>0</v>
      </c>
      <c r="AD1056" s="40">
        <f>IF(AC1056=0,0,COUNTIFS(L_CalChave,"&gt;0",L_CalChave,"&lt;"&amp;AC1056)+1)</f>
        <v>0</v>
      </c>
    </row>
    <row r="1057">
      <c r="A1057" s="38" t="n"/>
      <c r="B1057" s="39" t="n"/>
      <c r="C1057" s="34" t="n"/>
      <c r="D1057" s="34" t="n"/>
      <c r="E1057" s="34" t="n"/>
      <c r="F1057" s="34" t="n"/>
      <c r="G1057" s="34" t="n"/>
      <c r="H1057" s="37" t="n"/>
      <c r="I1057" s="37" t="n"/>
      <c r="J1057" s="34" t="n"/>
      <c r="K1057" s="34" t="n"/>
      <c r="L1057" s="34" t="n"/>
      <c r="M1057" s="39" t="n"/>
      <c r="N1057" s="35" t="n"/>
      <c r="O1057" s="40" t="str">
        <f>IF($A1057="","",MONTH($A1057))</f>
        <v/>
      </c>
      <c r="P1057" s="40" t="str">
        <f>IF($A1057="","",YEAR($A1057))</f>
        <v/>
      </c>
      <c r="Q1057" s="41" t="str">
        <f>IF($A1057="","",DATE(P1057,O1057,1))</f>
        <v/>
      </c>
      <c r="R1057" s="36" t="str">
        <f>IF(OR($A1057="",$N1057=""),"",IF(AND($C1057&lt;&gt;"Transferência",N($I1057)&gt;1),$N1057/$I1057,$N1057))</f>
        <v/>
      </c>
      <c r="S1057" s="41" t="str">
        <f>IF(OR($A1057="",$F1057="",$C1057&lt;&gt;"Despesa"),"",IF(COUNTIF(Cartoes_Nome,$F1057)=0,"",DATE(P1057,O1057+IF(DAY($A1057)&gt;=INDEX(Cartoes_Fech,MATCH($F1057,Cartoes_Nome,0)),1,0),1)))</f>
        <v/>
      </c>
      <c r="T1057" s="42" t="str">
        <f>IF($A1057="","",IF(COUNTIFS(L_Data,$A1057,L_Desc,$B1057,L_Valor,$N1057,L_Tipo,$C1057)&gt;1,"⚠ Possível duplicidade",IF(OR(AND($C1057="Despesa",COUNTIF(CatD_Nome,$D1057)=0),AND($C1057="Receita",COUNTIF(CatR_Nome,$D1057)=0)),"⚠ Categoria não combina com o tipo",IF(OR($N1057="",$C1057=""),"⚠ Falta valor ou tipo",""))))</f>
        <v/>
      </c>
      <c r="U1057" s="40">
        <f>IF($A1057="",0,P1057*12+O1057)</f>
        <v>0</v>
      </c>
      <c r="V1057" s="40">
        <f>IF($A1057="",0,U1057+MAX(0,N($I1057)-MAX(N($H1057),1)))</f>
        <v>0</v>
      </c>
      <c r="W1057" s="40">
        <f>IF(S1057="",0,YEAR(S1057)*12+MONTH(S1057))</f>
        <v>0</v>
      </c>
      <c r="X1057" s="40">
        <f>IF(W1057=0,0,W1057+V1057-U1057)</f>
        <v>0</v>
      </c>
      <c r="Y1057" s="36">
        <f>IF(W1057=0,0,N(R1057)*MAX(0,X1057-MAX(W1057,YEAR(Cfg_Hoje)*12+MONTH(Cfg_Hoje)+IF(DAY(Cfg_Hoje)&gt;=INDEX(Cartoes_Fech,MATCH($F1057,Cartoes_Nome,0)),1,0))+1))</f>
        <v>0</v>
      </c>
      <c r="Z1057" s="40">
        <f>IF($A1057="",0,DAY($A1057))</f>
        <v>0</v>
      </c>
      <c r="AA1057" s="40">
        <f>IF($A1057="",0,WEEKDAY($A1057))</f>
        <v>0</v>
      </c>
      <c r="AB1057" s="36">
        <f>IF(AND($C1057="Despesa",U1057&gt;0,U1057&lt;=Sel_Idx,V1057&gt;=Sel_Idx),N(R1057)+ROW()/1000000000,0)</f>
        <v>0</v>
      </c>
      <c r="AC1057" s="40">
        <f>IF(AND($C1057="Despesa",U1057&gt;0,U1057&lt;=Sel_Idx,V1057&gt;=Sel_Idx),Z1057*10000+ROW(),0)</f>
        <v>0</v>
      </c>
      <c r="AD1057" s="40">
        <f>IF(AC1057=0,0,COUNTIFS(L_CalChave,"&gt;0",L_CalChave,"&lt;"&amp;AC1057)+1)</f>
        <v>0</v>
      </c>
    </row>
    <row r="1058">
      <c r="A1058" s="38" t="n"/>
      <c r="B1058" s="39" t="n"/>
      <c r="C1058" s="34" t="n"/>
      <c r="D1058" s="34" t="n"/>
      <c r="E1058" s="34" t="n"/>
      <c r="F1058" s="34" t="n"/>
      <c r="G1058" s="34" t="n"/>
      <c r="H1058" s="37" t="n"/>
      <c r="I1058" s="37" t="n"/>
      <c r="J1058" s="34" t="n"/>
      <c r="K1058" s="34" t="n"/>
      <c r="L1058" s="34" t="n"/>
      <c r="M1058" s="39" t="n"/>
      <c r="N1058" s="35" t="n"/>
      <c r="O1058" s="40" t="str">
        <f>IF($A1058="","",MONTH($A1058))</f>
        <v/>
      </c>
      <c r="P1058" s="40" t="str">
        <f>IF($A1058="","",YEAR($A1058))</f>
        <v/>
      </c>
      <c r="Q1058" s="41" t="str">
        <f>IF($A1058="","",DATE(P1058,O1058,1))</f>
        <v/>
      </c>
      <c r="R1058" s="36" t="str">
        <f>IF(OR($A1058="",$N1058=""),"",IF(AND($C1058&lt;&gt;"Transferência",N($I1058)&gt;1),$N1058/$I1058,$N1058))</f>
        <v/>
      </c>
      <c r="S1058" s="41" t="str">
        <f>IF(OR($A1058="",$F1058="",$C1058&lt;&gt;"Despesa"),"",IF(COUNTIF(Cartoes_Nome,$F1058)=0,"",DATE(P1058,O1058+IF(DAY($A1058)&gt;=INDEX(Cartoes_Fech,MATCH($F1058,Cartoes_Nome,0)),1,0),1)))</f>
        <v/>
      </c>
      <c r="T1058" s="42" t="str">
        <f>IF($A1058="","",IF(COUNTIFS(L_Data,$A1058,L_Desc,$B1058,L_Valor,$N1058,L_Tipo,$C1058)&gt;1,"⚠ Possível duplicidade",IF(OR(AND($C1058="Despesa",COUNTIF(CatD_Nome,$D1058)=0),AND($C1058="Receita",COUNTIF(CatR_Nome,$D1058)=0)),"⚠ Categoria não combina com o tipo",IF(OR($N1058="",$C1058=""),"⚠ Falta valor ou tipo",""))))</f>
        <v/>
      </c>
      <c r="U1058" s="40">
        <f>IF($A1058="",0,P1058*12+O1058)</f>
        <v>0</v>
      </c>
      <c r="V1058" s="40">
        <f>IF($A1058="",0,U1058+MAX(0,N($I1058)-MAX(N($H1058),1)))</f>
        <v>0</v>
      </c>
      <c r="W1058" s="40">
        <f>IF(S1058="",0,YEAR(S1058)*12+MONTH(S1058))</f>
        <v>0</v>
      </c>
      <c r="X1058" s="40">
        <f>IF(W1058=0,0,W1058+V1058-U1058)</f>
        <v>0</v>
      </c>
      <c r="Y1058" s="36">
        <f>IF(W1058=0,0,N(R1058)*MAX(0,X1058-MAX(W1058,YEAR(Cfg_Hoje)*12+MONTH(Cfg_Hoje)+IF(DAY(Cfg_Hoje)&gt;=INDEX(Cartoes_Fech,MATCH($F1058,Cartoes_Nome,0)),1,0))+1))</f>
        <v>0</v>
      </c>
      <c r="Z1058" s="40">
        <f>IF($A1058="",0,DAY($A1058))</f>
        <v>0</v>
      </c>
      <c r="AA1058" s="40">
        <f>IF($A1058="",0,WEEKDAY($A1058))</f>
        <v>0</v>
      </c>
      <c r="AB1058" s="36">
        <f>IF(AND($C1058="Despesa",U1058&gt;0,U1058&lt;=Sel_Idx,V1058&gt;=Sel_Idx),N(R1058)+ROW()/1000000000,0)</f>
        <v>0</v>
      </c>
      <c r="AC1058" s="40">
        <f>IF(AND($C1058="Despesa",U1058&gt;0,U1058&lt;=Sel_Idx,V1058&gt;=Sel_Idx),Z1058*10000+ROW(),0)</f>
        <v>0</v>
      </c>
      <c r="AD1058" s="40">
        <f>IF(AC1058=0,0,COUNTIFS(L_CalChave,"&gt;0",L_CalChave,"&lt;"&amp;AC1058)+1)</f>
        <v>0</v>
      </c>
    </row>
    <row r="1059">
      <c r="A1059" s="38" t="n"/>
      <c r="B1059" s="39" t="n"/>
      <c r="C1059" s="34" t="n"/>
      <c r="D1059" s="34" t="n"/>
      <c r="E1059" s="34" t="n"/>
      <c r="F1059" s="34" t="n"/>
      <c r="G1059" s="34" t="n"/>
      <c r="H1059" s="37" t="n"/>
      <c r="I1059" s="37" t="n"/>
      <c r="J1059" s="34" t="n"/>
      <c r="K1059" s="34" t="n"/>
      <c r="L1059" s="34" t="n"/>
      <c r="M1059" s="39" t="n"/>
      <c r="N1059" s="35" t="n"/>
      <c r="O1059" s="40" t="str">
        <f>IF($A1059="","",MONTH($A1059))</f>
        <v/>
      </c>
      <c r="P1059" s="40" t="str">
        <f>IF($A1059="","",YEAR($A1059))</f>
        <v/>
      </c>
      <c r="Q1059" s="41" t="str">
        <f>IF($A1059="","",DATE(P1059,O1059,1))</f>
        <v/>
      </c>
      <c r="R1059" s="36" t="str">
        <f>IF(OR($A1059="",$N1059=""),"",IF(AND($C1059&lt;&gt;"Transferência",N($I1059)&gt;1),$N1059/$I1059,$N1059))</f>
        <v/>
      </c>
      <c r="S1059" s="41" t="str">
        <f>IF(OR($A1059="",$F1059="",$C1059&lt;&gt;"Despesa"),"",IF(COUNTIF(Cartoes_Nome,$F1059)=0,"",DATE(P1059,O1059+IF(DAY($A1059)&gt;=INDEX(Cartoes_Fech,MATCH($F1059,Cartoes_Nome,0)),1,0),1)))</f>
        <v/>
      </c>
      <c r="T1059" s="42" t="str">
        <f>IF($A1059="","",IF(COUNTIFS(L_Data,$A1059,L_Desc,$B1059,L_Valor,$N1059,L_Tipo,$C1059)&gt;1,"⚠ Possível duplicidade",IF(OR(AND($C1059="Despesa",COUNTIF(CatD_Nome,$D1059)=0),AND($C1059="Receita",COUNTIF(CatR_Nome,$D1059)=0)),"⚠ Categoria não combina com o tipo",IF(OR($N1059="",$C1059=""),"⚠ Falta valor ou tipo",""))))</f>
        <v/>
      </c>
      <c r="U1059" s="40">
        <f>IF($A1059="",0,P1059*12+O1059)</f>
        <v>0</v>
      </c>
      <c r="V1059" s="40">
        <f>IF($A1059="",0,U1059+MAX(0,N($I1059)-MAX(N($H1059),1)))</f>
        <v>0</v>
      </c>
      <c r="W1059" s="40">
        <f>IF(S1059="",0,YEAR(S1059)*12+MONTH(S1059))</f>
        <v>0</v>
      </c>
      <c r="X1059" s="40">
        <f>IF(W1059=0,0,W1059+V1059-U1059)</f>
        <v>0</v>
      </c>
      <c r="Y1059" s="36">
        <f>IF(W1059=0,0,N(R1059)*MAX(0,X1059-MAX(W1059,YEAR(Cfg_Hoje)*12+MONTH(Cfg_Hoje)+IF(DAY(Cfg_Hoje)&gt;=INDEX(Cartoes_Fech,MATCH($F1059,Cartoes_Nome,0)),1,0))+1))</f>
        <v>0</v>
      </c>
      <c r="Z1059" s="40">
        <f>IF($A1059="",0,DAY($A1059))</f>
        <v>0</v>
      </c>
      <c r="AA1059" s="40">
        <f>IF($A1059="",0,WEEKDAY($A1059))</f>
        <v>0</v>
      </c>
      <c r="AB1059" s="36">
        <f>IF(AND($C1059="Despesa",U1059&gt;0,U1059&lt;=Sel_Idx,V1059&gt;=Sel_Idx),N(R1059)+ROW()/1000000000,0)</f>
        <v>0</v>
      </c>
      <c r="AC1059" s="40">
        <f>IF(AND($C1059="Despesa",U1059&gt;0,U1059&lt;=Sel_Idx,V1059&gt;=Sel_Idx),Z1059*10000+ROW(),0)</f>
        <v>0</v>
      </c>
      <c r="AD1059" s="40">
        <f>IF(AC1059=0,0,COUNTIFS(L_CalChave,"&gt;0",L_CalChave,"&lt;"&amp;AC1059)+1)</f>
        <v>0</v>
      </c>
    </row>
    <row r="1060">
      <c r="A1060" s="38" t="n"/>
      <c r="B1060" s="39" t="n"/>
      <c r="C1060" s="34" t="n"/>
      <c r="D1060" s="34" t="n"/>
      <c r="E1060" s="34" t="n"/>
      <c r="F1060" s="34" t="n"/>
      <c r="G1060" s="34" t="n"/>
      <c r="H1060" s="37" t="n"/>
      <c r="I1060" s="37" t="n"/>
      <c r="J1060" s="34" t="n"/>
      <c r="K1060" s="34" t="n"/>
      <c r="L1060" s="34" t="n"/>
      <c r="M1060" s="39" t="n"/>
      <c r="N1060" s="35" t="n"/>
      <c r="O1060" s="40" t="str">
        <f>IF($A1060="","",MONTH($A1060))</f>
        <v/>
      </c>
      <c r="P1060" s="40" t="str">
        <f>IF($A1060="","",YEAR($A1060))</f>
        <v/>
      </c>
      <c r="Q1060" s="41" t="str">
        <f>IF($A1060="","",DATE(P1060,O1060,1))</f>
        <v/>
      </c>
      <c r="R1060" s="36" t="str">
        <f>IF(OR($A1060="",$N1060=""),"",IF(AND($C1060&lt;&gt;"Transferência",N($I1060)&gt;1),$N1060/$I1060,$N1060))</f>
        <v/>
      </c>
      <c r="S1060" s="41" t="str">
        <f>IF(OR($A1060="",$F1060="",$C1060&lt;&gt;"Despesa"),"",IF(COUNTIF(Cartoes_Nome,$F1060)=0,"",DATE(P1060,O1060+IF(DAY($A1060)&gt;=INDEX(Cartoes_Fech,MATCH($F1060,Cartoes_Nome,0)),1,0),1)))</f>
        <v/>
      </c>
      <c r="T1060" s="42" t="str">
        <f>IF($A1060="","",IF(COUNTIFS(L_Data,$A1060,L_Desc,$B1060,L_Valor,$N1060,L_Tipo,$C1060)&gt;1,"⚠ Possível duplicidade",IF(OR(AND($C1060="Despesa",COUNTIF(CatD_Nome,$D1060)=0),AND($C1060="Receita",COUNTIF(CatR_Nome,$D1060)=0)),"⚠ Categoria não combina com o tipo",IF(OR($N1060="",$C1060=""),"⚠ Falta valor ou tipo",""))))</f>
        <v/>
      </c>
      <c r="U1060" s="40">
        <f>IF($A1060="",0,P1060*12+O1060)</f>
        <v>0</v>
      </c>
      <c r="V1060" s="40">
        <f>IF($A1060="",0,U1060+MAX(0,N($I1060)-MAX(N($H1060),1)))</f>
        <v>0</v>
      </c>
      <c r="W1060" s="40">
        <f>IF(S1060="",0,YEAR(S1060)*12+MONTH(S1060))</f>
        <v>0</v>
      </c>
      <c r="X1060" s="40">
        <f>IF(W1060=0,0,W1060+V1060-U1060)</f>
        <v>0</v>
      </c>
      <c r="Y1060" s="36">
        <f>IF(W1060=0,0,N(R1060)*MAX(0,X1060-MAX(W1060,YEAR(Cfg_Hoje)*12+MONTH(Cfg_Hoje)+IF(DAY(Cfg_Hoje)&gt;=INDEX(Cartoes_Fech,MATCH($F1060,Cartoes_Nome,0)),1,0))+1))</f>
        <v>0</v>
      </c>
      <c r="Z1060" s="40">
        <f>IF($A1060="",0,DAY($A1060))</f>
        <v>0</v>
      </c>
      <c r="AA1060" s="40">
        <f>IF($A1060="",0,WEEKDAY($A1060))</f>
        <v>0</v>
      </c>
      <c r="AB1060" s="36">
        <f>IF(AND($C1060="Despesa",U1060&gt;0,U1060&lt;=Sel_Idx,V1060&gt;=Sel_Idx),N(R1060)+ROW()/1000000000,0)</f>
        <v>0</v>
      </c>
      <c r="AC1060" s="40">
        <f>IF(AND($C1060="Despesa",U1060&gt;0,U1060&lt;=Sel_Idx,V1060&gt;=Sel_Idx),Z1060*10000+ROW(),0)</f>
        <v>0</v>
      </c>
      <c r="AD1060" s="40">
        <f>IF(AC1060=0,0,COUNTIFS(L_CalChave,"&gt;0",L_CalChave,"&lt;"&amp;AC1060)+1)</f>
        <v>0</v>
      </c>
    </row>
    <row r="1061">
      <c r="A1061" s="38" t="n"/>
      <c r="B1061" s="39" t="n"/>
      <c r="C1061" s="34" t="n"/>
      <c r="D1061" s="34" t="n"/>
      <c r="E1061" s="34" t="n"/>
      <c r="F1061" s="34" t="n"/>
      <c r="G1061" s="34" t="n"/>
      <c r="H1061" s="37" t="n"/>
      <c r="I1061" s="37" t="n"/>
      <c r="J1061" s="34" t="n"/>
      <c r="K1061" s="34" t="n"/>
      <c r="L1061" s="34" t="n"/>
      <c r="M1061" s="39" t="n"/>
      <c r="N1061" s="35" t="n"/>
      <c r="O1061" s="40" t="str">
        <f>IF($A1061="","",MONTH($A1061))</f>
        <v/>
      </c>
      <c r="P1061" s="40" t="str">
        <f>IF($A1061="","",YEAR($A1061))</f>
        <v/>
      </c>
      <c r="Q1061" s="41" t="str">
        <f>IF($A1061="","",DATE(P1061,O1061,1))</f>
        <v/>
      </c>
      <c r="R1061" s="36" t="str">
        <f>IF(OR($A1061="",$N1061=""),"",IF(AND($C1061&lt;&gt;"Transferência",N($I1061)&gt;1),$N1061/$I1061,$N1061))</f>
        <v/>
      </c>
      <c r="S1061" s="41" t="str">
        <f>IF(OR($A1061="",$F1061="",$C1061&lt;&gt;"Despesa"),"",IF(COUNTIF(Cartoes_Nome,$F1061)=0,"",DATE(P1061,O1061+IF(DAY($A1061)&gt;=INDEX(Cartoes_Fech,MATCH($F1061,Cartoes_Nome,0)),1,0),1)))</f>
        <v/>
      </c>
      <c r="T1061" s="42" t="str">
        <f>IF($A1061="","",IF(COUNTIFS(L_Data,$A1061,L_Desc,$B1061,L_Valor,$N1061,L_Tipo,$C1061)&gt;1,"⚠ Possível duplicidade",IF(OR(AND($C1061="Despesa",COUNTIF(CatD_Nome,$D1061)=0),AND($C1061="Receita",COUNTIF(CatR_Nome,$D1061)=0)),"⚠ Categoria não combina com o tipo",IF(OR($N1061="",$C1061=""),"⚠ Falta valor ou tipo",""))))</f>
        <v/>
      </c>
      <c r="U1061" s="40">
        <f>IF($A1061="",0,P1061*12+O1061)</f>
        <v>0</v>
      </c>
      <c r="V1061" s="40">
        <f>IF($A1061="",0,U1061+MAX(0,N($I1061)-MAX(N($H1061),1)))</f>
        <v>0</v>
      </c>
      <c r="W1061" s="40">
        <f>IF(S1061="",0,YEAR(S1061)*12+MONTH(S1061))</f>
        <v>0</v>
      </c>
      <c r="X1061" s="40">
        <f>IF(W1061=0,0,W1061+V1061-U1061)</f>
        <v>0</v>
      </c>
      <c r="Y1061" s="36">
        <f>IF(W1061=0,0,N(R1061)*MAX(0,X1061-MAX(W1061,YEAR(Cfg_Hoje)*12+MONTH(Cfg_Hoje)+IF(DAY(Cfg_Hoje)&gt;=INDEX(Cartoes_Fech,MATCH($F1061,Cartoes_Nome,0)),1,0))+1))</f>
        <v>0</v>
      </c>
      <c r="Z1061" s="40">
        <f>IF($A1061="",0,DAY($A1061))</f>
        <v>0</v>
      </c>
      <c r="AA1061" s="40">
        <f>IF($A1061="",0,WEEKDAY($A1061))</f>
        <v>0</v>
      </c>
      <c r="AB1061" s="36">
        <f>IF(AND($C1061="Despesa",U1061&gt;0,U1061&lt;=Sel_Idx,V1061&gt;=Sel_Idx),N(R1061)+ROW()/1000000000,0)</f>
        <v>0</v>
      </c>
      <c r="AC1061" s="40">
        <f>IF(AND($C1061="Despesa",U1061&gt;0,U1061&lt;=Sel_Idx,V1061&gt;=Sel_Idx),Z1061*10000+ROW(),0)</f>
        <v>0</v>
      </c>
      <c r="AD1061" s="40">
        <f>IF(AC1061=0,0,COUNTIFS(L_CalChave,"&gt;0",L_CalChave,"&lt;"&amp;AC1061)+1)</f>
        <v>0</v>
      </c>
    </row>
    <row r="1062">
      <c r="A1062" s="38" t="n"/>
      <c r="B1062" s="39" t="n"/>
      <c r="C1062" s="34" t="n"/>
      <c r="D1062" s="34" t="n"/>
      <c r="E1062" s="34" t="n"/>
      <c r="F1062" s="34" t="n"/>
      <c r="G1062" s="34" t="n"/>
      <c r="H1062" s="37" t="n"/>
      <c r="I1062" s="37" t="n"/>
      <c r="J1062" s="34" t="n"/>
      <c r="K1062" s="34" t="n"/>
      <c r="L1062" s="34" t="n"/>
      <c r="M1062" s="39" t="n"/>
      <c r="N1062" s="35" t="n"/>
      <c r="O1062" s="40" t="str">
        <f>IF($A1062="","",MONTH($A1062))</f>
        <v/>
      </c>
      <c r="P1062" s="40" t="str">
        <f>IF($A1062="","",YEAR($A1062))</f>
        <v/>
      </c>
      <c r="Q1062" s="41" t="str">
        <f>IF($A1062="","",DATE(P1062,O1062,1))</f>
        <v/>
      </c>
      <c r="R1062" s="36" t="str">
        <f>IF(OR($A1062="",$N1062=""),"",IF(AND($C1062&lt;&gt;"Transferência",N($I1062)&gt;1),$N1062/$I1062,$N1062))</f>
        <v/>
      </c>
      <c r="S1062" s="41" t="str">
        <f>IF(OR($A1062="",$F1062="",$C1062&lt;&gt;"Despesa"),"",IF(COUNTIF(Cartoes_Nome,$F1062)=0,"",DATE(P1062,O1062+IF(DAY($A1062)&gt;=INDEX(Cartoes_Fech,MATCH($F1062,Cartoes_Nome,0)),1,0),1)))</f>
        <v/>
      </c>
      <c r="T1062" s="42" t="str">
        <f>IF($A1062="","",IF(COUNTIFS(L_Data,$A1062,L_Desc,$B1062,L_Valor,$N1062,L_Tipo,$C1062)&gt;1,"⚠ Possível duplicidade",IF(OR(AND($C1062="Despesa",COUNTIF(CatD_Nome,$D1062)=0),AND($C1062="Receita",COUNTIF(CatR_Nome,$D1062)=0)),"⚠ Categoria não combina com o tipo",IF(OR($N1062="",$C1062=""),"⚠ Falta valor ou tipo",""))))</f>
        <v/>
      </c>
      <c r="U1062" s="40">
        <f>IF($A1062="",0,P1062*12+O1062)</f>
        <v>0</v>
      </c>
      <c r="V1062" s="40">
        <f>IF($A1062="",0,U1062+MAX(0,N($I1062)-MAX(N($H1062),1)))</f>
        <v>0</v>
      </c>
      <c r="W1062" s="40">
        <f>IF(S1062="",0,YEAR(S1062)*12+MONTH(S1062))</f>
        <v>0</v>
      </c>
      <c r="X1062" s="40">
        <f>IF(W1062=0,0,W1062+V1062-U1062)</f>
        <v>0</v>
      </c>
      <c r="Y1062" s="36">
        <f>IF(W1062=0,0,N(R1062)*MAX(0,X1062-MAX(W1062,YEAR(Cfg_Hoje)*12+MONTH(Cfg_Hoje)+IF(DAY(Cfg_Hoje)&gt;=INDEX(Cartoes_Fech,MATCH($F1062,Cartoes_Nome,0)),1,0))+1))</f>
        <v>0</v>
      </c>
      <c r="Z1062" s="40">
        <f>IF($A1062="",0,DAY($A1062))</f>
        <v>0</v>
      </c>
      <c r="AA1062" s="40">
        <f>IF($A1062="",0,WEEKDAY($A1062))</f>
        <v>0</v>
      </c>
      <c r="AB1062" s="36">
        <f>IF(AND($C1062="Despesa",U1062&gt;0,U1062&lt;=Sel_Idx,V1062&gt;=Sel_Idx),N(R1062)+ROW()/1000000000,0)</f>
        <v>0</v>
      </c>
      <c r="AC1062" s="40">
        <f>IF(AND($C1062="Despesa",U1062&gt;0,U1062&lt;=Sel_Idx,V1062&gt;=Sel_Idx),Z1062*10000+ROW(),0)</f>
        <v>0</v>
      </c>
      <c r="AD1062" s="40">
        <f>IF(AC1062=0,0,COUNTIFS(L_CalChave,"&gt;0",L_CalChave,"&lt;"&amp;AC1062)+1)</f>
        <v>0</v>
      </c>
    </row>
    <row r="1063">
      <c r="A1063" s="38" t="n"/>
      <c r="B1063" s="39" t="n"/>
      <c r="C1063" s="34" t="n"/>
      <c r="D1063" s="34" t="n"/>
      <c r="E1063" s="34" t="n"/>
      <c r="F1063" s="34" t="n"/>
      <c r="G1063" s="34" t="n"/>
      <c r="H1063" s="37" t="n"/>
      <c r="I1063" s="37" t="n"/>
      <c r="J1063" s="34" t="n"/>
      <c r="K1063" s="34" t="n"/>
      <c r="L1063" s="34" t="n"/>
      <c r="M1063" s="39" t="n"/>
      <c r="N1063" s="35" t="n"/>
      <c r="O1063" s="40" t="str">
        <f>IF($A1063="","",MONTH($A1063))</f>
        <v/>
      </c>
      <c r="P1063" s="40" t="str">
        <f>IF($A1063="","",YEAR($A1063))</f>
        <v/>
      </c>
      <c r="Q1063" s="41" t="str">
        <f>IF($A1063="","",DATE(P1063,O1063,1))</f>
        <v/>
      </c>
      <c r="R1063" s="36" t="str">
        <f>IF(OR($A1063="",$N1063=""),"",IF(AND($C1063&lt;&gt;"Transferência",N($I1063)&gt;1),$N1063/$I1063,$N1063))</f>
        <v/>
      </c>
      <c r="S1063" s="41" t="str">
        <f>IF(OR($A1063="",$F1063="",$C1063&lt;&gt;"Despesa"),"",IF(COUNTIF(Cartoes_Nome,$F1063)=0,"",DATE(P1063,O1063+IF(DAY($A1063)&gt;=INDEX(Cartoes_Fech,MATCH($F1063,Cartoes_Nome,0)),1,0),1)))</f>
        <v/>
      </c>
      <c r="T1063" s="42" t="str">
        <f>IF($A1063="","",IF(COUNTIFS(L_Data,$A1063,L_Desc,$B1063,L_Valor,$N1063,L_Tipo,$C1063)&gt;1,"⚠ Possível duplicidade",IF(OR(AND($C1063="Despesa",COUNTIF(CatD_Nome,$D1063)=0),AND($C1063="Receita",COUNTIF(CatR_Nome,$D1063)=0)),"⚠ Categoria não combina com o tipo",IF(OR($N1063="",$C1063=""),"⚠ Falta valor ou tipo",""))))</f>
        <v/>
      </c>
      <c r="U1063" s="40">
        <f>IF($A1063="",0,P1063*12+O1063)</f>
        <v>0</v>
      </c>
      <c r="V1063" s="40">
        <f>IF($A1063="",0,U1063+MAX(0,N($I1063)-MAX(N($H1063),1)))</f>
        <v>0</v>
      </c>
      <c r="W1063" s="40">
        <f>IF(S1063="",0,YEAR(S1063)*12+MONTH(S1063))</f>
        <v>0</v>
      </c>
      <c r="X1063" s="40">
        <f>IF(W1063=0,0,W1063+V1063-U1063)</f>
        <v>0</v>
      </c>
      <c r="Y1063" s="36">
        <f>IF(W1063=0,0,N(R1063)*MAX(0,X1063-MAX(W1063,YEAR(Cfg_Hoje)*12+MONTH(Cfg_Hoje)+IF(DAY(Cfg_Hoje)&gt;=INDEX(Cartoes_Fech,MATCH($F1063,Cartoes_Nome,0)),1,0))+1))</f>
        <v>0</v>
      </c>
      <c r="Z1063" s="40">
        <f>IF($A1063="",0,DAY($A1063))</f>
        <v>0</v>
      </c>
      <c r="AA1063" s="40">
        <f>IF($A1063="",0,WEEKDAY($A1063))</f>
        <v>0</v>
      </c>
      <c r="AB1063" s="36">
        <f>IF(AND($C1063="Despesa",U1063&gt;0,U1063&lt;=Sel_Idx,V1063&gt;=Sel_Idx),N(R1063)+ROW()/1000000000,0)</f>
        <v>0</v>
      </c>
      <c r="AC1063" s="40">
        <f>IF(AND($C1063="Despesa",U1063&gt;0,U1063&lt;=Sel_Idx,V1063&gt;=Sel_Idx),Z1063*10000+ROW(),0)</f>
        <v>0</v>
      </c>
      <c r="AD1063" s="40">
        <f>IF(AC1063=0,0,COUNTIFS(L_CalChave,"&gt;0",L_CalChave,"&lt;"&amp;AC1063)+1)</f>
        <v>0</v>
      </c>
    </row>
    <row r="1064">
      <c r="A1064" s="38" t="n"/>
      <c r="B1064" s="39" t="n"/>
      <c r="C1064" s="34" t="n"/>
      <c r="D1064" s="34" t="n"/>
      <c r="E1064" s="34" t="n"/>
      <c r="F1064" s="34" t="n"/>
      <c r="G1064" s="34" t="n"/>
      <c r="H1064" s="37" t="n"/>
      <c r="I1064" s="37" t="n"/>
      <c r="J1064" s="34" t="n"/>
      <c r="K1064" s="34" t="n"/>
      <c r="L1064" s="34" t="n"/>
      <c r="M1064" s="39" t="n"/>
      <c r="N1064" s="35" t="n"/>
      <c r="O1064" s="40" t="str">
        <f>IF($A1064="","",MONTH($A1064))</f>
        <v/>
      </c>
      <c r="P1064" s="40" t="str">
        <f>IF($A1064="","",YEAR($A1064))</f>
        <v/>
      </c>
      <c r="Q1064" s="41" t="str">
        <f>IF($A1064="","",DATE(P1064,O1064,1))</f>
        <v/>
      </c>
      <c r="R1064" s="36" t="str">
        <f>IF(OR($A1064="",$N1064=""),"",IF(AND($C1064&lt;&gt;"Transferência",N($I1064)&gt;1),$N1064/$I1064,$N1064))</f>
        <v/>
      </c>
      <c r="S1064" s="41" t="str">
        <f>IF(OR($A1064="",$F1064="",$C1064&lt;&gt;"Despesa"),"",IF(COUNTIF(Cartoes_Nome,$F1064)=0,"",DATE(P1064,O1064+IF(DAY($A1064)&gt;=INDEX(Cartoes_Fech,MATCH($F1064,Cartoes_Nome,0)),1,0),1)))</f>
        <v/>
      </c>
      <c r="T1064" s="42" t="str">
        <f>IF($A1064="","",IF(COUNTIFS(L_Data,$A1064,L_Desc,$B1064,L_Valor,$N1064,L_Tipo,$C1064)&gt;1,"⚠ Possível duplicidade",IF(OR(AND($C1064="Despesa",COUNTIF(CatD_Nome,$D1064)=0),AND($C1064="Receita",COUNTIF(CatR_Nome,$D1064)=0)),"⚠ Categoria não combina com o tipo",IF(OR($N1064="",$C1064=""),"⚠ Falta valor ou tipo",""))))</f>
        <v/>
      </c>
      <c r="U1064" s="40">
        <f>IF($A1064="",0,P1064*12+O1064)</f>
        <v>0</v>
      </c>
      <c r="V1064" s="40">
        <f>IF($A1064="",0,U1064+MAX(0,N($I1064)-MAX(N($H1064),1)))</f>
        <v>0</v>
      </c>
      <c r="W1064" s="40">
        <f>IF(S1064="",0,YEAR(S1064)*12+MONTH(S1064))</f>
        <v>0</v>
      </c>
      <c r="X1064" s="40">
        <f>IF(W1064=0,0,W1064+V1064-U1064)</f>
        <v>0</v>
      </c>
      <c r="Y1064" s="36">
        <f>IF(W1064=0,0,N(R1064)*MAX(0,X1064-MAX(W1064,YEAR(Cfg_Hoje)*12+MONTH(Cfg_Hoje)+IF(DAY(Cfg_Hoje)&gt;=INDEX(Cartoes_Fech,MATCH($F1064,Cartoes_Nome,0)),1,0))+1))</f>
        <v>0</v>
      </c>
      <c r="Z1064" s="40">
        <f>IF($A1064="",0,DAY($A1064))</f>
        <v>0</v>
      </c>
      <c r="AA1064" s="40">
        <f>IF($A1064="",0,WEEKDAY($A1064))</f>
        <v>0</v>
      </c>
      <c r="AB1064" s="36">
        <f>IF(AND($C1064="Despesa",U1064&gt;0,U1064&lt;=Sel_Idx,V1064&gt;=Sel_Idx),N(R1064)+ROW()/1000000000,0)</f>
        <v>0</v>
      </c>
      <c r="AC1064" s="40">
        <f>IF(AND($C1064="Despesa",U1064&gt;0,U1064&lt;=Sel_Idx,V1064&gt;=Sel_Idx),Z1064*10000+ROW(),0)</f>
        <v>0</v>
      </c>
      <c r="AD1064" s="40">
        <f>IF(AC1064=0,0,COUNTIFS(L_CalChave,"&gt;0",L_CalChave,"&lt;"&amp;AC1064)+1)</f>
        <v>0</v>
      </c>
    </row>
    <row r="1065">
      <c r="A1065" s="38" t="n"/>
      <c r="B1065" s="39" t="n"/>
      <c r="C1065" s="34" t="n"/>
      <c r="D1065" s="34" t="n"/>
      <c r="E1065" s="34" t="n"/>
      <c r="F1065" s="34" t="n"/>
      <c r="G1065" s="34" t="n"/>
      <c r="H1065" s="37" t="n"/>
      <c r="I1065" s="37" t="n"/>
      <c r="J1065" s="34" t="n"/>
      <c r="K1065" s="34" t="n"/>
      <c r="L1065" s="34" t="n"/>
      <c r="M1065" s="39" t="n"/>
      <c r="N1065" s="35" t="n"/>
      <c r="O1065" s="40" t="str">
        <f>IF($A1065="","",MONTH($A1065))</f>
        <v/>
      </c>
      <c r="P1065" s="40" t="str">
        <f>IF($A1065="","",YEAR($A1065))</f>
        <v/>
      </c>
      <c r="Q1065" s="41" t="str">
        <f>IF($A1065="","",DATE(P1065,O1065,1))</f>
        <v/>
      </c>
      <c r="R1065" s="36" t="str">
        <f>IF(OR($A1065="",$N1065=""),"",IF(AND($C1065&lt;&gt;"Transferência",N($I1065)&gt;1),$N1065/$I1065,$N1065))</f>
        <v/>
      </c>
      <c r="S1065" s="41" t="str">
        <f>IF(OR($A1065="",$F1065="",$C1065&lt;&gt;"Despesa"),"",IF(COUNTIF(Cartoes_Nome,$F1065)=0,"",DATE(P1065,O1065+IF(DAY($A1065)&gt;=INDEX(Cartoes_Fech,MATCH($F1065,Cartoes_Nome,0)),1,0),1)))</f>
        <v/>
      </c>
      <c r="T1065" s="42" t="str">
        <f>IF($A1065="","",IF(COUNTIFS(L_Data,$A1065,L_Desc,$B1065,L_Valor,$N1065,L_Tipo,$C1065)&gt;1,"⚠ Possível duplicidade",IF(OR(AND($C1065="Despesa",COUNTIF(CatD_Nome,$D1065)=0),AND($C1065="Receita",COUNTIF(CatR_Nome,$D1065)=0)),"⚠ Categoria não combina com o tipo",IF(OR($N1065="",$C1065=""),"⚠ Falta valor ou tipo",""))))</f>
        <v/>
      </c>
      <c r="U1065" s="40">
        <f>IF($A1065="",0,P1065*12+O1065)</f>
        <v>0</v>
      </c>
      <c r="V1065" s="40">
        <f>IF($A1065="",0,U1065+MAX(0,N($I1065)-MAX(N($H1065),1)))</f>
        <v>0</v>
      </c>
      <c r="W1065" s="40">
        <f>IF(S1065="",0,YEAR(S1065)*12+MONTH(S1065))</f>
        <v>0</v>
      </c>
      <c r="X1065" s="40">
        <f>IF(W1065=0,0,W1065+V1065-U1065)</f>
        <v>0</v>
      </c>
      <c r="Y1065" s="36">
        <f>IF(W1065=0,0,N(R1065)*MAX(0,X1065-MAX(W1065,YEAR(Cfg_Hoje)*12+MONTH(Cfg_Hoje)+IF(DAY(Cfg_Hoje)&gt;=INDEX(Cartoes_Fech,MATCH($F1065,Cartoes_Nome,0)),1,0))+1))</f>
        <v>0</v>
      </c>
      <c r="Z1065" s="40">
        <f>IF($A1065="",0,DAY($A1065))</f>
        <v>0</v>
      </c>
      <c r="AA1065" s="40">
        <f>IF($A1065="",0,WEEKDAY($A1065))</f>
        <v>0</v>
      </c>
      <c r="AB1065" s="36">
        <f>IF(AND($C1065="Despesa",U1065&gt;0,U1065&lt;=Sel_Idx,V1065&gt;=Sel_Idx),N(R1065)+ROW()/1000000000,0)</f>
        <v>0</v>
      </c>
      <c r="AC1065" s="40">
        <f>IF(AND($C1065="Despesa",U1065&gt;0,U1065&lt;=Sel_Idx,V1065&gt;=Sel_Idx),Z1065*10000+ROW(),0)</f>
        <v>0</v>
      </c>
      <c r="AD1065" s="40">
        <f>IF(AC1065=0,0,COUNTIFS(L_CalChave,"&gt;0",L_CalChave,"&lt;"&amp;AC1065)+1)</f>
        <v>0</v>
      </c>
    </row>
    <row r="1066">
      <c r="A1066" s="38" t="n"/>
      <c r="B1066" s="39" t="n"/>
      <c r="C1066" s="34" t="n"/>
      <c r="D1066" s="34" t="n"/>
      <c r="E1066" s="34" t="n"/>
      <c r="F1066" s="34" t="n"/>
      <c r="G1066" s="34" t="n"/>
      <c r="H1066" s="37" t="n"/>
      <c r="I1066" s="37" t="n"/>
      <c r="J1066" s="34" t="n"/>
      <c r="K1066" s="34" t="n"/>
      <c r="L1066" s="34" t="n"/>
      <c r="M1066" s="39" t="n"/>
      <c r="N1066" s="35" t="n"/>
      <c r="O1066" s="40" t="str">
        <f>IF($A1066="","",MONTH($A1066))</f>
        <v/>
      </c>
      <c r="P1066" s="40" t="str">
        <f>IF($A1066="","",YEAR($A1066))</f>
        <v/>
      </c>
      <c r="Q1066" s="41" t="str">
        <f>IF($A1066="","",DATE(P1066,O1066,1))</f>
        <v/>
      </c>
      <c r="R1066" s="36" t="str">
        <f>IF(OR($A1066="",$N1066=""),"",IF(AND($C1066&lt;&gt;"Transferência",N($I1066)&gt;1),$N1066/$I1066,$N1066))</f>
        <v/>
      </c>
      <c r="S1066" s="41" t="str">
        <f>IF(OR($A1066="",$F1066="",$C1066&lt;&gt;"Despesa"),"",IF(COUNTIF(Cartoes_Nome,$F1066)=0,"",DATE(P1066,O1066+IF(DAY($A1066)&gt;=INDEX(Cartoes_Fech,MATCH($F1066,Cartoes_Nome,0)),1,0),1)))</f>
        <v/>
      </c>
      <c r="T1066" s="42" t="str">
        <f>IF($A1066="","",IF(COUNTIFS(L_Data,$A1066,L_Desc,$B1066,L_Valor,$N1066,L_Tipo,$C1066)&gt;1,"⚠ Possível duplicidade",IF(OR(AND($C1066="Despesa",COUNTIF(CatD_Nome,$D1066)=0),AND($C1066="Receita",COUNTIF(CatR_Nome,$D1066)=0)),"⚠ Categoria não combina com o tipo",IF(OR($N1066="",$C1066=""),"⚠ Falta valor ou tipo",""))))</f>
        <v/>
      </c>
      <c r="U1066" s="40">
        <f>IF($A1066="",0,P1066*12+O1066)</f>
        <v>0</v>
      </c>
      <c r="V1066" s="40">
        <f>IF($A1066="",0,U1066+MAX(0,N($I1066)-MAX(N($H1066),1)))</f>
        <v>0</v>
      </c>
      <c r="W1066" s="40">
        <f>IF(S1066="",0,YEAR(S1066)*12+MONTH(S1066))</f>
        <v>0</v>
      </c>
      <c r="X1066" s="40">
        <f>IF(W1066=0,0,W1066+V1066-U1066)</f>
        <v>0</v>
      </c>
      <c r="Y1066" s="36">
        <f>IF(W1066=0,0,N(R1066)*MAX(0,X1066-MAX(W1066,YEAR(Cfg_Hoje)*12+MONTH(Cfg_Hoje)+IF(DAY(Cfg_Hoje)&gt;=INDEX(Cartoes_Fech,MATCH($F1066,Cartoes_Nome,0)),1,0))+1))</f>
        <v>0</v>
      </c>
      <c r="Z1066" s="40">
        <f>IF($A1066="",0,DAY($A1066))</f>
        <v>0</v>
      </c>
      <c r="AA1066" s="40">
        <f>IF($A1066="",0,WEEKDAY($A1066))</f>
        <v>0</v>
      </c>
      <c r="AB1066" s="36">
        <f>IF(AND($C1066="Despesa",U1066&gt;0,U1066&lt;=Sel_Idx,V1066&gt;=Sel_Idx),N(R1066)+ROW()/1000000000,0)</f>
        <v>0</v>
      </c>
      <c r="AC1066" s="40">
        <f>IF(AND($C1066="Despesa",U1066&gt;0,U1066&lt;=Sel_Idx,V1066&gt;=Sel_Idx),Z1066*10000+ROW(),0)</f>
        <v>0</v>
      </c>
      <c r="AD1066" s="40">
        <f>IF(AC1066=0,0,COUNTIFS(L_CalChave,"&gt;0",L_CalChave,"&lt;"&amp;AC1066)+1)</f>
        <v>0</v>
      </c>
    </row>
    <row r="1067">
      <c r="A1067" s="38" t="n"/>
      <c r="B1067" s="39" t="n"/>
      <c r="C1067" s="34" t="n"/>
      <c r="D1067" s="34" t="n"/>
      <c r="E1067" s="34" t="n"/>
      <c r="F1067" s="34" t="n"/>
      <c r="G1067" s="34" t="n"/>
      <c r="H1067" s="37" t="n"/>
      <c r="I1067" s="37" t="n"/>
      <c r="J1067" s="34" t="n"/>
      <c r="K1067" s="34" t="n"/>
      <c r="L1067" s="34" t="n"/>
      <c r="M1067" s="39" t="n"/>
      <c r="N1067" s="35" t="n"/>
      <c r="O1067" s="40" t="str">
        <f>IF($A1067="","",MONTH($A1067))</f>
        <v/>
      </c>
      <c r="P1067" s="40" t="str">
        <f>IF($A1067="","",YEAR($A1067))</f>
        <v/>
      </c>
      <c r="Q1067" s="41" t="str">
        <f>IF($A1067="","",DATE(P1067,O1067,1))</f>
        <v/>
      </c>
      <c r="R1067" s="36" t="str">
        <f>IF(OR($A1067="",$N1067=""),"",IF(AND($C1067&lt;&gt;"Transferência",N($I1067)&gt;1),$N1067/$I1067,$N1067))</f>
        <v/>
      </c>
      <c r="S1067" s="41" t="str">
        <f>IF(OR($A1067="",$F1067="",$C1067&lt;&gt;"Despesa"),"",IF(COUNTIF(Cartoes_Nome,$F1067)=0,"",DATE(P1067,O1067+IF(DAY($A1067)&gt;=INDEX(Cartoes_Fech,MATCH($F1067,Cartoes_Nome,0)),1,0),1)))</f>
        <v/>
      </c>
      <c r="T1067" s="42" t="str">
        <f>IF($A1067="","",IF(COUNTIFS(L_Data,$A1067,L_Desc,$B1067,L_Valor,$N1067,L_Tipo,$C1067)&gt;1,"⚠ Possível duplicidade",IF(OR(AND($C1067="Despesa",COUNTIF(CatD_Nome,$D1067)=0),AND($C1067="Receita",COUNTIF(CatR_Nome,$D1067)=0)),"⚠ Categoria não combina com o tipo",IF(OR($N1067="",$C1067=""),"⚠ Falta valor ou tipo",""))))</f>
        <v/>
      </c>
      <c r="U1067" s="40">
        <f>IF($A1067="",0,P1067*12+O1067)</f>
        <v>0</v>
      </c>
      <c r="V1067" s="40">
        <f>IF($A1067="",0,U1067+MAX(0,N($I1067)-MAX(N($H1067),1)))</f>
        <v>0</v>
      </c>
      <c r="W1067" s="40">
        <f>IF(S1067="",0,YEAR(S1067)*12+MONTH(S1067))</f>
        <v>0</v>
      </c>
      <c r="X1067" s="40">
        <f>IF(W1067=0,0,W1067+V1067-U1067)</f>
        <v>0</v>
      </c>
      <c r="Y1067" s="36">
        <f>IF(W1067=0,0,N(R1067)*MAX(0,X1067-MAX(W1067,YEAR(Cfg_Hoje)*12+MONTH(Cfg_Hoje)+IF(DAY(Cfg_Hoje)&gt;=INDEX(Cartoes_Fech,MATCH($F1067,Cartoes_Nome,0)),1,0))+1))</f>
        <v>0</v>
      </c>
      <c r="Z1067" s="40">
        <f>IF($A1067="",0,DAY($A1067))</f>
        <v>0</v>
      </c>
      <c r="AA1067" s="40">
        <f>IF($A1067="",0,WEEKDAY($A1067))</f>
        <v>0</v>
      </c>
      <c r="AB1067" s="36">
        <f>IF(AND($C1067="Despesa",U1067&gt;0,U1067&lt;=Sel_Idx,V1067&gt;=Sel_Idx),N(R1067)+ROW()/1000000000,0)</f>
        <v>0</v>
      </c>
      <c r="AC1067" s="40">
        <f>IF(AND($C1067="Despesa",U1067&gt;0,U1067&lt;=Sel_Idx,V1067&gt;=Sel_Idx),Z1067*10000+ROW(),0)</f>
        <v>0</v>
      </c>
      <c r="AD1067" s="40">
        <f>IF(AC1067=0,0,COUNTIFS(L_CalChave,"&gt;0",L_CalChave,"&lt;"&amp;AC1067)+1)</f>
        <v>0</v>
      </c>
    </row>
    <row r="1068">
      <c r="A1068" s="38" t="n"/>
      <c r="B1068" s="39" t="n"/>
      <c r="C1068" s="34" t="n"/>
      <c r="D1068" s="34" t="n"/>
      <c r="E1068" s="34" t="n"/>
      <c r="F1068" s="34" t="n"/>
      <c r="G1068" s="34" t="n"/>
      <c r="H1068" s="37" t="n"/>
      <c r="I1068" s="37" t="n"/>
      <c r="J1068" s="34" t="n"/>
      <c r="K1068" s="34" t="n"/>
      <c r="L1068" s="34" t="n"/>
      <c r="M1068" s="39" t="n"/>
      <c r="N1068" s="35" t="n"/>
      <c r="O1068" s="40" t="str">
        <f>IF($A1068="","",MONTH($A1068))</f>
        <v/>
      </c>
      <c r="P1068" s="40" t="str">
        <f>IF($A1068="","",YEAR($A1068))</f>
        <v/>
      </c>
      <c r="Q1068" s="41" t="str">
        <f>IF($A1068="","",DATE(P1068,O1068,1))</f>
        <v/>
      </c>
      <c r="R1068" s="36" t="str">
        <f>IF(OR($A1068="",$N1068=""),"",IF(AND($C1068&lt;&gt;"Transferência",N($I1068)&gt;1),$N1068/$I1068,$N1068))</f>
        <v/>
      </c>
      <c r="S1068" s="41" t="str">
        <f>IF(OR($A1068="",$F1068="",$C1068&lt;&gt;"Despesa"),"",IF(COUNTIF(Cartoes_Nome,$F1068)=0,"",DATE(P1068,O1068+IF(DAY($A1068)&gt;=INDEX(Cartoes_Fech,MATCH($F1068,Cartoes_Nome,0)),1,0),1)))</f>
        <v/>
      </c>
      <c r="T1068" s="42" t="str">
        <f>IF($A1068="","",IF(COUNTIFS(L_Data,$A1068,L_Desc,$B1068,L_Valor,$N1068,L_Tipo,$C1068)&gt;1,"⚠ Possível duplicidade",IF(OR(AND($C1068="Despesa",COUNTIF(CatD_Nome,$D1068)=0),AND($C1068="Receita",COUNTIF(CatR_Nome,$D1068)=0)),"⚠ Categoria não combina com o tipo",IF(OR($N1068="",$C1068=""),"⚠ Falta valor ou tipo",""))))</f>
        <v/>
      </c>
      <c r="U1068" s="40">
        <f>IF($A1068="",0,P1068*12+O1068)</f>
        <v>0</v>
      </c>
      <c r="V1068" s="40">
        <f>IF($A1068="",0,U1068+MAX(0,N($I1068)-MAX(N($H1068),1)))</f>
        <v>0</v>
      </c>
      <c r="W1068" s="40">
        <f>IF(S1068="",0,YEAR(S1068)*12+MONTH(S1068))</f>
        <v>0</v>
      </c>
      <c r="X1068" s="40">
        <f>IF(W1068=0,0,W1068+V1068-U1068)</f>
        <v>0</v>
      </c>
      <c r="Y1068" s="36">
        <f>IF(W1068=0,0,N(R1068)*MAX(0,X1068-MAX(W1068,YEAR(Cfg_Hoje)*12+MONTH(Cfg_Hoje)+IF(DAY(Cfg_Hoje)&gt;=INDEX(Cartoes_Fech,MATCH($F1068,Cartoes_Nome,0)),1,0))+1))</f>
        <v>0</v>
      </c>
      <c r="Z1068" s="40">
        <f>IF($A1068="",0,DAY($A1068))</f>
        <v>0</v>
      </c>
      <c r="AA1068" s="40">
        <f>IF($A1068="",0,WEEKDAY($A1068))</f>
        <v>0</v>
      </c>
      <c r="AB1068" s="36">
        <f>IF(AND($C1068="Despesa",U1068&gt;0,U1068&lt;=Sel_Idx,V1068&gt;=Sel_Idx),N(R1068)+ROW()/1000000000,0)</f>
        <v>0</v>
      </c>
      <c r="AC1068" s="40">
        <f>IF(AND($C1068="Despesa",U1068&gt;0,U1068&lt;=Sel_Idx,V1068&gt;=Sel_Idx),Z1068*10000+ROW(),0)</f>
        <v>0</v>
      </c>
      <c r="AD1068" s="40">
        <f>IF(AC1068=0,0,COUNTIFS(L_CalChave,"&gt;0",L_CalChave,"&lt;"&amp;AC1068)+1)</f>
        <v>0</v>
      </c>
    </row>
    <row r="1069">
      <c r="A1069" s="38" t="n"/>
      <c r="B1069" s="39" t="n"/>
      <c r="C1069" s="34" t="n"/>
      <c r="D1069" s="34" t="n"/>
      <c r="E1069" s="34" t="n"/>
      <c r="F1069" s="34" t="n"/>
      <c r="G1069" s="34" t="n"/>
      <c r="H1069" s="37" t="n"/>
      <c r="I1069" s="37" t="n"/>
      <c r="J1069" s="34" t="n"/>
      <c r="K1069" s="34" t="n"/>
      <c r="L1069" s="34" t="n"/>
      <c r="M1069" s="39" t="n"/>
      <c r="N1069" s="35" t="n"/>
      <c r="O1069" s="40" t="str">
        <f>IF($A1069="","",MONTH($A1069))</f>
        <v/>
      </c>
      <c r="P1069" s="40" t="str">
        <f>IF($A1069="","",YEAR($A1069))</f>
        <v/>
      </c>
      <c r="Q1069" s="41" t="str">
        <f>IF($A1069="","",DATE(P1069,O1069,1))</f>
        <v/>
      </c>
      <c r="R1069" s="36" t="str">
        <f>IF(OR($A1069="",$N1069=""),"",IF(AND($C1069&lt;&gt;"Transferência",N($I1069)&gt;1),$N1069/$I1069,$N1069))</f>
        <v/>
      </c>
      <c r="S1069" s="41" t="str">
        <f>IF(OR($A1069="",$F1069="",$C1069&lt;&gt;"Despesa"),"",IF(COUNTIF(Cartoes_Nome,$F1069)=0,"",DATE(P1069,O1069+IF(DAY($A1069)&gt;=INDEX(Cartoes_Fech,MATCH($F1069,Cartoes_Nome,0)),1,0),1)))</f>
        <v/>
      </c>
      <c r="T1069" s="42" t="str">
        <f>IF($A1069="","",IF(COUNTIFS(L_Data,$A1069,L_Desc,$B1069,L_Valor,$N1069,L_Tipo,$C1069)&gt;1,"⚠ Possível duplicidade",IF(OR(AND($C1069="Despesa",COUNTIF(CatD_Nome,$D1069)=0),AND($C1069="Receita",COUNTIF(CatR_Nome,$D1069)=0)),"⚠ Categoria não combina com o tipo",IF(OR($N1069="",$C1069=""),"⚠ Falta valor ou tipo",""))))</f>
        <v/>
      </c>
      <c r="U1069" s="40">
        <f>IF($A1069="",0,P1069*12+O1069)</f>
        <v>0</v>
      </c>
      <c r="V1069" s="40">
        <f>IF($A1069="",0,U1069+MAX(0,N($I1069)-MAX(N($H1069),1)))</f>
        <v>0</v>
      </c>
      <c r="W1069" s="40">
        <f>IF(S1069="",0,YEAR(S1069)*12+MONTH(S1069))</f>
        <v>0</v>
      </c>
      <c r="X1069" s="40">
        <f>IF(W1069=0,0,W1069+V1069-U1069)</f>
        <v>0</v>
      </c>
      <c r="Y1069" s="36">
        <f>IF(W1069=0,0,N(R1069)*MAX(0,X1069-MAX(W1069,YEAR(Cfg_Hoje)*12+MONTH(Cfg_Hoje)+IF(DAY(Cfg_Hoje)&gt;=INDEX(Cartoes_Fech,MATCH($F1069,Cartoes_Nome,0)),1,0))+1))</f>
        <v>0</v>
      </c>
      <c r="Z1069" s="40">
        <f>IF($A1069="",0,DAY($A1069))</f>
        <v>0</v>
      </c>
      <c r="AA1069" s="40">
        <f>IF($A1069="",0,WEEKDAY($A1069))</f>
        <v>0</v>
      </c>
      <c r="AB1069" s="36">
        <f>IF(AND($C1069="Despesa",U1069&gt;0,U1069&lt;=Sel_Idx,V1069&gt;=Sel_Idx),N(R1069)+ROW()/1000000000,0)</f>
        <v>0</v>
      </c>
      <c r="AC1069" s="40">
        <f>IF(AND($C1069="Despesa",U1069&gt;0,U1069&lt;=Sel_Idx,V1069&gt;=Sel_Idx),Z1069*10000+ROW(),0)</f>
        <v>0</v>
      </c>
      <c r="AD1069" s="40">
        <f>IF(AC1069=0,0,COUNTIFS(L_CalChave,"&gt;0",L_CalChave,"&lt;"&amp;AC1069)+1)</f>
        <v>0</v>
      </c>
    </row>
    <row r="1070">
      <c r="A1070" s="38" t="n"/>
      <c r="B1070" s="39" t="n"/>
      <c r="C1070" s="34" t="n"/>
      <c r="D1070" s="34" t="n"/>
      <c r="E1070" s="34" t="n"/>
      <c r="F1070" s="34" t="n"/>
      <c r="G1070" s="34" t="n"/>
      <c r="H1070" s="37" t="n"/>
      <c r="I1070" s="37" t="n"/>
      <c r="J1070" s="34" t="n"/>
      <c r="K1070" s="34" t="n"/>
      <c r="L1070" s="34" t="n"/>
      <c r="M1070" s="39" t="n"/>
      <c r="N1070" s="35" t="n"/>
      <c r="O1070" s="40" t="str">
        <f>IF($A1070="","",MONTH($A1070))</f>
        <v/>
      </c>
      <c r="P1070" s="40" t="str">
        <f>IF($A1070="","",YEAR($A1070))</f>
        <v/>
      </c>
      <c r="Q1070" s="41" t="str">
        <f>IF($A1070="","",DATE(P1070,O1070,1))</f>
        <v/>
      </c>
      <c r="R1070" s="36" t="str">
        <f>IF(OR($A1070="",$N1070=""),"",IF(AND($C1070&lt;&gt;"Transferência",N($I1070)&gt;1),$N1070/$I1070,$N1070))</f>
        <v/>
      </c>
      <c r="S1070" s="41" t="str">
        <f>IF(OR($A1070="",$F1070="",$C1070&lt;&gt;"Despesa"),"",IF(COUNTIF(Cartoes_Nome,$F1070)=0,"",DATE(P1070,O1070+IF(DAY($A1070)&gt;=INDEX(Cartoes_Fech,MATCH($F1070,Cartoes_Nome,0)),1,0),1)))</f>
        <v/>
      </c>
      <c r="T1070" s="42" t="str">
        <f>IF($A1070="","",IF(COUNTIFS(L_Data,$A1070,L_Desc,$B1070,L_Valor,$N1070,L_Tipo,$C1070)&gt;1,"⚠ Possível duplicidade",IF(OR(AND($C1070="Despesa",COUNTIF(CatD_Nome,$D1070)=0),AND($C1070="Receita",COUNTIF(CatR_Nome,$D1070)=0)),"⚠ Categoria não combina com o tipo",IF(OR($N1070="",$C1070=""),"⚠ Falta valor ou tipo",""))))</f>
        <v/>
      </c>
      <c r="U1070" s="40">
        <f>IF($A1070="",0,P1070*12+O1070)</f>
        <v>0</v>
      </c>
      <c r="V1070" s="40">
        <f>IF($A1070="",0,U1070+MAX(0,N($I1070)-MAX(N($H1070),1)))</f>
        <v>0</v>
      </c>
      <c r="W1070" s="40">
        <f>IF(S1070="",0,YEAR(S1070)*12+MONTH(S1070))</f>
        <v>0</v>
      </c>
      <c r="X1070" s="40">
        <f>IF(W1070=0,0,W1070+V1070-U1070)</f>
        <v>0</v>
      </c>
      <c r="Y1070" s="36">
        <f>IF(W1070=0,0,N(R1070)*MAX(0,X1070-MAX(W1070,YEAR(Cfg_Hoje)*12+MONTH(Cfg_Hoje)+IF(DAY(Cfg_Hoje)&gt;=INDEX(Cartoes_Fech,MATCH($F1070,Cartoes_Nome,0)),1,0))+1))</f>
        <v>0</v>
      </c>
      <c r="Z1070" s="40">
        <f>IF($A1070="",0,DAY($A1070))</f>
        <v>0</v>
      </c>
      <c r="AA1070" s="40">
        <f>IF($A1070="",0,WEEKDAY($A1070))</f>
        <v>0</v>
      </c>
      <c r="AB1070" s="36">
        <f>IF(AND($C1070="Despesa",U1070&gt;0,U1070&lt;=Sel_Idx,V1070&gt;=Sel_Idx),N(R1070)+ROW()/1000000000,0)</f>
        <v>0</v>
      </c>
      <c r="AC1070" s="40">
        <f>IF(AND($C1070="Despesa",U1070&gt;0,U1070&lt;=Sel_Idx,V1070&gt;=Sel_Idx),Z1070*10000+ROW(),0)</f>
        <v>0</v>
      </c>
      <c r="AD1070" s="40">
        <f>IF(AC1070=0,0,COUNTIFS(L_CalChave,"&gt;0",L_CalChave,"&lt;"&amp;AC1070)+1)</f>
        <v>0</v>
      </c>
    </row>
    <row r="1071">
      <c r="A1071" s="38" t="n"/>
      <c r="B1071" s="39" t="n"/>
      <c r="C1071" s="34" t="n"/>
      <c r="D1071" s="34" t="n"/>
      <c r="E1071" s="34" t="n"/>
      <c r="F1071" s="34" t="n"/>
      <c r="G1071" s="34" t="n"/>
      <c r="H1071" s="37" t="n"/>
      <c r="I1071" s="37" t="n"/>
      <c r="J1071" s="34" t="n"/>
      <c r="K1071" s="34" t="n"/>
      <c r="L1071" s="34" t="n"/>
      <c r="M1071" s="39" t="n"/>
      <c r="N1071" s="35" t="n"/>
      <c r="O1071" s="40" t="str">
        <f>IF($A1071="","",MONTH($A1071))</f>
        <v/>
      </c>
      <c r="P1071" s="40" t="str">
        <f>IF($A1071="","",YEAR($A1071))</f>
        <v/>
      </c>
      <c r="Q1071" s="41" t="str">
        <f>IF($A1071="","",DATE(P1071,O1071,1))</f>
        <v/>
      </c>
      <c r="R1071" s="36" t="str">
        <f>IF(OR($A1071="",$N1071=""),"",IF(AND($C1071&lt;&gt;"Transferência",N($I1071)&gt;1),$N1071/$I1071,$N1071))</f>
        <v/>
      </c>
      <c r="S1071" s="41" t="str">
        <f>IF(OR($A1071="",$F1071="",$C1071&lt;&gt;"Despesa"),"",IF(COUNTIF(Cartoes_Nome,$F1071)=0,"",DATE(P1071,O1071+IF(DAY($A1071)&gt;=INDEX(Cartoes_Fech,MATCH($F1071,Cartoes_Nome,0)),1,0),1)))</f>
        <v/>
      </c>
      <c r="T1071" s="42" t="str">
        <f>IF($A1071="","",IF(COUNTIFS(L_Data,$A1071,L_Desc,$B1071,L_Valor,$N1071,L_Tipo,$C1071)&gt;1,"⚠ Possível duplicidade",IF(OR(AND($C1071="Despesa",COUNTIF(CatD_Nome,$D1071)=0),AND($C1071="Receita",COUNTIF(CatR_Nome,$D1071)=0)),"⚠ Categoria não combina com o tipo",IF(OR($N1071="",$C1071=""),"⚠ Falta valor ou tipo",""))))</f>
        <v/>
      </c>
      <c r="U1071" s="40">
        <f>IF($A1071="",0,P1071*12+O1071)</f>
        <v>0</v>
      </c>
      <c r="V1071" s="40">
        <f>IF($A1071="",0,U1071+MAX(0,N($I1071)-MAX(N($H1071),1)))</f>
        <v>0</v>
      </c>
      <c r="W1071" s="40">
        <f>IF(S1071="",0,YEAR(S1071)*12+MONTH(S1071))</f>
        <v>0</v>
      </c>
      <c r="X1071" s="40">
        <f>IF(W1071=0,0,W1071+V1071-U1071)</f>
        <v>0</v>
      </c>
      <c r="Y1071" s="36">
        <f>IF(W1071=0,0,N(R1071)*MAX(0,X1071-MAX(W1071,YEAR(Cfg_Hoje)*12+MONTH(Cfg_Hoje)+IF(DAY(Cfg_Hoje)&gt;=INDEX(Cartoes_Fech,MATCH($F1071,Cartoes_Nome,0)),1,0))+1))</f>
        <v>0</v>
      </c>
      <c r="Z1071" s="40">
        <f>IF($A1071="",0,DAY($A1071))</f>
        <v>0</v>
      </c>
      <c r="AA1071" s="40">
        <f>IF($A1071="",0,WEEKDAY($A1071))</f>
        <v>0</v>
      </c>
      <c r="AB1071" s="36">
        <f>IF(AND($C1071="Despesa",U1071&gt;0,U1071&lt;=Sel_Idx,V1071&gt;=Sel_Idx),N(R1071)+ROW()/1000000000,0)</f>
        <v>0</v>
      </c>
      <c r="AC1071" s="40">
        <f>IF(AND($C1071="Despesa",U1071&gt;0,U1071&lt;=Sel_Idx,V1071&gt;=Sel_Idx),Z1071*10000+ROW(),0)</f>
        <v>0</v>
      </c>
      <c r="AD1071" s="40">
        <f>IF(AC1071=0,0,COUNTIFS(L_CalChave,"&gt;0",L_CalChave,"&lt;"&amp;AC1071)+1)</f>
        <v>0</v>
      </c>
    </row>
    <row r="1072">
      <c r="A1072" s="38" t="n"/>
      <c r="B1072" s="39" t="n"/>
      <c r="C1072" s="34" t="n"/>
      <c r="D1072" s="34" t="n"/>
      <c r="E1072" s="34" t="n"/>
      <c r="F1072" s="34" t="n"/>
      <c r="G1072" s="34" t="n"/>
      <c r="H1072" s="37" t="n"/>
      <c r="I1072" s="37" t="n"/>
      <c r="J1072" s="34" t="n"/>
      <c r="K1072" s="34" t="n"/>
      <c r="L1072" s="34" t="n"/>
      <c r="M1072" s="39" t="n"/>
      <c r="N1072" s="35" t="n"/>
      <c r="O1072" s="40" t="str">
        <f>IF($A1072="","",MONTH($A1072))</f>
        <v/>
      </c>
      <c r="P1072" s="40" t="str">
        <f>IF($A1072="","",YEAR($A1072))</f>
        <v/>
      </c>
      <c r="Q1072" s="41" t="str">
        <f>IF($A1072="","",DATE(P1072,O1072,1))</f>
        <v/>
      </c>
      <c r="R1072" s="36" t="str">
        <f>IF(OR($A1072="",$N1072=""),"",IF(AND($C1072&lt;&gt;"Transferência",N($I1072)&gt;1),$N1072/$I1072,$N1072))</f>
        <v/>
      </c>
      <c r="S1072" s="41" t="str">
        <f>IF(OR($A1072="",$F1072="",$C1072&lt;&gt;"Despesa"),"",IF(COUNTIF(Cartoes_Nome,$F1072)=0,"",DATE(P1072,O1072+IF(DAY($A1072)&gt;=INDEX(Cartoes_Fech,MATCH($F1072,Cartoes_Nome,0)),1,0),1)))</f>
        <v/>
      </c>
      <c r="T1072" s="42" t="str">
        <f>IF($A1072="","",IF(COUNTIFS(L_Data,$A1072,L_Desc,$B1072,L_Valor,$N1072,L_Tipo,$C1072)&gt;1,"⚠ Possível duplicidade",IF(OR(AND($C1072="Despesa",COUNTIF(CatD_Nome,$D1072)=0),AND($C1072="Receita",COUNTIF(CatR_Nome,$D1072)=0)),"⚠ Categoria não combina com o tipo",IF(OR($N1072="",$C1072=""),"⚠ Falta valor ou tipo",""))))</f>
        <v/>
      </c>
      <c r="U1072" s="40">
        <f>IF($A1072="",0,P1072*12+O1072)</f>
        <v>0</v>
      </c>
      <c r="V1072" s="40">
        <f>IF($A1072="",0,U1072+MAX(0,N($I1072)-MAX(N($H1072),1)))</f>
        <v>0</v>
      </c>
      <c r="W1072" s="40">
        <f>IF(S1072="",0,YEAR(S1072)*12+MONTH(S1072))</f>
        <v>0</v>
      </c>
      <c r="X1072" s="40">
        <f>IF(W1072=0,0,W1072+V1072-U1072)</f>
        <v>0</v>
      </c>
      <c r="Y1072" s="36">
        <f>IF(W1072=0,0,N(R1072)*MAX(0,X1072-MAX(W1072,YEAR(Cfg_Hoje)*12+MONTH(Cfg_Hoje)+IF(DAY(Cfg_Hoje)&gt;=INDEX(Cartoes_Fech,MATCH($F1072,Cartoes_Nome,0)),1,0))+1))</f>
        <v>0</v>
      </c>
      <c r="Z1072" s="40">
        <f>IF($A1072="",0,DAY($A1072))</f>
        <v>0</v>
      </c>
      <c r="AA1072" s="40">
        <f>IF($A1072="",0,WEEKDAY($A1072))</f>
        <v>0</v>
      </c>
      <c r="AB1072" s="36">
        <f>IF(AND($C1072="Despesa",U1072&gt;0,U1072&lt;=Sel_Idx,V1072&gt;=Sel_Idx),N(R1072)+ROW()/1000000000,0)</f>
        <v>0</v>
      </c>
      <c r="AC1072" s="40">
        <f>IF(AND($C1072="Despesa",U1072&gt;0,U1072&lt;=Sel_Idx,V1072&gt;=Sel_Idx),Z1072*10000+ROW(),0)</f>
        <v>0</v>
      </c>
      <c r="AD1072" s="40">
        <f>IF(AC1072=0,0,COUNTIFS(L_CalChave,"&gt;0",L_CalChave,"&lt;"&amp;AC1072)+1)</f>
        <v>0</v>
      </c>
    </row>
    <row r="1073">
      <c r="A1073" s="38" t="n"/>
      <c r="B1073" s="39" t="n"/>
      <c r="C1073" s="34" t="n"/>
      <c r="D1073" s="34" t="n"/>
      <c r="E1073" s="34" t="n"/>
      <c r="F1073" s="34" t="n"/>
      <c r="G1073" s="34" t="n"/>
      <c r="H1073" s="37" t="n"/>
      <c r="I1073" s="37" t="n"/>
      <c r="J1073" s="34" t="n"/>
      <c r="K1073" s="34" t="n"/>
      <c r="L1073" s="34" t="n"/>
      <c r="M1073" s="39" t="n"/>
      <c r="N1073" s="35" t="n"/>
      <c r="O1073" s="40" t="str">
        <f>IF($A1073="","",MONTH($A1073))</f>
        <v/>
      </c>
      <c r="P1073" s="40" t="str">
        <f>IF($A1073="","",YEAR($A1073))</f>
        <v/>
      </c>
      <c r="Q1073" s="41" t="str">
        <f>IF($A1073="","",DATE(P1073,O1073,1))</f>
        <v/>
      </c>
      <c r="R1073" s="36" t="str">
        <f>IF(OR($A1073="",$N1073=""),"",IF(AND($C1073&lt;&gt;"Transferência",N($I1073)&gt;1),$N1073/$I1073,$N1073))</f>
        <v/>
      </c>
      <c r="S1073" s="41" t="str">
        <f>IF(OR($A1073="",$F1073="",$C1073&lt;&gt;"Despesa"),"",IF(COUNTIF(Cartoes_Nome,$F1073)=0,"",DATE(P1073,O1073+IF(DAY($A1073)&gt;=INDEX(Cartoes_Fech,MATCH($F1073,Cartoes_Nome,0)),1,0),1)))</f>
        <v/>
      </c>
      <c r="T1073" s="42" t="str">
        <f>IF($A1073="","",IF(COUNTIFS(L_Data,$A1073,L_Desc,$B1073,L_Valor,$N1073,L_Tipo,$C1073)&gt;1,"⚠ Possível duplicidade",IF(OR(AND($C1073="Despesa",COUNTIF(CatD_Nome,$D1073)=0),AND($C1073="Receita",COUNTIF(CatR_Nome,$D1073)=0)),"⚠ Categoria não combina com o tipo",IF(OR($N1073="",$C1073=""),"⚠ Falta valor ou tipo",""))))</f>
        <v/>
      </c>
      <c r="U1073" s="40">
        <f>IF($A1073="",0,P1073*12+O1073)</f>
        <v>0</v>
      </c>
      <c r="V1073" s="40">
        <f>IF($A1073="",0,U1073+MAX(0,N($I1073)-MAX(N($H1073),1)))</f>
        <v>0</v>
      </c>
      <c r="W1073" s="40">
        <f>IF(S1073="",0,YEAR(S1073)*12+MONTH(S1073))</f>
        <v>0</v>
      </c>
      <c r="X1073" s="40">
        <f>IF(W1073=0,0,W1073+V1073-U1073)</f>
        <v>0</v>
      </c>
      <c r="Y1073" s="36">
        <f>IF(W1073=0,0,N(R1073)*MAX(0,X1073-MAX(W1073,YEAR(Cfg_Hoje)*12+MONTH(Cfg_Hoje)+IF(DAY(Cfg_Hoje)&gt;=INDEX(Cartoes_Fech,MATCH($F1073,Cartoes_Nome,0)),1,0))+1))</f>
        <v>0</v>
      </c>
      <c r="Z1073" s="40">
        <f>IF($A1073="",0,DAY($A1073))</f>
        <v>0</v>
      </c>
      <c r="AA1073" s="40">
        <f>IF($A1073="",0,WEEKDAY($A1073))</f>
        <v>0</v>
      </c>
      <c r="AB1073" s="36">
        <f>IF(AND($C1073="Despesa",U1073&gt;0,U1073&lt;=Sel_Idx,V1073&gt;=Sel_Idx),N(R1073)+ROW()/1000000000,0)</f>
        <v>0</v>
      </c>
      <c r="AC1073" s="40">
        <f>IF(AND($C1073="Despesa",U1073&gt;0,U1073&lt;=Sel_Idx,V1073&gt;=Sel_Idx),Z1073*10000+ROW(),0)</f>
        <v>0</v>
      </c>
      <c r="AD1073" s="40">
        <f>IF(AC1073=0,0,COUNTIFS(L_CalChave,"&gt;0",L_CalChave,"&lt;"&amp;AC1073)+1)</f>
        <v>0</v>
      </c>
    </row>
    <row r="1074">
      <c r="A1074" s="38" t="n"/>
      <c r="B1074" s="39" t="n"/>
      <c r="C1074" s="34" t="n"/>
      <c r="D1074" s="34" t="n"/>
      <c r="E1074" s="34" t="n"/>
      <c r="F1074" s="34" t="n"/>
      <c r="G1074" s="34" t="n"/>
      <c r="H1074" s="37" t="n"/>
      <c r="I1074" s="37" t="n"/>
      <c r="J1074" s="34" t="n"/>
      <c r="K1074" s="34" t="n"/>
      <c r="L1074" s="34" t="n"/>
      <c r="M1074" s="39" t="n"/>
      <c r="N1074" s="35" t="n"/>
      <c r="O1074" s="40" t="str">
        <f>IF($A1074="","",MONTH($A1074))</f>
        <v/>
      </c>
      <c r="P1074" s="40" t="str">
        <f>IF($A1074="","",YEAR($A1074))</f>
        <v/>
      </c>
      <c r="Q1074" s="41" t="str">
        <f>IF($A1074="","",DATE(P1074,O1074,1))</f>
        <v/>
      </c>
      <c r="R1074" s="36" t="str">
        <f>IF(OR($A1074="",$N1074=""),"",IF(AND($C1074&lt;&gt;"Transferência",N($I1074)&gt;1),$N1074/$I1074,$N1074))</f>
        <v/>
      </c>
      <c r="S1074" s="41" t="str">
        <f>IF(OR($A1074="",$F1074="",$C1074&lt;&gt;"Despesa"),"",IF(COUNTIF(Cartoes_Nome,$F1074)=0,"",DATE(P1074,O1074+IF(DAY($A1074)&gt;=INDEX(Cartoes_Fech,MATCH($F1074,Cartoes_Nome,0)),1,0),1)))</f>
        <v/>
      </c>
      <c r="T1074" s="42" t="str">
        <f>IF($A1074="","",IF(COUNTIFS(L_Data,$A1074,L_Desc,$B1074,L_Valor,$N1074,L_Tipo,$C1074)&gt;1,"⚠ Possível duplicidade",IF(OR(AND($C1074="Despesa",COUNTIF(CatD_Nome,$D1074)=0),AND($C1074="Receita",COUNTIF(CatR_Nome,$D1074)=0)),"⚠ Categoria não combina com o tipo",IF(OR($N1074="",$C1074=""),"⚠ Falta valor ou tipo",""))))</f>
        <v/>
      </c>
      <c r="U1074" s="40">
        <f>IF($A1074="",0,P1074*12+O1074)</f>
        <v>0</v>
      </c>
      <c r="V1074" s="40">
        <f>IF($A1074="",0,U1074+MAX(0,N($I1074)-MAX(N($H1074),1)))</f>
        <v>0</v>
      </c>
      <c r="W1074" s="40">
        <f>IF(S1074="",0,YEAR(S1074)*12+MONTH(S1074))</f>
        <v>0</v>
      </c>
      <c r="X1074" s="40">
        <f>IF(W1074=0,0,W1074+V1074-U1074)</f>
        <v>0</v>
      </c>
      <c r="Y1074" s="36">
        <f>IF(W1074=0,0,N(R1074)*MAX(0,X1074-MAX(W1074,YEAR(Cfg_Hoje)*12+MONTH(Cfg_Hoje)+IF(DAY(Cfg_Hoje)&gt;=INDEX(Cartoes_Fech,MATCH($F1074,Cartoes_Nome,0)),1,0))+1))</f>
        <v>0</v>
      </c>
      <c r="Z1074" s="40">
        <f>IF($A1074="",0,DAY($A1074))</f>
        <v>0</v>
      </c>
      <c r="AA1074" s="40">
        <f>IF($A1074="",0,WEEKDAY($A1074))</f>
        <v>0</v>
      </c>
      <c r="AB1074" s="36">
        <f>IF(AND($C1074="Despesa",U1074&gt;0,U1074&lt;=Sel_Idx,V1074&gt;=Sel_Idx),N(R1074)+ROW()/1000000000,0)</f>
        <v>0</v>
      </c>
      <c r="AC1074" s="40">
        <f>IF(AND($C1074="Despesa",U1074&gt;0,U1074&lt;=Sel_Idx,V1074&gt;=Sel_Idx),Z1074*10000+ROW(),0)</f>
        <v>0</v>
      </c>
      <c r="AD1074" s="40">
        <f>IF(AC1074=0,0,COUNTIFS(L_CalChave,"&gt;0",L_CalChave,"&lt;"&amp;AC1074)+1)</f>
        <v>0</v>
      </c>
    </row>
    <row r="1075">
      <c r="A1075" s="38" t="n"/>
      <c r="B1075" s="39" t="n"/>
      <c r="C1075" s="34" t="n"/>
      <c r="D1075" s="34" t="n"/>
      <c r="E1075" s="34" t="n"/>
      <c r="F1075" s="34" t="n"/>
      <c r="G1075" s="34" t="n"/>
      <c r="H1075" s="37" t="n"/>
      <c r="I1075" s="37" t="n"/>
      <c r="J1075" s="34" t="n"/>
      <c r="K1075" s="34" t="n"/>
      <c r="L1075" s="34" t="n"/>
      <c r="M1075" s="39" t="n"/>
      <c r="N1075" s="35" t="n"/>
      <c r="O1075" s="40" t="str">
        <f>IF($A1075="","",MONTH($A1075))</f>
        <v/>
      </c>
      <c r="P1075" s="40" t="str">
        <f>IF($A1075="","",YEAR($A1075))</f>
        <v/>
      </c>
      <c r="Q1075" s="41" t="str">
        <f>IF($A1075="","",DATE(P1075,O1075,1))</f>
        <v/>
      </c>
      <c r="R1075" s="36" t="str">
        <f>IF(OR($A1075="",$N1075=""),"",IF(AND($C1075&lt;&gt;"Transferência",N($I1075)&gt;1),$N1075/$I1075,$N1075))</f>
        <v/>
      </c>
      <c r="S1075" s="41" t="str">
        <f>IF(OR($A1075="",$F1075="",$C1075&lt;&gt;"Despesa"),"",IF(COUNTIF(Cartoes_Nome,$F1075)=0,"",DATE(P1075,O1075+IF(DAY($A1075)&gt;=INDEX(Cartoes_Fech,MATCH($F1075,Cartoes_Nome,0)),1,0),1)))</f>
        <v/>
      </c>
      <c r="T1075" s="42" t="str">
        <f>IF($A1075="","",IF(COUNTIFS(L_Data,$A1075,L_Desc,$B1075,L_Valor,$N1075,L_Tipo,$C1075)&gt;1,"⚠ Possível duplicidade",IF(OR(AND($C1075="Despesa",COUNTIF(CatD_Nome,$D1075)=0),AND($C1075="Receita",COUNTIF(CatR_Nome,$D1075)=0)),"⚠ Categoria não combina com o tipo",IF(OR($N1075="",$C1075=""),"⚠ Falta valor ou tipo",""))))</f>
        <v/>
      </c>
      <c r="U1075" s="40">
        <f>IF($A1075="",0,P1075*12+O1075)</f>
        <v>0</v>
      </c>
      <c r="V1075" s="40">
        <f>IF($A1075="",0,U1075+MAX(0,N($I1075)-MAX(N($H1075),1)))</f>
        <v>0</v>
      </c>
      <c r="W1075" s="40">
        <f>IF(S1075="",0,YEAR(S1075)*12+MONTH(S1075))</f>
        <v>0</v>
      </c>
      <c r="X1075" s="40">
        <f>IF(W1075=0,0,W1075+V1075-U1075)</f>
        <v>0</v>
      </c>
      <c r="Y1075" s="36">
        <f>IF(W1075=0,0,N(R1075)*MAX(0,X1075-MAX(W1075,YEAR(Cfg_Hoje)*12+MONTH(Cfg_Hoje)+IF(DAY(Cfg_Hoje)&gt;=INDEX(Cartoes_Fech,MATCH($F1075,Cartoes_Nome,0)),1,0))+1))</f>
        <v>0</v>
      </c>
      <c r="Z1075" s="40">
        <f>IF($A1075="",0,DAY($A1075))</f>
        <v>0</v>
      </c>
      <c r="AA1075" s="40">
        <f>IF($A1075="",0,WEEKDAY($A1075))</f>
        <v>0</v>
      </c>
      <c r="AB1075" s="36">
        <f>IF(AND($C1075="Despesa",U1075&gt;0,U1075&lt;=Sel_Idx,V1075&gt;=Sel_Idx),N(R1075)+ROW()/1000000000,0)</f>
        <v>0</v>
      </c>
      <c r="AC1075" s="40">
        <f>IF(AND($C1075="Despesa",U1075&gt;0,U1075&lt;=Sel_Idx,V1075&gt;=Sel_Idx),Z1075*10000+ROW(),0)</f>
        <v>0</v>
      </c>
      <c r="AD1075" s="40">
        <f>IF(AC1075=0,0,COUNTIFS(L_CalChave,"&gt;0",L_CalChave,"&lt;"&amp;AC1075)+1)</f>
        <v>0</v>
      </c>
    </row>
    <row r="1076">
      <c r="A1076" s="38" t="n"/>
      <c r="B1076" s="39" t="n"/>
      <c r="C1076" s="34" t="n"/>
      <c r="D1076" s="34" t="n"/>
      <c r="E1076" s="34" t="n"/>
      <c r="F1076" s="34" t="n"/>
      <c r="G1076" s="34" t="n"/>
      <c r="H1076" s="37" t="n"/>
      <c r="I1076" s="37" t="n"/>
      <c r="J1076" s="34" t="n"/>
      <c r="K1076" s="34" t="n"/>
      <c r="L1076" s="34" t="n"/>
      <c r="M1076" s="39" t="n"/>
      <c r="N1076" s="35" t="n"/>
      <c r="O1076" s="40" t="str">
        <f>IF($A1076="","",MONTH($A1076))</f>
        <v/>
      </c>
      <c r="P1076" s="40" t="str">
        <f>IF($A1076="","",YEAR($A1076))</f>
        <v/>
      </c>
      <c r="Q1076" s="41" t="str">
        <f>IF($A1076="","",DATE(P1076,O1076,1))</f>
        <v/>
      </c>
      <c r="R1076" s="36" t="str">
        <f>IF(OR($A1076="",$N1076=""),"",IF(AND($C1076&lt;&gt;"Transferência",N($I1076)&gt;1),$N1076/$I1076,$N1076))</f>
        <v/>
      </c>
      <c r="S1076" s="41" t="str">
        <f>IF(OR($A1076="",$F1076="",$C1076&lt;&gt;"Despesa"),"",IF(COUNTIF(Cartoes_Nome,$F1076)=0,"",DATE(P1076,O1076+IF(DAY($A1076)&gt;=INDEX(Cartoes_Fech,MATCH($F1076,Cartoes_Nome,0)),1,0),1)))</f>
        <v/>
      </c>
      <c r="T1076" s="42" t="str">
        <f>IF($A1076="","",IF(COUNTIFS(L_Data,$A1076,L_Desc,$B1076,L_Valor,$N1076,L_Tipo,$C1076)&gt;1,"⚠ Possível duplicidade",IF(OR(AND($C1076="Despesa",COUNTIF(CatD_Nome,$D1076)=0),AND($C1076="Receita",COUNTIF(CatR_Nome,$D1076)=0)),"⚠ Categoria não combina com o tipo",IF(OR($N1076="",$C1076=""),"⚠ Falta valor ou tipo",""))))</f>
        <v/>
      </c>
      <c r="U1076" s="40">
        <f>IF($A1076="",0,P1076*12+O1076)</f>
        <v>0</v>
      </c>
      <c r="V1076" s="40">
        <f>IF($A1076="",0,U1076+MAX(0,N($I1076)-MAX(N($H1076),1)))</f>
        <v>0</v>
      </c>
      <c r="W1076" s="40">
        <f>IF(S1076="",0,YEAR(S1076)*12+MONTH(S1076))</f>
        <v>0</v>
      </c>
      <c r="X1076" s="40">
        <f>IF(W1076=0,0,W1076+V1076-U1076)</f>
        <v>0</v>
      </c>
      <c r="Y1076" s="36">
        <f>IF(W1076=0,0,N(R1076)*MAX(0,X1076-MAX(W1076,YEAR(Cfg_Hoje)*12+MONTH(Cfg_Hoje)+IF(DAY(Cfg_Hoje)&gt;=INDEX(Cartoes_Fech,MATCH($F1076,Cartoes_Nome,0)),1,0))+1))</f>
        <v>0</v>
      </c>
      <c r="Z1076" s="40">
        <f>IF($A1076="",0,DAY($A1076))</f>
        <v>0</v>
      </c>
      <c r="AA1076" s="40">
        <f>IF($A1076="",0,WEEKDAY($A1076))</f>
        <v>0</v>
      </c>
      <c r="AB1076" s="36">
        <f>IF(AND($C1076="Despesa",U1076&gt;0,U1076&lt;=Sel_Idx,V1076&gt;=Sel_Idx),N(R1076)+ROW()/1000000000,0)</f>
        <v>0</v>
      </c>
      <c r="AC1076" s="40">
        <f>IF(AND($C1076="Despesa",U1076&gt;0,U1076&lt;=Sel_Idx,V1076&gt;=Sel_Idx),Z1076*10000+ROW(),0)</f>
        <v>0</v>
      </c>
      <c r="AD1076" s="40">
        <f>IF(AC1076=0,0,COUNTIFS(L_CalChave,"&gt;0",L_CalChave,"&lt;"&amp;AC1076)+1)</f>
        <v>0</v>
      </c>
    </row>
    <row r="1077">
      <c r="A1077" s="38" t="n"/>
      <c r="B1077" s="39" t="n"/>
      <c r="C1077" s="34" t="n"/>
      <c r="D1077" s="34" t="n"/>
      <c r="E1077" s="34" t="n"/>
      <c r="F1077" s="34" t="n"/>
      <c r="G1077" s="34" t="n"/>
      <c r="H1077" s="37" t="n"/>
      <c r="I1077" s="37" t="n"/>
      <c r="J1077" s="34" t="n"/>
      <c r="K1077" s="34" t="n"/>
      <c r="L1077" s="34" t="n"/>
      <c r="M1077" s="39" t="n"/>
      <c r="N1077" s="35" t="n"/>
      <c r="O1077" s="40" t="str">
        <f>IF($A1077="","",MONTH($A1077))</f>
        <v/>
      </c>
      <c r="P1077" s="40" t="str">
        <f>IF($A1077="","",YEAR($A1077))</f>
        <v/>
      </c>
      <c r="Q1077" s="41" t="str">
        <f>IF($A1077="","",DATE(P1077,O1077,1))</f>
        <v/>
      </c>
      <c r="R1077" s="36" t="str">
        <f>IF(OR($A1077="",$N1077=""),"",IF(AND($C1077&lt;&gt;"Transferência",N($I1077)&gt;1),$N1077/$I1077,$N1077))</f>
        <v/>
      </c>
      <c r="S1077" s="41" t="str">
        <f>IF(OR($A1077="",$F1077="",$C1077&lt;&gt;"Despesa"),"",IF(COUNTIF(Cartoes_Nome,$F1077)=0,"",DATE(P1077,O1077+IF(DAY($A1077)&gt;=INDEX(Cartoes_Fech,MATCH($F1077,Cartoes_Nome,0)),1,0),1)))</f>
        <v/>
      </c>
      <c r="T1077" s="42" t="str">
        <f>IF($A1077="","",IF(COUNTIFS(L_Data,$A1077,L_Desc,$B1077,L_Valor,$N1077,L_Tipo,$C1077)&gt;1,"⚠ Possível duplicidade",IF(OR(AND($C1077="Despesa",COUNTIF(CatD_Nome,$D1077)=0),AND($C1077="Receita",COUNTIF(CatR_Nome,$D1077)=0)),"⚠ Categoria não combina com o tipo",IF(OR($N1077="",$C1077=""),"⚠ Falta valor ou tipo",""))))</f>
        <v/>
      </c>
      <c r="U1077" s="40">
        <f>IF($A1077="",0,P1077*12+O1077)</f>
        <v>0</v>
      </c>
      <c r="V1077" s="40">
        <f>IF($A1077="",0,U1077+MAX(0,N($I1077)-MAX(N($H1077),1)))</f>
        <v>0</v>
      </c>
      <c r="W1077" s="40">
        <f>IF(S1077="",0,YEAR(S1077)*12+MONTH(S1077))</f>
        <v>0</v>
      </c>
      <c r="X1077" s="40">
        <f>IF(W1077=0,0,W1077+V1077-U1077)</f>
        <v>0</v>
      </c>
      <c r="Y1077" s="36">
        <f>IF(W1077=0,0,N(R1077)*MAX(0,X1077-MAX(W1077,YEAR(Cfg_Hoje)*12+MONTH(Cfg_Hoje)+IF(DAY(Cfg_Hoje)&gt;=INDEX(Cartoes_Fech,MATCH($F1077,Cartoes_Nome,0)),1,0))+1))</f>
        <v>0</v>
      </c>
      <c r="Z1077" s="40">
        <f>IF($A1077="",0,DAY($A1077))</f>
        <v>0</v>
      </c>
      <c r="AA1077" s="40">
        <f>IF($A1077="",0,WEEKDAY($A1077))</f>
        <v>0</v>
      </c>
      <c r="AB1077" s="36">
        <f>IF(AND($C1077="Despesa",U1077&gt;0,U1077&lt;=Sel_Idx,V1077&gt;=Sel_Idx),N(R1077)+ROW()/1000000000,0)</f>
        <v>0</v>
      </c>
      <c r="AC1077" s="40">
        <f>IF(AND($C1077="Despesa",U1077&gt;0,U1077&lt;=Sel_Idx,V1077&gt;=Sel_Idx),Z1077*10000+ROW(),0)</f>
        <v>0</v>
      </c>
      <c r="AD1077" s="40">
        <f>IF(AC1077=0,0,COUNTIFS(L_CalChave,"&gt;0",L_CalChave,"&lt;"&amp;AC1077)+1)</f>
        <v>0</v>
      </c>
    </row>
    <row r="1078">
      <c r="A1078" s="38" t="n"/>
      <c r="B1078" s="39" t="n"/>
      <c r="C1078" s="34" t="n"/>
      <c r="D1078" s="34" t="n"/>
      <c r="E1078" s="34" t="n"/>
      <c r="F1078" s="34" t="n"/>
      <c r="G1078" s="34" t="n"/>
      <c r="H1078" s="37" t="n"/>
      <c r="I1078" s="37" t="n"/>
      <c r="J1078" s="34" t="n"/>
      <c r="K1078" s="34" t="n"/>
      <c r="L1078" s="34" t="n"/>
      <c r="M1078" s="39" t="n"/>
      <c r="N1078" s="35" t="n"/>
      <c r="O1078" s="40" t="str">
        <f>IF($A1078="","",MONTH($A1078))</f>
        <v/>
      </c>
      <c r="P1078" s="40" t="str">
        <f>IF($A1078="","",YEAR($A1078))</f>
        <v/>
      </c>
      <c r="Q1078" s="41" t="str">
        <f>IF($A1078="","",DATE(P1078,O1078,1))</f>
        <v/>
      </c>
      <c r="R1078" s="36" t="str">
        <f>IF(OR($A1078="",$N1078=""),"",IF(AND($C1078&lt;&gt;"Transferência",N($I1078)&gt;1),$N1078/$I1078,$N1078))</f>
        <v/>
      </c>
      <c r="S1078" s="41" t="str">
        <f>IF(OR($A1078="",$F1078="",$C1078&lt;&gt;"Despesa"),"",IF(COUNTIF(Cartoes_Nome,$F1078)=0,"",DATE(P1078,O1078+IF(DAY($A1078)&gt;=INDEX(Cartoes_Fech,MATCH($F1078,Cartoes_Nome,0)),1,0),1)))</f>
        <v/>
      </c>
      <c r="T1078" s="42" t="str">
        <f>IF($A1078="","",IF(COUNTIFS(L_Data,$A1078,L_Desc,$B1078,L_Valor,$N1078,L_Tipo,$C1078)&gt;1,"⚠ Possível duplicidade",IF(OR(AND($C1078="Despesa",COUNTIF(CatD_Nome,$D1078)=0),AND($C1078="Receita",COUNTIF(CatR_Nome,$D1078)=0)),"⚠ Categoria não combina com o tipo",IF(OR($N1078="",$C1078=""),"⚠ Falta valor ou tipo",""))))</f>
        <v/>
      </c>
      <c r="U1078" s="40">
        <f>IF($A1078="",0,P1078*12+O1078)</f>
        <v>0</v>
      </c>
      <c r="V1078" s="40">
        <f>IF($A1078="",0,U1078+MAX(0,N($I1078)-MAX(N($H1078),1)))</f>
        <v>0</v>
      </c>
      <c r="W1078" s="40">
        <f>IF(S1078="",0,YEAR(S1078)*12+MONTH(S1078))</f>
        <v>0</v>
      </c>
      <c r="X1078" s="40">
        <f>IF(W1078=0,0,W1078+V1078-U1078)</f>
        <v>0</v>
      </c>
      <c r="Y1078" s="36">
        <f>IF(W1078=0,0,N(R1078)*MAX(0,X1078-MAX(W1078,YEAR(Cfg_Hoje)*12+MONTH(Cfg_Hoje)+IF(DAY(Cfg_Hoje)&gt;=INDEX(Cartoes_Fech,MATCH($F1078,Cartoes_Nome,0)),1,0))+1))</f>
        <v>0</v>
      </c>
      <c r="Z1078" s="40">
        <f>IF($A1078="",0,DAY($A1078))</f>
        <v>0</v>
      </c>
      <c r="AA1078" s="40">
        <f>IF($A1078="",0,WEEKDAY($A1078))</f>
        <v>0</v>
      </c>
      <c r="AB1078" s="36">
        <f>IF(AND($C1078="Despesa",U1078&gt;0,U1078&lt;=Sel_Idx,V1078&gt;=Sel_Idx),N(R1078)+ROW()/1000000000,0)</f>
        <v>0</v>
      </c>
      <c r="AC1078" s="40">
        <f>IF(AND($C1078="Despesa",U1078&gt;0,U1078&lt;=Sel_Idx,V1078&gt;=Sel_Idx),Z1078*10000+ROW(),0)</f>
        <v>0</v>
      </c>
      <c r="AD1078" s="40">
        <f>IF(AC1078=0,0,COUNTIFS(L_CalChave,"&gt;0",L_CalChave,"&lt;"&amp;AC1078)+1)</f>
        <v>0</v>
      </c>
    </row>
    <row r="1079">
      <c r="A1079" s="38" t="n"/>
      <c r="B1079" s="39" t="n"/>
      <c r="C1079" s="34" t="n"/>
      <c r="D1079" s="34" t="n"/>
      <c r="E1079" s="34" t="n"/>
      <c r="F1079" s="34" t="n"/>
      <c r="G1079" s="34" t="n"/>
      <c r="H1079" s="37" t="n"/>
      <c r="I1079" s="37" t="n"/>
      <c r="J1079" s="34" t="n"/>
      <c r="K1079" s="34" t="n"/>
      <c r="L1079" s="34" t="n"/>
      <c r="M1079" s="39" t="n"/>
      <c r="N1079" s="35" t="n"/>
      <c r="O1079" s="40" t="str">
        <f>IF($A1079="","",MONTH($A1079))</f>
        <v/>
      </c>
      <c r="P1079" s="40" t="str">
        <f>IF($A1079="","",YEAR($A1079))</f>
        <v/>
      </c>
      <c r="Q1079" s="41" t="str">
        <f>IF($A1079="","",DATE(P1079,O1079,1))</f>
        <v/>
      </c>
      <c r="R1079" s="36" t="str">
        <f>IF(OR($A1079="",$N1079=""),"",IF(AND($C1079&lt;&gt;"Transferência",N($I1079)&gt;1),$N1079/$I1079,$N1079))</f>
        <v/>
      </c>
      <c r="S1079" s="41" t="str">
        <f>IF(OR($A1079="",$F1079="",$C1079&lt;&gt;"Despesa"),"",IF(COUNTIF(Cartoes_Nome,$F1079)=0,"",DATE(P1079,O1079+IF(DAY($A1079)&gt;=INDEX(Cartoes_Fech,MATCH($F1079,Cartoes_Nome,0)),1,0),1)))</f>
        <v/>
      </c>
      <c r="T1079" s="42" t="str">
        <f>IF($A1079="","",IF(COUNTIFS(L_Data,$A1079,L_Desc,$B1079,L_Valor,$N1079,L_Tipo,$C1079)&gt;1,"⚠ Possível duplicidade",IF(OR(AND($C1079="Despesa",COUNTIF(CatD_Nome,$D1079)=0),AND($C1079="Receita",COUNTIF(CatR_Nome,$D1079)=0)),"⚠ Categoria não combina com o tipo",IF(OR($N1079="",$C1079=""),"⚠ Falta valor ou tipo",""))))</f>
        <v/>
      </c>
      <c r="U1079" s="40">
        <f>IF($A1079="",0,P1079*12+O1079)</f>
        <v>0</v>
      </c>
      <c r="V1079" s="40">
        <f>IF($A1079="",0,U1079+MAX(0,N($I1079)-MAX(N($H1079),1)))</f>
        <v>0</v>
      </c>
      <c r="W1079" s="40">
        <f>IF(S1079="",0,YEAR(S1079)*12+MONTH(S1079))</f>
        <v>0</v>
      </c>
      <c r="X1079" s="40">
        <f>IF(W1079=0,0,W1079+V1079-U1079)</f>
        <v>0</v>
      </c>
      <c r="Y1079" s="36">
        <f>IF(W1079=0,0,N(R1079)*MAX(0,X1079-MAX(W1079,YEAR(Cfg_Hoje)*12+MONTH(Cfg_Hoje)+IF(DAY(Cfg_Hoje)&gt;=INDEX(Cartoes_Fech,MATCH($F1079,Cartoes_Nome,0)),1,0))+1))</f>
        <v>0</v>
      </c>
      <c r="Z1079" s="40">
        <f>IF($A1079="",0,DAY($A1079))</f>
        <v>0</v>
      </c>
      <c r="AA1079" s="40">
        <f>IF($A1079="",0,WEEKDAY($A1079))</f>
        <v>0</v>
      </c>
      <c r="AB1079" s="36">
        <f>IF(AND($C1079="Despesa",U1079&gt;0,U1079&lt;=Sel_Idx,V1079&gt;=Sel_Idx),N(R1079)+ROW()/1000000000,0)</f>
        <v>0</v>
      </c>
      <c r="AC1079" s="40">
        <f>IF(AND($C1079="Despesa",U1079&gt;0,U1079&lt;=Sel_Idx,V1079&gt;=Sel_Idx),Z1079*10000+ROW(),0)</f>
        <v>0</v>
      </c>
      <c r="AD1079" s="40">
        <f>IF(AC1079=0,0,COUNTIFS(L_CalChave,"&gt;0",L_CalChave,"&lt;"&amp;AC1079)+1)</f>
        <v>0</v>
      </c>
    </row>
    <row r="1080">
      <c r="A1080" s="38" t="n"/>
      <c r="B1080" s="39" t="n"/>
      <c r="C1080" s="34" t="n"/>
      <c r="D1080" s="34" t="n"/>
      <c r="E1080" s="34" t="n"/>
      <c r="F1080" s="34" t="n"/>
      <c r="G1080" s="34" t="n"/>
      <c r="H1080" s="37" t="n"/>
      <c r="I1080" s="37" t="n"/>
      <c r="J1080" s="34" t="n"/>
      <c r="K1080" s="34" t="n"/>
      <c r="L1080" s="34" t="n"/>
      <c r="M1080" s="39" t="n"/>
      <c r="N1080" s="35" t="n"/>
      <c r="O1080" s="40" t="str">
        <f>IF($A1080="","",MONTH($A1080))</f>
        <v/>
      </c>
      <c r="P1080" s="40" t="str">
        <f>IF($A1080="","",YEAR($A1080))</f>
        <v/>
      </c>
      <c r="Q1080" s="41" t="str">
        <f>IF($A1080="","",DATE(P1080,O1080,1))</f>
        <v/>
      </c>
      <c r="R1080" s="36" t="str">
        <f>IF(OR($A1080="",$N1080=""),"",IF(AND($C1080&lt;&gt;"Transferência",N($I1080)&gt;1),$N1080/$I1080,$N1080))</f>
        <v/>
      </c>
      <c r="S1080" s="41" t="str">
        <f>IF(OR($A1080="",$F1080="",$C1080&lt;&gt;"Despesa"),"",IF(COUNTIF(Cartoes_Nome,$F1080)=0,"",DATE(P1080,O1080+IF(DAY($A1080)&gt;=INDEX(Cartoes_Fech,MATCH($F1080,Cartoes_Nome,0)),1,0),1)))</f>
        <v/>
      </c>
      <c r="T1080" s="42" t="str">
        <f>IF($A1080="","",IF(COUNTIFS(L_Data,$A1080,L_Desc,$B1080,L_Valor,$N1080,L_Tipo,$C1080)&gt;1,"⚠ Possível duplicidade",IF(OR(AND($C1080="Despesa",COUNTIF(CatD_Nome,$D1080)=0),AND($C1080="Receita",COUNTIF(CatR_Nome,$D1080)=0)),"⚠ Categoria não combina com o tipo",IF(OR($N1080="",$C1080=""),"⚠ Falta valor ou tipo",""))))</f>
        <v/>
      </c>
      <c r="U1080" s="40">
        <f>IF($A1080="",0,P1080*12+O1080)</f>
        <v>0</v>
      </c>
      <c r="V1080" s="40">
        <f>IF($A1080="",0,U1080+MAX(0,N($I1080)-MAX(N($H1080),1)))</f>
        <v>0</v>
      </c>
      <c r="W1080" s="40">
        <f>IF(S1080="",0,YEAR(S1080)*12+MONTH(S1080))</f>
        <v>0</v>
      </c>
      <c r="X1080" s="40">
        <f>IF(W1080=0,0,W1080+V1080-U1080)</f>
        <v>0</v>
      </c>
      <c r="Y1080" s="36">
        <f>IF(W1080=0,0,N(R1080)*MAX(0,X1080-MAX(W1080,YEAR(Cfg_Hoje)*12+MONTH(Cfg_Hoje)+IF(DAY(Cfg_Hoje)&gt;=INDEX(Cartoes_Fech,MATCH($F1080,Cartoes_Nome,0)),1,0))+1))</f>
        <v>0</v>
      </c>
      <c r="Z1080" s="40">
        <f>IF($A1080="",0,DAY($A1080))</f>
        <v>0</v>
      </c>
      <c r="AA1080" s="40">
        <f>IF($A1080="",0,WEEKDAY($A1080))</f>
        <v>0</v>
      </c>
      <c r="AB1080" s="36">
        <f>IF(AND($C1080="Despesa",U1080&gt;0,U1080&lt;=Sel_Idx,V1080&gt;=Sel_Idx),N(R1080)+ROW()/1000000000,0)</f>
        <v>0</v>
      </c>
      <c r="AC1080" s="40">
        <f>IF(AND($C1080="Despesa",U1080&gt;0,U1080&lt;=Sel_Idx,V1080&gt;=Sel_Idx),Z1080*10000+ROW(),0)</f>
        <v>0</v>
      </c>
      <c r="AD1080" s="40">
        <f>IF(AC1080=0,0,COUNTIFS(L_CalChave,"&gt;0",L_CalChave,"&lt;"&amp;AC1080)+1)</f>
        <v>0</v>
      </c>
    </row>
    <row r="1081">
      <c r="A1081" s="38" t="n"/>
      <c r="B1081" s="39" t="n"/>
      <c r="C1081" s="34" t="n"/>
      <c r="D1081" s="34" t="n"/>
      <c r="E1081" s="34" t="n"/>
      <c r="F1081" s="34" t="n"/>
      <c r="G1081" s="34" t="n"/>
      <c r="H1081" s="37" t="n"/>
      <c r="I1081" s="37" t="n"/>
      <c r="J1081" s="34" t="n"/>
      <c r="K1081" s="34" t="n"/>
      <c r="L1081" s="34" t="n"/>
      <c r="M1081" s="39" t="n"/>
      <c r="N1081" s="35" t="n"/>
      <c r="O1081" s="40" t="str">
        <f>IF($A1081="","",MONTH($A1081))</f>
        <v/>
      </c>
      <c r="P1081" s="40" t="str">
        <f>IF($A1081="","",YEAR($A1081))</f>
        <v/>
      </c>
      <c r="Q1081" s="41" t="str">
        <f>IF($A1081="","",DATE(P1081,O1081,1))</f>
        <v/>
      </c>
      <c r="R1081" s="36" t="str">
        <f>IF(OR($A1081="",$N1081=""),"",IF(AND($C1081&lt;&gt;"Transferência",N($I1081)&gt;1),$N1081/$I1081,$N1081))</f>
        <v/>
      </c>
      <c r="S1081" s="41" t="str">
        <f>IF(OR($A1081="",$F1081="",$C1081&lt;&gt;"Despesa"),"",IF(COUNTIF(Cartoes_Nome,$F1081)=0,"",DATE(P1081,O1081+IF(DAY($A1081)&gt;=INDEX(Cartoes_Fech,MATCH($F1081,Cartoes_Nome,0)),1,0),1)))</f>
        <v/>
      </c>
      <c r="T1081" s="42" t="str">
        <f>IF($A1081="","",IF(COUNTIFS(L_Data,$A1081,L_Desc,$B1081,L_Valor,$N1081,L_Tipo,$C1081)&gt;1,"⚠ Possível duplicidade",IF(OR(AND($C1081="Despesa",COUNTIF(CatD_Nome,$D1081)=0),AND($C1081="Receita",COUNTIF(CatR_Nome,$D1081)=0)),"⚠ Categoria não combina com o tipo",IF(OR($N1081="",$C1081=""),"⚠ Falta valor ou tipo",""))))</f>
        <v/>
      </c>
      <c r="U1081" s="40">
        <f>IF($A1081="",0,P1081*12+O1081)</f>
        <v>0</v>
      </c>
      <c r="V1081" s="40">
        <f>IF($A1081="",0,U1081+MAX(0,N($I1081)-MAX(N($H1081),1)))</f>
        <v>0</v>
      </c>
      <c r="W1081" s="40">
        <f>IF(S1081="",0,YEAR(S1081)*12+MONTH(S1081))</f>
        <v>0</v>
      </c>
      <c r="X1081" s="40">
        <f>IF(W1081=0,0,W1081+V1081-U1081)</f>
        <v>0</v>
      </c>
      <c r="Y1081" s="36">
        <f>IF(W1081=0,0,N(R1081)*MAX(0,X1081-MAX(W1081,YEAR(Cfg_Hoje)*12+MONTH(Cfg_Hoje)+IF(DAY(Cfg_Hoje)&gt;=INDEX(Cartoes_Fech,MATCH($F1081,Cartoes_Nome,0)),1,0))+1))</f>
        <v>0</v>
      </c>
      <c r="Z1081" s="40">
        <f>IF($A1081="",0,DAY($A1081))</f>
        <v>0</v>
      </c>
      <c r="AA1081" s="40">
        <f>IF($A1081="",0,WEEKDAY($A1081))</f>
        <v>0</v>
      </c>
      <c r="AB1081" s="36">
        <f>IF(AND($C1081="Despesa",U1081&gt;0,U1081&lt;=Sel_Idx,V1081&gt;=Sel_Idx),N(R1081)+ROW()/1000000000,0)</f>
        <v>0</v>
      </c>
      <c r="AC1081" s="40">
        <f>IF(AND($C1081="Despesa",U1081&gt;0,U1081&lt;=Sel_Idx,V1081&gt;=Sel_Idx),Z1081*10000+ROW(),0)</f>
        <v>0</v>
      </c>
      <c r="AD1081" s="40">
        <f>IF(AC1081=0,0,COUNTIFS(L_CalChave,"&gt;0",L_CalChave,"&lt;"&amp;AC1081)+1)</f>
        <v>0</v>
      </c>
    </row>
    <row r="1082">
      <c r="A1082" s="38" t="n"/>
      <c r="B1082" s="39" t="n"/>
      <c r="C1082" s="34" t="n"/>
      <c r="D1082" s="34" t="n"/>
      <c r="E1082" s="34" t="n"/>
      <c r="F1082" s="34" t="n"/>
      <c r="G1082" s="34" t="n"/>
      <c r="H1082" s="37" t="n"/>
      <c r="I1082" s="37" t="n"/>
      <c r="J1082" s="34" t="n"/>
      <c r="K1082" s="34" t="n"/>
      <c r="L1082" s="34" t="n"/>
      <c r="M1082" s="39" t="n"/>
      <c r="N1082" s="35" t="n"/>
      <c r="O1082" s="40" t="str">
        <f>IF($A1082="","",MONTH($A1082))</f>
        <v/>
      </c>
      <c r="P1082" s="40" t="str">
        <f>IF($A1082="","",YEAR($A1082))</f>
        <v/>
      </c>
      <c r="Q1082" s="41" t="str">
        <f>IF($A1082="","",DATE(P1082,O1082,1))</f>
        <v/>
      </c>
      <c r="R1082" s="36" t="str">
        <f>IF(OR($A1082="",$N1082=""),"",IF(AND($C1082&lt;&gt;"Transferência",N($I1082)&gt;1),$N1082/$I1082,$N1082))</f>
        <v/>
      </c>
      <c r="S1082" s="41" t="str">
        <f>IF(OR($A1082="",$F1082="",$C1082&lt;&gt;"Despesa"),"",IF(COUNTIF(Cartoes_Nome,$F1082)=0,"",DATE(P1082,O1082+IF(DAY($A1082)&gt;=INDEX(Cartoes_Fech,MATCH($F1082,Cartoes_Nome,0)),1,0),1)))</f>
        <v/>
      </c>
      <c r="T1082" s="42" t="str">
        <f>IF($A1082="","",IF(COUNTIFS(L_Data,$A1082,L_Desc,$B1082,L_Valor,$N1082,L_Tipo,$C1082)&gt;1,"⚠ Possível duplicidade",IF(OR(AND($C1082="Despesa",COUNTIF(CatD_Nome,$D1082)=0),AND($C1082="Receita",COUNTIF(CatR_Nome,$D1082)=0)),"⚠ Categoria não combina com o tipo",IF(OR($N1082="",$C1082=""),"⚠ Falta valor ou tipo",""))))</f>
        <v/>
      </c>
      <c r="U1082" s="40">
        <f>IF($A1082="",0,P1082*12+O1082)</f>
        <v>0</v>
      </c>
      <c r="V1082" s="40">
        <f>IF($A1082="",0,U1082+MAX(0,N($I1082)-MAX(N($H1082),1)))</f>
        <v>0</v>
      </c>
      <c r="W1082" s="40">
        <f>IF(S1082="",0,YEAR(S1082)*12+MONTH(S1082))</f>
        <v>0</v>
      </c>
      <c r="X1082" s="40">
        <f>IF(W1082=0,0,W1082+V1082-U1082)</f>
        <v>0</v>
      </c>
      <c r="Y1082" s="36">
        <f>IF(W1082=0,0,N(R1082)*MAX(0,X1082-MAX(W1082,YEAR(Cfg_Hoje)*12+MONTH(Cfg_Hoje)+IF(DAY(Cfg_Hoje)&gt;=INDEX(Cartoes_Fech,MATCH($F1082,Cartoes_Nome,0)),1,0))+1))</f>
        <v>0</v>
      </c>
      <c r="Z1082" s="40">
        <f>IF($A1082="",0,DAY($A1082))</f>
        <v>0</v>
      </c>
      <c r="AA1082" s="40">
        <f>IF($A1082="",0,WEEKDAY($A1082))</f>
        <v>0</v>
      </c>
      <c r="AB1082" s="36">
        <f>IF(AND($C1082="Despesa",U1082&gt;0,U1082&lt;=Sel_Idx,V1082&gt;=Sel_Idx),N(R1082)+ROW()/1000000000,0)</f>
        <v>0</v>
      </c>
      <c r="AC1082" s="40">
        <f>IF(AND($C1082="Despesa",U1082&gt;0,U1082&lt;=Sel_Idx,V1082&gt;=Sel_Idx),Z1082*10000+ROW(),0)</f>
        <v>0</v>
      </c>
      <c r="AD1082" s="40">
        <f>IF(AC1082=0,0,COUNTIFS(L_CalChave,"&gt;0",L_CalChave,"&lt;"&amp;AC1082)+1)</f>
        <v>0</v>
      </c>
    </row>
    <row r="1083">
      <c r="A1083" s="38" t="n"/>
      <c r="B1083" s="39" t="n"/>
      <c r="C1083" s="34" t="n"/>
      <c r="D1083" s="34" t="n"/>
      <c r="E1083" s="34" t="n"/>
      <c r="F1083" s="34" t="n"/>
      <c r="G1083" s="34" t="n"/>
      <c r="H1083" s="37" t="n"/>
      <c r="I1083" s="37" t="n"/>
      <c r="J1083" s="34" t="n"/>
      <c r="K1083" s="34" t="n"/>
      <c r="L1083" s="34" t="n"/>
      <c r="M1083" s="39" t="n"/>
      <c r="N1083" s="35" t="n"/>
      <c r="O1083" s="40" t="str">
        <f>IF($A1083="","",MONTH($A1083))</f>
        <v/>
      </c>
      <c r="P1083" s="40" t="str">
        <f>IF($A1083="","",YEAR($A1083))</f>
        <v/>
      </c>
      <c r="Q1083" s="41" t="str">
        <f>IF($A1083="","",DATE(P1083,O1083,1))</f>
        <v/>
      </c>
      <c r="R1083" s="36" t="str">
        <f>IF(OR($A1083="",$N1083=""),"",IF(AND($C1083&lt;&gt;"Transferência",N($I1083)&gt;1),$N1083/$I1083,$N1083))</f>
        <v/>
      </c>
      <c r="S1083" s="41" t="str">
        <f>IF(OR($A1083="",$F1083="",$C1083&lt;&gt;"Despesa"),"",IF(COUNTIF(Cartoes_Nome,$F1083)=0,"",DATE(P1083,O1083+IF(DAY($A1083)&gt;=INDEX(Cartoes_Fech,MATCH($F1083,Cartoes_Nome,0)),1,0),1)))</f>
        <v/>
      </c>
      <c r="T1083" s="42" t="str">
        <f>IF($A1083="","",IF(COUNTIFS(L_Data,$A1083,L_Desc,$B1083,L_Valor,$N1083,L_Tipo,$C1083)&gt;1,"⚠ Possível duplicidade",IF(OR(AND($C1083="Despesa",COUNTIF(CatD_Nome,$D1083)=0),AND($C1083="Receita",COUNTIF(CatR_Nome,$D1083)=0)),"⚠ Categoria não combina com o tipo",IF(OR($N1083="",$C1083=""),"⚠ Falta valor ou tipo",""))))</f>
        <v/>
      </c>
      <c r="U1083" s="40">
        <f>IF($A1083="",0,P1083*12+O1083)</f>
        <v>0</v>
      </c>
      <c r="V1083" s="40">
        <f>IF($A1083="",0,U1083+MAX(0,N($I1083)-MAX(N($H1083),1)))</f>
        <v>0</v>
      </c>
      <c r="W1083" s="40">
        <f>IF(S1083="",0,YEAR(S1083)*12+MONTH(S1083))</f>
        <v>0</v>
      </c>
      <c r="X1083" s="40">
        <f>IF(W1083=0,0,W1083+V1083-U1083)</f>
        <v>0</v>
      </c>
      <c r="Y1083" s="36">
        <f>IF(W1083=0,0,N(R1083)*MAX(0,X1083-MAX(W1083,YEAR(Cfg_Hoje)*12+MONTH(Cfg_Hoje)+IF(DAY(Cfg_Hoje)&gt;=INDEX(Cartoes_Fech,MATCH($F1083,Cartoes_Nome,0)),1,0))+1))</f>
        <v>0</v>
      </c>
      <c r="Z1083" s="40">
        <f>IF($A1083="",0,DAY($A1083))</f>
        <v>0</v>
      </c>
      <c r="AA1083" s="40">
        <f>IF($A1083="",0,WEEKDAY($A1083))</f>
        <v>0</v>
      </c>
      <c r="AB1083" s="36">
        <f>IF(AND($C1083="Despesa",U1083&gt;0,U1083&lt;=Sel_Idx,V1083&gt;=Sel_Idx),N(R1083)+ROW()/1000000000,0)</f>
        <v>0</v>
      </c>
      <c r="AC1083" s="40">
        <f>IF(AND($C1083="Despesa",U1083&gt;0,U1083&lt;=Sel_Idx,V1083&gt;=Sel_Idx),Z1083*10000+ROW(),0)</f>
        <v>0</v>
      </c>
      <c r="AD1083" s="40">
        <f>IF(AC1083=0,0,COUNTIFS(L_CalChave,"&gt;0",L_CalChave,"&lt;"&amp;AC1083)+1)</f>
        <v>0</v>
      </c>
    </row>
    <row r="1084">
      <c r="A1084" s="38" t="n"/>
      <c r="B1084" s="39" t="n"/>
      <c r="C1084" s="34" t="n"/>
      <c r="D1084" s="34" t="n"/>
      <c r="E1084" s="34" t="n"/>
      <c r="F1084" s="34" t="n"/>
      <c r="G1084" s="34" t="n"/>
      <c r="H1084" s="37" t="n"/>
      <c r="I1084" s="37" t="n"/>
      <c r="J1084" s="34" t="n"/>
      <c r="K1084" s="34" t="n"/>
      <c r="L1084" s="34" t="n"/>
      <c r="M1084" s="39" t="n"/>
      <c r="N1084" s="35" t="n"/>
      <c r="O1084" s="40" t="str">
        <f>IF($A1084="","",MONTH($A1084))</f>
        <v/>
      </c>
      <c r="P1084" s="40" t="str">
        <f>IF($A1084="","",YEAR($A1084))</f>
        <v/>
      </c>
      <c r="Q1084" s="41" t="str">
        <f>IF($A1084="","",DATE(P1084,O1084,1))</f>
        <v/>
      </c>
      <c r="R1084" s="36" t="str">
        <f>IF(OR($A1084="",$N1084=""),"",IF(AND($C1084&lt;&gt;"Transferência",N($I1084)&gt;1),$N1084/$I1084,$N1084))</f>
        <v/>
      </c>
      <c r="S1084" s="41" t="str">
        <f>IF(OR($A1084="",$F1084="",$C1084&lt;&gt;"Despesa"),"",IF(COUNTIF(Cartoes_Nome,$F1084)=0,"",DATE(P1084,O1084+IF(DAY($A1084)&gt;=INDEX(Cartoes_Fech,MATCH($F1084,Cartoes_Nome,0)),1,0),1)))</f>
        <v/>
      </c>
      <c r="T1084" s="42" t="str">
        <f>IF($A1084="","",IF(COUNTIFS(L_Data,$A1084,L_Desc,$B1084,L_Valor,$N1084,L_Tipo,$C1084)&gt;1,"⚠ Possível duplicidade",IF(OR(AND($C1084="Despesa",COUNTIF(CatD_Nome,$D1084)=0),AND($C1084="Receita",COUNTIF(CatR_Nome,$D1084)=0)),"⚠ Categoria não combina com o tipo",IF(OR($N1084="",$C1084=""),"⚠ Falta valor ou tipo",""))))</f>
        <v/>
      </c>
      <c r="U1084" s="40">
        <f>IF($A1084="",0,P1084*12+O1084)</f>
        <v>0</v>
      </c>
      <c r="V1084" s="40">
        <f>IF($A1084="",0,U1084+MAX(0,N($I1084)-MAX(N($H1084),1)))</f>
        <v>0</v>
      </c>
      <c r="W1084" s="40">
        <f>IF(S1084="",0,YEAR(S1084)*12+MONTH(S1084))</f>
        <v>0</v>
      </c>
      <c r="X1084" s="40">
        <f>IF(W1084=0,0,W1084+V1084-U1084)</f>
        <v>0</v>
      </c>
      <c r="Y1084" s="36">
        <f>IF(W1084=0,0,N(R1084)*MAX(0,X1084-MAX(W1084,YEAR(Cfg_Hoje)*12+MONTH(Cfg_Hoje)+IF(DAY(Cfg_Hoje)&gt;=INDEX(Cartoes_Fech,MATCH($F1084,Cartoes_Nome,0)),1,0))+1))</f>
        <v>0</v>
      </c>
      <c r="Z1084" s="40">
        <f>IF($A1084="",0,DAY($A1084))</f>
        <v>0</v>
      </c>
      <c r="AA1084" s="40">
        <f>IF($A1084="",0,WEEKDAY($A1084))</f>
        <v>0</v>
      </c>
      <c r="AB1084" s="36">
        <f>IF(AND($C1084="Despesa",U1084&gt;0,U1084&lt;=Sel_Idx,V1084&gt;=Sel_Idx),N(R1084)+ROW()/1000000000,0)</f>
        <v>0</v>
      </c>
      <c r="AC1084" s="40">
        <f>IF(AND($C1084="Despesa",U1084&gt;0,U1084&lt;=Sel_Idx,V1084&gt;=Sel_Idx),Z1084*10000+ROW(),0)</f>
        <v>0</v>
      </c>
      <c r="AD1084" s="40">
        <f>IF(AC1084=0,0,COUNTIFS(L_CalChave,"&gt;0",L_CalChave,"&lt;"&amp;AC1084)+1)</f>
        <v>0</v>
      </c>
    </row>
    <row r="1085">
      <c r="A1085" s="38" t="n"/>
      <c r="B1085" s="39" t="n"/>
      <c r="C1085" s="34" t="n"/>
      <c r="D1085" s="34" t="n"/>
      <c r="E1085" s="34" t="n"/>
      <c r="F1085" s="34" t="n"/>
      <c r="G1085" s="34" t="n"/>
      <c r="H1085" s="37" t="n"/>
      <c r="I1085" s="37" t="n"/>
      <c r="J1085" s="34" t="n"/>
      <c r="K1085" s="34" t="n"/>
      <c r="L1085" s="34" t="n"/>
      <c r="M1085" s="39" t="n"/>
      <c r="N1085" s="35" t="n"/>
      <c r="O1085" s="40" t="str">
        <f>IF($A1085="","",MONTH($A1085))</f>
        <v/>
      </c>
      <c r="P1085" s="40" t="str">
        <f>IF($A1085="","",YEAR($A1085))</f>
        <v/>
      </c>
      <c r="Q1085" s="41" t="str">
        <f>IF($A1085="","",DATE(P1085,O1085,1))</f>
        <v/>
      </c>
      <c r="R1085" s="36" t="str">
        <f>IF(OR($A1085="",$N1085=""),"",IF(AND($C1085&lt;&gt;"Transferência",N($I1085)&gt;1),$N1085/$I1085,$N1085))</f>
        <v/>
      </c>
      <c r="S1085" s="41" t="str">
        <f>IF(OR($A1085="",$F1085="",$C1085&lt;&gt;"Despesa"),"",IF(COUNTIF(Cartoes_Nome,$F1085)=0,"",DATE(P1085,O1085+IF(DAY($A1085)&gt;=INDEX(Cartoes_Fech,MATCH($F1085,Cartoes_Nome,0)),1,0),1)))</f>
        <v/>
      </c>
      <c r="T1085" s="42" t="str">
        <f>IF($A1085="","",IF(COUNTIFS(L_Data,$A1085,L_Desc,$B1085,L_Valor,$N1085,L_Tipo,$C1085)&gt;1,"⚠ Possível duplicidade",IF(OR(AND($C1085="Despesa",COUNTIF(CatD_Nome,$D1085)=0),AND($C1085="Receita",COUNTIF(CatR_Nome,$D1085)=0)),"⚠ Categoria não combina com o tipo",IF(OR($N1085="",$C1085=""),"⚠ Falta valor ou tipo",""))))</f>
        <v/>
      </c>
      <c r="U1085" s="40">
        <f>IF($A1085="",0,P1085*12+O1085)</f>
        <v>0</v>
      </c>
      <c r="V1085" s="40">
        <f>IF($A1085="",0,U1085+MAX(0,N($I1085)-MAX(N($H1085),1)))</f>
        <v>0</v>
      </c>
      <c r="W1085" s="40">
        <f>IF(S1085="",0,YEAR(S1085)*12+MONTH(S1085))</f>
        <v>0</v>
      </c>
      <c r="X1085" s="40">
        <f>IF(W1085=0,0,W1085+V1085-U1085)</f>
        <v>0</v>
      </c>
      <c r="Y1085" s="36">
        <f>IF(W1085=0,0,N(R1085)*MAX(0,X1085-MAX(W1085,YEAR(Cfg_Hoje)*12+MONTH(Cfg_Hoje)+IF(DAY(Cfg_Hoje)&gt;=INDEX(Cartoes_Fech,MATCH($F1085,Cartoes_Nome,0)),1,0))+1))</f>
        <v>0</v>
      </c>
      <c r="Z1085" s="40">
        <f>IF($A1085="",0,DAY($A1085))</f>
        <v>0</v>
      </c>
      <c r="AA1085" s="40">
        <f>IF($A1085="",0,WEEKDAY($A1085))</f>
        <v>0</v>
      </c>
      <c r="AB1085" s="36">
        <f>IF(AND($C1085="Despesa",U1085&gt;0,U1085&lt;=Sel_Idx,V1085&gt;=Sel_Idx),N(R1085)+ROW()/1000000000,0)</f>
        <v>0</v>
      </c>
      <c r="AC1085" s="40">
        <f>IF(AND($C1085="Despesa",U1085&gt;0,U1085&lt;=Sel_Idx,V1085&gt;=Sel_Idx),Z1085*10000+ROW(),0)</f>
        <v>0</v>
      </c>
      <c r="AD1085" s="40">
        <f>IF(AC1085=0,0,COUNTIFS(L_CalChave,"&gt;0",L_CalChave,"&lt;"&amp;AC1085)+1)</f>
        <v>0</v>
      </c>
    </row>
    <row r="1086">
      <c r="A1086" s="38" t="n"/>
      <c r="B1086" s="39" t="n"/>
      <c r="C1086" s="34" t="n"/>
      <c r="D1086" s="34" t="n"/>
      <c r="E1086" s="34" t="n"/>
      <c r="F1086" s="34" t="n"/>
      <c r="G1086" s="34" t="n"/>
      <c r="H1086" s="37" t="n"/>
      <c r="I1086" s="37" t="n"/>
      <c r="J1086" s="34" t="n"/>
      <c r="K1086" s="34" t="n"/>
      <c r="L1086" s="34" t="n"/>
      <c r="M1086" s="39" t="n"/>
      <c r="N1086" s="35" t="n"/>
      <c r="O1086" s="40" t="str">
        <f>IF($A1086="","",MONTH($A1086))</f>
        <v/>
      </c>
      <c r="P1086" s="40" t="str">
        <f>IF($A1086="","",YEAR($A1086))</f>
        <v/>
      </c>
      <c r="Q1086" s="41" t="str">
        <f>IF($A1086="","",DATE(P1086,O1086,1))</f>
        <v/>
      </c>
      <c r="R1086" s="36" t="str">
        <f>IF(OR($A1086="",$N1086=""),"",IF(AND($C1086&lt;&gt;"Transferência",N($I1086)&gt;1),$N1086/$I1086,$N1086))</f>
        <v/>
      </c>
      <c r="S1086" s="41" t="str">
        <f>IF(OR($A1086="",$F1086="",$C1086&lt;&gt;"Despesa"),"",IF(COUNTIF(Cartoes_Nome,$F1086)=0,"",DATE(P1086,O1086+IF(DAY($A1086)&gt;=INDEX(Cartoes_Fech,MATCH($F1086,Cartoes_Nome,0)),1,0),1)))</f>
        <v/>
      </c>
      <c r="T1086" s="42" t="str">
        <f>IF($A1086="","",IF(COUNTIFS(L_Data,$A1086,L_Desc,$B1086,L_Valor,$N1086,L_Tipo,$C1086)&gt;1,"⚠ Possível duplicidade",IF(OR(AND($C1086="Despesa",COUNTIF(CatD_Nome,$D1086)=0),AND($C1086="Receita",COUNTIF(CatR_Nome,$D1086)=0)),"⚠ Categoria não combina com o tipo",IF(OR($N1086="",$C1086=""),"⚠ Falta valor ou tipo",""))))</f>
        <v/>
      </c>
      <c r="U1086" s="40">
        <f>IF($A1086="",0,P1086*12+O1086)</f>
        <v>0</v>
      </c>
      <c r="V1086" s="40">
        <f>IF($A1086="",0,U1086+MAX(0,N($I1086)-MAX(N($H1086),1)))</f>
        <v>0</v>
      </c>
      <c r="W1086" s="40">
        <f>IF(S1086="",0,YEAR(S1086)*12+MONTH(S1086))</f>
        <v>0</v>
      </c>
      <c r="X1086" s="40">
        <f>IF(W1086=0,0,W1086+V1086-U1086)</f>
        <v>0</v>
      </c>
      <c r="Y1086" s="36">
        <f>IF(W1086=0,0,N(R1086)*MAX(0,X1086-MAX(W1086,YEAR(Cfg_Hoje)*12+MONTH(Cfg_Hoje)+IF(DAY(Cfg_Hoje)&gt;=INDEX(Cartoes_Fech,MATCH($F1086,Cartoes_Nome,0)),1,0))+1))</f>
        <v>0</v>
      </c>
      <c r="Z1086" s="40">
        <f>IF($A1086="",0,DAY($A1086))</f>
        <v>0</v>
      </c>
      <c r="AA1086" s="40">
        <f>IF($A1086="",0,WEEKDAY($A1086))</f>
        <v>0</v>
      </c>
      <c r="AB1086" s="36">
        <f>IF(AND($C1086="Despesa",U1086&gt;0,U1086&lt;=Sel_Idx,V1086&gt;=Sel_Idx),N(R1086)+ROW()/1000000000,0)</f>
        <v>0</v>
      </c>
      <c r="AC1086" s="40">
        <f>IF(AND($C1086="Despesa",U1086&gt;0,U1086&lt;=Sel_Idx,V1086&gt;=Sel_Idx),Z1086*10000+ROW(),0)</f>
        <v>0</v>
      </c>
      <c r="AD1086" s="40">
        <f>IF(AC1086=0,0,COUNTIFS(L_CalChave,"&gt;0",L_CalChave,"&lt;"&amp;AC1086)+1)</f>
        <v>0</v>
      </c>
    </row>
    <row r="1087">
      <c r="A1087" s="38" t="n"/>
      <c r="B1087" s="39" t="n"/>
      <c r="C1087" s="34" t="n"/>
      <c r="D1087" s="34" t="n"/>
      <c r="E1087" s="34" t="n"/>
      <c r="F1087" s="34" t="n"/>
      <c r="G1087" s="34" t="n"/>
      <c r="H1087" s="37" t="n"/>
      <c r="I1087" s="37" t="n"/>
      <c r="J1087" s="34" t="n"/>
      <c r="K1087" s="34" t="n"/>
      <c r="L1087" s="34" t="n"/>
      <c r="M1087" s="39" t="n"/>
      <c r="N1087" s="35" t="n"/>
      <c r="O1087" s="40" t="str">
        <f>IF($A1087="","",MONTH($A1087))</f>
        <v/>
      </c>
      <c r="P1087" s="40" t="str">
        <f>IF($A1087="","",YEAR($A1087))</f>
        <v/>
      </c>
      <c r="Q1087" s="41" t="str">
        <f>IF($A1087="","",DATE(P1087,O1087,1))</f>
        <v/>
      </c>
      <c r="R1087" s="36" t="str">
        <f>IF(OR($A1087="",$N1087=""),"",IF(AND($C1087&lt;&gt;"Transferência",N($I1087)&gt;1),$N1087/$I1087,$N1087))</f>
        <v/>
      </c>
      <c r="S1087" s="41" t="str">
        <f>IF(OR($A1087="",$F1087="",$C1087&lt;&gt;"Despesa"),"",IF(COUNTIF(Cartoes_Nome,$F1087)=0,"",DATE(P1087,O1087+IF(DAY($A1087)&gt;=INDEX(Cartoes_Fech,MATCH($F1087,Cartoes_Nome,0)),1,0),1)))</f>
        <v/>
      </c>
      <c r="T1087" s="42" t="str">
        <f>IF($A1087="","",IF(COUNTIFS(L_Data,$A1087,L_Desc,$B1087,L_Valor,$N1087,L_Tipo,$C1087)&gt;1,"⚠ Possível duplicidade",IF(OR(AND($C1087="Despesa",COUNTIF(CatD_Nome,$D1087)=0),AND($C1087="Receita",COUNTIF(CatR_Nome,$D1087)=0)),"⚠ Categoria não combina com o tipo",IF(OR($N1087="",$C1087=""),"⚠ Falta valor ou tipo",""))))</f>
        <v/>
      </c>
      <c r="U1087" s="40">
        <f>IF($A1087="",0,P1087*12+O1087)</f>
        <v>0</v>
      </c>
      <c r="V1087" s="40">
        <f>IF($A1087="",0,U1087+MAX(0,N($I1087)-MAX(N($H1087),1)))</f>
        <v>0</v>
      </c>
      <c r="W1087" s="40">
        <f>IF(S1087="",0,YEAR(S1087)*12+MONTH(S1087))</f>
        <v>0</v>
      </c>
      <c r="X1087" s="40">
        <f>IF(W1087=0,0,W1087+V1087-U1087)</f>
        <v>0</v>
      </c>
      <c r="Y1087" s="36">
        <f>IF(W1087=0,0,N(R1087)*MAX(0,X1087-MAX(W1087,YEAR(Cfg_Hoje)*12+MONTH(Cfg_Hoje)+IF(DAY(Cfg_Hoje)&gt;=INDEX(Cartoes_Fech,MATCH($F1087,Cartoes_Nome,0)),1,0))+1))</f>
        <v>0</v>
      </c>
      <c r="Z1087" s="40">
        <f>IF($A1087="",0,DAY($A1087))</f>
        <v>0</v>
      </c>
      <c r="AA1087" s="40">
        <f>IF($A1087="",0,WEEKDAY($A1087))</f>
        <v>0</v>
      </c>
      <c r="AB1087" s="36">
        <f>IF(AND($C1087="Despesa",U1087&gt;0,U1087&lt;=Sel_Idx,V1087&gt;=Sel_Idx),N(R1087)+ROW()/1000000000,0)</f>
        <v>0</v>
      </c>
      <c r="AC1087" s="40">
        <f>IF(AND($C1087="Despesa",U1087&gt;0,U1087&lt;=Sel_Idx,V1087&gt;=Sel_Idx),Z1087*10000+ROW(),0)</f>
        <v>0</v>
      </c>
      <c r="AD1087" s="40">
        <f>IF(AC1087=0,0,COUNTIFS(L_CalChave,"&gt;0",L_CalChave,"&lt;"&amp;AC1087)+1)</f>
        <v>0</v>
      </c>
    </row>
    <row r="1088">
      <c r="A1088" s="38" t="n"/>
      <c r="B1088" s="39" t="n"/>
      <c r="C1088" s="34" t="n"/>
      <c r="D1088" s="34" t="n"/>
      <c r="E1088" s="34" t="n"/>
      <c r="F1088" s="34" t="n"/>
      <c r="G1088" s="34" t="n"/>
      <c r="H1088" s="37" t="n"/>
      <c r="I1088" s="37" t="n"/>
      <c r="J1088" s="34" t="n"/>
      <c r="K1088" s="34" t="n"/>
      <c r="L1088" s="34" t="n"/>
      <c r="M1088" s="39" t="n"/>
      <c r="N1088" s="35" t="n"/>
      <c r="O1088" s="40" t="str">
        <f>IF($A1088="","",MONTH($A1088))</f>
        <v/>
      </c>
      <c r="P1088" s="40" t="str">
        <f>IF($A1088="","",YEAR($A1088))</f>
        <v/>
      </c>
      <c r="Q1088" s="41" t="str">
        <f>IF($A1088="","",DATE(P1088,O1088,1))</f>
        <v/>
      </c>
      <c r="R1088" s="36" t="str">
        <f>IF(OR($A1088="",$N1088=""),"",IF(AND($C1088&lt;&gt;"Transferência",N($I1088)&gt;1),$N1088/$I1088,$N1088))</f>
        <v/>
      </c>
      <c r="S1088" s="41" t="str">
        <f>IF(OR($A1088="",$F1088="",$C1088&lt;&gt;"Despesa"),"",IF(COUNTIF(Cartoes_Nome,$F1088)=0,"",DATE(P1088,O1088+IF(DAY($A1088)&gt;=INDEX(Cartoes_Fech,MATCH($F1088,Cartoes_Nome,0)),1,0),1)))</f>
        <v/>
      </c>
      <c r="T1088" s="42" t="str">
        <f>IF($A1088="","",IF(COUNTIFS(L_Data,$A1088,L_Desc,$B1088,L_Valor,$N1088,L_Tipo,$C1088)&gt;1,"⚠ Possível duplicidade",IF(OR(AND($C1088="Despesa",COUNTIF(CatD_Nome,$D1088)=0),AND($C1088="Receita",COUNTIF(CatR_Nome,$D1088)=0)),"⚠ Categoria não combina com o tipo",IF(OR($N1088="",$C1088=""),"⚠ Falta valor ou tipo",""))))</f>
        <v/>
      </c>
      <c r="U1088" s="40">
        <f>IF($A1088="",0,P1088*12+O1088)</f>
        <v>0</v>
      </c>
      <c r="V1088" s="40">
        <f>IF($A1088="",0,U1088+MAX(0,N($I1088)-MAX(N($H1088),1)))</f>
        <v>0</v>
      </c>
      <c r="W1088" s="40">
        <f>IF(S1088="",0,YEAR(S1088)*12+MONTH(S1088))</f>
        <v>0</v>
      </c>
      <c r="X1088" s="40">
        <f>IF(W1088=0,0,W1088+V1088-U1088)</f>
        <v>0</v>
      </c>
      <c r="Y1088" s="36">
        <f>IF(W1088=0,0,N(R1088)*MAX(0,X1088-MAX(W1088,YEAR(Cfg_Hoje)*12+MONTH(Cfg_Hoje)+IF(DAY(Cfg_Hoje)&gt;=INDEX(Cartoes_Fech,MATCH($F1088,Cartoes_Nome,0)),1,0))+1))</f>
        <v>0</v>
      </c>
      <c r="Z1088" s="40">
        <f>IF($A1088="",0,DAY($A1088))</f>
        <v>0</v>
      </c>
      <c r="AA1088" s="40">
        <f>IF($A1088="",0,WEEKDAY($A1088))</f>
        <v>0</v>
      </c>
      <c r="AB1088" s="36">
        <f>IF(AND($C1088="Despesa",U1088&gt;0,U1088&lt;=Sel_Idx,V1088&gt;=Sel_Idx),N(R1088)+ROW()/1000000000,0)</f>
        <v>0</v>
      </c>
      <c r="AC1088" s="40">
        <f>IF(AND($C1088="Despesa",U1088&gt;0,U1088&lt;=Sel_Idx,V1088&gt;=Sel_Idx),Z1088*10000+ROW(),0)</f>
        <v>0</v>
      </c>
      <c r="AD1088" s="40">
        <f>IF(AC1088=0,0,COUNTIFS(L_CalChave,"&gt;0",L_CalChave,"&lt;"&amp;AC1088)+1)</f>
        <v>0</v>
      </c>
    </row>
    <row r="1089">
      <c r="A1089" s="38" t="n"/>
      <c r="B1089" s="39" t="n"/>
      <c r="C1089" s="34" t="n"/>
      <c r="D1089" s="34" t="n"/>
      <c r="E1089" s="34" t="n"/>
      <c r="F1089" s="34" t="n"/>
      <c r="G1089" s="34" t="n"/>
      <c r="H1089" s="37" t="n"/>
      <c r="I1089" s="37" t="n"/>
      <c r="J1089" s="34" t="n"/>
      <c r="K1089" s="34" t="n"/>
      <c r="L1089" s="34" t="n"/>
      <c r="M1089" s="39" t="n"/>
      <c r="N1089" s="35" t="n"/>
      <c r="O1089" s="40" t="str">
        <f>IF($A1089="","",MONTH($A1089))</f>
        <v/>
      </c>
      <c r="P1089" s="40" t="str">
        <f>IF($A1089="","",YEAR($A1089))</f>
        <v/>
      </c>
      <c r="Q1089" s="41" t="str">
        <f>IF($A1089="","",DATE(P1089,O1089,1))</f>
        <v/>
      </c>
      <c r="R1089" s="36" t="str">
        <f>IF(OR($A1089="",$N1089=""),"",IF(AND($C1089&lt;&gt;"Transferência",N($I1089)&gt;1),$N1089/$I1089,$N1089))</f>
        <v/>
      </c>
      <c r="S1089" s="41" t="str">
        <f>IF(OR($A1089="",$F1089="",$C1089&lt;&gt;"Despesa"),"",IF(COUNTIF(Cartoes_Nome,$F1089)=0,"",DATE(P1089,O1089+IF(DAY($A1089)&gt;=INDEX(Cartoes_Fech,MATCH($F1089,Cartoes_Nome,0)),1,0),1)))</f>
        <v/>
      </c>
      <c r="T1089" s="42" t="str">
        <f>IF($A1089="","",IF(COUNTIFS(L_Data,$A1089,L_Desc,$B1089,L_Valor,$N1089,L_Tipo,$C1089)&gt;1,"⚠ Possível duplicidade",IF(OR(AND($C1089="Despesa",COUNTIF(CatD_Nome,$D1089)=0),AND($C1089="Receita",COUNTIF(CatR_Nome,$D1089)=0)),"⚠ Categoria não combina com o tipo",IF(OR($N1089="",$C1089=""),"⚠ Falta valor ou tipo",""))))</f>
        <v/>
      </c>
      <c r="U1089" s="40">
        <f>IF($A1089="",0,P1089*12+O1089)</f>
        <v>0</v>
      </c>
      <c r="V1089" s="40">
        <f>IF($A1089="",0,U1089+MAX(0,N($I1089)-MAX(N($H1089),1)))</f>
        <v>0</v>
      </c>
      <c r="W1089" s="40">
        <f>IF(S1089="",0,YEAR(S1089)*12+MONTH(S1089))</f>
        <v>0</v>
      </c>
      <c r="X1089" s="40">
        <f>IF(W1089=0,0,W1089+V1089-U1089)</f>
        <v>0</v>
      </c>
      <c r="Y1089" s="36">
        <f>IF(W1089=0,0,N(R1089)*MAX(0,X1089-MAX(W1089,YEAR(Cfg_Hoje)*12+MONTH(Cfg_Hoje)+IF(DAY(Cfg_Hoje)&gt;=INDEX(Cartoes_Fech,MATCH($F1089,Cartoes_Nome,0)),1,0))+1))</f>
        <v>0</v>
      </c>
      <c r="Z1089" s="40">
        <f>IF($A1089="",0,DAY($A1089))</f>
        <v>0</v>
      </c>
      <c r="AA1089" s="40">
        <f>IF($A1089="",0,WEEKDAY($A1089))</f>
        <v>0</v>
      </c>
      <c r="AB1089" s="36">
        <f>IF(AND($C1089="Despesa",U1089&gt;0,U1089&lt;=Sel_Idx,V1089&gt;=Sel_Idx),N(R1089)+ROW()/1000000000,0)</f>
        <v>0</v>
      </c>
      <c r="AC1089" s="40">
        <f>IF(AND($C1089="Despesa",U1089&gt;0,U1089&lt;=Sel_Idx,V1089&gt;=Sel_Idx),Z1089*10000+ROW(),0)</f>
        <v>0</v>
      </c>
      <c r="AD1089" s="40">
        <f>IF(AC1089=0,0,COUNTIFS(L_CalChave,"&gt;0",L_CalChave,"&lt;"&amp;AC1089)+1)</f>
        <v>0</v>
      </c>
    </row>
    <row r="1090">
      <c r="A1090" s="38" t="n"/>
      <c r="B1090" s="39" t="n"/>
      <c r="C1090" s="34" t="n"/>
      <c r="D1090" s="34" t="n"/>
      <c r="E1090" s="34" t="n"/>
      <c r="F1090" s="34" t="n"/>
      <c r="G1090" s="34" t="n"/>
      <c r="H1090" s="37" t="n"/>
      <c r="I1090" s="37" t="n"/>
      <c r="J1090" s="34" t="n"/>
      <c r="K1090" s="34" t="n"/>
      <c r="L1090" s="34" t="n"/>
      <c r="M1090" s="39" t="n"/>
      <c r="N1090" s="35" t="n"/>
      <c r="O1090" s="40" t="str">
        <f>IF($A1090="","",MONTH($A1090))</f>
        <v/>
      </c>
      <c r="P1090" s="40" t="str">
        <f>IF($A1090="","",YEAR($A1090))</f>
        <v/>
      </c>
      <c r="Q1090" s="41" t="str">
        <f>IF($A1090="","",DATE(P1090,O1090,1))</f>
        <v/>
      </c>
      <c r="R1090" s="36" t="str">
        <f>IF(OR($A1090="",$N1090=""),"",IF(AND($C1090&lt;&gt;"Transferência",N($I1090)&gt;1),$N1090/$I1090,$N1090))</f>
        <v/>
      </c>
      <c r="S1090" s="41" t="str">
        <f>IF(OR($A1090="",$F1090="",$C1090&lt;&gt;"Despesa"),"",IF(COUNTIF(Cartoes_Nome,$F1090)=0,"",DATE(P1090,O1090+IF(DAY($A1090)&gt;=INDEX(Cartoes_Fech,MATCH($F1090,Cartoes_Nome,0)),1,0),1)))</f>
        <v/>
      </c>
      <c r="T1090" s="42" t="str">
        <f>IF($A1090="","",IF(COUNTIFS(L_Data,$A1090,L_Desc,$B1090,L_Valor,$N1090,L_Tipo,$C1090)&gt;1,"⚠ Possível duplicidade",IF(OR(AND($C1090="Despesa",COUNTIF(CatD_Nome,$D1090)=0),AND($C1090="Receita",COUNTIF(CatR_Nome,$D1090)=0)),"⚠ Categoria não combina com o tipo",IF(OR($N1090="",$C1090=""),"⚠ Falta valor ou tipo",""))))</f>
        <v/>
      </c>
      <c r="U1090" s="40">
        <f>IF($A1090="",0,P1090*12+O1090)</f>
        <v>0</v>
      </c>
      <c r="V1090" s="40">
        <f>IF($A1090="",0,U1090+MAX(0,N($I1090)-MAX(N($H1090),1)))</f>
        <v>0</v>
      </c>
      <c r="W1090" s="40">
        <f>IF(S1090="",0,YEAR(S1090)*12+MONTH(S1090))</f>
        <v>0</v>
      </c>
      <c r="X1090" s="40">
        <f>IF(W1090=0,0,W1090+V1090-U1090)</f>
        <v>0</v>
      </c>
      <c r="Y1090" s="36">
        <f>IF(W1090=0,0,N(R1090)*MAX(0,X1090-MAX(W1090,YEAR(Cfg_Hoje)*12+MONTH(Cfg_Hoje)+IF(DAY(Cfg_Hoje)&gt;=INDEX(Cartoes_Fech,MATCH($F1090,Cartoes_Nome,0)),1,0))+1))</f>
        <v>0</v>
      </c>
      <c r="Z1090" s="40">
        <f>IF($A1090="",0,DAY($A1090))</f>
        <v>0</v>
      </c>
      <c r="AA1090" s="40">
        <f>IF($A1090="",0,WEEKDAY($A1090))</f>
        <v>0</v>
      </c>
      <c r="AB1090" s="36">
        <f>IF(AND($C1090="Despesa",U1090&gt;0,U1090&lt;=Sel_Idx,V1090&gt;=Sel_Idx),N(R1090)+ROW()/1000000000,0)</f>
        <v>0</v>
      </c>
      <c r="AC1090" s="40">
        <f>IF(AND($C1090="Despesa",U1090&gt;0,U1090&lt;=Sel_Idx,V1090&gt;=Sel_Idx),Z1090*10000+ROW(),0)</f>
        <v>0</v>
      </c>
      <c r="AD1090" s="40">
        <f>IF(AC1090=0,0,COUNTIFS(L_CalChave,"&gt;0",L_CalChave,"&lt;"&amp;AC1090)+1)</f>
        <v>0</v>
      </c>
    </row>
    <row r="1091">
      <c r="A1091" s="38" t="n"/>
      <c r="B1091" s="39" t="n"/>
      <c r="C1091" s="34" t="n"/>
      <c r="D1091" s="34" t="n"/>
      <c r="E1091" s="34" t="n"/>
      <c r="F1091" s="34" t="n"/>
      <c r="G1091" s="34" t="n"/>
      <c r="H1091" s="37" t="n"/>
      <c r="I1091" s="37" t="n"/>
      <c r="J1091" s="34" t="n"/>
      <c r="K1091" s="34" t="n"/>
      <c r="L1091" s="34" t="n"/>
      <c r="M1091" s="39" t="n"/>
      <c r="N1091" s="35" t="n"/>
      <c r="O1091" s="40" t="str">
        <f>IF($A1091="","",MONTH($A1091))</f>
        <v/>
      </c>
      <c r="P1091" s="40" t="str">
        <f>IF($A1091="","",YEAR($A1091))</f>
        <v/>
      </c>
      <c r="Q1091" s="41" t="str">
        <f>IF($A1091="","",DATE(P1091,O1091,1))</f>
        <v/>
      </c>
      <c r="R1091" s="36" t="str">
        <f>IF(OR($A1091="",$N1091=""),"",IF(AND($C1091&lt;&gt;"Transferência",N($I1091)&gt;1),$N1091/$I1091,$N1091))</f>
        <v/>
      </c>
      <c r="S1091" s="41" t="str">
        <f>IF(OR($A1091="",$F1091="",$C1091&lt;&gt;"Despesa"),"",IF(COUNTIF(Cartoes_Nome,$F1091)=0,"",DATE(P1091,O1091+IF(DAY($A1091)&gt;=INDEX(Cartoes_Fech,MATCH($F1091,Cartoes_Nome,0)),1,0),1)))</f>
        <v/>
      </c>
      <c r="T1091" s="42" t="str">
        <f>IF($A1091="","",IF(COUNTIFS(L_Data,$A1091,L_Desc,$B1091,L_Valor,$N1091,L_Tipo,$C1091)&gt;1,"⚠ Possível duplicidade",IF(OR(AND($C1091="Despesa",COUNTIF(CatD_Nome,$D1091)=0),AND($C1091="Receita",COUNTIF(CatR_Nome,$D1091)=0)),"⚠ Categoria não combina com o tipo",IF(OR($N1091="",$C1091=""),"⚠ Falta valor ou tipo",""))))</f>
        <v/>
      </c>
      <c r="U1091" s="40">
        <f>IF($A1091="",0,P1091*12+O1091)</f>
        <v>0</v>
      </c>
      <c r="V1091" s="40">
        <f>IF($A1091="",0,U1091+MAX(0,N($I1091)-MAX(N($H1091),1)))</f>
        <v>0</v>
      </c>
      <c r="W1091" s="40">
        <f>IF(S1091="",0,YEAR(S1091)*12+MONTH(S1091))</f>
        <v>0</v>
      </c>
      <c r="X1091" s="40">
        <f>IF(W1091=0,0,W1091+V1091-U1091)</f>
        <v>0</v>
      </c>
      <c r="Y1091" s="36">
        <f>IF(W1091=0,0,N(R1091)*MAX(0,X1091-MAX(W1091,YEAR(Cfg_Hoje)*12+MONTH(Cfg_Hoje)+IF(DAY(Cfg_Hoje)&gt;=INDEX(Cartoes_Fech,MATCH($F1091,Cartoes_Nome,0)),1,0))+1))</f>
        <v>0</v>
      </c>
      <c r="Z1091" s="40">
        <f>IF($A1091="",0,DAY($A1091))</f>
        <v>0</v>
      </c>
      <c r="AA1091" s="40">
        <f>IF($A1091="",0,WEEKDAY($A1091))</f>
        <v>0</v>
      </c>
      <c r="AB1091" s="36">
        <f>IF(AND($C1091="Despesa",U1091&gt;0,U1091&lt;=Sel_Idx,V1091&gt;=Sel_Idx),N(R1091)+ROW()/1000000000,0)</f>
        <v>0</v>
      </c>
      <c r="AC1091" s="40">
        <f>IF(AND($C1091="Despesa",U1091&gt;0,U1091&lt;=Sel_Idx,V1091&gt;=Sel_Idx),Z1091*10000+ROW(),0)</f>
        <v>0</v>
      </c>
      <c r="AD1091" s="40">
        <f>IF(AC1091=0,0,COUNTIFS(L_CalChave,"&gt;0",L_CalChave,"&lt;"&amp;AC1091)+1)</f>
        <v>0</v>
      </c>
    </row>
    <row r="1092">
      <c r="A1092" s="38" t="n"/>
      <c r="B1092" s="39" t="n"/>
      <c r="C1092" s="34" t="n"/>
      <c r="D1092" s="34" t="n"/>
      <c r="E1092" s="34" t="n"/>
      <c r="F1092" s="34" t="n"/>
      <c r="G1092" s="34" t="n"/>
      <c r="H1092" s="37" t="n"/>
      <c r="I1092" s="37" t="n"/>
      <c r="J1092" s="34" t="n"/>
      <c r="K1092" s="34" t="n"/>
      <c r="L1092" s="34" t="n"/>
      <c r="M1092" s="39" t="n"/>
      <c r="N1092" s="35" t="n"/>
      <c r="O1092" s="40" t="str">
        <f>IF($A1092="","",MONTH($A1092))</f>
        <v/>
      </c>
      <c r="P1092" s="40" t="str">
        <f>IF($A1092="","",YEAR($A1092))</f>
        <v/>
      </c>
      <c r="Q1092" s="41" t="str">
        <f>IF($A1092="","",DATE(P1092,O1092,1))</f>
        <v/>
      </c>
      <c r="R1092" s="36" t="str">
        <f>IF(OR($A1092="",$N1092=""),"",IF(AND($C1092&lt;&gt;"Transferência",N($I1092)&gt;1),$N1092/$I1092,$N1092))</f>
        <v/>
      </c>
      <c r="S1092" s="41" t="str">
        <f>IF(OR($A1092="",$F1092="",$C1092&lt;&gt;"Despesa"),"",IF(COUNTIF(Cartoes_Nome,$F1092)=0,"",DATE(P1092,O1092+IF(DAY($A1092)&gt;=INDEX(Cartoes_Fech,MATCH($F1092,Cartoes_Nome,0)),1,0),1)))</f>
        <v/>
      </c>
      <c r="T1092" s="42" t="str">
        <f>IF($A1092="","",IF(COUNTIFS(L_Data,$A1092,L_Desc,$B1092,L_Valor,$N1092,L_Tipo,$C1092)&gt;1,"⚠ Possível duplicidade",IF(OR(AND($C1092="Despesa",COUNTIF(CatD_Nome,$D1092)=0),AND($C1092="Receita",COUNTIF(CatR_Nome,$D1092)=0)),"⚠ Categoria não combina com o tipo",IF(OR($N1092="",$C1092=""),"⚠ Falta valor ou tipo",""))))</f>
        <v/>
      </c>
      <c r="U1092" s="40">
        <f>IF($A1092="",0,P1092*12+O1092)</f>
        <v>0</v>
      </c>
      <c r="V1092" s="40">
        <f>IF($A1092="",0,U1092+MAX(0,N($I1092)-MAX(N($H1092),1)))</f>
        <v>0</v>
      </c>
      <c r="W1092" s="40">
        <f>IF(S1092="",0,YEAR(S1092)*12+MONTH(S1092))</f>
        <v>0</v>
      </c>
      <c r="X1092" s="40">
        <f>IF(W1092=0,0,W1092+V1092-U1092)</f>
        <v>0</v>
      </c>
      <c r="Y1092" s="36">
        <f>IF(W1092=0,0,N(R1092)*MAX(0,X1092-MAX(W1092,YEAR(Cfg_Hoje)*12+MONTH(Cfg_Hoje)+IF(DAY(Cfg_Hoje)&gt;=INDEX(Cartoes_Fech,MATCH($F1092,Cartoes_Nome,0)),1,0))+1))</f>
        <v>0</v>
      </c>
      <c r="Z1092" s="40">
        <f>IF($A1092="",0,DAY($A1092))</f>
        <v>0</v>
      </c>
      <c r="AA1092" s="40">
        <f>IF($A1092="",0,WEEKDAY($A1092))</f>
        <v>0</v>
      </c>
      <c r="AB1092" s="36">
        <f>IF(AND($C1092="Despesa",U1092&gt;0,U1092&lt;=Sel_Idx,V1092&gt;=Sel_Idx),N(R1092)+ROW()/1000000000,0)</f>
        <v>0</v>
      </c>
      <c r="AC1092" s="40">
        <f>IF(AND($C1092="Despesa",U1092&gt;0,U1092&lt;=Sel_Idx,V1092&gt;=Sel_Idx),Z1092*10000+ROW(),0)</f>
        <v>0</v>
      </c>
      <c r="AD1092" s="40">
        <f>IF(AC1092=0,0,COUNTIFS(L_CalChave,"&gt;0",L_CalChave,"&lt;"&amp;AC1092)+1)</f>
        <v>0</v>
      </c>
    </row>
    <row r="1093">
      <c r="A1093" s="38" t="n"/>
      <c r="B1093" s="39" t="n"/>
      <c r="C1093" s="34" t="n"/>
      <c r="D1093" s="34" t="n"/>
      <c r="E1093" s="34" t="n"/>
      <c r="F1093" s="34" t="n"/>
      <c r="G1093" s="34" t="n"/>
      <c r="H1093" s="37" t="n"/>
      <c r="I1093" s="37" t="n"/>
      <c r="J1093" s="34" t="n"/>
      <c r="K1093" s="34" t="n"/>
      <c r="L1093" s="34" t="n"/>
      <c r="M1093" s="39" t="n"/>
      <c r="N1093" s="35" t="n"/>
      <c r="O1093" s="40" t="str">
        <f>IF($A1093="","",MONTH($A1093))</f>
        <v/>
      </c>
      <c r="P1093" s="40" t="str">
        <f>IF($A1093="","",YEAR($A1093))</f>
        <v/>
      </c>
      <c r="Q1093" s="41" t="str">
        <f>IF($A1093="","",DATE(P1093,O1093,1))</f>
        <v/>
      </c>
      <c r="R1093" s="36" t="str">
        <f>IF(OR($A1093="",$N1093=""),"",IF(AND($C1093&lt;&gt;"Transferência",N($I1093)&gt;1),$N1093/$I1093,$N1093))</f>
        <v/>
      </c>
      <c r="S1093" s="41" t="str">
        <f>IF(OR($A1093="",$F1093="",$C1093&lt;&gt;"Despesa"),"",IF(COUNTIF(Cartoes_Nome,$F1093)=0,"",DATE(P1093,O1093+IF(DAY($A1093)&gt;=INDEX(Cartoes_Fech,MATCH($F1093,Cartoes_Nome,0)),1,0),1)))</f>
        <v/>
      </c>
      <c r="T1093" s="42" t="str">
        <f>IF($A1093="","",IF(COUNTIFS(L_Data,$A1093,L_Desc,$B1093,L_Valor,$N1093,L_Tipo,$C1093)&gt;1,"⚠ Possível duplicidade",IF(OR(AND($C1093="Despesa",COUNTIF(CatD_Nome,$D1093)=0),AND($C1093="Receita",COUNTIF(CatR_Nome,$D1093)=0)),"⚠ Categoria não combina com o tipo",IF(OR($N1093="",$C1093=""),"⚠ Falta valor ou tipo",""))))</f>
        <v/>
      </c>
      <c r="U1093" s="40">
        <f>IF($A1093="",0,P1093*12+O1093)</f>
        <v>0</v>
      </c>
      <c r="V1093" s="40">
        <f>IF($A1093="",0,U1093+MAX(0,N($I1093)-MAX(N($H1093),1)))</f>
        <v>0</v>
      </c>
      <c r="W1093" s="40">
        <f>IF(S1093="",0,YEAR(S1093)*12+MONTH(S1093))</f>
        <v>0</v>
      </c>
      <c r="X1093" s="40">
        <f>IF(W1093=0,0,W1093+V1093-U1093)</f>
        <v>0</v>
      </c>
      <c r="Y1093" s="36">
        <f>IF(W1093=0,0,N(R1093)*MAX(0,X1093-MAX(W1093,YEAR(Cfg_Hoje)*12+MONTH(Cfg_Hoje)+IF(DAY(Cfg_Hoje)&gt;=INDEX(Cartoes_Fech,MATCH($F1093,Cartoes_Nome,0)),1,0))+1))</f>
        <v>0</v>
      </c>
      <c r="Z1093" s="40">
        <f>IF($A1093="",0,DAY($A1093))</f>
        <v>0</v>
      </c>
      <c r="AA1093" s="40">
        <f>IF($A1093="",0,WEEKDAY($A1093))</f>
        <v>0</v>
      </c>
      <c r="AB1093" s="36">
        <f>IF(AND($C1093="Despesa",U1093&gt;0,U1093&lt;=Sel_Idx,V1093&gt;=Sel_Idx),N(R1093)+ROW()/1000000000,0)</f>
        <v>0</v>
      </c>
      <c r="AC1093" s="40">
        <f>IF(AND($C1093="Despesa",U1093&gt;0,U1093&lt;=Sel_Idx,V1093&gt;=Sel_Idx),Z1093*10000+ROW(),0)</f>
        <v>0</v>
      </c>
      <c r="AD1093" s="40">
        <f>IF(AC1093=0,0,COUNTIFS(L_CalChave,"&gt;0",L_CalChave,"&lt;"&amp;AC1093)+1)</f>
        <v>0</v>
      </c>
    </row>
    <row r="1094">
      <c r="A1094" s="38" t="n"/>
      <c r="B1094" s="39" t="n"/>
      <c r="C1094" s="34" t="n"/>
      <c r="D1094" s="34" t="n"/>
      <c r="E1094" s="34" t="n"/>
      <c r="F1094" s="34" t="n"/>
      <c r="G1094" s="34" t="n"/>
      <c r="H1094" s="37" t="n"/>
      <c r="I1094" s="37" t="n"/>
      <c r="J1094" s="34" t="n"/>
      <c r="K1094" s="34" t="n"/>
      <c r="L1094" s="34" t="n"/>
      <c r="M1094" s="39" t="n"/>
      <c r="N1094" s="35" t="n"/>
      <c r="O1094" s="40" t="str">
        <f>IF($A1094="","",MONTH($A1094))</f>
        <v/>
      </c>
      <c r="P1094" s="40" t="str">
        <f>IF($A1094="","",YEAR($A1094))</f>
        <v/>
      </c>
      <c r="Q1094" s="41" t="str">
        <f>IF($A1094="","",DATE(P1094,O1094,1))</f>
        <v/>
      </c>
      <c r="R1094" s="36" t="str">
        <f>IF(OR($A1094="",$N1094=""),"",IF(AND($C1094&lt;&gt;"Transferência",N($I1094)&gt;1),$N1094/$I1094,$N1094))</f>
        <v/>
      </c>
      <c r="S1094" s="41" t="str">
        <f>IF(OR($A1094="",$F1094="",$C1094&lt;&gt;"Despesa"),"",IF(COUNTIF(Cartoes_Nome,$F1094)=0,"",DATE(P1094,O1094+IF(DAY($A1094)&gt;=INDEX(Cartoes_Fech,MATCH($F1094,Cartoes_Nome,0)),1,0),1)))</f>
        <v/>
      </c>
      <c r="T1094" s="42" t="str">
        <f>IF($A1094="","",IF(COUNTIFS(L_Data,$A1094,L_Desc,$B1094,L_Valor,$N1094,L_Tipo,$C1094)&gt;1,"⚠ Possível duplicidade",IF(OR(AND($C1094="Despesa",COUNTIF(CatD_Nome,$D1094)=0),AND($C1094="Receita",COUNTIF(CatR_Nome,$D1094)=0)),"⚠ Categoria não combina com o tipo",IF(OR($N1094="",$C1094=""),"⚠ Falta valor ou tipo",""))))</f>
        <v/>
      </c>
      <c r="U1094" s="40">
        <f>IF($A1094="",0,P1094*12+O1094)</f>
        <v>0</v>
      </c>
      <c r="V1094" s="40">
        <f>IF($A1094="",0,U1094+MAX(0,N($I1094)-MAX(N($H1094),1)))</f>
        <v>0</v>
      </c>
      <c r="W1094" s="40">
        <f>IF(S1094="",0,YEAR(S1094)*12+MONTH(S1094))</f>
        <v>0</v>
      </c>
      <c r="X1094" s="40">
        <f>IF(W1094=0,0,W1094+V1094-U1094)</f>
        <v>0</v>
      </c>
      <c r="Y1094" s="36">
        <f>IF(W1094=0,0,N(R1094)*MAX(0,X1094-MAX(W1094,YEAR(Cfg_Hoje)*12+MONTH(Cfg_Hoje)+IF(DAY(Cfg_Hoje)&gt;=INDEX(Cartoes_Fech,MATCH($F1094,Cartoes_Nome,0)),1,0))+1))</f>
        <v>0</v>
      </c>
      <c r="Z1094" s="40">
        <f>IF($A1094="",0,DAY($A1094))</f>
        <v>0</v>
      </c>
      <c r="AA1094" s="40">
        <f>IF($A1094="",0,WEEKDAY($A1094))</f>
        <v>0</v>
      </c>
      <c r="AB1094" s="36">
        <f>IF(AND($C1094="Despesa",U1094&gt;0,U1094&lt;=Sel_Idx,V1094&gt;=Sel_Idx),N(R1094)+ROW()/1000000000,0)</f>
        <v>0</v>
      </c>
      <c r="AC1094" s="40">
        <f>IF(AND($C1094="Despesa",U1094&gt;0,U1094&lt;=Sel_Idx,V1094&gt;=Sel_Idx),Z1094*10000+ROW(),0)</f>
        <v>0</v>
      </c>
      <c r="AD1094" s="40">
        <f>IF(AC1094=0,0,COUNTIFS(L_CalChave,"&gt;0",L_CalChave,"&lt;"&amp;AC1094)+1)</f>
        <v>0</v>
      </c>
    </row>
    <row r="1095">
      <c r="A1095" s="38" t="n"/>
      <c r="B1095" s="39" t="n"/>
      <c r="C1095" s="34" t="n"/>
      <c r="D1095" s="34" t="n"/>
      <c r="E1095" s="34" t="n"/>
      <c r="F1095" s="34" t="n"/>
      <c r="G1095" s="34" t="n"/>
      <c r="H1095" s="37" t="n"/>
      <c r="I1095" s="37" t="n"/>
      <c r="J1095" s="34" t="n"/>
      <c r="K1095" s="34" t="n"/>
      <c r="L1095" s="34" t="n"/>
      <c r="M1095" s="39" t="n"/>
      <c r="N1095" s="35" t="n"/>
      <c r="O1095" s="40" t="str">
        <f>IF($A1095="","",MONTH($A1095))</f>
        <v/>
      </c>
      <c r="P1095" s="40" t="str">
        <f>IF($A1095="","",YEAR($A1095))</f>
        <v/>
      </c>
      <c r="Q1095" s="41" t="str">
        <f>IF($A1095="","",DATE(P1095,O1095,1))</f>
        <v/>
      </c>
      <c r="R1095" s="36" t="str">
        <f>IF(OR($A1095="",$N1095=""),"",IF(AND($C1095&lt;&gt;"Transferência",N($I1095)&gt;1),$N1095/$I1095,$N1095))</f>
        <v/>
      </c>
      <c r="S1095" s="41" t="str">
        <f>IF(OR($A1095="",$F1095="",$C1095&lt;&gt;"Despesa"),"",IF(COUNTIF(Cartoes_Nome,$F1095)=0,"",DATE(P1095,O1095+IF(DAY($A1095)&gt;=INDEX(Cartoes_Fech,MATCH($F1095,Cartoes_Nome,0)),1,0),1)))</f>
        <v/>
      </c>
      <c r="T1095" s="42" t="str">
        <f>IF($A1095="","",IF(COUNTIFS(L_Data,$A1095,L_Desc,$B1095,L_Valor,$N1095,L_Tipo,$C1095)&gt;1,"⚠ Possível duplicidade",IF(OR(AND($C1095="Despesa",COUNTIF(CatD_Nome,$D1095)=0),AND($C1095="Receita",COUNTIF(CatR_Nome,$D1095)=0)),"⚠ Categoria não combina com o tipo",IF(OR($N1095="",$C1095=""),"⚠ Falta valor ou tipo",""))))</f>
        <v/>
      </c>
      <c r="U1095" s="40">
        <f>IF($A1095="",0,P1095*12+O1095)</f>
        <v>0</v>
      </c>
      <c r="V1095" s="40">
        <f>IF($A1095="",0,U1095+MAX(0,N($I1095)-MAX(N($H1095),1)))</f>
        <v>0</v>
      </c>
      <c r="W1095" s="40">
        <f>IF(S1095="",0,YEAR(S1095)*12+MONTH(S1095))</f>
        <v>0</v>
      </c>
      <c r="X1095" s="40">
        <f>IF(W1095=0,0,W1095+V1095-U1095)</f>
        <v>0</v>
      </c>
      <c r="Y1095" s="36">
        <f>IF(W1095=0,0,N(R1095)*MAX(0,X1095-MAX(W1095,YEAR(Cfg_Hoje)*12+MONTH(Cfg_Hoje)+IF(DAY(Cfg_Hoje)&gt;=INDEX(Cartoes_Fech,MATCH($F1095,Cartoes_Nome,0)),1,0))+1))</f>
        <v>0</v>
      </c>
      <c r="Z1095" s="40">
        <f>IF($A1095="",0,DAY($A1095))</f>
        <v>0</v>
      </c>
      <c r="AA1095" s="40">
        <f>IF($A1095="",0,WEEKDAY($A1095))</f>
        <v>0</v>
      </c>
      <c r="AB1095" s="36">
        <f>IF(AND($C1095="Despesa",U1095&gt;0,U1095&lt;=Sel_Idx,V1095&gt;=Sel_Idx),N(R1095)+ROW()/1000000000,0)</f>
        <v>0</v>
      </c>
      <c r="AC1095" s="40">
        <f>IF(AND($C1095="Despesa",U1095&gt;0,U1095&lt;=Sel_Idx,V1095&gt;=Sel_Idx),Z1095*10000+ROW(),0)</f>
        <v>0</v>
      </c>
      <c r="AD1095" s="40">
        <f>IF(AC1095=0,0,COUNTIFS(L_CalChave,"&gt;0",L_CalChave,"&lt;"&amp;AC1095)+1)</f>
        <v>0</v>
      </c>
    </row>
    <row r="1096">
      <c r="A1096" s="38" t="n"/>
      <c r="B1096" s="39" t="n"/>
      <c r="C1096" s="34" t="n"/>
      <c r="D1096" s="34" t="n"/>
      <c r="E1096" s="34" t="n"/>
      <c r="F1096" s="34" t="n"/>
      <c r="G1096" s="34" t="n"/>
      <c r="H1096" s="37" t="n"/>
      <c r="I1096" s="37" t="n"/>
      <c r="J1096" s="34" t="n"/>
      <c r="K1096" s="34" t="n"/>
      <c r="L1096" s="34" t="n"/>
      <c r="M1096" s="39" t="n"/>
      <c r="N1096" s="35" t="n"/>
      <c r="O1096" s="40" t="str">
        <f>IF($A1096="","",MONTH($A1096))</f>
        <v/>
      </c>
      <c r="P1096" s="40" t="str">
        <f>IF($A1096="","",YEAR($A1096))</f>
        <v/>
      </c>
      <c r="Q1096" s="41" t="str">
        <f>IF($A1096="","",DATE(P1096,O1096,1))</f>
        <v/>
      </c>
      <c r="R1096" s="36" t="str">
        <f>IF(OR($A1096="",$N1096=""),"",IF(AND($C1096&lt;&gt;"Transferência",N($I1096)&gt;1),$N1096/$I1096,$N1096))</f>
        <v/>
      </c>
      <c r="S1096" s="41" t="str">
        <f>IF(OR($A1096="",$F1096="",$C1096&lt;&gt;"Despesa"),"",IF(COUNTIF(Cartoes_Nome,$F1096)=0,"",DATE(P1096,O1096+IF(DAY($A1096)&gt;=INDEX(Cartoes_Fech,MATCH($F1096,Cartoes_Nome,0)),1,0),1)))</f>
        <v/>
      </c>
      <c r="T1096" s="42" t="str">
        <f>IF($A1096="","",IF(COUNTIFS(L_Data,$A1096,L_Desc,$B1096,L_Valor,$N1096,L_Tipo,$C1096)&gt;1,"⚠ Possível duplicidade",IF(OR(AND($C1096="Despesa",COUNTIF(CatD_Nome,$D1096)=0),AND($C1096="Receita",COUNTIF(CatR_Nome,$D1096)=0)),"⚠ Categoria não combina com o tipo",IF(OR($N1096="",$C1096=""),"⚠ Falta valor ou tipo",""))))</f>
        <v/>
      </c>
      <c r="U1096" s="40">
        <f>IF($A1096="",0,P1096*12+O1096)</f>
        <v>0</v>
      </c>
      <c r="V1096" s="40">
        <f>IF($A1096="",0,U1096+MAX(0,N($I1096)-MAX(N($H1096),1)))</f>
        <v>0</v>
      </c>
      <c r="W1096" s="40">
        <f>IF(S1096="",0,YEAR(S1096)*12+MONTH(S1096))</f>
        <v>0</v>
      </c>
      <c r="X1096" s="40">
        <f>IF(W1096=0,0,W1096+V1096-U1096)</f>
        <v>0</v>
      </c>
      <c r="Y1096" s="36">
        <f>IF(W1096=0,0,N(R1096)*MAX(0,X1096-MAX(W1096,YEAR(Cfg_Hoje)*12+MONTH(Cfg_Hoje)+IF(DAY(Cfg_Hoje)&gt;=INDEX(Cartoes_Fech,MATCH($F1096,Cartoes_Nome,0)),1,0))+1))</f>
        <v>0</v>
      </c>
      <c r="Z1096" s="40">
        <f>IF($A1096="",0,DAY($A1096))</f>
        <v>0</v>
      </c>
      <c r="AA1096" s="40">
        <f>IF($A1096="",0,WEEKDAY($A1096))</f>
        <v>0</v>
      </c>
      <c r="AB1096" s="36">
        <f>IF(AND($C1096="Despesa",U1096&gt;0,U1096&lt;=Sel_Idx,V1096&gt;=Sel_Idx),N(R1096)+ROW()/1000000000,0)</f>
        <v>0</v>
      </c>
      <c r="AC1096" s="40">
        <f>IF(AND($C1096="Despesa",U1096&gt;0,U1096&lt;=Sel_Idx,V1096&gt;=Sel_Idx),Z1096*10000+ROW(),0)</f>
        <v>0</v>
      </c>
      <c r="AD1096" s="40">
        <f>IF(AC1096=0,0,COUNTIFS(L_CalChave,"&gt;0",L_CalChave,"&lt;"&amp;AC1096)+1)</f>
        <v>0</v>
      </c>
    </row>
    <row r="1097">
      <c r="A1097" s="38" t="n"/>
      <c r="B1097" s="39" t="n"/>
      <c r="C1097" s="34" t="n"/>
      <c r="D1097" s="34" t="n"/>
      <c r="E1097" s="34" t="n"/>
      <c r="F1097" s="34" t="n"/>
      <c r="G1097" s="34" t="n"/>
      <c r="H1097" s="37" t="n"/>
      <c r="I1097" s="37" t="n"/>
      <c r="J1097" s="34" t="n"/>
      <c r="K1097" s="34" t="n"/>
      <c r="L1097" s="34" t="n"/>
      <c r="M1097" s="39" t="n"/>
      <c r="N1097" s="35" t="n"/>
      <c r="O1097" s="40" t="str">
        <f>IF($A1097="","",MONTH($A1097))</f>
        <v/>
      </c>
      <c r="P1097" s="40" t="str">
        <f>IF($A1097="","",YEAR($A1097))</f>
        <v/>
      </c>
      <c r="Q1097" s="41" t="str">
        <f>IF($A1097="","",DATE(P1097,O1097,1))</f>
        <v/>
      </c>
      <c r="R1097" s="36" t="str">
        <f>IF(OR($A1097="",$N1097=""),"",IF(AND($C1097&lt;&gt;"Transferência",N($I1097)&gt;1),$N1097/$I1097,$N1097))</f>
        <v/>
      </c>
      <c r="S1097" s="41" t="str">
        <f>IF(OR($A1097="",$F1097="",$C1097&lt;&gt;"Despesa"),"",IF(COUNTIF(Cartoes_Nome,$F1097)=0,"",DATE(P1097,O1097+IF(DAY($A1097)&gt;=INDEX(Cartoes_Fech,MATCH($F1097,Cartoes_Nome,0)),1,0),1)))</f>
        <v/>
      </c>
      <c r="T1097" s="42" t="str">
        <f>IF($A1097="","",IF(COUNTIFS(L_Data,$A1097,L_Desc,$B1097,L_Valor,$N1097,L_Tipo,$C1097)&gt;1,"⚠ Possível duplicidade",IF(OR(AND($C1097="Despesa",COUNTIF(CatD_Nome,$D1097)=0),AND($C1097="Receita",COUNTIF(CatR_Nome,$D1097)=0)),"⚠ Categoria não combina com o tipo",IF(OR($N1097="",$C1097=""),"⚠ Falta valor ou tipo",""))))</f>
        <v/>
      </c>
      <c r="U1097" s="40">
        <f>IF($A1097="",0,P1097*12+O1097)</f>
        <v>0</v>
      </c>
      <c r="V1097" s="40">
        <f>IF($A1097="",0,U1097+MAX(0,N($I1097)-MAX(N($H1097),1)))</f>
        <v>0</v>
      </c>
      <c r="W1097" s="40">
        <f>IF(S1097="",0,YEAR(S1097)*12+MONTH(S1097))</f>
        <v>0</v>
      </c>
      <c r="X1097" s="40">
        <f>IF(W1097=0,0,W1097+V1097-U1097)</f>
        <v>0</v>
      </c>
      <c r="Y1097" s="36">
        <f>IF(W1097=0,0,N(R1097)*MAX(0,X1097-MAX(W1097,YEAR(Cfg_Hoje)*12+MONTH(Cfg_Hoje)+IF(DAY(Cfg_Hoje)&gt;=INDEX(Cartoes_Fech,MATCH($F1097,Cartoes_Nome,0)),1,0))+1))</f>
        <v>0</v>
      </c>
      <c r="Z1097" s="40">
        <f>IF($A1097="",0,DAY($A1097))</f>
        <v>0</v>
      </c>
      <c r="AA1097" s="40">
        <f>IF($A1097="",0,WEEKDAY($A1097))</f>
        <v>0</v>
      </c>
      <c r="AB1097" s="36">
        <f>IF(AND($C1097="Despesa",U1097&gt;0,U1097&lt;=Sel_Idx,V1097&gt;=Sel_Idx),N(R1097)+ROW()/1000000000,0)</f>
        <v>0</v>
      </c>
      <c r="AC1097" s="40">
        <f>IF(AND($C1097="Despesa",U1097&gt;0,U1097&lt;=Sel_Idx,V1097&gt;=Sel_Idx),Z1097*10000+ROW(),0)</f>
        <v>0</v>
      </c>
      <c r="AD1097" s="40">
        <f>IF(AC1097=0,0,COUNTIFS(L_CalChave,"&gt;0",L_CalChave,"&lt;"&amp;AC1097)+1)</f>
        <v>0</v>
      </c>
    </row>
    <row r="1098">
      <c r="A1098" s="38" t="n"/>
      <c r="B1098" s="39" t="n"/>
      <c r="C1098" s="34" t="n"/>
      <c r="D1098" s="34" t="n"/>
      <c r="E1098" s="34" t="n"/>
      <c r="F1098" s="34" t="n"/>
      <c r="G1098" s="34" t="n"/>
      <c r="H1098" s="37" t="n"/>
      <c r="I1098" s="37" t="n"/>
      <c r="J1098" s="34" t="n"/>
      <c r="K1098" s="34" t="n"/>
      <c r="L1098" s="34" t="n"/>
      <c r="M1098" s="39" t="n"/>
      <c r="N1098" s="35" t="n"/>
      <c r="O1098" s="40" t="str">
        <f>IF($A1098="","",MONTH($A1098))</f>
        <v/>
      </c>
      <c r="P1098" s="40" t="str">
        <f>IF($A1098="","",YEAR($A1098))</f>
        <v/>
      </c>
      <c r="Q1098" s="41" t="str">
        <f>IF($A1098="","",DATE(P1098,O1098,1))</f>
        <v/>
      </c>
      <c r="R1098" s="36" t="str">
        <f>IF(OR($A1098="",$N1098=""),"",IF(AND($C1098&lt;&gt;"Transferência",N($I1098)&gt;1),$N1098/$I1098,$N1098))</f>
        <v/>
      </c>
      <c r="S1098" s="41" t="str">
        <f>IF(OR($A1098="",$F1098="",$C1098&lt;&gt;"Despesa"),"",IF(COUNTIF(Cartoes_Nome,$F1098)=0,"",DATE(P1098,O1098+IF(DAY($A1098)&gt;=INDEX(Cartoes_Fech,MATCH($F1098,Cartoes_Nome,0)),1,0),1)))</f>
        <v/>
      </c>
      <c r="T1098" s="42" t="str">
        <f>IF($A1098="","",IF(COUNTIFS(L_Data,$A1098,L_Desc,$B1098,L_Valor,$N1098,L_Tipo,$C1098)&gt;1,"⚠ Possível duplicidade",IF(OR(AND($C1098="Despesa",COUNTIF(CatD_Nome,$D1098)=0),AND($C1098="Receita",COUNTIF(CatR_Nome,$D1098)=0)),"⚠ Categoria não combina com o tipo",IF(OR($N1098="",$C1098=""),"⚠ Falta valor ou tipo",""))))</f>
        <v/>
      </c>
      <c r="U1098" s="40">
        <f>IF($A1098="",0,P1098*12+O1098)</f>
        <v>0</v>
      </c>
      <c r="V1098" s="40">
        <f>IF($A1098="",0,U1098+MAX(0,N($I1098)-MAX(N($H1098),1)))</f>
        <v>0</v>
      </c>
      <c r="W1098" s="40">
        <f>IF(S1098="",0,YEAR(S1098)*12+MONTH(S1098))</f>
        <v>0</v>
      </c>
      <c r="X1098" s="40">
        <f>IF(W1098=0,0,W1098+V1098-U1098)</f>
        <v>0</v>
      </c>
      <c r="Y1098" s="36">
        <f>IF(W1098=0,0,N(R1098)*MAX(0,X1098-MAX(W1098,YEAR(Cfg_Hoje)*12+MONTH(Cfg_Hoje)+IF(DAY(Cfg_Hoje)&gt;=INDEX(Cartoes_Fech,MATCH($F1098,Cartoes_Nome,0)),1,0))+1))</f>
        <v>0</v>
      </c>
      <c r="Z1098" s="40">
        <f>IF($A1098="",0,DAY($A1098))</f>
        <v>0</v>
      </c>
      <c r="AA1098" s="40">
        <f>IF($A1098="",0,WEEKDAY($A1098))</f>
        <v>0</v>
      </c>
      <c r="AB1098" s="36">
        <f>IF(AND($C1098="Despesa",U1098&gt;0,U1098&lt;=Sel_Idx,V1098&gt;=Sel_Idx),N(R1098)+ROW()/1000000000,0)</f>
        <v>0</v>
      </c>
      <c r="AC1098" s="40">
        <f>IF(AND($C1098="Despesa",U1098&gt;0,U1098&lt;=Sel_Idx,V1098&gt;=Sel_Idx),Z1098*10000+ROW(),0)</f>
        <v>0</v>
      </c>
      <c r="AD1098" s="40">
        <f>IF(AC1098=0,0,COUNTIFS(L_CalChave,"&gt;0",L_CalChave,"&lt;"&amp;AC1098)+1)</f>
        <v>0</v>
      </c>
    </row>
    <row r="1099">
      <c r="A1099" s="38" t="n"/>
      <c r="B1099" s="39" t="n"/>
      <c r="C1099" s="34" t="n"/>
      <c r="D1099" s="34" t="n"/>
      <c r="E1099" s="34" t="n"/>
      <c r="F1099" s="34" t="n"/>
      <c r="G1099" s="34" t="n"/>
      <c r="H1099" s="37" t="n"/>
      <c r="I1099" s="37" t="n"/>
      <c r="J1099" s="34" t="n"/>
      <c r="K1099" s="34" t="n"/>
      <c r="L1099" s="34" t="n"/>
      <c r="M1099" s="39" t="n"/>
      <c r="N1099" s="35" t="n"/>
      <c r="O1099" s="40" t="str">
        <f>IF($A1099="","",MONTH($A1099))</f>
        <v/>
      </c>
      <c r="P1099" s="40" t="str">
        <f>IF($A1099="","",YEAR($A1099))</f>
        <v/>
      </c>
      <c r="Q1099" s="41" t="str">
        <f>IF($A1099="","",DATE(P1099,O1099,1))</f>
        <v/>
      </c>
      <c r="R1099" s="36" t="str">
        <f>IF(OR($A1099="",$N1099=""),"",IF(AND($C1099&lt;&gt;"Transferência",N($I1099)&gt;1),$N1099/$I1099,$N1099))</f>
        <v/>
      </c>
      <c r="S1099" s="41" t="str">
        <f>IF(OR($A1099="",$F1099="",$C1099&lt;&gt;"Despesa"),"",IF(COUNTIF(Cartoes_Nome,$F1099)=0,"",DATE(P1099,O1099+IF(DAY($A1099)&gt;=INDEX(Cartoes_Fech,MATCH($F1099,Cartoes_Nome,0)),1,0),1)))</f>
        <v/>
      </c>
      <c r="T1099" s="42" t="str">
        <f>IF($A1099="","",IF(COUNTIFS(L_Data,$A1099,L_Desc,$B1099,L_Valor,$N1099,L_Tipo,$C1099)&gt;1,"⚠ Possível duplicidade",IF(OR(AND($C1099="Despesa",COUNTIF(CatD_Nome,$D1099)=0),AND($C1099="Receita",COUNTIF(CatR_Nome,$D1099)=0)),"⚠ Categoria não combina com o tipo",IF(OR($N1099="",$C1099=""),"⚠ Falta valor ou tipo",""))))</f>
        <v/>
      </c>
      <c r="U1099" s="40">
        <f>IF($A1099="",0,P1099*12+O1099)</f>
        <v>0</v>
      </c>
      <c r="V1099" s="40">
        <f>IF($A1099="",0,U1099+MAX(0,N($I1099)-MAX(N($H1099),1)))</f>
        <v>0</v>
      </c>
      <c r="W1099" s="40">
        <f>IF(S1099="",0,YEAR(S1099)*12+MONTH(S1099))</f>
        <v>0</v>
      </c>
      <c r="X1099" s="40">
        <f>IF(W1099=0,0,W1099+V1099-U1099)</f>
        <v>0</v>
      </c>
      <c r="Y1099" s="36">
        <f>IF(W1099=0,0,N(R1099)*MAX(0,X1099-MAX(W1099,YEAR(Cfg_Hoje)*12+MONTH(Cfg_Hoje)+IF(DAY(Cfg_Hoje)&gt;=INDEX(Cartoes_Fech,MATCH($F1099,Cartoes_Nome,0)),1,0))+1))</f>
        <v>0</v>
      </c>
      <c r="Z1099" s="40">
        <f>IF($A1099="",0,DAY($A1099))</f>
        <v>0</v>
      </c>
      <c r="AA1099" s="40">
        <f>IF($A1099="",0,WEEKDAY($A1099))</f>
        <v>0</v>
      </c>
      <c r="AB1099" s="36">
        <f>IF(AND($C1099="Despesa",U1099&gt;0,U1099&lt;=Sel_Idx,V1099&gt;=Sel_Idx),N(R1099)+ROW()/1000000000,0)</f>
        <v>0</v>
      </c>
      <c r="AC1099" s="40">
        <f>IF(AND($C1099="Despesa",U1099&gt;0,U1099&lt;=Sel_Idx,V1099&gt;=Sel_Idx),Z1099*10000+ROW(),0)</f>
        <v>0</v>
      </c>
      <c r="AD1099" s="40">
        <f>IF(AC1099=0,0,COUNTIFS(L_CalChave,"&gt;0",L_CalChave,"&lt;"&amp;AC1099)+1)</f>
        <v>0</v>
      </c>
    </row>
    <row r="1100">
      <c r="A1100" s="38" t="n"/>
      <c r="B1100" s="39" t="n"/>
      <c r="C1100" s="34" t="n"/>
      <c r="D1100" s="34" t="n"/>
      <c r="E1100" s="34" t="n"/>
      <c r="F1100" s="34" t="n"/>
      <c r="G1100" s="34" t="n"/>
      <c r="H1100" s="37" t="n"/>
      <c r="I1100" s="37" t="n"/>
      <c r="J1100" s="34" t="n"/>
      <c r="K1100" s="34" t="n"/>
      <c r="L1100" s="34" t="n"/>
      <c r="M1100" s="39" t="n"/>
      <c r="N1100" s="35" t="n"/>
      <c r="O1100" s="40" t="str">
        <f>IF($A1100="","",MONTH($A1100))</f>
        <v/>
      </c>
      <c r="P1100" s="40" t="str">
        <f>IF($A1100="","",YEAR($A1100))</f>
        <v/>
      </c>
      <c r="Q1100" s="41" t="str">
        <f>IF($A1100="","",DATE(P1100,O1100,1))</f>
        <v/>
      </c>
      <c r="R1100" s="36" t="str">
        <f>IF(OR($A1100="",$N1100=""),"",IF(AND($C1100&lt;&gt;"Transferência",N($I1100)&gt;1),$N1100/$I1100,$N1100))</f>
        <v/>
      </c>
      <c r="S1100" s="41" t="str">
        <f>IF(OR($A1100="",$F1100="",$C1100&lt;&gt;"Despesa"),"",IF(COUNTIF(Cartoes_Nome,$F1100)=0,"",DATE(P1100,O1100+IF(DAY($A1100)&gt;=INDEX(Cartoes_Fech,MATCH($F1100,Cartoes_Nome,0)),1,0),1)))</f>
        <v/>
      </c>
      <c r="T1100" s="42" t="str">
        <f>IF($A1100="","",IF(COUNTIFS(L_Data,$A1100,L_Desc,$B1100,L_Valor,$N1100,L_Tipo,$C1100)&gt;1,"⚠ Possível duplicidade",IF(OR(AND($C1100="Despesa",COUNTIF(CatD_Nome,$D1100)=0),AND($C1100="Receita",COUNTIF(CatR_Nome,$D1100)=0)),"⚠ Categoria não combina com o tipo",IF(OR($N1100="",$C1100=""),"⚠ Falta valor ou tipo",""))))</f>
        <v/>
      </c>
      <c r="U1100" s="40">
        <f>IF($A1100="",0,P1100*12+O1100)</f>
        <v>0</v>
      </c>
      <c r="V1100" s="40">
        <f>IF($A1100="",0,U1100+MAX(0,N($I1100)-MAX(N($H1100),1)))</f>
        <v>0</v>
      </c>
      <c r="W1100" s="40">
        <f>IF(S1100="",0,YEAR(S1100)*12+MONTH(S1100))</f>
        <v>0</v>
      </c>
      <c r="X1100" s="40">
        <f>IF(W1100=0,0,W1100+V1100-U1100)</f>
        <v>0</v>
      </c>
      <c r="Y1100" s="36">
        <f>IF(W1100=0,0,N(R1100)*MAX(0,X1100-MAX(W1100,YEAR(Cfg_Hoje)*12+MONTH(Cfg_Hoje)+IF(DAY(Cfg_Hoje)&gt;=INDEX(Cartoes_Fech,MATCH($F1100,Cartoes_Nome,0)),1,0))+1))</f>
        <v>0</v>
      </c>
      <c r="Z1100" s="40">
        <f>IF($A1100="",0,DAY($A1100))</f>
        <v>0</v>
      </c>
      <c r="AA1100" s="40">
        <f>IF($A1100="",0,WEEKDAY($A1100))</f>
        <v>0</v>
      </c>
      <c r="AB1100" s="36">
        <f>IF(AND($C1100="Despesa",U1100&gt;0,U1100&lt;=Sel_Idx,V1100&gt;=Sel_Idx),N(R1100)+ROW()/1000000000,0)</f>
        <v>0</v>
      </c>
      <c r="AC1100" s="40">
        <f>IF(AND($C1100="Despesa",U1100&gt;0,U1100&lt;=Sel_Idx,V1100&gt;=Sel_Idx),Z1100*10000+ROW(),0)</f>
        <v>0</v>
      </c>
      <c r="AD1100" s="40">
        <f>IF(AC1100=0,0,COUNTIFS(L_CalChave,"&gt;0",L_CalChave,"&lt;"&amp;AC1100)+1)</f>
        <v>0</v>
      </c>
    </row>
    <row r="1101">
      <c r="A1101" s="38" t="n"/>
      <c r="B1101" s="39" t="n"/>
      <c r="C1101" s="34" t="n"/>
      <c r="D1101" s="34" t="n"/>
      <c r="E1101" s="34" t="n"/>
      <c r="F1101" s="34" t="n"/>
      <c r="G1101" s="34" t="n"/>
      <c r="H1101" s="37" t="n"/>
      <c r="I1101" s="37" t="n"/>
      <c r="J1101" s="34" t="n"/>
      <c r="K1101" s="34" t="n"/>
      <c r="L1101" s="34" t="n"/>
      <c r="M1101" s="39" t="n"/>
      <c r="N1101" s="35" t="n"/>
      <c r="O1101" s="40" t="str">
        <f>IF($A1101="","",MONTH($A1101))</f>
        <v/>
      </c>
      <c r="P1101" s="40" t="str">
        <f>IF($A1101="","",YEAR($A1101))</f>
        <v/>
      </c>
      <c r="Q1101" s="41" t="str">
        <f>IF($A1101="","",DATE(P1101,O1101,1))</f>
        <v/>
      </c>
      <c r="R1101" s="36" t="str">
        <f>IF(OR($A1101="",$N1101=""),"",IF(AND($C1101&lt;&gt;"Transferência",N($I1101)&gt;1),$N1101/$I1101,$N1101))</f>
        <v/>
      </c>
      <c r="S1101" s="41" t="str">
        <f>IF(OR($A1101="",$F1101="",$C1101&lt;&gt;"Despesa"),"",IF(COUNTIF(Cartoes_Nome,$F1101)=0,"",DATE(P1101,O1101+IF(DAY($A1101)&gt;=INDEX(Cartoes_Fech,MATCH($F1101,Cartoes_Nome,0)),1,0),1)))</f>
        <v/>
      </c>
      <c r="T1101" s="42" t="str">
        <f>IF($A1101="","",IF(COUNTIFS(L_Data,$A1101,L_Desc,$B1101,L_Valor,$N1101,L_Tipo,$C1101)&gt;1,"⚠ Possível duplicidade",IF(OR(AND($C1101="Despesa",COUNTIF(CatD_Nome,$D1101)=0),AND($C1101="Receita",COUNTIF(CatR_Nome,$D1101)=0)),"⚠ Categoria não combina com o tipo",IF(OR($N1101="",$C1101=""),"⚠ Falta valor ou tipo",""))))</f>
        <v/>
      </c>
      <c r="U1101" s="40">
        <f>IF($A1101="",0,P1101*12+O1101)</f>
        <v>0</v>
      </c>
      <c r="V1101" s="40">
        <f>IF($A1101="",0,U1101+MAX(0,N($I1101)-MAX(N($H1101),1)))</f>
        <v>0</v>
      </c>
      <c r="W1101" s="40">
        <f>IF(S1101="",0,YEAR(S1101)*12+MONTH(S1101))</f>
        <v>0</v>
      </c>
      <c r="X1101" s="40">
        <f>IF(W1101=0,0,W1101+V1101-U1101)</f>
        <v>0</v>
      </c>
      <c r="Y1101" s="36">
        <f>IF(W1101=0,0,N(R1101)*MAX(0,X1101-MAX(W1101,YEAR(Cfg_Hoje)*12+MONTH(Cfg_Hoje)+IF(DAY(Cfg_Hoje)&gt;=INDEX(Cartoes_Fech,MATCH($F1101,Cartoes_Nome,0)),1,0))+1))</f>
        <v>0</v>
      </c>
      <c r="Z1101" s="40">
        <f>IF($A1101="",0,DAY($A1101))</f>
        <v>0</v>
      </c>
      <c r="AA1101" s="40">
        <f>IF($A1101="",0,WEEKDAY($A1101))</f>
        <v>0</v>
      </c>
      <c r="AB1101" s="36">
        <f>IF(AND($C1101="Despesa",U1101&gt;0,U1101&lt;=Sel_Idx,V1101&gt;=Sel_Idx),N(R1101)+ROW()/1000000000,0)</f>
        <v>0</v>
      </c>
      <c r="AC1101" s="40">
        <f>IF(AND($C1101="Despesa",U1101&gt;0,U1101&lt;=Sel_Idx,V1101&gt;=Sel_Idx),Z1101*10000+ROW(),0)</f>
        <v>0</v>
      </c>
      <c r="AD1101" s="40">
        <f>IF(AC1101=0,0,COUNTIFS(L_CalChave,"&gt;0",L_CalChave,"&lt;"&amp;AC1101)+1)</f>
        <v>0</v>
      </c>
    </row>
    <row r="1102">
      <c r="A1102" s="38" t="n"/>
      <c r="B1102" s="39" t="n"/>
      <c r="C1102" s="34" t="n"/>
      <c r="D1102" s="34" t="n"/>
      <c r="E1102" s="34" t="n"/>
      <c r="F1102" s="34" t="n"/>
      <c r="G1102" s="34" t="n"/>
      <c r="H1102" s="37" t="n"/>
      <c r="I1102" s="37" t="n"/>
      <c r="J1102" s="34" t="n"/>
      <c r="K1102" s="34" t="n"/>
      <c r="L1102" s="34" t="n"/>
      <c r="M1102" s="39" t="n"/>
      <c r="N1102" s="35" t="n"/>
      <c r="O1102" s="40" t="str">
        <f>IF($A1102="","",MONTH($A1102))</f>
        <v/>
      </c>
      <c r="P1102" s="40" t="str">
        <f>IF($A1102="","",YEAR($A1102))</f>
        <v/>
      </c>
      <c r="Q1102" s="41" t="str">
        <f>IF($A1102="","",DATE(P1102,O1102,1))</f>
        <v/>
      </c>
      <c r="R1102" s="36" t="str">
        <f>IF(OR($A1102="",$N1102=""),"",IF(AND($C1102&lt;&gt;"Transferência",N($I1102)&gt;1),$N1102/$I1102,$N1102))</f>
        <v/>
      </c>
      <c r="S1102" s="41" t="str">
        <f>IF(OR($A1102="",$F1102="",$C1102&lt;&gt;"Despesa"),"",IF(COUNTIF(Cartoes_Nome,$F1102)=0,"",DATE(P1102,O1102+IF(DAY($A1102)&gt;=INDEX(Cartoes_Fech,MATCH($F1102,Cartoes_Nome,0)),1,0),1)))</f>
        <v/>
      </c>
      <c r="T1102" s="42" t="str">
        <f>IF($A1102="","",IF(COUNTIFS(L_Data,$A1102,L_Desc,$B1102,L_Valor,$N1102,L_Tipo,$C1102)&gt;1,"⚠ Possível duplicidade",IF(OR(AND($C1102="Despesa",COUNTIF(CatD_Nome,$D1102)=0),AND($C1102="Receita",COUNTIF(CatR_Nome,$D1102)=0)),"⚠ Categoria não combina com o tipo",IF(OR($N1102="",$C1102=""),"⚠ Falta valor ou tipo",""))))</f>
        <v/>
      </c>
      <c r="U1102" s="40">
        <f>IF($A1102="",0,P1102*12+O1102)</f>
        <v>0</v>
      </c>
      <c r="V1102" s="40">
        <f>IF($A1102="",0,U1102+MAX(0,N($I1102)-MAX(N($H1102),1)))</f>
        <v>0</v>
      </c>
      <c r="W1102" s="40">
        <f>IF(S1102="",0,YEAR(S1102)*12+MONTH(S1102))</f>
        <v>0</v>
      </c>
      <c r="X1102" s="40">
        <f>IF(W1102=0,0,W1102+V1102-U1102)</f>
        <v>0</v>
      </c>
      <c r="Y1102" s="36">
        <f>IF(W1102=0,0,N(R1102)*MAX(0,X1102-MAX(W1102,YEAR(Cfg_Hoje)*12+MONTH(Cfg_Hoje)+IF(DAY(Cfg_Hoje)&gt;=INDEX(Cartoes_Fech,MATCH($F1102,Cartoes_Nome,0)),1,0))+1))</f>
        <v>0</v>
      </c>
      <c r="Z1102" s="40">
        <f>IF($A1102="",0,DAY($A1102))</f>
        <v>0</v>
      </c>
      <c r="AA1102" s="40">
        <f>IF($A1102="",0,WEEKDAY($A1102))</f>
        <v>0</v>
      </c>
      <c r="AB1102" s="36">
        <f>IF(AND($C1102="Despesa",U1102&gt;0,U1102&lt;=Sel_Idx,V1102&gt;=Sel_Idx),N(R1102)+ROW()/1000000000,0)</f>
        <v>0</v>
      </c>
      <c r="AC1102" s="40">
        <f>IF(AND($C1102="Despesa",U1102&gt;0,U1102&lt;=Sel_Idx,V1102&gt;=Sel_Idx),Z1102*10000+ROW(),0)</f>
        <v>0</v>
      </c>
      <c r="AD1102" s="40">
        <f>IF(AC1102=0,0,COUNTIFS(L_CalChave,"&gt;0",L_CalChave,"&lt;"&amp;AC1102)+1)</f>
        <v>0</v>
      </c>
    </row>
    <row r="1103">
      <c r="A1103" s="38" t="n"/>
      <c r="B1103" s="39" t="n"/>
      <c r="C1103" s="34" t="n"/>
      <c r="D1103" s="34" t="n"/>
      <c r="E1103" s="34" t="n"/>
      <c r="F1103" s="34" t="n"/>
      <c r="G1103" s="34" t="n"/>
      <c r="H1103" s="37" t="n"/>
      <c r="I1103" s="37" t="n"/>
      <c r="J1103" s="34" t="n"/>
      <c r="K1103" s="34" t="n"/>
      <c r="L1103" s="34" t="n"/>
      <c r="M1103" s="39" t="n"/>
      <c r="N1103" s="35" t="n"/>
      <c r="O1103" s="40" t="str">
        <f>IF($A1103="","",MONTH($A1103))</f>
        <v/>
      </c>
      <c r="P1103" s="40" t="str">
        <f>IF($A1103="","",YEAR($A1103))</f>
        <v/>
      </c>
      <c r="Q1103" s="41" t="str">
        <f>IF($A1103="","",DATE(P1103,O1103,1))</f>
        <v/>
      </c>
      <c r="R1103" s="36" t="str">
        <f>IF(OR($A1103="",$N1103=""),"",IF(AND($C1103&lt;&gt;"Transferência",N($I1103)&gt;1),$N1103/$I1103,$N1103))</f>
        <v/>
      </c>
      <c r="S1103" s="41" t="str">
        <f>IF(OR($A1103="",$F1103="",$C1103&lt;&gt;"Despesa"),"",IF(COUNTIF(Cartoes_Nome,$F1103)=0,"",DATE(P1103,O1103+IF(DAY($A1103)&gt;=INDEX(Cartoes_Fech,MATCH($F1103,Cartoes_Nome,0)),1,0),1)))</f>
        <v/>
      </c>
      <c r="T1103" s="42" t="str">
        <f>IF($A1103="","",IF(COUNTIFS(L_Data,$A1103,L_Desc,$B1103,L_Valor,$N1103,L_Tipo,$C1103)&gt;1,"⚠ Possível duplicidade",IF(OR(AND($C1103="Despesa",COUNTIF(CatD_Nome,$D1103)=0),AND($C1103="Receita",COUNTIF(CatR_Nome,$D1103)=0)),"⚠ Categoria não combina com o tipo",IF(OR($N1103="",$C1103=""),"⚠ Falta valor ou tipo",""))))</f>
        <v/>
      </c>
      <c r="U1103" s="40">
        <f>IF($A1103="",0,P1103*12+O1103)</f>
        <v>0</v>
      </c>
      <c r="V1103" s="40">
        <f>IF($A1103="",0,U1103+MAX(0,N($I1103)-MAX(N($H1103),1)))</f>
        <v>0</v>
      </c>
      <c r="W1103" s="40">
        <f>IF(S1103="",0,YEAR(S1103)*12+MONTH(S1103))</f>
        <v>0</v>
      </c>
      <c r="X1103" s="40">
        <f>IF(W1103=0,0,W1103+V1103-U1103)</f>
        <v>0</v>
      </c>
      <c r="Y1103" s="36">
        <f>IF(W1103=0,0,N(R1103)*MAX(0,X1103-MAX(W1103,YEAR(Cfg_Hoje)*12+MONTH(Cfg_Hoje)+IF(DAY(Cfg_Hoje)&gt;=INDEX(Cartoes_Fech,MATCH($F1103,Cartoes_Nome,0)),1,0))+1))</f>
        <v>0</v>
      </c>
      <c r="Z1103" s="40">
        <f>IF($A1103="",0,DAY($A1103))</f>
        <v>0</v>
      </c>
      <c r="AA1103" s="40">
        <f>IF($A1103="",0,WEEKDAY($A1103))</f>
        <v>0</v>
      </c>
      <c r="AB1103" s="36">
        <f>IF(AND($C1103="Despesa",U1103&gt;0,U1103&lt;=Sel_Idx,V1103&gt;=Sel_Idx),N(R1103)+ROW()/1000000000,0)</f>
        <v>0</v>
      </c>
      <c r="AC1103" s="40">
        <f>IF(AND($C1103="Despesa",U1103&gt;0,U1103&lt;=Sel_Idx,V1103&gt;=Sel_Idx),Z1103*10000+ROW(),0)</f>
        <v>0</v>
      </c>
      <c r="AD1103" s="40">
        <f>IF(AC1103=0,0,COUNTIFS(L_CalChave,"&gt;0",L_CalChave,"&lt;"&amp;AC1103)+1)</f>
        <v>0</v>
      </c>
    </row>
    <row r="1104">
      <c r="A1104" s="38" t="n"/>
      <c r="B1104" s="39" t="n"/>
      <c r="C1104" s="34" t="n"/>
      <c r="D1104" s="34" t="n"/>
      <c r="E1104" s="34" t="n"/>
      <c r="F1104" s="34" t="n"/>
      <c r="G1104" s="34" t="n"/>
      <c r="H1104" s="37" t="n"/>
      <c r="I1104" s="37" t="n"/>
      <c r="J1104" s="34" t="n"/>
      <c r="K1104" s="34" t="n"/>
      <c r="L1104" s="34" t="n"/>
      <c r="M1104" s="39" t="n"/>
      <c r="N1104" s="35" t="n"/>
      <c r="O1104" s="40" t="str">
        <f>IF($A1104="","",MONTH($A1104))</f>
        <v/>
      </c>
      <c r="P1104" s="40" t="str">
        <f>IF($A1104="","",YEAR($A1104))</f>
        <v/>
      </c>
      <c r="Q1104" s="41" t="str">
        <f>IF($A1104="","",DATE(P1104,O1104,1))</f>
        <v/>
      </c>
      <c r="R1104" s="36" t="str">
        <f>IF(OR($A1104="",$N1104=""),"",IF(AND($C1104&lt;&gt;"Transferência",N($I1104)&gt;1),$N1104/$I1104,$N1104))</f>
        <v/>
      </c>
      <c r="S1104" s="41" t="str">
        <f>IF(OR($A1104="",$F1104="",$C1104&lt;&gt;"Despesa"),"",IF(COUNTIF(Cartoes_Nome,$F1104)=0,"",DATE(P1104,O1104+IF(DAY($A1104)&gt;=INDEX(Cartoes_Fech,MATCH($F1104,Cartoes_Nome,0)),1,0),1)))</f>
        <v/>
      </c>
      <c r="T1104" s="42" t="str">
        <f>IF($A1104="","",IF(COUNTIFS(L_Data,$A1104,L_Desc,$B1104,L_Valor,$N1104,L_Tipo,$C1104)&gt;1,"⚠ Possível duplicidade",IF(OR(AND($C1104="Despesa",COUNTIF(CatD_Nome,$D1104)=0),AND($C1104="Receita",COUNTIF(CatR_Nome,$D1104)=0)),"⚠ Categoria não combina com o tipo",IF(OR($N1104="",$C1104=""),"⚠ Falta valor ou tipo",""))))</f>
        <v/>
      </c>
      <c r="U1104" s="40">
        <f>IF($A1104="",0,P1104*12+O1104)</f>
        <v>0</v>
      </c>
      <c r="V1104" s="40">
        <f>IF($A1104="",0,U1104+MAX(0,N($I1104)-MAX(N($H1104),1)))</f>
        <v>0</v>
      </c>
      <c r="W1104" s="40">
        <f>IF(S1104="",0,YEAR(S1104)*12+MONTH(S1104))</f>
        <v>0</v>
      </c>
      <c r="X1104" s="40">
        <f>IF(W1104=0,0,W1104+V1104-U1104)</f>
        <v>0</v>
      </c>
      <c r="Y1104" s="36">
        <f>IF(W1104=0,0,N(R1104)*MAX(0,X1104-MAX(W1104,YEAR(Cfg_Hoje)*12+MONTH(Cfg_Hoje)+IF(DAY(Cfg_Hoje)&gt;=INDEX(Cartoes_Fech,MATCH($F1104,Cartoes_Nome,0)),1,0))+1))</f>
        <v>0</v>
      </c>
      <c r="Z1104" s="40">
        <f>IF($A1104="",0,DAY($A1104))</f>
        <v>0</v>
      </c>
      <c r="AA1104" s="40">
        <f>IF($A1104="",0,WEEKDAY($A1104))</f>
        <v>0</v>
      </c>
      <c r="AB1104" s="36">
        <f>IF(AND($C1104="Despesa",U1104&gt;0,U1104&lt;=Sel_Idx,V1104&gt;=Sel_Idx),N(R1104)+ROW()/1000000000,0)</f>
        <v>0</v>
      </c>
      <c r="AC1104" s="40">
        <f>IF(AND($C1104="Despesa",U1104&gt;0,U1104&lt;=Sel_Idx,V1104&gt;=Sel_Idx),Z1104*10000+ROW(),0)</f>
        <v>0</v>
      </c>
      <c r="AD1104" s="40">
        <f>IF(AC1104=0,0,COUNTIFS(L_CalChave,"&gt;0",L_CalChave,"&lt;"&amp;AC1104)+1)</f>
        <v>0</v>
      </c>
    </row>
    <row r="1105">
      <c r="A1105" s="38" t="n"/>
      <c r="B1105" s="39" t="n"/>
      <c r="C1105" s="34" t="n"/>
      <c r="D1105" s="34" t="n"/>
      <c r="E1105" s="34" t="n"/>
      <c r="F1105" s="34" t="n"/>
      <c r="G1105" s="34" t="n"/>
      <c r="H1105" s="37" t="n"/>
      <c r="I1105" s="37" t="n"/>
      <c r="J1105" s="34" t="n"/>
      <c r="K1105" s="34" t="n"/>
      <c r="L1105" s="34" t="n"/>
      <c r="M1105" s="39" t="n"/>
      <c r="N1105" s="35" t="n"/>
      <c r="O1105" s="40" t="str">
        <f>IF($A1105="","",MONTH($A1105))</f>
        <v/>
      </c>
      <c r="P1105" s="40" t="str">
        <f>IF($A1105="","",YEAR($A1105))</f>
        <v/>
      </c>
      <c r="Q1105" s="41" t="str">
        <f>IF($A1105="","",DATE(P1105,O1105,1))</f>
        <v/>
      </c>
      <c r="R1105" s="36" t="str">
        <f>IF(OR($A1105="",$N1105=""),"",IF(AND($C1105&lt;&gt;"Transferência",N($I1105)&gt;1),$N1105/$I1105,$N1105))</f>
        <v/>
      </c>
      <c r="S1105" s="41" t="str">
        <f>IF(OR($A1105="",$F1105="",$C1105&lt;&gt;"Despesa"),"",IF(COUNTIF(Cartoes_Nome,$F1105)=0,"",DATE(P1105,O1105+IF(DAY($A1105)&gt;=INDEX(Cartoes_Fech,MATCH($F1105,Cartoes_Nome,0)),1,0),1)))</f>
        <v/>
      </c>
      <c r="T1105" s="42" t="str">
        <f>IF($A1105="","",IF(COUNTIFS(L_Data,$A1105,L_Desc,$B1105,L_Valor,$N1105,L_Tipo,$C1105)&gt;1,"⚠ Possível duplicidade",IF(OR(AND($C1105="Despesa",COUNTIF(CatD_Nome,$D1105)=0),AND($C1105="Receita",COUNTIF(CatR_Nome,$D1105)=0)),"⚠ Categoria não combina com o tipo",IF(OR($N1105="",$C1105=""),"⚠ Falta valor ou tipo",""))))</f>
        <v/>
      </c>
      <c r="U1105" s="40">
        <f>IF($A1105="",0,P1105*12+O1105)</f>
        <v>0</v>
      </c>
      <c r="V1105" s="40">
        <f>IF($A1105="",0,U1105+MAX(0,N($I1105)-MAX(N($H1105),1)))</f>
        <v>0</v>
      </c>
      <c r="W1105" s="40">
        <f>IF(S1105="",0,YEAR(S1105)*12+MONTH(S1105))</f>
        <v>0</v>
      </c>
      <c r="X1105" s="40">
        <f>IF(W1105=0,0,W1105+V1105-U1105)</f>
        <v>0</v>
      </c>
      <c r="Y1105" s="36">
        <f>IF(W1105=0,0,N(R1105)*MAX(0,X1105-MAX(W1105,YEAR(Cfg_Hoje)*12+MONTH(Cfg_Hoje)+IF(DAY(Cfg_Hoje)&gt;=INDEX(Cartoes_Fech,MATCH($F1105,Cartoes_Nome,0)),1,0))+1))</f>
        <v>0</v>
      </c>
      <c r="Z1105" s="40">
        <f>IF($A1105="",0,DAY($A1105))</f>
        <v>0</v>
      </c>
      <c r="AA1105" s="40">
        <f>IF($A1105="",0,WEEKDAY($A1105))</f>
        <v>0</v>
      </c>
      <c r="AB1105" s="36">
        <f>IF(AND($C1105="Despesa",U1105&gt;0,U1105&lt;=Sel_Idx,V1105&gt;=Sel_Idx),N(R1105)+ROW()/1000000000,0)</f>
        <v>0</v>
      </c>
      <c r="AC1105" s="40">
        <f>IF(AND($C1105="Despesa",U1105&gt;0,U1105&lt;=Sel_Idx,V1105&gt;=Sel_Idx),Z1105*10000+ROW(),0)</f>
        <v>0</v>
      </c>
      <c r="AD1105" s="40">
        <f>IF(AC1105=0,0,COUNTIFS(L_CalChave,"&gt;0",L_CalChave,"&lt;"&amp;AC1105)+1)</f>
        <v>0</v>
      </c>
    </row>
    <row r="1106">
      <c r="A1106" s="38" t="n"/>
      <c r="B1106" s="39" t="n"/>
      <c r="C1106" s="34" t="n"/>
      <c r="D1106" s="34" t="n"/>
      <c r="E1106" s="34" t="n"/>
      <c r="F1106" s="34" t="n"/>
      <c r="G1106" s="34" t="n"/>
      <c r="H1106" s="37" t="n"/>
      <c r="I1106" s="37" t="n"/>
      <c r="J1106" s="34" t="n"/>
      <c r="K1106" s="34" t="n"/>
      <c r="L1106" s="34" t="n"/>
      <c r="M1106" s="39" t="n"/>
      <c r="N1106" s="35" t="n"/>
      <c r="O1106" s="40" t="str">
        <f>IF($A1106="","",MONTH($A1106))</f>
        <v/>
      </c>
      <c r="P1106" s="40" t="str">
        <f>IF($A1106="","",YEAR($A1106))</f>
        <v/>
      </c>
      <c r="Q1106" s="41" t="str">
        <f>IF($A1106="","",DATE(P1106,O1106,1))</f>
        <v/>
      </c>
      <c r="R1106" s="36" t="str">
        <f>IF(OR($A1106="",$N1106=""),"",IF(AND($C1106&lt;&gt;"Transferência",N($I1106)&gt;1),$N1106/$I1106,$N1106))</f>
        <v/>
      </c>
      <c r="S1106" s="41" t="str">
        <f>IF(OR($A1106="",$F1106="",$C1106&lt;&gt;"Despesa"),"",IF(COUNTIF(Cartoes_Nome,$F1106)=0,"",DATE(P1106,O1106+IF(DAY($A1106)&gt;=INDEX(Cartoes_Fech,MATCH($F1106,Cartoes_Nome,0)),1,0),1)))</f>
        <v/>
      </c>
      <c r="T1106" s="42" t="str">
        <f>IF($A1106="","",IF(COUNTIFS(L_Data,$A1106,L_Desc,$B1106,L_Valor,$N1106,L_Tipo,$C1106)&gt;1,"⚠ Possível duplicidade",IF(OR(AND($C1106="Despesa",COUNTIF(CatD_Nome,$D1106)=0),AND($C1106="Receita",COUNTIF(CatR_Nome,$D1106)=0)),"⚠ Categoria não combina com o tipo",IF(OR($N1106="",$C1106=""),"⚠ Falta valor ou tipo",""))))</f>
        <v/>
      </c>
      <c r="U1106" s="40">
        <f>IF($A1106="",0,P1106*12+O1106)</f>
        <v>0</v>
      </c>
      <c r="V1106" s="40">
        <f>IF($A1106="",0,U1106+MAX(0,N($I1106)-MAX(N($H1106),1)))</f>
        <v>0</v>
      </c>
      <c r="W1106" s="40">
        <f>IF(S1106="",0,YEAR(S1106)*12+MONTH(S1106))</f>
        <v>0</v>
      </c>
      <c r="X1106" s="40">
        <f>IF(W1106=0,0,W1106+V1106-U1106)</f>
        <v>0</v>
      </c>
      <c r="Y1106" s="36">
        <f>IF(W1106=0,0,N(R1106)*MAX(0,X1106-MAX(W1106,YEAR(Cfg_Hoje)*12+MONTH(Cfg_Hoje)+IF(DAY(Cfg_Hoje)&gt;=INDEX(Cartoes_Fech,MATCH($F1106,Cartoes_Nome,0)),1,0))+1))</f>
        <v>0</v>
      </c>
      <c r="Z1106" s="40">
        <f>IF($A1106="",0,DAY($A1106))</f>
        <v>0</v>
      </c>
      <c r="AA1106" s="40">
        <f>IF($A1106="",0,WEEKDAY($A1106))</f>
        <v>0</v>
      </c>
      <c r="AB1106" s="36">
        <f>IF(AND($C1106="Despesa",U1106&gt;0,U1106&lt;=Sel_Idx,V1106&gt;=Sel_Idx),N(R1106)+ROW()/1000000000,0)</f>
        <v>0</v>
      </c>
      <c r="AC1106" s="40">
        <f>IF(AND($C1106="Despesa",U1106&gt;0,U1106&lt;=Sel_Idx,V1106&gt;=Sel_Idx),Z1106*10000+ROW(),0)</f>
        <v>0</v>
      </c>
      <c r="AD1106" s="40">
        <f>IF(AC1106=0,0,COUNTIFS(L_CalChave,"&gt;0",L_CalChave,"&lt;"&amp;AC1106)+1)</f>
        <v>0</v>
      </c>
    </row>
    <row r="1107">
      <c r="A1107" s="38" t="n"/>
      <c r="B1107" s="39" t="n"/>
      <c r="C1107" s="34" t="n"/>
      <c r="D1107" s="34" t="n"/>
      <c r="E1107" s="34" t="n"/>
      <c r="F1107" s="34" t="n"/>
      <c r="G1107" s="34" t="n"/>
      <c r="H1107" s="37" t="n"/>
      <c r="I1107" s="37" t="n"/>
      <c r="J1107" s="34" t="n"/>
      <c r="K1107" s="34" t="n"/>
      <c r="L1107" s="34" t="n"/>
      <c r="M1107" s="39" t="n"/>
      <c r="N1107" s="35" t="n"/>
      <c r="O1107" s="40" t="str">
        <f>IF($A1107="","",MONTH($A1107))</f>
        <v/>
      </c>
      <c r="P1107" s="40" t="str">
        <f>IF($A1107="","",YEAR($A1107))</f>
        <v/>
      </c>
      <c r="Q1107" s="41" t="str">
        <f>IF($A1107="","",DATE(P1107,O1107,1))</f>
        <v/>
      </c>
      <c r="R1107" s="36" t="str">
        <f>IF(OR($A1107="",$N1107=""),"",IF(AND($C1107&lt;&gt;"Transferência",N($I1107)&gt;1),$N1107/$I1107,$N1107))</f>
        <v/>
      </c>
      <c r="S1107" s="41" t="str">
        <f>IF(OR($A1107="",$F1107="",$C1107&lt;&gt;"Despesa"),"",IF(COUNTIF(Cartoes_Nome,$F1107)=0,"",DATE(P1107,O1107+IF(DAY($A1107)&gt;=INDEX(Cartoes_Fech,MATCH($F1107,Cartoes_Nome,0)),1,0),1)))</f>
        <v/>
      </c>
      <c r="T1107" s="42" t="str">
        <f>IF($A1107="","",IF(COUNTIFS(L_Data,$A1107,L_Desc,$B1107,L_Valor,$N1107,L_Tipo,$C1107)&gt;1,"⚠ Possível duplicidade",IF(OR(AND($C1107="Despesa",COUNTIF(CatD_Nome,$D1107)=0),AND($C1107="Receita",COUNTIF(CatR_Nome,$D1107)=0)),"⚠ Categoria não combina com o tipo",IF(OR($N1107="",$C1107=""),"⚠ Falta valor ou tipo",""))))</f>
        <v/>
      </c>
      <c r="U1107" s="40">
        <f>IF($A1107="",0,P1107*12+O1107)</f>
        <v>0</v>
      </c>
      <c r="V1107" s="40">
        <f>IF($A1107="",0,U1107+MAX(0,N($I1107)-MAX(N($H1107),1)))</f>
        <v>0</v>
      </c>
      <c r="W1107" s="40">
        <f>IF(S1107="",0,YEAR(S1107)*12+MONTH(S1107))</f>
        <v>0</v>
      </c>
      <c r="X1107" s="40">
        <f>IF(W1107=0,0,W1107+V1107-U1107)</f>
        <v>0</v>
      </c>
      <c r="Y1107" s="36">
        <f>IF(W1107=0,0,N(R1107)*MAX(0,X1107-MAX(W1107,YEAR(Cfg_Hoje)*12+MONTH(Cfg_Hoje)+IF(DAY(Cfg_Hoje)&gt;=INDEX(Cartoes_Fech,MATCH($F1107,Cartoes_Nome,0)),1,0))+1))</f>
        <v>0</v>
      </c>
      <c r="Z1107" s="40">
        <f>IF($A1107="",0,DAY($A1107))</f>
        <v>0</v>
      </c>
      <c r="AA1107" s="40">
        <f>IF($A1107="",0,WEEKDAY($A1107))</f>
        <v>0</v>
      </c>
      <c r="AB1107" s="36">
        <f>IF(AND($C1107="Despesa",U1107&gt;0,U1107&lt;=Sel_Idx,V1107&gt;=Sel_Idx),N(R1107)+ROW()/1000000000,0)</f>
        <v>0</v>
      </c>
      <c r="AC1107" s="40">
        <f>IF(AND($C1107="Despesa",U1107&gt;0,U1107&lt;=Sel_Idx,V1107&gt;=Sel_Idx),Z1107*10000+ROW(),0)</f>
        <v>0</v>
      </c>
      <c r="AD1107" s="40">
        <f>IF(AC1107=0,0,COUNTIFS(L_CalChave,"&gt;0",L_CalChave,"&lt;"&amp;AC1107)+1)</f>
        <v>0</v>
      </c>
    </row>
    <row r="1108">
      <c r="A1108" s="38" t="n"/>
      <c r="B1108" s="39" t="n"/>
      <c r="C1108" s="34" t="n"/>
      <c r="D1108" s="34" t="n"/>
      <c r="E1108" s="34" t="n"/>
      <c r="F1108" s="34" t="n"/>
      <c r="G1108" s="34" t="n"/>
      <c r="H1108" s="37" t="n"/>
      <c r="I1108" s="37" t="n"/>
      <c r="J1108" s="34" t="n"/>
      <c r="K1108" s="34" t="n"/>
      <c r="L1108" s="34" t="n"/>
      <c r="M1108" s="39" t="n"/>
      <c r="N1108" s="35" t="n"/>
      <c r="O1108" s="40" t="str">
        <f>IF($A1108="","",MONTH($A1108))</f>
        <v/>
      </c>
      <c r="P1108" s="40" t="str">
        <f>IF($A1108="","",YEAR($A1108))</f>
        <v/>
      </c>
      <c r="Q1108" s="41" t="str">
        <f>IF($A1108="","",DATE(P1108,O1108,1))</f>
        <v/>
      </c>
      <c r="R1108" s="36" t="str">
        <f>IF(OR($A1108="",$N1108=""),"",IF(AND($C1108&lt;&gt;"Transferência",N($I1108)&gt;1),$N1108/$I1108,$N1108))</f>
        <v/>
      </c>
      <c r="S1108" s="41" t="str">
        <f>IF(OR($A1108="",$F1108="",$C1108&lt;&gt;"Despesa"),"",IF(COUNTIF(Cartoes_Nome,$F1108)=0,"",DATE(P1108,O1108+IF(DAY($A1108)&gt;=INDEX(Cartoes_Fech,MATCH($F1108,Cartoes_Nome,0)),1,0),1)))</f>
        <v/>
      </c>
      <c r="T1108" s="42" t="str">
        <f>IF($A1108="","",IF(COUNTIFS(L_Data,$A1108,L_Desc,$B1108,L_Valor,$N1108,L_Tipo,$C1108)&gt;1,"⚠ Possível duplicidade",IF(OR(AND($C1108="Despesa",COUNTIF(CatD_Nome,$D1108)=0),AND($C1108="Receita",COUNTIF(CatR_Nome,$D1108)=0)),"⚠ Categoria não combina com o tipo",IF(OR($N1108="",$C1108=""),"⚠ Falta valor ou tipo",""))))</f>
        <v/>
      </c>
      <c r="U1108" s="40">
        <f>IF($A1108="",0,P1108*12+O1108)</f>
        <v>0</v>
      </c>
      <c r="V1108" s="40">
        <f>IF($A1108="",0,U1108+MAX(0,N($I1108)-MAX(N($H1108),1)))</f>
        <v>0</v>
      </c>
      <c r="W1108" s="40">
        <f>IF(S1108="",0,YEAR(S1108)*12+MONTH(S1108))</f>
        <v>0</v>
      </c>
      <c r="X1108" s="40">
        <f>IF(W1108=0,0,W1108+V1108-U1108)</f>
        <v>0</v>
      </c>
      <c r="Y1108" s="36">
        <f>IF(W1108=0,0,N(R1108)*MAX(0,X1108-MAX(W1108,YEAR(Cfg_Hoje)*12+MONTH(Cfg_Hoje)+IF(DAY(Cfg_Hoje)&gt;=INDEX(Cartoes_Fech,MATCH($F1108,Cartoes_Nome,0)),1,0))+1))</f>
        <v>0</v>
      </c>
      <c r="Z1108" s="40">
        <f>IF($A1108="",0,DAY($A1108))</f>
        <v>0</v>
      </c>
      <c r="AA1108" s="40">
        <f>IF($A1108="",0,WEEKDAY($A1108))</f>
        <v>0</v>
      </c>
      <c r="AB1108" s="36">
        <f>IF(AND($C1108="Despesa",U1108&gt;0,U1108&lt;=Sel_Idx,V1108&gt;=Sel_Idx),N(R1108)+ROW()/1000000000,0)</f>
        <v>0</v>
      </c>
      <c r="AC1108" s="40">
        <f>IF(AND($C1108="Despesa",U1108&gt;0,U1108&lt;=Sel_Idx,V1108&gt;=Sel_Idx),Z1108*10000+ROW(),0)</f>
        <v>0</v>
      </c>
      <c r="AD1108" s="40">
        <f>IF(AC1108=0,0,COUNTIFS(L_CalChave,"&gt;0",L_CalChave,"&lt;"&amp;AC1108)+1)</f>
        <v>0</v>
      </c>
    </row>
    <row r="1109">
      <c r="A1109" s="38" t="n"/>
      <c r="B1109" s="39" t="n"/>
      <c r="C1109" s="34" t="n"/>
      <c r="D1109" s="34" t="n"/>
      <c r="E1109" s="34" t="n"/>
      <c r="F1109" s="34" t="n"/>
      <c r="G1109" s="34" t="n"/>
      <c r="H1109" s="37" t="n"/>
      <c r="I1109" s="37" t="n"/>
      <c r="J1109" s="34" t="n"/>
      <c r="K1109" s="34" t="n"/>
      <c r="L1109" s="34" t="n"/>
      <c r="M1109" s="39" t="n"/>
      <c r="N1109" s="35" t="n"/>
      <c r="O1109" s="40" t="str">
        <f>IF($A1109="","",MONTH($A1109))</f>
        <v/>
      </c>
      <c r="P1109" s="40" t="str">
        <f>IF($A1109="","",YEAR($A1109))</f>
        <v/>
      </c>
      <c r="Q1109" s="41" t="str">
        <f>IF($A1109="","",DATE(P1109,O1109,1))</f>
        <v/>
      </c>
      <c r="R1109" s="36" t="str">
        <f>IF(OR($A1109="",$N1109=""),"",IF(AND($C1109&lt;&gt;"Transferência",N($I1109)&gt;1),$N1109/$I1109,$N1109))</f>
        <v/>
      </c>
      <c r="S1109" s="41" t="str">
        <f>IF(OR($A1109="",$F1109="",$C1109&lt;&gt;"Despesa"),"",IF(COUNTIF(Cartoes_Nome,$F1109)=0,"",DATE(P1109,O1109+IF(DAY($A1109)&gt;=INDEX(Cartoes_Fech,MATCH($F1109,Cartoes_Nome,0)),1,0),1)))</f>
        <v/>
      </c>
      <c r="T1109" s="42" t="str">
        <f>IF($A1109="","",IF(COUNTIFS(L_Data,$A1109,L_Desc,$B1109,L_Valor,$N1109,L_Tipo,$C1109)&gt;1,"⚠ Possível duplicidade",IF(OR(AND($C1109="Despesa",COUNTIF(CatD_Nome,$D1109)=0),AND($C1109="Receita",COUNTIF(CatR_Nome,$D1109)=0)),"⚠ Categoria não combina com o tipo",IF(OR($N1109="",$C1109=""),"⚠ Falta valor ou tipo",""))))</f>
        <v/>
      </c>
      <c r="U1109" s="40">
        <f>IF($A1109="",0,P1109*12+O1109)</f>
        <v>0</v>
      </c>
      <c r="V1109" s="40">
        <f>IF($A1109="",0,U1109+MAX(0,N($I1109)-MAX(N($H1109),1)))</f>
        <v>0</v>
      </c>
      <c r="W1109" s="40">
        <f>IF(S1109="",0,YEAR(S1109)*12+MONTH(S1109))</f>
        <v>0</v>
      </c>
      <c r="X1109" s="40">
        <f>IF(W1109=0,0,W1109+V1109-U1109)</f>
        <v>0</v>
      </c>
      <c r="Y1109" s="36">
        <f>IF(W1109=0,0,N(R1109)*MAX(0,X1109-MAX(W1109,YEAR(Cfg_Hoje)*12+MONTH(Cfg_Hoje)+IF(DAY(Cfg_Hoje)&gt;=INDEX(Cartoes_Fech,MATCH($F1109,Cartoes_Nome,0)),1,0))+1))</f>
        <v>0</v>
      </c>
      <c r="Z1109" s="40">
        <f>IF($A1109="",0,DAY($A1109))</f>
        <v>0</v>
      </c>
      <c r="AA1109" s="40">
        <f>IF($A1109="",0,WEEKDAY($A1109))</f>
        <v>0</v>
      </c>
      <c r="AB1109" s="36">
        <f>IF(AND($C1109="Despesa",U1109&gt;0,U1109&lt;=Sel_Idx,V1109&gt;=Sel_Idx),N(R1109)+ROW()/1000000000,0)</f>
        <v>0</v>
      </c>
      <c r="AC1109" s="40">
        <f>IF(AND($C1109="Despesa",U1109&gt;0,U1109&lt;=Sel_Idx,V1109&gt;=Sel_Idx),Z1109*10000+ROW(),0)</f>
        <v>0</v>
      </c>
      <c r="AD1109" s="40">
        <f>IF(AC1109=0,0,COUNTIFS(L_CalChave,"&gt;0",L_CalChave,"&lt;"&amp;AC1109)+1)</f>
        <v>0</v>
      </c>
    </row>
    <row r="1110">
      <c r="A1110" s="38" t="n"/>
      <c r="B1110" s="39" t="n"/>
      <c r="C1110" s="34" t="n"/>
      <c r="D1110" s="34" t="n"/>
      <c r="E1110" s="34" t="n"/>
      <c r="F1110" s="34" t="n"/>
      <c r="G1110" s="34" t="n"/>
      <c r="H1110" s="37" t="n"/>
      <c r="I1110" s="37" t="n"/>
      <c r="J1110" s="34" t="n"/>
      <c r="K1110" s="34" t="n"/>
      <c r="L1110" s="34" t="n"/>
      <c r="M1110" s="39" t="n"/>
      <c r="N1110" s="35" t="n"/>
      <c r="O1110" s="40" t="str">
        <f>IF($A1110="","",MONTH($A1110))</f>
        <v/>
      </c>
      <c r="P1110" s="40" t="str">
        <f>IF($A1110="","",YEAR($A1110))</f>
        <v/>
      </c>
      <c r="Q1110" s="41" t="str">
        <f>IF($A1110="","",DATE(P1110,O1110,1))</f>
        <v/>
      </c>
      <c r="R1110" s="36" t="str">
        <f>IF(OR($A1110="",$N1110=""),"",IF(AND($C1110&lt;&gt;"Transferência",N($I1110)&gt;1),$N1110/$I1110,$N1110))</f>
        <v/>
      </c>
      <c r="S1110" s="41" t="str">
        <f>IF(OR($A1110="",$F1110="",$C1110&lt;&gt;"Despesa"),"",IF(COUNTIF(Cartoes_Nome,$F1110)=0,"",DATE(P1110,O1110+IF(DAY($A1110)&gt;=INDEX(Cartoes_Fech,MATCH($F1110,Cartoes_Nome,0)),1,0),1)))</f>
        <v/>
      </c>
      <c r="T1110" s="42" t="str">
        <f>IF($A1110="","",IF(COUNTIFS(L_Data,$A1110,L_Desc,$B1110,L_Valor,$N1110,L_Tipo,$C1110)&gt;1,"⚠ Possível duplicidade",IF(OR(AND($C1110="Despesa",COUNTIF(CatD_Nome,$D1110)=0),AND($C1110="Receita",COUNTIF(CatR_Nome,$D1110)=0)),"⚠ Categoria não combina com o tipo",IF(OR($N1110="",$C1110=""),"⚠ Falta valor ou tipo",""))))</f>
        <v/>
      </c>
      <c r="U1110" s="40">
        <f>IF($A1110="",0,P1110*12+O1110)</f>
        <v>0</v>
      </c>
      <c r="V1110" s="40">
        <f>IF($A1110="",0,U1110+MAX(0,N($I1110)-MAX(N($H1110),1)))</f>
        <v>0</v>
      </c>
      <c r="W1110" s="40">
        <f>IF(S1110="",0,YEAR(S1110)*12+MONTH(S1110))</f>
        <v>0</v>
      </c>
      <c r="X1110" s="40">
        <f>IF(W1110=0,0,W1110+V1110-U1110)</f>
        <v>0</v>
      </c>
      <c r="Y1110" s="36">
        <f>IF(W1110=0,0,N(R1110)*MAX(0,X1110-MAX(W1110,YEAR(Cfg_Hoje)*12+MONTH(Cfg_Hoje)+IF(DAY(Cfg_Hoje)&gt;=INDEX(Cartoes_Fech,MATCH($F1110,Cartoes_Nome,0)),1,0))+1))</f>
        <v>0</v>
      </c>
      <c r="Z1110" s="40">
        <f>IF($A1110="",0,DAY($A1110))</f>
        <v>0</v>
      </c>
      <c r="AA1110" s="40">
        <f>IF($A1110="",0,WEEKDAY($A1110))</f>
        <v>0</v>
      </c>
      <c r="AB1110" s="36">
        <f>IF(AND($C1110="Despesa",U1110&gt;0,U1110&lt;=Sel_Idx,V1110&gt;=Sel_Idx),N(R1110)+ROW()/1000000000,0)</f>
        <v>0</v>
      </c>
      <c r="AC1110" s="40">
        <f>IF(AND($C1110="Despesa",U1110&gt;0,U1110&lt;=Sel_Idx,V1110&gt;=Sel_Idx),Z1110*10000+ROW(),0)</f>
        <v>0</v>
      </c>
      <c r="AD1110" s="40">
        <f>IF(AC1110=0,0,COUNTIFS(L_CalChave,"&gt;0",L_CalChave,"&lt;"&amp;AC1110)+1)</f>
        <v>0</v>
      </c>
    </row>
    <row r="1111">
      <c r="A1111" s="38" t="n"/>
      <c r="B1111" s="39" t="n"/>
      <c r="C1111" s="34" t="n"/>
      <c r="D1111" s="34" t="n"/>
      <c r="E1111" s="34" t="n"/>
      <c r="F1111" s="34" t="n"/>
      <c r="G1111" s="34" t="n"/>
      <c r="H1111" s="37" t="n"/>
      <c r="I1111" s="37" t="n"/>
      <c r="J1111" s="34" t="n"/>
      <c r="K1111" s="34" t="n"/>
      <c r="L1111" s="34" t="n"/>
      <c r="M1111" s="39" t="n"/>
      <c r="N1111" s="35" t="n"/>
      <c r="O1111" s="40" t="str">
        <f>IF($A1111="","",MONTH($A1111))</f>
        <v/>
      </c>
      <c r="P1111" s="40" t="str">
        <f>IF($A1111="","",YEAR($A1111))</f>
        <v/>
      </c>
      <c r="Q1111" s="41" t="str">
        <f>IF($A1111="","",DATE(P1111,O1111,1))</f>
        <v/>
      </c>
      <c r="R1111" s="36" t="str">
        <f>IF(OR($A1111="",$N1111=""),"",IF(AND($C1111&lt;&gt;"Transferência",N($I1111)&gt;1),$N1111/$I1111,$N1111))</f>
        <v/>
      </c>
      <c r="S1111" s="41" t="str">
        <f>IF(OR($A1111="",$F1111="",$C1111&lt;&gt;"Despesa"),"",IF(COUNTIF(Cartoes_Nome,$F1111)=0,"",DATE(P1111,O1111+IF(DAY($A1111)&gt;=INDEX(Cartoes_Fech,MATCH($F1111,Cartoes_Nome,0)),1,0),1)))</f>
        <v/>
      </c>
      <c r="T1111" s="42" t="str">
        <f>IF($A1111="","",IF(COUNTIFS(L_Data,$A1111,L_Desc,$B1111,L_Valor,$N1111,L_Tipo,$C1111)&gt;1,"⚠ Possível duplicidade",IF(OR(AND($C1111="Despesa",COUNTIF(CatD_Nome,$D1111)=0),AND($C1111="Receita",COUNTIF(CatR_Nome,$D1111)=0)),"⚠ Categoria não combina com o tipo",IF(OR($N1111="",$C1111=""),"⚠ Falta valor ou tipo",""))))</f>
        <v/>
      </c>
      <c r="U1111" s="40">
        <f>IF($A1111="",0,P1111*12+O1111)</f>
        <v>0</v>
      </c>
      <c r="V1111" s="40">
        <f>IF($A1111="",0,U1111+MAX(0,N($I1111)-MAX(N($H1111),1)))</f>
        <v>0</v>
      </c>
      <c r="W1111" s="40">
        <f>IF(S1111="",0,YEAR(S1111)*12+MONTH(S1111))</f>
        <v>0</v>
      </c>
      <c r="X1111" s="40">
        <f>IF(W1111=0,0,W1111+V1111-U1111)</f>
        <v>0</v>
      </c>
      <c r="Y1111" s="36">
        <f>IF(W1111=0,0,N(R1111)*MAX(0,X1111-MAX(W1111,YEAR(Cfg_Hoje)*12+MONTH(Cfg_Hoje)+IF(DAY(Cfg_Hoje)&gt;=INDEX(Cartoes_Fech,MATCH($F1111,Cartoes_Nome,0)),1,0))+1))</f>
        <v>0</v>
      </c>
      <c r="Z1111" s="40">
        <f>IF($A1111="",0,DAY($A1111))</f>
        <v>0</v>
      </c>
      <c r="AA1111" s="40">
        <f>IF($A1111="",0,WEEKDAY($A1111))</f>
        <v>0</v>
      </c>
      <c r="AB1111" s="36">
        <f>IF(AND($C1111="Despesa",U1111&gt;0,U1111&lt;=Sel_Idx,V1111&gt;=Sel_Idx),N(R1111)+ROW()/1000000000,0)</f>
        <v>0</v>
      </c>
      <c r="AC1111" s="40">
        <f>IF(AND($C1111="Despesa",U1111&gt;0,U1111&lt;=Sel_Idx,V1111&gt;=Sel_Idx),Z1111*10000+ROW(),0)</f>
        <v>0</v>
      </c>
      <c r="AD1111" s="40">
        <f>IF(AC1111=0,0,COUNTIFS(L_CalChave,"&gt;0",L_CalChave,"&lt;"&amp;AC1111)+1)</f>
        <v>0</v>
      </c>
    </row>
    <row r="1112">
      <c r="A1112" s="38" t="n"/>
      <c r="B1112" s="39" t="n"/>
      <c r="C1112" s="34" t="n"/>
      <c r="D1112" s="34" t="n"/>
      <c r="E1112" s="34" t="n"/>
      <c r="F1112" s="34" t="n"/>
      <c r="G1112" s="34" t="n"/>
      <c r="H1112" s="37" t="n"/>
      <c r="I1112" s="37" t="n"/>
      <c r="J1112" s="34" t="n"/>
      <c r="K1112" s="34" t="n"/>
      <c r="L1112" s="34" t="n"/>
      <c r="M1112" s="39" t="n"/>
      <c r="N1112" s="35" t="n"/>
      <c r="O1112" s="40" t="str">
        <f>IF($A1112="","",MONTH($A1112))</f>
        <v/>
      </c>
      <c r="P1112" s="40" t="str">
        <f>IF($A1112="","",YEAR($A1112))</f>
        <v/>
      </c>
      <c r="Q1112" s="41" t="str">
        <f>IF($A1112="","",DATE(P1112,O1112,1))</f>
        <v/>
      </c>
      <c r="R1112" s="36" t="str">
        <f>IF(OR($A1112="",$N1112=""),"",IF(AND($C1112&lt;&gt;"Transferência",N($I1112)&gt;1),$N1112/$I1112,$N1112))</f>
        <v/>
      </c>
      <c r="S1112" s="41" t="str">
        <f>IF(OR($A1112="",$F1112="",$C1112&lt;&gt;"Despesa"),"",IF(COUNTIF(Cartoes_Nome,$F1112)=0,"",DATE(P1112,O1112+IF(DAY($A1112)&gt;=INDEX(Cartoes_Fech,MATCH($F1112,Cartoes_Nome,0)),1,0),1)))</f>
        <v/>
      </c>
      <c r="T1112" s="42" t="str">
        <f>IF($A1112="","",IF(COUNTIFS(L_Data,$A1112,L_Desc,$B1112,L_Valor,$N1112,L_Tipo,$C1112)&gt;1,"⚠ Possível duplicidade",IF(OR(AND($C1112="Despesa",COUNTIF(CatD_Nome,$D1112)=0),AND($C1112="Receita",COUNTIF(CatR_Nome,$D1112)=0)),"⚠ Categoria não combina com o tipo",IF(OR($N1112="",$C1112=""),"⚠ Falta valor ou tipo",""))))</f>
        <v/>
      </c>
      <c r="U1112" s="40">
        <f>IF($A1112="",0,P1112*12+O1112)</f>
        <v>0</v>
      </c>
      <c r="V1112" s="40">
        <f>IF($A1112="",0,U1112+MAX(0,N($I1112)-MAX(N($H1112),1)))</f>
        <v>0</v>
      </c>
      <c r="W1112" s="40">
        <f>IF(S1112="",0,YEAR(S1112)*12+MONTH(S1112))</f>
        <v>0</v>
      </c>
      <c r="X1112" s="40">
        <f>IF(W1112=0,0,W1112+V1112-U1112)</f>
        <v>0</v>
      </c>
      <c r="Y1112" s="36">
        <f>IF(W1112=0,0,N(R1112)*MAX(0,X1112-MAX(W1112,YEAR(Cfg_Hoje)*12+MONTH(Cfg_Hoje)+IF(DAY(Cfg_Hoje)&gt;=INDEX(Cartoes_Fech,MATCH($F1112,Cartoes_Nome,0)),1,0))+1))</f>
        <v>0</v>
      </c>
      <c r="Z1112" s="40">
        <f>IF($A1112="",0,DAY($A1112))</f>
        <v>0</v>
      </c>
      <c r="AA1112" s="40">
        <f>IF($A1112="",0,WEEKDAY($A1112))</f>
        <v>0</v>
      </c>
      <c r="AB1112" s="36">
        <f>IF(AND($C1112="Despesa",U1112&gt;0,U1112&lt;=Sel_Idx,V1112&gt;=Sel_Idx),N(R1112)+ROW()/1000000000,0)</f>
        <v>0</v>
      </c>
      <c r="AC1112" s="40">
        <f>IF(AND($C1112="Despesa",U1112&gt;0,U1112&lt;=Sel_Idx,V1112&gt;=Sel_Idx),Z1112*10000+ROW(),0)</f>
        <v>0</v>
      </c>
      <c r="AD1112" s="40">
        <f>IF(AC1112=0,0,COUNTIFS(L_CalChave,"&gt;0",L_CalChave,"&lt;"&amp;AC1112)+1)</f>
        <v>0</v>
      </c>
    </row>
    <row r="1113">
      <c r="A1113" s="38" t="n"/>
      <c r="B1113" s="39" t="n"/>
      <c r="C1113" s="34" t="n"/>
      <c r="D1113" s="34" t="n"/>
      <c r="E1113" s="34" t="n"/>
      <c r="F1113" s="34" t="n"/>
      <c r="G1113" s="34" t="n"/>
      <c r="H1113" s="37" t="n"/>
      <c r="I1113" s="37" t="n"/>
      <c r="J1113" s="34" t="n"/>
      <c r="K1113" s="34" t="n"/>
      <c r="L1113" s="34" t="n"/>
      <c r="M1113" s="39" t="n"/>
      <c r="N1113" s="35" t="n"/>
      <c r="O1113" s="40" t="str">
        <f>IF($A1113="","",MONTH($A1113))</f>
        <v/>
      </c>
      <c r="P1113" s="40" t="str">
        <f>IF($A1113="","",YEAR($A1113))</f>
        <v/>
      </c>
      <c r="Q1113" s="41" t="str">
        <f>IF($A1113="","",DATE(P1113,O1113,1))</f>
        <v/>
      </c>
      <c r="R1113" s="36" t="str">
        <f>IF(OR($A1113="",$N1113=""),"",IF(AND($C1113&lt;&gt;"Transferência",N($I1113)&gt;1),$N1113/$I1113,$N1113))</f>
        <v/>
      </c>
      <c r="S1113" s="41" t="str">
        <f>IF(OR($A1113="",$F1113="",$C1113&lt;&gt;"Despesa"),"",IF(COUNTIF(Cartoes_Nome,$F1113)=0,"",DATE(P1113,O1113+IF(DAY($A1113)&gt;=INDEX(Cartoes_Fech,MATCH($F1113,Cartoes_Nome,0)),1,0),1)))</f>
        <v/>
      </c>
      <c r="T1113" s="42" t="str">
        <f>IF($A1113="","",IF(COUNTIFS(L_Data,$A1113,L_Desc,$B1113,L_Valor,$N1113,L_Tipo,$C1113)&gt;1,"⚠ Possível duplicidade",IF(OR(AND($C1113="Despesa",COUNTIF(CatD_Nome,$D1113)=0),AND($C1113="Receita",COUNTIF(CatR_Nome,$D1113)=0)),"⚠ Categoria não combina com o tipo",IF(OR($N1113="",$C1113=""),"⚠ Falta valor ou tipo",""))))</f>
        <v/>
      </c>
      <c r="U1113" s="40">
        <f>IF($A1113="",0,P1113*12+O1113)</f>
        <v>0</v>
      </c>
      <c r="V1113" s="40">
        <f>IF($A1113="",0,U1113+MAX(0,N($I1113)-MAX(N($H1113),1)))</f>
        <v>0</v>
      </c>
      <c r="W1113" s="40">
        <f>IF(S1113="",0,YEAR(S1113)*12+MONTH(S1113))</f>
        <v>0</v>
      </c>
      <c r="X1113" s="40">
        <f>IF(W1113=0,0,W1113+V1113-U1113)</f>
        <v>0</v>
      </c>
      <c r="Y1113" s="36">
        <f>IF(W1113=0,0,N(R1113)*MAX(0,X1113-MAX(W1113,YEAR(Cfg_Hoje)*12+MONTH(Cfg_Hoje)+IF(DAY(Cfg_Hoje)&gt;=INDEX(Cartoes_Fech,MATCH($F1113,Cartoes_Nome,0)),1,0))+1))</f>
        <v>0</v>
      </c>
      <c r="Z1113" s="40">
        <f>IF($A1113="",0,DAY($A1113))</f>
        <v>0</v>
      </c>
      <c r="AA1113" s="40">
        <f>IF($A1113="",0,WEEKDAY($A1113))</f>
        <v>0</v>
      </c>
      <c r="AB1113" s="36">
        <f>IF(AND($C1113="Despesa",U1113&gt;0,U1113&lt;=Sel_Idx,V1113&gt;=Sel_Idx),N(R1113)+ROW()/1000000000,0)</f>
        <v>0</v>
      </c>
      <c r="AC1113" s="40">
        <f>IF(AND($C1113="Despesa",U1113&gt;0,U1113&lt;=Sel_Idx,V1113&gt;=Sel_Idx),Z1113*10000+ROW(),0)</f>
        <v>0</v>
      </c>
      <c r="AD1113" s="40">
        <f>IF(AC1113=0,0,COUNTIFS(L_CalChave,"&gt;0",L_CalChave,"&lt;"&amp;AC1113)+1)</f>
        <v>0</v>
      </c>
    </row>
    <row r="1114">
      <c r="A1114" s="38" t="n"/>
      <c r="B1114" s="39" t="n"/>
      <c r="C1114" s="34" t="n"/>
      <c r="D1114" s="34" t="n"/>
      <c r="E1114" s="34" t="n"/>
      <c r="F1114" s="34" t="n"/>
      <c r="G1114" s="34" t="n"/>
      <c r="H1114" s="37" t="n"/>
      <c r="I1114" s="37" t="n"/>
      <c r="J1114" s="34" t="n"/>
      <c r="K1114" s="34" t="n"/>
      <c r="L1114" s="34" t="n"/>
      <c r="M1114" s="39" t="n"/>
      <c r="N1114" s="35" t="n"/>
      <c r="O1114" s="40" t="str">
        <f>IF($A1114="","",MONTH($A1114))</f>
        <v/>
      </c>
      <c r="P1114" s="40" t="str">
        <f>IF($A1114="","",YEAR($A1114))</f>
        <v/>
      </c>
      <c r="Q1114" s="41" t="str">
        <f>IF($A1114="","",DATE(P1114,O1114,1))</f>
        <v/>
      </c>
      <c r="R1114" s="36" t="str">
        <f>IF(OR($A1114="",$N1114=""),"",IF(AND($C1114&lt;&gt;"Transferência",N($I1114)&gt;1),$N1114/$I1114,$N1114))</f>
        <v/>
      </c>
      <c r="S1114" s="41" t="str">
        <f>IF(OR($A1114="",$F1114="",$C1114&lt;&gt;"Despesa"),"",IF(COUNTIF(Cartoes_Nome,$F1114)=0,"",DATE(P1114,O1114+IF(DAY($A1114)&gt;=INDEX(Cartoes_Fech,MATCH($F1114,Cartoes_Nome,0)),1,0),1)))</f>
        <v/>
      </c>
      <c r="T1114" s="42" t="str">
        <f>IF($A1114="","",IF(COUNTIFS(L_Data,$A1114,L_Desc,$B1114,L_Valor,$N1114,L_Tipo,$C1114)&gt;1,"⚠ Possível duplicidade",IF(OR(AND($C1114="Despesa",COUNTIF(CatD_Nome,$D1114)=0),AND($C1114="Receita",COUNTIF(CatR_Nome,$D1114)=0)),"⚠ Categoria não combina com o tipo",IF(OR($N1114="",$C1114=""),"⚠ Falta valor ou tipo",""))))</f>
        <v/>
      </c>
      <c r="U1114" s="40">
        <f>IF($A1114="",0,P1114*12+O1114)</f>
        <v>0</v>
      </c>
      <c r="V1114" s="40">
        <f>IF($A1114="",0,U1114+MAX(0,N($I1114)-MAX(N($H1114),1)))</f>
        <v>0</v>
      </c>
      <c r="W1114" s="40">
        <f>IF(S1114="",0,YEAR(S1114)*12+MONTH(S1114))</f>
        <v>0</v>
      </c>
      <c r="X1114" s="40">
        <f>IF(W1114=0,0,W1114+V1114-U1114)</f>
        <v>0</v>
      </c>
      <c r="Y1114" s="36">
        <f>IF(W1114=0,0,N(R1114)*MAX(0,X1114-MAX(W1114,YEAR(Cfg_Hoje)*12+MONTH(Cfg_Hoje)+IF(DAY(Cfg_Hoje)&gt;=INDEX(Cartoes_Fech,MATCH($F1114,Cartoes_Nome,0)),1,0))+1))</f>
        <v>0</v>
      </c>
      <c r="Z1114" s="40">
        <f>IF($A1114="",0,DAY($A1114))</f>
        <v>0</v>
      </c>
      <c r="AA1114" s="40">
        <f>IF($A1114="",0,WEEKDAY($A1114))</f>
        <v>0</v>
      </c>
      <c r="AB1114" s="36">
        <f>IF(AND($C1114="Despesa",U1114&gt;0,U1114&lt;=Sel_Idx,V1114&gt;=Sel_Idx),N(R1114)+ROW()/1000000000,0)</f>
        <v>0</v>
      </c>
      <c r="AC1114" s="40">
        <f>IF(AND($C1114="Despesa",U1114&gt;0,U1114&lt;=Sel_Idx,V1114&gt;=Sel_Idx),Z1114*10000+ROW(),0)</f>
        <v>0</v>
      </c>
      <c r="AD1114" s="40">
        <f>IF(AC1114=0,0,COUNTIFS(L_CalChave,"&gt;0",L_CalChave,"&lt;"&amp;AC1114)+1)</f>
        <v>0</v>
      </c>
    </row>
    <row r="1115">
      <c r="A1115" s="38" t="n"/>
      <c r="B1115" s="39" t="n"/>
      <c r="C1115" s="34" t="n"/>
      <c r="D1115" s="34" t="n"/>
      <c r="E1115" s="34" t="n"/>
      <c r="F1115" s="34" t="n"/>
      <c r="G1115" s="34" t="n"/>
      <c r="H1115" s="37" t="n"/>
      <c r="I1115" s="37" t="n"/>
      <c r="J1115" s="34" t="n"/>
      <c r="K1115" s="34" t="n"/>
      <c r="L1115" s="34" t="n"/>
      <c r="M1115" s="39" t="n"/>
      <c r="N1115" s="35" t="n"/>
      <c r="O1115" s="40" t="str">
        <f>IF($A1115="","",MONTH($A1115))</f>
        <v/>
      </c>
      <c r="P1115" s="40" t="str">
        <f>IF($A1115="","",YEAR($A1115))</f>
        <v/>
      </c>
      <c r="Q1115" s="41" t="str">
        <f>IF($A1115="","",DATE(P1115,O1115,1))</f>
        <v/>
      </c>
      <c r="R1115" s="36" t="str">
        <f>IF(OR($A1115="",$N1115=""),"",IF(AND($C1115&lt;&gt;"Transferência",N($I1115)&gt;1),$N1115/$I1115,$N1115))</f>
        <v/>
      </c>
      <c r="S1115" s="41" t="str">
        <f>IF(OR($A1115="",$F1115="",$C1115&lt;&gt;"Despesa"),"",IF(COUNTIF(Cartoes_Nome,$F1115)=0,"",DATE(P1115,O1115+IF(DAY($A1115)&gt;=INDEX(Cartoes_Fech,MATCH($F1115,Cartoes_Nome,0)),1,0),1)))</f>
        <v/>
      </c>
      <c r="T1115" s="42" t="str">
        <f>IF($A1115="","",IF(COUNTIFS(L_Data,$A1115,L_Desc,$B1115,L_Valor,$N1115,L_Tipo,$C1115)&gt;1,"⚠ Possível duplicidade",IF(OR(AND($C1115="Despesa",COUNTIF(CatD_Nome,$D1115)=0),AND($C1115="Receita",COUNTIF(CatR_Nome,$D1115)=0)),"⚠ Categoria não combina com o tipo",IF(OR($N1115="",$C1115=""),"⚠ Falta valor ou tipo",""))))</f>
        <v/>
      </c>
      <c r="U1115" s="40">
        <f>IF($A1115="",0,P1115*12+O1115)</f>
        <v>0</v>
      </c>
      <c r="V1115" s="40">
        <f>IF($A1115="",0,U1115+MAX(0,N($I1115)-MAX(N($H1115),1)))</f>
        <v>0</v>
      </c>
      <c r="W1115" s="40">
        <f>IF(S1115="",0,YEAR(S1115)*12+MONTH(S1115))</f>
        <v>0</v>
      </c>
      <c r="X1115" s="40">
        <f>IF(W1115=0,0,W1115+V1115-U1115)</f>
        <v>0</v>
      </c>
      <c r="Y1115" s="36">
        <f>IF(W1115=0,0,N(R1115)*MAX(0,X1115-MAX(W1115,YEAR(Cfg_Hoje)*12+MONTH(Cfg_Hoje)+IF(DAY(Cfg_Hoje)&gt;=INDEX(Cartoes_Fech,MATCH($F1115,Cartoes_Nome,0)),1,0))+1))</f>
        <v>0</v>
      </c>
      <c r="Z1115" s="40">
        <f>IF($A1115="",0,DAY($A1115))</f>
        <v>0</v>
      </c>
      <c r="AA1115" s="40">
        <f>IF($A1115="",0,WEEKDAY($A1115))</f>
        <v>0</v>
      </c>
      <c r="AB1115" s="36">
        <f>IF(AND($C1115="Despesa",U1115&gt;0,U1115&lt;=Sel_Idx,V1115&gt;=Sel_Idx),N(R1115)+ROW()/1000000000,0)</f>
        <v>0</v>
      </c>
      <c r="AC1115" s="40">
        <f>IF(AND($C1115="Despesa",U1115&gt;0,U1115&lt;=Sel_Idx,V1115&gt;=Sel_Idx),Z1115*10000+ROW(),0)</f>
        <v>0</v>
      </c>
      <c r="AD1115" s="40">
        <f>IF(AC1115=0,0,COUNTIFS(L_CalChave,"&gt;0",L_CalChave,"&lt;"&amp;AC1115)+1)</f>
        <v>0</v>
      </c>
    </row>
    <row r="1116">
      <c r="A1116" s="38" t="n"/>
      <c r="B1116" s="39" t="n"/>
      <c r="C1116" s="34" t="n"/>
      <c r="D1116" s="34" t="n"/>
      <c r="E1116" s="34" t="n"/>
      <c r="F1116" s="34" t="n"/>
      <c r="G1116" s="34" t="n"/>
      <c r="H1116" s="37" t="n"/>
      <c r="I1116" s="37" t="n"/>
      <c r="J1116" s="34" t="n"/>
      <c r="K1116" s="34" t="n"/>
      <c r="L1116" s="34" t="n"/>
      <c r="M1116" s="39" t="n"/>
      <c r="N1116" s="35" t="n"/>
      <c r="O1116" s="40" t="str">
        <f>IF($A1116="","",MONTH($A1116))</f>
        <v/>
      </c>
      <c r="P1116" s="40" t="str">
        <f>IF($A1116="","",YEAR($A1116))</f>
        <v/>
      </c>
      <c r="Q1116" s="41" t="str">
        <f>IF($A1116="","",DATE(P1116,O1116,1))</f>
        <v/>
      </c>
      <c r="R1116" s="36" t="str">
        <f>IF(OR($A1116="",$N1116=""),"",IF(AND($C1116&lt;&gt;"Transferência",N($I1116)&gt;1),$N1116/$I1116,$N1116))</f>
        <v/>
      </c>
      <c r="S1116" s="41" t="str">
        <f>IF(OR($A1116="",$F1116="",$C1116&lt;&gt;"Despesa"),"",IF(COUNTIF(Cartoes_Nome,$F1116)=0,"",DATE(P1116,O1116+IF(DAY($A1116)&gt;=INDEX(Cartoes_Fech,MATCH($F1116,Cartoes_Nome,0)),1,0),1)))</f>
        <v/>
      </c>
      <c r="T1116" s="42" t="str">
        <f>IF($A1116="","",IF(COUNTIFS(L_Data,$A1116,L_Desc,$B1116,L_Valor,$N1116,L_Tipo,$C1116)&gt;1,"⚠ Possível duplicidade",IF(OR(AND($C1116="Despesa",COUNTIF(CatD_Nome,$D1116)=0),AND($C1116="Receita",COUNTIF(CatR_Nome,$D1116)=0)),"⚠ Categoria não combina com o tipo",IF(OR($N1116="",$C1116=""),"⚠ Falta valor ou tipo",""))))</f>
        <v/>
      </c>
      <c r="U1116" s="40">
        <f>IF($A1116="",0,P1116*12+O1116)</f>
        <v>0</v>
      </c>
      <c r="V1116" s="40">
        <f>IF($A1116="",0,U1116+MAX(0,N($I1116)-MAX(N($H1116),1)))</f>
        <v>0</v>
      </c>
      <c r="W1116" s="40">
        <f>IF(S1116="",0,YEAR(S1116)*12+MONTH(S1116))</f>
        <v>0</v>
      </c>
      <c r="X1116" s="40">
        <f>IF(W1116=0,0,W1116+V1116-U1116)</f>
        <v>0</v>
      </c>
      <c r="Y1116" s="36">
        <f>IF(W1116=0,0,N(R1116)*MAX(0,X1116-MAX(W1116,YEAR(Cfg_Hoje)*12+MONTH(Cfg_Hoje)+IF(DAY(Cfg_Hoje)&gt;=INDEX(Cartoes_Fech,MATCH($F1116,Cartoes_Nome,0)),1,0))+1))</f>
        <v>0</v>
      </c>
      <c r="Z1116" s="40">
        <f>IF($A1116="",0,DAY($A1116))</f>
        <v>0</v>
      </c>
      <c r="AA1116" s="40">
        <f>IF($A1116="",0,WEEKDAY($A1116))</f>
        <v>0</v>
      </c>
      <c r="AB1116" s="36">
        <f>IF(AND($C1116="Despesa",U1116&gt;0,U1116&lt;=Sel_Idx,V1116&gt;=Sel_Idx),N(R1116)+ROW()/1000000000,0)</f>
        <v>0</v>
      </c>
      <c r="AC1116" s="40">
        <f>IF(AND($C1116="Despesa",U1116&gt;0,U1116&lt;=Sel_Idx,V1116&gt;=Sel_Idx),Z1116*10000+ROW(),0)</f>
        <v>0</v>
      </c>
      <c r="AD1116" s="40">
        <f>IF(AC1116=0,0,COUNTIFS(L_CalChave,"&gt;0",L_CalChave,"&lt;"&amp;AC1116)+1)</f>
        <v>0</v>
      </c>
    </row>
    <row r="1117">
      <c r="A1117" s="38" t="n"/>
      <c r="B1117" s="39" t="n"/>
      <c r="C1117" s="34" t="n"/>
      <c r="D1117" s="34" t="n"/>
      <c r="E1117" s="34" t="n"/>
      <c r="F1117" s="34" t="n"/>
      <c r="G1117" s="34" t="n"/>
      <c r="H1117" s="37" t="n"/>
      <c r="I1117" s="37" t="n"/>
      <c r="J1117" s="34" t="n"/>
      <c r="K1117" s="34" t="n"/>
      <c r="L1117" s="34" t="n"/>
      <c r="M1117" s="39" t="n"/>
      <c r="N1117" s="35" t="n"/>
      <c r="O1117" s="40" t="str">
        <f>IF($A1117="","",MONTH($A1117))</f>
        <v/>
      </c>
      <c r="P1117" s="40" t="str">
        <f>IF($A1117="","",YEAR($A1117))</f>
        <v/>
      </c>
      <c r="Q1117" s="41" t="str">
        <f>IF($A1117="","",DATE(P1117,O1117,1))</f>
        <v/>
      </c>
      <c r="R1117" s="36" t="str">
        <f>IF(OR($A1117="",$N1117=""),"",IF(AND($C1117&lt;&gt;"Transferência",N($I1117)&gt;1),$N1117/$I1117,$N1117))</f>
        <v/>
      </c>
      <c r="S1117" s="41" t="str">
        <f>IF(OR($A1117="",$F1117="",$C1117&lt;&gt;"Despesa"),"",IF(COUNTIF(Cartoes_Nome,$F1117)=0,"",DATE(P1117,O1117+IF(DAY($A1117)&gt;=INDEX(Cartoes_Fech,MATCH($F1117,Cartoes_Nome,0)),1,0),1)))</f>
        <v/>
      </c>
      <c r="T1117" s="42" t="str">
        <f>IF($A1117="","",IF(COUNTIFS(L_Data,$A1117,L_Desc,$B1117,L_Valor,$N1117,L_Tipo,$C1117)&gt;1,"⚠ Possível duplicidade",IF(OR(AND($C1117="Despesa",COUNTIF(CatD_Nome,$D1117)=0),AND($C1117="Receita",COUNTIF(CatR_Nome,$D1117)=0)),"⚠ Categoria não combina com o tipo",IF(OR($N1117="",$C1117=""),"⚠ Falta valor ou tipo",""))))</f>
        <v/>
      </c>
      <c r="U1117" s="40">
        <f>IF($A1117="",0,P1117*12+O1117)</f>
        <v>0</v>
      </c>
      <c r="V1117" s="40">
        <f>IF($A1117="",0,U1117+MAX(0,N($I1117)-MAX(N($H1117),1)))</f>
        <v>0</v>
      </c>
      <c r="W1117" s="40">
        <f>IF(S1117="",0,YEAR(S1117)*12+MONTH(S1117))</f>
        <v>0</v>
      </c>
      <c r="X1117" s="40">
        <f>IF(W1117=0,0,W1117+V1117-U1117)</f>
        <v>0</v>
      </c>
      <c r="Y1117" s="36">
        <f>IF(W1117=0,0,N(R1117)*MAX(0,X1117-MAX(W1117,YEAR(Cfg_Hoje)*12+MONTH(Cfg_Hoje)+IF(DAY(Cfg_Hoje)&gt;=INDEX(Cartoes_Fech,MATCH($F1117,Cartoes_Nome,0)),1,0))+1))</f>
        <v>0</v>
      </c>
      <c r="Z1117" s="40">
        <f>IF($A1117="",0,DAY($A1117))</f>
        <v>0</v>
      </c>
      <c r="AA1117" s="40">
        <f>IF($A1117="",0,WEEKDAY($A1117))</f>
        <v>0</v>
      </c>
      <c r="AB1117" s="36">
        <f>IF(AND($C1117="Despesa",U1117&gt;0,U1117&lt;=Sel_Idx,V1117&gt;=Sel_Idx),N(R1117)+ROW()/1000000000,0)</f>
        <v>0</v>
      </c>
      <c r="AC1117" s="40">
        <f>IF(AND($C1117="Despesa",U1117&gt;0,U1117&lt;=Sel_Idx,V1117&gt;=Sel_Idx),Z1117*10000+ROW(),0)</f>
        <v>0</v>
      </c>
      <c r="AD1117" s="40">
        <f>IF(AC1117=0,0,COUNTIFS(L_CalChave,"&gt;0",L_CalChave,"&lt;"&amp;AC1117)+1)</f>
        <v>0</v>
      </c>
    </row>
    <row r="1118">
      <c r="A1118" s="38" t="n"/>
      <c r="B1118" s="39" t="n"/>
      <c r="C1118" s="34" t="n"/>
      <c r="D1118" s="34" t="n"/>
      <c r="E1118" s="34" t="n"/>
      <c r="F1118" s="34" t="n"/>
      <c r="G1118" s="34" t="n"/>
      <c r="H1118" s="37" t="n"/>
      <c r="I1118" s="37" t="n"/>
      <c r="J1118" s="34" t="n"/>
      <c r="K1118" s="34" t="n"/>
      <c r="L1118" s="34" t="n"/>
      <c r="M1118" s="39" t="n"/>
      <c r="N1118" s="35" t="n"/>
      <c r="O1118" s="40" t="str">
        <f>IF($A1118="","",MONTH($A1118))</f>
        <v/>
      </c>
      <c r="P1118" s="40" t="str">
        <f>IF($A1118="","",YEAR($A1118))</f>
        <v/>
      </c>
      <c r="Q1118" s="41" t="str">
        <f>IF($A1118="","",DATE(P1118,O1118,1))</f>
        <v/>
      </c>
      <c r="R1118" s="36" t="str">
        <f>IF(OR($A1118="",$N1118=""),"",IF(AND($C1118&lt;&gt;"Transferência",N($I1118)&gt;1),$N1118/$I1118,$N1118))</f>
        <v/>
      </c>
      <c r="S1118" s="41" t="str">
        <f>IF(OR($A1118="",$F1118="",$C1118&lt;&gt;"Despesa"),"",IF(COUNTIF(Cartoes_Nome,$F1118)=0,"",DATE(P1118,O1118+IF(DAY($A1118)&gt;=INDEX(Cartoes_Fech,MATCH($F1118,Cartoes_Nome,0)),1,0),1)))</f>
        <v/>
      </c>
      <c r="T1118" s="42" t="str">
        <f>IF($A1118="","",IF(COUNTIFS(L_Data,$A1118,L_Desc,$B1118,L_Valor,$N1118,L_Tipo,$C1118)&gt;1,"⚠ Possível duplicidade",IF(OR(AND($C1118="Despesa",COUNTIF(CatD_Nome,$D1118)=0),AND($C1118="Receita",COUNTIF(CatR_Nome,$D1118)=0)),"⚠ Categoria não combina com o tipo",IF(OR($N1118="",$C1118=""),"⚠ Falta valor ou tipo",""))))</f>
        <v/>
      </c>
      <c r="U1118" s="40">
        <f>IF($A1118="",0,P1118*12+O1118)</f>
        <v>0</v>
      </c>
      <c r="V1118" s="40">
        <f>IF($A1118="",0,U1118+MAX(0,N($I1118)-MAX(N($H1118),1)))</f>
        <v>0</v>
      </c>
      <c r="W1118" s="40">
        <f>IF(S1118="",0,YEAR(S1118)*12+MONTH(S1118))</f>
        <v>0</v>
      </c>
      <c r="X1118" s="40">
        <f>IF(W1118=0,0,W1118+V1118-U1118)</f>
        <v>0</v>
      </c>
      <c r="Y1118" s="36">
        <f>IF(W1118=0,0,N(R1118)*MAX(0,X1118-MAX(W1118,YEAR(Cfg_Hoje)*12+MONTH(Cfg_Hoje)+IF(DAY(Cfg_Hoje)&gt;=INDEX(Cartoes_Fech,MATCH($F1118,Cartoes_Nome,0)),1,0))+1))</f>
        <v>0</v>
      </c>
      <c r="Z1118" s="40">
        <f>IF($A1118="",0,DAY($A1118))</f>
        <v>0</v>
      </c>
      <c r="AA1118" s="40">
        <f>IF($A1118="",0,WEEKDAY($A1118))</f>
        <v>0</v>
      </c>
      <c r="AB1118" s="36">
        <f>IF(AND($C1118="Despesa",U1118&gt;0,U1118&lt;=Sel_Idx,V1118&gt;=Sel_Idx),N(R1118)+ROW()/1000000000,0)</f>
        <v>0</v>
      </c>
      <c r="AC1118" s="40">
        <f>IF(AND($C1118="Despesa",U1118&gt;0,U1118&lt;=Sel_Idx,V1118&gt;=Sel_Idx),Z1118*10000+ROW(),0)</f>
        <v>0</v>
      </c>
      <c r="AD1118" s="40">
        <f>IF(AC1118=0,0,COUNTIFS(L_CalChave,"&gt;0",L_CalChave,"&lt;"&amp;AC1118)+1)</f>
        <v>0</v>
      </c>
    </row>
    <row r="1119">
      <c r="A1119" s="38" t="n"/>
      <c r="B1119" s="39" t="n"/>
      <c r="C1119" s="34" t="n"/>
      <c r="D1119" s="34" t="n"/>
      <c r="E1119" s="34" t="n"/>
      <c r="F1119" s="34" t="n"/>
      <c r="G1119" s="34" t="n"/>
      <c r="H1119" s="37" t="n"/>
      <c r="I1119" s="37" t="n"/>
      <c r="J1119" s="34" t="n"/>
      <c r="K1119" s="34" t="n"/>
      <c r="L1119" s="34" t="n"/>
      <c r="M1119" s="39" t="n"/>
      <c r="N1119" s="35" t="n"/>
      <c r="O1119" s="40" t="str">
        <f>IF($A1119="","",MONTH($A1119))</f>
        <v/>
      </c>
      <c r="P1119" s="40" t="str">
        <f>IF($A1119="","",YEAR($A1119))</f>
        <v/>
      </c>
      <c r="Q1119" s="41" t="str">
        <f>IF($A1119="","",DATE(P1119,O1119,1))</f>
        <v/>
      </c>
      <c r="R1119" s="36" t="str">
        <f>IF(OR($A1119="",$N1119=""),"",IF(AND($C1119&lt;&gt;"Transferência",N($I1119)&gt;1),$N1119/$I1119,$N1119))</f>
        <v/>
      </c>
      <c r="S1119" s="41" t="str">
        <f>IF(OR($A1119="",$F1119="",$C1119&lt;&gt;"Despesa"),"",IF(COUNTIF(Cartoes_Nome,$F1119)=0,"",DATE(P1119,O1119+IF(DAY($A1119)&gt;=INDEX(Cartoes_Fech,MATCH($F1119,Cartoes_Nome,0)),1,0),1)))</f>
        <v/>
      </c>
      <c r="T1119" s="42" t="str">
        <f>IF($A1119="","",IF(COUNTIFS(L_Data,$A1119,L_Desc,$B1119,L_Valor,$N1119,L_Tipo,$C1119)&gt;1,"⚠ Possível duplicidade",IF(OR(AND($C1119="Despesa",COUNTIF(CatD_Nome,$D1119)=0),AND($C1119="Receita",COUNTIF(CatR_Nome,$D1119)=0)),"⚠ Categoria não combina com o tipo",IF(OR($N1119="",$C1119=""),"⚠ Falta valor ou tipo",""))))</f>
        <v/>
      </c>
      <c r="U1119" s="40">
        <f>IF($A1119="",0,P1119*12+O1119)</f>
        <v>0</v>
      </c>
      <c r="V1119" s="40">
        <f>IF($A1119="",0,U1119+MAX(0,N($I1119)-MAX(N($H1119),1)))</f>
        <v>0</v>
      </c>
      <c r="W1119" s="40">
        <f>IF(S1119="",0,YEAR(S1119)*12+MONTH(S1119))</f>
        <v>0</v>
      </c>
      <c r="X1119" s="40">
        <f>IF(W1119=0,0,W1119+V1119-U1119)</f>
        <v>0</v>
      </c>
      <c r="Y1119" s="36">
        <f>IF(W1119=0,0,N(R1119)*MAX(0,X1119-MAX(W1119,YEAR(Cfg_Hoje)*12+MONTH(Cfg_Hoje)+IF(DAY(Cfg_Hoje)&gt;=INDEX(Cartoes_Fech,MATCH($F1119,Cartoes_Nome,0)),1,0))+1))</f>
        <v>0</v>
      </c>
      <c r="Z1119" s="40">
        <f>IF($A1119="",0,DAY($A1119))</f>
        <v>0</v>
      </c>
      <c r="AA1119" s="40">
        <f>IF($A1119="",0,WEEKDAY($A1119))</f>
        <v>0</v>
      </c>
      <c r="AB1119" s="36">
        <f>IF(AND($C1119="Despesa",U1119&gt;0,U1119&lt;=Sel_Idx,V1119&gt;=Sel_Idx),N(R1119)+ROW()/1000000000,0)</f>
        <v>0</v>
      </c>
      <c r="AC1119" s="40">
        <f>IF(AND($C1119="Despesa",U1119&gt;0,U1119&lt;=Sel_Idx,V1119&gt;=Sel_Idx),Z1119*10000+ROW(),0)</f>
        <v>0</v>
      </c>
      <c r="AD1119" s="40">
        <f>IF(AC1119=0,0,COUNTIFS(L_CalChave,"&gt;0",L_CalChave,"&lt;"&amp;AC1119)+1)</f>
        <v>0</v>
      </c>
    </row>
    <row r="1120">
      <c r="A1120" s="38" t="n"/>
      <c r="B1120" s="39" t="n"/>
      <c r="C1120" s="34" t="n"/>
      <c r="D1120" s="34" t="n"/>
      <c r="E1120" s="34" t="n"/>
      <c r="F1120" s="34" t="n"/>
      <c r="G1120" s="34" t="n"/>
      <c r="H1120" s="37" t="n"/>
      <c r="I1120" s="37" t="n"/>
      <c r="J1120" s="34" t="n"/>
      <c r="K1120" s="34" t="n"/>
      <c r="L1120" s="34" t="n"/>
      <c r="M1120" s="39" t="n"/>
      <c r="N1120" s="35" t="n"/>
      <c r="O1120" s="40" t="str">
        <f>IF($A1120="","",MONTH($A1120))</f>
        <v/>
      </c>
      <c r="P1120" s="40" t="str">
        <f>IF($A1120="","",YEAR($A1120))</f>
        <v/>
      </c>
      <c r="Q1120" s="41" t="str">
        <f>IF($A1120="","",DATE(P1120,O1120,1))</f>
        <v/>
      </c>
      <c r="R1120" s="36" t="str">
        <f>IF(OR($A1120="",$N1120=""),"",IF(AND($C1120&lt;&gt;"Transferência",N($I1120)&gt;1),$N1120/$I1120,$N1120))</f>
        <v/>
      </c>
      <c r="S1120" s="41" t="str">
        <f>IF(OR($A1120="",$F1120="",$C1120&lt;&gt;"Despesa"),"",IF(COUNTIF(Cartoes_Nome,$F1120)=0,"",DATE(P1120,O1120+IF(DAY($A1120)&gt;=INDEX(Cartoes_Fech,MATCH($F1120,Cartoes_Nome,0)),1,0),1)))</f>
        <v/>
      </c>
      <c r="T1120" s="42" t="str">
        <f>IF($A1120="","",IF(COUNTIFS(L_Data,$A1120,L_Desc,$B1120,L_Valor,$N1120,L_Tipo,$C1120)&gt;1,"⚠ Possível duplicidade",IF(OR(AND($C1120="Despesa",COUNTIF(CatD_Nome,$D1120)=0),AND($C1120="Receita",COUNTIF(CatR_Nome,$D1120)=0)),"⚠ Categoria não combina com o tipo",IF(OR($N1120="",$C1120=""),"⚠ Falta valor ou tipo",""))))</f>
        <v/>
      </c>
      <c r="U1120" s="40">
        <f>IF($A1120="",0,P1120*12+O1120)</f>
        <v>0</v>
      </c>
      <c r="V1120" s="40">
        <f>IF($A1120="",0,U1120+MAX(0,N($I1120)-MAX(N($H1120),1)))</f>
        <v>0</v>
      </c>
      <c r="W1120" s="40">
        <f>IF(S1120="",0,YEAR(S1120)*12+MONTH(S1120))</f>
        <v>0</v>
      </c>
      <c r="X1120" s="40">
        <f>IF(W1120=0,0,W1120+V1120-U1120)</f>
        <v>0</v>
      </c>
      <c r="Y1120" s="36">
        <f>IF(W1120=0,0,N(R1120)*MAX(0,X1120-MAX(W1120,YEAR(Cfg_Hoje)*12+MONTH(Cfg_Hoje)+IF(DAY(Cfg_Hoje)&gt;=INDEX(Cartoes_Fech,MATCH($F1120,Cartoes_Nome,0)),1,0))+1))</f>
        <v>0</v>
      </c>
      <c r="Z1120" s="40">
        <f>IF($A1120="",0,DAY($A1120))</f>
        <v>0</v>
      </c>
      <c r="AA1120" s="40">
        <f>IF($A1120="",0,WEEKDAY($A1120))</f>
        <v>0</v>
      </c>
      <c r="AB1120" s="36">
        <f>IF(AND($C1120="Despesa",U1120&gt;0,U1120&lt;=Sel_Idx,V1120&gt;=Sel_Idx),N(R1120)+ROW()/1000000000,0)</f>
        <v>0</v>
      </c>
      <c r="AC1120" s="40">
        <f>IF(AND($C1120="Despesa",U1120&gt;0,U1120&lt;=Sel_Idx,V1120&gt;=Sel_Idx),Z1120*10000+ROW(),0)</f>
        <v>0</v>
      </c>
      <c r="AD1120" s="40">
        <f>IF(AC1120=0,0,COUNTIFS(L_CalChave,"&gt;0",L_CalChave,"&lt;"&amp;AC1120)+1)</f>
        <v>0</v>
      </c>
    </row>
    <row r="1121">
      <c r="A1121" s="38" t="n"/>
      <c r="B1121" s="39" t="n"/>
      <c r="C1121" s="34" t="n"/>
      <c r="D1121" s="34" t="n"/>
      <c r="E1121" s="34" t="n"/>
      <c r="F1121" s="34" t="n"/>
      <c r="G1121" s="34" t="n"/>
      <c r="H1121" s="37" t="n"/>
      <c r="I1121" s="37" t="n"/>
      <c r="J1121" s="34" t="n"/>
      <c r="K1121" s="34" t="n"/>
      <c r="L1121" s="34" t="n"/>
      <c r="M1121" s="39" t="n"/>
      <c r="N1121" s="35" t="n"/>
      <c r="O1121" s="40" t="str">
        <f>IF($A1121="","",MONTH($A1121))</f>
        <v/>
      </c>
      <c r="P1121" s="40" t="str">
        <f>IF($A1121="","",YEAR($A1121))</f>
        <v/>
      </c>
      <c r="Q1121" s="41" t="str">
        <f>IF($A1121="","",DATE(P1121,O1121,1))</f>
        <v/>
      </c>
      <c r="R1121" s="36" t="str">
        <f>IF(OR($A1121="",$N1121=""),"",IF(AND($C1121&lt;&gt;"Transferência",N($I1121)&gt;1),$N1121/$I1121,$N1121))</f>
        <v/>
      </c>
      <c r="S1121" s="41" t="str">
        <f>IF(OR($A1121="",$F1121="",$C1121&lt;&gt;"Despesa"),"",IF(COUNTIF(Cartoes_Nome,$F1121)=0,"",DATE(P1121,O1121+IF(DAY($A1121)&gt;=INDEX(Cartoes_Fech,MATCH($F1121,Cartoes_Nome,0)),1,0),1)))</f>
        <v/>
      </c>
      <c r="T1121" s="42" t="str">
        <f>IF($A1121="","",IF(COUNTIFS(L_Data,$A1121,L_Desc,$B1121,L_Valor,$N1121,L_Tipo,$C1121)&gt;1,"⚠ Possível duplicidade",IF(OR(AND($C1121="Despesa",COUNTIF(CatD_Nome,$D1121)=0),AND($C1121="Receita",COUNTIF(CatR_Nome,$D1121)=0)),"⚠ Categoria não combina com o tipo",IF(OR($N1121="",$C1121=""),"⚠ Falta valor ou tipo",""))))</f>
        <v/>
      </c>
      <c r="U1121" s="40">
        <f>IF($A1121="",0,P1121*12+O1121)</f>
        <v>0</v>
      </c>
      <c r="V1121" s="40">
        <f>IF($A1121="",0,U1121+MAX(0,N($I1121)-MAX(N($H1121),1)))</f>
        <v>0</v>
      </c>
      <c r="W1121" s="40">
        <f>IF(S1121="",0,YEAR(S1121)*12+MONTH(S1121))</f>
        <v>0</v>
      </c>
      <c r="X1121" s="40">
        <f>IF(W1121=0,0,W1121+V1121-U1121)</f>
        <v>0</v>
      </c>
      <c r="Y1121" s="36">
        <f>IF(W1121=0,0,N(R1121)*MAX(0,X1121-MAX(W1121,YEAR(Cfg_Hoje)*12+MONTH(Cfg_Hoje)+IF(DAY(Cfg_Hoje)&gt;=INDEX(Cartoes_Fech,MATCH($F1121,Cartoes_Nome,0)),1,0))+1))</f>
        <v>0</v>
      </c>
      <c r="Z1121" s="40">
        <f>IF($A1121="",0,DAY($A1121))</f>
        <v>0</v>
      </c>
      <c r="AA1121" s="40">
        <f>IF($A1121="",0,WEEKDAY($A1121))</f>
        <v>0</v>
      </c>
      <c r="AB1121" s="36">
        <f>IF(AND($C1121="Despesa",U1121&gt;0,U1121&lt;=Sel_Idx,V1121&gt;=Sel_Idx),N(R1121)+ROW()/1000000000,0)</f>
        <v>0</v>
      </c>
      <c r="AC1121" s="40">
        <f>IF(AND($C1121="Despesa",U1121&gt;0,U1121&lt;=Sel_Idx,V1121&gt;=Sel_Idx),Z1121*10000+ROW(),0)</f>
        <v>0</v>
      </c>
      <c r="AD1121" s="40">
        <f>IF(AC1121=0,0,COUNTIFS(L_CalChave,"&gt;0",L_CalChave,"&lt;"&amp;AC1121)+1)</f>
        <v>0</v>
      </c>
    </row>
    <row r="1122">
      <c r="A1122" s="38" t="n"/>
      <c r="B1122" s="39" t="n"/>
      <c r="C1122" s="34" t="n"/>
      <c r="D1122" s="34" t="n"/>
      <c r="E1122" s="34" t="n"/>
      <c r="F1122" s="34" t="n"/>
      <c r="G1122" s="34" t="n"/>
      <c r="H1122" s="37" t="n"/>
      <c r="I1122" s="37" t="n"/>
      <c r="J1122" s="34" t="n"/>
      <c r="K1122" s="34" t="n"/>
      <c r="L1122" s="34" t="n"/>
      <c r="M1122" s="39" t="n"/>
      <c r="N1122" s="35" t="n"/>
      <c r="O1122" s="40" t="str">
        <f>IF($A1122="","",MONTH($A1122))</f>
        <v/>
      </c>
      <c r="P1122" s="40" t="str">
        <f>IF($A1122="","",YEAR($A1122))</f>
        <v/>
      </c>
      <c r="Q1122" s="41" t="str">
        <f>IF($A1122="","",DATE(P1122,O1122,1))</f>
        <v/>
      </c>
      <c r="R1122" s="36" t="str">
        <f>IF(OR($A1122="",$N1122=""),"",IF(AND($C1122&lt;&gt;"Transferência",N($I1122)&gt;1),$N1122/$I1122,$N1122))</f>
        <v/>
      </c>
      <c r="S1122" s="41" t="str">
        <f>IF(OR($A1122="",$F1122="",$C1122&lt;&gt;"Despesa"),"",IF(COUNTIF(Cartoes_Nome,$F1122)=0,"",DATE(P1122,O1122+IF(DAY($A1122)&gt;=INDEX(Cartoes_Fech,MATCH($F1122,Cartoes_Nome,0)),1,0),1)))</f>
        <v/>
      </c>
      <c r="T1122" s="42" t="str">
        <f>IF($A1122="","",IF(COUNTIFS(L_Data,$A1122,L_Desc,$B1122,L_Valor,$N1122,L_Tipo,$C1122)&gt;1,"⚠ Possível duplicidade",IF(OR(AND($C1122="Despesa",COUNTIF(CatD_Nome,$D1122)=0),AND($C1122="Receita",COUNTIF(CatR_Nome,$D1122)=0)),"⚠ Categoria não combina com o tipo",IF(OR($N1122="",$C1122=""),"⚠ Falta valor ou tipo",""))))</f>
        <v/>
      </c>
      <c r="U1122" s="40">
        <f>IF($A1122="",0,P1122*12+O1122)</f>
        <v>0</v>
      </c>
      <c r="V1122" s="40">
        <f>IF($A1122="",0,U1122+MAX(0,N($I1122)-MAX(N($H1122),1)))</f>
        <v>0</v>
      </c>
      <c r="W1122" s="40">
        <f>IF(S1122="",0,YEAR(S1122)*12+MONTH(S1122))</f>
        <v>0</v>
      </c>
      <c r="X1122" s="40">
        <f>IF(W1122=0,0,W1122+V1122-U1122)</f>
        <v>0</v>
      </c>
      <c r="Y1122" s="36">
        <f>IF(W1122=0,0,N(R1122)*MAX(0,X1122-MAX(W1122,YEAR(Cfg_Hoje)*12+MONTH(Cfg_Hoje)+IF(DAY(Cfg_Hoje)&gt;=INDEX(Cartoes_Fech,MATCH($F1122,Cartoes_Nome,0)),1,0))+1))</f>
        <v>0</v>
      </c>
      <c r="Z1122" s="40">
        <f>IF($A1122="",0,DAY($A1122))</f>
        <v>0</v>
      </c>
      <c r="AA1122" s="40">
        <f>IF($A1122="",0,WEEKDAY($A1122))</f>
        <v>0</v>
      </c>
      <c r="AB1122" s="36">
        <f>IF(AND($C1122="Despesa",U1122&gt;0,U1122&lt;=Sel_Idx,V1122&gt;=Sel_Idx),N(R1122)+ROW()/1000000000,0)</f>
        <v>0</v>
      </c>
      <c r="AC1122" s="40">
        <f>IF(AND($C1122="Despesa",U1122&gt;0,U1122&lt;=Sel_Idx,V1122&gt;=Sel_Idx),Z1122*10000+ROW(),0)</f>
        <v>0</v>
      </c>
      <c r="AD1122" s="40">
        <f>IF(AC1122=0,0,COUNTIFS(L_CalChave,"&gt;0",L_CalChave,"&lt;"&amp;AC1122)+1)</f>
        <v>0</v>
      </c>
    </row>
    <row r="1123">
      <c r="A1123" s="38" t="n"/>
      <c r="B1123" s="39" t="n"/>
      <c r="C1123" s="34" t="n"/>
      <c r="D1123" s="34" t="n"/>
      <c r="E1123" s="34" t="n"/>
      <c r="F1123" s="34" t="n"/>
      <c r="G1123" s="34" t="n"/>
      <c r="H1123" s="37" t="n"/>
      <c r="I1123" s="37" t="n"/>
      <c r="J1123" s="34" t="n"/>
      <c r="K1123" s="34" t="n"/>
      <c r="L1123" s="34" t="n"/>
      <c r="M1123" s="39" t="n"/>
      <c r="N1123" s="35" t="n"/>
      <c r="O1123" s="40" t="str">
        <f>IF($A1123="","",MONTH($A1123))</f>
        <v/>
      </c>
      <c r="P1123" s="40" t="str">
        <f>IF($A1123="","",YEAR($A1123))</f>
        <v/>
      </c>
      <c r="Q1123" s="41" t="str">
        <f>IF($A1123="","",DATE(P1123,O1123,1))</f>
        <v/>
      </c>
      <c r="R1123" s="36" t="str">
        <f>IF(OR($A1123="",$N1123=""),"",IF(AND($C1123&lt;&gt;"Transferência",N($I1123)&gt;1),$N1123/$I1123,$N1123))</f>
        <v/>
      </c>
      <c r="S1123" s="41" t="str">
        <f>IF(OR($A1123="",$F1123="",$C1123&lt;&gt;"Despesa"),"",IF(COUNTIF(Cartoes_Nome,$F1123)=0,"",DATE(P1123,O1123+IF(DAY($A1123)&gt;=INDEX(Cartoes_Fech,MATCH($F1123,Cartoes_Nome,0)),1,0),1)))</f>
        <v/>
      </c>
      <c r="T1123" s="42" t="str">
        <f>IF($A1123="","",IF(COUNTIFS(L_Data,$A1123,L_Desc,$B1123,L_Valor,$N1123,L_Tipo,$C1123)&gt;1,"⚠ Possível duplicidade",IF(OR(AND($C1123="Despesa",COUNTIF(CatD_Nome,$D1123)=0),AND($C1123="Receita",COUNTIF(CatR_Nome,$D1123)=0)),"⚠ Categoria não combina com o tipo",IF(OR($N1123="",$C1123=""),"⚠ Falta valor ou tipo",""))))</f>
        <v/>
      </c>
      <c r="U1123" s="40">
        <f>IF($A1123="",0,P1123*12+O1123)</f>
        <v>0</v>
      </c>
      <c r="V1123" s="40">
        <f>IF($A1123="",0,U1123+MAX(0,N($I1123)-MAX(N($H1123),1)))</f>
        <v>0</v>
      </c>
      <c r="W1123" s="40">
        <f>IF(S1123="",0,YEAR(S1123)*12+MONTH(S1123))</f>
        <v>0</v>
      </c>
      <c r="X1123" s="40">
        <f>IF(W1123=0,0,W1123+V1123-U1123)</f>
        <v>0</v>
      </c>
      <c r="Y1123" s="36">
        <f>IF(W1123=0,0,N(R1123)*MAX(0,X1123-MAX(W1123,YEAR(Cfg_Hoje)*12+MONTH(Cfg_Hoje)+IF(DAY(Cfg_Hoje)&gt;=INDEX(Cartoes_Fech,MATCH($F1123,Cartoes_Nome,0)),1,0))+1))</f>
        <v>0</v>
      </c>
      <c r="Z1123" s="40">
        <f>IF($A1123="",0,DAY($A1123))</f>
        <v>0</v>
      </c>
      <c r="AA1123" s="40">
        <f>IF($A1123="",0,WEEKDAY($A1123))</f>
        <v>0</v>
      </c>
      <c r="AB1123" s="36">
        <f>IF(AND($C1123="Despesa",U1123&gt;0,U1123&lt;=Sel_Idx,V1123&gt;=Sel_Idx),N(R1123)+ROW()/1000000000,0)</f>
        <v>0</v>
      </c>
      <c r="AC1123" s="40">
        <f>IF(AND($C1123="Despesa",U1123&gt;0,U1123&lt;=Sel_Idx,V1123&gt;=Sel_Idx),Z1123*10000+ROW(),0)</f>
        <v>0</v>
      </c>
      <c r="AD1123" s="40">
        <f>IF(AC1123=0,0,COUNTIFS(L_CalChave,"&gt;0",L_CalChave,"&lt;"&amp;AC1123)+1)</f>
        <v>0</v>
      </c>
    </row>
    <row r="1124">
      <c r="A1124" s="38" t="n"/>
      <c r="B1124" s="39" t="n"/>
      <c r="C1124" s="34" t="n"/>
      <c r="D1124" s="34" t="n"/>
      <c r="E1124" s="34" t="n"/>
      <c r="F1124" s="34" t="n"/>
      <c r="G1124" s="34" t="n"/>
      <c r="H1124" s="37" t="n"/>
      <c r="I1124" s="37" t="n"/>
      <c r="J1124" s="34" t="n"/>
      <c r="K1124" s="34" t="n"/>
      <c r="L1124" s="34" t="n"/>
      <c r="M1124" s="39" t="n"/>
      <c r="N1124" s="35" t="n"/>
      <c r="O1124" s="40" t="str">
        <f>IF($A1124="","",MONTH($A1124))</f>
        <v/>
      </c>
      <c r="P1124" s="40" t="str">
        <f>IF($A1124="","",YEAR($A1124))</f>
        <v/>
      </c>
      <c r="Q1124" s="41" t="str">
        <f>IF($A1124="","",DATE(P1124,O1124,1))</f>
        <v/>
      </c>
      <c r="R1124" s="36" t="str">
        <f>IF(OR($A1124="",$N1124=""),"",IF(AND($C1124&lt;&gt;"Transferência",N($I1124)&gt;1),$N1124/$I1124,$N1124))</f>
        <v/>
      </c>
      <c r="S1124" s="41" t="str">
        <f>IF(OR($A1124="",$F1124="",$C1124&lt;&gt;"Despesa"),"",IF(COUNTIF(Cartoes_Nome,$F1124)=0,"",DATE(P1124,O1124+IF(DAY($A1124)&gt;=INDEX(Cartoes_Fech,MATCH($F1124,Cartoes_Nome,0)),1,0),1)))</f>
        <v/>
      </c>
      <c r="T1124" s="42" t="str">
        <f>IF($A1124="","",IF(COUNTIFS(L_Data,$A1124,L_Desc,$B1124,L_Valor,$N1124,L_Tipo,$C1124)&gt;1,"⚠ Possível duplicidade",IF(OR(AND($C1124="Despesa",COUNTIF(CatD_Nome,$D1124)=0),AND($C1124="Receita",COUNTIF(CatR_Nome,$D1124)=0)),"⚠ Categoria não combina com o tipo",IF(OR($N1124="",$C1124=""),"⚠ Falta valor ou tipo",""))))</f>
        <v/>
      </c>
      <c r="U1124" s="40">
        <f>IF($A1124="",0,P1124*12+O1124)</f>
        <v>0</v>
      </c>
      <c r="V1124" s="40">
        <f>IF($A1124="",0,U1124+MAX(0,N($I1124)-MAX(N($H1124),1)))</f>
        <v>0</v>
      </c>
      <c r="W1124" s="40">
        <f>IF(S1124="",0,YEAR(S1124)*12+MONTH(S1124))</f>
        <v>0</v>
      </c>
      <c r="X1124" s="40">
        <f>IF(W1124=0,0,W1124+V1124-U1124)</f>
        <v>0</v>
      </c>
      <c r="Y1124" s="36">
        <f>IF(W1124=0,0,N(R1124)*MAX(0,X1124-MAX(W1124,YEAR(Cfg_Hoje)*12+MONTH(Cfg_Hoje)+IF(DAY(Cfg_Hoje)&gt;=INDEX(Cartoes_Fech,MATCH($F1124,Cartoes_Nome,0)),1,0))+1))</f>
        <v>0</v>
      </c>
      <c r="Z1124" s="40">
        <f>IF($A1124="",0,DAY($A1124))</f>
        <v>0</v>
      </c>
      <c r="AA1124" s="40">
        <f>IF($A1124="",0,WEEKDAY($A1124))</f>
        <v>0</v>
      </c>
      <c r="AB1124" s="36">
        <f>IF(AND($C1124="Despesa",U1124&gt;0,U1124&lt;=Sel_Idx,V1124&gt;=Sel_Idx),N(R1124)+ROW()/1000000000,0)</f>
        <v>0</v>
      </c>
      <c r="AC1124" s="40">
        <f>IF(AND($C1124="Despesa",U1124&gt;0,U1124&lt;=Sel_Idx,V1124&gt;=Sel_Idx),Z1124*10000+ROW(),0)</f>
        <v>0</v>
      </c>
      <c r="AD1124" s="40">
        <f>IF(AC1124=0,0,COUNTIFS(L_CalChave,"&gt;0",L_CalChave,"&lt;"&amp;AC1124)+1)</f>
        <v>0</v>
      </c>
    </row>
    <row r="1125">
      <c r="A1125" s="38" t="n"/>
      <c r="B1125" s="39" t="n"/>
      <c r="C1125" s="34" t="n"/>
      <c r="D1125" s="34" t="n"/>
      <c r="E1125" s="34" t="n"/>
      <c r="F1125" s="34" t="n"/>
      <c r="G1125" s="34" t="n"/>
      <c r="H1125" s="37" t="n"/>
      <c r="I1125" s="37" t="n"/>
      <c r="J1125" s="34" t="n"/>
      <c r="K1125" s="34" t="n"/>
      <c r="L1125" s="34" t="n"/>
      <c r="M1125" s="39" t="n"/>
      <c r="N1125" s="35" t="n"/>
      <c r="O1125" s="40" t="str">
        <f>IF($A1125="","",MONTH($A1125))</f>
        <v/>
      </c>
      <c r="P1125" s="40" t="str">
        <f>IF($A1125="","",YEAR($A1125))</f>
        <v/>
      </c>
      <c r="Q1125" s="41" t="str">
        <f>IF($A1125="","",DATE(P1125,O1125,1))</f>
        <v/>
      </c>
      <c r="R1125" s="36" t="str">
        <f>IF(OR($A1125="",$N1125=""),"",IF(AND($C1125&lt;&gt;"Transferência",N($I1125)&gt;1),$N1125/$I1125,$N1125))</f>
        <v/>
      </c>
      <c r="S1125" s="41" t="str">
        <f>IF(OR($A1125="",$F1125="",$C1125&lt;&gt;"Despesa"),"",IF(COUNTIF(Cartoes_Nome,$F1125)=0,"",DATE(P1125,O1125+IF(DAY($A1125)&gt;=INDEX(Cartoes_Fech,MATCH($F1125,Cartoes_Nome,0)),1,0),1)))</f>
        <v/>
      </c>
      <c r="T1125" s="42" t="str">
        <f>IF($A1125="","",IF(COUNTIFS(L_Data,$A1125,L_Desc,$B1125,L_Valor,$N1125,L_Tipo,$C1125)&gt;1,"⚠ Possível duplicidade",IF(OR(AND($C1125="Despesa",COUNTIF(CatD_Nome,$D1125)=0),AND($C1125="Receita",COUNTIF(CatR_Nome,$D1125)=0)),"⚠ Categoria não combina com o tipo",IF(OR($N1125="",$C1125=""),"⚠ Falta valor ou tipo",""))))</f>
        <v/>
      </c>
      <c r="U1125" s="40">
        <f>IF($A1125="",0,P1125*12+O1125)</f>
        <v>0</v>
      </c>
      <c r="V1125" s="40">
        <f>IF($A1125="",0,U1125+MAX(0,N($I1125)-MAX(N($H1125),1)))</f>
        <v>0</v>
      </c>
      <c r="W1125" s="40">
        <f>IF(S1125="",0,YEAR(S1125)*12+MONTH(S1125))</f>
        <v>0</v>
      </c>
      <c r="X1125" s="40">
        <f>IF(W1125=0,0,W1125+V1125-U1125)</f>
        <v>0</v>
      </c>
      <c r="Y1125" s="36">
        <f>IF(W1125=0,0,N(R1125)*MAX(0,X1125-MAX(W1125,YEAR(Cfg_Hoje)*12+MONTH(Cfg_Hoje)+IF(DAY(Cfg_Hoje)&gt;=INDEX(Cartoes_Fech,MATCH($F1125,Cartoes_Nome,0)),1,0))+1))</f>
        <v>0</v>
      </c>
      <c r="Z1125" s="40">
        <f>IF($A1125="",0,DAY($A1125))</f>
        <v>0</v>
      </c>
      <c r="AA1125" s="40">
        <f>IF($A1125="",0,WEEKDAY($A1125))</f>
        <v>0</v>
      </c>
      <c r="AB1125" s="36">
        <f>IF(AND($C1125="Despesa",U1125&gt;0,U1125&lt;=Sel_Idx,V1125&gt;=Sel_Idx),N(R1125)+ROW()/1000000000,0)</f>
        <v>0</v>
      </c>
      <c r="AC1125" s="40">
        <f>IF(AND($C1125="Despesa",U1125&gt;0,U1125&lt;=Sel_Idx,V1125&gt;=Sel_Idx),Z1125*10000+ROW(),0)</f>
        <v>0</v>
      </c>
      <c r="AD1125" s="40">
        <f>IF(AC1125=0,0,COUNTIFS(L_CalChave,"&gt;0",L_CalChave,"&lt;"&amp;AC1125)+1)</f>
        <v>0</v>
      </c>
    </row>
    <row r="1126">
      <c r="A1126" s="38" t="n"/>
      <c r="B1126" s="39" t="n"/>
      <c r="C1126" s="34" t="n"/>
      <c r="D1126" s="34" t="n"/>
      <c r="E1126" s="34" t="n"/>
      <c r="F1126" s="34" t="n"/>
      <c r="G1126" s="34" t="n"/>
      <c r="H1126" s="37" t="n"/>
      <c r="I1126" s="37" t="n"/>
      <c r="J1126" s="34" t="n"/>
      <c r="K1126" s="34" t="n"/>
      <c r="L1126" s="34" t="n"/>
      <c r="M1126" s="39" t="n"/>
      <c r="N1126" s="35" t="n"/>
      <c r="O1126" s="40" t="str">
        <f>IF($A1126="","",MONTH($A1126))</f>
        <v/>
      </c>
      <c r="P1126" s="40" t="str">
        <f>IF($A1126="","",YEAR($A1126))</f>
        <v/>
      </c>
      <c r="Q1126" s="41" t="str">
        <f>IF($A1126="","",DATE(P1126,O1126,1))</f>
        <v/>
      </c>
      <c r="R1126" s="36" t="str">
        <f>IF(OR($A1126="",$N1126=""),"",IF(AND($C1126&lt;&gt;"Transferência",N($I1126)&gt;1),$N1126/$I1126,$N1126))</f>
        <v/>
      </c>
      <c r="S1126" s="41" t="str">
        <f>IF(OR($A1126="",$F1126="",$C1126&lt;&gt;"Despesa"),"",IF(COUNTIF(Cartoes_Nome,$F1126)=0,"",DATE(P1126,O1126+IF(DAY($A1126)&gt;=INDEX(Cartoes_Fech,MATCH($F1126,Cartoes_Nome,0)),1,0),1)))</f>
        <v/>
      </c>
      <c r="T1126" s="42" t="str">
        <f>IF($A1126="","",IF(COUNTIFS(L_Data,$A1126,L_Desc,$B1126,L_Valor,$N1126,L_Tipo,$C1126)&gt;1,"⚠ Possível duplicidade",IF(OR(AND($C1126="Despesa",COUNTIF(CatD_Nome,$D1126)=0),AND($C1126="Receita",COUNTIF(CatR_Nome,$D1126)=0)),"⚠ Categoria não combina com o tipo",IF(OR($N1126="",$C1126=""),"⚠ Falta valor ou tipo",""))))</f>
        <v/>
      </c>
      <c r="U1126" s="40">
        <f>IF($A1126="",0,P1126*12+O1126)</f>
        <v>0</v>
      </c>
      <c r="V1126" s="40">
        <f>IF($A1126="",0,U1126+MAX(0,N($I1126)-MAX(N($H1126),1)))</f>
        <v>0</v>
      </c>
      <c r="W1126" s="40">
        <f>IF(S1126="",0,YEAR(S1126)*12+MONTH(S1126))</f>
        <v>0</v>
      </c>
      <c r="X1126" s="40">
        <f>IF(W1126=0,0,W1126+V1126-U1126)</f>
        <v>0</v>
      </c>
      <c r="Y1126" s="36">
        <f>IF(W1126=0,0,N(R1126)*MAX(0,X1126-MAX(W1126,YEAR(Cfg_Hoje)*12+MONTH(Cfg_Hoje)+IF(DAY(Cfg_Hoje)&gt;=INDEX(Cartoes_Fech,MATCH($F1126,Cartoes_Nome,0)),1,0))+1))</f>
        <v>0</v>
      </c>
      <c r="Z1126" s="40">
        <f>IF($A1126="",0,DAY($A1126))</f>
        <v>0</v>
      </c>
      <c r="AA1126" s="40">
        <f>IF($A1126="",0,WEEKDAY($A1126))</f>
        <v>0</v>
      </c>
      <c r="AB1126" s="36">
        <f>IF(AND($C1126="Despesa",U1126&gt;0,U1126&lt;=Sel_Idx,V1126&gt;=Sel_Idx),N(R1126)+ROW()/1000000000,0)</f>
        <v>0</v>
      </c>
      <c r="AC1126" s="40">
        <f>IF(AND($C1126="Despesa",U1126&gt;0,U1126&lt;=Sel_Idx,V1126&gt;=Sel_Idx),Z1126*10000+ROW(),0)</f>
        <v>0</v>
      </c>
      <c r="AD1126" s="40">
        <f>IF(AC1126=0,0,COUNTIFS(L_CalChave,"&gt;0",L_CalChave,"&lt;"&amp;AC1126)+1)</f>
        <v>0</v>
      </c>
    </row>
    <row r="1127">
      <c r="A1127" s="38" t="n"/>
      <c r="B1127" s="39" t="n"/>
      <c r="C1127" s="34" t="n"/>
      <c r="D1127" s="34" t="n"/>
      <c r="E1127" s="34" t="n"/>
      <c r="F1127" s="34" t="n"/>
      <c r="G1127" s="34" t="n"/>
      <c r="H1127" s="37" t="n"/>
      <c r="I1127" s="37" t="n"/>
      <c r="J1127" s="34" t="n"/>
      <c r="K1127" s="34" t="n"/>
      <c r="L1127" s="34" t="n"/>
      <c r="M1127" s="39" t="n"/>
      <c r="N1127" s="35" t="n"/>
      <c r="O1127" s="40" t="str">
        <f>IF($A1127="","",MONTH($A1127))</f>
        <v/>
      </c>
      <c r="P1127" s="40" t="str">
        <f>IF($A1127="","",YEAR($A1127))</f>
        <v/>
      </c>
      <c r="Q1127" s="41" t="str">
        <f>IF($A1127="","",DATE(P1127,O1127,1))</f>
        <v/>
      </c>
      <c r="R1127" s="36" t="str">
        <f>IF(OR($A1127="",$N1127=""),"",IF(AND($C1127&lt;&gt;"Transferência",N($I1127)&gt;1),$N1127/$I1127,$N1127))</f>
        <v/>
      </c>
      <c r="S1127" s="41" t="str">
        <f>IF(OR($A1127="",$F1127="",$C1127&lt;&gt;"Despesa"),"",IF(COUNTIF(Cartoes_Nome,$F1127)=0,"",DATE(P1127,O1127+IF(DAY($A1127)&gt;=INDEX(Cartoes_Fech,MATCH($F1127,Cartoes_Nome,0)),1,0),1)))</f>
        <v/>
      </c>
      <c r="T1127" s="42" t="str">
        <f>IF($A1127="","",IF(COUNTIFS(L_Data,$A1127,L_Desc,$B1127,L_Valor,$N1127,L_Tipo,$C1127)&gt;1,"⚠ Possível duplicidade",IF(OR(AND($C1127="Despesa",COUNTIF(CatD_Nome,$D1127)=0),AND($C1127="Receita",COUNTIF(CatR_Nome,$D1127)=0)),"⚠ Categoria não combina com o tipo",IF(OR($N1127="",$C1127=""),"⚠ Falta valor ou tipo",""))))</f>
        <v/>
      </c>
      <c r="U1127" s="40">
        <f>IF($A1127="",0,P1127*12+O1127)</f>
        <v>0</v>
      </c>
      <c r="V1127" s="40">
        <f>IF($A1127="",0,U1127+MAX(0,N($I1127)-MAX(N($H1127),1)))</f>
        <v>0</v>
      </c>
      <c r="W1127" s="40">
        <f>IF(S1127="",0,YEAR(S1127)*12+MONTH(S1127))</f>
        <v>0</v>
      </c>
      <c r="X1127" s="40">
        <f>IF(W1127=0,0,W1127+V1127-U1127)</f>
        <v>0</v>
      </c>
      <c r="Y1127" s="36">
        <f>IF(W1127=0,0,N(R1127)*MAX(0,X1127-MAX(W1127,YEAR(Cfg_Hoje)*12+MONTH(Cfg_Hoje)+IF(DAY(Cfg_Hoje)&gt;=INDEX(Cartoes_Fech,MATCH($F1127,Cartoes_Nome,0)),1,0))+1))</f>
        <v>0</v>
      </c>
      <c r="Z1127" s="40">
        <f>IF($A1127="",0,DAY($A1127))</f>
        <v>0</v>
      </c>
      <c r="AA1127" s="40">
        <f>IF($A1127="",0,WEEKDAY($A1127))</f>
        <v>0</v>
      </c>
      <c r="AB1127" s="36">
        <f>IF(AND($C1127="Despesa",U1127&gt;0,U1127&lt;=Sel_Idx,V1127&gt;=Sel_Idx),N(R1127)+ROW()/1000000000,0)</f>
        <v>0</v>
      </c>
      <c r="AC1127" s="40">
        <f>IF(AND($C1127="Despesa",U1127&gt;0,U1127&lt;=Sel_Idx,V1127&gt;=Sel_Idx),Z1127*10000+ROW(),0)</f>
        <v>0</v>
      </c>
      <c r="AD1127" s="40">
        <f>IF(AC1127=0,0,COUNTIFS(L_CalChave,"&gt;0",L_CalChave,"&lt;"&amp;AC1127)+1)</f>
        <v>0</v>
      </c>
    </row>
    <row r="1128">
      <c r="A1128" s="38" t="n"/>
      <c r="B1128" s="39" t="n"/>
      <c r="C1128" s="34" t="n"/>
      <c r="D1128" s="34" t="n"/>
      <c r="E1128" s="34" t="n"/>
      <c r="F1128" s="34" t="n"/>
      <c r="G1128" s="34" t="n"/>
      <c r="H1128" s="37" t="n"/>
      <c r="I1128" s="37" t="n"/>
      <c r="J1128" s="34" t="n"/>
      <c r="K1128" s="34" t="n"/>
      <c r="L1128" s="34" t="n"/>
      <c r="M1128" s="39" t="n"/>
      <c r="N1128" s="35" t="n"/>
      <c r="O1128" s="40" t="str">
        <f>IF($A1128="","",MONTH($A1128))</f>
        <v/>
      </c>
      <c r="P1128" s="40" t="str">
        <f>IF($A1128="","",YEAR($A1128))</f>
        <v/>
      </c>
      <c r="Q1128" s="41" t="str">
        <f>IF($A1128="","",DATE(P1128,O1128,1))</f>
        <v/>
      </c>
      <c r="R1128" s="36" t="str">
        <f>IF(OR($A1128="",$N1128=""),"",IF(AND($C1128&lt;&gt;"Transferência",N($I1128)&gt;1),$N1128/$I1128,$N1128))</f>
        <v/>
      </c>
      <c r="S1128" s="41" t="str">
        <f>IF(OR($A1128="",$F1128="",$C1128&lt;&gt;"Despesa"),"",IF(COUNTIF(Cartoes_Nome,$F1128)=0,"",DATE(P1128,O1128+IF(DAY($A1128)&gt;=INDEX(Cartoes_Fech,MATCH($F1128,Cartoes_Nome,0)),1,0),1)))</f>
        <v/>
      </c>
      <c r="T1128" s="42" t="str">
        <f>IF($A1128="","",IF(COUNTIFS(L_Data,$A1128,L_Desc,$B1128,L_Valor,$N1128,L_Tipo,$C1128)&gt;1,"⚠ Possível duplicidade",IF(OR(AND($C1128="Despesa",COUNTIF(CatD_Nome,$D1128)=0),AND($C1128="Receita",COUNTIF(CatR_Nome,$D1128)=0)),"⚠ Categoria não combina com o tipo",IF(OR($N1128="",$C1128=""),"⚠ Falta valor ou tipo",""))))</f>
        <v/>
      </c>
      <c r="U1128" s="40">
        <f>IF($A1128="",0,P1128*12+O1128)</f>
        <v>0</v>
      </c>
      <c r="V1128" s="40">
        <f>IF($A1128="",0,U1128+MAX(0,N($I1128)-MAX(N($H1128),1)))</f>
        <v>0</v>
      </c>
      <c r="W1128" s="40">
        <f>IF(S1128="",0,YEAR(S1128)*12+MONTH(S1128))</f>
        <v>0</v>
      </c>
      <c r="X1128" s="40">
        <f>IF(W1128=0,0,W1128+V1128-U1128)</f>
        <v>0</v>
      </c>
      <c r="Y1128" s="36">
        <f>IF(W1128=0,0,N(R1128)*MAX(0,X1128-MAX(W1128,YEAR(Cfg_Hoje)*12+MONTH(Cfg_Hoje)+IF(DAY(Cfg_Hoje)&gt;=INDEX(Cartoes_Fech,MATCH($F1128,Cartoes_Nome,0)),1,0))+1))</f>
        <v>0</v>
      </c>
      <c r="Z1128" s="40">
        <f>IF($A1128="",0,DAY($A1128))</f>
        <v>0</v>
      </c>
      <c r="AA1128" s="40">
        <f>IF($A1128="",0,WEEKDAY($A1128))</f>
        <v>0</v>
      </c>
      <c r="AB1128" s="36">
        <f>IF(AND($C1128="Despesa",U1128&gt;0,U1128&lt;=Sel_Idx,V1128&gt;=Sel_Idx),N(R1128)+ROW()/1000000000,0)</f>
        <v>0</v>
      </c>
      <c r="AC1128" s="40">
        <f>IF(AND($C1128="Despesa",U1128&gt;0,U1128&lt;=Sel_Idx,V1128&gt;=Sel_Idx),Z1128*10000+ROW(),0)</f>
        <v>0</v>
      </c>
      <c r="AD1128" s="40">
        <f>IF(AC1128=0,0,COUNTIFS(L_CalChave,"&gt;0",L_CalChave,"&lt;"&amp;AC1128)+1)</f>
        <v>0</v>
      </c>
    </row>
    <row r="1129">
      <c r="A1129" s="38" t="n"/>
      <c r="B1129" s="39" t="n"/>
      <c r="C1129" s="34" t="n"/>
      <c r="D1129" s="34" t="n"/>
      <c r="E1129" s="34" t="n"/>
      <c r="F1129" s="34" t="n"/>
      <c r="G1129" s="34" t="n"/>
      <c r="H1129" s="37" t="n"/>
      <c r="I1129" s="37" t="n"/>
      <c r="J1129" s="34" t="n"/>
      <c r="K1129" s="34" t="n"/>
      <c r="L1129" s="34" t="n"/>
      <c r="M1129" s="39" t="n"/>
      <c r="N1129" s="35" t="n"/>
      <c r="O1129" s="40" t="str">
        <f>IF($A1129="","",MONTH($A1129))</f>
        <v/>
      </c>
      <c r="P1129" s="40" t="str">
        <f>IF($A1129="","",YEAR($A1129))</f>
        <v/>
      </c>
      <c r="Q1129" s="41" t="str">
        <f>IF($A1129="","",DATE(P1129,O1129,1))</f>
        <v/>
      </c>
      <c r="R1129" s="36" t="str">
        <f>IF(OR($A1129="",$N1129=""),"",IF(AND($C1129&lt;&gt;"Transferência",N($I1129)&gt;1),$N1129/$I1129,$N1129))</f>
        <v/>
      </c>
      <c r="S1129" s="41" t="str">
        <f>IF(OR($A1129="",$F1129="",$C1129&lt;&gt;"Despesa"),"",IF(COUNTIF(Cartoes_Nome,$F1129)=0,"",DATE(P1129,O1129+IF(DAY($A1129)&gt;=INDEX(Cartoes_Fech,MATCH($F1129,Cartoes_Nome,0)),1,0),1)))</f>
        <v/>
      </c>
      <c r="T1129" s="42" t="str">
        <f>IF($A1129="","",IF(COUNTIFS(L_Data,$A1129,L_Desc,$B1129,L_Valor,$N1129,L_Tipo,$C1129)&gt;1,"⚠ Possível duplicidade",IF(OR(AND($C1129="Despesa",COUNTIF(CatD_Nome,$D1129)=0),AND($C1129="Receita",COUNTIF(CatR_Nome,$D1129)=0)),"⚠ Categoria não combina com o tipo",IF(OR($N1129="",$C1129=""),"⚠ Falta valor ou tipo",""))))</f>
        <v/>
      </c>
      <c r="U1129" s="40">
        <f>IF($A1129="",0,P1129*12+O1129)</f>
        <v>0</v>
      </c>
      <c r="V1129" s="40">
        <f>IF($A1129="",0,U1129+MAX(0,N($I1129)-MAX(N($H1129),1)))</f>
        <v>0</v>
      </c>
      <c r="W1129" s="40">
        <f>IF(S1129="",0,YEAR(S1129)*12+MONTH(S1129))</f>
        <v>0</v>
      </c>
      <c r="X1129" s="40">
        <f>IF(W1129=0,0,W1129+V1129-U1129)</f>
        <v>0</v>
      </c>
      <c r="Y1129" s="36">
        <f>IF(W1129=0,0,N(R1129)*MAX(0,X1129-MAX(W1129,YEAR(Cfg_Hoje)*12+MONTH(Cfg_Hoje)+IF(DAY(Cfg_Hoje)&gt;=INDEX(Cartoes_Fech,MATCH($F1129,Cartoes_Nome,0)),1,0))+1))</f>
        <v>0</v>
      </c>
      <c r="Z1129" s="40">
        <f>IF($A1129="",0,DAY($A1129))</f>
        <v>0</v>
      </c>
      <c r="AA1129" s="40">
        <f>IF($A1129="",0,WEEKDAY($A1129))</f>
        <v>0</v>
      </c>
      <c r="AB1129" s="36">
        <f>IF(AND($C1129="Despesa",U1129&gt;0,U1129&lt;=Sel_Idx,V1129&gt;=Sel_Idx),N(R1129)+ROW()/1000000000,0)</f>
        <v>0</v>
      </c>
      <c r="AC1129" s="40">
        <f>IF(AND($C1129="Despesa",U1129&gt;0,U1129&lt;=Sel_Idx,V1129&gt;=Sel_Idx),Z1129*10000+ROW(),0)</f>
        <v>0</v>
      </c>
      <c r="AD1129" s="40">
        <f>IF(AC1129=0,0,COUNTIFS(L_CalChave,"&gt;0",L_CalChave,"&lt;"&amp;AC1129)+1)</f>
        <v>0</v>
      </c>
    </row>
    <row r="1130">
      <c r="A1130" s="38" t="n"/>
      <c r="B1130" s="39" t="n"/>
      <c r="C1130" s="34" t="n"/>
      <c r="D1130" s="34" t="n"/>
      <c r="E1130" s="34" t="n"/>
      <c r="F1130" s="34" t="n"/>
      <c r="G1130" s="34" t="n"/>
      <c r="H1130" s="37" t="n"/>
      <c r="I1130" s="37" t="n"/>
      <c r="J1130" s="34" t="n"/>
      <c r="K1130" s="34" t="n"/>
      <c r="L1130" s="34" t="n"/>
      <c r="M1130" s="39" t="n"/>
      <c r="N1130" s="35" t="n"/>
      <c r="O1130" s="40" t="str">
        <f>IF($A1130="","",MONTH($A1130))</f>
        <v/>
      </c>
      <c r="P1130" s="40" t="str">
        <f>IF($A1130="","",YEAR($A1130))</f>
        <v/>
      </c>
      <c r="Q1130" s="41" t="str">
        <f>IF($A1130="","",DATE(P1130,O1130,1))</f>
        <v/>
      </c>
      <c r="R1130" s="36" t="str">
        <f>IF(OR($A1130="",$N1130=""),"",IF(AND($C1130&lt;&gt;"Transferência",N($I1130)&gt;1),$N1130/$I1130,$N1130))</f>
        <v/>
      </c>
      <c r="S1130" s="41" t="str">
        <f>IF(OR($A1130="",$F1130="",$C1130&lt;&gt;"Despesa"),"",IF(COUNTIF(Cartoes_Nome,$F1130)=0,"",DATE(P1130,O1130+IF(DAY($A1130)&gt;=INDEX(Cartoes_Fech,MATCH($F1130,Cartoes_Nome,0)),1,0),1)))</f>
        <v/>
      </c>
      <c r="T1130" s="42" t="str">
        <f>IF($A1130="","",IF(COUNTIFS(L_Data,$A1130,L_Desc,$B1130,L_Valor,$N1130,L_Tipo,$C1130)&gt;1,"⚠ Possível duplicidade",IF(OR(AND($C1130="Despesa",COUNTIF(CatD_Nome,$D1130)=0),AND($C1130="Receita",COUNTIF(CatR_Nome,$D1130)=0)),"⚠ Categoria não combina com o tipo",IF(OR($N1130="",$C1130=""),"⚠ Falta valor ou tipo",""))))</f>
        <v/>
      </c>
      <c r="U1130" s="40">
        <f>IF($A1130="",0,P1130*12+O1130)</f>
        <v>0</v>
      </c>
      <c r="V1130" s="40">
        <f>IF($A1130="",0,U1130+MAX(0,N($I1130)-MAX(N($H1130),1)))</f>
        <v>0</v>
      </c>
      <c r="W1130" s="40">
        <f>IF(S1130="",0,YEAR(S1130)*12+MONTH(S1130))</f>
        <v>0</v>
      </c>
      <c r="X1130" s="40">
        <f>IF(W1130=0,0,W1130+V1130-U1130)</f>
        <v>0</v>
      </c>
      <c r="Y1130" s="36">
        <f>IF(W1130=0,0,N(R1130)*MAX(0,X1130-MAX(W1130,YEAR(Cfg_Hoje)*12+MONTH(Cfg_Hoje)+IF(DAY(Cfg_Hoje)&gt;=INDEX(Cartoes_Fech,MATCH($F1130,Cartoes_Nome,0)),1,0))+1))</f>
        <v>0</v>
      </c>
      <c r="Z1130" s="40">
        <f>IF($A1130="",0,DAY($A1130))</f>
        <v>0</v>
      </c>
      <c r="AA1130" s="40">
        <f>IF($A1130="",0,WEEKDAY($A1130))</f>
        <v>0</v>
      </c>
      <c r="AB1130" s="36">
        <f>IF(AND($C1130="Despesa",U1130&gt;0,U1130&lt;=Sel_Idx,V1130&gt;=Sel_Idx),N(R1130)+ROW()/1000000000,0)</f>
        <v>0</v>
      </c>
      <c r="AC1130" s="40">
        <f>IF(AND($C1130="Despesa",U1130&gt;0,U1130&lt;=Sel_Idx,V1130&gt;=Sel_Idx),Z1130*10000+ROW(),0)</f>
        <v>0</v>
      </c>
      <c r="AD1130" s="40">
        <f>IF(AC1130=0,0,COUNTIFS(L_CalChave,"&gt;0",L_CalChave,"&lt;"&amp;AC1130)+1)</f>
        <v>0</v>
      </c>
    </row>
    <row r="1131">
      <c r="A1131" s="38" t="n"/>
      <c r="B1131" s="39" t="n"/>
      <c r="C1131" s="34" t="n"/>
      <c r="D1131" s="34" t="n"/>
      <c r="E1131" s="34" t="n"/>
      <c r="F1131" s="34" t="n"/>
      <c r="G1131" s="34" t="n"/>
      <c r="H1131" s="37" t="n"/>
      <c r="I1131" s="37" t="n"/>
      <c r="J1131" s="34" t="n"/>
      <c r="K1131" s="34" t="n"/>
      <c r="L1131" s="34" t="n"/>
      <c r="M1131" s="39" t="n"/>
      <c r="N1131" s="35" t="n"/>
      <c r="O1131" s="40" t="str">
        <f>IF($A1131="","",MONTH($A1131))</f>
        <v/>
      </c>
      <c r="P1131" s="40" t="str">
        <f>IF($A1131="","",YEAR($A1131))</f>
        <v/>
      </c>
      <c r="Q1131" s="41" t="str">
        <f>IF($A1131="","",DATE(P1131,O1131,1))</f>
        <v/>
      </c>
      <c r="R1131" s="36" t="str">
        <f>IF(OR($A1131="",$N1131=""),"",IF(AND($C1131&lt;&gt;"Transferência",N($I1131)&gt;1),$N1131/$I1131,$N1131))</f>
        <v/>
      </c>
      <c r="S1131" s="41" t="str">
        <f>IF(OR($A1131="",$F1131="",$C1131&lt;&gt;"Despesa"),"",IF(COUNTIF(Cartoes_Nome,$F1131)=0,"",DATE(P1131,O1131+IF(DAY($A1131)&gt;=INDEX(Cartoes_Fech,MATCH($F1131,Cartoes_Nome,0)),1,0),1)))</f>
        <v/>
      </c>
      <c r="T1131" s="42" t="str">
        <f>IF($A1131="","",IF(COUNTIFS(L_Data,$A1131,L_Desc,$B1131,L_Valor,$N1131,L_Tipo,$C1131)&gt;1,"⚠ Possível duplicidade",IF(OR(AND($C1131="Despesa",COUNTIF(CatD_Nome,$D1131)=0),AND($C1131="Receita",COUNTIF(CatR_Nome,$D1131)=0)),"⚠ Categoria não combina com o tipo",IF(OR($N1131="",$C1131=""),"⚠ Falta valor ou tipo",""))))</f>
        <v/>
      </c>
      <c r="U1131" s="40">
        <f>IF($A1131="",0,P1131*12+O1131)</f>
        <v>0</v>
      </c>
      <c r="V1131" s="40">
        <f>IF($A1131="",0,U1131+MAX(0,N($I1131)-MAX(N($H1131),1)))</f>
        <v>0</v>
      </c>
      <c r="W1131" s="40">
        <f>IF(S1131="",0,YEAR(S1131)*12+MONTH(S1131))</f>
        <v>0</v>
      </c>
      <c r="X1131" s="40">
        <f>IF(W1131=0,0,W1131+V1131-U1131)</f>
        <v>0</v>
      </c>
      <c r="Y1131" s="36">
        <f>IF(W1131=0,0,N(R1131)*MAX(0,X1131-MAX(W1131,YEAR(Cfg_Hoje)*12+MONTH(Cfg_Hoje)+IF(DAY(Cfg_Hoje)&gt;=INDEX(Cartoes_Fech,MATCH($F1131,Cartoes_Nome,0)),1,0))+1))</f>
        <v>0</v>
      </c>
      <c r="Z1131" s="40">
        <f>IF($A1131="",0,DAY($A1131))</f>
        <v>0</v>
      </c>
      <c r="AA1131" s="40">
        <f>IF($A1131="",0,WEEKDAY($A1131))</f>
        <v>0</v>
      </c>
      <c r="AB1131" s="36">
        <f>IF(AND($C1131="Despesa",U1131&gt;0,U1131&lt;=Sel_Idx,V1131&gt;=Sel_Idx),N(R1131)+ROW()/1000000000,0)</f>
        <v>0</v>
      </c>
      <c r="AC1131" s="40">
        <f>IF(AND($C1131="Despesa",U1131&gt;0,U1131&lt;=Sel_Idx,V1131&gt;=Sel_Idx),Z1131*10000+ROW(),0)</f>
        <v>0</v>
      </c>
      <c r="AD1131" s="40">
        <f>IF(AC1131=0,0,COUNTIFS(L_CalChave,"&gt;0",L_CalChave,"&lt;"&amp;AC1131)+1)</f>
        <v>0</v>
      </c>
    </row>
    <row r="1132">
      <c r="A1132" s="38" t="n"/>
      <c r="B1132" s="39" t="n"/>
      <c r="C1132" s="34" t="n"/>
      <c r="D1132" s="34" t="n"/>
      <c r="E1132" s="34" t="n"/>
      <c r="F1132" s="34" t="n"/>
      <c r="G1132" s="34" t="n"/>
      <c r="H1132" s="37" t="n"/>
      <c r="I1132" s="37" t="n"/>
      <c r="J1132" s="34" t="n"/>
      <c r="K1132" s="34" t="n"/>
      <c r="L1132" s="34" t="n"/>
      <c r="M1132" s="39" t="n"/>
      <c r="N1132" s="35" t="n"/>
      <c r="O1132" s="40" t="str">
        <f>IF($A1132="","",MONTH($A1132))</f>
        <v/>
      </c>
      <c r="P1132" s="40" t="str">
        <f>IF($A1132="","",YEAR($A1132))</f>
        <v/>
      </c>
      <c r="Q1132" s="41" t="str">
        <f>IF($A1132="","",DATE(P1132,O1132,1))</f>
        <v/>
      </c>
      <c r="R1132" s="36" t="str">
        <f>IF(OR($A1132="",$N1132=""),"",IF(AND($C1132&lt;&gt;"Transferência",N($I1132)&gt;1),$N1132/$I1132,$N1132))</f>
        <v/>
      </c>
      <c r="S1132" s="41" t="str">
        <f>IF(OR($A1132="",$F1132="",$C1132&lt;&gt;"Despesa"),"",IF(COUNTIF(Cartoes_Nome,$F1132)=0,"",DATE(P1132,O1132+IF(DAY($A1132)&gt;=INDEX(Cartoes_Fech,MATCH($F1132,Cartoes_Nome,0)),1,0),1)))</f>
        <v/>
      </c>
      <c r="T1132" s="42" t="str">
        <f>IF($A1132="","",IF(COUNTIFS(L_Data,$A1132,L_Desc,$B1132,L_Valor,$N1132,L_Tipo,$C1132)&gt;1,"⚠ Possível duplicidade",IF(OR(AND($C1132="Despesa",COUNTIF(CatD_Nome,$D1132)=0),AND($C1132="Receita",COUNTIF(CatR_Nome,$D1132)=0)),"⚠ Categoria não combina com o tipo",IF(OR($N1132="",$C1132=""),"⚠ Falta valor ou tipo",""))))</f>
        <v/>
      </c>
      <c r="U1132" s="40">
        <f>IF($A1132="",0,P1132*12+O1132)</f>
        <v>0</v>
      </c>
      <c r="V1132" s="40">
        <f>IF($A1132="",0,U1132+MAX(0,N($I1132)-MAX(N($H1132),1)))</f>
        <v>0</v>
      </c>
      <c r="W1132" s="40">
        <f>IF(S1132="",0,YEAR(S1132)*12+MONTH(S1132))</f>
        <v>0</v>
      </c>
      <c r="X1132" s="40">
        <f>IF(W1132=0,0,W1132+V1132-U1132)</f>
        <v>0</v>
      </c>
      <c r="Y1132" s="36">
        <f>IF(W1132=0,0,N(R1132)*MAX(0,X1132-MAX(W1132,YEAR(Cfg_Hoje)*12+MONTH(Cfg_Hoje)+IF(DAY(Cfg_Hoje)&gt;=INDEX(Cartoes_Fech,MATCH($F1132,Cartoes_Nome,0)),1,0))+1))</f>
        <v>0</v>
      </c>
      <c r="Z1132" s="40">
        <f>IF($A1132="",0,DAY($A1132))</f>
        <v>0</v>
      </c>
      <c r="AA1132" s="40">
        <f>IF($A1132="",0,WEEKDAY($A1132))</f>
        <v>0</v>
      </c>
      <c r="AB1132" s="36">
        <f>IF(AND($C1132="Despesa",U1132&gt;0,U1132&lt;=Sel_Idx,V1132&gt;=Sel_Idx),N(R1132)+ROW()/1000000000,0)</f>
        <v>0</v>
      </c>
      <c r="AC1132" s="40">
        <f>IF(AND($C1132="Despesa",U1132&gt;0,U1132&lt;=Sel_Idx,V1132&gt;=Sel_Idx),Z1132*10000+ROW(),0)</f>
        <v>0</v>
      </c>
      <c r="AD1132" s="40">
        <f>IF(AC1132=0,0,COUNTIFS(L_CalChave,"&gt;0",L_CalChave,"&lt;"&amp;AC1132)+1)</f>
        <v>0</v>
      </c>
    </row>
    <row r="1133">
      <c r="A1133" s="38" t="n"/>
      <c r="B1133" s="39" t="n"/>
      <c r="C1133" s="34" t="n"/>
      <c r="D1133" s="34" t="n"/>
      <c r="E1133" s="34" t="n"/>
      <c r="F1133" s="34" t="n"/>
      <c r="G1133" s="34" t="n"/>
      <c r="H1133" s="37" t="n"/>
      <c r="I1133" s="37" t="n"/>
      <c r="J1133" s="34" t="n"/>
      <c r="K1133" s="34" t="n"/>
      <c r="L1133" s="34" t="n"/>
      <c r="M1133" s="39" t="n"/>
      <c r="N1133" s="35" t="n"/>
      <c r="O1133" s="40" t="str">
        <f>IF($A1133="","",MONTH($A1133))</f>
        <v/>
      </c>
      <c r="P1133" s="40" t="str">
        <f>IF($A1133="","",YEAR($A1133))</f>
        <v/>
      </c>
      <c r="Q1133" s="41" t="str">
        <f>IF($A1133="","",DATE(P1133,O1133,1))</f>
        <v/>
      </c>
      <c r="R1133" s="36" t="str">
        <f>IF(OR($A1133="",$N1133=""),"",IF(AND($C1133&lt;&gt;"Transferência",N($I1133)&gt;1),$N1133/$I1133,$N1133))</f>
        <v/>
      </c>
      <c r="S1133" s="41" t="str">
        <f>IF(OR($A1133="",$F1133="",$C1133&lt;&gt;"Despesa"),"",IF(COUNTIF(Cartoes_Nome,$F1133)=0,"",DATE(P1133,O1133+IF(DAY($A1133)&gt;=INDEX(Cartoes_Fech,MATCH($F1133,Cartoes_Nome,0)),1,0),1)))</f>
        <v/>
      </c>
      <c r="T1133" s="42" t="str">
        <f>IF($A1133="","",IF(COUNTIFS(L_Data,$A1133,L_Desc,$B1133,L_Valor,$N1133,L_Tipo,$C1133)&gt;1,"⚠ Possível duplicidade",IF(OR(AND($C1133="Despesa",COUNTIF(CatD_Nome,$D1133)=0),AND($C1133="Receita",COUNTIF(CatR_Nome,$D1133)=0)),"⚠ Categoria não combina com o tipo",IF(OR($N1133="",$C1133=""),"⚠ Falta valor ou tipo",""))))</f>
        <v/>
      </c>
      <c r="U1133" s="40">
        <f>IF($A1133="",0,P1133*12+O1133)</f>
        <v>0</v>
      </c>
      <c r="V1133" s="40">
        <f>IF($A1133="",0,U1133+MAX(0,N($I1133)-MAX(N($H1133),1)))</f>
        <v>0</v>
      </c>
      <c r="W1133" s="40">
        <f>IF(S1133="",0,YEAR(S1133)*12+MONTH(S1133))</f>
        <v>0</v>
      </c>
      <c r="X1133" s="40">
        <f>IF(W1133=0,0,W1133+V1133-U1133)</f>
        <v>0</v>
      </c>
      <c r="Y1133" s="36">
        <f>IF(W1133=0,0,N(R1133)*MAX(0,X1133-MAX(W1133,YEAR(Cfg_Hoje)*12+MONTH(Cfg_Hoje)+IF(DAY(Cfg_Hoje)&gt;=INDEX(Cartoes_Fech,MATCH($F1133,Cartoes_Nome,0)),1,0))+1))</f>
        <v>0</v>
      </c>
      <c r="Z1133" s="40">
        <f>IF($A1133="",0,DAY($A1133))</f>
        <v>0</v>
      </c>
      <c r="AA1133" s="40">
        <f>IF($A1133="",0,WEEKDAY($A1133))</f>
        <v>0</v>
      </c>
      <c r="AB1133" s="36">
        <f>IF(AND($C1133="Despesa",U1133&gt;0,U1133&lt;=Sel_Idx,V1133&gt;=Sel_Idx),N(R1133)+ROW()/1000000000,0)</f>
        <v>0</v>
      </c>
      <c r="AC1133" s="40">
        <f>IF(AND($C1133="Despesa",U1133&gt;0,U1133&lt;=Sel_Idx,V1133&gt;=Sel_Idx),Z1133*10000+ROW(),0)</f>
        <v>0</v>
      </c>
      <c r="AD1133" s="40">
        <f>IF(AC1133=0,0,COUNTIFS(L_CalChave,"&gt;0",L_CalChave,"&lt;"&amp;AC1133)+1)</f>
        <v>0</v>
      </c>
    </row>
    <row r="1134">
      <c r="A1134" s="38" t="n"/>
      <c r="B1134" s="39" t="n"/>
      <c r="C1134" s="34" t="n"/>
      <c r="D1134" s="34" t="n"/>
      <c r="E1134" s="34" t="n"/>
      <c r="F1134" s="34" t="n"/>
      <c r="G1134" s="34" t="n"/>
      <c r="H1134" s="37" t="n"/>
      <c r="I1134" s="37" t="n"/>
      <c r="J1134" s="34" t="n"/>
      <c r="K1134" s="34" t="n"/>
      <c r="L1134" s="34" t="n"/>
      <c r="M1134" s="39" t="n"/>
      <c r="N1134" s="35" t="n"/>
      <c r="O1134" s="40" t="str">
        <f>IF($A1134="","",MONTH($A1134))</f>
        <v/>
      </c>
      <c r="P1134" s="40" t="str">
        <f>IF($A1134="","",YEAR($A1134))</f>
        <v/>
      </c>
      <c r="Q1134" s="41" t="str">
        <f>IF($A1134="","",DATE(P1134,O1134,1))</f>
        <v/>
      </c>
      <c r="R1134" s="36" t="str">
        <f>IF(OR($A1134="",$N1134=""),"",IF(AND($C1134&lt;&gt;"Transferência",N($I1134)&gt;1),$N1134/$I1134,$N1134))</f>
        <v/>
      </c>
      <c r="S1134" s="41" t="str">
        <f>IF(OR($A1134="",$F1134="",$C1134&lt;&gt;"Despesa"),"",IF(COUNTIF(Cartoes_Nome,$F1134)=0,"",DATE(P1134,O1134+IF(DAY($A1134)&gt;=INDEX(Cartoes_Fech,MATCH($F1134,Cartoes_Nome,0)),1,0),1)))</f>
        <v/>
      </c>
      <c r="T1134" s="42" t="str">
        <f>IF($A1134="","",IF(COUNTIFS(L_Data,$A1134,L_Desc,$B1134,L_Valor,$N1134,L_Tipo,$C1134)&gt;1,"⚠ Possível duplicidade",IF(OR(AND($C1134="Despesa",COUNTIF(CatD_Nome,$D1134)=0),AND($C1134="Receita",COUNTIF(CatR_Nome,$D1134)=0)),"⚠ Categoria não combina com o tipo",IF(OR($N1134="",$C1134=""),"⚠ Falta valor ou tipo",""))))</f>
        <v/>
      </c>
      <c r="U1134" s="40">
        <f>IF($A1134="",0,P1134*12+O1134)</f>
        <v>0</v>
      </c>
      <c r="V1134" s="40">
        <f>IF($A1134="",0,U1134+MAX(0,N($I1134)-MAX(N($H1134),1)))</f>
        <v>0</v>
      </c>
      <c r="W1134" s="40">
        <f>IF(S1134="",0,YEAR(S1134)*12+MONTH(S1134))</f>
        <v>0</v>
      </c>
      <c r="X1134" s="40">
        <f>IF(W1134=0,0,W1134+V1134-U1134)</f>
        <v>0</v>
      </c>
      <c r="Y1134" s="36">
        <f>IF(W1134=0,0,N(R1134)*MAX(0,X1134-MAX(W1134,YEAR(Cfg_Hoje)*12+MONTH(Cfg_Hoje)+IF(DAY(Cfg_Hoje)&gt;=INDEX(Cartoes_Fech,MATCH($F1134,Cartoes_Nome,0)),1,0))+1))</f>
        <v>0</v>
      </c>
      <c r="Z1134" s="40">
        <f>IF($A1134="",0,DAY($A1134))</f>
        <v>0</v>
      </c>
      <c r="AA1134" s="40">
        <f>IF($A1134="",0,WEEKDAY($A1134))</f>
        <v>0</v>
      </c>
      <c r="AB1134" s="36">
        <f>IF(AND($C1134="Despesa",U1134&gt;0,U1134&lt;=Sel_Idx,V1134&gt;=Sel_Idx),N(R1134)+ROW()/1000000000,0)</f>
        <v>0</v>
      </c>
      <c r="AC1134" s="40">
        <f>IF(AND($C1134="Despesa",U1134&gt;0,U1134&lt;=Sel_Idx,V1134&gt;=Sel_Idx),Z1134*10000+ROW(),0)</f>
        <v>0</v>
      </c>
      <c r="AD1134" s="40">
        <f>IF(AC1134=0,0,COUNTIFS(L_CalChave,"&gt;0",L_CalChave,"&lt;"&amp;AC1134)+1)</f>
        <v>0</v>
      </c>
    </row>
    <row r="1135">
      <c r="A1135" s="38" t="n"/>
      <c r="B1135" s="39" t="n"/>
      <c r="C1135" s="34" t="n"/>
      <c r="D1135" s="34" t="n"/>
      <c r="E1135" s="34" t="n"/>
      <c r="F1135" s="34" t="n"/>
      <c r="G1135" s="34" t="n"/>
      <c r="H1135" s="37" t="n"/>
      <c r="I1135" s="37" t="n"/>
      <c r="J1135" s="34" t="n"/>
      <c r="K1135" s="34" t="n"/>
      <c r="L1135" s="34" t="n"/>
      <c r="M1135" s="39" t="n"/>
      <c r="N1135" s="35" t="n"/>
      <c r="O1135" s="40" t="str">
        <f>IF($A1135="","",MONTH($A1135))</f>
        <v/>
      </c>
      <c r="P1135" s="40" t="str">
        <f>IF($A1135="","",YEAR($A1135))</f>
        <v/>
      </c>
      <c r="Q1135" s="41" t="str">
        <f>IF($A1135="","",DATE(P1135,O1135,1))</f>
        <v/>
      </c>
      <c r="R1135" s="36" t="str">
        <f>IF(OR($A1135="",$N1135=""),"",IF(AND($C1135&lt;&gt;"Transferência",N($I1135)&gt;1),$N1135/$I1135,$N1135))</f>
        <v/>
      </c>
      <c r="S1135" s="41" t="str">
        <f>IF(OR($A1135="",$F1135="",$C1135&lt;&gt;"Despesa"),"",IF(COUNTIF(Cartoes_Nome,$F1135)=0,"",DATE(P1135,O1135+IF(DAY($A1135)&gt;=INDEX(Cartoes_Fech,MATCH($F1135,Cartoes_Nome,0)),1,0),1)))</f>
        <v/>
      </c>
      <c r="T1135" s="42" t="str">
        <f>IF($A1135="","",IF(COUNTIFS(L_Data,$A1135,L_Desc,$B1135,L_Valor,$N1135,L_Tipo,$C1135)&gt;1,"⚠ Possível duplicidade",IF(OR(AND($C1135="Despesa",COUNTIF(CatD_Nome,$D1135)=0),AND($C1135="Receita",COUNTIF(CatR_Nome,$D1135)=0)),"⚠ Categoria não combina com o tipo",IF(OR($N1135="",$C1135=""),"⚠ Falta valor ou tipo",""))))</f>
        <v/>
      </c>
      <c r="U1135" s="40">
        <f>IF($A1135="",0,P1135*12+O1135)</f>
        <v>0</v>
      </c>
      <c r="V1135" s="40">
        <f>IF($A1135="",0,U1135+MAX(0,N($I1135)-MAX(N($H1135),1)))</f>
        <v>0</v>
      </c>
      <c r="W1135" s="40">
        <f>IF(S1135="",0,YEAR(S1135)*12+MONTH(S1135))</f>
        <v>0</v>
      </c>
      <c r="X1135" s="40">
        <f>IF(W1135=0,0,W1135+V1135-U1135)</f>
        <v>0</v>
      </c>
      <c r="Y1135" s="36">
        <f>IF(W1135=0,0,N(R1135)*MAX(0,X1135-MAX(W1135,YEAR(Cfg_Hoje)*12+MONTH(Cfg_Hoje)+IF(DAY(Cfg_Hoje)&gt;=INDEX(Cartoes_Fech,MATCH($F1135,Cartoes_Nome,0)),1,0))+1))</f>
        <v>0</v>
      </c>
      <c r="Z1135" s="40">
        <f>IF($A1135="",0,DAY($A1135))</f>
        <v>0</v>
      </c>
      <c r="AA1135" s="40">
        <f>IF($A1135="",0,WEEKDAY($A1135))</f>
        <v>0</v>
      </c>
      <c r="AB1135" s="36">
        <f>IF(AND($C1135="Despesa",U1135&gt;0,U1135&lt;=Sel_Idx,V1135&gt;=Sel_Idx),N(R1135)+ROW()/1000000000,0)</f>
        <v>0</v>
      </c>
      <c r="AC1135" s="40">
        <f>IF(AND($C1135="Despesa",U1135&gt;0,U1135&lt;=Sel_Idx,V1135&gt;=Sel_Idx),Z1135*10000+ROW(),0)</f>
        <v>0</v>
      </c>
      <c r="AD1135" s="40">
        <f>IF(AC1135=0,0,COUNTIFS(L_CalChave,"&gt;0",L_CalChave,"&lt;"&amp;AC1135)+1)</f>
        <v>0</v>
      </c>
    </row>
    <row r="1136">
      <c r="A1136" s="38" t="n"/>
      <c r="B1136" s="39" t="n"/>
      <c r="C1136" s="34" t="n"/>
      <c r="D1136" s="34" t="n"/>
      <c r="E1136" s="34" t="n"/>
      <c r="F1136" s="34" t="n"/>
      <c r="G1136" s="34" t="n"/>
      <c r="H1136" s="37" t="n"/>
      <c r="I1136" s="37" t="n"/>
      <c r="J1136" s="34" t="n"/>
      <c r="K1136" s="34" t="n"/>
      <c r="L1136" s="34" t="n"/>
      <c r="M1136" s="39" t="n"/>
      <c r="N1136" s="35" t="n"/>
      <c r="O1136" s="40" t="str">
        <f>IF($A1136="","",MONTH($A1136))</f>
        <v/>
      </c>
      <c r="P1136" s="40" t="str">
        <f>IF($A1136="","",YEAR($A1136))</f>
        <v/>
      </c>
      <c r="Q1136" s="41" t="str">
        <f>IF($A1136="","",DATE(P1136,O1136,1))</f>
        <v/>
      </c>
      <c r="R1136" s="36" t="str">
        <f>IF(OR($A1136="",$N1136=""),"",IF(AND($C1136&lt;&gt;"Transferência",N($I1136)&gt;1),$N1136/$I1136,$N1136))</f>
        <v/>
      </c>
      <c r="S1136" s="41" t="str">
        <f>IF(OR($A1136="",$F1136="",$C1136&lt;&gt;"Despesa"),"",IF(COUNTIF(Cartoes_Nome,$F1136)=0,"",DATE(P1136,O1136+IF(DAY($A1136)&gt;=INDEX(Cartoes_Fech,MATCH($F1136,Cartoes_Nome,0)),1,0),1)))</f>
        <v/>
      </c>
      <c r="T1136" s="42" t="str">
        <f>IF($A1136="","",IF(COUNTIFS(L_Data,$A1136,L_Desc,$B1136,L_Valor,$N1136,L_Tipo,$C1136)&gt;1,"⚠ Possível duplicidade",IF(OR(AND($C1136="Despesa",COUNTIF(CatD_Nome,$D1136)=0),AND($C1136="Receita",COUNTIF(CatR_Nome,$D1136)=0)),"⚠ Categoria não combina com o tipo",IF(OR($N1136="",$C1136=""),"⚠ Falta valor ou tipo",""))))</f>
        <v/>
      </c>
      <c r="U1136" s="40">
        <f>IF($A1136="",0,P1136*12+O1136)</f>
        <v>0</v>
      </c>
      <c r="V1136" s="40">
        <f>IF($A1136="",0,U1136+MAX(0,N($I1136)-MAX(N($H1136),1)))</f>
        <v>0</v>
      </c>
      <c r="W1136" s="40">
        <f>IF(S1136="",0,YEAR(S1136)*12+MONTH(S1136))</f>
        <v>0</v>
      </c>
      <c r="X1136" s="40">
        <f>IF(W1136=0,0,W1136+V1136-U1136)</f>
        <v>0</v>
      </c>
      <c r="Y1136" s="36">
        <f>IF(W1136=0,0,N(R1136)*MAX(0,X1136-MAX(W1136,YEAR(Cfg_Hoje)*12+MONTH(Cfg_Hoje)+IF(DAY(Cfg_Hoje)&gt;=INDEX(Cartoes_Fech,MATCH($F1136,Cartoes_Nome,0)),1,0))+1))</f>
        <v>0</v>
      </c>
      <c r="Z1136" s="40">
        <f>IF($A1136="",0,DAY($A1136))</f>
        <v>0</v>
      </c>
      <c r="AA1136" s="40">
        <f>IF($A1136="",0,WEEKDAY($A1136))</f>
        <v>0</v>
      </c>
      <c r="AB1136" s="36">
        <f>IF(AND($C1136="Despesa",U1136&gt;0,U1136&lt;=Sel_Idx,V1136&gt;=Sel_Idx),N(R1136)+ROW()/1000000000,0)</f>
        <v>0</v>
      </c>
      <c r="AC1136" s="40">
        <f>IF(AND($C1136="Despesa",U1136&gt;0,U1136&lt;=Sel_Idx,V1136&gt;=Sel_Idx),Z1136*10000+ROW(),0)</f>
        <v>0</v>
      </c>
      <c r="AD1136" s="40">
        <f>IF(AC1136=0,0,COUNTIFS(L_CalChave,"&gt;0",L_CalChave,"&lt;"&amp;AC1136)+1)</f>
        <v>0</v>
      </c>
    </row>
    <row r="1137">
      <c r="A1137" s="38" t="n"/>
      <c r="B1137" s="39" t="n"/>
      <c r="C1137" s="34" t="n"/>
      <c r="D1137" s="34" t="n"/>
      <c r="E1137" s="34" t="n"/>
      <c r="F1137" s="34" t="n"/>
      <c r="G1137" s="34" t="n"/>
      <c r="H1137" s="37" t="n"/>
      <c r="I1137" s="37" t="n"/>
      <c r="J1137" s="34" t="n"/>
      <c r="K1137" s="34" t="n"/>
      <c r="L1137" s="34" t="n"/>
      <c r="M1137" s="39" t="n"/>
      <c r="N1137" s="35" t="n"/>
      <c r="O1137" s="40" t="str">
        <f>IF($A1137="","",MONTH($A1137))</f>
        <v/>
      </c>
      <c r="P1137" s="40" t="str">
        <f>IF($A1137="","",YEAR($A1137))</f>
        <v/>
      </c>
      <c r="Q1137" s="41" t="str">
        <f>IF($A1137="","",DATE(P1137,O1137,1))</f>
        <v/>
      </c>
      <c r="R1137" s="36" t="str">
        <f>IF(OR($A1137="",$N1137=""),"",IF(AND($C1137&lt;&gt;"Transferência",N($I1137)&gt;1),$N1137/$I1137,$N1137))</f>
        <v/>
      </c>
      <c r="S1137" s="41" t="str">
        <f>IF(OR($A1137="",$F1137="",$C1137&lt;&gt;"Despesa"),"",IF(COUNTIF(Cartoes_Nome,$F1137)=0,"",DATE(P1137,O1137+IF(DAY($A1137)&gt;=INDEX(Cartoes_Fech,MATCH($F1137,Cartoes_Nome,0)),1,0),1)))</f>
        <v/>
      </c>
      <c r="T1137" s="42" t="str">
        <f>IF($A1137="","",IF(COUNTIFS(L_Data,$A1137,L_Desc,$B1137,L_Valor,$N1137,L_Tipo,$C1137)&gt;1,"⚠ Possível duplicidade",IF(OR(AND($C1137="Despesa",COUNTIF(CatD_Nome,$D1137)=0),AND($C1137="Receita",COUNTIF(CatR_Nome,$D1137)=0)),"⚠ Categoria não combina com o tipo",IF(OR($N1137="",$C1137=""),"⚠ Falta valor ou tipo",""))))</f>
        <v/>
      </c>
      <c r="U1137" s="40">
        <f>IF($A1137="",0,P1137*12+O1137)</f>
        <v>0</v>
      </c>
      <c r="V1137" s="40">
        <f>IF($A1137="",0,U1137+MAX(0,N($I1137)-MAX(N($H1137),1)))</f>
        <v>0</v>
      </c>
      <c r="W1137" s="40">
        <f>IF(S1137="",0,YEAR(S1137)*12+MONTH(S1137))</f>
        <v>0</v>
      </c>
      <c r="X1137" s="40">
        <f>IF(W1137=0,0,W1137+V1137-U1137)</f>
        <v>0</v>
      </c>
      <c r="Y1137" s="36">
        <f>IF(W1137=0,0,N(R1137)*MAX(0,X1137-MAX(W1137,YEAR(Cfg_Hoje)*12+MONTH(Cfg_Hoje)+IF(DAY(Cfg_Hoje)&gt;=INDEX(Cartoes_Fech,MATCH($F1137,Cartoes_Nome,0)),1,0))+1))</f>
        <v>0</v>
      </c>
      <c r="Z1137" s="40">
        <f>IF($A1137="",0,DAY($A1137))</f>
        <v>0</v>
      </c>
      <c r="AA1137" s="40">
        <f>IF($A1137="",0,WEEKDAY($A1137))</f>
        <v>0</v>
      </c>
      <c r="AB1137" s="36">
        <f>IF(AND($C1137="Despesa",U1137&gt;0,U1137&lt;=Sel_Idx,V1137&gt;=Sel_Idx),N(R1137)+ROW()/1000000000,0)</f>
        <v>0</v>
      </c>
      <c r="AC1137" s="40">
        <f>IF(AND($C1137="Despesa",U1137&gt;0,U1137&lt;=Sel_Idx,V1137&gt;=Sel_Idx),Z1137*10000+ROW(),0)</f>
        <v>0</v>
      </c>
      <c r="AD1137" s="40">
        <f>IF(AC1137=0,0,COUNTIFS(L_CalChave,"&gt;0",L_CalChave,"&lt;"&amp;AC1137)+1)</f>
        <v>0</v>
      </c>
    </row>
    <row r="1138">
      <c r="A1138" s="38" t="n"/>
      <c r="B1138" s="39" t="n"/>
      <c r="C1138" s="34" t="n"/>
      <c r="D1138" s="34" t="n"/>
      <c r="E1138" s="34" t="n"/>
      <c r="F1138" s="34" t="n"/>
      <c r="G1138" s="34" t="n"/>
      <c r="H1138" s="37" t="n"/>
      <c r="I1138" s="37" t="n"/>
      <c r="J1138" s="34" t="n"/>
      <c r="K1138" s="34" t="n"/>
      <c r="L1138" s="34" t="n"/>
      <c r="M1138" s="39" t="n"/>
      <c r="N1138" s="35" t="n"/>
      <c r="O1138" s="40" t="str">
        <f>IF($A1138="","",MONTH($A1138))</f>
        <v/>
      </c>
      <c r="P1138" s="40" t="str">
        <f>IF($A1138="","",YEAR($A1138))</f>
        <v/>
      </c>
      <c r="Q1138" s="41" t="str">
        <f>IF($A1138="","",DATE(P1138,O1138,1))</f>
        <v/>
      </c>
      <c r="R1138" s="36" t="str">
        <f>IF(OR($A1138="",$N1138=""),"",IF(AND($C1138&lt;&gt;"Transferência",N($I1138)&gt;1),$N1138/$I1138,$N1138))</f>
        <v/>
      </c>
      <c r="S1138" s="41" t="str">
        <f>IF(OR($A1138="",$F1138="",$C1138&lt;&gt;"Despesa"),"",IF(COUNTIF(Cartoes_Nome,$F1138)=0,"",DATE(P1138,O1138+IF(DAY($A1138)&gt;=INDEX(Cartoes_Fech,MATCH($F1138,Cartoes_Nome,0)),1,0),1)))</f>
        <v/>
      </c>
      <c r="T1138" s="42" t="str">
        <f>IF($A1138="","",IF(COUNTIFS(L_Data,$A1138,L_Desc,$B1138,L_Valor,$N1138,L_Tipo,$C1138)&gt;1,"⚠ Possível duplicidade",IF(OR(AND($C1138="Despesa",COUNTIF(CatD_Nome,$D1138)=0),AND($C1138="Receita",COUNTIF(CatR_Nome,$D1138)=0)),"⚠ Categoria não combina com o tipo",IF(OR($N1138="",$C1138=""),"⚠ Falta valor ou tipo",""))))</f>
        <v/>
      </c>
      <c r="U1138" s="40">
        <f>IF($A1138="",0,P1138*12+O1138)</f>
        <v>0</v>
      </c>
      <c r="V1138" s="40">
        <f>IF($A1138="",0,U1138+MAX(0,N($I1138)-MAX(N($H1138),1)))</f>
        <v>0</v>
      </c>
      <c r="W1138" s="40">
        <f>IF(S1138="",0,YEAR(S1138)*12+MONTH(S1138))</f>
        <v>0</v>
      </c>
      <c r="X1138" s="40">
        <f>IF(W1138=0,0,W1138+V1138-U1138)</f>
        <v>0</v>
      </c>
      <c r="Y1138" s="36">
        <f>IF(W1138=0,0,N(R1138)*MAX(0,X1138-MAX(W1138,YEAR(Cfg_Hoje)*12+MONTH(Cfg_Hoje)+IF(DAY(Cfg_Hoje)&gt;=INDEX(Cartoes_Fech,MATCH($F1138,Cartoes_Nome,0)),1,0))+1))</f>
        <v>0</v>
      </c>
      <c r="Z1138" s="40">
        <f>IF($A1138="",0,DAY($A1138))</f>
        <v>0</v>
      </c>
      <c r="AA1138" s="40">
        <f>IF($A1138="",0,WEEKDAY($A1138))</f>
        <v>0</v>
      </c>
      <c r="AB1138" s="36">
        <f>IF(AND($C1138="Despesa",U1138&gt;0,U1138&lt;=Sel_Idx,V1138&gt;=Sel_Idx),N(R1138)+ROW()/1000000000,0)</f>
        <v>0</v>
      </c>
      <c r="AC1138" s="40">
        <f>IF(AND($C1138="Despesa",U1138&gt;0,U1138&lt;=Sel_Idx,V1138&gt;=Sel_Idx),Z1138*10000+ROW(),0)</f>
        <v>0</v>
      </c>
      <c r="AD1138" s="40">
        <f>IF(AC1138=0,0,COUNTIFS(L_CalChave,"&gt;0",L_CalChave,"&lt;"&amp;AC1138)+1)</f>
        <v>0</v>
      </c>
    </row>
    <row r="1139">
      <c r="A1139" s="38" t="n"/>
      <c r="B1139" s="39" t="n"/>
      <c r="C1139" s="34" t="n"/>
      <c r="D1139" s="34" t="n"/>
      <c r="E1139" s="34" t="n"/>
      <c r="F1139" s="34" t="n"/>
      <c r="G1139" s="34" t="n"/>
      <c r="H1139" s="37" t="n"/>
      <c r="I1139" s="37" t="n"/>
      <c r="J1139" s="34" t="n"/>
      <c r="K1139" s="34" t="n"/>
      <c r="L1139" s="34" t="n"/>
      <c r="M1139" s="39" t="n"/>
      <c r="N1139" s="35" t="n"/>
      <c r="O1139" s="40" t="str">
        <f>IF($A1139="","",MONTH($A1139))</f>
        <v/>
      </c>
      <c r="P1139" s="40" t="str">
        <f>IF($A1139="","",YEAR($A1139))</f>
        <v/>
      </c>
      <c r="Q1139" s="41" t="str">
        <f>IF($A1139="","",DATE(P1139,O1139,1))</f>
        <v/>
      </c>
      <c r="R1139" s="36" t="str">
        <f>IF(OR($A1139="",$N1139=""),"",IF(AND($C1139&lt;&gt;"Transferência",N($I1139)&gt;1),$N1139/$I1139,$N1139))</f>
        <v/>
      </c>
      <c r="S1139" s="41" t="str">
        <f>IF(OR($A1139="",$F1139="",$C1139&lt;&gt;"Despesa"),"",IF(COUNTIF(Cartoes_Nome,$F1139)=0,"",DATE(P1139,O1139+IF(DAY($A1139)&gt;=INDEX(Cartoes_Fech,MATCH($F1139,Cartoes_Nome,0)),1,0),1)))</f>
        <v/>
      </c>
      <c r="T1139" s="42" t="str">
        <f>IF($A1139="","",IF(COUNTIFS(L_Data,$A1139,L_Desc,$B1139,L_Valor,$N1139,L_Tipo,$C1139)&gt;1,"⚠ Possível duplicidade",IF(OR(AND($C1139="Despesa",COUNTIF(CatD_Nome,$D1139)=0),AND($C1139="Receita",COUNTIF(CatR_Nome,$D1139)=0)),"⚠ Categoria não combina com o tipo",IF(OR($N1139="",$C1139=""),"⚠ Falta valor ou tipo",""))))</f>
        <v/>
      </c>
      <c r="U1139" s="40">
        <f>IF($A1139="",0,P1139*12+O1139)</f>
        <v>0</v>
      </c>
      <c r="V1139" s="40">
        <f>IF($A1139="",0,U1139+MAX(0,N($I1139)-MAX(N($H1139),1)))</f>
        <v>0</v>
      </c>
      <c r="W1139" s="40">
        <f>IF(S1139="",0,YEAR(S1139)*12+MONTH(S1139))</f>
        <v>0</v>
      </c>
      <c r="X1139" s="40">
        <f>IF(W1139=0,0,W1139+V1139-U1139)</f>
        <v>0</v>
      </c>
      <c r="Y1139" s="36">
        <f>IF(W1139=0,0,N(R1139)*MAX(0,X1139-MAX(W1139,YEAR(Cfg_Hoje)*12+MONTH(Cfg_Hoje)+IF(DAY(Cfg_Hoje)&gt;=INDEX(Cartoes_Fech,MATCH($F1139,Cartoes_Nome,0)),1,0))+1))</f>
        <v>0</v>
      </c>
      <c r="Z1139" s="40">
        <f>IF($A1139="",0,DAY($A1139))</f>
        <v>0</v>
      </c>
      <c r="AA1139" s="40">
        <f>IF($A1139="",0,WEEKDAY($A1139))</f>
        <v>0</v>
      </c>
      <c r="AB1139" s="36">
        <f>IF(AND($C1139="Despesa",U1139&gt;0,U1139&lt;=Sel_Idx,V1139&gt;=Sel_Idx),N(R1139)+ROW()/1000000000,0)</f>
        <v>0</v>
      </c>
      <c r="AC1139" s="40">
        <f>IF(AND($C1139="Despesa",U1139&gt;0,U1139&lt;=Sel_Idx,V1139&gt;=Sel_Idx),Z1139*10000+ROW(),0)</f>
        <v>0</v>
      </c>
      <c r="AD1139" s="40">
        <f>IF(AC1139=0,0,COUNTIFS(L_CalChave,"&gt;0",L_CalChave,"&lt;"&amp;AC1139)+1)</f>
        <v>0</v>
      </c>
    </row>
    <row r="1140">
      <c r="A1140" s="38" t="n"/>
      <c r="B1140" s="39" t="n"/>
      <c r="C1140" s="34" t="n"/>
      <c r="D1140" s="34" t="n"/>
      <c r="E1140" s="34" t="n"/>
      <c r="F1140" s="34" t="n"/>
      <c r="G1140" s="34" t="n"/>
      <c r="H1140" s="37" t="n"/>
      <c r="I1140" s="37" t="n"/>
      <c r="J1140" s="34" t="n"/>
      <c r="K1140" s="34" t="n"/>
      <c r="L1140" s="34" t="n"/>
      <c r="M1140" s="39" t="n"/>
      <c r="N1140" s="35" t="n"/>
      <c r="O1140" s="40" t="str">
        <f>IF($A1140="","",MONTH($A1140))</f>
        <v/>
      </c>
      <c r="P1140" s="40" t="str">
        <f>IF($A1140="","",YEAR($A1140))</f>
        <v/>
      </c>
      <c r="Q1140" s="41" t="str">
        <f>IF($A1140="","",DATE(P1140,O1140,1))</f>
        <v/>
      </c>
      <c r="R1140" s="36" t="str">
        <f>IF(OR($A1140="",$N1140=""),"",IF(AND($C1140&lt;&gt;"Transferência",N($I1140)&gt;1),$N1140/$I1140,$N1140))</f>
        <v/>
      </c>
      <c r="S1140" s="41" t="str">
        <f>IF(OR($A1140="",$F1140="",$C1140&lt;&gt;"Despesa"),"",IF(COUNTIF(Cartoes_Nome,$F1140)=0,"",DATE(P1140,O1140+IF(DAY($A1140)&gt;=INDEX(Cartoes_Fech,MATCH($F1140,Cartoes_Nome,0)),1,0),1)))</f>
        <v/>
      </c>
      <c r="T1140" s="42" t="str">
        <f>IF($A1140="","",IF(COUNTIFS(L_Data,$A1140,L_Desc,$B1140,L_Valor,$N1140,L_Tipo,$C1140)&gt;1,"⚠ Possível duplicidade",IF(OR(AND($C1140="Despesa",COUNTIF(CatD_Nome,$D1140)=0),AND($C1140="Receita",COUNTIF(CatR_Nome,$D1140)=0)),"⚠ Categoria não combina com o tipo",IF(OR($N1140="",$C1140=""),"⚠ Falta valor ou tipo",""))))</f>
        <v/>
      </c>
      <c r="U1140" s="40">
        <f>IF($A1140="",0,P1140*12+O1140)</f>
        <v>0</v>
      </c>
      <c r="V1140" s="40">
        <f>IF($A1140="",0,U1140+MAX(0,N($I1140)-MAX(N($H1140),1)))</f>
        <v>0</v>
      </c>
      <c r="W1140" s="40">
        <f>IF(S1140="",0,YEAR(S1140)*12+MONTH(S1140))</f>
        <v>0</v>
      </c>
      <c r="X1140" s="40">
        <f>IF(W1140=0,0,W1140+V1140-U1140)</f>
        <v>0</v>
      </c>
      <c r="Y1140" s="36">
        <f>IF(W1140=0,0,N(R1140)*MAX(0,X1140-MAX(W1140,YEAR(Cfg_Hoje)*12+MONTH(Cfg_Hoje)+IF(DAY(Cfg_Hoje)&gt;=INDEX(Cartoes_Fech,MATCH($F1140,Cartoes_Nome,0)),1,0))+1))</f>
        <v>0</v>
      </c>
      <c r="Z1140" s="40">
        <f>IF($A1140="",0,DAY($A1140))</f>
        <v>0</v>
      </c>
      <c r="AA1140" s="40">
        <f>IF($A1140="",0,WEEKDAY($A1140))</f>
        <v>0</v>
      </c>
      <c r="AB1140" s="36">
        <f>IF(AND($C1140="Despesa",U1140&gt;0,U1140&lt;=Sel_Idx,V1140&gt;=Sel_Idx),N(R1140)+ROW()/1000000000,0)</f>
        <v>0</v>
      </c>
      <c r="AC1140" s="40">
        <f>IF(AND($C1140="Despesa",U1140&gt;0,U1140&lt;=Sel_Idx,V1140&gt;=Sel_Idx),Z1140*10000+ROW(),0)</f>
        <v>0</v>
      </c>
      <c r="AD1140" s="40">
        <f>IF(AC1140=0,0,COUNTIFS(L_CalChave,"&gt;0",L_CalChave,"&lt;"&amp;AC1140)+1)</f>
        <v>0</v>
      </c>
    </row>
    <row r="1141">
      <c r="A1141" s="38" t="n"/>
      <c r="B1141" s="39" t="n"/>
      <c r="C1141" s="34" t="n"/>
      <c r="D1141" s="34" t="n"/>
      <c r="E1141" s="34" t="n"/>
      <c r="F1141" s="34" t="n"/>
      <c r="G1141" s="34" t="n"/>
      <c r="H1141" s="37" t="n"/>
      <c r="I1141" s="37" t="n"/>
      <c r="J1141" s="34" t="n"/>
      <c r="K1141" s="34" t="n"/>
      <c r="L1141" s="34" t="n"/>
      <c r="M1141" s="39" t="n"/>
      <c r="N1141" s="35" t="n"/>
      <c r="O1141" s="40" t="str">
        <f>IF($A1141="","",MONTH($A1141))</f>
        <v/>
      </c>
      <c r="P1141" s="40" t="str">
        <f>IF($A1141="","",YEAR($A1141))</f>
        <v/>
      </c>
      <c r="Q1141" s="41" t="str">
        <f>IF($A1141="","",DATE(P1141,O1141,1))</f>
        <v/>
      </c>
      <c r="R1141" s="36" t="str">
        <f>IF(OR($A1141="",$N1141=""),"",IF(AND($C1141&lt;&gt;"Transferência",N($I1141)&gt;1),$N1141/$I1141,$N1141))</f>
        <v/>
      </c>
      <c r="S1141" s="41" t="str">
        <f>IF(OR($A1141="",$F1141="",$C1141&lt;&gt;"Despesa"),"",IF(COUNTIF(Cartoes_Nome,$F1141)=0,"",DATE(P1141,O1141+IF(DAY($A1141)&gt;=INDEX(Cartoes_Fech,MATCH($F1141,Cartoes_Nome,0)),1,0),1)))</f>
        <v/>
      </c>
      <c r="T1141" s="42" t="str">
        <f>IF($A1141="","",IF(COUNTIFS(L_Data,$A1141,L_Desc,$B1141,L_Valor,$N1141,L_Tipo,$C1141)&gt;1,"⚠ Possível duplicidade",IF(OR(AND($C1141="Despesa",COUNTIF(CatD_Nome,$D1141)=0),AND($C1141="Receita",COUNTIF(CatR_Nome,$D1141)=0)),"⚠ Categoria não combina com o tipo",IF(OR($N1141="",$C1141=""),"⚠ Falta valor ou tipo",""))))</f>
        <v/>
      </c>
      <c r="U1141" s="40">
        <f>IF($A1141="",0,P1141*12+O1141)</f>
        <v>0</v>
      </c>
      <c r="V1141" s="40">
        <f>IF($A1141="",0,U1141+MAX(0,N($I1141)-MAX(N($H1141),1)))</f>
        <v>0</v>
      </c>
      <c r="W1141" s="40">
        <f>IF(S1141="",0,YEAR(S1141)*12+MONTH(S1141))</f>
        <v>0</v>
      </c>
      <c r="X1141" s="40">
        <f>IF(W1141=0,0,W1141+V1141-U1141)</f>
        <v>0</v>
      </c>
      <c r="Y1141" s="36">
        <f>IF(W1141=0,0,N(R1141)*MAX(0,X1141-MAX(W1141,YEAR(Cfg_Hoje)*12+MONTH(Cfg_Hoje)+IF(DAY(Cfg_Hoje)&gt;=INDEX(Cartoes_Fech,MATCH($F1141,Cartoes_Nome,0)),1,0))+1))</f>
        <v>0</v>
      </c>
      <c r="Z1141" s="40">
        <f>IF($A1141="",0,DAY($A1141))</f>
        <v>0</v>
      </c>
      <c r="AA1141" s="40">
        <f>IF($A1141="",0,WEEKDAY($A1141))</f>
        <v>0</v>
      </c>
      <c r="AB1141" s="36">
        <f>IF(AND($C1141="Despesa",U1141&gt;0,U1141&lt;=Sel_Idx,V1141&gt;=Sel_Idx),N(R1141)+ROW()/1000000000,0)</f>
        <v>0</v>
      </c>
      <c r="AC1141" s="40">
        <f>IF(AND($C1141="Despesa",U1141&gt;0,U1141&lt;=Sel_Idx,V1141&gt;=Sel_Idx),Z1141*10000+ROW(),0)</f>
        <v>0</v>
      </c>
      <c r="AD1141" s="40">
        <f>IF(AC1141=0,0,COUNTIFS(L_CalChave,"&gt;0",L_CalChave,"&lt;"&amp;AC1141)+1)</f>
        <v>0</v>
      </c>
    </row>
    <row r="1142">
      <c r="A1142" s="38" t="n"/>
      <c r="B1142" s="39" t="n"/>
      <c r="C1142" s="34" t="n"/>
      <c r="D1142" s="34" t="n"/>
      <c r="E1142" s="34" t="n"/>
      <c r="F1142" s="34" t="n"/>
      <c r="G1142" s="34" t="n"/>
      <c r="H1142" s="37" t="n"/>
      <c r="I1142" s="37" t="n"/>
      <c r="J1142" s="34" t="n"/>
      <c r="K1142" s="34" t="n"/>
      <c r="L1142" s="34" t="n"/>
      <c r="M1142" s="39" t="n"/>
      <c r="N1142" s="35" t="n"/>
      <c r="O1142" s="40" t="str">
        <f>IF($A1142="","",MONTH($A1142))</f>
        <v/>
      </c>
      <c r="P1142" s="40" t="str">
        <f>IF($A1142="","",YEAR($A1142))</f>
        <v/>
      </c>
      <c r="Q1142" s="41" t="str">
        <f>IF($A1142="","",DATE(P1142,O1142,1))</f>
        <v/>
      </c>
      <c r="R1142" s="36" t="str">
        <f>IF(OR($A1142="",$N1142=""),"",IF(AND($C1142&lt;&gt;"Transferência",N($I1142)&gt;1),$N1142/$I1142,$N1142))</f>
        <v/>
      </c>
      <c r="S1142" s="41" t="str">
        <f>IF(OR($A1142="",$F1142="",$C1142&lt;&gt;"Despesa"),"",IF(COUNTIF(Cartoes_Nome,$F1142)=0,"",DATE(P1142,O1142+IF(DAY($A1142)&gt;=INDEX(Cartoes_Fech,MATCH($F1142,Cartoes_Nome,0)),1,0),1)))</f>
        <v/>
      </c>
      <c r="T1142" s="42" t="str">
        <f>IF($A1142="","",IF(COUNTIFS(L_Data,$A1142,L_Desc,$B1142,L_Valor,$N1142,L_Tipo,$C1142)&gt;1,"⚠ Possível duplicidade",IF(OR(AND($C1142="Despesa",COUNTIF(CatD_Nome,$D1142)=0),AND($C1142="Receita",COUNTIF(CatR_Nome,$D1142)=0)),"⚠ Categoria não combina com o tipo",IF(OR($N1142="",$C1142=""),"⚠ Falta valor ou tipo",""))))</f>
        <v/>
      </c>
      <c r="U1142" s="40">
        <f>IF($A1142="",0,P1142*12+O1142)</f>
        <v>0</v>
      </c>
      <c r="V1142" s="40">
        <f>IF($A1142="",0,U1142+MAX(0,N($I1142)-MAX(N($H1142),1)))</f>
        <v>0</v>
      </c>
      <c r="W1142" s="40">
        <f>IF(S1142="",0,YEAR(S1142)*12+MONTH(S1142))</f>
        <v>0</v>
      </c>
      <c r="X1142" s="40">
        <f>IF(W1142=0,0,W1142+V1142-U1142)</f>
        <v>0</v>
      </c>
      <c r="Y1142" s="36">
        <f>IF(W1142=0,0,N(R1142)*MAX(0,X1142-MAX(W1142,YEAR(Cfg_Hoje)*12+MONTH(Cfg_Hoje)+IF(DAY(Cfg_Hoje)&gt;=INDEX(Cartoes_Fech,MATCH($F1142,Cartoes_Nome,0)),1,0))+1))</f>
        <v>0</v>
      </c>
      <c r="Z1142" s="40">
        <f>IF($A1142="",0,DAY($A1142))</f>
        <v>0</v>
      </c>
      <c r="AA1142" s="40">
        <f>IF($A1142="",0,WEEKDAY($A1142))</f>
        <v>0</v>
      </c>
      <c r="AB1142" s="36">
        <f>IF(AND($C1142="Despesa",U1142&gt;0,U1142&lt;=Sel_Idx,V1142&gt;=Sel_Idx),N(R1142)+ROW()/1000000000,0)</f>
        <v>0</v>
      </c>
      <c r="AC1142" s="40">
        <f>IF(AND($C1142="Despesa",U1142&gt;0,U1142&lt;=Sel_Idx,V1142&gt;=Sel_Idx),Z1142*10000+ROW(),0)</f>
        <v>0</v>
      </c>
      <c r="AD1142" s="40">
        <f>IF(AC1142=0,0,COUNTIFS(L_CalChave,"&gt;0",L_CalChave,"&lt;"&amp;AC1142)+1)</f>
        <v>0</v>
      </c>
    </row>
    <row r="1143">
      <c r="A1143" s="38" t="n"/>
      <c r="B1143" s="39" t="n"/>
      <c r="C1143" s="34" t="n"/>
      <c r="D1143" s="34" t="n"/>
      <c r="E1143" s="34" t="n"/>
      <c r="F1143" s="34" t="n"/>
      <c r="G1143" s="34" t="n"/>
      <c r="H1143" s="37" t="n"/>
      <c r="I1143" s="37" t="n"/>
      <c r="J1143" s="34" t="n"/>
      <c r="K1143" s="34" t="n"/>
      <c r="L1143" s="34" t="n"/>
      <c r="M1143" s="39" t="n"/>
      <c r="N1143" s="35" t="n"/>
      <c r="O1143" s="40" t="str">
        <f>IF($A1143="","",MONTH($A1143))</f>
        <v/>
      </c>
      <c r="P1143" s="40" t="str">
        <f>IF($A1143="","",YEAR($A1143))</f>
        <v/>
      </c>
      <c r="Q1143" s="41" t="str">
        <f>IF($A1143="","",DATE(P1143,O1143,1))</f>
        <v/>
      </c>
      <c r="R1143" s="36" t="str">
        <f>IF(OR($A1143="",$N1143=""),"",IF(AND($C1143&lt;&gt;"Transferência",N($I1143)&gt;1),$N1143/$I1143,$N1143))</f>
        <v/>
      </c>
      <c r="S1143" s="41" t="str">
        <f>IF(OR($A1143="",$F1143="",$C1143&lt;&gt;"Despesa"),"",IF(COUNTIF(Cartoes_Nome,$F1143)=0,"",DATE(P1143,O1143+IF(DAY($A1143)&gt;=INDEX(Cartoes_Fech,MATCH($F1143,Cartoes_Nome,0)),1,0),1)))</f>
        <v/>
      </c>
      <c r="T1143" s="42" t="str">
        <f>IF($A1143="","",IF(COUNTIFS(L_Data,$A1143,L_Desc,$B1143,L_Valor,$N1143,L_Tipo,$C1143)&gt;1,"⚠ Possível duplicidade",IF(OR(AND($C1143="Despesa",COUNTIF(CatD_Nome,$D1143)=0),AND($C1143="Receita",COUNTIF(CatR_Nome,$D1143)=0)),"⚠ Categoria não combina com o tipo",IF(OR($N1143="",$C1143=""),"⚠ Falta valor ou tipo",""))))</f>
        <v/>
      </c>
      <c r="U1143" s="40">
        <f>IF($A1143="",0,P1143*12+O1143)</f>
        <v>0</v>
      </c>
      <c r="V1143" s="40">
        <f>IF($A1143="",0,U1143+MAX(0,N($I1143)-MAX(N($H1143),1)))</f>
        <v>0</v>
      </c>
      <c r="W1143" s="40">
        <f>IF(S1143="",0,YEAR(S1143)*12+MONTH(S1143))</f>
        <v>0</v>
      </c>
      <c r="X1143" s="40">
        <f>IF(W1143=0,0,W1143+V1143-U1143)</f>
        <v>0</v>
      </c>
      <c r="Y1143" s="36">
        <f>IF(W1143=0,0,N(R1143)*MAX(0,X1143-MAX(W1143,YEAR(Cfg_Hoje)*12+MONTH(Cfg_Hoje)+IF(DAY(Cfg_Hoje)&gt;=INDEX(Cartoes_Fech,MATCH($F1143,Cartoes_Nome,0)),1,0))+1))</f>
        <v>0</v>
      </c>
      <c r="Z1143" s="40">
        <f>IF($A1143="",0,DAY($A1143))</f>
        <v>0</v>
      </c>
      <c r="AA1143" s="40">
        <f>IF($A1143="",0,WEEKDAY($A1143))</f>
        <v>0</v>
      </c>
      <c r="AB1143" s="36">
        <f>IF(AND($C1143="Despesa",U1143&gt;0,U1143&lt;=Sel_Idx,V1143&gt;=Sel_Idx),N(R1143)+ROW()/1000000000,0)</f>
        <v>0</v>
      </c>
      <c r="AC1143" s="40">
        <f>IF(AND($C1143="Despesa",U1143&gt;0,U1143&lt;=Sel_Idx,V1143&gt;=Sel_Idx),Z1143*10000+ROW(),0)</f>
        <v>0</v>
      </c>
      <c r="AD1143" s="40">
        <f>IF(AC1143=0,0,COUNTIFS(L_CalChave,"&gt;0",L_CalChave,"&lt;"&amp;AC1143)+1)</f>
        <v>0</v>
      </c>
    </row>
    <row r="1144">
      <c r="A1144" s="38" t="n"/>
      <c r="B1144" s="39" t="n"/>
      <c r="C1144" s="34" t="n"/>
      <c r="D1144" s="34" t="n"/>
      <c r="E1144" s="34" t="n"/>
      <c r="F1144" s="34" t="n"/>
      <c r="G1144" s="34" t="n"/>
      <c r="H1144" s="37" t="n"/>
      <c r="I1144" s="37" t="n"/>
      <c r="J1144" s="34" t="n"/>
      <c r="K1144" s="34" t="n"/>
      <c r="L1144" s="34" t="n"/>
      <c r="M1144" s="39" t="n"/>
      <c r="N1144" s="35" t="n"/>
      <c r="O1144" s="40" t="str">
        <f>IF($A1144="","",MONTH($A1144))</f>
        <v/>
      </c>
      <c r="P1144" s="40" t="str">
        <f>IF($A1144="","",YEAR($A1144))</f>
        <v/>
      </c>
      <c r="Q1144" s="41" t="str">
        <f>IF($A1144="","",DATE(P1144,O1144,1))</f>
        <v/>
      </c>
      <c r="R1144" s="36" t="str">
        <f>IF(OR($A1144="",$N1144=""),"",IF(AND($C1144&lt;&gt;"Transferência",N($I1144)&gt;1),$N1144/$I1144,$N1144))</f>
        <v/>
      </c>
      <c r="S1144" s="41" t="str">
        <f>IF(OR($A1144="",$F1144="",$C1144&lt;&gt;"Despesa"),"",IF(COUNTIF(Cartoes_Nome,$F1144)=0,"",DATE(P1144,O1144+IF(DAY($A1144)&gt;=INDEX(Cartoes_Fech,MATCH($F1144,Cartoes_Nome,0)),1,0),1)))</f>
        <v/>
      </c>
      <c r="T1144" s="42" t="str">
        <f>IF($A1144="","",IF(COUNTIFS(L_Data,$A1144,L_Desc,$B1144,L_Valor,$N1144,L_Tipo,$C1144)&gt;1,"⚠ Possível duplicidade",IF(OR(AND($C1144="Despesa",COUNTIF(CatD_Nome,$D1144)=0),AND($C1144="Receita",COUNTIF(CatR_Nome,$D1144)=0)),"⚠ Categoria não combina com o tipo",IF(OR($N1144="",$C1144=""),"⚠ Falta valor ou tipo",""))))</f>
        <v/>
      </c>
      <c r="U1144" s="40">
        <f>IF($A1144="",0,P1144*12+O1144)</f>
        <v>0</v>
      </c>
      <c r="V1144" s="40">
        <f>IF($A1144="",0,U1144+MAX(0,N($I1144)-MAX(N($H1144),1)))</f>
        <v>0</v>
      </c>
      <c r="W1144" s="40">
        <f>IF(S1144="",0,YEAR(S1144)*12+MONTH(S1144))</f>
        <v>0</v>
      </c>
      <c r="X1144" s="40">
        <f>IF(W1144=0,0,W1144+V1144-U1144)</f>
        <v>0</v>
      </c>
      <c r="Y1144" s="36">
        <f>IF(W1144=0,0,N(R1144)*MAX(0,X1144-MAX(W1144,YEAR(Cfg_Hoje)*12+MONTH(Cfg_Hoje)+IF(DAY(Cfg_Hoje)&gt;=INDEX(Cartoes_Fech,MATCH($F1144,Cartoes_Nome,0)),1,0))+1))</f>
        <v>0</v>
      </c>
      <c r="Z1144" s="40">
        <f>IF($A1144="",0,DAY($A1144))</f>
        <v>0</v>
      </c>
      <c r="AA1144" s="40">
        <f>IF($A1144="",0,WEEKDAY($A1144))</f>
        <v>0</v>
      </c>
      <c r="AB1144" s="36">
        <f>IF(AND($C1144="Despesa",U1144&gt;0,U1144&lt;=Sel_Idx,V1144&gt;=Sel_Idx),N(R1144)+ROW()/1000000000,0)</f>
        <v>0</v>
      </c>
      <c r="AC1144" s="40">
        <f>IF(AND($C1144="Despesa",U1144&gt;0,U1144&lt;=Sel_Idx,V1144&gt;=Sel_Idx),Z1144*10000+ROW(),0)</f>
        <v>0</v>
      </c>
      <c r="AD1144" s="40">
        <f>IF(AC1144=0,0,COUNTIFS(L_CalChave,"&gt;0",L_CalChave,"&lt;"&amp;AC1144)+1)</f>
        <v>0</v>
      </c>
    </row>
    <row r="1145">
      <c r="A1145" s="38" t="n"/>
      <c r="B1145" s="39" t="n"/>
      <c r="C1145" s="34" t="n"/>
      <c r="D1145" s="34" t="n"/>
      <c r="E1145" s="34" t="n"/>
      <c r="F1145" s="34" t="n"/>
      <c r="G1145" s="34" t="n"/>
      <c r="H1145" s="37" t="n"/>
      <c r="I1145" s="37" t="n"/>
      <c r="J1145" s="34" t="n"/>
      <c r="K1145" s="34" t="n"/>
      <c r="L1145" s="34" t="n"/>
      <c r="M1145" s="39" t="n"/>
      <c r="N1145" s="35" t="n"/>
      <c r="O1145" s="40" t="str">
        <f>IF($A1145="","",MONTH($A1145))</f>
        <v/>
      </c>
      <c r="P1145" s="40" t="str">
        <f>IF($A1145="","",YEAR($A1145))</f>
        <v/>
      </c>
      <c r="Q1145" s="41" t="str">
        <f>IF($A1145="","",DATE(P1145,O1145,1))</f>
        <v/>
      </c>
      <c r="R1145" s="36" t="str">
        <f>IF(OR($A1145="",$N1145=""),"",IF(AND($C1145&lt;&gt;"Transferência",N($I1145)&gt;1),$N1145/$I1145,$N1145))</f>
        <v/>
      </c>
      <c r="S1145" s="41" t="str">
        <f>IF(OR($A1145="",$F1145="",$C1145&lt;&gt;"Despesa"),"",IF(COUNTIF(Cartoes_Nome,$F1145)=0,"",DATE(P1145,O1145+IF(DAY($A1145)&gt;=INDEX(Cartoes_Fech,MATCH($F1145,Cartoes_Nome,0)),1,0),1)))</f>
        <v/>
      </c>
      <c r="T1145" s="42" t="str">
        <f>IF($A1145="","",IF(COUNTIFS(L_Data,$A1145,L_Desc,$B1145,L_Valor,$N1145,L_Tipo,$C1145)&gt;1,"⚠ Possível duplicidade",IF(OR(AND($C1145="Despesa",COUNTIF(CatD_Nome,$D1145)=0),AND($C1145="Receita",COUNTIF(CatR_Nome,$D1145)=0)),"⚠ Categoria não combina com o tipo",IF(OR($N1145="",$C1145=""),"⚠ Falta valor ou tipo",""))))</f>
        <v/>
      </c>
      <c r="U1145" s="40">
        <f>IF($A1145="",0,P1145*12+O1145)</f>
        <v>0</v>
      </c>
      <c r="V1145" s="40">
        <f>IF($A1145="",0,U1145+MAX(0,N($I1145)-MAX(N($H1145),1)))</f>
        <v>0</v>
      </c>
      <c r="W1145" s="40">
        <f>IF(S1145="",0,YEAR(S1145)*12+MONTH(S1145))</f>
        <v>0</v>
      </c>
      <c r="X1145" s="40">
        <f>IF(W1145=0,0,W1145+V1145-U1145)</f>
        <v>0</v>
      </c>
      <c r="Y1145" s="36">
        <f>IF(W1145=0,0,N(R1145)*MAX(0,X1145-MAX(W1145,YEAR(Cfg_Hoje)*12+MONTH(Cfg_Hoje)+IF(DAY(Cfg_Hoje)&gt;=INDEX(Cartoes_Fech,MATCH($F1145,Cartoes_Nome,0)),1,0))+1))</f>
        <v>0</v>
      </c>
      <c r="Z1145" s="40">
        <f>IF($A1145="",0,DAY($A1145))</f>
        <v>0</v>
      </c>
      <c r="AA1145" s="40">
        <f>IF($A1145="",0,WEEKDAY($A1145))</f>
        <v>0</v>
      </c>
      <c r="AB1145" s="36">
        <f>IF(AND($C1145="Despesa",U1145&gt;0,U1145&lt;=Sel_Idx,V1145&gt;=Sel_Idx),N(R1145)+ROW()/1000000000,0)</f>
        <v>0</v>
      </c>
      <c r="AC1145" s="40">
        <f>IF(AND($C1145="Despesa",U1145&gt;0,U1145&lt;=Sel_Idx,V1145&gt;=Sel_Idx),Z1145*10000+ROW(),0)</f>
        <v>0</v>
      </c>
      <c r="AD1145" s="40">
        <f>IF(AC1145=0,0,COUNTIFS(L_CalChave,"&gt;0",L_CalChave,"&lt;"&amp;AC1145)+1)</f>
        <v>0</v>
      </c>
    </row>
    <row r="1146">
      <c r="A1146" s="38" t="n"/>
      <c r="B1146" s="39" t="n"/>
      <c r="C1146" s="34" t="n"/>
      <c r="D1146" s="34" t="n"/>
      <c r="E1146" s="34" t="n"/>
      <c r="F1146" s="34" t="n"/>
      <c r="G1146" s="34" t="n"/>
      <c r="H1146" s="37" t="n"/>
      <c r="I1146" s="37" t="n"/>
      <c r="J1146" s="34" t="n"/>
      <c r="K1146" s="34" t="n"/>
      <c r="L1146" s="34" t="n"/>
      <c r="M1146" s="39" t="n"/>
      <c r="N1146" s="35" t="n"/>
      <c r="O1146" s="40" t="str">
        <f>IF($A1146="","",MONTH($A1146))</f>
        <v/>
      </c>
      <c r="P1146" s="40" t="str">
        <f>IF($A1146="","",YEAR($A1146))</f>
        <v/>
      </c>
      <c r="Q1146" s="41" t="str">
        <f>IF($A1146="","",DATE(P1146,O1146,1))</f>
        <v/>
      </c>
      <c r="R1146" s="36" t="str">
        <f>IF(OR($A1146="",$N1146=""),"",IF(AND($C1146&lt;&gt;"Transferência",N($I1146)&gt;1),$N1146/$I1146,$N1146))</f>
        <v/>
      </c>
      <c r="S1146" s="41" t="str">
        <f>IF(OR($A1146="",$F1146="",$C1146&lt;&gt;"Despesa"),"",IF(COUNTIF(Cartoes_Nome,$F1146)=0,"",DATE(P1146,O1146+IF(DAY($A1146)&gt;=INDEX(Cartoes_Fech,MATCH($F1146,Cartoes_Nome,0)),1,0),1)))</f>
        <v/>
      </c>
      <c r="T1146" s="42" t="str">
        <f>IF($A1146="","",IF(COUNTIFS(L_Data,$A1146,L_Desc,$B1146,L_Valor,$N1146,L_Tipo,$C1146)&gt;1,"⚠ Possível duplicidade",IF(OR(AND($C1146="Despesa",COUNTIF(CatD_Nome,$D1146)=0),AND($C1146="Receita",COUNTIF(CatR_Nome,$D1146)=0)),"⚠ Categoria não combina com o tipo",IF(OR($N1146="",$C1146=""),"⚠ Falta valor ou tipo",""))))</f>
        <v/>
      </c>
      <c r="U1146" s="40">
        <f>IF($A1146="",0,P1146*12+O1146)</f>
        <v>0</v>
      </c>
      <c r="V1146" s="40">
        <f>IF($A1146="",0,U1146+MAX(0,N($I1146)-MAX(N($H1146),1)))</f>
        <v>0</v>
      </c>
      <c r="W1146" s="40">
        <f>IF(S1146="",0,YEAR(S1146)*12+MONTH(S1146))</f>
        <v>0</v>
      </c>
      <c r="X1146" s="40">
        <f>IF(W1146=0,0,W1146+V1146-U1146)</f>
        <v>0</v>
      </c>
      <c r="Y1146" s="36">
        <f>IF(W1146=0,0,N(R1146)*MAX(0,X1146-MAX(W1146,YEAR(Cfg_Hoje)*12+MONTH(Cfg_Hoje)+IF(DAY(Cfg_Hoje)&gt;=INDEX(Cartoes_Fech,MATCH($F1146,Cartoes_Nome,0)),1,0))+1))</f>
        <v>0</v>
      </c>
      <c r="Z1146" s="40">
        <f>IF($A1146="",0,DAY($A1146))</f>
        <v>0</v>
      </c>
      <c r="AA1146" s="40">
        <f>IF($A1146="",0,WEEKDAY($A1146))</f>
        <v>0</v>
      </c>
      <c r="AB1146" s="36">
        <f>IF(AND($C1146="Despesa",U1146&gt;0,U1146&lt;=Sel_Idx,V1146&gt;=Sel_Idx),N(R1146)+ROW()/1000000000,0)</f>
        <v>0</v>
      </c>
      <c r="AC1146" s="40">
        <f>IF(AND($C1146="Despesa",U1146&gt;0,U1146&lt;=Sel_Idx,V1146&gt;=Sel_Idx),Z1146*10000+ROW(),0)</f>
        <v>0</v>
      </c>
      <c r="AD1146" s="40">
        <f>IF(AC1146=0,0,COUNTIFS(L_CalChave,"&gt;0",L_CalChave,"&lt;"&amp;AC1146)+1)</f>
        <v>0</v>
      </c>
    </row>
    <row r="1147">
      <c r="A1147" s="38" t="n"/>
      <c r="B1147" s="39" t="n"/>
      <c r="C1147" s="34" t="n"/>
      <c r="D1147" s="34" t="n"/>
      <c r="E1147" s="34" t="n"/>
      <c r="F1147" s="34" t="n"/>
      <c r="G1147" s="34" t="n"/>
      <c r="H1147" s="37" t="n"/>
      <c r="I1147" s="37" t="n"/>
      <c r="J1147" s="34" t="n"/>
      <c r="K1147" s="34" t="n"/>
      <c r="L1147" s="34" t="n"/>
      <c r="M1147" s="39" t="n"/>
      <c r="N1147" s="35" t="n"/>
      <c r="O1147" s="40" t="str">
        <f>IF($A1147="","",MONTH($A1147))</f>
        <v/>
      </c>
      <c r="P1147" s="40" t="str">
        <f>IF($A1147="","",YEAR($A1147))</f>
        <v/>
      </c>
      <c r="Q1147" s="41" t="str">
        <f>IF($A1147="","",DATE(P1147,O1147,1))</f>
        <v/>
      </c>
      <c r="R1147" s="36" t="str">
        <f>IF(OR($A1147="",$N1147=""),"",IF(AND($C1147&lt;&gt;"Transferência",N($I1147)&gt;1),$N1147/$I1147,$N1147))</f>
        <v/>
      </c>
      <c r="S1147" s="41" t="str">
        <f>IF(OR($A1147="",$F1147="",$C1147&lt;&gt;"Despesa"),"",IF(COUNTIF(Cartoes_Nome,$F1147)=0,"",DATE(P1147,O1147+IF(DAY($A1147)&gt;=INDEX(Cartoes_Fech,MATCH($F1147,Cartoes_Nome,0)),1,0),1)))</f>
        <v/>
      </c>
      <c r="T1147" s="42" t="str">
        <f>IF($A1147="","",IF(COUNTIFS(L_Data,$A1147,L_Desc,$B1147,L_Valor,$N1147,L_Tipo,$C1147)&gt;1,"⚠ Possível duplicidade",IF(OR(AND($C1147="Despesa",COUNTIF(CatD_Nome,$D1147)=0),AND($C1147="Receita",COUNTIF(CatR_Nome,$D1147)=0)),"⚠ Categoria não combina com o tipo",IF(OR($N1147="",$C1147=""),"⚠ Falta valor ou tipo",""))))</f>
        <v/>
      </c>
      <c r="U1147" s="40">
        <f>IF($A1147="",0,P1147*12+O1147)</f>
        <v>0</v>
      </c>
      <c r="V1147" s="40">
        <f>IF($A1147="",0,U1147+MAX(0,N($I1147)-MAX(N($H1147),1)))</f>
        <v>0</v>
      </c>
      <c r="W1147" s="40">
        <f>IF(S1147="",0,YEAR(S1147)*12+MONTH(S1147))</f>
        <v>0</v>
      </c>
      <c r="X1147" s="40">
        <f>IF(W1147=0,0,W1147+V1147-U1147)</f>
        <v>0</v>
      </c>
      <c r="Y1147" s="36">
        <f>IF(W1147=0,0,N(R1147)*MAX(0,X1147-MAX(W1147,YEAR(Cfg_Hoje)*12+MONTH(Cfg_Hoje)+IF(DAY(Cfg_Hoje)&gt;=INDEX(Cartoes_Fech,MATCH($F1147,Cartoes_Nome,0)),1,0))+1))</f>
        <v>0</v>
      </c>
      <c r="Z1147" s="40">
        <f>IF($A1147="",0,DAY($A1147))</f>
        <v>0</v>
      </c>
      <c r="AA1147" s="40">
        <f>IF($A1147="",0,WEEKDAY($A1147))</f>
        <v>0</v>
      </c>
      <c r="AB1147" s="36">
        <f>IF(AND($C1147="Despesa",U1147&gt;0,U1147&lt;=Sel_Idx,V1147&gt;=Sel_Idx),N(R1147)+ROW()/1000000000,0)</f>
        <v>0</v>
      </c>
      <c r="AC1147" s="40">
        <f>IF(AND($C1147="Despesa",U1147&gt;0,U1147&lt;=Sel_Idx,V1147&gt;=Sel_Idx),Z1147*10000+ROW(),0)</f>
        <v>0</v>
      </c>
      <c r="AD1147" s="40">
        <f>IF(AC1147=0,0,COUNTIFS(L_CalChave,"&gt;0",L_CalChave,"&lt;"&amp;AC1147)+1)</f>
        <v>0</v>
      </c>
    </row>
    <row r="1148">
      <c r="A1148" s="38" t="n"/>
      <c r="B1148" s="39" t="n"/>
      <c r="C1148" s="34" t="n"/>
      <c r="D1148" s="34" t="n"/>
      <c r="E1148" s="34" t="n"/>
      <c r="F1148" s="34" t="n"/>
      <c r="G1148" s="34" t="n"/>
      <c r="H1148" s="37" t="n"/>
      <c r="I1148" s="37" t="n"/>
      <c r="J1148" s="34" t="n"/>
      <c r="K1148" s="34" t="n"/>
      <c r="L1148" s="34" t="n"/>
      <c r="M1148" s="39" t="n"/>
      <c r="N1148" s="35" t="n"/>
      <c r="O1148" s="40" t="str">
        <f>IF($A1148="","",MONTH($A1148))</f>
        <v/>
      </c>
      <c r="P1148" s="40" t="str">
        <f>IF($A1148="","",YEAR($A1148))</f>
        <v/>
      </c>
      <c r="Q1148" s="41" t="str">
        <f>IF($A1148="","",DATE(P1148,O1148,1))</f>
        <v/>
      </c>
      <c r="R1148" s="36" t="str">
        <f>IF(OR($A1148="",$N1148=""),"",IF(AND($C1148&lt;&gt;"Transferência",N($I1148)&gt;1),$N1148/$I1148,$N1148))</f>
        <v/>
      </c>
      <c r="S1148" s="41" t="str">
        <f>IF(OR($A1148="",$F1148="",$C1148&lt;&gt;"Despesa"),"",IF(COUNTIF(Cartoes_Nome,$F1148)=0,"",DATE(P1148,O1148+IF(DAY($A1148)&gt;=INDEX(Cartoes_Fech,MATCH($F1148,Cartoes_Nome,0)),1,0),1)))</f>
        <v/>
      </c>
      <c r="T1148" s="42" t="str">
        <f>IF($A1148="","",IF(COUNTIFS(L_Data,$A1148,L_Desc,$B1148,L_Valor,$N1148,L_Tipo,$C1148)&gt;1,"⚠ Possível duplicidade",IF(OR(AND($C1148="Despesa",COUNTIF(CatD_Nome,$D1148)=0),AND($C1148="Receita",COUNTIF(CatR_Nome,$D1148)=0)),"⚠ Categoria não combina com o tipo",IF(OR($N1148="",$C1148=""),"⚠ Falta valor ou tipo",""))))</f>
        <v/>
      </c>
      <c r="U1148" s="40">
        <f>IF($A1148="",0,P1148*12+O1148)</f>
        <v>0</v>
      </c>
      <c r="V1148" s="40">
        <f>IF($A1148="",0,U1148+MAX(0,N($I1148)-MAX(N($H1148),1)))</f>
        <v>0</v>
      </c>
      <c r="W1148" s="40">
        <f>IF(S1148="",0,YEAR(S1148)*12+MONTH(S1148))</f>
        <v>0</v>
      </c>
      <c r="X1148" s="40">
        <f>IF(W1148=0,0,W1148+V1148-U1148)</f>
        <v>0</v>
      </c>
      <c r="Y1148" s="36">
        <f>IF(W1148=0,0,N(R1148)*MAX(0,X1148-MAX(W1148,YEAR(Cfg_Hoje)*12+MONTH(Cfg_Hoje)+IF(DAY(Cfg_Hoje)&gt;=INDEX(Cartoes_Fech,MATCH($F1148,Cartoes_Nome,0)),1,0))+1))</f>
        <v>0</v>
      </c>
      <c r="Z1148" s="40">
        <f>IF($A1148="",0,DAY($A1148))</f>
        <v>0</v>
      </c>
      <c r="AA1148" s="40">
        <f>IF($A1148="",0,WEEKDAY($A1148))</f>
        <v>0</v>
      </c>
      <c r="AB1148" s="36">
        <f>IF(AND($C1148="Despesa",U1148&gt;0,U1148&lt;=Sel_Idx,V1148&gt;=Sel_Idx),N(R1148)+ROW()/1000000000,0)</f>
        <v>0</v>
      </c>
      <c r="AC1148" s="40">
        <f>IF(AND($C1148="Despesa",U1148&gt;0,U1148&lt;=Sel_Idx,V1148&gt;=Sel_Idx),Z1148*10000+ROW(),0)</f>
        <v>0</v>
      </c>
      <c r="AD1148" s="40">
        <f>IF(AC1148=0,0,COUNTIFS(L_CalChave,"&gt;0",L_CalChave,"&lt;"&amp;AC1148)+1)</f>
        <v>0</v>
      </c>
    </row>
    <row r="1149">
      <c r="A1149" s="38" t="n"/>
      <c r="B1149" s="39" t="n"/>
      <c r="C1149" s="34" t="n"/>
      <c r="D1149" s="34" t="n"/>
      <c r="E1149" s="34" t="n"/>
      <c r="F1149" s="34" t="n"/>
      <c r="G1149" s="34" t="n"/>
      <c r="H1149" s="37" t="n"/>
      <c r="I1149" s="37" t="n"/>
      <c r="J1149" s="34" t="n"/>
      <c r="K1149" s="34" t="n"/>
      <c r="L1149" s="34" t="n"/>
      <c r="M1149" s="39" t="n"/>
      <c r="N1149" s="35" t="n"/>
      <c r="O1149" s="40" t="str">
        <f>IF($A1149="","",MONTH($A1149))</f>
        <v/>
      </c>
      <c r="P1149" s="40" t="str">
        <f>IF($A1149="","",YEAR($A1149))</f>
        <v/>
      </c>
      <c r="Q1149" s="41" t="str">
        <f>IF($A1149="","",DATE(P1149,O1149,1))</f>
        <v/>
      </c>
      <c r="R1149" s="36" t="str">
        <f>IF(OR($A1149="",$N1149=""),"",IF(AND($C1149&lt;&gt;"Transferência",N($I1149)&gt;1),$N1149/$I1149,$N1149))</f>
        <v/>
      </c>
      <c r="S1149" s="41" t="str">
        <f>IF(OR($A1149="",$F1149="",$C1149&lt;&gt;"Despesa"),"",IF(COUNTIF(Cartoes_Nome,$F1149)=0,"",DATE(P1149,O1149+IF(DAY($A1149)&gt;=INDEX(Cartoes_Fech,MATCH($F1149,Cartoes_Nome,0)),1,0),1)))</f>
        <v/>
      </c>
      <c r="T1149" s="42" t="str">
        <f>IF($A1149="","",IF(COUNTIFS(L_Data,$A1149,L_Desc,$B1149,L_Valor,$N1149,L_Tipo,$C1149)&gt;1,"⚠ Possível duplicidade",IF(OR(AND($C1149="Despesa",COUNTIF(CatD_Nome,$D1149)=0),AND($C1149="Receita",COUNTIF(CatR_Nome,$D1149)=0)),"⚠ Categoria não combina com o tipo",IF(OR($N1149="",$C1149=""),"⚠ Falta valor ou tipo",""))))</f>
        <v/>
      </c>
      <c r="U1149" s="40">
        <f>IF($A1149="",0,P1149*12+O1149)</f>
        <v>0</v>
      </c>
      <c r="V1149" s="40">
        <f>IF($A1149="",0,U1149+MAX(0,N($I1149)-MAX(N($H1149),1)))</f>
        <v>0</v>
      </c>
      <c r="W1149" s="40">
        <f>IF(S1149="",0,YEAR(S1149)*12+MONTH(S1149))</f>
        <v>0</v>
      </c>
      <c r="X1149" s="40">
        <f>IF(W1149=0,0,W1149+V1149-U1149)</f>
        <v>0</v>
      </c>
      <c r="Y1149" s="36">
        <f>IF(W1149=0,0,N(R1149)*MAX(0,X1149-MAX(W1149,YEAR(Cfg_Hoje)*12+MONTH(Cfg_Hoje)+IF(DAY(Cfg_Hoje)&gt;=INDEX(Cartoes_Fech,MATCH($F1149,Cartoes_Nome,0)),1,0))+1))</f>
        <v>0</v>
      </c>
      <c r="Z1149" s="40">
        <f>IF($A1149="",0,DAY($A1149))</f>
        <v>0</v>
      </c>
      <c r="AA1149" s="40">
        <f>IF($A1149="",0,WEEKDAY($A1149))</f>
        <v>0</v>
      </c>
      <c r="AB1149" s="36">
        <f>IF(AND($C1149="Despesa",U1149&gt;0,U1149&lt;=Sel_Idx,V1149&gt;=Sel_Idx),N(R1149)+ROW()/1000000000,0)</f>
        <v>0</v>
      </c>
      <c r="AC1149" s="40">
        <f>IF(AND($C1149="Despesa",U1149&gt;0,U1149&lt;=Sel_Idx,V1149&gt;=Sel_Idx),Z1149*10000+ROW(),0)</f>
        <v>0</v>
      </c>
      <c r="AD1149" s="40">
        <f>IF(AC1149=0,0,COUNTIFS(L_CalChave,"&gt;0",L_CalChave,"&lt;"&amp;AC1149)+1)</f>
        <v>0</v>
      </c>
    </row>
    <row r="1150">
      <c r="A1150" s="38" t="n"/>
      <c r="B1150" s="39" t="n"/>
      <c r="C1150" s="34" t="n"/>
      <c r="D1150" s="34" t="n"/>
      <c r="E1150" s="34" t="n"/>
      <c r="F1150" s="34" t="n"/>
      <c r="G1150" s="34" t="n"/>
      <c r="H1150" s="37" t="n"/>
      <c r="I1150" s="37" t="n"/>
      <c r="J1150" s="34" t="n"/>
      <c r="K1150" s="34" t="n"/>
      <c r="L1150" s="34" t="n"/>
      <c r="M1150" s="39" t="n"/>
      <c r="N1150" s="35" t="n"/>
      <c r="O1150" s="40" t="str">
        <f>IF($A1150="","",MONTH($A1150))</f>
        <v/>
      </c>
      <c r="P1150" s="40" t="str">
        <f>IF($A1150="","",YEAR($A1150))</f>
        <v/>
      </c>
      <c r="Q1150" s="41" t="str">
        <f>IF($A1150="","",DATE(P1150,O1150,1))</f>
        <v/>
      </c>
      <c r="R1150" s="36" t="str">
        <f>IF(OR($A1150="",$N1150=""),"",IF(AND($C1150&lt;&gt;"Transferência",N($I1150)&gt;1),$N1150/$I1150,$N1150))</f>
        <v/>
      </c>
      <c r="S1150" s="41" t="str">
        <f>IF(OR($A1150="",$F1150="",$C1150&lt;&gt;"Despesa"),"",IF(COUNTIF(Cartoes_Nome,$F1150)=0,"",DATE(P1150,O1150+IF(DAY($A1150)&gt;=INDEX(Cartoes_Fech,MATCH($F1150,Cartoes_Nome,0)),1,0),1)))</f>
        <v/>
      </c>
      <c r="T1150" s="42" t="str">
        <f>IF($A1150="","",IF(COUNTIFS(L_Data,$A1150,L_Desc,$B1150,L_Valor,$N1150,L_Tipo,$C1150)&gt;1,"⚠ Possível duplicidade",IF(OR(AND($C1150="Despesa",COUNTIF(CatD_Nome,$D1150)=0),AND($C1150="Receita",COUNTIF(CatR_Nome,$D1150)=0)),"⚠ Categoria não combina com o tipo",IF(OR($N1150="",$C1150=""),"⚠ Falta valor ou tipo",""))))</f>
        <v/>
      </c>
      <c r="U1150" s="40">
        <f>IF($A1150="",0,P1150*12+O1150)</f>
        <v>0</v>
      </c>
      <c r="V1150" s="40">
        <f>IF($A1150="",0,U1150+MAX(0,N($I1150)-MAX(N($H1150),1)))</f>
        <v>0</v>
      </c>
      <c r="W1150" s="40">
        <f>IF(S1150="",0,YEAR(S1150)*12+MONTH(S1150))</f>
        <v>0</v>
      </c>
      <c r="X1150" s="40">
        <f>IF(W1150=0,0,W1150+V1150-U1150)</f>
        <v>0</v>
      </c>
      <c r="Y1150" s="36">
        <f>IF(W1150=0,0,N(R1150)*MAX(0,X1150-MAX(W1150,YEAR(Cfg_Hoje)*12+MONTH(Cfg_Hoje)+IF(DAY(Cfg_Hoje)&gt;=INDEX(Cartoes_Fech,MATCH($F1150,Cartoes_Nome,0)),1,0))+1))</f>
        <v>0</v>
      </c>
      <c r="Z1150" s="40">
        <f>IF($A1150="",0,DAY($A1150))</f>
        <v>0</v>
      </c>
      <c r="AA1150" s="40">
        <f>IF($A1150="",0,WEEKDAY($A1150))</f>
        <v>0</v>
      </c>
      <c r="AB1150" s="36">
        <f>IF(AND($C1150="Despesa",U1150&gt;0,U1150&lt;=Sel_Idx,V1150&gt;=Sel_Idx),N(R1150)+ROW()/1000000000,0)</f>
        <v>0</v>
      </c>
      <c r="AC1150" s="40">
        <f>IF(AND($C1150="Despesa",U1150&gt;0,U1150&lt;=Sel_Idx,V1150&gt;=Sel_Idx),Z1150*10000+ROW(),0)</f>
        <v>0</v>
      </c>
      <c r="AD1150" s="40">
        <f>IF(AC1150=0,0,COUNTIFS(L_CalChave,"&gt;0",L_CalChave,"&lt;"&amp;AC1150)+1)</f>
        <v>0</v>
      </c>
    </row>
    <row r="1151">
      <c r="A1151" s="38" t="n"/>
      <c r="B1151" s="39" t="n"/>
      <c r="C1151" s="34" t="n"/>
      <c r="D1151" s="34" t="n"/>
      <c r="E1151" s="34" t="n"/>
      <c r="F1151" s="34" t="n"/>
      <c r="G1151" s="34" t="n"/>
      <c r="H1151" s="37" t="n"/>
      <c r="I1151" s="37" t="n"/>
      <c r="J1151" s="34" t="n"/>
      <c r="K1151" s="34" t="n"/>
      <c r="L1151" s="34" t="n"/>
      <c r="M1151" s="39" t="n"/>
      <c r="N1151" s="35" t="n"/>
      <c r="O1151" s="40" t="str">
        <f>IF($A1151="","",MONTH($A1151))</f>
        <v/>
      </c>
      <c r="P1151" s="40" t="str">
        <f>IF($A1151="","",YEAR($A1151))</f>
        <v/>
      </c>
      <c r="Q1151" s="41" t="str">
        <f>IF($A1151="","",DATE(P1151,O1151,1))</f>
        <v/>
      </c>
      <c r="R1151" s="36" t="str">
        <f>IF(OR($A1151="",$N1151=""),"",IF(AND($C1151&lt;&gt;"Transferência",N($I1151)&gt;1),$N1151/$I1151,$N1151))</f>
        <v/>
      </c>
      <c r="S1151" s="41" t="str">
        <f>IF(OR($A1151="",$F1151="",$C1151&lt;&gt;"Despesa"),"",IF(COUNTIF(Cartoes_Nome,$F1151)=0,"",DATE(P1151,O1151+IF(DAY($A1151)&gt;=INDEX(Cartoes_Fech,MATCH($F1151,Cartoes_Nome,0)),1,0),1)))</f>
        <v/>
      </c>
      <c r="T1151" s="42" t="str">
        <f>IF($A1151="","",IF(COUNTIFS(L_Data,$A1151,L_Desc,$B1151,L_Valor,$N1151,L_Tipo,$C1151)&gt;1,"⚠ Possível duplicidade",IF(OR(AND($C1151="Despesa",COUNTIF(CatD_Nome,$D1151)=0),AND($C1151="Receita",COUNTIF(CatR_Nome,$D1151)=0)),"⚠ Categoria não combina com o tipo",IF(OR($N1151="",$C1151=""),"⚠ Falta valor ou tipo",""))))</f>
        <v/>
      </c>
      <c r="U1151" s="40">
        <f>IF($A1151="",0,P1151*12+O1151)</f>
        <v>0</v>
      </c>
      <c r="V1151" s="40">
        <f>IF($A1151="",0,U1151+MAX(0,N($I1151)-MAX(N($H1151),1)))</f>
        <v>0</v>
      </c>
      <c r="W1151" s="40">
        <f>IF(S1151="",0,YEAR(S1151)*12+MONTH(S1151))</f>
        <v>0</v>
      </c>
      <c r="X1151" s="40">
        <f>IF(W1151=0,0,W1151+V1151-U1151)</f>
        <v>0</v>
      </c>
      <c r="Y1151" s="36">
        <f>IF(W1151=0,0,N(R1151)*MAX(0,X1151-MAX(W1151,YEAR(Cfg_Hoje)*12+MONTH(Cfg_Hoje)+IF(DAY(Cfg_Hoje)&gt;=INDEX(Cartoes_Fech,MATCH($F1151,Cartoes_Nome,0)),1,0))+1))</f>
        <v>0</v>
      </c>
      <c r="Z1151" s="40">
        <f>IF($A1151="",0,DAY($A1151))</f>
        <v>0</v>
      </c>
      <c r="AA1151" s="40">
        <f>IF($A1151="",0,WEEKDAY($A1151))</f>
        <v>0</v>
      </c>
      <c r="AB1151" s="36">
        <f>IF(AND($C1151="Despesa",U1151&gt;0,U1151&lt;=Sel_Idx,V1151&gt;=Sel_Idx),N(R1151)+ROW()/1000000000,0)</f>
        <v>0</v>
      </c>
      <c r="AC1151" s="40">
        <f>IF(AND($C1151="Despesa",U1151&gt;0,U1151&lt;=Sel_Idx,V1151&gt;=Sel_Idx),Z1151*10000+ROW(),0)</f>
        <v>0</v>
      </c>
      <c r="AD1151" s="40">
        <f>IF(AC1151=0,0,COUNTIFS(L_CalChave,"&gt;0",L_CalChave,"&lt;"&amp;AC1151)+1)</f>
        <v>0</v>
      </c>
    </row>
    <row r="1152">
      <c r="A1152" s="38" t="n"/>
      <c r="B1152" s="39" t="n"/>
      <c r="C1152" s="34" t="n"/>
      <c r="D1152" s="34" t="n"/>
      <c r="E1152" s="34" t="n"/>
      <c r="F1152" s="34" t="n"/>
      <c r="G1152" s="34" t="n"/>
      <c r="H1152" s="37" t="n"/>
      <c r="I1152" s="37" t="n"/>
      <c r="J1152" s="34" t="n"/>
      <c r="K1152" s="34" t="n"/>
      <c r="L1152" s="34" t="n"/>
      <c r="M1152" s="39" t="n"/>
      <c r="N1152" s="35" t="n"/>
      <c r="O1152" s="40" t="str">
        <f>IF($A1152="","",MONTH($A1152))</f>
        <v/>
      </c>
      <c r="P1152" s="40" t="str">
        <f>IF($A1152="","",YEAR($A1152))</f>
        <v/>
      </c>
      <c r="Q1152" s="41" t="str">
        <f>IF($A1152="","",DATE(P1152,O1152,1))</f>
        <v/>
      </c>
      <c r="R1152" s="36" t="str">
        <f>IF(OR($A1152="",$N1152=""),"",IF(AND($C1152&lt;&gt;"Transferência",N($I1152)&gt;1),$N1152/$I1152,$N1152))</f>
        <v/>
      </c>
      <c r="S1152" s="41" t="str">
        <f>IF(OR($A1152="",$F1152="",$C1152&lt;&gt;"Despesa"),"",IF(COUNTIF(Cartoes_Nome,$F1152)=0,"",DATE(P1152,O1152+IF(DAY($A1152)&gt;=INDEX(Cartoes_Fech,MATCH($F1152,Cartoes_Nome,0)),1,0),1)))</f>
        <v/>
      </c>
      <c r="T1152" s="42" t="str">
        <f>IF($A1152="","",IF(COUNTIFS(L_Data,$A1152,L_Desc,$B1152,L_Valor,$N1152,L_Tipo,$C1152)&gt;1,"⚠ Possível duplicidade",IF(OR(AND($C1152="Despesa",COUNTIF(CatD_Nome,$D1152)=0),AND($C1152="Receita",COUNTIF(CatR_Nome,$D1152)=0)),"⚠ Categoria não combina com o tipo",IF(OR($N1152="",$C1152=""),"⚠ Falta valor ou tipo",""))))</f>
        <v/>
      </c>
      <c r="U1152" s="40">
        <f>IF($A1152="",0,P1152*12+O1152)</f>
        <v>0</v>
      </c>
      <c r="V1152" s="40">
        <f>IF($A1152="",0,U1152+MAX(0,N($I1152)-MAX(N($H1152),1)))</f>
        <v>0</v>
      </c>
      <c r="W1152" s="40">
        <f>IF(S1152="",0,YEAR(S1152)*12+MONTH(S1152))</f>
        <v>0</v>
      </c>
      <c r="X1152" s="40">
        <f>IF(W1152=0,0,W1152+V1152-U1152)</f>
        <v>0</v>
      </c>
      <c r="Y1152" s="36">
        <f>IF(W1152=0,0,N(R1152)*MAX(0,X1152-MAX(W1152,YEAR(Cfg_Hoje)*12+MONTH(Cfg_Hoje)+IF(DAY(Cfg_Hoje)&gt;=INDEX(Cartoes_Fech,MATCH($F1152,Cartoes_Nome,0)),1,0))+1))</f>
        <v>0</v>
      </c>
      <c r="Z1152" s="40">
        <f>IF($A1152="",0,DAY($A1152))</f>
        <v>0</v>
      </c>
      <c r="AA1152" s="40">
        <f>IF($A1152="",0,WEEKDAY($A1152))</f>
        <v>0</v>
      </c>
      <c r="AB1152" s="36">
        <f>IF(AND($C1152="Despesa",U1152&gt;0,U1152&lt;=Sel_Idx,V1152&gt;=Sel_Idx),N(R1152)+ROW()/1000000000,0)</f>
        <v>0</v>
      </c>
      <c r="AC1152" s="40">
        <f>IF(AND($C1152="Despesa",U1152&gt;0,U1152&lt;=Sel_Idx,V1152&gt;=Sel_Idx),Z1152*10000+ROW(),0)</f>
        <v>0</v>
      </c>
      <c r="AD1152" s="40">
        <f>IF(AC1152=0,0,COUNTIFS(L_CalChave,"&gt;0",L_CalChave,"&lt;"&amp;AC1152)+1)</f>
        <v>0</v>
      </c>
    </row>
    <row r="1153">
      <c r="A1153" s="38" t="n"/>
      <c r="B1153" s="39" t="n"/>
      <c r="C1153" s="34" t="n"/>
      <c r="D1153" s="34" t="n"/>
      <c r="E1153" s="34" t="n"/>
      <c r="F1153" s="34" t="n"/>
      <c r="G1153" s="34" t="n"/>
      <c r="H1153" s="37" t="n"/>
      <c r="I1153" s="37" t="n"/>
      <c r="J1153" s="34" t="n"/>
      <c r="K1153" s="34" t="n"/>
      <c r="L1153" s="34" t="n"/>
      <c r="M1153" s="39" t="n"/>
      <c r="N1153" s="35" t="n"/>
      <c r="O1153" s="40" t="str">
        <f>IF($A1153="","",MONTH($A1153))</f>
        <v/>
      </c>
      <c r="P1153" s="40" t="str">
        <f>IF($A1153="","",YEAR($A1153))</f>
        <v/>
      </c>
      <c r="Q1153" s="41" t="str">
        <f>IF($A1153="","",DATE(P1153,O1153,1))</f>
        <v/>
      </c>
      <c r="R1153" s="36" t="str">
        <f>IF(OR($A1153="",$N1153=""),"",IF(AND($C1153&lt;&gt;"Transferência",N($I1153)&gt;1),$N1153/$I1153,$N1153))</f>
        <v/>
      </c>
      <c r="S1153" s="41" t="str">
        <f>IF(OR($A1153="",$F1153="",$C1153&lt;&gt;"Despesa"),"",IF(COUNTIF(Cartoes_Nome,$F1153)=0,"",DATE(P1153,O1153+IF(DAY($A1153)&gt;=INDEX(Cartoes_Fech,MATCH($F1153,Cartoes_Nome,0)),1,0),1)))</f>
        <v/>
      </c>
      <c r="T1153" s="42" t="str">
        <f>IF($A1153="","",IF(COUNTIFS(L_Data,$A1153,L_Desc,$B1153,L_Valor,$N1153,L_Tipo,$C1153)&gt;1,"⚠ Possível duplicidade",IF(OR(AND($C1153="Despesa",COUNTIF(CatD_Nome,$D1153)=0),AND($C1153="Receita",COUNTIF(CatR_Nome,$D1153)=0)),"⚠ Categoria não combina com o tipo",IF(OR($N1153="",$C1153=""),"⚠ Falta valor ou tipo",""))))</f>
        <v/>
      </c>
      <c r="U1153" s="40">
        <f>IF($A1153="",0,P1153*12+O1153)</f>
        <v>0</v>
      </c>
      <c r="V1153" s="40">
        <f>IF($A1153="",0,U1153+MAX(0,N($I1153)-MAX(N($H1153),1)))</f>
        <v>0</v>
      </c>
      <c r="W1153" s="40">
        <f>IF(S1153="",0,YEAR(S1153)*12+MONTH(S1153))</f>
        <v>0</v>
      </c>
      <c r="X1153" s="40">
        <f>IF(W1153=0,0,W1153+V1153-U1153)</f>
        <v>0</v>
      </c>
      <c r="Y1153" s="36">
        <f>IF(W1153=0,0,N(R1153)*MAX(0,X1153-MAX(W1153,YEAR(Cfg_Hoje)*12+MONTH(Cfg_Hoje)+IF(DAY(Cfg_Hoje)&gt;=INDEX(Cartoes_Fech,MATCH($F1153,Cartoes_Nome,0)),1,0))+1))</f>
        <v>0</v>
      </c>
      <c r="Z1153" s="40">
        <f>IF($A1153="",0,DAY($A1153))</f>
        <v>0</v>
      </c>
      <c r="AA1153" s="40">
        <f>IF($A1153="",0,WEEKDAY($A1153))</f>
        <v>0</v>
      </c>
      <c r="AB1153" s="36">
        <f>IF(AND($C1153="Despesa",U1153&gt;0,U1153&lt;=Sel_Idx,V1153&gt;=Sel_Idx),N(R1153)+ROW()/1000000000,0)</f>
        <v>0</v>
      </c>
      <c r="AC1153" s="40">
        <f>IF(AND($C1153="Despesa",U1153&gt;0,U1153&lt;=Sel_Idx,V1153&gt;=Sel_Idx),Z1153*10000+ROW(),0)</f>
        <v>0</v>
      </c>
      <c r="AD1153" s="40">
        <f>IF(AC1153=0,0,COUNTIFS(L_CalChave,"&gt;0",L_CalChave,"&lt;"&amp;AC1153)+1)</f>
        <v>0</v>
      </c>
    </row>
    <row r="1154">
      <c r="A1154" s="38" t="n"/>
      <c r="B1154" s="39" t="n"/>
      <c r="C1154" s="34" t="n"/>
      <c r="D1154" s="34" t="n"/>
      <c r="E1154" s="34" t="n"/>
      <c r="F1154" s="34" t="n"/>
      <c r="G1154" s="34" t="n"/>
      <c r="H1154" s="37" t="n"/>
      <c r="I1154" s="37" t="n"/>
      <c r="J1154" s="34" t="n"/>
      <c r="K1154" s="34" t="n"/>
      <c r="L1154" s="34" t="n"/>
      <c r="M1154" s="39" t="n"/>
      <c r="N1154" s="35" t="n"/>
      <c r="O1154" s="40" t="str">
        <f>IF($A1154="","",MONTH($A1154))</f>
        <v/>
      </c>
      <c r="P1154" s="40" t="str">
        <f>IF($A1154="","",YEAR($A1154))</f>
        <v/>
      </c>
      <c r="Q1154" s="41" t="str">
        <f>IF($A1154="","",DATE(P1154,O1154,1))</f>
        <v/>
      </c>
      <c r="R1154" s="36" t="str">
        <f>IF(OR($A1154="",$N1154=""),"",IF(AND($C1154&lt;&gt;"Transferência",N($I1154)&gt;1),$N1154/$I1154,$N1154))</f>
        <v/>
      </c>
      <c r="S1154" s="41" t="str">
        <f>IF(OR($A1154="",$F1154="",$C1154&lt;&gt;"Despesa"),"",IF(COUNTIF(Cartoes_Nome,$F1154)=0,"",DATE(P1154,O1154+IF(DAY($A1154)&gt;=INDEX(Cartoes_Fech,MATCH($F1154,Cartoes_Nome,0)),1,0),1)))</f>
        <v/>
      </c>
      <c r="T1154" s="42" t="str">
        <f>IF($A1154="","",IF(COUNTIFS(L_Data,$A1154,L_Desc,$B1154,L_Valor,$N1154,L_Tipo,$C1154)&gt;1,"⚠ Possível duplicidade",IF(OR(AND($C1154="Despesa",COUNTIF(CatD_Nome,$D1154)=0),AND($C1154="Receita",COUNTIF(CatR_Nome,$D1154)=0)),"⚠ Categoria não combina com o tipo",IF(OR($N1154="",$C1154=""),"⚠ Falta valor ou tipo",""))))</f>
        <v/>
      </c>
      <c r="U1154" s="40">
        <f>IF($A1154="",0,P1154*12+O1154)</f>
        <v>0</v>
      </c>
      <c r="V1154" s="40">
        <f>IF($A1154="",0,U1154+MAX(0,N($I1154)-MAX(N($H1154),1)))</f>
        <v>0</v>
      </c>
      <c r="W1154" s="40">
        <f>IF(S1154="",0,YEAR(S1154)*12+MONTH(S1154))</f>
        <v>0</v>
      </c>
      <c r="X1154" s="40">
        <f>IF(W1154=0,0,W1154+V1154-U1154)</f>
        <v>0</v>
      </c>
      <c r="Y1154" s="36">
        <f>IF(W1154=0,0,N(R1154)*MAX(0,X1154-MAX(W1154,YEAR(Cfg_Hoje)*12+MONTH(Cfg_Hoje)+IF(DAY(Cfg_Hoje)&gt;=INDEX(Cartoes_Fech,MATCH($F1154,Cartoes_Nome,0)),1,0))+1))</f>
        <v>0</v>
      </c>
      <c r="Z1154" s="40">
        <f>IF($A1154="",0,DAY($A1154))</f>
        <v>0</v>
      </c>
      <c r="AA1154" s="40">
        <f>IF($A1154="",0,WEEKDAY($A1154))</f>
        <v>0</v>
      </c>
      <c r="AB1154" s="36">
        <f>IF(AND($C1154="Despesa",U1154&gt;0,U1154&lt;=Sel_Idx,V1154&gt;=Sel_Idx),N(R1154)+ROW()/1000000000,0)</f>
        <v>0</v>
      </c>
      <c r="AC1154" s="40">
        <f>IF(AND($C1154="Despesa",U1154&gt;0,U1154&lt;=Sel_Idx,V1154&gt;=Sel_Idx),Z1154*10000+ROW(),0)</f>
        <v>0</v>
      </c>
      <c r="AD1154" s="40">
        <f>IF(AC1154=0,0,COUNTIFS(L_CalChave,"&gt;0",L_CalChave,"&lt;"&amp;AC1154)+1)</f>
        <v>0</v>
      </c>
    </row>
    <row r="1155">
      <c r="A1155" s="38" t="n"/>
      <c r="B1155" s="39" t="n"/>
      <c r="C1155" s="34" t="n"/>
      <c r="D1155" s="34" t="n"/>
      <c r="E1155" s="34" t="n"/>
      <c r="F1155" s="34" t="n"/>
      <c r="G1155" s="34" t="n"/>
      <c r="H1155" s="37" t="n"/>
      <c r="I1155" s="37" t="n"/>
      <c r="J1155" s="34" t="n"/>
      <c r="K1155" s="34" t="n"/>
      <c r="L1155" s="34" t="n"/>
      <c r="M1155" s="39" t="n"/>
      <c r="N1155" s="35" t="n"/>
      <c r="O1155" s="40" t="str">
        <f>IF($A1155="","",MONTH($A1155))</f>
        <v/>
      </c>
      <c r="P1155" s="40" t="str">
        <f>IF($A1155="","",YEAR($A1155))</f>
        <v/>
      </c>
      <c r="Q1155" s="41" t="str">
        <f>IF($A1155="","",DATE(P1155,O1155,1))</f>
        <v/>
      </c>
      <c r="R1155" s="36" t="str">
        <f>IF(OR($A1155="",$N1155=""),"",IF(AND($C1155&lt;&gt;"Transferência",N($I1155)&gt;1),$N1155/$I1155,$N1155))</f>
        <v/>
      </c>
      <c r="S1155" s="41" t="str">
        <f>IF(OR($A1155="",$F1155="",$C1155&lt;&gt;"Despesa"),"",IF(COUNTIF(Cartoes_Nome,$F1155)=0,"",DATE(P1155,O1155+IF(DAY($A1155)&gt;=INDEX(Cartoes_Fech,MATCH($F1155,Cartoes_Nome,0)),1,0),1)))</f>
        <v/>
      </c>
      <c r="T1155" s="42" t="str">
        <f>IF($A1155="","",IF(COUNTIFS(L_Data,$A1155,L_Desc,$B1155,L_Valor,$N1155,L_Tipo,$C1155)&gt;1,"⚠ Possível duplicidade",IF(OR(AND($C1155="Despesa",COUNTIF(CatD_Nome,$D1155)=0),AND($C1155="Receita",COUNTIF(CatR_Nome,$D1155)=0)),"⚠ Categoria não combina com o tipo",IF(OR($N1155="",$C1155=""),"⚠ Falta valor ou tipo",""))))</f>
        <v/>
      </c>
      <c r="U1155" s="40">
        <f>IF($A1155="",0,P1155*12+O1155)</f>
        <v>0</v>
      </c>
      <c r="V1155" s="40">
        <f>IF($A1155="",0,U1155+MAX(0,N($I1155)-MAX(N($H1155),1)))</f>
        <v>0</v>
      </c>
      <c r="W1155" s="40">
        <f>IF(S1155="",0,YEAR(S1155)*12+MONTH(S1155))</f>
        <v>0</v>
      </c>
      <c r="X1155" s="40">
        <f>IF(W1155=0,0,W1155+V1155-U1155)</f>
        <v>0</v>
      </c>
      <c r="Y1155" s="36">
        <f>IF(W1155=0,0,N(R1155)*MAX(0,X1155-MAX(W1155,YEAR(Cfg_Hoje)*12+MONTH(Cfg_Hoje)+IF(DAY(Cfg_Hoje)&gt;=INDEX(Cartoes_Fech,MATCH($F1155,Cartoes_Nome,0)),1,0))+1))</f>
        <v>0</v>
      </c>
      <c r="Z1155" s="40">
        <f>IF($A1155="",0,DAY($A1155))</f>
        <v>0</v>
      </c>
      <c r="AA1155" s="40">
        <f>IF($A1155="",0,WEEKDAY($A1155))</f>
        <v>0</v>
      </c>
      <c r="AB1155" s="36">
        <f>IF(AND($C1155="Despesa",U1155&gt;0,U1155&lt;=Sel_Idx,V1155&gt;=Sel_Idx),N(R1155)+ROW()/1000000000,0)</f>
        <v>0</v>
      </c>
      <c r="AC1155" s="40">
        <f>IF(AND($C1155="Despesa",U1155&gt;0,U1155&lt;=Sel_Idx,V1155&gt;=Sel_Idx),Z1155*10000+ROW(),0)</f>
        <v>0</v>
      </c>
      <c r="AD1155" s="40">
        <f>IF(AC1155=0,0,COUNTIFS(L_CalChave,"&gt;0",L_CalChave,"&lt;"&amp;AC1155)+1)</f>
        <v>0</v>
      </c>
    </row>
    <row r="1156">
      <c r="A1156" s="38" t="n"/>
      <c r="B1156" s="39" t="n"/>
      <c r="C1156" s="34" t="n"/>
      <c r="D1156" s="34" t="n"/>
      <c r="E1156" s="34" t="n"/>
      <c r="F1156" s="34" t="n"/>
      <c r="G1156" s="34" t="n"/>
      <c r="H1156" s="37" t="n"/>
      <c r="I1156" s="37" t="n"/>
      <c r="J1156" s="34" t="n"/>
      <c r="K1156" s="34" t="n"/>
      <c r="L1156" s="34" t="n"/>
      <c r="M1156" s="39" t="n"/>
      <c r="N1156" s="35" t="n"/>
      <c r="O1156" s="40" t="str">
        <f>IF($A1156="","",MONTH($A1156))</f>
        <v/>
      </c>
      <c r="P1156" s="40" t="str">
        <f>IF($A1156="","",YEAR($A1156))</f>
        <v/>
      </c>
      <c r="Q1156" s="41" t="str">
        <f>IF($A1156="","",DATE(P1156,O1156,1))</f>
        <v/>
      </c>
      <c r="R1156" s="36" t="str">
        <f>IF(OR($A1156="",$N1156=""),"",IF(AND($C1156&lt;&gt;"Transferência",N($I1156)&gt;1),$N1156/$I1156,$N1156))</f>
        <v/>
      </c>
      <c r="S1156" s="41" t="str">
        <f>IF(OR($A1156="",$F1156="",$C1156&lt;&gt;"Despesa"),"",IF(COUNTIF(Cartoes_Nome,$F1156)=0,"",DATE(P1156,O1156+IF(DAY($A1156)&gt;=INDEX(Cartoes_Fech,MATCH($F1156,Cartoes_Nome,0)),1,0),1)))</f>
        <v/>
      </c>
      <c r="T1156" s="42" t="str">
        <f>IF($A1156="","",IF(COUNTIFS(L_Data,$A1156,L_Desc,$B1156,L_Valor,$N1156,L_Tipo,$C1156)&gt;1,"⚠ Possível duplicidade",IF(OR(AND($C1156="Despesa",COUNTIF(CatD_Nome,$D1156)=0),AND($C1156="Receita",COUNTIF(CatR_Nome,$D1156)=0)),"⚠ Categoria não combina com o tipo",IF(OR($N1156="",$C1156=""),"⚠ Falta valor ou tipo",""))))</f>
        <v/>
      </c>
      <c r="U1156" s="40">
        <f>IF($A1156="",0,P1156*12+O1156)</f>
        <v>0</v>
      </c>
      <c r="V1156" s="40">
        <f>IF($A1156="",0,U1156+MAX(0,N($I1156)-MAX(N($H1156),1)))</f>
        <v>0</v>
      </c>
      <c r="W1156" s="40">
        <f>IF(S1156="",0,YEAR(S1156)*12+MONTH(S1156))</f>
        <v>0</v>
      </c>
      <c r="X1156" s="40">
        <f>IF(W1156=0,0,W1156+V1156-U1156)</f>
        <v>0</v>
      </c>
      <c r="Y1156" s="36">
        <f>IF(W1156=0,0,N(R1156)*MAX(0,X1156-MAX(W1156,YEAR(Cfg_Hoje)*12+MONTH(Cfg_Hoje)+IF(DAY(Cfg_Hoje)&gt;=INDEX(Cartoes_Fech,MATCH($F1156,Cartoes_Nome,0)),1,0))+1))</f>
        <v>0</v>
      </c>
      <c r="Z1156" s="40">
        <f>IF($A1156="",0,DAY($A1156))</f>
        <v>0</v>
      </c>
      <c r="AA1156" s="40">
        <f>IF($A1156="",0,WEEKDAY($A1156))</f>
        <v>0</v>
      </c>
      <c r="AB1156" s="36">
        <f>IF(AND($C1156="Despesa",U1156&gt;0,U1156&lt;=Sel_Idx,V1156&gt;=Sel_Idx),N(R1156)+ROW()/1000000000,0)</f>
        <v>0</v>
      </c>
      <c r="AC1156" s="40">
        <f>IF(AND($C1156="Despesa",U1156&gt;0,U1156&lt;=Sel_Idx,V1156&gt;=Sel_Idx),Z1156*10000+ROW(),0)</f>
        <v>0</v>
      </c>
      <c r="AD1156" s="40">
        <f>IF(AC1156=0,0,COUNTIFS(L_CalChave,"&gt;0",L_CalChave,"&lt;"&amp;AC1156)+1)</f>
        <v>0</v>
      </c>
    </row>
    <row r="1157">
      <c r="A1157" s="38" t="n"/>
      <c r="B1157" s="39" t="n"/>
      <c r="C1157" s="34" t="n"/>
      <c r="D1157" s="34" t="n"/>
      <c r="E1157" s="34" t="n"/>
      <c r="F1157" s="34" t="n"/>
      <c r="G1157" s="34" t="n"/>
      <c r="H1157" s="37" t="n"/>
      <c r="I1157" s="37" t="n"/>
      <c r="J1157" s="34" t="n"/>
      <c r="K1157" s="34" t="n"/>
      <c r="L1157" s="34" t="n"/>
      <c r="M1157" s="39" t="n"/>
      <c r="N1157" s="35" t="n"/>
      <c r="O1157" s="40" t="str">
        <f>IF($A1157="","",MONTH($A1157))</f>
        <v/>
      </c>
      <c r="P1157" s="40" t="str">
        <f>IF($A1157="","",YEAR($A1157))</f>
        <v/>
      </c>
      <c r="Q1157" s="41" t="str">
        <f>IF($A1157="","",DATE(P1157,O1157,1))</f>
        <v/>
      </c>
      <c r="R1157" s="36" t="str">
        <f>IF(OR($A1157="",$N1157=""),"",IF(AND($C1157&lt;&gt;"Transferência",N($I1157)&gt;1),$N1157/$I1157,$N1157))</f>
        <v/>
      </c>
      <c r="S1157" s="41" t="str">
        <f>IF(OR($A1157="",$F1157="",$C1157&lt;&gt;"Despesa"),"",IF(COUNTIF(Cartoes_Nome,$F1157)=0,"",DATE(P1157,O1157+IF(DAY($A1157)&gt;=INDEX(Cartoes_Fech,MATCH($F1157,Cartoes_Nome,0)),1,0),1)))</f>
        <v/>
      </c>
      <c r="T1157" s="42" t="str">
        <f>IF($A1157="","",IF(COUNTIFS(L_Data,$A1157,L_Desc,$B1157,L_Valor,$N1157,L_Tipo,$C1157)&gt;1,"⚠ Possível duplicidade",IF(OR(AND($C1157="Despesa",COUNTIF(CatD_Nome,$D1157)=0),AND($C1157="Receita",COUNTIF(CatR_Nome,$D1157)=0)),"⚠ Categoria não combina com o tipo",IF(OR($N1157="",$C1157=""),"⚠ Falta valor ou tipo",""))))</f>
        <v/>
      </c>
      <c r="U1157" s="40">
        <f>IF($A1157="",0,P1157*12+O1157)</f>
        <v>0</v>
      </c>
      <c r="V1157" s="40">
        <f>IF($A1157="",0,U1157+MAX(0,N($I1157)-MAX(N($H1157),1)))</f>
        <v>0</v>
      </c>
      <c r="W1157" s="40">
        <f>IF(S1157="",0,YEAR(S1157)*12+MONTH(S1157))</f>
        <v>0</v>
      </c>
      <c r="X1157" s="40">
        <f>IF(W1157=0,0,W1157+V1157-U1157)</f>
        <v>0</v>
      </c>
      <c r="Y1157" s="36">
        <f>IF(W1157=0,0,N(R1157)*MAX(0,X1157-MAX(W1157,YEAR(Cfg_Hoje)*12+MONTH(Cfg_Hoje)+IF(DAY(Cfg_Hoje)&gt;=INDEX(Cartoes_Fech,MATCH($F1157,Cartoes_Nome,0)),1,0))+1))</f>
        <v>0</v>
      </c>
      <c r="Z1157" s="40">
        <f>IF($A1157="",0,DAY($A1157))</f>
        <v>0</v>
      </c>
      <c r="AA1157" s="40">
        <f>IF($A1157="",0,WEEKDAY($A1157))</f>
        <v>0</v>
      </c>
      <c r="AB1157" s="36">
        <f>IF(AND($C1157="Despesa",U1157&gt;0,U1157&lt;=Sel_Idx,V1157&gt;=Sel_Idx),N(R1157)+ROW()/1000000000,0)</f>
        <v>0</v>
      </c>
      <c r="AC1157" s="40">
        <f>IF(AND($C1157="Despesa",U1157&gt;0,U1157&lt;=Sel_Idx,V1157&gt;=Sel_Idx),Z1157*10000+ROW(),0)</f>
        <v>0</v>
      </c>
      <c r="AD1157" s="40">
        <f>IF(AC1157=0,0,COUNTIFS(L_CalChave,"&gt;0",L_CalChave,"&lt;"&amp;AC1157)+1)</f>
        <v>0</v>
      </c>
    </row>
    <row r="1158">
      <c r="A1158" s="38" t="n"/>
      <c r="B1158" s="39" t="n"/>
      <c r="C1158" s="34" t="n"/>
      <c r="D1158" s="34" t="n"/>
      <c r="E1158" s="34" t="n"/>
      <c r="F1158" s="34" t="n"/>
      <c r="G1158" s="34" t="n"/>
      <c r="H1158" s="37" t="n"/>
      <c r="I1158" s="37" t="n"/>
      <c r="J1158" s="34" t="n"/>
      <c r="K1158" s="34" t="n"/>
      <c r="L1158" s="34" t="n"/>
      <c r="M1158" s="39" t="n"/>
      <c r="N1158" s="35" t="n"/>
      <c r="O1158" s="40" t="str">
        <f>IF($A1158="","",MONTH($A1158))</f>
        <v/>
      </c>
      <c r="P1158" s="40" t="str">
        <f>IF($A1158="","",YEAR($A1158))</f>
        <v/>
      </c>
      <c r="Q1158" s="41" t="str">
        <f>IF($A1158="","",DATE(P1158,O1158,1))</f>
        <v/>
      </c>
      <c r="R1158" s="36" t="str">
        <f>IF(OR($A1158="",$N1158=""),"",IF(AND($C1158&lt;&gt;"Transferência",N($I1158)&gt;1),$N1158/$I1158,$N1158))</f>
        <v/>
      </c>
      <c r="S1158" s="41" t="str">
        <f>IF(OR($A1158="",$F1158="",$C1158&lt;&gt;"Despesa"),"",IF(COUNTIF(Cartoes_Nome,$F1158)=0,"",DATE(P1158,O1158+IF(DAY($A1158)&gt;=INDEX(Cartoes_Fech,MATCH($F1158,Cartoes_Nome,0)),1,0),1)))</f>
        <v/>
      </c>
      <c r="T1158" s="42" t="str">
        <f>IF($A1158="","",IF(COUNTIFS(L_Data,$A1158,L_Desc,$B1158,L_Valor,$N1158,L_Tipo,$C1158)&gt;1,"⚠ Possível duplicidade",IF(OR(AND($C1158="Despesa",COUNTIF(CatD_Nome,$D1158)=0),AND($C1158="Receita",COUNTIF(CatR_Nome,$D1158)=0)),"⚠ Categoria não combina com o tipo",IF(OR($N1158="",$C1158=""),"⚠ Falta valor ou tipo",""))))</f>
        <v/>
      </c>
      <c r="U1158" s="40">
        <f>IF($A1158="",0,P1158*12+O1158)</f>
        <v>0</v>
      </c>
      <c r="V1158" s="40">
        <f>IF($A1158="",0,U1158+MAX(0,N($I1158)-MAX(N($H1158),1)))</f>
        <v>0</v>
      </c>
      <c r="W1158" s="40">
        <f>IF(S1158="",0,YEAR(S1158)*12+MONTH(S1158))</f>
        <v>0</v>
      </c>
      <c r="X1158" s="40">
        <f>IF(W1158=0,0,W1158+V1158-U1158)</f>
        <v>0</v>
      </c>
      <c r="Y1158" s="36">
        <f>IF(W1158=0,0,N(R1158)*MAX(0,X1158-MAX(W1158,YEAR(Cfg_Hoje)*12+MONTH(Cfg_Hoje)+IF(DAY(Cfg_Hoje)&gt;=INDEX(Cartoes_Fech,MATCH($F1158,Cartoes_Nome,0)),1,0))+1))</f>
        <v>0</v>
      </c>
      <c r="Z1158" s="40">
        <f>IF($A1158="",0,DAY($A1158))</f>
        <v>0</v>
      </c>
      <c r="AA1158" s="40">
        <f>IF($A1158="",0,WEEKDAY($A1158))</f>
        <v>0</v>
      </c>
      <c r="AB1158" s="36">
        <f>IF(AND($C1158="Despesa",U1158&gt;0,U1158&lt;=Sel_Idx,V1158&gt;=Sel_Idx),N(R1158)+ROW()/1000000000,0)</f>
        <v>0</v>
      </c>
      <c r="AC1158" s="40">
        <f>IF(AND($C1158="Despesa",U1158&gt;0,U1158&lt;=Sel_Idx,V1158&gt;=Sel_Idx),Z1158*10000+ROW(),0)</f>
        <v>0</v>
      </c>
      <c r="AD1158" s="40">
        <f>IF(AC1158=0,0,COUNTIFS(L_CalChave,"&gt;0",L_CalChave,"&lt;"&amp;AC1158)+1)</f>
        <v>0</v>
      </c>
    </row>
    <row r="1159">
      <c r="A1159" s="38" t="n"/>
      <c r="B1159" s="39" t="n"/>
      <c r="C1159" s="34" t="n"/>
      <c r="D1159" s="34" t="n"/>
      <c r="E1159" s="34" t="n"/>
      <c r="F1159" s="34" t="n"/>
      <c r="G1159" s="34" t="n"/>
      <c r="H1159" s="37" t="n"/>
      <c r="I1159" s="37" t="n"/>
      <c r="J1159" s="34" t="n"/>
      <c r="K1159" s="34" t="n"/>
      <c r="L1159" s="34" t="n"/>
      <c r="M1159" s="39" t="n"/>
      <c r="N1159" s="35" t="n"/>
      <c r="O1159" s="40" t="str">
        <f>IF($A1159="","",MONTH($A1159))</f>
        <v/>
      </c>
      <c r="P1159" s="40" t="str">
        <f>IF($A1159="","",YEAR($A1159))</f>
        <v/>
      </c>
      <c r="Q1159" s="41" t="str">
        <f>IF($A1159="","",DATE(P1159,O1159,1))</f>
        <v/>
      </c>
      <c r="R1159" s="36" t="str">
        <f>IF(OR($A1159="",$N1159=""),"",IF(AND($C1159&lt;&gt;"Transferência",N($I1159)&gt;1),$N1159/$I1159,$N1159))</f>
        <v/>
      </c>
      <c r="S1159" s="41" t="str">
        <f>IF(OR($A1159="",$F1159="",$C1159&lt;&gt;"Despesa"),"",IF(COUNTIF(Cartoes_Nome,$F1159)=0,"",DATE(P1159,O1159+IF(DAY($A1159)&gt;=INDEX(Cartoes_Fech,MATCH($F1159,Cartoes_Nome,0)),1,0),1)))</f>
        <v/>
      </c>
      <c r="T1159" s="42" t="str">
        <f>IF($A1159="","",IF(COUNTIFS(L_Data,$A1159,L_Desc,$B1159,L_Valor,$N1159,L_Tipo,$C1159)&gt;1,"⚠ Possível duplicidade",IF(OR(AND($C1159="Despesa",COUNTIF(CatD_Nome,$D1159)=0),AND($C1159="Receita",COUNTIF(CatR_Nome,$D1159)=0)),"⚠ Categoria não combina com o tipo",IF(OR($N1159="",$C1159=""),"⚠ Falta valor ou tipo",""))))</f>
        <v/>
      </c>
      <c r="U1159" s="40">
        <f>IF($A1159="",0,P1159*12+O1159)</f>
        <v>0</v>
      </c>
      <c r="V1159" s="40">
        <f>IF($A1159="",0,U1159+MAX(0,N($I1159)-MAX(N($H1159),1)))</f>
        <v>0</v>
      </c>
      <c r="W1159" s="40">
        <f>IF(S1159="",0,YEAR(S1159)*12+MONTH(S1159))</f>
        <v>0</v>
      </c>
      <c r="X1159" s="40">
        <f>IF(W1159=0,0,W1159+V1159-U1159)</f>
        <v>0</v>
      </c>
      <c r="Y1159" s="36">
        <f>IF(W1159=0,0,N(R1159)*MAX(0,X1159-MAX(W1159,YEAR(Cfg_Hoje)*12+MONTH(Cfg_Hoje)+IF(DAY(Cfg_Hoje)&gt;=INDEX(Cartoes_Fech,MATCH($F1159,Cartoes_Nome,0)),1,0))+1))</f>
        <v>0</v>
      </c>
      <c r="Z1159" s="40">
        <f>IF($A1159="",0,DAY($A1159))</f>
        <v>0</v>
      </c>
      <c r="AA1159" s="40">
        <f>IF($A1159="",0,WEEKDAY($A1159))</f>
        <v>0</v>
      </c>
      <c r="AB1159" s="36">
        <f>IF(AND($C1159="Despesa",U1159&gt;0,U1159&lt;=Sel_Idx,V1159&gt;=Sel_Idx),N(R1159)+ROW()/1000000000,0)</f>
        <v>0</v>
      </c>
      <c r="AC1159" s="40">
        <f>IF(AND($C1159="Despesa",U1159&gt;0,U1159&lt;=Sel_Idx,V1159&gt;=Sel_Idx),Z1159*10000+ROW(),0)</f>
        <v>0</v>
      </c>
      <c r="AD1159" s="40">
        <f>IF(AC1159=0,0,COUNTIFS(L_CalChave,"&gt;0",L_CalChave,"&lt;"&amp;AC1159)+1)</f>
        <v>0</v>
      </c>
    </row>
    <row r="1160">
      <c r="A1160" s="38" t="n"/>
      <c r="B1160" s="39" t="n"/>
      <c r="C1160" s="34" t="n"/>
      <c r="D1160" s="34" t="n"/>
      <c r="E1160" s="34" t="n"/>
      <c r="F1160" s="34" t="n"/>
      <c r="G1160" s="34" t="n"/>
      <c r="H1160" s="37" t="n"/>
      <c r="I1160" s="37" t="n"/>
      <c r="J1160" s="34" t="n"/>
      <c r="K1160" s="34" t="n"/>
      <c r="L1160" s="34" t="n"/>
      <c r="M1160" s="39" t="n"/>
      <c r="N1160" s="35" t="n"/>
      <c r="O1160" s="40" t="str">
        <f>IF($A1160="","",MONTH($A1160))</f>
        <v/>
      </c>
      <c r="P1160" s="40" t="str">
        <f>IF($A1160="","",YEAR($A1160))</f>
        <v/>
      </c>
      <c r="Q1160" s="41" t="str">
        <f>IF($A1160="","",DATE(P1160,O1160,1))</f>
        <v/>
      </c>
      <c r="R1160" s="36" t="str">
        <f>IF(OR($A1160="",$N1160=""),"",IF(AND($C1160&lt;&gt;"Transferência",N($I1160)&gt;1),$N1160/$I1160,$N1160))</f>
        <v/>
      </c>
      <c r="S1160" s="41" t="str">
        <f>IF(OR($A1160="",$F1160="",$C1160&lt;&gt;"Despesa"),"",IF(COUNTIF(Cartoes_Nome,$F1160)=0,"",DATE(P1160,O1160+IF(DAY($A1160)&gt;=INDEX(Cartoes_Fech,MATCH($F1160,Cartoes_Nome,0)),1,0),1)))</f>
        <v/>
      </c>
      <c r="T1160" s="42" t="str">
        <f>IF($A1160="","",IF(COUNTIFS(L_Data,$A1160,L_Desc,$B1160,L_Valor,$N1160,L_Tipo,$C1160)&gt;1,"⚠ Possível duplicidade",IF(OR(AND($C1160="Despesa",COUNTIF(CatD_Nome,$D1160)=0),AND($C1160="Receita",COUNTIF(CatR_Nome,$D1160)=0)),"⚠ Categoria não combina com o tipo",IF(OR($N1160="",$C1160=""),"⚠ Falta valor ou tipo",""))))</f>
        <v/>
      </c>
      <c r="U1160" s="40">
        <f>IF($A1160="",0,P1160*12+O1160)</f>
        <v>0</v>
      </c>
      <c r="V1160" s="40">
        <f>IF($A1160="",0,U1160+MAX(0,N($I1160)-MAX(N($H1160),1)))</f>
        <v>0</v>
      </c>
      <c r="W1160" s="40">
        <f>IF(S1160="",0,YEAR(S1160)*12+MONTH(S1160))</f>
        <v>0</v>
      </c>
      <c r="X1160" s="40">
        <f>IF(W1160=0,0,W1160+V1160-U1160)</f>
        <v>0</v>
      </c>
      <c r="Y1160" s="36">
        <f>IF(W1160=0,0,N(R1160)*MAX(0,X1160-MAX(W1160,YEAR(Cfg_Hoje)*12+MONTH(Cfg_Hoje)+IF(DAY(Cfg_Hoje)&gt;=INDEX(Cartoes_Fech,MATCH($F1160,Cartoes_Nome,0)),1,0))+1))</f>
        <v>0</v>
      </c>
      <c r="Z1160" s="40">
        <f>IF($A1160="",0,DAY($A1160))</f>
        <v>0</v>
      </c>
      <c r="AA1160" s="40">
        <f>IF($A1160="",0,WEEKDAY($A1160))</f>
        <v>0</v>
      </c>
      <c r="AB1160" s="36">
        <f>IF(AND($C1160="Despesa",U1160&gt;0,U1160&lt;=Sel_Idx,V1160&gt;=Sel_Idx),N(R1160)+ROW()/1000000000,0)</f>
        <v>0</v>
      </c>
      <c r="AC1160" s="40">
        <f>IF(AND($C1160="Despesa",U1160&gt;0,U1160&lt;=Sel_Idx,V1160&gt;=Sel_Idx),Z1160*10000+ROW(),0)</f>
        <v>0</v>
      </c>
      <c r="AD1160" s="40">
        <f>IF(AC1160=0,0,COUNTIFS(L_CalChave,"&gt;0",L_CalChave,"&lt;"&amp;AC1160)+1)</f>
        <v>0</v>
      </c>
    </row>
    <row r="1161">
      <c r="A1161" s="38" t="n"/>
      <c r="B1161" s="39" t="n"/>
      <c r="C1161" s="34" t="n"/>
      <c r="D1161" s="34" t="n"/>
      <c r="E1161" s="34" t="n"/>
      <c r="F1161" s="34" t="n"/>
      <c r="G1161" s="34" t="n"/>
      <c r="H1161" s="37" t="n"/>
      <c r="I1161" s="37" t="n"/>
      <c r="J1161" s="34" t="n"/>
      <c r="K1161" s="34" t="n"/>
      <c r="L1161" s="34" t="n"/>
      <c r="M1161" s="39" t="n"/>
      <c r="N1161" s="35" t="n"/>
      <c r="O1161" s="40" t="str">
        <f>IF($A1161="","",MONTH($A1161))</f>
        <v/>
      </c>
      <c r="P1161" s="40" t="str">
        <f>IF($A1161="","",YEAR($A1161))</f>
        <v/>
      </c>
      <c r="Q1161" s="41" t="str">
        <f>IF($A1161="","",DATE(P1161,O1161,1))</f>
        <v/>
      </c>
      <c r="R1161" s="36" t="str">
        <f>IF(OR($A1161="",$N1161=""),"",IF(AND($C1161&lt;&gt;"Transferência",N($I1161)&gt;1),$N1161/$I1161,$N1161))</f>
        <v/>
      </c>
      <c r="S1161" s="41" t="str">
        <f>IF(OR($A1161="",$F1161="",$C1161&lt;&gt;"Despesa"),"",IF(COUNTIF(Cartoes_Nome,$F1161)=0,"",DATE(P1161,O1161+IF(DAY($A1161)&gt;=INDEX(Cartoes_Fech,MATCH($F1161,Cartoes_Nome,0)),1,0),1)))</f>
        <v/>
      </c>
      <c r="T1161" s="42" t="str">
        <f>IF($A1161="","",IF(COUNTIFS(L_Data,$A1161,L_Desc,$B1161,L_Valor,$N1161,L_Tipo,$C1161)&gt;1,"⚠ Possível duplicidade",IF(OR(AND($C1161="Despesa",COUNTIF(CatD_Nome,$D1161)=0),AND($C1161="Receita",COUNTIF(CatR_Nome,$D1161)=0)),"⚠ Categoria não combina com o tipo",IF(OR($N1161="",$C1161=""),"⚠ Falta valor ou tipo",""))))</f>
        <v/>
      </c>
      <c r="U1161" s="40">
        <f>IF($A1161="",0,P1161*12+O1161)</f>
        <v>0</v>
      </c>
      <c r="V1161" s="40">
        <f>IF($A1161="",0,U1161+MAX(0,N($I1161)-MAX(N($H1161),1)))</f>
        <v>0</v>
      </c>
      <c r="W1161" s="40">
        <f>IF(S1161="",0,YEAR(S1161)*12+MONTH(S1161))</f>
        <v>0</v>
      </c>
      <c r="X1161" s="40">
        <f>IF(W1161=0,0,W1161+V1161-U1161)</f>
        <v>0</v>
      </c>
      <c r="Y1161" s="36">
        <f>IF(W1161=0,0,N(R1161)*MAX(0,X1161-MAX(W1161,YEAR(Cfg_Hoje)*12+MONTH(Cfg_Hoje)+IF(DAY(Cfg_Hoje)&gt;=INDEX(Cartoes_Fech,MATCH($F1161,Cartoes_Nome,0)),1,0))+1))</f>
        <v>0</v>
      </c>
      <c r="Z1161" s="40">
        <f>IF($A1161="",0,DAY($A1161))</f>
        <v>0</v>
      </c>
      <c r="AA1161" s="40">
        <f>IF($A1161="",0,WEEKDAY($A1161))</f>
        <v>0</v>
      </c>
      <c r="AB1161" s="36">
        <f>IF(AND($C1161="Despesa",U1161&gt;0,U1161&lt;=Sel_Idx,V1161&gt;=Sel_Idx),N(R1161)+ROW()/1000000000,0)</f>
        <v>0</v>
      </c>
      <c r="AC1161" s="40">
        <f>IF(AND($C1161="Despesa",U1161&gt;0,U1161&lt;=Sel_Idx,V1161&gt;=Sel_Idx),Z1161*10000+ROW(),0)</f>
        <v>0</v>
      </c>
      <c r="AD1161" s="40">
        <f>IF(AC1161=0,0,COUNTIFS(L_CalChave,"&gt;0",L_CalChave,"&lt;"&amp;AC1161)+1)</f>
        <v>0</v>
      </c>
    </row>
    <row r="1162">
      <c r="A1162" s="38" t="n"/>
      <c r="B1162" s="39" t="n"/>
      <c r="C1162" s="34" t="n"/>
      <c r="D1162" s="34" t="n"/>
      <c r="E1162" s="34" t="n"/>
      <c r="F1162" s="34" t="n"/>
      <c r="G1162" s="34" t="n"/>
      <c r="H1162" s="37" t="n"/>
      <c r="I1162" s="37" t="n"/>
      <c r="J1162" s="34" t="n"/>
      <c r="K1162" s="34" t="n"/>
      <c r="L1162" s="34" t="n"/>
      <c r="M1162" s="39" t="n"/>
      <c r="N1162" s="35" t="n"/>
      <c r="O1162" s="40" t="str">
        <f>IF($A1162="","",MONTH($A1162))</f>
        <v/>
      </c>
      <c r="P1162" s="40" t="str">
        <f>IF($A1162="","",YEAR($A1162))</f>
        <v/>
      </c>
      <c r="Q1162" s="41" t="str">
        <f>IF($A1162="","",DATE(P1162,O1162,1))</f>
        <v/>
      </c>
      <c r="R1162" s="36" t="str">
        <f>IF(OR($A1162="",$N1162=""),"",IF(AND($C1162&lt;&gt;"Transferência",N($I1162)&gt;1),$N1162/$I1162,$N1162))</f>
        <v/>
      </c>
      <c r="S1162" s="41" t="str">
        <f>IF(OR($A1162="",$F1162="",$C1162&lt;&gt;"Despesa"),"",IF(COUNTIF(Cartoes_Nome,$F1162)=0,"",DATE(P1162,O1162+IF(DAY($A1162)&gt;=INDEX(Cartoes_Fech,MATCH($F1162,Cartoes_Nome,0)),1,0),1)))</f>
        <v/>
      </c>
      <c r="T1162" s="42" t="str">
        <f>IF($A1162="","",IF(COUNTIFS(L_Data,$A1162,L_Desc,$B1162,L_Valor,$N1162,L_Tipo,$C1162)&gt;1,"⚠ Possível duplicidade",IF(OR(AND($C1162="Despesa",COUNTIF(CatD_Nome,$D1162)=0),AND($C1162="Receita",COUNTIF(CatR_Nome,$D1162)=0)),"⚠ Categoria não combina com o tipo",IF(OR($N1162="",$C1162=""),"⚠ Falta valor ou tipo",""))))</f>
        <v/>
      </c>
      <c r="U1162" s="40">
        <f>IF($A1162="",0,P1162*12+O1162)</f>
        <v>0</v>
      </c>
      <c r="V1162" s="40">
        <f>IF($A1162="",0,U1162+MAX(0,N($I1162)-MAX(N($H1162),1)))</f>
        <v>0</v>
      </c>
      <c r="W1162" s="40">
        <f>IF(S1162="",0,YEAR(S1162)*12+MONTH(S1162))</f>
        <v>0</v>
      </c>
      <c r="X1162" s="40">
        <f>IF(W1162=0,0,W1162+V1162-U1162)</f>
        <v>0</v>
      </c>
      <c r="Y1162" s="36">
        <f>IF(W1162=0,0,N(R1162)*MAX(0,X1162-MAX(W1162,YEAR(Cfg_Hoje)*12+MONTH(Cfg_Hoje)+IF(DAY(Cfg_Hoje)&gt;=INDEX(Cartoes_Fech,MATCH($F1162,Cartoes_Nome,0)),1,0))+1))</f>
        <v>0</v>
      </c>
      <c r="Z1162" s="40">
        <f>IF($A1162="",0,DAY($A1162))</f>
        <v>0</v>
      </c>
      <c r="AA1162" s="40">
        <f>IF($A1162="",0,WEEKDAY($A1162))</f>
        <v>0</v>
      </c>
      <c r="AB1162" s="36">
        <f>IF(AND($C1162="Despesa",U1162&gt;0,U1162&lt;=Sel_Idx,V1162&gt;=Sel_Idx),N(R1162)+ROW()/1000000000,0)</f>
        <v>0</v>
      </c>
      <c r="AC1162" s="40">
        <f>IF(AND($C1162="Despesa",U1162&gt;0,U1162&lt;=Sel_Idx,V1162&gt;=Sel_Idx),Z1162*10000+ROW(),0)</f>
        <v>0</v>
      </c>
      <c r="AD1162" s="40">
        <f>IF(AC1162=0,0,COUNTIFS(L_CalChave,"&gt;0",L_CalChave,"&lt;"&amp;AC1162)+1)</f>
        <v>0</v>
      </c>
    </row>
    <row r="1163">
      <c r="A1163" s="38" t="n"/>
      <c r="B1163" s="39" t="n"/>
      <c r="C1163" s="34" t="n"/>
      <c r="D1163" s="34" t="n"/>
      <c r="E1163" s="34" t="n"/>
      <c r="F1163" s="34" t="n"/>
      <c r="G1163" s="34" t="n"/>
      <c r="H1163" s="37" t="n"/>
      <c r="I1163" s="37" t="n"/>
      <c r="J1163" s="34" t="n"/>
      <c r="K1163" s="34" t="n"/>
      <c r="L1163" s="34" t="n"/>
      <c r="M1163" s="39" t="n"/>
      <c r="N1163" s="35" t="n"/>
      <c r="O1163" s="40" t="str">
        <f>IF($A1163="","",MONTH($A1163))</f>
        <v/>
      </c>
      <c r="P1163" s="40" t="str">
        <f>IF($A1163="","",YEAR($A1163))</f>
        <v/>
      </c>
      <c r="Q1163" s="41" t="str">
        <f>IF($A1163="","",DATE(P1163,O1163,1))</f>
        <v/>
      </c>
      <c r="R1163" s="36" t="str">
        <f>IF(OR($A1163="",$N1163=""),"",IF(AND($C1163&lt;&gt;"Transferência",N($I1163)&gt;1),$N1163/$I1163,$N1163))</f>
        <v/>
      </c>
      <c r="S1163" s="41" t="str">
        <f>IF(OR($A1163="",$F1163="",$C1163&lt;&gt;"Despesa"),"",IF(COUNTIF(Cartoes_Nome,$F1163)=0,"",DATE(P1163,O1163+IF(DAY($A1163)&gt;=INDEX(Cartoes_Fech,MATCH($F1163,Cartoes_Nome,0)),1,0),1)))</f>
        <v/>
      </c>
      <c r="T1163" s="42" t="str">
        <f>IF($A1163="","",IF(COUNTIFS(L_Data,$A1163,L_Desc,$B1163,L_Valor,$N1163,L_Tipo,$C1163)&gt;1,"⚠ Possível duplicidade",IF(OR(AND($C1163="Despesa",COUNTIF(CatD_Nome,$D1163)=0),AND($C1163="Receita",COUNTIF(CatR_Nome,$D1163)=0)),"⚠ Categoria não combina com o tipo",IF(OR($N1163="",$C1163=""),"⚠ Falta valor ou tipo",""))))</f>
        <v/>
      </c>
      <c r="U1163" s="40">
        <f>IF($A1163="",0,P1163*12+O1163)</f>
        <v>0</v>
      </c>
      <c r="V1163" s="40">
        <f>IF($A1163="",0,U1163+MAX(0,N($I1163)-MAX(N($H1163),1)))</f>
        <v>0</v>
      </c>
      <c r="W1163" s="40">
        <f>IF(S1163="",0,YEAR(S1163)*12+MONTH(S1163))</f>
        <v>0</v>
      </c>
      <c r="X1163" s="40">
        <f>IF(W1163=0,0,W1163+V1163-U1163)</f>
        <v>0</v>
      </c>
      <c r="Y1163" s="36">
        <f>IF(W1163=0,0,N(R1163)*MAX(0,X1163-MAX(W1163,YEAR(Cfg_Hoje)*12+MONTH(Cfg_Hoje)+IF(DAY(Cfg_Hoje)&gt;=INDEX(Cartoes_Fech,MATCH($F1163,Cartoes_Nome,0)),1,0))+1))</f>
        <v>0</v>
      </c>
      <c r="Z1163" s="40">
        <f>IF($A1163="",0,DAY($A1163))</f>
        <v>0</v>
      </c>
      <c r="AA1163" s="40">
        <f>IF($A1163="",0,WEEKDAY($A1163))</f>
        <v>0</v>
      </c>
      <c r="AB1163" s="36">
        <f>IF(AND($C1163="Despesa",U1163&gt;0,U1163&lt;=Sel_Idx,V1163&gt;=Sel_Idx),N(R1163)+ROW()/1000000000,0)</f>
        <v>0</v>
      </c>
      <c r="AC1163" s="40">
        <f>IF(AND($C1163="Despesa",U1163&gt;0,U1163&lt;=Sel_Idx,V1163&gt;=Sel_Idx),Z1163*10000+ROW(),0)</f>
        <v>0</v>
      </c>
      <c r="AD1163" s="40">
        <f>IF(AC1163=0,0,COUNTIFS(L_CalChave,"&gt;0",L_CalChave,"&lt;"&amp;AC1163)+1)</f>
        <v>0</v>
      </c>
    </row>
    <row r="1164">
      <c r="A1164" s="38" t="n"/>
      <c r="B1164" s="39" t="n"/>
      <c r="C1164" s="34" t="n"/>
      <c r="D1164" s="34" t="n"/>
      <c r="E1164" s="34" t="n"/>
      <c r="F1164" s="34" t="n"/>
      <c r="G1164" s="34" t="n"/>
      <c r="H1164" s="37" t="n"/>
      <c r="I1164" s="37" t="n"/>
      <c r="J1164" s="34" t="n"/>
      <c r="K1164" s="34" t="n"/>
      <c r="L1164" s="34" t="n"/>
      <c r="M1164" s="39" t="n"/>
      <c r="N1164" s="35" t="n"/>
      <c r="O1164" s="40" t="str">
        <f>IF($A1164="","",MONTH($A1164))</f>
        <v/>
      </c>
      <c r="P1164" s="40" t="str">
        <f>IF($A1164="","",YEAR($A1164))</f>
        <v/>
      </c>
      <c r="Q1164" s="41" t="str">
        <f>IF($A1164="","",DATE(P1164,O1164,1))</f>
        <v/>
      </c>
      <c r="R1164" s="36" t="str">
        <f>IF(OR($A1164="",$N1164=""),"",IF(AND($C1164&lt;&gt;"Transferência",N($I1164)&gt;1),$N1164/$I1164,$N1164))</f>
        <v/>
      </c>
      <c r="S1164" s="41" t="str">
        <f>IF(OR($A1164="",$F1164="",$C1164&lt;&gt;"Despesa"),"",IF(COUNTIF(Cartoes_Nome,$F1164)=0,"",DATE(P1164,O1164+IF(DAY($A1164)&gt;=INDEX(Cartoes_Fech,MATCH($F1164,Cartoes_Nome,0)),1,0),1)))</f>
        <v/>
      </c>
      <c r="T1164" s="42" t="str">
        <f>IF($A1164="","",IF(COUNTIFS(L_Data,$A1164,L_Desc,$B1164,L_Valor,$N1164,L_Tipo,$C1164)&gt;1,"⚠ Possível duplicidade",IF(OR(AND($C1164="Despesa",COUNTIF(CatD_Nome,$D1164)=0),AND($C1164="Receita",COUNTIF(CatR_Nome,$D1164)=0)),"⚠ Categoria não combina com o tipo",IF(OR($N1164="",$C1164=""),"⚠ Falta valor ou tipo",""))))</f>
        <v/>
      </c>
      <c r="U1164" s="40">
        <f>IF($A1164="",0,P1164*12+O1164)</f>
        <v>0</v>
      </c>
      <c r="V1164" s="40">
        <f>IF($A1164="",0,U1164+MAX(0,N($I1164)-MAX(N($H1164),1)))</f>
        <v>0</v>
      </c>
      <c r="W1164" s="40">
        <f>IF(S1164="",0,YEAR(S1164)*12+MONTH(S1164))</f>
        <v>0</v>
      </c>
      <c r="X1164" s="40">
        <f>IF(W1164=0,0,W1164+V1164-U1164)</f>
        <v>0</v>
      </c>
      <c r="Y1164" s="36">
        <f>IF(W1164=0,0,N(R1164)*MAX(0,X1164-MAX(W1164,YEAR(Cfg_Hoje)*12+MONTH(Cfg_Hoje)+IF(DAY(Cfg_Hoje)&gt;=INDEX(Cartoes_Fech,MATCH($F1164,Cartoes_Nome,0)),1,0))+1))</f>
        <v>0</v>
      </c>
      <c r="Z1164" s="40">
        <f>IF($A1164="",0,DAY($A1164))</f>
        <v>0</v>
      </c>
      <c r="AA1164" s="40">
        <f>IF($A1164="",0,WEEKDAY($A1164))</f>
        <v>0</v>
      </c>
      <c r="AB1164" s="36">
        <f>IF(AND($C1164="Despesa",U1164&gt;0,U1164&lt;=Sel_Idx,V1164&gt;=Sel_Idx),N(R1164)+ROW()/1000000000,0)</f>
        <v>0</v>
      </c>
      <c r="AC1164" s="40">
        <f>IF(AND($C1164="Despesa",U1164&gt;0,U1164&lt;=Sel_Idx,V1164&gt;=Sel_Idx),Z1164*10000+ROW(),0)</f>
        <v>0</v>
      </c>
      <c r="AD1164" s="40">
        <f>IF(AC1164=0,0,COUNTIFS(L_CalChave,"&gt;0",L_CalChave,"&lt;"&amp;AC1164)+1)</f>
        <v>0</v>
      </c>
    </row>
    <row r="1165">
      <c r="A1165" s="38" t="n"/>
      <c r="B1165" s="39" t="n"/>
      <c r="C1165" s="34" t="n"/>
      <c r="D1165" s="34" t="n"/>
      <c r="E1165" s="34" t="n"/>
      <c r="F1165" s="34" t="n"/>
      <c r="G1165" s="34" t="n"/>
      <c r="H1165" s="37" t="n"/>
      <c r="I1165" s="37" t="n"/>
      <c r="J1165" s="34" t="n"/>
      <c r="K1165" s="34" t="n"/>
      <c r="L1165" s="34" t="n"/>
      <c r="M1165" s="39" t="n"/>
      <c r="N1165" s="35" t="n"/>
      <c r="O1165" s="40" t="str">
        <f>IF($A1165="","",MONTH($A1165))</f>
        <v/>
      </c>
      <c r="P1165" s="40" t="str">
        <f>IF($A1165="","",YEAR($A1165))</f>
        <v/>
      </c>
      <c r="Q1165" s="41" t="str">
        <f>IF($A1165="","",DATE(P1165,O1165,1))</f>
        <v/>
      </c>
      <c r="R1165" s="36" t="str">
        <f>IF(OR($A1165="",$N1165=""),"",IF(AND($C1165&lt;&gt;"Transferência",N($I1165)&gt;1),$N1165/$I1165,$N1165))</f>
        <v/>
      </c>
      <c r="S1165" s="41" t="str">
        <f>IF(OR($A1165="",$F1165="",$C1165&lt;&gt;"Despesa"),"",IF(COUNTIF(Cartoes_Nome,$F1165)=0,"",DATE(P1165,O1165+IF(DAY($A1165)&gt;=INDEX(Cartoes_Fech,MATCH($F1165,Cartoes_Nome,0)),1,0),1)))</f>
        <v/>
      </c>
      <c r="T1165" s="42" t="str">
        <f>IF($A1165="","",IF(COUNTIFS(L_Data,$A1165,L_Desc,$B1165,L_Valor,$N1165,L_Tipo,$C1165)&gt;1,"⚠ Possível duplicidade",IF(OR(AND($C1165="Despesa",COUNTIF(CatD_Nome,$D1165)=0),AND($C1165="Receita",COUNTIF(CatR_Nome,$D1165)=0)),"⚠ Categoria não combina com o tipo",IF(OR($N1165="",$C1165=""),"⚠ Falta valor ou tipo",""))))</f>
        <v/>
      </c>
      <c r="U1165" s="40">
        <f>IF($A1165="",0,P1165*12+O1165)</f>
        <v>0</v>
      </c>
      <c r="V1165" s="40">
        <f>IF($A1165="",0,U1165+MAX(0,N($I1165)-MAX(N($H1165),1)))</f>
        <v>0</v>
      </c>
      <c r="W1165" s="40">
        <f>IF(S1165="",0,YEAR(S1165)*12+MONTH(S1165))</f>
        <v>0</v>
      </c>
      <c r="X1165" s="40">
        <f>IF(W1165=0,0,W1165+V1165-U1165)</f>
        <v>0</v>
      </c>
      <c r="Y1165" s="36">
        <f>IF(W1165=0,0,N(R1165)*MAX(0,X1165-MAX(W1165,YEAR(Cfg_Hoje)*12+MONTH(Cfg_Hoje)+IF(DAY(Cfg_Hoje)&gt;=INDEX(Cartoes_Fech,MATCH($F1165,Cartoes_Nome,0)),1,0))+1))</f>
        <v>0</v>
      </c>
      <c r="Z1165" s="40">
        <f>IF($A1165="",0,DAY($A1165))</f>
        <v>0</v>
      </c>
      <c r="AA1165" s="40">
        <f>IF($A1165="",0,WEEKDAY($A1165))</f>
        <v>0</v>
      </c>
      <c r="AB1165" s="36">
        <f>IF(AND($C1165="Despesa",U1165&gt;0,U1165&lt;=Sel_Idx,V1165&gt;=Sel_Idx),N(R1165)+ROW()/1000000000,0)</f>
        <v>0</v>
      </c>
      <c r="AC1165" s="40">
        <f>IF(AND($C1165="Despesa",U1165&gt;0,U1165&lt;=Sel_Idx,V1165&gt;=Sel_Idx),Z1165*10000+ROW(),0)</f>
        <v>0</v>
      </c>
      <c r="AD1165" s="40">
        <f>IF(AC1165=0,0,COUNTIFS(L_CalChave,"&gt;0",L_CalChave,"&lt;"&amp;AC1165)+1)</f>
        <v>0</v>
      </c>
    </row>
    <row r="1166">
      <c r="A1166" s="38" t="n"/>
      <c r="B1166" s="39" t="n"/>
      <c r="C1166" s="34" t="n"/>
      <c r="D1166" s="34" t="n"/>
      <c r="E1166" s="34" t="n"/>
      <c r="F1166" s="34" t="n"/>
      <c r="G1166" s="34" t="n"/>
      <c r="H1166" s="37" t="n"/>
      <c r="I1166" s="37" t="n"/>
      <c r="J1166" s="34" t="n"/>
      <c r="K1166" s="34" t="n"/>
      <c r="L1166" s="34" t="n"/>
      <c r="M1166" s="39" t="n"/>
      <c r="N1166" s="35" t="n"/>
      <c r="O1166" s="40" t="str">
        <f>IF($A1166="","",MONTH($A1166))</f>
        <v/>
      </c>
      <c r="P1166" s="40" t="str">
        <f>IF($A1166="","",YEAR($A1166))</f>
        <v/>
      </c>
      <c r="Q1166" s="41" t="str">
        <f>IF($A1166="","",DATE(P1166,O1166,1))</f>
        <v/>
      </c>
      <c r="R1166" s="36" t="str">
        <f>IF(OR($A1166="",$N1166=""),"",IF(AND($C1166&lt;&gt;"Transferência",N($I1166)&gt;1),$N1166/$I1166,$N1166))</f>
        <v/>
      </c>
      <c r="S1166" s="41" t="str">
        <f>IF(OR($A1166="",$F1166="",$C1166&lt;&gt;"Despesa"),"",IF(COUNTIF(Cartoes_Nome,$F1166)=0,"",DATE(P1166,O1166+IF(DAY($A1166)&gt;=INDEX(Cartoes_Fech,MATCH($F1166,Cartoes_Nome,0)),1,0),1)))</f>
        <v/>
      </c>
      <c r="T1166" s="42" t="str">
        <f>IF($A1166="","",IF(COUNTIFS(L_Data,$A1166,L_Desc,$B1166,L_Valor,$N1166,L_Tipo,$C1166)&gt;1,"⚠ Possível duplicidade",IF(OR(AND($C1166="Despesa",COUNTIF(CatD_Nome,$D1166)=0),AND($C1166="Receita",COUNTIF(CatR_Nome,$D1166)=0)),"⚠ Categoria não combina com o tipo",IF(OR($N1166="",$C1166=""),"⚠ Falta valor ou tipo",""))))</f>
        <v/>
      </c>
      <c r="U1166" s="40">
        <f>IF($A1166="",0,P1166*12+O1166)</f>
        <v>0</v>
      </c>
      <c r="V1166" s="40">
        <f>IF($A1166="",0,U1166+MAX(0,N($I1166)-MAX(N($H1166),1)))</f>
        <v>0</v>
      </c>
      <c r="W1166" s="40">
        <f>IF(S1166="",0,YEAR(S1166)*12+MONTH(S1166))</f>
        <v>0</v>
      </c>
      <c r="X1166" s="40">
        <f>IF(W1166=0,0,W1166+V1166-U1166)</f>
        <v>0</v>
      </c>
      <c r="Y1166" s="36">
        <f>IF(W1166=0,0,N(R1166)*MAX(0,X1166-MAX(W1166,YEAR(Cfg_Hoje)*12+MONTH(Cfg_Hoje)+IF(DAY(Cfg_Hoje)&gt;=INDEX(Cartoes_Fech,MATCH($F1166,Cartoes_Nome,0)),1,0))+1))</f>
        <v>0</v>
      </c>
      <c r="Z1166" s="40">
        <f>IF($A1166="",0,DAY($A1166))</f>
        <v>0</v>
      </c>
      <c r="AA1166" s="40">
        <f>IF($A1166="",0,WEEKDAY($A1166))</f>
        <v>0</v>
      </c>
      <c r="AB1166" s="36">
        <f>IF(AND($C1166="Despesa",U1166&gt;0,U1166&lt;=Sel_Idx,V1166&gt;=Sel_Idx),N(R1166)+ROW()/1000000000,0)</f>
        <v>0</v>
      </c>
      <c r="AC1166" s="40">
        <f>IF(AND($C1166="Despesa",U1166&gt;0,U1166&lt;=Sel_Idx,V1166&gt;=Sel_Idx),Z1166*10000+ROW(),0)</f>
        <v>0</v>
      </c>
      <c r="AD1166" s="40">
        <f>IF(AC1166=0,0,COUNTIFS(L_CalChave,"&gt;0",L_CalChave,"&lt;"&amp;AC1166)+1)</f>
        <v>0</v>
      </c>
    </row>
    <row r="1167">
      <c r="A1167" s="38" t="n"/>
      <c r="B1167" s="39" t="n"/>
      <c r="C1167" s="34" t="n"/>
      <c r="D1167" s="34" t="n"/>
      <c r="E1167" s="34" t="n"/>
      <c r="F1167" s="34" t="n"/>
      <c r="G1167" s="34" t="n"/>
      <c r="H1167" s="37" t="n"/>
      <c r="I1167" s="37" t="n"/>
      <c r="J1167" s="34" t="n"/>
      <c r="K1167" s="34" t="n"/>
      <c r="L1167" s="34" t="n"/>
      <c r="M1167" s="39" t="n"/>
      <c r="N1167" s="35" t="n"/>
      <c r="O1167" s="40" t="str">
        <f>IF($A1167="","",MONTH($A1167))</f>
        <v/>
      </c>
      <c r="P1167" s="40" t="str">
        <f>IF($A1167="","",YEAR($A1167))</f>
        <v/>
      </c>
      <c r="Q1167" s="41" t="str">
        <f>IF($A1167="","",DATE(P1167,O1167,1))</f>
        <v/>
      </c>
      <c r="R1167" s="36" t="str">
        <f>IF(OR($A1167="",$N1167=""),"",IF(AND($C1167&lt;&gt;"Transferência",N($I1167)&gt;1),$N1167/$I1167,$N1167))</f>
        <v/>
      </c>
      <c r="S1167" s="41" t="str">
        <f>IF(OR($A1167="",$F1167="",$C1167&lt;&gt;"Despesa"),"",IF(COUNTIF(Cartoes_Nome,$F1167)=0,"",DATE(P1167,O1167+IF(DAY($A1167)&gt;=INDEX(Cartoes_Fech,MATCH($F1167,Cartoes_Nome,0)),1,0),1)))</f>
        <v/>
      </c>
      <c r="T1167" s="42" t="str">
        <f>IF($A1167="","",IF(COUNTIFS(L_Data,$A1167,L_Desc,$B1167,L_Valor,$N1167,L_Tipo,$C1167)&gt;1,"⚠ Possível duplicidade",IF(OR(AND($C1167="Despesa",COUNTIF(CatD_Nome,$D1167)=0),AND($C1167="Receita",COUNTIF(CatR_Nome,$D1167)=0)),"⚠ Categoria não combina com o tipo",IF(OR($N1167="",$C1167=""),"⚠ Falta valor ou tipo",""))))</f>
        <v/>
      </c>
      <c r="U1167" s="40">
        <f>IF($A1167="",0,P1167*12+O1167)</f>
        <v>0</v>
      </c>
      <c r="V1167" s="40">
        <f>IF($A1167="",0,U1167+MAX(0,N($I1167)-MAX(N($H1167),1)))</f>
        <v>0</v>
      </c>
      <c r="W1167" s="40">
        <f>IF(S1167="",0,YEAR(S1167)*12+MONTH(S1167))</f>
        <v>0</v>
      </c>
      <c r="X1167" s="40">
        <f>IF(W1167=0,0,W1167+V1167-U1167)</f>
        <v>0</v>
      </c>
      <c r="Y1167" s="36">
        <f>IF(W1167=0,0,N(R1167)*MAX(0,X1167-MAX(W1167,YEAR(Cfg_Hoje)*12+MONTH(Cfg_Hoje)+IF(DAY(Cfg_Hoje)&gt;=INDEX(Cartoes_Fech,MATCH($F1167,Cartoes_Nome,0)),1,0))+1))</f>
        <v>0</v>
      </c>
      <c r="Z1167" s="40">
        <f>IF($A1167="",0,DAY($A1167))</f>
        <v>0</v>
      </c>
      <c r="AA1167" s="40">
        <f>IF($A1167="",0,WEEKDAY($A1167))</f>
        <v>0</v>
      </c>
      <c r="AB1167" s="36">
        <f>IF(AND($C1167="Despesa",U1167&gt;0,U1167&lt;=Sel_Idx,V1167&gt;=Sel_Idx),N(R1167)+ROW()/1000000000,0)</f>
        <v>0</v>
      </c>
      <c r="AC1167" s="40">
        <f>IF(AND($C1167="Despesa",U1167&gt;0,U1167&lt;=Sel_Idx,V1167&gt;=Sel_Idx),Z1167*10000+ROW(),0)</f>
        <v>0</v>
      </c>
      <c r="AD1167" s="40">
        <f>IF(AC1167=0,0,COUNTIFS(L_CalChave,"&gt;0",L_CalChave,"&lt;"&amp;AC1167)+1)</f>
        <v>0</v>
      </c>
    </row>
    <row r="1168">
      <c r="A1168" s="38" t="n"/>
      <c r="B1168" s="39" t="n"/>
      <c r="C1168" s="34" t="n"/>
      <c r="D1168" s="34" t="n"/>
      <c r="E1168" s="34" t="n"/>
      <c r="F1168" s="34" t="n"/>
      <c r="G1168" s="34" t="n"/>
      <c r="H1168" s="37" t="n"/>
      <c r="I1168" s="37" t="n"/>
      <c r="J1168" s="34" t="n"/>
      <c r="K1168" s="34" t="n"/>
      <c r="L1168" s="34" t="n"/>
      <c r="M1168" s="39" t="n"/>
      <c r="N1168" s="35" t="n"/>
      <c r="O1168" s="40" t="str">
        <f>IF($A1168="","",MONTH($A1168))</f>
        <v/>
      </c>
      <c r="P1168" s="40" t="str">
        <f>IF($A1168="","",YEAR($A1168))</f>
        <v/>
      </c>
      <c r="Q1168" s="41" t="str">
        <f>IF($A1168="","",DATE(P1168,O1168,1))</f>
        <v/>
      </c>
      <c r="R1168" s="36" t="str">
        <f>IF(OR($A1168="",$N1168=""),"",IF(AND($C1168&lt;&gt;"Transferência",N($I1168)&gt;1),$N1168/$I1168,$N1168))</f>
        <v/>
      </c>
      <c r="S1168" s="41" t="str">
        <f>IF(OR($A1168="",$F1168="",$C1168&lt;&gt;"Despesa"),"",IF(COUNTIF(Cartoes_Nome,$F1168)=0,"",DATE(P1168,O1168+IF(DAY($A1168)&gt;=INDEX(Cartoes_Fech,MATCH($F1168,Cartoes_Nome,0)),1,0),1)))</f>
        <v/>
      </c>
      <c r="T1168" s="42" t="str">
        <f>IF($A1168="","",IF(COUNTIFS(L_Data,$A1168,L_Desc,$B1168,L_Valor,$N1168,L_Tipo,$C1168)&gt;1,"⚠ Possível duplicidade",IF(OR(AND($C1168="Despesa",COUNTIF(CatD_Nome,$D1168)=0),AND($C1168="Receita",COUNTIF(CatR_Nome,$D1168)=0)),"⚠ Categoria não combina com o tipo",IF(OR($N1168="",$C1168=""),"⚠ Falta valor ou tipo",""))))</f>
        <v/>
      </c>
      <c r="U1168" s="40">
        <f>IF($A1168="",0,P1168*12+O1168)</f>
        <v>0</v>
      </c>
      <c r="V1168" s="40">
        <f>IF($A1168="",0,U1168+MAX(0,N($I1168)-MAX(N($H1168),1)))</f>
        <v>0</v>
      </c>
      <c r="W1168" s="40">
        <f>IF(S1168="",0,YEAR(S1168)*12+MONTH(S1168))</f>
        <v>0</v>
      </c>
      <c r="X1168" s="40">
        <f>IF(W1168=0,0,W1168+V1168-U1168)</f>
        <v>0</v>
      </c>
      <c r="Y1168" s="36">
        <f>IF(W1168=0,0,N(R1168)*MAX(0,X1168-MAX(W1168,YEAR(Cfg_Hoje)*12+MONTH(Cfg_Hoje)+IF(DAY(Cfg_Hoje)&gt;=INDEX(Cartoes_Fech,MATCH($F1168,Cartoes_Nome,0)),1,0))+1))</f>
        <v>0</v>
      </c>
      <c r="Z1168" s="40">
        <f>IF($A1168="",0,DAY($A1168))</f>
        <v>0</v>
      </c>
      <c r="AA1168" s="40">
        <f>IF($A1168="",0,WEEKDAY($A1168))</f>
        <v>0</v>
      </c>
      <c r="AB1168" s="36">
        <f>IF(AND($C1168="Despesa",U1168&gt;0,U1168&lt;=Sel_Idx,V1168&gt;=Sel_Idx),N(R1168)+ROW()/1000000000,0)</f>
        <v>0</v>
      </c>
      <c r="AC1168" s="40">
        <f>IF(AND($C1168="Despesa",U1168&gt;0,U1168&lt;=Sel_Idx,V1168&gt;=Sel_Idx),Z1168*10000+ROW(),0)</f>
        <v>0</v>
      </c>
      <c r="AD1168" s="40">
        <f>IF(AC1168=0,0,COUNTIFS(L_CalChave,"&gt;0",L_CalChave,"&lt;"&amp;AC1168)+1)</f>
        <v>0</v>
      </c>
    </row>
    <row r="1169">
      <c r="A1169" s="38" t="n"/>
      <c r="B1169" s="39" t="n"/>
      <c r="C1169" s="34" t="n"/>
      <c r="D1169" s="34" t="n"/>
      <c r="E1169" s="34" t="n"/>
      <c r="F1169" s="34" t="n"/>
      <c r="G1169" s="34" t="n"/>
      <c r="H1169" s="37" t="n"/>
      <c r="I1169" s="37" t="n"/>
      <c r="J1169" s="34" t="n"/>
      <c r="K1169" s="34" t="n"/>
      <c r="L1169" s="34" t="n"/>
      <c r="M1169" s="39" t="n"/>
      <c r="N1169" s="35" t="n"/>
      <c r="O1169" s="40" t="str">
        <f>IF($A1169="","",MONTH($A1169))</f>
        <v/>
      </c>
      <c r="P1169" s="40" t="str">
        <f>IF($A1169="","",YEAR($A1169))</f>
        <v/>
      </c>
      <c r="Q1169" s="41" t="str">
        <f>IF($A1169="","",DATE(P1169,O1169,1))</f>
        <v/>
      </c>
      <c r="R1169" s="36" t="str">
        <f>IF(OR($A1169="",$N1169=""),"",IF(AND($C1169&lt;&gt;"Transferência",N($I1169)&gt;1),$N1169/$I1169,$N1169))</f>
        <v/>
      </c>
      <c r="S1169" s="41" t="str">
        <f>IF(OR($A1169="",$F1169="",$C1169&lt;&gt;"Despesa"),"",IF(COUNTIF(Cartoes_Nome,$F1169)=0,"",DATE(P1169,O1169+IF(DAY($A1169)&gt;=INDEX(Cartoes_Fech,MATCH($F1169,Cartoes_Nome,0)),1,0),1)))</f>
        <v/>
      </c>
      <c r="T1169" s="42" t="str">
        <f>IF($A1169="","",IF(COUNTIFS(L_Data,$A1169,L_Desc,$B1169,L_Valor,$N1169,L_Tipo,$C1169)&gt;1,"⚠ Possível duplicidade",IF(OR(AND($C1169="Despesa",COUNTIF(CatD_Nome,$D1169)=0),AND($C1169="Receita",COUNTIF(CatR_Nome,$D1169)=0)),"⚠ Categoria não combina com o tipo",IF(OR($N1169="",$C1169=""),"⚠ Falta valor ou tipo",""))))</f>
        <v/>
      </c>
      <c r="U1169" s="40">
        <f>IF($A1169="",0,P1169*12+O1169)</f>
        <v>0</v>
      </c>
      <c r="V1169" s="40">
        <f>IF($A1169="",0,U1169+MAX(0,N($I1169)-MAX(N($H1169),1)))</f>
        <v>0</v>
      </c>
      <c r="W1169" s="40">
        <f>IF(S1169="",0,YEAR(S1169)*12+MONTH(S1169))</f>
        <v>0</v>
      </c>
      <c r="X1169" s="40">
        <f>IF(W1169=0,0,W1169+V1169-U1169)</f>
        <v>0</v>
      </c>
      <c r="Y1169" s="36">
        <f>IF(W1169=0,0,N(R1169)*MAX(0,X1169-MAX(W1169,YEAR(Cfg_Hoje)*12+MONTH(Cfg_Hoje)+IF(DAY(Cfg_Hoje)&gt;=INDEX(Cartoes_Fech,MATCH($F1169,Cartoes_Nome,0)),1,0))+1))</f>
        <v>0</v>
      </c>
      <c r="Z1169" s="40">
        <f>IF($A1169="",0,DAY($A1169))</f>
        <v>0</v>
      </c>
      <c r="AA1169" s="40">
        <f>IF($A1169="",0,WEEKDAY($A1169))</f>
        <v>0</v>
      </c>
      <c r="AB1169" s="36">
        <f>IF(AND($C1169="Despesa",U1169&gt;0,U1169&lt;=Sel_Idx,V1169&gt;=Sel_Idx),N(R1169)+ROW()/1000000000,0)</f>
        <v>0</v>
      </c>
      <c r="AC1169" s="40">
        <f>IF(AND($C1169="Despesa",U1169&gt;0,U1169&lt;=Sel_Idx,V1169&gt;=Sel_Idx),Z1169*10000+ROW(),0)</f>
        <v>0</v>
      </c>
      <c r="AD1169" s="40">
        <f>IF(AC1169=0,0,COUNTIFS(L_CalChave,"&gt;0",L_CalChave,"&lt;"&amp;AC1169)+1)</f>
        <v>0</v>
      </c>
    </row>
    <row r="1170">
      <c r="A1170" s="38" t="n"/>
      <c r="B1170" s="39" t="n"/>
      <c r="C1170" s="34" t="n"/>
      <c r="D1170" s="34" t="n"/>
      <c r="E1170" s="34" t="n"/>
      <c r="F1170" s="34" t="n"/>
      <c r="G1170" s="34" t="n"/>
      <c r="H1170" s="37" t="n"/>
      <c r="I1170" s="37" t="n"/>
      <c r="J1170" s="34" t="n"/>
      <c r="K1170" s="34" t="n"/>
      <c r="L1170" s="34" t="n"/>
      <c r="M1170" s="39" t="n"/>
      <c r="N1170" s="35" t="n"/>
      <c r="O1170" s="40" t="str">
        <f>IF($A1170="","",MONTH($A1170))</f>
        <v/>
      </c>
      <c r="P1170" s="40" t="str">
        <f>IF($A1170="","",YEAR($A1170))</f>
        <v/>
      </c>
      <c r="Q1170" s="41" t="str">
        <f>IF($A1170="","",DATE(P1170,O1170,1))</f>
        <v/>
      </c>
      <c r="R1170" s="36" t="str">
        <f>IF(OR($A1170="",$N1170=""),"",IF(AND($C1170&lt;&gt;"Transferência",N($I1170)&gt;1),$N1170/$I1170,$N1170))</f>
        <v/>
      </c>
      <c r="S1170" s="41" t="str">
        <f>IF(OR($A1170="",$F1170="",$C1170&lt;&gt;"Despesa"),"",IF(COUNTIF(Cartoes_Nome,$F1170)=0,"",DATE(P1170,O1170+IF(DAY($A1170)&gt;=INDEX(Cartoes_Fech,MATCH($F1170,Cartoes_Nome,0)),1,0),1)))</f>
        <v/>
      </c>
      <c r="T1170" s="42" t="str">
        <f>IF($A1170="","",IF(COUNTIFS(L_Data,$A1170,L_Desc,$B1170,L_Valor,$N1170,L_Tipo,$C1170)&gt;1,"⚠ Possível duplicidade",IF(OR(AND($C1170="Despesa",COUNTIF(CatD_Nome,$D1170)=0),AND($C1170="Receita",COUNTIF(CatR_Nome,$D1170)=0)),"⚠ Categoria não combina com o tipo",IF(OR($N1170="",$C1170=""),"⚠ Falta valor ou tipo",""))))</f>
        <v/>
      </c>
      <c r="U1170" s="40">
        <f>IF($A1170="",0,P1170*12+O1170)</f>
        <v>0</v>
      </c>
      <c r="V1170" s="40">
        <f>IF($A1170="",0,U1170+MAX(0,N($I1170)-MAX(N($H1170),1)))</f>
        <v>0</v>
      </c>
      <c r="W1170" s="40">
        <f>IF(S1170="",0,YEAR(S1170)*12+MONTH(S1170))</f>
        <v>0</v>
      </c>
      <c r="X1170" s="40">
        <f>IF(W1170=0,0,W1170+V1170-U1170)</f>
        <v>0</v>
      </c>
      <c r="Y1170" s="36">
        <f>IF(W1170=0,0,N(R1170)*MAX(0,X1170-MAX(W1170,YEAR(Cfg_Hoje)*12+MONTH(Cfg_Hoje)+IF(DAY(Cfg_Hoje)&gt;=INDEX(Cartoes_Fech,MATCH($F1170,Cartoes_Nome,0)),1,0))+1))</f>
        <v>0</v>
      </c>
      <c r="Z1170" s="40">
        <f>IF($A1170="",0,DAY($A1170))</f>
        <v>0</v>
      </c>
      <c r="AA1170" s="40">
        <f>IF($A1170="",0,WEEKDAY($A1170))</f>
        <v>0</v>
      </c>
      <c r="AB1170" s="36">
        <f>IF(AND($C1170="Despesa",U1170&gt;0,U1170&lt;=Sel_Idx,V1170&gt;=Sel_Idx),N(R1170)+ROW()/1000000000,0)</f>
        <v>0</v>
      </c>
      <c r="AC1170" s="40">
        <f>IF(AND($C1170="Despesa",U1170&gt;0,U1170&lt;=Sel_Idx,V1170&gt;=Sel_Idx),Z1170*10000+ROW(),0)</f>
        <v>0</v>
      </c>
      <c r="AD1170" s="40">
        <f>IF(AC1170=0,0,COUNTIFS(L_CalChave,"&gt;0",L_CalChave,"&lt;"&amp;AC1170)+1)</f>
        <v>0</v>
      </c>
    </row>
    <row r="1171">
      <c r="A1171" s="38" t="n"/>
      <c r="B1171" s="39" t="n"/>
      <c r="C1171" s="34" t="n"/>
      <c r="D1171" s="34" t="n"/>
      <c r="E1171" s="34" t="n"/>
      <c r="F1171" s="34" t="n"/>
      <c r="G1171" s="34" t="n"/>
      <c r="H1171" s="37" t="n"/>
      <c r="I1171" s="37" t="n"/>
      <c r="J1171" s="34" t="n"/>
      <c r="K1171" s="34" t="n"/>
      <c r="L1171" s="34" t="n"/>
      <c r="M1171" s="39" t="n"/>
      <c r="N1171" s="35" t="n"/>
      <c r="O1171" s="40" t="str">
        <f>IF($A1171="","",MONTH($A1171))</f>
        <v/>
      </c>
      <c r="P1171" s="40" t="str">
        <f>IF($A1171="","",YEAR($A1171))</f>
        <v/>
      </c>
      <c r="Q1171" s="41" t="str">
        <f>IF($A1171="","",DATE(P1171,O1171,1))</f>
        <v/>
      </c>
      <c r="R1171" s="36" t="str">
        <f>IF(OR($A1171="",$N1171=""),"",IF(AND($C1171&lt;&gt;"Transferência",N($I1171)&gt;1),$N1171/$I1171,$N1171))</f>
        <v/>
      </c>
      <c r="S1171" s="41" t="str">
        <f>IF(OR($A1171="",$F1171="",$C1171&lt;&gt;"Despesa"),"",IF(COUNTIF(Cartoes_Nome,$F1171)=0,"",DATE(P1171,O1171+IF(DAY($A1171)&gt;=INDEX(Cartoes_Fech,MATCH($F1171,Cartoes_Nome,0)),1,0),1)))</f>
        <v/>
      </c>
      <c r="T1171" s="42" t="str">
        <f>IF($A1171="","",IF(COUNTIFS(L_Data,$A1171,L_Desc,$B1171,L_Valor,$N1171,L_Tipo,$C1171)&gt;1,"⚠ Possível duplicidade",IF(OR(AND($C1171="Despesa",COUNTIF(CatD_Nome,$D1171)=0),AND($C1171="Receita",COUNTIF(CatR_Nome,$D1171)=0)),"⚠ Categoria não combina com o tipo",IF(OR($N1171="",$C1171=""),"⚠ Falta valor ou tipo",""))))</f>
        <v/>
      </c>
      <c r="U1171" s="40">
        <f>IF($A1171="",0,P1171*12+O1171)</f>
        <v>0</v>
      </c>
      <c r="V1171" s="40">
        <f>IF($A1171="",0,U1171+MAX(0,N($I1171)-MAX(N($H1171),1)))</f>
        <v>0</v>
      </c>
      <c r="W1171" s="40">
        <f>IF(S1171="",0,YEAR(S1171)*12+MONTH(S1171))</f>
        <v>0</v>
      </c>
      <c r="X1171" s="40">
        <f>IF(W1171=0,0,W1171+V1171-U1171)</f>
        <v>0</v>
      </c>
      <c r="Y1171" s="36">
        <f>IF(W1171=0,0,N(R1171)*MAX(0,X1171-MAX(W1171,YEAR(Cfg_Hoje)*12+MONTH(Cfg_Hoje)+IF(DAY(Cfg_Hoje)&gt;=INDEX(Cartoes_Fech,MATCH($F1171,Cartoes_Nome,0)),1,0))+1))</f>
        <v>0</v>
      </c>
      <c r="Z1171" s="40">
        <f>IF($A1171="",0,DAY($A1171))</f>
        <v>0</v>
      </c>
      <c r="AA1171" s="40">
        <f>IF($A1171="",0,WEEKDAY($A1171))</f>
        <v>0</v>
      </c>
      <c r="AB1171" s="36">
        <f>IF(AND($C1171="Despesa",U1171&gt;0,U1171&lt;=Sel_Idx,V1171&gt;=Sel_Idx),N(R1171)+ROW()/1000000000,0)</f>
        <v>0</v>
      </c>
      <c r="AC1171" s="40">
        <f>IF(AND($C1171="Despesa",U1171&gt;0,U1171&lt;=Sel_Idx,V1171&gt;=Sel_Idx),Z1171*10000+ROW(),0)</f>
        <v>0</v>
      </c>
      <c r="AD1171" s="40">
        <f>IF(AC1171=0,0,COUNTIFS(L_CalChave,"&gt;0",L_CalChave,"&lt;"&amp;AC1171)+1)</f>
        <v>0</v>
      </c>
    </row>
    <row r="1172">
      <c r="A1172" s="38" t="n"/>
      <c r="B1172" s="39" t="n"/>
      <c r="C1172" s="34" t="n"/>
      <c r="D1172" s="34" t="n"/>
      <c r="E1172" s="34" t="n"/>
      <c r="F1172" s="34" t="n"/>
      <c r="G1172" s="34" t="n"/>
      <c r="H1172" s="37" t="n"/>
      <c r="I1172" s="37" t="n"/>
      <c r="J1172" s="34" t="n"/>
      <c r="K1172" s="34" t="n"/>
      <c r="L1172" s="34" t="n"/>
      <c r="M1172" s="39" t="n"/>
      <c r="N1172" s="35" t="n"/>
      <c r="O1172" s="40" t="str">
        <f>IF($A1172="","",MONTH($A1172))</f>
        <v/>
      </c>
      <c r="P1172" s="40" t="str">
        <f>IF($A1172="","",YEAR($A1172))</f>
        <v/>
      </c>
      <c r="Q1172" s="41" t="str">
        <f>IF($A1172="","",DATE(P1172,O1172,1))</f>
        <v/>
      </c>
      <c r="R1172" s="36" t="str">
        <f>IF(OR($A1172="",$N1172=""),"",IF(AND($C1172&lt;&gt;"Transferência",N($I1172)&gt;1),$N1172/$I1172,$N1172))</f>
        <v/>
      </c>
      <c r="S1172" s="41" t="str">
        <f>IF(OR($A1172="",$F1172="",$C1172&lt;&gt;"Despesa"),"",IF(COUNTIF(Cartoes_Nome,$F1172)=0,"",DATE(P1172,O1172+IF(DAY($A1172)&gt;=INDEX(Cartoes_Fech,MATCH($F1172,Cartoes_Nome,0)),1,0),1)))</f>
        <v/>
      </c>
      <c r="T1172" s="42" t="str">
        <f>IF($A1172="","",IF(COUNTIFS(L_Data,$A1172,L_Desc,$B1172,L_Valor,$N1172,L_Tipo,$C1172)&gt;1,"⚠ Possível duplicidade",IF(OR(AND($C1172="Despesa",COUNTIF(CatD_Nome,$D1172)=0),AND($C1172="Receita",COUNTIF(CatR_Nome,$D1172)=0)),"⚠ Categoria não combina com o tipo",IF(OR($N1172="",$C1172=""),"⚠ Falta valor ou tipo",""))))</f>
        <v/>
      </c>
      <c r="U1172" s="40">
        <f>IF($A1172="",0,P1172*12+O1172)</f>
        <v>0</v>
      </c>
      <c r="V1172" s="40">
        <f>IF($A1172="",0,U1172+MAX(0,N($I1172)-MAX(N($H1172),1)))</f>
        <v>0</v>
      </c>
      <c r="W1172" s="40">
        <f>IF(S1172="",0,YEAR(S1172)*12+MONTH(S1172))</f>
        <v>0</v>
      </c>
      <c r="X1172" s="40">
        <f>IF(W1172=0,0,W1172+V1172-U1172)</f>
        <v>0</v>
      </c>
      <c r="Y1172" s="36">
        <f>IF(W1172=0,0,N(R1172)*MAX(0,X1172-MAX(W1172,YEAR(Cfg_Hoje)*12+MONTH(Cfg_Hoje)+IF(DAY(Cfg_Hoje)&gt;=INDEX(Cartoes_Fech,MATCH($F1172,Cartoes_Nome,0)),1,0))+1))</f>
        <v>0</v>
      </c>
      <c r="Z1172" s="40">
        <f>IF($A1172="",0,DAY($A1172))</f>
        <v>0</v>
      </c>
      <c r="AA1172" s="40">
        <f>IF($A1172="",0,WEEKDAY($A1172))</f>
        <v>0</v>
      </c>
      <c r="AB1172" s="36">
        <f>IF(AND($C1172="Despesa",U1172&gt;0,U1172&lt;=Sel_Idx,V1172&gt;=Sel_Idx),N(R1172)+ROW()/1000000000,0)</f>
        <v>0</v>
      </c>
      <c r="AC1172" s="40">
        <f>IF(AND($C1172="Despesa",U1172&gt;0,U1172&lt;=Sel_Idx,V1172&gt;=Sel_Idx),Z1172*10000+ROW(),0)</f>
        <v>0</v>
      </c>
      <c r="AD1172" s="40">
        <f>IF(AC1172=0,0,COUNTIFS(L_CalChave,"&gt;0",L_CalChave,"&lt;"&amp;AC1172)+1)</f>
        <v>0</v>
      </c>
    </row>
    <row r="1173">
      <c r="A1173" s="38" t="n"/>
      <c r="B1173" s="39" t="n"/>
      <c r="C1173" s="34" t="n"/>
      <c r="D1173" s="34" t="n"/>
      <c r="E1173" s="34" t="n"/>
      <c r="F1173" s="34" t="n"/>
      <c r="G1173" s="34" t="n"/>
      <c r="H1173" s="37" t="n"/>
      <c r="I1173" s="37" t="n"/>
      <c r="J1173" s="34" t="n"/>
      <c r="K1173" s="34" t="n"/>
      <c r="L1173" s="34" t="n"/>
      <c r="M1173" s="39" t="n"/>
      <c r="N1173" s="35" t="n"/>
      <c r="O1173" s="40" t="str">
        <f>IF($A1173="","",MONTH($A1173))</f>
        <v/>
      </c>
      <c r="P1173" s="40" t="str">
        <f>IF($A1173="","",YEAR($A1173))</f>
        <v/>
      </c>
      <c r="Q1173" s="41" t="str">
        <f>IF($A1173="","",DATE(P1173,O1173,1))</f>
        <v/>
      </c>
      <c r="R1173" s="36" t="str">
        <f>IF(OR($A1173="",$N1173=""),"",IF(AND($C1173&lt;&gt;"Transferência",N($I1173)&gt;1),$N1173/$I1173,$N1173))</f>
        <v/>
      </c>
      <c r="S1173" s="41" t="str">
        <f>IF(OR($A1173="",$F1173="",$C1173&lt;&gt;"Despesa"),"",IF(COUNTIF(Cartoes_Nome,$F1173)=0,"",DATE(P1173,O1173+IF(DAY($A1173)&gt;=INDEX(Cartoes_Fech,MATCH($F1173,Cartoes_Nome,0)),1,0),1)))</f>
        <v/>
      </c>
      <c r="T1173" s="42" t="str">
        <f>IF($A1173="","",IF(COUNTIFS(L_Data,$A1173,L_Desc,$B1173,L_Valor,$N1173,L_Tipo,$C1173)&gt;1,"⚠ Possível duplicidade",IF(OR(AND($C1173="Despesa",COUNTIF(CatD_Nome,$D1173)=0),AND($C1173="Receita",COUNTIF(CatR_Nome,$D1173)=0)),"⚠ Categoria não combina com o tipo",IF(OR($N1173="",$C1173=""),"⚠ Falta valor ou tipo",""))))</f>
        <v/>
      </c>
      <c r="U1173" s="40">
        <f>IF($A1173="",0,P1173*12+O1173)</f>
        <v>0</v>
      </c>
      <c r="V1173" s="40">
        <f>IF($A1173="",0,U1173+MAX(0,N($I1173)-MAX(N($H1173),1)))</f>
        <v>0</v>
      </c>
      <c r="W1173" s="40">
        <f>IF(S1173="",0,YEAR(S1173)*12+MONTH(S1173))</f>
        <v>0</v>
      </c>
      <c r="X1173" s="40">
        <f>IF(W1173=0,0,W1173+V1173-U1173)</f>
        <v>0</v>
      </c>
      <c r="Y1173" s="36">
        <f>IF(W1173=0,0,N(R1173)*MAX(0,X1173-MAX(W1173,YEAR(Cfg_Hoje)*12+MONTH(Cfg_Hoje)+IF(DAY(Cfg_Hoje)&gt;=INDEX(Cartoes_Fech,MATCH($F1173,Cartoes_Nome,0)),1,0))+1))</f>
        <v>0</v>
      </c>
      <c r="Z1173" s="40">
        <f>IF($A1173="",0,DAY($A1173))</f>
        <v>0</v>
      </c>
      <c r="AA1173" s="40">
        <f>IF($A1173="",0,WEEKDAY($A1173))</f>
        <v>0</v>
      </c>
      <c r="AB1173" s="36">
        <f>IF(AND($C1173="Despesa",U1173&gt;0,U1173&lt;=Sel_Idx,V1173&gt;=Sel_Idx),N(R1173)+ROW()/1000000000,0)</f>
        <v>0</v>
      </c>
      <c r="AC1173" s="40">
        <f>IF(AND($C1173="Despesa",U1173&gt;0,U1173&lt;=Sel_Idx,V1173&gt;=Sel_Idx),Z1173*10000+ROW(),0)</f>
        <v>0</v>
      </c>
      <c r="AD1173" s="40">
        <f>IF(AC1173=0,0,COUNTIFS(L_CalChave,"&gt;0",L_CalChave,"&lt;"&amp;AC1173)+1)</f>
        <v>0</v>
      </c>
    </row>
    <row r="1174">
      <c r="A1174" s="38" t="n"/>
      <c r="B1174" s="39" t="n"/>
      <c r="C1174" s="34" t="n"/>
      <c r="D1174" s="34" t="n"/>
      <c r="E1174" s="34" t="n"/>
      <c r="F1174" s="34" t="n"/>
      <c r="G1174" s="34" t="n"/>
      <c r="H1174" s="37" t="n"/>
      <c r="I1174" s="37" t="n"/>
      <c r="J1174" s="34" t="n"/>
      <c r="K1174" s="34" t="n"/>
      <c r="L1174" s="34" t="n"/>
      <c r="M1174" s="39" t="n"/>
      <c r="N1174" s="35" t="n"/>
      <c r="O1174" s="40" t="str">
        <f>IF($A1174="","",MONTH($A1174))</f>
        <v/>
      </c>
      <c r="P1174" s="40" t="str">
        <f>IF($A1174="","",YEAR($A1174))</f>
        <v/>
      </c>
      <c r="Q1174" s="41" t="str">
        <f>IF($A1174="","",DATE(P1174,O1174,1))</f>
        <v/>
      </c>
      <c r="R1174" s="36" t="str">
        <f>IF(OR($A1174="",$N1174=""),"",IF(AND($C1174&lt;&gt;"Transferência",N($I1174)&gt;1),$N1174/$I1174,$N1174))</f>
        <v/>
      </c>
      <c r="S1174" s="41" t="str">
        <f>IF(OR($A1174="",$F1174="",$C1174&lt;&gt;"Despesa"),"",IF(COUNTIF(Cartoes_Nome,$F1174)=0,"",DATE(P1174,O1174+IF(DAY($A1174)&gt;=INDEX(Cartoes_Fech,MATCH($F1174,Cartoes_Nome,0)),1,0),1)))</f>
        <v/>
      </c>
      <c r="T1174" s="42" t="str">
        <f>IF($A1174="","",IF(COUNTIFS(L_Data,$A1174,L_Desc,$B1174,L_Valor,$N1174,L_Tipo,$C1174)&gt;1,"⚠ Possível duplicidade",IF(OR(AND($C1174="Despesa",COUNTIF(CatD_Nome,$D1174)=0),AND($C1174="Receita",COUNTIF(CatR_Nome,$D1174)=0)),"⚠ Categoria não combina com o tipo",IF(OR($N1174="",$C1174=""),"⚠ Falta valor ou tipo",""))))</f>
        <v/>
      </c>
      <c r="U1174" s="40">
        <f>IF($A1174="",0,P1174*12+O1174)</f>
        <v>0</v>
      </c>
      <c r="V1174" s="40">
        <f>IF($A1174="",0,U1174+MAX(0,N($I1174)-MAX(N($H1174),1)))</f>
        <v>0</v>
      </c>
      <c r="W1174" s="40">
        <f>IF(S1174="",0,YEAR(S1174)*12+MONTH(S1174))</f>
        <v>0</v>
      </c>
      <c r="X1174" s="40">
        <f>IF(W1174=0,0,W1174+V1174-U1174)</f>
        <v>0</v>
      </c>
      <c r="Y1174" s="36">
        <f>IF(W1174=0,0,N(R1174)*MAX(0,X1174-MAX(W1174,YEAR(Cfg_Hoje)*12+MONTH(Cfg_Hoje)+IF(DAY(Cfg_Hoje)&gt;=INDEX(Cartoes_Fech,MATCH($F1174,Cartoes_Nome,0)),1,0))+1))</f>
        <v>0</v>
      </c>
      <c r="Z1174" s="40">
        <f>IF($A1174="",0,DAY($A1174))</f>
        <v>0</v>
      </c>
      <c r="AA1174" s="40">
        <f>IF($A1174="",0,WEEKDAY($A1174))</f>
        <v>0</v>
      </c>
      <c r="AB1174" s="36">
        <f>IF(AND($C1174="Despesa",U1174&gt;0,U1174&lt;=Sel_Idx,V1174&gt;=Sel_Idx),N(R1174)+ROW()/1000000000,0)</f>
        <v>0</v>
      </c>
      <c r="AC1174" s="40">
        <f>IF(AND($C1174="Despesa",U1174&gt;0,U1174&lt;=Sel_Idx,V1174&gt;=Sel_Idx),Z1174*10000+ROW(),0)</f>
        <v>0</v>
      </c>
      <c r="AD1174" s="40">
        <f>IF(AC1174=0,0,COUNTIFS(L_CalChave,"&gt;0",L_CalChave,"&lt;"&amp;AC1174)+1)</f>
        <v>0</v>
      </c>
    </row>
    <row r="1175">
      <c r="A1175" s="38" t="n"/>
      <c r="B1175" s="39" t="n"/>
      <c r="C1175" s="34" t="n"/>
      <c r="D1175" s="34" t="n"/>
      <c r="E1175" s="34" t="n"/>
      <c r="F1175" s="34" t="n"/>
      <c r="G1175" s="34" t="n"/>
      <c r="H1175" s="37" t="n"/>
      <c r="I1175" s="37" t="n"/>
      <c r="J1175" s="34" t="n"/>
      <c r="K1175" s="34" t="n"/>
      <c r="L1175" s="34" t="n"/>
      <c r="M1175" s="39" t="n"/>
      <c r="N1175" s="35" t="n"/>
      <c r="O1175" s="40" t="str">
        <f>IF($A1175="","",MONTH($A1175))</f>
        <v/>
      </c>
      <c r="P1175" s="40" t="str">
        <f>IF($A1175="","",YEAR($A1175))</f>
        <v/>
      </c>
      <c r="Q1175" s="41" t="str">
        <f>IF($A1175="","",DATE(P1175,O1175,1))</f>
        <v/>
      </c>
      <c r="R1175" s="36" t="str">
        <f>IF(OR($A1175="",$N1175=""),"",IF(AND($C1175&lt;&gt;"Transferência",N($I1175)&gt;1),$N1175/$I1175,$N1175))</f>
        <v/>
      </c>
      <c r="S1175" s="41" t="str">
        <f>IF(OR($A1175="",$F1175="",$C1175&lt;&gt;"Despesa"),"",IF(COUNTIF(Cartoes_Nome,$F1175)=0,"",DATE(P1175,O1175+IF(DAY($A1175)&gt;=INDEX(Cartoes_Fech,MATCH($F1175,Cartoes_Nome,0)),1,0),1)))</f>
        <v/>
      </c>
      <c r="T1175" s="42" t="str">
        <f>IF($A1175="","",IF(COUNTIFS(L_Data,$A1175,L_Desc,$B1175,L_Valor,$N1175,L_Tipo,$C1175)&gt;1,"⚠ Possível duplicidade",IF(OR(AND($C1175="Despesa",COUNTIF(CatD_Nome,$D1175)=0),AND($C1175="Receita",COUNTIF(CatR_Nome,$D1175)=0)),"⚠ Categoria não combina com o tipo",IF(OR($N1175="",$C1175=""),"⚠ Falta valor ou tipo",""))))</f>
        <v/>
      </c>
      <c r="U1175" s="40">
        <f>IF($A1175="",0,P1175*12+O1175)</f>
        <v>0</v>
      </c>
      <c r="V1175" s="40">
        <f>IF($A1175="",0,U1175+MAX(0,N($I1175)-MAX(N($H1175),1)))</f>
        <v>0</v>
      </c>
      <c r="W1175" s="40">
        <f>IF(S1175="",0,YEAR(S1175)*12+MONTH(S1175))</f>
        <v>0</v>
      </c>
      <c r="X1175" s="40">
        <f>IF(W1175=0,0,W1175+V1175-U1175)</f>
        <v>0</v>
      </c>
      <c r="Y1175" s="36">
        <f>IF(W1175=0,0,N(R1175)*MAX(0,X1175-MAX(W1175,YEAR(Cfg_Hoje)*12+MONTH(Cfg_Hoje)+IF(DAY(Cfg_Hoje)&gt;=INDEX(Cartoes_Fech,MATCH($F1175,Cartoes_Nome,0)),1,0))+1))</f>
        <v>0</v>
      </c>
      <c r="Z1175" s="40">
        <f>IF($A1175="",0,DAY($A1175))</f>
        <v>0</v>
      </c>
      <c r="AA1175" s="40">
        <f>IF($A1175="",0,WEEKDAY($A1175))</f>
        <v>0</v>
      </c>
      <c r="AB1175" s="36">
        <f>IF(AND($C1175="Despesa",U1175&gt;0,U1175&lt;=Sel_Idx,V1175&gt;=Sel_Idx),N(R1175)+ROW()/1000000000,0)</f>
        <v>0</v>
      </c>
      <c r="AC1175" s="40">
        <f>IF(AND($C1175="Despesa",U1175&gt;0,U1175&lt;=Sel_Idx,V1175&gt;=Sel_Idx),Z1175*10000+ROW(),0)</f>
        <v>0</v>
      </c>
      <c r="AD1175" s="40">
        <f>IF(AC1175=0,0,COUNTIFS(L_CalChave,"&gt;0",L_CalChave,"&lt;"&amp;AC1175)+1)</f>
        <v>0</v>
      </c>
    </row>
    <row r="1176">
      <c r="A1176" s="38" t="n"/>
      <c r="B1176" s="39" t="n"/>
      <c r="C1176" s="34" t="n"/>
      <c r="D1176" s="34" t="n"/>
      <c r="E1176" s="34" t="n"/>
      <c r="F1176" s="34" t="n"/>
      <c r="G1176" s="34" t="n"/>
      <c r="H1176" s="37" t="n"/>
      <c r="I1176" s="37" t="n"/>
      <c r="J1176" s="34" t="n"/>
      <c r="K1176" s="34" t="n"/>
      <c r="L1176" s="34" t="n"/>
      <c r="M1176" s="39" t="n"/>
      <c r="N1176" s="35" t="n"/>
      <c r="O1176" s="40" t="str">
        <f>IF($A1176="","",MONTH($A1176))</f>
        <v/>
      </c>
      <c r="P1176" s="40" t="str">
        <f>IF($A1176="","",YEAR($A1176))</f>
        <v/>
      </c>
      <c r="Q1176" s="41" t="str">
        <f>IF($A1176="","",DATE(P1176,O1176,1))</f>
        <v/>
      </c>
      <c r="R1176" s="36" t="str">
        <f>IF(OR($A1176="",$N1176=""),"",IF(AND($C1176&lt;&gt;"Transferência",N($I1176)&gt;1),$N1176/$I1176,$N1176))</f>
        <v/>
      </c>
      <c r="S1176" s="41" t="str">
        <f>IF(OR($A1176="",$F1176="",$C1176&lt;&gt;"Despesa"),"",IF(COUNTIF(Cartoes_Nome,$F1176)=0,"",DATE(P1176,O1176+IF(DAY($A1176)&gt;=INDEX(Cartoes_Fech,MATCH($F1176,Cartoes_Nome,0)),1,0),1)))</f>
        <v/>
      </c>
      <c r="T1176" s="42" t="str">
        <f>IF($A1176="","",IF(COUNTIFS(L_Data,$A1176,L_Desc,$B1176,L_Valor,$N1176,L_Tipo,$C1176)&gt;1,"⚠ Possível duplicidade",IF(OR(AND($C1176="Despesa",COUNTIF(CatD_Nome,$D1176)=0),AND($C1176="Receita",COUNTIF(CatR_Nome,$D1176)=0)),"⚠ Categoria não combina com o tipo",IF(OR($N1176="",$C1176=""),"⚠ Falta valor ou tipo",""))))</f>
        <v/>
      </c>
      <c r="U1176" s="40">
        <f>IF($A1176="",0,P1176*12+O1176)</f>
        <v>0</v>
      </c>
      <c r="V1176" s="40">
        <f>IF($A1176="",0,U1176+MAX(0,N($I1176)-MAX(N($H1176),1)))</f>
        <v>0</v>
      </c>
      <c r="W1176" s="40">
        <f>IF(S1176="",0,YEAR(S1176)*12+MONTH(S1176))</f>
        <v>0</v>
      </c>
      <c r="X1176" s="40">
        <f>IF(W1176=0,0,W1176+V1176-U1176)</f>
        <v>0</v>
      </c>
      <c r="Y1176" s="36">
        <f>IF(W1176=0,0,N(R1176)*MAX(0,X1176-MAX(W1176,YEAR(Cfg_Hoje)*12+MONTH(Cfg_Hoje)+IF(DAY(Cfg_Hoje)&gt;=INDEX(Cartoes_Fech,MATCH($F1176,Cartoes_Nome,0)),1,0))+1))</f>
        <v>0</v>
      </c>
      <c r="Z1176" s="40">
        <f>IF($A1176="",0,DAY($A1176))</f>
        <v>0</v>
      </c>
      <c r="AA1176" s="40">
        <f>IF($A1176="",0,WEEKDAY($A1176))</f>
        <v>0</v>
      </c>
      <c r="AB1176" s="36">
        <f>IF(AND($C1176="Despesa",U1176&gt;0,U1176&lt;=Sel_Idx,V1176&gt;=Sel_Idx),N(R1176)+ROW()/1000000000,0)</f>
        <v>0</v>
      </c>
      <c r="AC1176" s="40">
        <f>IF(AND($C1176="Despesa",U1176&gt;0,U1176&lt;=Sel_Idx,V1176&gt;=Sel_Idx),Z1176*10000+ROW(),0)</f>
        <v>0</v>
      </c>
      <c r="AD1176" s="40">
        <f>IF(AC1176=0,0,COUNTIFS(L_CalChave,"&gt;0",L_CalChave,"&lt;"&amp;AC1176)+1)</f>
        <v>0</v>
      </c>
    </row>
    <row r="1177">
      <c r="A1177" s="38" t="n"/>
      <c r="B1177" s="39" t="n"/>
      <c r="C1177" s="34" t="n"/>
      <c r="D1177" s="34" t="n"/>
      <c r="E1177" s="34" t="n"/>
      <c r="F1177" s="34" t="n"/>
      <c r="G1177" s="34" t="n"/>
      <c r="H1177" s="37" t="n"/>
      <c r="I1177" s="37" t="n"/>
      <c r="J1177" s="34" t="n"/>
      <c r="K1177" s="34" t="n"/>
      <c r="L1177" s="34" t="n"/>
      <c r="M1177" s="39" t="n"/>
      <c r="N1177" s="35" t="n"/>
      <c r="O1177" s="40" t="str">
        <f>IF($A1177="","",MONTH($A1177))</f>
        <v/>
      </c>
      <c r="P1177" s="40" t="str">
        <f>IF($A1177="","",YEAR($A1177))</f>
        <v/>
      </c>
      <c r="Q1177" s="41" t="str">
        <f>IF($A1177="","",DATE(P1177,O1177,1))</f>
        <v/>
      </c>
      <c r="R1177" s="36" t="str">
        <f>IF(OR($A1177="",$N1177=""),"",IF(AND($C1177&lt;&gt;"Transferência",N($I1177)&gt;1),$N1177/$I1177,$N1177))</f>
        <v/>
      </c>
      <c r="S1177" s="41" t="str">
        <f>IF(OR($A1177="",$F1177="",$C1177&lt;&gt;"Despesa"),"",IF(COUNTIF(Cartoes_Nome,$F1177)=0,"",DATE(P1177,O1177+IF(DAY($A1177)&gt;=INDEX(Cartoes_Fech,MATCH($F1177,Cartoes_Nome,0)),1,0),1)))</f>
        <v/>
      </c>
      <c r="T1177" s="42" t="str">
        <f>IF($A1177="","",IF(COUNTIFS(L_Data,$A1177,L_Desc,$B1177,L_Valor,$N1177,L_Tipo,$C1177)&gt;1,"⚠ Possível duplicidade",IF(OR(AND($C1177="Despesa",COUNTIF(CatD_Nome,$D1177)=0),AND($C1177="Receita",COUNTIF(CatR_Nome,$D1177)=0)),"⚠ Categoria não combina com o tipo",IF(OR($N1177="",$C1177=""),"⚠ Falta valor ou tipo",""))))</f>
        <v/>
      </c>
      <c r="U1177" s="40">
        <f>IF($A1177="",0,P1177*12+O1177)</f>
        <v>0</v>
      </c>
      <c r="V1177" s="40">
        <f>IF($A1177="",0,U1177+MAX(0,N($I1177)-MAX(N($H1177),1)))</f>
        <v>0</v>
      </c>
      <c r="W1177" s="40">
        <f>IF(S1177="",0,YEAR(S1177)*12+MONTH(S1177))</f>
        <v>0</v>
      </c>
      <c r="X1177" s="40">
        <f>IF(W1177=0,0,W1177+V1177-U1177)</f>
        <v>0</v>
      </c>
      <c r="Y1177" s="36">
        <f>IF(W1177=0,0,N(R1177)*MAX(0,X1177-MAX(W1177,YEAR(Cfg_Hoje)*12+MONTH(Cfg_Hoje)+IF(DAY(Cfg_Hoje)&gt;=INDEX(Cartoes_Fech,MATCH($F1177,Cartoes_Nome,0)),1,0))+1))</f>
        <v>0</v>
      </c>
      <c r="Z1177" s="40">
        <f>IF($A1177="",0,DAY($A1177))</f>
        <v>0</v>
      </c>
      <c r="AA1177" s="40">
        <f>IF($A1177="",0,WEEKDAY($A1177))</f>
        <v>0</v>
      </c>
      <c r="AB1177" s="36">
        <f>IF(AND($C1177="Despesa",U1177&gt;0,U1177&lt;=Sel_Idx,V1177&gt;=Sel_Idx),N(R1177)+ROW()/1000000000,0)</f>
        <v>0</v>
      </c>
      <c r="AC1177" s="40">
        <f>IF(AND($C1177="Despesa",U1177&gt;0,U1177&lt;=Sel_Idx,V1177&gt;=Sel_Idx),Z1177*10000+ROW(),0)</f>
        <v>0</v>
      </c>
      <c r="AD1177" s="40">
        <f>IF(AC1177=0,0,COUNTIFS(L_CalChave,"&gt;0",L_CalChave,"&lt;"&amp;AC1177)+1)</f>
        <v>0</v>
      </c>
    </row>
    <row r="1178">
      <c r="A1178" s="38" t="n"/>
      <c r="B1178" s="39" t="n"/>
      <c r="C1178" s="34" t="n"/>
      <c r="D1178" s="34" t="n"/>
      <c r="E1178" s="34" t="n"/>
      <c r="F1178" s="34" t="n"/>
      <c r="G1178" s="34" t="n"/>
      <c r="H1178" s="37" t="n"/>
      <c r="I1178" s="37" t="n"/>
      <c r="J1178" s="34" t="n"/>
      <c r="K1178" s="34" t="n"/>
      <c r="L1178" s="34" t="n"/>
      <c r="M1178" s="39" t="n"/>
      <c r="N1178" s="35" t="n"/>
      <c r="O1178" s="40" t="str">
        <f>IF($A1178="","",MONTH($A1178))</f>
        <v/>
      </c>
      <c r="P1178" s="40" t="str">
        <f>IF($A1178="","",YEAR($A1178))</f>
        <v/>
      </c>
      <c r="Q1178" s="41" t="str">
        <f>IF($A1178="","",DATE(P1178,O1178,1))</f>
        <v/>
      </c>
      <c r="R1178" s="36" t="str">
        <f>IF(OR($A1178="",$N1178=""),"",IF(AND($C1178&lt;&gt;"Transferência",N($I1178)&gt;1),$N1178/$I1178,$N1178))</f>
        <v/>
      </c>
      <c r="S1178" s="41" t="str">
        <f>IF(OR($A1178="",$F1178="",$C1178&lt;&gt;"Despesa"),"",IF(COUNTIF(Cartoes_Nome,$F1178)=0,"",DATE(P1178,O1178+IF(DAY($A1178)&gt;=INDEX(Cartoes_Fech,MATCH($F1178,Cartoes_Nome,0)),1,0),1)))</f>
        <v/>
      </c>
      <c r="T1178" s="42" t="str">
        <f>IF($A1178="","",IF(COUNTIFS(L_Data,$A1178,L_Desc,$B1178,L_Valor,$N1178,L_Tipo,$C1178)&gt;1,"⚠ Possível duplicidade",IF(OR(AND($C1178="Despesa",COUNTIF(CatD_Nome,$D1178)=0),AND($C1178="Receita",COUNTIF(CatR_Nome,$D1178)=0)),"⚠ Categoria não combina com o tipo",IF(OR($N1178="",$C1178=""),"⚠ Falta valor ou tipo",""))))</f>
        <v/>
      </c>
      <c r="U1178" s="40">
        <f>IF($A1178="",0,P1178*12+O1178)</f>
        <v>0</v>
      </c>
      <c r="V1178" s="40">
        <f>IF($A1178="",0,U1178+MAX(0,N($I1178)-MAX(N($H1178),1)))</f>
        <v>0</v>
      </c>
      <c r="W1178" s="40">
        <f>IF(S1178="",0,YEAR(S1178)*12+MONTH(S1178))</f>
        <v>0</v>
      </c>
      <c r="X1178" s="40">
        <f>IF(W1178=0,0,W1178+V1178-U1178)</f>
        <v>0</v>
      </c>
      <c r="Y1178" s="36">
        <f>IF(W1178=0,0,N(R1178)*MAX(0,X1178-MAX(W1178,YEAR(Cfg_Hoje)*12+MONTH(Cfg_Hoje)+IF(DAY(Cfg_Hoje)&gt;=INDEX(Cartoes_Fech,MATCH($F1178,Cartoes_Nome,0)),1,0))+1))</f>
        <v>0</v>
      </c>
      <c r="Z1178" s="40">
        <f>IF($A1178="",0,DAY($A1178))</f>
        <v>0</v>
      </c>
      <c r="AA1178" s="40">
        <f>IF($A1178="",0,WEEKDAY($A1178))</f>
        <v>0</v>
      </c>
      <c r="AB1178" s="36">
        <f>IF(AND($C1178="Despesa",U1178&gt;0,U1178&lt;=Sel_Idx,V1178&gt;=Sel_Idx),N(R1178)+ROW()/1000000000,0)</f>
        <v>0</v>
      </c>
      <c r="AC1178" s="40">
        <f>IF(AND($C1178="Despesa",U1178&gt;0,U1178&lt;=Sel_Idx,V1178&gt;=Sel_Idx),Z1178*10000+ROW(),0)</f>
        <v>0</v>
      </c>
      <c r="AD1178" s="40">
        <f>IF(AC1178=0,0,COUNTIFS(L_CalChave,"&gt;0",L_CalChave,"&lt;"&amp;AC1178)+1)</f>
        <v>0</v>
      </c>
    </row>
    <row r="1179">
      <c r="A1179" s="38" t="n"/>
      <c r="B1179" s="39" t="n"/>
      <c r="C1179" s="34" t="n"/>
      <c r="D1179" s="34" t="n"/>
      <c r="E1179" s="34" t="n"/>
      <c r="F1179" s="34" t="n"/>
      <c r="G1179" s="34" t="n"/>
      <c r="H1179" s="37" t="n"/>
      <c r="I1179" s="37" t="n"/>
      <c r="J1179" s="34" t="n"/>
      <c r="K1179" s="34" t="n"/>
      <c r="L1179" s="34" t="n"/>
      <c r="M1179" s="39" t="n"/>
      <c r="N1179" s="35" t="n"/>
      <c r="O1179" s="40" t="str">
        <f>IF($A1179="","",MONTH($A1179))</f>
        <v/>
      </c>
      <c r="P1179" s="40" t="str">
        <f>IF($A1179="","",YEAR($A1179))</f>
        <v/>
      </c>
      <c r="Q1179" s="41" t="str">
        <f>IF($A1179="","",DATE(P1179,O1179,1))</f>
        <v/>
      </c>
      <c r="R1179" s="36" t="str">
        <f>IF(OR($A1179="",$N1179=""),"",IF(AND($C1179&lt;&gt;"Transferência",N($I1179)&gt;1),$N1179/$I1179,$N1179))</f>
        <v/>
      </c>
      <c r="S1179" s="41" t="str">
        <f>IF(OR($A1179="",$F1179="",$C1179&lt;&gt;"Despesa"),"",IF(COUNTIF(Cartoes_Nome,$F1179)=0,"",DATE(P1179,O1179+IF(DAY($A1179)&gt;=INDEX(Cartoes_Fech,MATCH($F1179,Cartoes_Nome,0)),1,0),1)))</f>
        <v/>
      </c>
      <c r="T1179" s="42" t="str">
        <f>IF($A1179="","",IF(COUNTIFS(L_Data,$A1179,L_Desc,$B1179,L_Valor,$N1179,L_Tipo,$C1179)&gt;1,"⚠ Possível duplicidade",IF(OR(AND($C1179="Despesa",COUNTIF(CatD_Nome,$D1179)=0),AND($C1179="Receita",COUNTIF(CatR_Nome,$D1179)=0)),"⚠ Categoria não combina com o tipo",IF(OR($N1179="",$C1179=""),"⚠ Falta valor ou tipo",""))))</f>
        <v/>
      </c>
      <c r="U1179" s="40">
        <f>IF($A1179="",0,P1179*12+O1179)</f>
        <v>0</v>
      </c>
      <c r="V1179" s="40">
        <f>IF($A1179="",0,U1179+MAX(0,N($I1179)-MAX(N($H1179),1)))</f>
        <v>0</v>
      </c>
      <c r="W1179" s="40">
        <f>IF(S1179="",0,YEAR(S1179)*12+MONTH(S1179))</f>
        <v>0</v>
      </c>
      <c r="X1179" s="40">
        <f>IF(W1179=0,0,W1179+V1179-U1179)</f>
        <v>0</v>
      </c>
      <c r="Y1179" s="36">
        <f>IF(W1179=0,0,N(R1179)*MAX(0,X1179-MAX(W1179,YEAR(Cfg_Hoje)*12+MONTH(Cfg_Hoje)+IF(DAY(Cfg_Hoje)&gt;=INDEX(Cartoes_Fech,MATCH($F1179,Cartoes_Nome,0)),1,0))+1))</f>
        <v>0</v>
      </c>
      <c r="Z1179" s="40">
        <f>IF($A1179="",0,DAY($A1179))</f>
        <v>0</v>
      </c>
      <c r="AA1179" s="40">
        <f>IF($A1179="",0,WEEKDAY($A1179))</f>
        <v>0</v>
      </c>
      <c r="AB1179" s="36">
        <f>IF(AND($C1179="Despesa",U1179&gt;0,U1179&lt;=Sel_Idx,V1179&gt;=Sel_Idx),N(R1179)+ROW()/1000000000,0)</f>
        <v>0</v>
      </c>
      <c r="AC1179" s="40">
        <f>IF(AND($C1179="Despesa",U1179&gt;0,U1179&lt;=Sel_Idx,V1179&gt;=Sel_Idx),Z1179*10000+ROW(),0)</f>
        <v>0</v>
      </c>
      <c r="AD1179" s="40">
        <f>IF(AC1179=0,0,COUNTIFS(L_CalChave,"&gt;0",L_CalChave,"&lt;"&amp;AC1179)+1)</f>
        <v>0</v>
      </c>
    </row>
    <row r="1180">
      <c r="A1180" s="38" t="n"/>
      <c r="B1180" s="39" t="n"/>
      <c r="C1180" s="34" t="n"/>
      <c r="D1180" s="34" t="n"/>
      <c r="E1180" s="34" t="n"/>
      <c r="F1180" s="34" t="n"/>
      <c r="G1180" s="34" t="n"/>
      <c r="H1180" s="37" t="n"/>
      <c r="I1180" s="37" t="n"/>
      <c r="J1180" s="34" t="n"/>
      <c r="K1180" s="34" t="n"/>
      <c r="L1180" s="34" t="n"/>
      <c r="M1180" s="39" t="n"/>
      <c r="N1180" s="35" t="n"/>
      <c r="O1180" s="40" t="str">
        <f>IF($A1180="","",MONTH($A1180))</f>
        <v/>
      </c>
      <c r="P1180" s="40" t="str">
        <f>IF($A1180="","",YEAR($A1180))</f>
        <v/>
      </c>
      <c r="Q1180" s="41" t="str">
        <f>IF($A1180="","",DATE(P1180,O1180,1))</f>
        <v/>
      </c>
      <c r="R1180" s="36" t="str">
        <f>IF(OR($A1180="",$N1180=""),"",IF(AND($C1180&lt;&gt;"Transferência",N($I1180)&gt;1),$N1180/$I1180,$N1180))</f>
        <v/>
      </c>
      <c r="S1180" s="41" t="str">
        <f>IF(OR($A1180="",$F1180="",$C1180&lt;&gt;"Despesa"),"",IF(COUNTIF(Cartoes_Nome,$F1180)=0,"",DATE(P1180,O1180+IF(DAY($A1180)&gt;=INDEX(Cartoes_Fech,MATCH($F1180,Cartoes_Nome,0)),1,0),1)))</f>
        <v/>
      </c>
      <c r="T1180" s="42" t="str">
        <f>IF($A1180="","",IF(COUNTIFS(L_Data,$A1180,L_Desc,$B1180,L_Valor,$N1180,L_Tipo,$C1180)&gt;1,"⚠ Possível duplicidade",IF(OR(AND($C1180="Despesa",COUNTIF(CatD_Nome,$D1180)=0),AND($C1180="Receita",COUNTIF(CatR_Nome,$D1180)=0)),"⚠ Categoria não combina com o tipo",IF(OR($N1180="",$C1180=""),"⚠ Falta valor ou tipo",""))))</f>
        <v/>
      </c>
      <c r="U1180" s="40">
        <f>IF($A1180="",0,P1180*12+O1180)</f>
        <v>0</v>
      </c>
      <c r="V1180" s="40">
        <f>IF($A1180="",0,U1180+MAX(0,N($I1180)-MAX(N($H1180),1)))</f>
        <v>0</v>
      </c>
      <c r="W1180" s="40">
        <f>IF(S1180="",0,YEAR(S1180)*12+MONTH(S1180))</f>
        <v>0</v>
      </c>
      <c r="X1180" s="40">
        <f>IF(W1180=0,0,W1180+V1180-U1180)</f>
        <v>0</v>
      </c>
      <c r="Y1180" s="36">
        <f>IF(W1180=0,0,N(R1180)*MAX(0,X1180-MAX(W1180,YEAR(Cfg_Hoje)*12+MONTH(Cfg_Hoje)+IF(DAY(Cfg_Hoje)&gt;=INDEX(Cartoes_Fech,MATCH($F1180,Cartoes_Nome,0)),1,0))+1))</f>
        <v>0</v>
      </c>
      <c r="Z1180" s="40">
        <f>IF($A1180="",0,DAY($A1180))</f>
        <v>0</v>
      </c>
      <c r="AA1180" s="40">
        <f>IF($A1180="",0,WEEKDAY($A1180))</f>
        <v>0</v>
      </c>
      <c r="AB1180" s="36">
        <f>IF(AND($C1180="Despesa",U1180&gt;0,U1180&lt;=Sel_Idx,V1180&gt;=Sel_Idx),N(R1180)+ROW()/1000000000,0)</f>
        <v>0</v>
      </c>
      <c r="AC1180" s="40">
        <f>IF(AND($C1180="Despesa",U1180&gt;0,U1180&lt;=Sel_Idx,V1180&gt;=Sel_Idx),Z1180*10000+ROW(),0)</f>
        <v>0</v>
      </c>
      <c r="AD1180" s="40">
        <f>IF(AC1180=0,0,COUNTIFS(L_CalChave,"&gt;0",L_CalChave,"&lt;"&amp;AC1180)+1)</f>
        <v>0</v>
      </c>
    </row>
    <row r="1181">
      <c r="A1181" s="38" t="n"/>
      <c r="B1181" s="39" t="n"/>
      <c r="C1181" s="34" t="n"/>
      <c r="D1181" s="34" t="n"/>
      <c r="E1181" s="34" t="n"/>
      <c r="F1181" s="34" t="n"/>
      <c r="G1181" s="34" t="n"/>
      <c r="H1181" s="37" t="n"/>
      <c r="I1181" s="37" t="n"/>
      <c r="J1181" s="34" t="n"/>
      <c r="K1181" s="34" t="n"/>
      <c r="L1181" s="34" t="n"/>
      <c r="M1181" s="39" t="n"/>
      <c r="N1181" s="35" t="n"/>
      <c r="O1181" s="40" t="str">
        <f>IF($A1181="","",MONTH($A1181))</f>
        <v/>
      </c>
      <c r="P1181" s="40" t="str">
        <f>IF($A1181="","",YEAR($A1181))</f>
        <v/>
      </c>
      <c r="Q1181" s="41" t="str">
        <f>IF($A1181="","",DATE(P1181,O1181,1))</f>
        <v/>
      </c>
      <c r="R1181" s="36" t="str">
        <f>IF(OR($A1181="",$N1181=""),"",IF(AND($C1181&lt;&gt;"Transferência",N($I1181)&gt;1),$N1181/$I1181,$N1181))</f>
        <v/>
      </c>
      <c r="S1181" s="41" t="str">
        <f>IF(OR($A1181="",$F1181="",$C1181&lt;&gt;"Despesa"),"",IF(COUNTIF(Cartoes_Nome,$F1181)=0,"",DATE(P1181,O1181+IF(DAY($A1181)&gt;=INDEX(Cartoes_Fech,MATCH($F1181,Cartoes_Nome,0)),1,0),1)))</f>
        <v/>
      </c>
      <c r="T1181" s="42" t="str">
        <f>IF($A1181="","",IF(COUNTIFS(L_Data,$A1181,L_Desc,$B1181,L_Valor,$N1181,L_Tipo,$C1181)&gt;1,"⚠ Possível duplicidade",IF(OR(AND($C1181="Despesa",COUNTIF(CatD_Nome,$D1181)=0),AND($C1181="Receita",COUNTIF(CatR_Nome,$D1181)=0)),"⚠ Categoria não combina com o tipo",IF(OR($N1181="",$C1181=""),"⚠ Falta valor ou tipo",""))))</f>
        <v/>
      </c>
      <c r="U1181" s="40">
        <f>IF($A1181="",0,P1181*12+O1181)</f>
        <v>0</v>
      </c>
      <c r="V1181" s="40">
        <f>IF($A1181="",0,U1181+MAX(0,N($I1181)-MAX(N($H1181),1)))</f>
        <v>0</v>
      </c>
      <c r="W1181" s="40">
        <f>IF(S1181="",0,YEAR(S1181)*12+MONTH(S1181))</f>
        <v>0</v>
      </c>
      <c r="X1181" s="40">
        <f>IF(W1181=0,0,W1181+V1181-U1181)</f>
        <v>0</v>
      </c>
      <c r="Y1181" s="36">
        <f>IF(W1181=0,0,N(R1181)*MAX(0,X1181-MAX(W1181,YEAR(Cfg_Hoje)*12+MONTH(Cfg_Hoje)+IF(DAY(Cfg_Hoje)&gt;=INDEX(Cartoes_Fech,MATCH($F1181,Cartoes_Nome,0)),1,0))+1))</f>
        <v>0</v>
      </c>
      <c r="Z1181" s="40">
        <f>IF($A1181="",0,DAY($A1181))</f>
        <v>0</v>
      </c>
      <c r="AA1181" s="40">
        <f>IF($A1181="",0,WEEKDAY($A1181))</f>
        <v>0</v>
      </c>
      <c r="AB1181" s="36">
        <f>IF(AND($C1181="Despesa",U1181&gt;0,U1181&lt;=Sel_Idx,V1181&gt;=Sel_Idx),N(R1181)+ROW()/1000000000,0)</f>
        <v>0</v>
      </c>
      <c r="AC1181" s="40">
        <f>IF(AND($C1181="Despesa",U1181&gt;0,U1181&lt;=Sel_Idx,V1181&gt;=Sel_Idx),Z1181*10000+ROW(),0)</f>
        <v>0</v>
      </c>
      <c r="AD1181" s="40">
        <f>IF(AC1181=0,0,COUNTIFS(L_CalChave,"&gt;0",L_CalChave,"&lt;"&amp;AC1181)+1)</f>
        <v>0</v>
      </c>
    </row>
    <row r="1182">
      <c r="A1182" s="38" t="n"/>
      <c r="B1182" s="39" t="n"/>
      <c r="C1182" s="34" t="n"/>
      <c r="D1182" s="34" t="n"/>
      <c r="E1182" s="34" t="n"/>
      <c r="F1182" s="34" t="n"/>
      <c r="G1182" s="34" t="n"/>
      <c r="H1182" s="37" t="n"/>
      <c r="I1182" s="37" t="n"/>
      <c r="J1182" s="34" t="n"/>
      <c r="K1182" s="34" t="n"/>
      <c r="L1182" s="34" t="n"/>
      <c r="M1182" s="39" t="n"/>
      <c r="N1182" s="35" t="n"/>
      <c r="O1182" s="40" t="str">
        <f>IF($A1182="","",MONTH($A1182))</f>
        <v/>
      </c>
      <c r="P1182" s="40" t="str">
        <f>IF($A1182="","",YEAR($A1182))</f>
        <v/>
      </c>
      <c r="Q1182" s="41" t="str">
        <f>IF($A1182="","",DATE(P1182,O1182,1))</f>
        <v/>
      </c>
      <c r="R1182" s="36" t="str">
        <f>IF(OR($A1182="",$N1182=""),"",IF(AND($C1182&lt;&gt;"Transferência",N($I1182)&gt;1),$N1182/$I1182,$N1182))</f>
        <v/>
      </c>
      <c r="S1182" s="41" t="str">
        <f>IF(OR($A1182="",$F1182="",$C1182&lt;&gt;"Despesa"),"",IF(COUNTIF(Cartoes_Nome,$F1182)=0,"",DATE(P1182,O1182+IF(DAY($A1182)&gt;=INDEX(Cartoes_Fech,MATCH($F1182,Cartoes_Nome,0)),1,0),1)))</f>
        <v/>
      </c>
      <c r="T1182" s="42" t="str">
        <f>IF($A1182="","",IF(COUNTIFS(L_Data,$A1182,L_Desc,$B1182,L_Valor,$N1182,L_Tipo,$C1182)&gt;1,"⚠ Possível duplicidade",IF(OR(AND($C1182="Despesa",COUNTIF(CatD_Nome,$D1182)=0),AND($C1182="Receita",COUNTIF(CatR_Nome,$D1182)=0)),"⚠ Categoria não combina com o tipo",IF(OR($N1182="",$C1182=""),"⚠ Falta valor ou tipo",""))))</f>
        <v/>
      </c>
      <c r="U1182" s="40">
        <f>IF($A1182="",0,P1182*12+O1182)</f>
        <v>0</v>
      </c>
      <c r="V1182" s="40">
        <f>IF($A1182="",0,U1182+MAX(0,N($I1182)-MAX(N($H1182),1)))</f>
        <v>0</v>
      </c>
      <c r="W1182" s="40">
        <f>IF(S1182="",0,YEAR(S1182)*12+MONTH(S1182))</f>
        <v>0</v>
      </c>
      <c r="X1182" s="40">
        <f>IF(W1182=0,0,W1182+V1182-U1182)</f>
        <v>0</v>
      </c>
      <c r="Y1182" s="36">
        <f>IF(W1182=0,0,N(R1182)*MAX(0,X1182-MAX(W1182,YEAR(Cfg_Hoje)*12+MONTH(Cfg_Hoje)+IF(DAY(Cfg_Hoje)&gt;=INDEX(Cartoes_Fech,MATCH($F1182,Cartoes_Nome,0)),1,0))+1))</f>
        <v>0</v>
      </c>
      <c r="Z1182" s="40">
        <f>IF($A1182="",0,DAY($A1182))</f>
        <v>0</v>
      </c>
      <c r="AA1182" s="40">
        <f>IF($A1182="",0,WEEKDAY($A1182))</f>
        <v>0</v>
      </c>
      <c r="AB1182" s="36">
        <f>IF(AND($C1182="Despesa",U1182&gt;0,U1182&lt;=Sel_Idx,V1182&gt;=Sel_Idx),N(R1182)+ROW()/1000000000,0)</f>
        <v>0</v>
      </c>
      <c r="AC1182" s="40">
        <f>IF(AND($C1182="Despesa",U1182&gt;0,U1182&lt;=Sel_Idx,V1182&gt;=Sel_Idx),Z1182*10000+ROW(),0)</f>
        <v>0</v>
      </c>
      <c r="AD1182" s="40">
        <f>IF(AC1182=0,0,COUNTIFS(L_CalChave,"&gt;0",L_CalChave,"&lt;"&amp;AC1182)+1)</f>
        <v>0</v>
      </c>
    </row>
    <row r="1183">
      <c r="A1183" s="38" t="n"/>
      <c r="B1183" s="39" t="n"/>
      <c r="C1183" s="34" t="n"/>
      <c r="D1183" s="34" t="n"/>
      <c r="E1183" s="34" t="n"/>
      <c r="F1183" s="34" t="n"/>
      <c r="G1183" s="34" t="n"/>
      <c r="H1183" s="37" t="n"/>
      <c r="I1183" s="37" t="n"/>
      <c r="J1183" s="34" t="n"/>
      <c r="K1183" s="34" t="n"/>
      <c r="L1183" s="34" t="n"/>
      <c r="M1183" s="39" t="n"/>
      <c r="N1183" s="35" t="n"/>
      <c r="O1183" s="40" t="str">
        <f>IF($A1183="","",MONTH($A1183))</f>
        <v/>
      </c>
      <c r="P1183" s="40" t="str">
        <f>IF($A1183="","",YEAR($A1183))</f>
        <v/>
      </c>
      <c r="Q1183" s="41" t="str">
        <f>IF($A1183="","",DATE(P1183,O1183,1))</f>
        <v/>
      </c>
      <c r="R1183" s="36" t="str">
        <f>IF(OR($A1183="",$N1183=""),"",IF(AND($C1183&lt;&gt;"Transferência",N($I1183)&gt;1),$N1183/$I1183,$N1183))</f>
        <v/>
      </c>
      <c r="S1183" s="41" t="str">
        <f>IF(OR($A1183="",$F1183="",$C1183&lt;&gt;"Despesa"),"",IF(COUNTIF(Cartoes_Nome,$F1183)=0,"",DATE(P1183,O1183+IF(DAY($A1183)&gt;=INDEX(Cartoes_Fech,MATCH($F1183,Cartoes_Nome,0)),1,0),1)))</f>
        <v/>
      </c>
      <c r="T1183" s="42" t="str">
        <f>IF($A1183="","",IF(COUNTIFS(L_Data,$A1183,L_Desc,$B1183,L_Valor,$N1183,L_Tipo,$C1183)&gt;1,"⚠ Possível duplicidade",IF(OR(AND($C1183="Despesa",COUNTIF(CatD_Nome,$D1183)=0),AND($C1183="Receita",COUNTIF(CatR_Nome,$D1183)=0)),"⚠ Categoria não combina com o tipo",IF(OR($N1183="",$C1183=""),"⚠ Falta valor ou tipo",""))))</f>
        <v/>
      </c>
      <c r="U1183" s="40">
        <f>IF($A1183="",0,P1183*12+O1183)</f>
        <v>0</v>
      </c>
      <c r="V1183" s="40">
        <f>IF($A1183="",0,U1183+MAX(0,N($I1183)-MAX(N($H1183),1)))</f>
        <v>0</v>
      </c>
      <c r="W1183" s="40">
        <f>IF(S1183="",0,YEAR(S1183)*12+MONTH(S1183))</f>
        <v>0</v>
      </c>
      <c r="X1183" s="40">
        <f>IF(W1183=0,0,W1183+V1183-U1183)</f>
        <v>0</v>
      </c>
      <c r="Y1183" s="36">
        <f>IF(W1183=0,0,N(R1183)*MAX(0,X1183-MAX(W1183,YEAR(Cfg_Hoje)*12+MONTH(Cfg_Hoje)+IF(DAY(Cfg_Hoje)&gt;=INDEX(Cartoes_Fech,MATCH($F1183,Cartoes_Nome,0)),1,0))+1))</f>
        <v>0</v>
      </c>
      <c r="Z1183" s="40">
        <f>IF($A1183="",0,DAY($A1183))</f>
        <v>0</v>
      </c>
      <c r="AA1183" s="40">
        <f>IF($A1183="",0,WEEKDAY($A1183))</f>
        <v>0</v>
      </c>
      <c r="AB1183" s="36">
        <f>IF(AND($C1183="Despesa",U1183&gt;0,U1183&lt;=Sel_Idx,V1183&gt;=Sel_Idx),N(R1183)+ROW()/1000000000,0)</f>
        <v>0</v>
      </c>
      <c r="AC1183" s="40">
        <f>IF(AND($C1183="Despesa",U1183&gt;0,U1183&lt;=Sel_Idx,V1183&gt;=Sel_Idx),Z1183*10000+ROW(),0)</f>
        <v>0</v>
      </c>
      <c r="AD1183" s="40">
        <f>IF(AC1183=0,0,COUNTIFS(L_CalChave,"&gt;0",L_CalChave,"&lt;"&amp;AC1183)+1)</f>
        <v>0</v>
      </c>
    </row>
    <row r="1184">
      <c r="A1184" s="38" t="n"/>
      <c r="B1184" s="39" t="n"/>
      <c r="C1184" s="34" t="n"/>
      <c r="D1184" s="34" t="n"/>
      <c r="E1184" s="34" t="n"/>
      <c r="F1184" s="34" t="n"/>
      <c r="G1184" s="34" t="n"/>
      <c r="H1184" s="37" t="n"/>
      <c r="I1184" s="37" t="n"/>
      <c r="J1184" s="34" t="n"/>
      <c r="K1184" s="34" t="n"/>
      <c r="L1184" s="34" t="n"/>
      <c r="M1184" s="39" t="n"/>
      <c r="N1184" s="35" t="n"/>
      <c r="O1184" s="40" t="str">
        <f>IF($A1184="","",MONTH($A1184))</f>
        <v/>
      </c>
      <c r="P1184" s="40" t="str">
        <f>IF($A1184="","",YEAR($A1184))</f>
        <v/>
      </c>
      <c r="Q1184" s="41" t="str">
        <f>IF($A1184="","",DATE(P1184,O1184,1))</f>
        <v/>
      </c>
      <c r="R1184" s="36" t="str">
        <f>IF(OR($A1184="",$N1184=""),"",IF(AND($C1184&lt;&gt;"Transferência",N($I1184)&gt;1),$N1184/$I1184,$N1184))</f>
        <v/>
      </c>
      <c r="S1184" s="41" t="str">
        <f>IF(OR($A1184="",$F1184="",$C1184&lt;&gt;"Despesa"),"",IF(COUNTIF(Cartoes_Nome,$F1184)=0,"",DATE(P1184,O1184+IF(DAY($A1184)&gt;=INDEX(Cartoes_Fech,MATCH($F1184,Cartoes_Nome,0)),1,0),1)))</f>
        <v/>
      </c>
      <c r="T1184" s="42" t="str">
        <f>IF($A1184="","",IF(COUNTIFS(L_Data,$A1184,L_Desc,$B1184,L_Valor,$N1184,L_Tipo,$C1184)&gt;1,"⚠ Possível duplicidade",IF(OR(AND($C1184="Despesa",COUNTIF(CatD_Nome,$D1184)=0),AND($C1184="Receita",COUNTIF(CatR_Nome,$D1184)=0)),"⚠ Categoria não combina com o tipo",IF(OR($N1184="",$C1184=""),"⚠ Falta valor ou tipo",""))))</f>
        <v/>
      </c>
      <c r="U1184" s="40">
        <f>IF($A1184="",0,P1184*12+O1184)</f>
        <v>0</v>
      </c>
      <c r="V1184" s="40">
        <f>IF($A1184="",0,U1184+MAX(0,N($I1184)-MAX(N($H1184),1)))</f>
        <v>0</v>
      </c>
      <c r="W1184" s="40">
        <f>IF(S1184="",0,YEAR(S1184)*12+MONTH(S1184))</f>
        <v>0</v>
      </c>
      <c r="X1184" s="40">
        <f>IF(W1184=0,0,W1184+V1184-U1184)</f>
        <v>0</v>
      </c>
      <c r="Y1184" s="36">
        <f>IF(W1184=0,0,N(R1184)*MAX(0,X1184-MAX(W1184,YEAR(Cfg_Hoje)*12+MONTH(Cfg_Hoje)+IF(DAY(Cfg_Hoje)&gt;=INDEX(Cartoes_Fech,MATCH($F1184,Cartoes_Nome,0)),1,0))+1))</f>
        <v>0</v>
      </c>
      <c r="Z1184" s="40">
        <f>IF($A1184="",0,DAY($A1184))</f>
        <v>0</v>
      </c>
      <c r="AA1184" s="40">
        <f>IF($A1184="",0,WEEKDAY($A1184))</f>
        <v>0</v>
      </c>
      <c r="AB1184" s="36">
        <f>IF(AND($C1184="Despesa",U1184&gt;0,U1184&lt;=Sel_Idx,V1184&gt;=Sel_Idx),N(R1184)+ROW()/1000000000,0)</f>
        <v>0</v>
      </c>
      <c r="AC1184" s="40">
        <f>IF(AND($C1184="Despesa",U1184&gt;0,U1184&lt;=Sel_Idx,V1184&gt;=Sel_Idx),Z1184*10000+ROW(),0)</f>
        <v>0</v>
      </c>
      <c r="AD1184" s="40">
        <f>IF(AC1184=0,0,COUNTIFS(L_CalChave,"&gt;0",L_CalChave,"&lt;"&amp;AC1184)+1)</f>
        <v>0</v>
      </c>
    </row>
    <row r="1185">
      <c r="A1185" s="38" t="n"/>
      <c r="B1185" s="39" t="n"/>
      <c r="C1185" s="34" t="n"/>
      <c r="D1185" s="34" t="n"/>
      <c r="E1185" s="34" t="n"/>
      <c r="F1185" s="34" t="n"/>
      <c r="G1185" s="34" t="n"/>
      <c r="H1185" s="37" t="n"/>
      <c r="I1185" s="37" t="n"/>
      <c r="J1185" s="34" t="n"/>
      <c r="K1185" s="34" t="n"/>
      <c r="L1185" s="34" t="n"/>
      <c r="M1185" s="39" t="n"/>
      <c r="N1185" s="35" t="n"/>
      <c r="O1185" s="40" t="str">
        <f>IF($A1185="","",MONTH($A1185))</f>
        <v/>
      </c>
      <c r="P1185" s="40" t="str">
        <f>IF($A1185="","",YEAR($A1185))</f>
        <v/>
      </c>
      <c r="Q1185" s="41" t="str">
        <f>IF($A1185="","",DATE(P1185,O1185,1))</f>
        <v/>
      </c>
      <c r="R1185" s="36" t="str">
        <f>IF(OR($A1185="",$N1185=""),"",IF(AND($C1185&lt;&gt;"Transferência",N($I1185)&gt;1),$N1185/$I1185,$N1185))</f>
        <v/>
      </c>
      <c r="S1185" s="41" t="str">
        <f>IF(OR($A1185="",$F1185="",$C1185&lt;&gt;"Despesa"),"",IF(COUNTIF(Cartoes_Nome,$F1185)=0,"",DATE(P1185,O1185+IF(DAY($A1185)&gt;=INDEX(Cartoes_Fech,MATCH($F1185,Cartoes_Nome,0)),1,0),1)))</f>
        <v/>
      </c>
      <c r="T1185" s="42" t="str">
        <f>IF($A1185="","",IF(COUNTIFS(L_Data,$A1185,L_Desc,$B1185,L_Valor,$N1185,L_Tipo,$C1185)&gt;1,"⚠ Possível duplicidade",IF(OR(AND($C1185="Despesa",COUNTIF(CatD_Nome,$D1185)=0),AND($C1185="Receita",COUNTIF(CatR_Nome,$D1185)=0)),"⚠ Categoria não combina com o tipo",IF(OR($N1185="",$C1185=""),"⚠ Falta valor ou tipo",""))))</f>
        <v/>
      </c>
      <c r="U1185" s="40">
        <f>IF($A1185="",0,P1185*12+O1185)</f>
        <v>0</v>
      </c>
      <c r="V1185" s="40">
        <f>IF($A1185="",0,U1185+MAX(0,N($I1185)-MAX(N($H1185),1)))</f>
        <v>0</v>
      </c>
      <c r="W1185" s="40">
        <f>IF(S1185="",0,YEAR(S1185)*12+MONTH(S1185))</f>
        <v>0</v>
      </c>
      <c r="X1185" s="40">
        <f>IF(W1185=0,0,W1185+V1185-U1185)</f>
        <v>0</v>
      </c>
      <c r="Y1185" s="36">
        <f>IF(W1185=0,0,N(R1185)*MAX(0,X1185-MAX(W1185,YEAR(Cfg_Hoje)*12+MONTH(Cfg_Hoje)+IF(DAY(Cfg_Hoje)&gt;=INDEX(Cartoes_Fech,MATCH($F1185,Cartoes_Nome,0)),1,0))+1))</f>
        <v>0</v>
      </c>
      <c r="Z1185" s="40">
        <f>IF($A1185="",0,DAY($A1185))</f>
        <v>0</v>
      </c>
      <c r="AA1185" s="40">
        <f>IF($A1185="",0,WEEKDAY($A1185))</f>
        <v>0</v>
      </c>
      <c r="AB1185" s="36">
        <f>IF(AND($C1185="Despesa",U1185&gt;0,U1185&lt;=Sel_Idx,V1185&gt;=Sel_Idx),N(R1185)+ROW()/1000000000,0)</f>
        <v>0</v>
      </c>
      <c r="AC1185" s="40">
        <f>IF(AND($C1185="Despesa",U1185&gt;0,U1185&lt;=Sel_Idx,V1185&gt;=Sel_Idx),Z1185*10000+ROW(),0)</f>
        <v>0</v>
      </c>
      <c r="AD1185" s="40">
        <f>IF(AC1185=0,0,COUNTIFS(L_CalChave,"&gt;0",L_CalChave,"&lt;"&amp;AC1185)+1)</f>
        <v>0</v>
      </c>
    </row>
    <row r="1186">
      <c r="A1186" s="38" t="n"/>
      <c r="B1186" s="39" t="n"/>
      <c r="C1186" s="34" t="n"/>
      <c r="D1186" s="34" t="n"/>
      <c r="E1186" s="34" t="n"/>
      <c r="F1186" s="34" t="n"/>
      <c r="G1186" s="34" t="n"/>
      <c r="H1186" s="37" t="n"/>
      <c r="I1186" s="37" t="n"/>
      <c r="J1186" s="34" t="n"/>
      <c r="K1186" s="34" t="n"/>
      <c r="L1186" s="34" t="n"/>
      <c r="M1186" s="39" t="n"/>
      <c r="N1186" s="35" t="n"/>
      <c r="O1186" s="40" t="str">
        <f>IF($A1186="","",MONTH($A1186))</f>
        <v/>
      </c>
      <c r="P1186" s="40" t="str">
        <f>IF($A1186="","",YEAR($A1186))</f>
        <v/>
      </c>
      <c r="Q1186" s="41" t="str">
        <f>IF($A1186="","",DATE(P1186,O1186,1))</f>
        <v/>
      </c>
      <c r="R1186" s="36" t="str">
        <f>IF(OR($A1186="",$N1186=""),"",IF(AND($C1186&lt;&gt;"Transferência",N($I1186)&gt;1),$N1186/$I1186,$N1186))</f>
        <v/>
      </c>
      <c r="S1186" s="41" t="str">
        <f>IF(OR($A1186="",$F1186="",$C1186&lt;&gt;"Despesa"),"",IF(COUNTIF(Cartoes_Nome,$F1186)=0,"",DATE(P1186,O1186+IF(DAY($A1186)&gt;=INDEX(Cartoes_Fech,MATCH($F1186,Cartoes_Nome,0)),1,0),1)))</f>
        <v/>
      </c>
      <c r="T1186" s="42" t="str">
        <f>IF($A1186="","",IF(COUNTIFS(L_Data,$A1186,L_Desc,$B1186,L_Valor,$N1186,L_Tipo,$C1186)&gt;1,"⚠ Possível duplicidade",IF(OR(AND($C1186="Despesa",COUNTIF(CatD_Nome,$D1186)=0),AND($C1186="Receita",COUNTIF(CatR_Nome,$D1186)=0)),"⚠ Categoria não combina com o tipo",IF(OR($N1186="",$C1186=""),"⚠ Falta valor ou tipo",""))))</f>
        <v/>
      </c>
      <c r="U1186" s="40">
        <f>IF($A1186="",0,P1186*12+O1186)</f>
        <v>0</v>
      </c>
      <c r="V1186" s="40">
        <f>IF($A1186="",0,U1186+MAX(0,N($I1186)-MAX(N($H1186),1)))</f>
        <v>0</v>
      </c>
      <c r="W1186" s="40">
        <f>IF(S1186="",0,YEAR(S1186)*12+MONTH(S1186))</f>
        <v>0</v>
      </c>
      <c r="X1186" s="40">
        <f>IF(W1186=0,0,W1186+V1186-U1186)</f>
        <v>0</v>
      </c>
      <c r="Y1186" s="36">
        <f>IF(W1186=0,0,N(R1186)*MAX(0,X1186-MAX(W1186,YEAR(Cfg_Hoje)*12+MONTH(Cfg_Hoje)+IF(DAY(Cfg_Hoje)&gt;=INDEX(Cartoes_Fech,MATCH($F1186,Cartoes_Nome,0)),1,0))+1))</f>
        <v>0</v>
      </c>
      <c r="Z1186" s="40">
        <f>IF($A1186="",0,DAY($A1186))</f>
        <v>0</v>
      </c>
      <c r="AA1186" s="40">
        <f>IF($A1186="",0,WEEKDAY($A1186))</f>
        <v>0</v>
      </c>
      <c r="AB1186" s="36">
        <f>IF(AND($C1186="Despesa",U1186&gt;0,U1186&lt;=Sel_Idx,V1186&gt;=Sel_Idx),N(R1186)+ROW()/1000000000,0)</f>
        <v>0</v>
      </c>
      <c r="AC1186" s="40">
        <f>IF(AND($C1186="Despesa",U1186&gt;0,U1186&lt;=Sel_Idx,V1186&gt;=Sel_Idx),Z1186*10000+ROW(),0)</f>
        <v>0</v>
      </c>
      <c r="AD1186" s="40">
        <f>IF(AC1186=0,0,COUNTIFS(L_CalChave,"&gt;0",L_CalChave,"&lt;"&amp;AC1186)+1)</f>
        <v>0</v>
      </c>
    </row>
    <row r="1187">
      <c r="A1187" s="38" t="n"/>
      <c r="B1187" s="39" t="n"/>
      <c r="C1187" s="34" t="n"/>
      <c r="D1187" s="34" t="n"/>
      <c r="E1187" s="34" t="n"/>
      <c r="F1187" s="34" t="n"/>
      <c r="G1187" s="34" t="n"/>
      <c r="H1187" s="37" t="n"/>
      <c r="I1187" s="37" t="n"/>
      <c r="J1187" s="34" t="n"/>
      <c r="K1187" s="34" t="n"/>
      <c r="L1187" s="34" t="n"/>
      <c r="M1187" s="39" t="n"/>
      <c r="N1187" s="35" t="n"/>
      <c r="O1187" s="40" t="str">
        <f>IF($A1187="","",MONTH($A1187))</f>
        <v/>
      </c>
      <c r="P1187" s="40" t="str">
        <f>IF($A1187="","",YEAR($A1187))</f>
        <v/>
      </c>
      <c r="Q1187" s="41" t="str">
        <f>IF($A1187="","",DATE(P1187,O1187,1))</f>
        <v/>
      </c>
      <c r="R1187" s="36" t="str">
        <f>IF(OR($A1187="",$N1187=""),"",IF(AND($C1187&lt;&gt;"Transferência",N($I1187)&gt;1),$N1187/$I1187,$N1187))</f>
        <v/>
      </c>
      <c r="S1187" s="41" t="str">
        <f>IF(OR($A1187="",$F1187="",$C1187&lt;&gt;"Despesa"),"",IF(COUNTIF(Cartoes_Nome,$F1187)=0,"",DATE(P1187,O1187+IF(DAY($A1187)&gt;=INDEX(Cartoes_Fech,MATCH($F1187,Cartoes_Nome,0)),1,0),1)))</f>
        <v/>
      </c>
      <c r="T1187" s="42" t="str">
        <f>IF($A1187="","",IF(COUNTIFS(L_Data,$A1187,L_Desc,$B1187,L_Valor,$N1187,L_Tipo,$C1187)&gt;1,"⚠ Possível duplicidade",IF(OR(AND($C1187="Despesa",COUNTIF(CatD_Nome,$D1187)=0),AND($C1187="Receita",COUNTIF(CatR_Nome,$D1187)=0)),"⚠ Categoria não combina com o tipo",IF(OR($N1187="",$C1187=""),"⚠ Falta valor ou tipo",""))))</f>
        <v/>
      </c>
      <c r="U1187" s="40">
        <f>IF($A1187="",0,P1187*12+O1187)</f>
        <v>0</v>
      </c>
      <c r="V1187" s="40">
        <f>IF($A1187="",0,U1187+MAX(0,N($I1187)-MAX(N($H1187),1)))</f>
        <v>0</v>
      </c>
      <c r="W1187" s="40">
        <f>IF(S1187="",0,YEAR(S1187)*12+MONTH(S1187))</f>
        <v>0</v>
      </c>
      <c r="X1187" s="40">
        <f>IF(W1187=0,0,W1187+V1187-U1187)</f>
        <v>0</v>
      </c>
      <c r="Y1187" s="36">
        <f>IF(W1187=0,0,N(R1187)*MAX(0,X1187-MAX(W1187,YEAR(Cfg_Hoje)*12+MONTH(Cfg_Hoje)+IF(DAY(Cfg_Hoje)&gt;=INDEX(Cartoes_Fech,MATCH($F1187,Cartoes_Nome,0)),1,0))+1))</f>
        <v>0</v>
      </c>
      <c r="Z1187" s="40">
        <f>IF($A1187="",0,DAY($A1187))</f>
        <v>0</v>
      </c>
      <c r="AA1187" s="40">
        <f>IF($A1187="",0,WEEKDAY($A1187))</f>
        <v>0</v>
      </c>
      <c r="AB1187" s="36">
        <f>IF(AND($C1187="Despesa",U1187&gt;0,U1187&lt;=Sel_Idx,V1187&gt;=Sel_Idx),N(R1187)+ROW()/1000000000,0)</f>
        <v>0</v>
      </c>
      <c r="AC1187" s="40">
        <f>IF(AND($C1187="Despesa",U1187&gt;0,U1187&lt;=Sel_Idx,V1187&gt;=Sel_Idx),Z1187*10000+ROW(),0)</f>
        <v>0</v>
      </c>
      <c r="AD1187" s="40">
        <f>IF(AC1187=0,0,COUNTIFS(L_CalChave,"&gt;0",L_CalChave,"&lt;"&amp;AC1187)+1)</f>
        <v>0</v>
      </c>
    </row>
    <row r="1188">
      <c r="A1188" s="38" t="n"/>
      <c r="B1188" s="39" t="n"/>
      <c r="C1188" s="34" t="n"/>
      <c r="D1188" s="34" t="n"/>
      <c r="E1188" s="34" t="n"/>
      <c r="F1188" s="34" t="n"/>
      <c r="G1188" s="34" t="n"/>
      <c r="H1188" s="37" t="n"/>
      <c r="I1188" s="37" t="n"/>
      <c r="J1188" s="34" t="n"/>
      <c r="K1188" s="34" t="n"/>
      <c r="L1188" s="34" t="n"/>
      <c r="M1188" s="39" t="n"/>
      <c r="N1188" s="35" t="n"/>
      <c r="O1188" s="40" t="str">
        <f>IF($A1188="","",MONTH($A1188))</f>
        <v/>
      </c>
      <c r="P1188" s="40" t="str">
        <f>IF($A1188="","",YEAR($A1188))</f>
        <v/>
      </c>
      <c r="Q1188" s="41" t="str">
        <f>IF($A1188="","",DATE(P1188,O1188,1))</f>
        <v/>
      </c>
      <c r="R1188" s="36" t="str">
        <f>IF(OR($A1188="",$N1188=""),"",IF(AND($C1188&lt;&gt;"Transferência",N($I1188)&gt;1),$N1188/$I1188,$N1188))</f>
        <v/>
      </c>
      <c r="S1188" s="41" t="str">
        <f>IF(OR($A1188="",$F1188="",$C1188&lt;&gt;"Despesa"),"",IF(COUNTIF(Cartoes_Nome,$F1188)=0,"",DATE(P1188,O1188+IF(DAY($A1188)&gt;=INDEX(Cartoes_Fech,MATCH($F1188,Cartoes_Nome,0)),1,0),1)))</f>
        <v/>
      </c>
      <c r="T1188" s="42" t="str">
        <f>IF($A1188="","",IF(COUNTIFS(L_Data,$A1188,L_Desc,$B1188,L_Valor,$N1188,L_Tipo,$C1188)&gt;1,"⚠ Possível duplicidade",IF(OR(AND($C1188="Despesa",COUNTIF(CatD_Nome,$D1188)=0),AND($C1188="Receita",COUNTIF(CatR_Nome,$D1188)=0)),"⚠ Categoria não combina com o tipo",IF(OR($N1188="",$C1188=""),"⚠ Falta valor ou tipo",""))))</f>
        <v/>
      </c>
      <c r="U1188" s="40">
        <f>IF($A1188="",0,P1188*12+O1188)</f>
        <v>0</v>
      </c>
      <c r="V1188" s="40">
        <f>IF($A1188="",0,U1188+MAX(0,N($I1188)-MAX(N($H1188),1)))</f>
        <v>0</v>
      </c>
      <c r="W1188" s="40">
        <f>IF(S1188="",0,YEAR(S1188)*12+MONTH(S1188))</f>
        <v>0</v>
      </c>
      <c r="X1188" s="40">
        <f>IF(W1188=0,0,W1188+V1188-U1188)</f>
        <v>0</v>
      </c>
      <c r="Y1188" s="36">
        <f>IF(W1188=0,0,N(R1188)*MAX(0,X1188-MAX(W1188,YEAR(Cfg_Hoje)*12+MONTH(Cfg_Hoje)+IF(DAY(Cfg_Hoje)&gt;=INDEX(Cartoes_Fech,MATCH($F1188,Cartoes_Nome,0)),1,0))+1))</f>
        <v>0</v>
      </c>
      <c r="Z1188" s="40">
        <f>IF($A1188="",0,DAY($A1188))</f>
        <v>0</v>
      </c>
      <c r="AA1188" s="40">
        <f>IF($A1188="",0,WEEKDAY($A1188))</f>
        <v>0</v>
      </c>
      <c r="AB1188" s="36">
        <f>IF(AND($C1188="Despesa",U1188&gt;0,U1188&lt;=Sel_Idx,V1188&gt;=Sel_Idx),N(R1188)+ROW()/1000000000,0)</f>
        <v>0</v>
      </c>
      <c r="AC1188" s="40">
        <f>IF(AND($C1188="Despesa",U1188&gt;0,U1188&lt;=Sel_Idx,V1188&gt;=Sel_Idx),Z1188*10000+ROW(),0)</f>
        <v>0</v>
      </c>
      <c r="AD1188" s="40">
        <f>IF(AC1188=0,0,COUNTIFS(L_CalChave,"&gt;0",L_CalChave,"&lt;"&amp;AC1188)+1)</f>
        <v>0</v>
      </c>
    </row>
    <row r="1189">
      <c r="A1189" s="38" t="n"/>
      <c r="B1189" s="39" t="n"/>
      <c r="C1189" s="34" t="n"/>
      <c r="D1189" s="34" t="n"/>
      <c r="E1189" s="34" t="n"/>
      <c r="F1189" s="34" t="n"/>
      <c r="G1189" s="34" t="n"/>
      <c r="H1189" s="37" t="n"/>
      <c r="I1189" s="37" t="n"/>
      <c r="J1189" s="34" t="n"/>
      <c r="K1189" s="34" t="n"/>
      <c r="L1189" s="34" t="n"/>
      <c r="M1189" s="39" t="n"/>
      <c r="N1189" s="35" t="n"/>
      <c r="O1189" s="40" t="str">
        <f>IF($A1189="","",MONTH($A1189))</f>
        <v/>
      </c>
      <c r="P1189" s="40" t="str">
        <f>IF($A1189="","",YEAR($A1189))</f>
        <v/>
      </c>
      <c r="Q1189" s="41" t="str">
        <f>IF($A1189="","",DATE(P1189,O1189,1))</f>
        <v/>
      </c>
      <c r="R1189" s="36" t="str">
        <f>IF(OR($A1189="",$N1189=""),"",IF(AND($C1189&lt;&gt;"Transferência",N($I1189)&gt;1),$N1189/$I1189,$N1189))</f>
        <v/>
      </c>
      <c r="S1189" s="41" t="str">
        <f>IF(OR($A1189="",$F1189="",$C1189&lt;&gt;"Despesa"),"",IF(COUNTIF(Cartoes_Nome,$F1189)=0,"",DATE(P1189,O1189+IF(DAY($A1189)&gt;=INDEX(Cartoes_Fech,MATCH($F1189,Cartoes_Nome,0)),1,0),1)))</f>
        <v/>
      </c>
      <c r="T1189" s="42" t="str">
        <f>IF($A1189="","",IF(COUNTIFS(L_Data,$A1189,L_Desc,$B1189,L_Valor,$N1189,L_Tipo,$C1189)&gt;1,"⚠ Possível duplicidade",IF(OR(AND($C1189="Despesa",COUNTIF(CatD_Nome,$D1189)=0),AND($C1189="Receita",COUNTIF(CatR_Nome,$D1189)=0)),"⚠ Categoria não combina com o tipo",IF(OR($N1189="",$C1189=""),"⚠ Falta valor ou tipo",""))))</f>
        <v/>
      </c>
      <c r="U1189" s="40">
        <f>IF($A1189="",0,P1189*12+O1189)</f>
        <v>0</v>
      </c>
      <c r="V1189" s="40">
        <f>IF($A1189="",0,U1189+MAX(0,N($I1189)-MAX(N($H1189),1)))</f>
        <v>0</v>
      </c>
      <c r="W1189" s="40">
        <f>IF(S1189="",0,YEAR(S1189)*12+MONTH(S1189))</f>
        <v>0</v>
      </c>
      <c r="X1189" s="40">
        <f>IF(W1189=0,0,W1189+V1189-U1189)</f>
        <v>0</v>
      </c>
      <c r="Y1189" s="36">
        <f>IF(W1189=0,0,N(R1189)*MAX(0,X1189-MAX(W1189,YEAR(Cfg_Hoje)*12+MONTH(Cfg_Hoje)+IF(DAY(Cfg_Hoje)&gt;=INDEX(Cartoes_Fech,MATCH($F1189,Cartoes_Nome,0)),1,0))+1))</f>
        <v>0</v>
      </c>
      <c r="Z1189" s="40">
        <f>IF($A1189="",0,DAY($A1189))</f>
        <v>0</v>
      </c>
      <c r="AA1189" s="40">
        <f>IF($A1189="",0,WEEKDAY($A1189))</f>
        <v>0</v>
      </c>
      <c r="AB1189" s="36">
        <f>IF(AND($C1189="Despesa",U1189&gt;0,U1189&lt;=Sel_Idx,V1189&gt;=Sel_Idx),N(R1189)+ROW()/1000000000,0)</f>
        <v>0</v>
      </c>
      <c r="AC1189" s="40">
        <f>IF(AND($C1189="Despesa",U1189&gt;0,U1189&lt;=Sel_Idx,V1189&gt;=Sel_Idx),Z1189*10000+ROW(),0)</f>
        <v>0</v>
      </c>
      <c r="AD1189" s="40">
        <f>IF(AC1189=0,0,COUNTIFS(L_CalChave,"&gt;0",L_CalChave,"&lt;"&amp;AC1189)+1)</f>
        <v>0</v>
      </c>
    </row>
    <row r="1190">
      <c r="A1190" s="38" t="n"/>
      <c r="B1190" s="39" t="n"/>
      <c r="C1190" s="34" t="n"/>
      <c r="D1190" s="34" t="n"/>
      <c r="E1190" s="34" t="n"/>
      <c r="F1190" s="34" t="n"/>
      <c r="G1190" s="34" t="n"/>
      <c r="H1190" s="37" t="n"/>
      <c r="I1190" s="37" t="n"/>
      <c r="J1190" s="34" t="n"/>
      <c r="K1190" s="34" t="n"/>
      <c r="L1190" s="34" t="n"/>
      <c r="M1190" s="39" t="n"/>
      <c r="N1190" s="35" t="n"/>
      <c r="O1190" s="40" t="str">
        <f>IF($A1190="","",MONTH($A1190))</f>
        <v/>
      </c>
      <c r="P1190" s="40" t="str">
        <f>IF($A1190="","",YEAR($A1190))</f>
        <v/>
      </c>
      <c r="Q1190" s="41" t="str">
        <f>IF($A1190="","",DATE(P1190,O1190,1))</f>
        <v/>
      </c>
      <c r="R1190" s="36" t="str">
        <f>IF(OR($A1190="",$N1190=""),"",IF(AND($C1190&lt;&gt;"Transferência",N($I1190)&gt;1),$N1190/$I1190,$N1190))</f>
        <v/>
      </c>
      <c r="S1190" s="41" t="str">
        <f>IF(OR($A1190="",$F1190="",$C1190&lt;&gt;"Despesa"),"",IF(COUNTIF(Cartoes_Nome,$F1190)=0,"",DATE(P1190,O1190+IF(DAY($A1190)&gt;=INDEX(Cartoes_Fech,MATCH($F1190,Cartoes_Nome,0)),1,0),1)))</f>
        <v/>
      </c>
      <c r="T1190" s="42" t="str">
        <f>IF($A1190="","",IF(COUNTIFS(L_Data,$A1190,L_Desc,$B1190,L_Valor,$N1190,L_Tipo,$C1190)&gt;1,"⚠ Possível duplicidade",IF(OR(AND($C1190="Despesa",COUNTIF(CatD_Nome,$D1190)=0),AND($C1190="Receita",COUNTIF(CatR_Nome,$D1190)=0)),"⚠ Categoria não combina com o tipo",IF(OR($N1190="",$C1190=""),"⚠ Falta valor ou tipo",""))))</f>
        <v/>
      </c>
      <c r="U1190" s="40">
        <f>IF($A1190="",0,P1190*12+O1190)</f>
        <v>0</v>
      </c>
      <c r="V1190" s="40">
        <f>IF($A1190="",0,U1190+MAX(0,N($I1190)-MAX(N($H1190),1)))</f>
        <v>0</v>
      </c>
      <c r="W1190" s="40">
        <f>IF(S1190="",0,YEAR(S1190)*12+MONTH(S1190))</f>
        <v>0</v>
      </c>
      <c r="X1190" s="40">
        <f>IF(W1190=0,0,W1190+V1190-U1190)</f>
        <v>0</v>
      </c>
      <c r="Y1190" s="36">
        <f>IF(W1190=0,0,N(R1190)*MAX(0,X1190-MAX(W1190,YEAR(Cfg_Hoje)*12+MONTH(Cfg_Hoje)+IF(DAY(Cfg_Hoje)&gt;=INDEX(Cartoes_Fech,MATCH($F1190,Cartoes_Nome,0)),1,0))+1))</f>
        <v>0</v>
      </c>
      <c r="Z1190" s="40">
        <f>IF($A1190="",0,DAY($A1190))</f>
        <v>0</v>
      </c>
      <c r="AA1190" s="40">
        <f>IF($A1190="",0,WEEKDAY($A1190))</f>
        <v>0</v>
      </c>
      <c r="AB1190" s="36">
        <f>IF(AND($C1190="Despesa",U1190&gt;0,U1190&lt;=Sel_Idx,V1190&gt;=Sel_Idx),N(R1190)+ROW()/1000000000,0)</f>
        <v>0</v>
      </c>
      <c r="AC1190" s="40">
        <f>IF(AND($C1190="Despesa",U1190&gt;0,U1190&lt;=Sel_Idx,V1190&gt;=Sel_Idx),Z1190*10000+ROW(),0)</f>
        <v>0</v>
      </c>
      <c r="AD1190" s="40">
        <f>IF(AC1190=0,0,COUNTIFS(L_CalChave,"&gt;0",L_CalChave,"&lt;"&amp;AC1190)+1)</f>
        <v>0</v>
      </c>
    </row>
    <row r="1191">
      <c r="A1191" s="38" t="n"/>
      <c r="B1191" s="39" t="n"/>
      <c r="C1191" s="34" t="n"/>
      <c r="D1191" s="34" t="n"/>
      <c r="E1191" s="34" t="n"/>
      <c r="F1191" s="34" t="n"/>
      <c r="G1191" s="34" t="n"/>
      <c r="H1191" s="37" t="n"/>
      <c r="I1191" s="37" t="n"/>
      <c r="J1191" s="34" t="n"/>
      <c r="K1191" s="34" t="n"/>
      <c r="L1191" s="34" t="n"/>
      <c r="M1191" s="39" t="n"/>
      <c r="N1191" s="35" t="n"/>
      <c r="O1191" s="40" t="str">
        <f>IF($A1191="","",MONTH($A1191))</f>
        <v/>
      </c>
      <c r="P1191" s="40" t="str">
        <f>IF($A1191="","",YEAR($A1191))</f>
        <v/>
      </c>
      <c r="Q1191" s="41" t="str">
        <f>IF($A1191="","",DATE(P1191,O1191,1))</f>
        <v/>
      </c>
      <c r="R1191" s="36" t="str">
        <f>IF(OR($A1191="",$N1191=""),"",IF(AND($C1191&lt;&gt;"Transferência",N($I1191)&gt;1),$N1191/$I1191,$N1191))</f>
        <v/>
      </c>
      <c r="S1191" s="41" t="str">
        <f>IF(OR($A1191="",$F1191="",$C1191&lt;&gt;"Despesa"),"",IF(COUNTIF(Cartoes_Nome,$F1191)=0,"",DATE(P1191,O1191+IF(DAY($A1191)&gt;=INDEX(Cartoes_Fech,MATCH($F1191,Cartoes_Nome,0)),1,0),1)))</f>
        <v/>
      </c>
      <c r="T1191" s="42" t="str">
        <f>IF($A1191="","",IF(COUNTIFS(L_Data,$A1191,L_Desc,$B1191,L_Valor,$N1191,L_Tipo,$C1191)&gt;1,"⚠ Possível duplicidade",IF(OR(AND($C1191="Despesa",COUNTIF(CatD_Nome,$D1191)=0),AND($C1191="Receita",COUNTIF(CatR_Nome,$D1191)=0)),"⚠ Categoria não combina com o tipo",IF(OR($N1191="",$C1191=""),"⚠ Falta valor ou tipo",""))))</f>
        <v/>
      </c>
      <c r="U1191" s="40">
        <f>IF($A1191="",0,P1191*12+O1191)</f>
        <v>0</v>
      </c>
      <c r="V1191" s="40">
        <f>IF($A1191="",0,U1191+MAX(0,N($I1191)-MAX(N($H1191),1)))</f>
        <v>0</v>
      </c>
      <c r="W1191" s="40">
        <f>IF(S1191="",0,YEAR(S1191)*12+MONTH(S1191))</f>
        <v>0</v>
      </c>
      <c r="X1191" s="40">
        <f>IF(W1191=0,0,W1191+V1191-U1191)</f>
        <v>0</v>
      </c>
      <c r="Y1191" s="36">
        <f>IF(W1191=0,0,N(R1191)*MAX(0,X1191-MAX(W1191,YEAR(Cfg_Hoje)*12+MONTH(Cfg_Hoje)+IF(DAY(Cfg_Hoje)&gt;=INDEX(Cartoes_Fech,MATCH($F1191,Cartoes_Nome,0)),1,0))+1))</f>
        <v>0</v>
      </c>
      <c r="Z1191" s="40">
        <f>IF($A1191="",0,DAY($A1191))</f>
        <v>0</v>
      </c>
      <c r="AA1191" s="40">
        <f>IF($A1191="",0,WEEKDAY($A1191))</f>
        <v>0</v>
      </c>
      <c r="AB1191" s="36">
        <f>IF(AND($C1191="Despesa",U1191&gt;0,U1191&lt;=Sel_Idx,V1191&gt;=Sel_Idx),N(R1191)+ROW()/1000000000,0)</f>
        <v>0</v>
      </c>
      <c r="AC1191" s="40">
        <f>IF(AND($C1191="Despesa",U1191&gt;0,U1191&lt;=Sel_Idx,V1191&gt;=Sel_Idx),Z1191*10000+ROW(),0)</f>
        <v>0</v>
      </c>
      <c r="AD1191" s="40">
        <f>IF(AC1191=0,0,COUNTIFS(L_CalChave,"&gt;0",L_CalChave,"&lt;"&amp;AC1191)+1)</f>
        <v>0</v>
      </c>
    </row>
    <row r="1192">
      <c r="A1192" s="38" t="n"/>
      <c r="B1192" s="39" t="n"/>
      <c r="C1192" s="34" t="n"/>
      <c r="D1192" s="34" t="n"/>
      <c r="E1192" s="34" t="n"/>
      <c r="F1192" s="34" t="n"/>
      <c r="G1192" s="34" t="n"/>
      <c r="H1192" s="37" t="n"/>
      <c r="I1192" s="37" t="n"/>
      <c r="J1192" s="34" t="n"/>
      <c r="K1192" s="34" t="n"/>
      <c r="L1192" s="34" t="n"/>
      <c r="M1192" s="39" t="n"/>
      <c r="N1192" s="35" t="n"/>
      <c r="O1192" s="40" t="str">
        <f>IF($A1192="","",MONTH($A1192))</f>
        <v/>
      </c>
      <c r="P1192" s="40" t="str">
        <f>IF($A1192="","",YEAR($A1192))</f>
        <v/>
      </c>
      <c r="Q1192" s="41" t="str">
        <f>IF($A1192="","",DATE(P1192,O1192,1))</f>
        <v/>
      </c>
      <c r="R1192" s="36" t="str">
        <f>IF(OR($A1192="",$N1192=""),"",IF(AND($C1192&lt;&gt;"Transferência",N($I1192)&gt;1),$N1192/$I1192,$N1192))</f>
        <v/>
      </c>
      <c r="S1192" s="41" t="str">
        <f>IF(OR($A1192="",$F1192="",$C1192&lt;&gt;"Despesa"),"",IF(COUNTIF(Cartoes_Nome,$F1192)=0,"",DATE(P1192,O1192+IF(DAY($A1192)&gt;=INDEX(Cartoes_Fech,MATCH($F1192,Cartoes_Nome,0)),1,0),1)))</f>
        <v/>
      </c>
      <c r="T1192" s="42" t="str">
        <f>IF($A1192="","",IF(COUNTIFS(L_Data,$A1192,L_Desc,$B1192,L_Valor,$N1192,L_Tipo,$C1192)&gt;1,"⚠ Possível duplicidade",IF(OR(AND($C1192="Despesa",COUNTIF(CatD_Nome,$D1192)=0),AND($C1192="Receita",COUNTIF(CatR_Nome,$D1192)=0)),"⚠ Categoria não combina com o tipo",IF(OR($N1192="",$C1192=""),"⚠ Falta valor ou tipo",""))))</f>
        <v/>
      </c>
      <c r="U1192" s="40">
        <f>IF($A1192="",0,P1192*12+O1192)</f>
        <v>0</v>
      </c>
      <c r="V1192" s="40">
        <f>IF($A1192="",0,U1192+MAX(0,N($I1192)-MAX(N($H1192),1)))</f>
        <v>0</v>
      </c>
      <c r="W1192" s="40">
        <f>IF(S1192="",0,YEAR(S1192)*12+MONTH(S1192))</f>
        <v>0</v>
      </c>
      <c r="X1192" s="40">
        <f>IF(W1192=0,0,W1192+V1192-U1192)</f>
        <v>0</v>
      </c>
      <c r="Y1192" s="36">
        <f>IF(W1192=0,0,N(R1192)*MAX(0,X1192-MAX(W1192,YEAR(Cfg_Hoje)*12+MONTH(Cfg_Hoje)+IF(DAY(Cfg_Hoje)&gt;=INDEX(Cartoes_Fech,MATCH($F1192,Cartoes_Nome,0)),1,0))+1))</f>
        <v>0</v>
      </c>
      <c r="Z1192" s="40">
        <f>IF($A1192="",0,DAY($A1192))</f>
        <v>0</v>
      </c>
      <c r="AA1192" s="40">
        <f>IF($A1192="",0,WEEKDAY($A1192))</f>
        <v>0</v>
      </c>
      <c r="AB1192" s="36">
        <f>IF(AND($C1192="Despesa",U1192&gt;0,U1192&lt;=Sel_Idx,V1192&gt;=Sel_Idx),N(R1192)+ROW()/1000000000,0)</f>
        <v>0</v>
      </c>
      <c r="AC1192" s="40">
        <f>IF(AND($C1192="Despesa",U1192&gt;0,U1192&lt;=Sel_Idx,V1192&gt;=Sel_Idx),Z1192*10000+ROW(),0)</f>
        <v>0</v>
      </c>
      <c r="AD1192" s="40">
        <f>IF(AC1192=0,0,COUNTIFS(L_CalChave,"&gt;0",L_CalChave,"&lt;"&amp;AC1192)+1)</f>
        <v>0</v>
      </c>
    </row>
    <row r="1193">
      <c r="A1193" s="38" t="n"/>
      <c r="B1193" s="39" t="n"/>
      <c r="C1193" s="34" t="n"/>
      <c r="D1193" s="34" t="n"/>
      <c r="E1193" s="34" t="n"/>
      <c r="F1193" s="34" t="n"/>
      <c r="G1193" s="34" t="n"/>
      <c r="H1193" s="37" t="n"/>
      <c r="I1193" s="37" t="n"/>
      <c r="J1193" s="34" t="n"/>
      <c r="K1193" s="34" t="n"/>
      <c r="L1193" s="34" t="n"/>
      <c r="M1193" s="39" t="n"/>
      <c r="N1193" s="35" t="n"/>
      <c r="O1193" s="40" t="str">
        <f>IF($A1193="","",MONTH($A1193))</f>
        <v/>
      </c>
      <c r="P1193" s="40" t="str">
        <f>IF($A1193="","",YEAR($A1193))</f>
        <v/>
      </c>
      <c r="Q1193" s="41" t="str">
        <f>IF($A1193="","",DATE(P1193,O1193,1))</f>
        <v/>
      </c>
      <c r="R1193" s="36" t="str">
        <f>IF(OR($A1193="",$N1193=""),"",IF(AND($C1193&lt;&gt;"Transferência",N($I1193)&gt;1),$N1193/$I1193,$N1193))</f>
        <v/>
      </c>
      <c r="S1193" s="41" t="str">
        <f>IF(OR($A1193="",$F1193="",$C1193&lt;&gt;"Despesa"),"",IF(COUNTIF(Cartoes_Nome,$F1193)=0,"",DATE(P1193,O1193+IF(DAY($A1193)&gt;=INDEX(Cartoes_Fech,MATCH($F1193,Cartoes_Nome,0)),1,0),1)))</f>
        <v/>
      </c>
      <c r="T1193" s="42" t="str">
        <f>IF($A1193="","",IF(COUNTIFS(L_Data,$A1193,L_Desc,$B1193,L_Valor,$N1193,L_Tipo,$C1193)&gt;1,"⚠ Possível duplicidade",IF(OR(AND($C1193="Despesa",COUNTIF(CatD_Nome,$D1193)=0),AND($C1193="Receita",COUNTIF(CatR_Nome,$D1193)=0)),"⚠ Categoria não combina com o tipo",IF(OR($N1193="",$C1193=""),"⚠ Falta valor ou tipo",""))))</f>
        <v/>
      </c>
      <c r="U1193" s="40">
        <f>IF($A1193="",0,P1193*12+O1193)</f>
        <v>0</v>
      </c>
      <c r="V1193" s="40">
        <f>IF($A1193="",0,U1193+MAX(0,N($I1193)-MAX(N($H1193),1)))</f>
        <v>0</v>
      </c>
      <c r="W1193" s="40">
        <f>IF(S1193="",0,YEAR(S1193)*12+MONTH(S1193))</f>
        <v>0</v>
      </c>
      <c r="X1193" s="40">
        <f>IF(W1193=0,0,W1193+V1193-U1193)</f>
        <v>0</v>
      </c>
      <c r="Y1193" s="36">
        <f>IF(W1193=0,0,N(R1193)*MAX(0,X1193-MAX(W1193,YEAR(Cfg_Hoje)*12+MONTH(Cfg_Hoje)+IF(DAY(Cfg_Hoje)&gt;=INDEX(Cartoes_Fech,MATCH($F1193,Cartoes_Nome,0)),1,0))+1))</f>
        <v>0</v>
      </c>
      <c r="Z1193" s="40">
        <f>IF($A1193="",0,DAY($A1193))</f>
        <v>0</v>
      </c>
      <c r="AA1193" s="40">
        <f>IF($A1193="",0,WEEKDAY($A1193))</f>
        <v>0</v>
      </c>
      <c r="AB1193" s="36">
        <f>IF(AND($C1193="Despesa",U1193&gt;0,U1193&lt;=Sel_Idx,V1193&gt;=Sel_Idx),N(R1193)+ROW()/1000000000,0)</f>
        <v>0</v>
      </c>
      <c r="AC1193" s="40">
        <f>IF(AND($C1193="Despesa",U1193&gt;0,U1193&lt;=Sel_Idx,V1193&gt;=Sel_Idx),Z1193*10000+ROW(),0)</f>
        <v>0</v>
      </c>
      <c r="AD1193" s="40">
        <f>IF(AC1193=0,0,COUNTIFS(L_CalChave,"&gt;0",L_CalChave,"&lt;"&amp;AC1193)+1)</f>
        <v>0</v>
      </c>
    </row>
    <row r="1194">
      <c r="A1194" s="38" t="n"/>
      <c r="B1194" s="39" t="n"/>
      <c r="C1194" s="34" t="n"/>
      <c r="D1194" s="34" t="n"/>
      <c r="E1194" s="34" t="n"/>
      <c r="F1194" s="34" t="n"/>
      <c r="G1194" s="34" t="n"/>
      <c r="H1194" s="37" t="n"/>
      <c r="I1194" s="37" t="n"/>
      <c r="J1194" s="34" t="n"/>
      <c r="K1194" s="34" t="n"/>
      <c r="L1194" s="34" t="n"/>
      <c r="M1194" s="39" t="n"/>
      <c r="N1194" s="35" t="n"/>
      <c r="O1194" s="40" t="str">
        <f>IF($A1194="","",MONTH($A1194))</f>
        <v/>
      </c>
      <c r="P1194" s="40" t="str">
        <f>IF($A1194="","",YEAR($A1194))</f>
        <v/>
      </c>
      <c r="Q1194" s="41" t="str">
        <f>IF($A1194="","",DATE(P1194,O1194,1))</f>
        <v/>
      </c>
      <c r="R1194" s="36" t="str">
        <f>IF(OR($A1194="",$N1194=""),"",IF(AND($C1194&lt;&gt;"Transferência",N($I1194)&gt;1),$N1194/$I1194,$N1194))</f>
        <v/>
      </c>
      <c r="S1194" s="41" t="str">
        <f>IF(OR($A1194="",$F1194="",$C1194&lt;&gt;"Despesa"),"",IF(COUNTIF(Cartoes_Nome,$F1194)=0,"",DATE(P1194,O1194+IF(DAY($A1194)&gt;=INDEX(Cartoes_Fech,MATCH($F1194,Cartoes_Nome,0)),1,0),1)))</f>
        <v/>
      </c>
      <c r="T1194" s="42" t="str">
        <f>IF($A1194="","",IF(COUNTIFS(L_Data,$A1194,L_Desc,$B1194,L_Valor,$N1194,L_Tipo,$C1194)&gt;1,"⚠ Possível duplicidade",IF(OR(AND($C1194="Despesa",COUNTIF(CatD_Nome,$D1194)=0),AND($C1194="Receita",COUNTIF(CatR_Nome,$D1194)=0)),"⚠ Categoria não combina com o tipo",IF(OR($N1194="",$C1194=""),"⚠ Falta valor ou tipo",""))))</f>
        <v/>
      </c>
      <c r="U1194" s="40">
        <f>IF($A1194="",0,P1194*12+O1194)</f>
        <v>0</v>
      </c>
      <c r="V1194" s="40">
        <f>IF($A1194="",0,U1194+MAX(0,N($I1194)-MAX(N($H1194),1)))</f>
        <v>0</v>
      </c>
      <c r="W1194" s="40">
        <f>IF(S1194="",0,YEAR(S1194)*12+MONTH(S1194))</f>
        <v>0</v>
      </c>
      <c r="X1194" s="40">
        <f>IF(W1194=0,0,W1194+V1194-U1194)</f>
        <v>0</v>
      </c>
      <c r="Y1194" s="36">
        <f>IF(W1194=0,0,N(R1194)*MAX(0,X1194-MAX(W1194,YEAR(Cfg_Hoje)*12+MONTH(Cfg_Hoje)+IF(DAY(Cfg_Hoje)&gt;=INDEX(Cartoes_Fech,MATCH($F1194,Cartoes_Nome,0)),1,0))+1))</f>
        <v>0</v>
      </c>
      <c r="Z1194" s="40">
        <f>IF($A1194="",0,DAY($A1194))</f>
        <v>0</v>
      </c>
      <c r="AA1194" s="40">
        <f>IF($A1194="",0,WEEKDAY($A1194))</f>
        <v>0</v>
      </c>
      <c r="AB1194" s="36">
        <f>IF(AND($C1194="Despesa",U1194&gt;0,U1194&lt;=Sel_Idx,V1194&gt;=Sel_Idx),N(R1194)+ROW()/1000000000,0)</f>
        <v>0</v>
      </c>
      <c r="AC1194" s="40">
        <f>IF(AND($C1194="Despesa",U1194&gt;0,U1194&lt;=Sel_Idx,V1194&gt;=Sel_Idx),Z1194*10000+ROW(),0)</f>
        <v>0</v>
      </c>
      <c r="AD1194" s="40">
        <f>IF(AC1194=0,0,COUNTIFS(L_CalChave,"&gt;0",L_CalChave,"&lt;"&amp;AC1194)+1)</f>
        <v>0</v>
      </c>
    </row>
    <row r="1195">
      <c r="A1195" s="38" t="n"/>
      <c r="B1195" s="39" t="n"/>
      <c r="C1195" s="34" t="n"/>
      <c r="D1195" s="34" t="n"/>
      <c r="E1195" s="34" t="n"/>
      <c r="F1195" s="34" t="n"/>
      <c r="G1195" s="34" t="n"/>
      <c r="H1195" s="37" t="n"/>
      <c r="I1195" s="37" t="n"/>
      <c r="J1195" s="34" t="n"/>
      <c r="K1195" s="34" t="n"/>
      <c r="L1195" s="34" t="n"/>
      <c r="M1195" s="39" t="n"/>
      <c r="N1195" s="35" t="n"/>
      <c r="O1195" s="40" t="str">
        <f>IF($A1195="","",MONTH($A1195))</f>
        <v/>
      </c>
      <c r="P1195" s="40" t="str">
        <f>IF($A1195="","",YEAR($A1195))</f>
        <v/>
      </c>
      <c r="Q1195" s="41" t="str">
        <f>IF($A1195="","",DATE(P1195,O1195,1))</f>
        <v/>
      </c>
      <c r="R1195" s="36" t="str">
        <f>IF(OR($A1195="",$N1195=""),"",IF(AND($C1195&lt;&gt;"Transferência",N($I1195)&gt;1),$N1195/$I1195,$N1195))</f>
        <v/>
      </c>
      <c r="S1195" s="41" t="str">
        <f>IF(OR($A1195="",$F1195="",$C1195&lt;&gt;"Despesa"),"",IF(COUNTIF(Cartoes_Nome,$F1195)=0,"",DATE(P1195,O1195+IF(DAY($A1195)&gt;=INDEX(Cartoes_Fech,MATCH($F1195,Cartoes_Nome,0)),1,0),1)))</f>
        <v/>
      </c>
      <c r="T1195" s="42" t="str">
        <f>IF($A1195="","",IF(COUNTIFS(L_Data,$A1195,L_Desc,$B1195,L_Valor,$N1195,L_Tipo,$C1195)&gt;1,"⚠ Possível duplicidade",IF(OR(AND($C1195="Despesa",COUNTIF(CatD_Nome,$D1195)=0),AND($C1195="Receita",COUNTIF(CatR_Nome,$D1195)=0)),"⚠ Categoria não combina com o tipo",IF(OR($N1195="",$C1195=""),"⚠ Falta valor ou tipo",""))))</f>
        <v/>
      </c>
      <c r="U1195" s="40">
        <f>IF($A1195="",0,P1195*12+O1195)</f>
        <v>0</v>
      </c>
      <c r="V1195" s="40">
        <f>IF($A1195="",0,U1195+MAX(0,N($I1195)-MAX(N($H1195),1)))</f>
        <v>0</v>
      </c>
      <c r="W1195" s="40">
        <f>IF(S1195="",0,YEAR(S1195)*12+MONTH(S1195))</f>
        <v>0</v>
      </c>
      <c r="X1195" s="40">
        <f>IF(W1195=0,0,W1195+V1195-U1195)</f>
        <v>0</v>
      </c>
      <c r="Y1195" s="36">
        <f>IF(W1195=0,0,N(R1195)*MAX(0,X1195-MAX(W1195,YEAR(Cfg_Hoje)*12+MONTH(Cfg_Hoje)+IF(DAY(Cfg_Hoje)&gt;=INDEX(Cartoes_Fech,MATCH($F1195,Cartoes_Nome,0)),1,0))+1))</f>
        <v>0</v>
      </c>
      <c r="Z1195" s="40">
        <f>IF($A1195="",0,DAY($A1195))</f>
        <v>0</v>
      </c>
      <c r="AA1195" s="40">
        <f>IF($A1195="",0,WEEKDAY($A1195))</f>
        <v>0</v>
      </c>
      <c r="AB1195" s="36">
        <f>IF(AND($C1195="Despesa",U1195&gt;0,U1195&lt;=Sel_Idx,V1195&gt;=Sel_Idx),N(R1195)+ROW()/1000000000,0)</f>
        <v>0</v>
      </c>
      <c r="AC1195" s="40">
        <f>IF(AND($C1195="Despesa",U1195&gt;0,U1195&lt;=Sel_Idx,V1195&gt;=Sel_Idx),Z1195*10000+ROW(),0)</f>
        <v>0</v>
      </c>
      <c r="AD1195" s="40">
        <f>IF(AC1195=0,0,COUNTIFS(L_CalChave,"&gt;0",L_CalChave,"&lt;"&amp;AC1195)+1)</f>
        <v>0</v>
      </c>
    </row>
    <row r="1196">
      <c r="A1196" s="38" t="n"/>
      <c r="B1196" s="39" t="n"/>
      <c r="C1196" s="34" t="n"/>
      <c r="D1196" s="34" t="n"/>
      <c r="E1196" s="34" t="n"/>
      <c r="F1196" s="34" t="n"/>
      <c r="G1196" s="34" t="n"/>
      <c r="H1196" s="37" t="n"/>
      <c r="I1196" s="37" t="n"/>
      <c r="J1196" s="34" t="n"/>
      <c r="K1196" s="34" t="n"/>
      <c r="L1196" s="34" t="n"/>
      <c r="M1196" s="39" t="n"/>
      <c r="N1196" s="35" t="n"/>
      <c r="O1196" s="40" t="str">
        <f>IF($A1196="","",MONTH($A1196))</f>
        <v/>
      </c>
      <c r="P1196" s="40" t="str">
        <f>IF($A1196="","",YEAR($A1196))</f>
        <v/>
      </c>
      <c r="Q1196" s="41" t="str">
        <f>IF($A1196="","",DATE(P1196,O1196,1))</f>
        <v/>
      </c>
      <c r="R1196" s="36" t="str">
        <f>IF(OR($A1196="",$N1196=""),"",IF(AND($C1196&lt;&gt;"Transferência",N($I1196)&gt;1),$N1196/$I1196,$N1196))</f>
        <v/>
      </c>
      <c r="S1196" s="41" t="str">
        <f>IF(OR($A1196="",$F1196="",$C1196&lt;&gt;"Despesa"),"",IF(COUNTIF(Cartoes_Nome,$F1196)=0,"",DATE(P1196,O1196+IF(DAY($A1196)&gt;=INDEX(Cartoes_Fech,MATCH($F1196,Cartoes_Nome,0)),1,0),1)))</f>
        <v/>
      </c>
      <c r="T1196" s="42" t="str">
        <f>IF($A1196="","",IF(COUNTIFS(L_Data,$A1196,L_Desc,$B1196,L_Valor,$N1196,L_Tipo,$C1196)&gt;1,"⚠ Possível duplicidade",IF(OR(AND($C1196="Despesa",COUNTIF(CatD_Nome,$D1196)=0),AND($C1196="Receita",COUNTIF(CatR_Nome,$D1196)=0)),"⚠ Categoria não combina com o tipo",IF(OR($N1196="",$C1196=""),"⚠ Falta valor ou tipo",""))))</f>
        <v/>
      </c>
      <c r="U1196" s="40">
        <f>IF($A1196="",0,P1196*12+O1196)</f>
        <v>0</v>
      </c>
      <c r="V1196" s="40">
        <f>IF($A1196="",0,U1196+MAX(0,N($I1196)-MAX(N($H1196),1)))</f>
        <v>0</v>
      </c>
      <c r="W1196" s="40">
        <f>IF(S1196="",0,YEAR(S1196)*12+MONTH(S1196))</f>
        <v>0</v>
      </c>
      <c r="X1196" s="40">
        <f>IF(W1196=0,0,W1196+V1196-U1196)</f>
        <v>0</v>
      </c>
      <c r="Y1196" s="36">
        <f>IF(W1196=0,0,N(R1196)*MAX(0,X1196-MAX(W1196,YEAR(Cfg_Hoje)*12+MONTH(Cfg_Hoje)+IF(DAY(Cfg_Hoje)&gt;=INDEX(Cartoes_Fech,MATCH($F1196,Cartoes_Nome,0)),1,0))+1))</f>
        <v>0</v>
      </c>
      <c r="Z1196" s="40">
        <f>IF($A1196="",0,DAY($A1196))</f>
        <v>0</v>
      </c>
      <c r="AA1196" s="40">
        <f>IF($A1196="",0,WEEKDAY($A1196))</f>
        <v>0</v>
      </c>
      <c r="AB1196" s="36">
        <f>IF(AND($C1196="Despesa",U1196&gt;0,U1196&lt;=Sel_Idx,V1196&gt;=Sel_Idx),N(R1196)+ROW()/1000000000,0)</f>
        <v>0</v>
      </c>
      <c r="AC1196" s="40">
        <f>IF(AND($C1196="Despesa",U1196&gt;0,U1196&lt;=Sel_Idx,V1196&gt;=Sel_Idx),Z1196*10000+ROW(),0)</f>
        <v>0</v>
      </c>
      <c r="AD1196" s="40">
        <f>IF(AC1196=0,0,COUNTIFS(L_CalChave,"&gt;0",L_CalChave,"&lt;"&amp;AC1196)+1)</f>
        <v>0</v>
      </c>
    </row>
    <row r="1197">
      <c r="A1197" s="38" t="n"/>
      <c r="B1197" s="39" t="n"/>
      <c r="C1197" s="34" t="n"/>
      <c r="D1197" s="34" t="n"/>
      <c r="E1197" s="34" t="n"/>
      <c r="F1197" s="34" t="n"/>
      <c r="G1197" s="34" t="n"/>
      <c r="H1197" s="37" t="n"/>
      <c r="I1197" s="37" t="n"/>
      <c r="J1197" s="34" t="n"/>
      <c r="K1197" s="34" t="n"/>
      <c r="L1197" s="34" t="n"/>
      <c r="M1197" s="39" t="n"/>
      <c r="N1197" s="35" t="n"/>
      <c r="O1197" s="40" t="str">
        <f>IF($A1197="","",MONTH($A1197))</f>
        <v/>
      </c>
      <c r="P1197" s="40" t="str">
        <f>IF($A1197="","",YEAR($A1197))</f>
        <v/>
      </c>
      <c r="Q1197" s="41" t="str">
        <f>IF($A1197="","",DATE(P1197,O1197,1))</f>
        <v/>
      </c>
      <c r="R1197" s="36" t="str">
        <f>IF(OR($A1197="",$N1197=""),"",IF(AND($C1197&lt;&gt;"Transferência",N($I1197)&gt;1),$N1197/$I1197,$N1197))</f>
        <v/>
      </c>
      <c r="S1197" s="41" t="str">
        <f>IF(OR($A1197="",$F1197="",$C1197&lt;&gt;"Despesa"),"",IF(COUNTIF(Cartoes_Nome,$F1197)=0,"",DATE(P1197,O1197+IF(DAY($A1197)&gt;=INDEX(Cartoes_Fech,MATCH($F1197,Cartoes_Nome,0)),1,0),1)))</f>
        <v/>
      </c>
      <c r="T1197" s="42" t="str">
        <f>IF($A1197="","",IF(COUNTIFS(L_Data,$A1197,L_Desc,$B1197,L_Valor,$N1197,L_Tipo,$C1197)&gt;1,"⚠ Possível duplicidade",IF(OR(AND($C1197="Despesa",COUNTIF(CatD_Nome,$D1197)=0),AND($C1197="Receita",COUNTIF(CatR_Nome,$D1197)=0)),"⚠ Categoria não combina com o tipo",IF(OR($N1197="",$C1197=""),"⚠ Falta valor ou tipo",""))))</f>
        <v/>
      </c>
      <c r="U1197" s="40">
        <f>IF($A1197="",0,P1197*12+O1197)</f>
        <v>0</v>
      </c>
      <c r="V1197" s="40">
        <f>IF($A1197="",0,U1197+MAX(0,N($I1197)-MAX(N($H1197),1)))</f>
        <v>0</v>
      </c>
      <c r="W1197" s="40">
        <f>IF(S1197="",0,YEAR(S1197)*12+MONTH(S1197))</f>
        <v>0</v>
      </c>
      <c r="X1197" s="40">
        <f>IF(W1197=0,0,W1197+V1197-U1197)</f>
        <v>0</v>
      </c>
      <c r="Y1197" s="36">
        <f>IF(W1197=0,0,N(R1197)*MAX(0,X1197-MAX(W1197,YEAR(Cfg_Hoje)*12+MONTH(Cfg_Hoje)+IF(DAY(Cfg_Hoje)&gt;=INDEX(Cartoes_Fech,MATCH($F1197,Cartoes_Nome,0)),1,0))+1))</f>
        <v>0</v>
      </c>
      <c r="Z1197" s="40">
        <f>IF($A1197="",0,DAY($A1197))</f>
        <v>0</v>
      </c>
      <c r="AA1197" s="40">
        <f>IF($A1197="",0,WEEKDAY($A1197))</f>
        <v>0</v>
      </c>
      <c r="AB1197" s="36">
        <f>IF(AND($C1197="Despesa",U1197&gt;0,U1197&lt;=Sel_Idx,V1197&gt;=Sel_Idx),N(R1197)+ROW()/1000000000,0)</f>
        <v>0</v>
      </c>
      <c r="AC1197" s="40">
        <f>IF(AND($C1197="Despesa",U1197&gt;0,U1197&lt;=Sel_Idx,V1197&gt;=Sel_Idx),Z1197*10000+ROW(),0)</f>
        <v>0</v>
      </c>
      <c r="AD1197" s="40">
        <f>IF(AC1197=0,0,COUNTIFS(L_CalChave,"&gt;0",L_CalChave,"&lt;"&amp;AC1197)+1)</f>
        <v>0</v>
      </c>
    </row>
    <row r="1198">
      <c r="A1198" s="38" t="n"/>
      <c r="B1198" s="39" t="n"/>
      <c r="C1198" s="34" t="n"/>
      <c r="D1198" s="34" t="n"/>
      <c r="E1198" s="34" t="n"/>
      <c r="F1198" s="34" t="n"/>
      <c r="G1198" s="34" t="n"/>
      <c r="H1198" s="37" t="n"/>
      <c r="I1198" s="37" t="n"/>
      <c r="J1198" s="34" t="n"/>
      <c r="K1198" s="34" t="n"/>
      <c r="L1198" s="34" t="n"/>
      <c r="M1198" s="39" t="n"/>
      <c r="N1198" s="35" t="n"/>
      <c r="O1198" s="40" t="str">
        <f>IF($A1198="","",MONTH($A1198))</f>
        <v/>
      </c>
      <c r="P1198" s="40" t="str">
        <f>IF($A1198="","",YEAR($A1198))</f>
        <v/>
      </c>
      <c r="Q1198" s="41" t="str">
        <f>IF($A1198="","",DATE(P1198,O1198,1))</f>
        <v/>
      </c>
      <c r="R1198" s="36" t="str">
        <f>IF(OR($A1198="",$N1198=""),"",IF(AND($C1198&lt;&gt;"Transferência",N($I1198)&gt;1),$N1198/$I1198,$N1198))</f>
        <v/>
      </c>
      <c r="S1198" s="41" t="str">
        <f>IF(OR($A1198="",$F1198="",$C1198&lt;&gt;"Despesa"),"",IF(COUNTIF(Cartoes_Nome,$F1198)=0,"",DATE(P1198,O1198+IF(DAY($A1198)&gt;=INDEX(Cartoes_Fech,MATCH($F1198,Cartoes_Nome,0)),1,0),1)))</f>
        <v/>
      </c>
      <c r="T1198" s="42" t="str">
        <f>IF($A1198="","",IF(COUNTIFS(L_Data,$A1198,L_Desc,$B1198,L_Valor,$N1198,L_Tipo,$C1198)&gt;1,"⚠ Possível duplicidade",IF(OR(AND($C1198="Despesa",COUNTIF(CatD_Nome,$D1198)=0),AND($C1198="Receita",COUNTIF(CatR_Nome,$D1198)=0)),"⚠ Categoria não combina com o tipo",IF(OR($N1198="",$C1198=""),"⚠ Falta valor ou tipo",""))))</f>
        <v/>
      </c>
      <c r="U1198" s="40">
        <f>IF($A1198="",0,P1198*12+O1198)</f>
        <v>0</v>
      </c>
      <c r="V1198" s="40">
        <f>IF($A1198="",0,U1198+MAX(0,N($I1198)-MAX(N($H1198),1)))</f>
        <v>0</v>
      </c>
      <c r="W1198" s="40">
        <f>IF(S1198="",0,YEAR(S1198)*12+MONTH(S1198))</f>
        <v>0</v>
      </c>
      <c r="X1198" s="40">
        <f>IF(W1198=0,0,W1198+V1198-U1198)</f>
        <v>0</v>
      </c>
      <c r="Y1198" s="36">
        <f>IF(W1198=0,0,N(R1198)*MAX(0,X1198-MAX(W1198,YEAR(Cfg_Hoje)*12+MONTH(Cfg_Hoje)+IF(DAY(Cfg_Hoje)&gt;=INDEX(Cartoes_Fech,MATCH($F1198,Cartoes_Nome,0)),1,0))+1))</f>
        <v>0</v>
      </c>
      <c r="Z1198" s="40">
        <f>IF($A1198="",0,DAY($A1198))</f>
        <v>0</v>
      </c>
      <c r="AA1198" s="40">
        <f>IF($A1198="",0,WEEKDAY($A1198))</f>
        <v>0</v>
      </c>
      <c r="AB1198" s="36">
        <f>IF(AND($C1198="Despesa",U1198&gt;0,U1198&lt;=Sel_Idx,V1198&gt;=Sel_Idx),N(R1198)+ROW()/1000000000,0)</f>
        <v>0</v>
      </c>
      <c r="AC1198" s="40">
        <f>IF(AND($C1198="Despesa",U1198&gt;0,U1198&lt;=Sel_Idx,V1198&gt;=Sel_Idx),Z1198*10000+ROW(),0)</f>
        <v>0</v>
      </c>
      <c r="AD1198" s="40">
        <f>IF(AC1198=0,0,COUNTIFS(L_CalChave,"&gt;0",L_CalChave,"&lt;"&amp;AC1198)+1)</f>
        <v>0</v>
      </c>
    </row>
    <row r="1199">
      <c r="A1199" s="38" t="n"/>
      <c r="B1199" s="39" t="n"/>
      <c r="C1199" s="34" t="n"/>
      <c r="D1199" s="34" t="n"/>
      <c r="E1199" s="34" t="n"/>
      <c r="F1199" s="34" t="n"/>
      <c r="G1199" s="34" t="n"/>
      <c r="H1199" s="37" t="n"/>
      <c r="I1199" s="37" t="n"/>
      <c r="J1199" s="34" t="n"/>
      <c r="K1199" s="34" t="n"/>
      <c r="L1199" s="34" t="n"/>
      <c r="M1199" s="39" t="n"/>
      <c r="N1199" s="35" t="n"/>
      <c r="O1199" s="40" t="str">
        <f>IF($A1199="","",MONTH($A1199))</f>
        <v/>
      </c>
      <c r="P1199" s="40" t="str">
        <f>IF($A1199="","",YEAR($A1199))</f>
        <v/>
      </c>
      <c r="Q1199" s="41" t="str">
        <f>IF($A1199="","",DATE(P1199,O1199,1))</f>
        <v/>
      </c>
      <c r="R1199" s="36" t="str">
        <f>IF(OR($A1199="",$N1199=""),"",IF(AND($C1199&lt;&gt;"Transferência",N($I1199)&gt;1),$N1199/$I1199,$N1199))</f>
        <v/>
      </c>
      <c r="S1199" s="41" t="str">
        <f>IF(OR($A1199="",$F1199="",$C1199&lt;&gt;"Despesa"),"",IF(COUNTIF(Cartoes_Nome,$F1199)=0,"",DATE(P1199,O1199+IF(DAY($A1199)&gt;=INDEX(Cartoes_Fech,MATCH($F1199,Cartoes_Nome,0)),1,0),1)))</f>
        <v/>
      </c>
      <c r="T1199" s="42" t="str">
        <f>IF($A1199="","",IF(COUNTIFS(L_Data,$A1199,L_Desc,$B1199,L_Valor,$N1199,L_Tipo,$C1199)&gt;1,"⚠ Possível duplicidade",IF(OR(AND($C1199="Despesa",COUNTIF(CatD_Nome,$D1199)=0),AND($C1199="Receita",COUNTIF(CatR_Nome,$D1199)=0)),"⚠ Categoria não combina com o tipo",IF(OR($N1199="",$C1199=""),"⚠ Falta valor ou tipo",""))))</f>
        <v/>
      </c>
      <c r="U1199" s="40">
        <f>IF($A1199="",0,P1199*12+O1199)</f>
        <v>0</v>
      </c>
      <c r="V1199" s="40">
        <f>IF($A1199="",0,U1199+MAX(0,N($I1199)-MAX(N($H1199),1)))</f>
        <v>0</v>
      </c>
      <c r="W1199" s="40">
        <f>IF(S1199="",0,YEAR(S1199)*12+MONTH(S1199))</f>
        <v>0</v>
      </c>
      <c r="X1199" s="40">
        <f>IF(W1199=0,0,W1199+V1199-U1199)</f>
        <v>0</v>
      </c>
      <c r="Y1199" s="36">
        <f>IF(W1199=0,0,N(R1199)*MAX(0,X1199-MAX(W1199,YEAR(Cfg_Hoje)*12+MONTH(Cfg_Hoje)+IF(DAY(Cfg_Hoje)&gt;=INDEX(Cartoes_Fech,MATCH($F1199,Cartoes_Nome,0)),1,0))+1))</f>
        <v>0</v>
      </c>
      <c r="Z1199" s="40">
        <f>IF($A1199="",0,DAY($A1199))</f>
        <v>0</v>
      </c>
      <c r="AA1199" s="40">
        <f>IF($A1199="",0,WEEKDAY($A1199))</f>
        <v>0</v>
      </c>
      <c r="AB1199" s="36">
        <f>IF(AND($C1199="Despesa",U1199&gt;0,U1199&lt;=Sel_Idx,V1199&gt;=Sel_Idx),N(R1199)+ROW()/1000000000,0)</f>
        <v>0</v>
      </c>
      <c r="AC1199" s="40">
        <f>IF(AND($C1199="Despesa",U1199&gt;0,U1199&lt;=Sel_Idx,V1199&gt;=Sel_Idx),Z1199*10000+ROW(),0)</f>
        <v>0</v>
      </c>
      <c r="AD1199" s="40">
        <f>IF(AC1199=0,0,COUNTIFS(L_CalChave,"&gt;0",L_CalChave,"&lt;"&amp;AC1199)+1)</f>
        <v>0</v>
      </c>
    </row>
    <row r="1200">
      <c r="A1200" s="38" t="n"/>
      <c r="B1200" s="39" t="n"/>
      <c r="C1200" s="34" t="n"/>
      <c r="D1200" s="34" t="n"/>
      <c r="E1200" s="34" t="n"/>
      <c r="F1200" s="34" t="n"/>
      <c r="G1200" s="34" t="n"/>
      <c r="H1200" s="37" t="n"/>
      <c r="I1200" s="37" t="n"/>
      <c r="J1200" s="34" t="n"/>
      <c r="K1200" s="34" t="n"/>
      <c r="L1200" s="34" t="n"/>
      <c r="M1200" s="39" t="n"/>
      <c r="N1200" s="35" t="n"/>
      <c r="O1200" s="40" t="str">
        <f>IF($A1200="","",MONTH($A1200))</f>
        <v/>
      </c>
      <c r="P1200" s="40" t="str">
        <f>IF($A1200="","",YEAR($A1200))</f>
        <v/>
      </c>
      <c r="Q1200" s="41" t="str">
        <f>IF($A1200="","",DATE(P1200,O1200,1))</f>
        <v/>
      </c>
      <c r="R1200" s="36" t="str">
        <f>IF(OR($A1200="",$N1200=""),"",IF(AND($C1200&lt;&gt;"Transferência",N($I1200)&gt;1),$N1200/$I1200,$N1200))</f>
        <v/>
      </c>
      <c r="S1200" s="41" t="str">
        <f>IF(OR($A1200="",$F1200="",$C1200&lt;&gt;"Despesa"),"",IF(COUNTIF(Cartoes_Nome,$F1200)=0,"",DATE(P1200,O1200+IF(DAY($A1200)&gt;=INDEX(Cartoes_Fech,MATCH($F1200,Cartoes_Nome,0)),1,0),1)))</f>
        <v/>
      </c>
      <c r="T1200" s="42" t="str">
        <f>IF($A1200="","",IF(COUNTIFS(L_Data,$A1200,L_Desc,$B1200,L_Valor,$N1200,L_Tipo,$C1200)&gt;1,"⚠ Possível duplicidade",IF(OR(AND($C1200="Despesa",COUNTIF(CatD_Nome,$D1200)=0),AND($C1200="Receita",COUNTIF(CatR_Nome,$D1200)=0)),"⚠ Categoria não combina com o tipo",IF(OR($N1200="",$C1200=""),"⚠ Falta valor ou tipo",""))))</f>
        <v/>
      </c>
      <c r="U1200" s="40">
        <f>IF($A1200="",0,P1200*12+O1200)</f>
        <v>0</v>
      </c>
      <c r="V1200" s="40">
        <f>IF($A1200="",0,U1200+MAX(0,N($I1200)-MAX(N($H1200),1)))</f>
        <v>0</v>
      </c>
      <c r="W1200" s="40">
        <f>IF(S1200="",0,YEAR(S1200)*12+MONTH(S1200))</f>
        <v>0</v>
      </c>
      <c r="X1200" s="40">
        <f>IF(W1200=0,0,W1200+V1200-U1200)</f>
        <v>0</v>
      </c>
      <c r="Y1200" s="36">
        <f>IF(W1200=0,0,N(R1200)*MAX(0,X1200-MAX(W1200,YEAR(Cfg_Hoje)*12+MONTH(Cfg_Hoje)+IF(DAY(Cfg_Hoje)&gt;=INDEX(Cartoes_Fech,MATCH($F1200,Cartoes_Nome,0)),1,0))+1))</f>
        <v>0</v>
      </c>
      <c r="Z1200" s="40">
        <f>IF($A1200="",0,DAY($A1200))</f>
        <v>0</v>
      </c>
      <c r="AA1200" s="40">
        <f>IF($A1200="",0,WEEKDAY($A1200))</f>
        <v>0</v>
      </c>
      <c r="AB1200" s="36">
        <f>IF(AND($C1200="Despesa",U1200&gt;0,U1200&lt;=Sel_Idx,V1200&gt;=Sel_Idx),N(R1200)+ROW()/1000000000,0)</f>
        <v>0</v>
      </c>
      <c r="AC1200" s="40">
        <f>IF(AND($C1200="Despesa",U1200&gt;0,U1200&lt;=Sel_Idx,V1200&gt;=Sel_Idx),Z1200*10000+ROW(),0)</f>
        <v>0</v>
      </c>
      <c r="AD1200" s="40">
        <f>IF(AC1200=0,0,COUNTIFS(L_CalChave,"&gt;0",L_CalChave,"&lt;"&amp;AC1200)+1)</f>
        <v>0</v>
      </c>
    </row>
    <row r="1201">
      <c r="A1201" s="38" t="n"/>
      <c r="B1201" s="39" t="n"/>
      <c r="C1201" s="34" t="n"/>
      <c r="D1201" s="34" t="n"/>
      <c r="E1201" s="34" t="n"/>
      <c r="F1201" s="34" t="n"/>
      <c r="G1201" s="34" t="n"/>
      <c r="H1201" s="37" t="n"/>
      <c r="I1201" s="37" t="n"/>
      <c r="J1201" s="34" t="n"/>
      <c r="K1201" s="34" t="n"/>
      <c r="L1201" s="34" t="n"/>
      <c r="M1201" s="39" t="n"/>
      <c r="N1201" s="35" t="n"/>
      <c r="O1201" s="40" t="str">
        <f>IF($A1201="","",MONTH($A1201))</f>
        <v/>
      </c>
      <c r="P1201" s="40" t="str">
        <f>IF($A1201="","",YEAR($A1201))</f>
        <v/>
      </c>
      <c r="Q1201" s="41" t="str">
        <f>IF($A1201="","",DATE(P1201,O1201,1))</f>
        <v/>
      </c>
      <c r="R1201" s="36" t="str">
        <f>IF(OR($A1201="",$N1201=""),"",IF(AND($C1201&lt;&gt;"Transferência",N($I1201)&gt;1),$N1201/$I1201,$N1201))</f>
        <v/>
      </c>
      <c r="S1201" s="41" t="str">
        <f>IF(OR($A1201="",$F1201="",$C1201&lt;&gt;"Despesa"),"",IF(COUNTIF(Cartoes_Nome,$F1201)=0,"",DATE(P1201,O1201+IF(DAY($A1201)&gt;=INDEX(Cartoes_Fech,MATCH($F1201,Cartoes_Nome,0)),1,0),1)))</f>
        <v/>
      </c>
      <c r="T1201" s="42" t="str">
        <f>IF($A1201="","",IF(COUNTIFS(L_Data,$A1201,L_Desc,$B1201,L_Valor,$N1201,L_Tipo,$C1201)&gt;1,"⚠ Possível duplicidade",IF(OR(AND($C1201="Despesa",COUNTIF(CatD_Nome,$D1201)=0),AND($C1201="Receita",COUNTIF(CatR_Nome,$D1201)=0)),"⚠ Categoria não combina com o tipo",IF(OR($N1201="",$C1201=""),"⚠ Falta valor ou tipo",""))))</f>
        <v/>
      </c>
      <c r="U1201" s="40">
        <f>IF($A1201="",0,P1201*12+O1201)</f>
        <v>0</v>
      </c>
      <c r="V1201" s="40">
        <f>IF($A1201="",0,U1201+MAX(0,N($I1201)-MAX(N($H1201),1)))</f>
        <v>0</v>
      </c>
      <c r="W1201" s="40">
        <f>IF(S1201="",0,YEAR(S1201)*12+MONTH(S1201))</f>
        <v>0</v>
      </c>
      <c r="X1201" s="40">
        <f>IF(W1201=0,0,W1201+V1201-U1201)</f>
        <v>0</v>
      </c>
      <c r="Y1201" s="36">
        <f>IF(W1201=0,0,N(R1201)*MAX(0,X1201-MAX(W1201,YEAR(Cfg_Hoje)*12+MONTH(Cfg_Hoje)+IF(DAY(Cfg_Hoje)&gt;=INDEX(Cartoes_Fech,MATCH($F1201,Cartoes_Nome,0)),1,0))+1))</f>
        <v>0</v>
      </c>
      <c r="Z1201" s="40">
        <f>IF($A1201="",0,DAY($A1201))</f>
        <v>0</v>
      </c>
      <c r="AA1201" s="40">
        <f>IF($A1201="",0,WEEKDAY($A1201))</f>
        <v>0</v>
      </c>
      <c r="AB1201" s="36">
        <f>IF(AND($C1201="Despesa",U1201&gt;0,U1201&lt;=Sel_Idx,V1201&gt;=Sel_Idx),N(R1201)+ROW()/1000000000,0)</f>
        <v>0</v>
      </c>
      <c r="AC1201" s="40">
        <f>IF(AND($C1201="Despesa",U1201&gt;0,U1201&lt;=Sel_Idx,V1201&gt;=Sel_Idx),Z1201*10000+ROW(),0)</f>
        <v>0</v>
      </c>
      <c r="AD1201" s="40">
        <f>IF(AC1201=0,0,COUNTIFS(L_CalChave,"&gt;0",L_CalChave,"&lt;"&amp;AC1201)+1)</f>
        <v>0</v>
      </c>
    </row>
    <row r="1202">
      <c r="A1202" s="38" t="n"/>
      <c r="B1202" s="39" t="n"/>
      <c r="C1202" s="34" t="n"/>
      <c r="D1202" s="34" t="n"/>
      <c r="E1202" s="34" t="n"/>
      <c r="F1202" s="34" t="n"/>
      <c r="G1202" s="34" t="n"/>
      <c r="H1202" s="37" t="n"/>
      <c r="I1202" s="37" t="n"/>
      <c r="J1202" s="34" t="n"/>
      <c r="K1202" s="34" t="n"/>
      <c r="L1202" s="34" t="n"/>
      <c r="M1202" s="39" t="n"/>
      <c r="N1202" s="35" t="n"/>
      <c r="O1202" s="40" t="str">
        <f>IF($A1202="","",MONTH($A1202))</f>
        <v/>
      </c>
      <c r="P1202" s="40" t="str">
        <f>IF($A1202="","",YEAR($A1202))</f>
        <v/>
      </c>
      <c r="Q1202" s="41" t="str">
        <f>IF($A1202="","",DATE(P1202,O1202,1))</f>
        <v/>
      </c>
      <c r="R1202" s="36" t="str">
        <f>IF(OR($A1202="",$N1202=""),"",IF(AND($C1202&lt;&gt;"Transferência",N($I1202)&gt;1),$N1202/$I1202,$N1202))</f>
        <v/>
      </c>
      <c r="S1202" s="41" t="str">
        <f>IF(OR($A1202="",$F1202="",$C1202&lt;&gt;"Despesa"),"",IF(COUNTIF(Cartoes_Nome,$F1202)=0,"",DATE(P1202,O1202+IF(DAY($A1202)&gt;=INDEX(Cartoes_Fech,MATCH($F1202,Cartoes_Nome,0)),1,0),1)))</f>
        <v/>
      </c>
      <c r="T1202" s="42" t="str">
        <f>IF($A1202="","",IF(COUNTIFS(L_Data,$A1202,L_Desc,$B1202,L_Valor,$N1202,L_Tipo,$C1202)&gt;1,"⚠ Possível duplicidade",IF(OR(AND($C1202="Despesa",COUNTIF(CatD_Nome,$D1202)=0),AND($C1202="Receita",COUNTIF(CatR_Nome,$D1202)=0)),"⚠ Categoria não combina com o tipo",IF(OR($N1202="",$C1202=""),"⚠ Falta valor ou tipo",""))))</f>
        <v/>
      </c>
      <c r="U1202" s="40">
        <f>IF($A1202="",0,P1202*12+O1202)</f>
        <v>0</v>
      </c>
      <c r="V1202" s="40">
        <f>IF($A1202="",0,U1202+MAX(0,N($I1202)-MAX(N($H1202),1)))</f>
        <v>0</v>
      </c>
      <c r="W1202" s="40">
        <f>IF(S1202="",0,YEAR(S1202)*12+MONTH(S1202))</f>
        <v>0</v>
      </c>
      <c r="X1202" s="40">
        <f>IF(W1202=0,0,W1202+V1202-U1202)</f>
        <v>0</v>
      </c>
      <c r="Y1202" s="36">
        <f>IF(W1202=0,0,N(R1202)*MAX(0,X1202-MAX(W1202,YEAR(Cfg_Hoje)*12+MONTH(Cfg_Hoje)+IF(DAY(Cfg_Hoje)&gt;=INDEX(Cartoes_Fech,MATCH($F1202,Cartoes_Nome,0)),1,0))+1))</f>
        <v>0</v>
      </c>
      <c r="Z1202" s="40">
        <f>IF($A1202="",0,DAY($A1202))</f>
        <v>0</v>
      </c>
      <c r="AA1202" s="40">
        <f>IF($A1202="",0,WEEKDAY($A1202))</f>
        <v>0</v>
      </c>
      <c r="AB1202" s="36">
        <f>IF(AND($C1202="Despesa",U1202&gt;0,U1202&lt;=Sel_Idx,V1202&gt;=Sel_Idx),N(R1202)+ROW()/1000000000,0)</f>
        <v>0</v>
      </c>
      <c r="AC1202" s="40">
        <f>IF(AND($C1202="Despesa",U1202&gt;0,U1202&lt;=Sel_Idx,V1202&gt;=Sel_Idx),Z1202*10000+ROW(),0)</f>
        <v>0</v>
      </c>
      <c r="AD1202" s="40">
        <f>IF(AC1202=0,0,COUNTIFS(L_CalChave,"&gt;0",L_CalChave,"&lt;"&amp;AC1202)+1)</f>
        <v>0</v>
      </c>
    </row>
    <row r="1203">
      <c r="A1203" s="38" t="n"/>
      <c r="B1203" s="39" t="n"/>
      <c r="C1203" s="34" t="n"/>
      <c r="D1203" s="34" t="n"/>
      <c r="E1203" s="34" t="n"/>
      <c r="F1203" s="34" t="n"/>
      <c r="G1203" s="34" t="n"/>
      <c r="H1203" s="37" t="n"/>
      <c r="I1203" s="37" t="n"/>
      <c r="J1203" s="34" t="n"/>
      <c r="K1203" s="34" t="n"/>
      <c r="L1203" s="34" t="n"/>
      <c r="M1203" s="39" t="n"/>
      <c r="N1203" s="35" t="n"/>
      <c r="O1203" s="40" t="str">
        <f>IF($A1203="","",MONTH($A1203))</f>
        <v/>
      </c>
      <c r="P1203" s="40" t="str">
        <f>IF($A1203="","",YEAR($A1203))</f>
        <v/>
      </c>
      <c r="Q1203" s="41" t="str">
        <f>IF($A1203="","",DATE(P1203,O1203,1))</f>
        <v/>
      </c>
      <c r="R1203" s="36" t="str">
        <f>IF(OR($A1203="",$N1203=""),"",IF(AND($C1203&lt;&gt;"Transferência",N($I1203)&gt;1),$N1203/$I1203,$N1203))</f>
        <v/>
      </c>
      <c r="S1203" s="41" t="str">
        <f>IF(OR($A1203="",$F1203="",$C1203&lt;&gt;"Despesa"),"",IF(COUNTIF(Cartoes_Nome,$F1203)=0,"",DATE(P1203,O1203+IF(DAY($A1203)&gt;=INDEX(Cartoes_Fech,MATCH($F1203,Cartoes_Nome,0)),1,0),1)))</f>
        <v/>
      </c>
      <c r="T1203" s="42" t="str">
        <f>IF($A1203="","",IF(COUNTIFS(L_Data,$A1203,L_Desc,$B1203,L_Valor,$N1203,L_Tipo,$C1203)&gt;1,"⚠ Possível duplicidade",IF(OR(AND($C1203="Despesa",COUNTIF(CatD_Nome,$D1203)=0),AND($C1203="Receita",COUNTIF(CatR_Nome,$D1203)=0)),"⚠ Categoria não combina com o tipo",IF(OR($N1203="",$C1203=""),"⚠ Falta valor ou tipo",""))))</f>
        <v/>
      </c>
      <c r="U1203" s="40">
        <f>IF($A1203="",0,P1203*12+O1203)</f>
        <v>0</v>
      </c>
      <c r="V1203" s="40">
        <f>IF($A1203="",0,U1203+MAX(0,N($I1203)-MAX(N($H1203),1)))</f>
        <v>0</v>
      </c>
      <c r="W1203" s="40">
        <f>IF(S1203="",0,YEAR(S1203)*12+MONTH(S1203))</f>
        <v>0</v>
      </c>
      <c r="X1203" s="40">
        <f>IF(W1203=0,0,W1203+V1203-U1203)</f>
        <v>0</v>
      </c>
      <c r="Y1203" s="36">
        <f>IF(W1203=0,0,N(R1203)*MAX(0,X1203-MAX(W1203,YEAR(Cfg_Hoje)*12+MONTH(Cfg_Hoje)+IF(DAY(Cfg_Hoje)&gt;=INDEX(Cartoes_Fech,MATCH($F1203,Cartoes_Nome,0)),1,0))+1))</f>
        <v>0</v>
      </c>
      <c r="Z1203" s="40">
        <f>IF($A1203="",0,DAY($A1203))</f>
        <v>0</v>
      </c>
      <c r="AA1203" s="40">
        <f>IF($A1203="",0,WEEKDAY($A1203))</f>
        <v>0</v>
      </c>
      <c r="AB1203" s="36">
        <f>IF(AND($C1203="Despesa",U1203&gt;0,U1203&lt;=Sel_Idx,V1203&gt;=Sel_Idx),N(R1203)+ROW()/1000000000,0)</f>
        <v>0</v>
      </c>
      <c r="AC1203" s="40">
        <f>IF(AND($C1203="Despesa",U1203&gt;0,U1203&lt;=Sel_Idx,V1203&gt;=Sel_Idx),Z1203*10000+ROW(),0)</f>
        <v>0</v>
      </c>
      <c r="AD1203" s="40">
        <f>IF(AC1203=0,0,COUNTIFS(L_CalChave,"&gt;0",L_CalChave,"&lt;"&amp;AC1203)+1)</f>
        <v>0</v>
      </c>
    </row>
    <row r="1204">
      <c r="A1204" s="38" t="n"/>
      <c r="B1204" s="39" t="n"/>
      <c r="C1204" s="34" t="n"/>
      <c r="D1204" s="34" t="n"/>
      <c r="E1204" s="34" t="n"/>
      <c r="F1204" s="34" t="n"/>
      <c r="G1204" s="34" t="n"/>
      <c r="H1204" s="37" t="n"/>
      <c r="I1204" s="37" t="n"/>
      <c r="J1204" s="34" t="n"/>
      <c r="K1204" s="34" t="n"/>
      <c r="L1204" s="34" t="n"/>
      <c r="M1204" s="39" t="n"/>
      <c r="N1204" s="35" t="n"/>
      <c r="O1204" s="40" t="str">
        <f>IF($A1204="","",MONTH($A1204))</f>
        <v/>
      </c>
      <c r="P1204" s="40" t="str">
        <f>IF($A1204="","",YEAR($A1204))</f>
        <v/>
      </c>
      <c r="Q1204" s="41" t="str">
        <f>IF($A1204="","",DATE(P1204,O1204,1))</f>
        <v/>
      </c>
      <c r="R1204" s="36" t="str">
        <f>IF(OR($A1204="",$N1204=""),"",IF(AND($C1204&lt;&gt;"Transferência",N($I1204)&gt;1),$N1204/$I1204,$N1204))</f>
        <v/>
      </c>
      <c r="S1204" s="41" t="str">
        <f>IF(OR($A1204="",$F1204="",$C1204&lt;&gt;"Despesa"),"",IF(COUNTIF(Cartoes_Nome,$F1204)=0,"",DATE(P1204,O1204+IF(DAY($A1204)&gt;=INDEX(Cartoes_Fech,MATCH($F1204,Cartoes_Nome,0)),1,0),1)))</f>
        <v/>
      </c>
      <c r="T1204" s="42" t="str">
        <f>IF($A1204="","",IF(COUNTIFS(L_Data,$A1204,L_Desc,$B1204,L_Valor,$N1204,L_Tipo,$C1204)&gt;1,"⚠ Possível duplicidade",IF(OR(AND($C1204="Despesa",COUNTIF(CatD_Nome,$D1204)=0),AND($C1204="Receita",COUNTIF(CatR_Nome,$D1204)=0)),"⚠ Categoria não combina com o tipo",IF(OR($N1204="",$C1204=""),"⚠ Falta valor ou tipo",""))))</f>
        <v/>
      </c>
      <c r="U1204" s="40">
        <f>IF($A1204="",0,P1204*12+O1204)</f>
        <v>0</v>
      </c>
      <c r="V1204" s="40">
        <f>IF($A1204="",0,U1204+MAX(0,N($I1204)-MAX(N($H1204),1)))</f>
        <v>0</v>
      </c>
      <c r="W1204" s="40">
        <f>IF(S1204="",0,YEAR(S1204)*12+MONTH(S1204))</f>
        <v>0</v>
      </c>
      <c r="X1204" s="40">
        <f>IF(W1204=0,0,W1204+V1204-U1204)</f>
        <v>0</v>
      </c>
      <c r="Y1204" s="36">
        <f>IF(W1204=0,0,N(R1204)*MAX(0,X1204-MAX(W1204,YEAR(Cfg_Hoje)*12+MONTH(Cfg_Hoje)+IF(DAY(Cfg_Hoje)&gt;=INDEX(Cartoes_Fech,MATCH($F1204,Cartoes_Nome,0)),1,0))+1))</f>
        <v>0</v>
      </c>
      <c r="Z1204" s="40">
        <f>IF($A1204="",0,DAY($A1204))</f>
        <v>0</v>
      </c>
      <c r="AA1204" s="40">
        <f>IF($A1204="",0,WEEKDAY($A1204))</f>
        <v>0</v>
      </c>
      <c r="AB1204" s="36">
        <f>IF(AND($C1204="Despesa",U1204&gt;0,U1204&lt;=Sel_Idx,V1204&gt;=Sel_Idx),N(R1204)+ROW()/1000000000,0)</f>
        <v>0</v>
      </c>
      <c r="AC1204" s="40">
        <f>IF(AND($C1204="Despesa",U1204&gt;0,U1204&lt;=Sel_Idx,V1204&gt;=Sel_Idx),Z1204*10000+ROW(),0)</f>
        <v>0</v>
      </c>
      <c r="AD1204" s="40">
        <f>IF(AC1204=0,0,COUNTIFS(L_CalChave,"&gt;0",L_CalChave,"&lt;"&amp;AC1204)+1)</f>
        <v>0</v>
      </c>
    </row>
    <row r="1205">
      <c r="A1205" s="38" t="n"/>
      <c r="B1205" s="39" t="n"/>
      <c r="C1205" s="34" t="n"/>
      <c r="D1205" s="34" t="n"/>
      <c r="E1205" s="34" t="n"/>
      <c r="F1205" s="34" t="n"/>
      <c r="G1205" s="34" t="n"/>
      <c r="H1205" s="37" t="n"/>
      <c r="I1205" s="37" t="n"/>
      <c r="J1205" s="34" t="n"/>
      <c r="K1205" s="34" t="n"/>
      <c r="L1205" s="34" t="n"/>
      <c r="M1205" s="39" t="n"/>
      <c r="N1205" s="35" t="n"/>
      <c r="O1205" s="40" t="str">
        <f>IF($A1205="","",MONTH($A1205))</f>
        <v/>
      </c>
      <c r="P1205" s="40" t="str">
        <f>IF($A1205="","",YEAR($A1205))</f>
        <v/>
      </c>
      <c r="Q1205" s="41" t="str">
        <f>IF($A1205="","",DATE(P1205,O1205,1))</f>
        <v/>
      </c>
      <c r="R1205" s="36" t="str">
        <f>IF(OR($A1205="",$N1205=""),"",IF(AND($C1205&lt;&gt;"Transferência",N($I1205)&gt;1),$N1205/$I1205,$N1205))</f>
        <v/>
      </c>
      <c r="S1205" s="41" t="str">
        <f>IF(OR($A1205="",$F1205="",$C1205&lt;&gt;"Despesa"),"",IF(COUNTIF(Cartoes_Nome,$F1205)=0,"",DATE(P1205,O1205+IF(DAY($A1205)&gt;=INDEX(Cartoes_Fech,MATCH($F1205,Cartoes_Nome,0)),1,0),1)))</f>
        <v/>
      </c>
      <c r="T1205" s="42" t="str">
        <f>IF($A1205="","",IF(COUNTIFS(L_Data,$A1205,L_Desc,$B1205,L_Valor,$N1205,L_Tipo,$C1205)&gt;1,"⚠ Possível duplicidade",IF(OR(AND($C1205="Despesa",COUNTIF(CatD_Nome,$D1205)=0),AND($C1205="Receita",COUNTIF(CatR_Nome,$D1205)=0)),"⚠ Categoria não combina com o tipo",IF(OR($N1205="",$C1205=""),"⚠ Falta valor ou tipo",""))))</f>
        <v/>
      </c>
      <c r="U1205" s="40">
        <f>IF($A1205="",0,P1205*12+O1205)</f>
        <v>0</v>
      </c>
      <c r="V1205" s="40">
        <f>IF($A1205="",0,U1205+MAX(0,N($I1205)-MAX(N($H1205),1)))</f>
        <v>0</v>
      </c>
      <c r="W1205" s="40">
        <f>IF(S1205="",0,YEAR(S1205)*12+MONTH(S1205))</f>
        <v>0</v>
      </c>
      <c r="X1205" s="40">
        <f>IF(W1205=0,0,W1205+V1205-U1205)</f>
        <v>0</v>
      </c>
      <c r="Y1205" s="36">
        <f>IF(W1205=0,0,N(R1205)*MAX(0,X1205-MAX(W1205,YEAR(Cfg_Hoje)*12+MONTH(Cfg_Hoje)+IF(DAY(Cfg_Hoje)&gt;=INDEX(Cartoes_Fech,MATCH($F1205,Cartoes_Nome,0)),1,0))+1))</f>
        <v>0</v>
      </c>
      <c r="Z1205" s="40">
        <f>IF($A1205="",0,DAY($A1205))</f>
        <v>0</v>
      </c>
      <c r="AA1205" s="40">
        <f>IF($A1205="",0,WEEKDAY($A1205))</f>
        <v>0</v>
      </c>
      <c r="AB1205" s="36">
        <f>IF(AND($C1205="Despesa",U1205&gt;0,U1205&lt;=Sel_Idx,V1205&gt;=Sel_Idx),N(R1205)+ROW()/1000000000,0)</f>
        <v>0</v>
      </c>
      <c r="AC1205" s="40">
        <f>IF(AND($C1205="Despesa",U1205&gt;0,U1205&lt;=Sel_Idx,V1205&gt;=Sel_Idx),Z1205*10000+ROW(),0)</f>
        <v>0</v>
      </c>
      <c r="AD1205" s="40">
        <f>IF(AC1205=0,0,COUNTIFS(L_CalChave,"&gt;0",L_CalChave,"&lt;"&amp;AC1205)+1)</f>
        <v>0</v>
      </c>
    </row>
    <row r="1206">
      <c r="A1206" s="38" t="n"/>
      <c r="B1206" s="39" t="n"/>
      <c r="C1206" s="34" t="n"/>
      <c r="D1206" s="34" t="n"/>
      <c r="E1206" s="34" t="n"/>
      <c r="F1206" s="34" t="n"/>
      <c r="G1206" s="34" t="n"/>
      <c r="H1206" s="37" t="n"/>
      <c r="I1206" s="37" t="n"/>
      <c r="J1206" s="34" t="n"/>
      <c r="K1206" s="34" t="n"/>
      <c r="L1206" s="34" t="n"/>
      <c r="M1206" s="39" t="n"/>
      <c r="N1206" s="35" t="n"/>
      <c r="O1206" s="40" t="str">
        <f>IF($A1206="","",MONTH($A1206))</f>
        <v/>
      </c>
      <c r="P1206" s="40" t="str">
        <f>IF($A1206="","",YEAR($A1206))</f>
        <v/>
      </c>
      <c r="Q1206" s="41" t="str">
        <f>IF($A1206="","",DATE(P1206,O1206,1))</f>
        <v/>
      </c>
      <c r="R1206" s="36" t="str">
        <f>IF(OR($A1206="",$N1206=""),"",IF(AND($C1206&lt;&gt;"Transferência",N($I1206)&gt;1),$N1206/$I1206,$N1206))</f>
        <v/>
      </c>
      <c r="S1206" s="41" t="str">
        <f>IF(OR($A1206="",$F1206="",$C1206&lt;&gt;"Despesa"),"",IF(COUNTIF(Cartoes_Nome,$F1206)=0,"",DATE(P1206,O1206+IF(DAY($A1206)&gt;=INDEX(Cartoes_Fech,MATCH($F1206,Cartoes_Nome,0)),1,0),1)))</f>
        <v/>
      </c>
      <c r="T1206" s="42" t="str">
        <f>IF($A1206="","",IF(COUNTIFS(L_Data,$A1206,L_Desc,$B1206,L_Valor,$N1206,L_Tipo,$C1206)&gt;1,"⚠ Possível duplicidade",IF(OR(AND($C1206="Despesa",COUNTIF(CatD_Nome,$D1206)=0),AND($C1206="Receita",COUNTIF(CatR_Nome,$D1206)=0)),"⚠ Categoria não combina com o tipo",IF(OR($N1206="",$C1206=""),"⚠ Falta valor ou tipo",""))))</f>
        <v/>
      </c>
      <c r="U1206" s="40">
        <f>IF($A1206="",0,P1206*12+O1206)</f>
        <v>0</v>
      </c>
      <c r="V1206" s="40">
        <f>IF($A1206="",0,U1206+MAX(0,N($I1206)-MAX(N($H1206),1)))</f>
        <v>0</v>
      </c>
      <c r="W1206" s="40">
        <f>IF(S1206="",0,YEAR(S1206)*12+MONTH(S1206))</f>
        <v>0</v>
      </c>
      <c r="X1206" s="40">
        <f>IF(W1206=0,0,W1206+V1206-U1206)</f>
        <v>0</v>
      </c>
      <c r="Y1206" s="36">
        <f>IF(W1206=0,0,N(R1206)*MAX(0,X1206-MAX(W1206,YEAR(Cfg_Hoje)*12+MONTH(Cfg_Hoje)+IF(DAY(Cfg_Hoje)&gt;=INDEX(Cartoes_Fech,MATCH($F1206,Cartoes_Nome,0)),1,0))+1))</f>
        <v>0</v>
      </c>
      <c r="Z1206" s="40">
        <f>IF($A1206="",0,DAY($A1206))</f>
        <v>0</v>
      </c>
      <c r="AA1206" s="40">
        <f>IF($A1206="",0,WEEKDAY($A1206))</f>
        <v>0</v>
      </c>
      <c r="AB1206" s="36">
        <f>IF(AND($C1206="Despesa",U1206&gt;0,U1206&lt;=Sel_Idx,V1206&gt;=Sel_Idx),N(R1206)+ROW()/1000000000,0)</f>
        <v>0</v>
      </c>
      <c r="AC1206" s="40">
        <f>IF(AND($C1206="Despesa",U1206&gt;0,U1206&lt;=Sel_Idx,V1206&gt;=Sel_Idx),Z1206*10000+ROW(),0)</f>
        <v>0</v>
      </c>
      <c r="AD1206" s="40">
        <f>IF(AC1206=0,0,COUNTIFS(L_CalChave,"&gt;0",L_CalChave,"&lt;"&amp;AC1206)+1)</f>
        <v>0</v>
      </c>
    </row>
    <row r="1207">
      <c r="A1207" s="38" t="n"/>
      <c r="B1207" s="39" t="n"/>
      <c r="C1207" s="34" t="n"/>
      <c r="D1207" s="34" t="n"/>
      <c r="E1207" s="34" t="n"/>
      <c r="F1207" s="34" t="n"/>
      <c r="G1207" s="34" t="n"/>
      <c r="H1207" s="37" t="n"/>
      <c r="I1207" s="37" t="n"/>
      <c r="J1207" s="34" t="n"/>
      <c r="K1207" s="34" t="n"/>
      <c r="L1207" s="34" t="n"/>
      <c r="M1207" s="39" t="n"/>
      <c r="N1207" s="35" t="n"/>
      <c r="O1207" s="40" t="str">
        <f>IF($A1207="","",MONTH($A1207))</f>
        <v/>
      </c>
      <c r="P1207" s="40" t="str">
        <f>IF($A1207="","",YEAR($A1207))</f>
        <v/>
      </c>
      <c r="Q1207" s="41" t="str">
        <f>IF($A1207="","",DATE(P1207,O1207,1))</f>
        <v/>
      </c>
      <c r="R1207" s="36" t="str">
        <f>IF(OR($A1207="",$N1207=""),"",IF(AND($C1207&lt;&gt;"Transferência",N($I1207)&gt;1),$N1207/$I1207,$N1207))</f>
        <v/>
      </c>
      <c r="S1207" s="41" t="str">
        <f>IF(OR($A1207="",$F1207="",$C1207&lt;&gt;"Despesa"),"",IF(COUNTIF(Cartoes_Nome,$F1207)=0,"",DATE(P1207,O1207+IF(DAY($A1207)&gt;=INDEX(Cartoes_Fech,MATCH($F1207,Cartoes_Nome,0)),1,0),1)))</f>
        <v/>
      </c>
      <c r="T1207" s="42" t="str">
        <f>IF($A1207="","",IF(COUNTIFS(L_Data,$A1207,L_Desc,$B1207,L_Valor,$N1207,L_Tipo,$C1207)&gt;1,"⚠ Possível duplicidade",IF(OR(AND($C1207="Despesa",COUNTIF(CatD_Nome,$D1207)=0),AND($C1207="Receita",COUNTIF(CatR_Nome,$D1207)=0)),"⚠ Categoria não combina com o tipo",IF(OR($N1207="",$C1207=""),"⚠ Falta valor ou tipo",""))))</f>
        <v/>
      </c>
      <c r="U1207" s="40">
        <f>IF($A1207="",0,P1207*12+O1207)</f>
        <v>0</v>
      </c>
      <c r="V1207" s="40">
        <f>IF($A1207="",0,U1207+MAX(0,N($I1207)-MAX(N($H1207),1)))</f>
        <v>0</v>
      </c>
      <c r="W1207" s="40">
        <f>IF(S1207="",0,YEAR(S1207)*12+MONTH(S1207))</f>
        <v>0</v>
      </c>
      <c r="X1207" s="40">
        <f>IF(W1207=0,0,W1207+V1207-U1207)</f>
        <v>0</v>
      </c>
      <c r="Y1207" s="36">
        <f>IF(W1207=0,0,N(R1207)*MAX(0,X1207-MAX(W1207,YEAR(Cfg_Hoje)*12+MONTH(Cfg_Hoje)+IF(DAY(Cfg_Hoje)&gt;=INDEX(Cartoes_Fech,MATCH($F1207,Cartoes_Nome,0)),1,0))+1))</f>
        <v>0</v>
      </c>
      <c r="Z1207" s="40">
        <f>IF($A1207="",0,DAY($A1207))</f>
        <v>0</v>
      </c>
      <c r="AA1207" s="40">
        <f>IF($A1207="",0,WEEKDAY($A1207))</f>
        <v>0</v>
      </c>
      <c r="AB1207" s="36">
        <f>IF(AND($C1207="Despesa",U1207&gt;0,U1207&lt;=Sel_Idx,V1207&gt;=Sel_Idx),N(R1207)+ROW()/1000000000,0)</f>
        <v>0</v>
      </c>
      <c r="AC1207" s="40">
        <f>IF(AND($C1207="Despesa",U1207&gt;0,U1207&lt;=Sel_Idx,V1207&gt;=Sel_Idx),Z1207*10000+ROW(),0)</f>
        <v>0</v>
      </c>
      <c r="AD1207" s="40">
        <f>IF(AC1207=0,0,COUNTIFS(L_CalChave,"&gt;0",L_CalChave,"&lt;"&amp;AC1207)+1)</f>
        <v>0</v>
      </c>
    </row>
    <row r="1208">
      <c r="A1208" s="38" t="n"/>
      <c r="B1208" s="39" t="n"/>
      <c r="C1208" s="34" t="n"/>
      <c r="D1208" s="34" t="n"/>
      <c r="E1208" s="34" t="n"/>
      <c r="F1208" s="34" t="n"/>
      <c r="G1208" s="34" t="n"/>
      <c r="H1208" s="37" t="n"/>
      <c r="I1208" s="37" t="n"/>
      <c r="J1208" s="34" t="n"/>
      <c r="K1208" s="34" t="n"/>
      <c r="L1208" s="34" t="n"/>
      <c r="M1208" s="39" t="n"/>
      <c r="N1208" s="35" t="n"/>
      <c r="O1208" s="40" t="str">
        <f>IF($A1208="","",MONTH($A1208))</f>
        <v/>
      </c>
      <c r="P1208" s="40" t="str">
        <f>IF($A1208="","",YEAR($A1208))</f>
        <v/>
      </c>
      <c r="Q1208" s="41" t="str">
        <f>IF($A1208="","",DATE(P1208,O1208,1))</f>
        <v/>
      </c>
      <c r="R1208" s="36" t="str">
        <f>IF(OR($A1208="",$N1208=""),"",IF(AND($C1208&lt;&gt;"Transferência",N($I1208)&gt;1),$N1208/$I1208,$N1208))</f>
        <v/>
      </c>
      <c r="S1208" s="41" t="str">
        <f>IF(OR($A1208="",$F1208="",$C1208&lt;&gt;"Despesa"),"",IF(COUNTIF(Cartoes_Nome,$F1208)=0,"",DATE(P1208,O1208+IF(DAY($A1208)&gt;=INDEX(Cartoes_Fech,MATCH($F1208,Cartoes_Nome,0)),1,0),1)))</f>
        <v/>
      </c>
      <c r="T1208" s="42" t="str">
        <f>IF($A1208="","",IF(COUNTIFS(L_Data,$A1208,L_Desc,$B1208,L_Valor,$N1208,L_Tipo,$C1208)&gt;1,"⚠ Possível duplicidade",IF(OR(AND($C1208="Despesa",COUNTIF(CatD_Nome,$D1208)=0),AND($C1208="Receita",COUNTIF(CatR_Nome,$D1208)=0)),"⚠ Categoria não combina com o tipo",IF(OR($N1208="",$C1208=""),"⚠ Falta valor ou tipo",""))))</f>
        <v/>
      </c>
      <c r="U1208" s="40">
        <f>IF($A1208="",0,P1208*12+O1208)</f>
        <v>0</v>
      </c>
      <c r="V1208" s="40">
        <f>IF($A1208="",0,U1208+MAX(0,N($I1208)-MAX(N($H1208),1)))</f>
        <v>0</v>
      </c>
      <c r="W1208" s="40">
        <f>IF(S1208="",0,YEAR(S1208)*12+MONTH(S1208))</f>
        <v>0</v>
      </c>
      <c r="X1208" s="40">
        <f>IF(W1208=0,0,W1208+V1208-U1208)</f>
        <v>0</v>
      </c>
      <c r="Y1208" s="36">
        <f>IF(W1208=0,0,N(R1208)*MAX(0,X1208-MAX(W1208,YEAR(Cfg_Hoje)*12+MONTH(Cfg_Hoje)+IF(DAY(Cfg_Hoje)&gt;=INDEX(Cartoes_Fech,MATCH($F1208,Cartoes_Nome,0)),1,0))+1))</f>
        <v>0</v>
      </c>
      <c r="Z1208" s="40">
        <f>IF($A1208="",0,DAY($A1208))</f>
        <v>0</v>
      </c>
      <c r="AA1208" s="40">
        <f>IF($A1208="",0,WEEKDAY($A1208))</f>
        <v>0</v>
      </c>
      <c r="AB1208" s="36">
        <f>IF(AND($C1208="Despesa",U1208&gt;0,U1208&lt;=Sel_Idx,V1208&gt;=Sel_Idx),N(R1208)+ROW()/1000000000,0)</f>
        <v>0</v>
      </c>
      <c r="AC1208" s="40">
        <f>IF(AND($C1208="Despesa",U1208&gt;0,U1208&lt;=Sel_Idx,V1208&gt;=Sel_Idx),Z1208*10000+ROW(),0)</f>
        <v>0</v>
      </c>
      <c r="AD1208" s="40">
        <f>IF(AC1208=0,0,COUNTIFS(L_CalChave,"&gt;0",L_CalChave,"&lt;"&amp;AC1208)+1)</f>
        <v>0</v>
      </c>
    </row>
    <row r="1209">
      <c r="A1209" s="38" t="n"/>
      <c r="B1209" s="39" t="n"/>
      <c r="C1209" s="34" t="n"/>
      <c r="D1209" s="34" t="n"/>
      <c r="E1209" s="34" t="n"/>
      <c r="F1209" s="34" t="n"/>
      <c r="G1209" s="34" t="n"/>
      <c r="H1209" s="37" t="n"/>
      <c r="I1209" s="37" t="n"/>
      <c r="J1209" s="34" t="n"/>
      <c r="K1209" s="34" t="n"/>
      <c r="L1209" s="34" t="n"/>
      <c r="M1209" s="39" t="n"/>
      <c r="N1209" s="35" t="n"/>
      <c r="O1209" s="40" t="str">
        <f>IF($A1209="","",MONTH($A1209))</f>
        <v/>
      </c>
      <c r="P1209" s="40" t="str">
        <f>IF($A1209="","",YEAR($A1209))</f>
        <v/>
      </c>
      <c r="Q1209" s="41" t="str">
        <f>IF($A1209="","",DATE(P1209,O1209,1))</f>
        <v/>
      </c>
      <c r="R1209" s="36" t="str">
        <f>IF(OR($A1209="",$N1209=""),"",IF(AND($C1209&lt;&gt;"Transferência",N($I1209)&gt;1),$N1209/$I1209,$N1209))</f>
        <v/>
      </c>
      <c r="S1209" s="41" t="str">
        <f>IF(OR($A1209="",$F1209="",$C1209&lt;&gt;"Despesa"),"",IF(COUNTIF(Cartoes_Nome,$F1209)=0,"",DATE(P1209,O1209+IF(DAY($A1209)&gt;=INDEX(Cartoes_Fech,MATCH($F1209,Cartoes_Nome,0)),1,0),1)))</f>
        <v/>
      </c>
      <c r="T1209" s="42" t="str">
        <f>IF($A1209="","",IF(COUNTIFS(L_Data,$A1209,L_Desc,$B1209,L_Valor,$N1209,L_Tipo,$C1209)&gt;1,"⚠ Possível duplicidade",IF(OR(AND($C1209="Despesa",COUNTIF(CatD_Nome,$D1209)=0),AND($C1209="Receita",COUNTIF(CatR_Nome,$D1209)=0)),"⚠ Categoria não combina com o tipo",IF(OR($N1209="",$C1209=""),"⚠ Falta valor ou tipo",""))))</f>
        <v/>
      </c>
      <c r="U1209" s="40">
        <f>IF($A1209="",0,P1209*12+O1209)</f>
        <v>0</v>
      </c>
      <c r="V1209" s="40">
        <f>IF($A1209="",0,U1209+MAX(0,N($I1209)-MAX(N($H1209),1)))</f>
        <v>0</v>
      </c>
      <c r="W1209" s="40">
        <f>IF(S1209="",0,YEAR(S1209)*12+MONTH(S1209))</f>
        <v>0</v>
      </c>
      <c r="X1209" s="40">
        <f>IF(W1209=0,0,W1209+V1209-U1209)</f>
        <v>0</v>
      </c>
      <c r="Y1209" s="36">
        <f>IF(W1209=0,0,N(R1209)*MAX(0,X1209-MAX(W1209,YEAR(Cfg_Hoje)*12+MONTH(Cfg_Hoje)+IF(DAY(Cfg_Hoje)&gt;=INDEX(Cartoes_Fech,MATCH($F1209,Cartoes_Nome,0)),1,0))+1))</f>
        <v>0</v>
      </c>
      <c r="Z1209" s="40">
        <f>IF($A1209="",0,DAY($A1209))</f>
        <v>0</v>
      </c>
      <c r="AA1209" s="40">
        <f>IF($A1209="",0,WEEKDAY($A1209))</f>
        <v>0</v>
      </c>
      <c r="AB1209" s="36">
        <f>IF(AND($C1209="Despesa",U1209&gt;0,U1209&lt;=Sel_Idx,V1209&gt;=Sel_Idx),N(R1209)+ROW()/1000000000,0)</f>
        <v>0</v>
      </c>
      <c r="AC1209" s="40">
        <f>IF(AND($C1209="Despesa",U1209&gt;0,U1209&lt;=Sel_Idx,V1209&gt;=Sel_Idx),Z1209*10000+ROW(),0)</f>
        <v>0</v>
      </c>
      <c r="AD1209" s="40">
        <f>IF(AC1209=0,0,COUNTIFS(L_CalChave,"&gt;0",L_CalChave,"&lt;"&amp;AC1209)+1)</f>
        <v>0</v>
      </c>
    </row>
    <row r="1210">
      <c r="A1210" s="38" t="n"/>
      <c r="B1210" s="39" t="n"/>
      <c r="C1210" s="34" t="n"/>
      <c r="D1210" s="34" t="n"/>
      <c r="E1210" s="34" t="n"/>
      <c r="F1210" s="34" t="n"/>
      <c r="G1210" s="34" t="n"/>
      <c r="H1210" s="37" t="n"/>
      <c r="I1210" s="37" t="n"/>
      <c r="J1210" s="34" t="n"/>
      <c r="K1210" s="34" t="n"/>
      <c r="L1210" s="34" t="n"/>
      <c r="M1210" s="39" t="n"/>
      <c r="N1210" s="35" t="n"/>
      <c r="O1210" s="40" t="str">
        <f>IF($A1210="","",MONTH($A1210))</f>
        <v/>
      </c>
      <c r="P1210" s="40" t="str">
        <f>IF($A1210="","",YEAR($A1210))</f>
        <v/>
      </c>
      <c r="Q1210" s="41" t="str">
        <f>IF($A1210="","",DATE(P1210,O1210,1))</f>
        <v/>
      </c>
      <c r="R1210" s="36" t="str">
        <f>IF(OR($A1210="",$N1210=""),"",IF(AND($C1210&lt;&gt;"Transferência",N($I1210)&gt;1),$N1210/$I1210,$N1210))</f>
        <v/>
      </c>
      <c r="S1210" s="41" t="str">
        <f>IF(OR($A1210="",$F1210="",$C1210&lt;&gt;"Despesa"),"",IF(COUNTIF(Cartoes_Nome,$F1210)=0,"",DATE(P1210,O1210+IF(DAY($A1210)&gt;=INDEX(Cartoes_Fech,MATCH($F1210,Cartoes_Nome,0)),1,0),1)))</f>
        <v/>
      </c>
      <c r="T1210" s="42" t="str">
        <f>IF($A1210="","",IF(COUNTIFS(L_Data,$A1210,L_Desc,$B1210,L_Valor,$N1210,L_Tipo,$C1210)&gt;1,"⚠ Possível duplicidade",IF(OR(AND($C1210="Despesa",COUNTIF(CatD_Nome,$D1210)=0),AND($C1210="Receita",COUNTIF(CatR_Nome,$D1210)=0)),"⚠ Categoria não combina com o tipo",IF(OR($N1210="",$C1210=""),"⚠ Falta valor ou tipo",""))))</f>
        <v/>
      </c>
      <c r="U1210" s="40">
        <f>IF($A1210="",0,P1210*12+O1210)</f>
        <v>0</v>
      </c>
      <c r="V1210" s="40">
        <f>IF($A1210="",0,U1210+MAX(0,N($I1210)-MAX(N($H1210),1)))</f>
        <v>0</v>
      </c>
      <c r="W1210" s="40">
        <f>IF(S1210="",0,YEAR(S1210)*12+MONTH(S1210))</f>
        <v>0</v>
      </c>
      <c r="X1210" s="40">
        <f>IF(W1210=0,0,W1210+V1210-U1210)</f>
        <v>0</v>
      </c>
      <c r="Y1210" s="36">
        <f>IF(W1210=0,0,N(R1210)*MAX(0,X1210-MAX(W1210,YEAR(Cfg_Hoje)*12+MONTH(Cfg_Hoje)+IF(DAY(Cfg_Hoje)&gt;=INDEX(Cartoes_Fech,MATCH($F1210,Cartoes_Nome,0)),1,0))+1))</f>
        <v>0</v>
      </c>
      <c r="Z1210" s="40">
        <f>IF($A1210="",0,DAY($A1210))</f>
        <v>0</v>
      </c>
      <c r="AA1210" s="40">
        <f>IF($A1210="",0,WEEKDAY($A1210))</f>
        <v>0</v>
      </c>
      <c r="AB1210" s="36">
        <f>IF(AND($C1210="Despesa",U1210&gt;0,U1210&lt;=Sel_Idx,V1210&gt;=Sel_Idx),N(R1210)+ROW()/1000000000,0)</f>
        <v>0</v>
      </c>
      <c r="AC1210" s="40">
        <f>IF(AND($C1210="Despesa",U1210&gt;0,U1210&lt;=Sel_Idx,V1210&gt;=Sel_Idx),Z1210*10000+ROW(),0)</f>
        <v>0</v>
      </c>
      <c r="AD1210" s="40">
        <f>IF(AC1210=0,0,COUNTIFS(L_CalChave,"&gt;0",L_CalChave,"&lt;"&amp;AC1210)+1)</f>
        <v>0</v>
      </c>
    </row>
    <row r="1211">
      <c r="A1211" s="38" t="n"/>
      <c r="B1211" s="39" t="n"/>
      <c r="C1211" s="34" t="n"/>
      <c r="D1211" s="34" t="n"/>
      <c r="E1211" s="34" t="n"/>
      <c r="F1211" s="34" t="n"/>
      <c r="G1211" s="34" t="n"/>
      <c r="H1211" s="37" t="n"/>
      <c r="I1211" s="37" t="n"/>
      <c r="J1211" s="34" t="n"/>
      <c r="K1211" s="34" t="n"/>
      <c r="L1211" s="34" t="n"/>
      <c r="M1211" s="39" t="n"/>
      <c r="N1211" s="35" t="n"/>
      <c r="O1211" s="40" t="str">
        <f>IF($A1211="","",MONTH($A1211))</f>
        <v/>
      </c>
      <c r="P1211" s="40" t="str">
        <f>IF($A1211="","",YEAR($A1211))</f>
        <v/>
      </c>
      <c r="Q1211" s="41" t="str">
        <f>IF($A1211="","",DATE(P1211,O1211,1))</f>
        <v/>
      </c>
      <c r="R1211" s="36" t="str">
        <f>IF(OR($A1211="",$N1211=""),"",IF(AND($C1211&lt;&gt;"Transferência",N($I1211)&gt;1),$N1211/$I1211,$N1211))</f>
        <v/>
      </c>
      <c r="S1211" s="41" t="str">
        <f>IF(OR($A1211="",$F1211="",$C1211&lt;&gt;"Despesa"),"",IF(COUNTIF(Cartoes_Nome,$F1211)=0,"",DATE(P1211,O1211+IF(DAY($A1211)&gt;=INDEX(Cartoes_Fech,MATCH($F1211,Cartoes_Nome,0)),1,0),1)))</f>
        <v/>
      </c>
      <c r="T1211" s="42" t="str">
        <f>IF($A1211="","",IF(COUNTIFS(L_Data,$A1211,L_Desc,$B1211,L_Valor,$N1211,L_Tipo,$C1211)&gt;1,"⚠ Possível duplicidade",IF(OR(AND($C1211="Despesa",COUNTIF(CatD_Nome,$D1211)=0),AND($C1211="Receita",COUNTIF(CatR_Nome,$D1211)=0)),"⚠ Categoria não combina com o tipo",IF(OR($N1211="",$C1211=""),"⚠ Falta valor ou tipo",""))))</f>
        <v/>
      </c>
      <c r="U1211" s="40">
        <f>IF($A1211="",0,P1211*12+O1211)</f>
        <v>0</v>
      </c>
      <c r="V1211" s="40">
        <f>IF($A1211="",0,U1211+MAX(0,N($I1211)-MAX(N($H1211),1)))</f>
        <v>0</v>
      </c>
      <c r="W1211" s="40">
        <f>IF(S1211="",0,YEAR(S1211)*12+MONTH(S1211))</f>
        <v>0</v>
      </c>
      <c r="X1211" s="40">
        <f>IF(W1211=0,0,W1211+V1211-U1211)</f>
        <v>0</v>
      </c>
      <c r="Y1211" s="36">
        <f>IF(W1211=0,0,N(R1211)*MAX(0,X1211-MAX(W1211,YEAR(Cfg_Hoje)*12+MONTH(Cfg_Hoje)+IF(DAY(Cfg_Hoje)&gt;=INDEX(Cartoes_Fech,MATCH($F1211,Cartoes_Nome,0)),1,0))+1))</f>
        <v>0</v>
      </c>
      <c r="Z1211" s="40">
        <f>IF($A1211="",0,DAY($A1211))</f>
        <v>0</v>
      </c>
      <c r="AA1211" s="40">
        <f>IF($A1211="",0,WEEKDAY($A1211))</f>
        <v>0</v>
      </c>
      <c r="AB1211" s="36">
        <f>IF(AND($C1211="Despesa",U1211&gt;0,U1211&lt;=Sel_Idx,V1211&gt;=Sel_Idx),N(R1211)+ROW()/1000000000,0)</f>
        <v>0</v>
      </c>
      <c r="AC1211" s="40">
        <f>IF(AND($C1211="Despesa",U1211&gt;0,U1211&lt;=Sel_Idx,V1211&gt;=Sel_Idx),Z1211*10000+ROW(),0)</f>
        <v>0</v>
      </c>
      <c r="AD1211" s="40">
        <f>IF(AC1211=0,0,COUNTIFS(L_CalChave,"&gt;0",L_CalChave,"&lt;"&amp;AC1211)+1)</f>
        <v>0</v>
      </c>
    </row>
    <row r="1212">
      <c r="A1212" s="38" t="n"/>
      <c r="B1212" s="39" t="n"/>
      <c r="C1212" s="34" t="n"/>
      <c r="D1212" s="34" t="n"/>
      <c r="E1212" s="34" t="n"/>
      <c r="F1212" s="34" t="n"/>
      <c r="G1212" s="34" t="n"/>
      <c r="H1212" s="37" t="n"/>
      <c r="I1212" s="37" t="n"/>
      <c r="J1212" s="34" t="n"/>
      <c r="K1212" s="34" t="n"/>
      <c r="L1212" s="34" t="n"/>
      <c r="M1212" s="39" t="n"/>
      <c r="N1212" s="35" t="n"/>
      <c r="O1212" s="40" t="str">
        <f>IF($A1212="","",MONTH($A1212))</f>
        <v/>
      </c>
      <c r="P1212" s="40" t="str">
        <f>IF($A1212="","",YEAR($A1212))</f>
        <v/>
      </c>
      <c r="Q1212" s="41" t="str">
        <f>IF($A1212="","",DATE(P1212,O1212,1))</f>
        <v/>
      </c>
      <c r="R1212" s="36" t="str">
        <f>IF(OR($A1212="",$N1212=""),"",IF(AND($C1212&lt;&gt;"Transferência",N($I1212)&gt;1),$N1212/$I1212,$N1212))</f>
        <v/>
      </c>
      <c r="S1212" s="41" t="str">
        <f>IF(OR($A1212="",$F1212="",$C1212&lt;&gt;"Despesa"),"",IF(COUNTIF(Cartoes_Nome,$F1212)=0,"",DATE(P1212,O1212+IF(DAY($A1212)&gt;=INDEX(Cartoes_Fech,MATCH($F1212,Cartoes_Nome,0)),1,0),1)))</f>
        <v/>
      </c>
      <c r="T1212" s="42" t="str">
        <f>IF($A1212="","",IF(COUNTIFS(L_Data,$A1212,L_Desc,$B1212,L_Valor,$N1212,L_Tipo,$C1212)&gt;1,"⚠ Possível duplicidade",IF(OR(AND($C1212="Despesa",COUNTIF(CatD_Nome,$D1212)=0),AND($C1212="Receita",COUNTIF(CatR_Nome,$D1212)=0)),"⚠ Categoria não combina com o tipo",IF(OR($N1212="",$C1212=""),"⚠ Falta valor ou tipo",""))))</f>
        <v/>
      </c>
      <c r="U1212" s="40">
        <f>IF($A1212="",0,P1212*12+O1212)</f>
        <v>0</v>
      </c>
      <c r="V1212" s="40">
        <f>IF($A1212="",0,U1212+MAX(0,N($I1212)-MAX(N($H1212),1)))</f>
        <v>0</v>
      </c>
      <c r="W1212" s="40">
        <f>IF(S1212="",0,YEAR(S1212)*12+MONTH(S1212))</f>
        <v>0</v>
      </c>
      <c r="X1212" s="40">
        <f>IF(W1212=0,0,W1212+V1212-U1212)</f>
        <v>0</v>
      </c>
      <c r="Y1212" s="36">
        <f>IF(W1212=0,0,N(R1212)*MAX(0,X1212-MAX(W1212,YEAR(Cfg_Hoje)*12+MONTH(Cfg_Hoje)+IF(DAY(Cfg_Hoje)&gt;=INDEX(Cartoes_Fech,MATCH($F1212,Cartoes_Nome,0)),1,0))+1))</f>
        <v>0</v>
      </c>
      <c r="Z1212" s="40">
        <f>IF($A1212="",0,DAY($A1212))</f>
        <v>0</v>
      </c>
      <c r="AA1212" s="40">
        <f>IF($A1212="",0,WEEKDAY($A1212))</f>
        <v>0</v>
      </c>
      <c r="AB1212" s="36">
        <f>IF(AND($C1212="Despesa",U1212&gt;0,U1212&lt;=Sel_Idx,V1212&gt;=Sel_Idx),N(R1212)+ROW()/1000000000,0)</f>
        <v>0</v>
      </c>
      <c r="AC1212" s="40">
        <f>IF(AND($C1212="Despesa",U1212&gt;0,U1212&lt;=Sel_Idx,V1212&gt;=Sel_Idx),Z1212*10000+ROW(),0)</f>
        <v>0</v>
      </c>
      <c r="AD1212" s="40">
        <f>IF(AC1212=0,0,COUNTIFS(L_CalChave,"&gt;0",L_CalChave,"&lt;"&amp;AC1212)+1)</f>
        <v>0</v>
      </c>
    </row>
    <row r="1213">
      <c r="A1213" s="38" t="n"/>
      <c r="B1213" s="39" t="n"/>
      <c r="C1213" s="34" t="n"/>
      <c r="D1213" s="34" t="n"/>
      <c r="E1213" s="34" t="n"/>
      <c r="F1213" s="34" t="n"/>
      <c r="G1213" s="34" t="n"/>
      <c r="H1213" s="37" t="n"/>
      <c r="I1213" s="37" t="n"/>
      <c r="J1213" s="34" t="n"/>
      <c r="K1213" s="34" t="n"/>
      <c r="L1213" s="34" t="n"/>
      <c r="M1213" s="39" t="n"/>
      <c r="N1213" s="35" t="n"/>
      <c r="O1213" s="40" t="str">
        <f>IF($A1213="","",MONTH($A1213))</f>
        <v/>
      </c>
      <c r="P1213" s="40" t="str">
        <f>IF($A1213="","",YEAR($A1213))</f>
        <v/>
      </c>
      <c r="Q1213" s="41" t="str">
        <f>IF($A1213="","",DATE(P1213,O1213,1))</f>
        <v/>
      </c>
      <c r="R1213" s="36" t="str">
        <f>IF(OR($A1213="",$N1213=""),"",IF(AND($C1213&lt;&gt;"Transferência",N($I1213)&gt;1),$N1213/$I1213,$N1213))</f>
        <v/>
      </c>
      <c r="S1213" s="41" t="str">
        <f>IF(OR($A1213="",$F1213="",$C1213&lt;&gt;"Despesa"),"",IF(COUNTIF(Cartoes_Nome,$F1213)=0,"",DATE(P1213,O1213+IF(DAY($A1213)&gt;=INDEX(Cartoes_Fech,MATCH($F1213,Cartoes_Nome,0)),1,0),1)))</f>
        <v/>
      </c>
      <c r="T1213" s="42" t="str">
        <f>IF($A1213="","",IF(COUNTIFS(L_Data,$A1213,L_Desc,$B1213,L_Valor,$N1213,L_Tipo,$C1213)&gt;1,"⚠ Possível duplicidade",IF(OR(AND($C1213="Despesa",COUNTIF(CatD_Nome,$D1213)=0),AND($C1213="Receita",COUNTIF(CatR_Nome,$D1213)=0)),"⚠ Categoria não combina com o tipo",IF(OR($N1213="",$C1213=""),"⚠ Falta valor ou tipo",""))))</f>
        <v/>
      </c>
      <c r="U1213" s="40">
        <f>IF($A1213="",0,P1213*12+O1213)</f>
        <v>0</v>
      </c>
      <c r="V1213" s="40">
        <f>IF($A1213="",0,U1213+MAX(0,N($I1213)-MAX(N($H1213),1)))</f>
        <v>0</v>
      </c>
      <c r="W1213" s="40">
        <f>IF(S1213="",0,YEAR(S1213)*12+MONTH(S1213))</f>
        <v>0</v>
      </c>
      <c r="X1213" s="40">
        <f>IF(W1213=0,0,W1213+V1213-U1213)</f>
        <v>0</v>
      </c>
      <c r="Y1213" s="36">
        <f>IF(W1213=0,0,N(R1213)*MAX(0,X1213-MAX(W1213,YEAR(Cfg_Hoje)*12+MONTH(Cfg_Hoje)+IF(DAY(Cfg_Hoje)&gt;=INDEX(Cartoes_Fech,MATCH($F1213,Cartoes_Nome,0)),1,0))+1))</f>
        <v>0</v>
      </c>
      <c r="Z1213" s="40">
        <f>IF($A1213="",0,DAY($A1213))</f>
        <v>0</v>
      </c>
      <c r="AA1213" s="40">
        <f>IF($A1213="",0,WEEKDAY($A1213))</f>
        <v>0</v>
      </c>
      <c r="AB1213" s="36">
        <f>IF(AND($C1213="Despesa",U1213&gt;0,U1213&lt;=Sel_Idx,V1213&gt;=Sel_Idx),N(R1213)+ROW()/1000000000,0)</f>
        <v>0</v>
      </c>
      <c r="AC1213" s="40">
        <f>IF(AND($C1213="Despesa",U1213&gt;0,U1213&lt;=Sel_Idx,V1213&gt;=Sel_Idx),Z1213*10000+ROW(),0)</f>
        <v>0</v>
      </c>
      <c r="AD1213" s="40">
        <f>IF(AC1213=0,0,COUNTIFS(L_CalChave,"&gt;0",L_CalChave,"&lt;"&amp;AC1213)+1)</f>
        <v>0</v>
      </c>
    </row>
    <row r="1214">
      <c r="A1214" s="38" t="n"/>
      <c r="B1214" s="39" t="n"/>
      <c r="C1214" s="34" t="n"/>
      <c r="D1214" s="34" t="n"/>
      <c r="E1214" s="34" t="n"/>
      <c r="F1214" s="34" t="n"/>
      <c r="G1214" s="34" t="n"/>
      <c r="H1214" s="37" t="n"/>
      <c r="I1214" s="37" t="n"/>
      <c r="J1214" s="34" t="n"/>
      <c r="K1214" s="34" t="n"/>
      <c r="L1214" s="34" t="n"/>
      <c r="M1214" s="39" t="n"/>
      <c r="N1214" s="35" t="n"/>
      <c r="O1214" s="40" t="str">
        <f>IF($A1214="","",MONTH($A1214))</f>
        <v/>
      </c>
      <c r="P1214" s="40" t="str">
        <f>IF($A1214="","",YEAR($A1214))</f>
        <v/>
      </c>
      <c r="Q1214" s="41" t="str">
        <f>IF($A1214="","",DATE(P1214,O1214,1))</f>
        <v/>
      </c>
      <c r="R1214" s="36" t="str">
        <f>IF(OR($A1214="",$N1214=""),"",IF(AND($C1214&lt;&gt;"Transferência",N($I1214)&gt;1),$N1214/$I1214,$N1214))</f>
        <v/>
      </c>
      <c r="S1214" s="41" t="str">
        <f>IF(OR($A1214="",$F1214="",$C1214&lt;&gt;"Despesa"),"",IF(COUNTIF(Cartoes_Nome,$F1214)=0,"",DATE(P1214,O1214+IF(DAY($A1214)&gt;=INDEX(Cartoes_Fech,MATCH($F1214,Cartoes_Nome,0)),1,0),1)))</f>
        <v/>
      </c>
      <c r="T1214" s="42" t="str">
        <f>IF($A1214="","",IF(COUNTIFS(L_Data,$A1214,L_Desc,$B1214,L_Valor,$N1214,L_Tipo,$C1214)&gt;1,"⚠ Possível duplicidade",IF(OR(AND($C1214="Despesa",COUNTIF(CatD_Nome,$D1214)=0),AND($C1214="Receita",COUNTIF(CatR_Nome,$D1214)=0)),"⚠ Categoria não combina com o tipo",IF(OR($N1214="",$C1214=""),"⚠ Falta valor ou tipo",""))))</f>
        <v/>
      </c>
      <c r="U1214" s="40">
        <f>IF($A1214="",0,P1214*12+O1214)</f>
        <v>0</v>
      </c>
      <c r="V1214" s="40">
        <f>IF($A1214="",0,U1214+MAX(0,N($I1214)-MAX(N($H1214),1)))</f>
        <v>0</v>
      </c>
      <c r="W1214" s="40">
        <f>IF(S1214="",0,YEAR(S1214)*12+MONTH(S1214))</f>
        <v>0</v>
      </c>
      <c r="X1214" s="40">
        <f>IF(W1214=0,0,W1214+V1214-U1214)</f>
        <v>0</v>
      </c>
      <c r="Y1214" s="36">
        <f>IF(W1214=0,0,N(R1214)*MAX(0,X1214-MAX(W1214,YEAR(Cfg_Hoje)*12+MONTH(Cfg_Hoje)+IF(DAY(Cfg_Hoje)&gt;=INDEX(Cartoes_Fech,MATCH($F1214,Cartoes_Nome,0)),1,0))+1))</f>
        <v>0</v>
      </c>
      <c r="Z1214" s="40">
        <f>IF($A1214="",0,DAY($A1214))</f>
        <v>0</v>
      </c>
      <c r="AA1214" s="40">
        <f>IF($A1214="",0,WEEKDAY($A1214))</f>
        <v>0</v>
      </c>
      <c r="AB1214" s="36">
        <f>IF(AND($C1214="Despesa",U1214&gt;0,U1214&lt;=Sel_Idx,V1214&gt;=Sel_Idx),N(R1214)+ROW()/1000000000,0)</f>
        <v>0</v>
      </c>
      <c r="AC1214" s="40">
        <f>IF(AND($C1214="Despesa",U1214&gt;0,U1214&lt;=Sel_Idx,V1214&gt;=Sel_Idx),Z1214*10000+ROW(),0)</f>
        <v>0</v>
      </c>
      <c r="AD1214" s="40">
        <f>IF(AC1214=0,0,COUNTIFS(L_CalChave,"&gt;0",L_CalChave,"&lt;"&amp;AC1214)+1)</f>
        <v>0</v>
      </c>
    </row>
    <row r="1215">
      <c r="A1215" s="38" t="n"/>
      <c r="B1215" s="39" t="n"/>
      <c r="C1215" s="34" t="n"/>
      <c r="D1215" s="34" t="n"/>
      <c r="E1215" s="34" t="n"/>
      <c r="F1215" s="34" t="n"/>
      <c r="G1215" s="34" t="n"/>
      <c r="H1215" s="37" t="n"/>
      <c r="I1215" s="37" t="n"/>
      <c r="J1215" s="34" t="n"/>
      <c r="K1215" s="34" t="n"/>
      <c r="L1215" s="34" t="n"/>
      <c r="M1215" s="39" t="n"/>
      <c r="N1215" s="35" t="n"/>
      <c r="O1215" s="40" t="str">
        <f>IF($A1215="","",MONTH($A1215))</f>
        <v/>
      </c>
      <c r="P1215" s="40" t="str">
        <f>IF($A1215="","",YEAR($A1215))</f>
        <v/>
      </c>
      <c r="Q1215" s="41" t="str">
        <f>IF($A1215="","",DATE(P1215,O1215,1))</f>
        <v/>
      </c>
      <c r="R1215" s="36" t="str">
        <f>IF(OR($A1215="",$N1215=""),"",IF(AND($C1215&lt;&gt;"Transferência",N($I1215)&gt;1),$N1215/$I1215,$N1215))</f>
        <v/>
      </c>
      <c r="S1215" s="41" t="str">
        <f>IF(OR($A1215="",$F1215="",$C1215&lt;&gt;"Despesa"),"",IF(COUNTIF(Cartoes_Nome,$F1215)=0,"",DATE(P1215,O1215+IF(DAY($A1215)&gt;=INDEX(Cartoes_Fech,MATCH($F1215,Cartoes_Nome,0)),1,0),1)))</f>
        <v/>
      </c>
      <c r="T1215" s="42" t="str">
        <f>IF($A1215="","",IF(COUNTIFS(L_Data,$A1215,L_Desc,$B1215,L_Valor,$N1215,L_Tipo,$C1215)&gt;1,"⚠ Possível duplicidade",IF(OR(AND($C1215="Despesa",COUNTIF(CatD_Nome,$D1215)=0),AND($C1215="Receita",COUNTIF(CatR_Nome,$D1215)=0)),"⚠ Categoria não combina com o tipo",IF(OR($N1215="",$C1215=""),"⚠ Falta valor ou tipo",""))))</f>
        <v/>
      </c>
      <c r="U1215" s="40">
        <f>IF($A1215="",0,P1215*12+O1215)</f>
        <v>0</v>
      </c>
      <c r="V1215" s="40">
        <f>IF($A1215="",0,U1215+MAX(0,N($I1215)-MAX(N($H1215),1)))</f>
        <v>0</v>
      </c>
      <c r="W1215" s="40">
        <f>IF(S1215="",0,YEAR(S1215)*12+MONTH(S1215))</f>
        <v>0</v>
      </c>
      <c r="X1215" s="40">
        <f>IF(W1215=0,0,W1215+V1215-U1215)</f>
        <v>0</v>
      </c>
      <c r="Y1215" s="36">
        <f>IF(W1215=0,0,N(R1215)*MAX(0,X1215-MAX(W1215,YEAR(Cfg_Hoje)*12+MONTH(Cfg_Hoje)+IF(DAY(Cfg_Hoje)&gt;=INDEX(Cartoes_Fech,MATCH($F1215,Cartoes_Nome,0)),1,0))+1))</f>
        <v>0</v>
      </c>
      <c r="Z1215" s="40">
        <f>IF($A1215="",0,DAY($A1215))</f>
        <v>0</v>
      </c>
      <c r="AA1215" s="40">
        <f>IF($A1215="",0,WEEKDAY($A1215))</f>
        <v>0</v>
      </c>
      <c r="AB1215" s="36">
        <f>IF(AND($C1215="Despesa",U1215&gt;0,U1215&lt;=Sel_Idx,V1215&gt;=Sel_Idx),N(R1215)+ROW()/1000000000,0)</f>
        <v>0</v>
      </c>
      <c r="AC1215" s="40">
        <f>IF(AND($C1215="Despesa",U1215&gt;0,U1215&lt;=Sel_Idx,V1215&gt;=Sel_Idx),Z1215*10000+ROW(),0)</f>
        <v>0</v>
      </c>
      <c r="AD1215" s="40">
        <f>IF(AC1215=0,0,COUNTIFS(L_CalChave,"&gt;0",L_CalChave,"&lt;"&amp;AC1215)+1)</f>
        <v>0</v>
      </c>
    </row>
    <row r="1216">
      <c r="A1216" s="38" t="n"/>
      <c r="B1216" s="39" t="n"/>
      <c r="C1216" s="34" t="n"/>
      <c r="D1216" s="34" t="n"/>
      <c r="E1216" s="34" t="n"/>
      <c r="F1216" s="34" t="n"/>
      <c r="G1216" s="34" t="n"/>
      <c r="H1216" s="37" t="n"/>
      <c r="I1216" s="37" t="n"/>
      <c r="J1216" s="34" t="n"/>
      <c r="K1216" s="34" t="n"/>
      <c r="L1216" s="34" t="n"/>
      <c r="M1216" s="39" t="n"/>
      <c r="N1216" s="35" t="n"/>
      <c r="O1216" s="40" t="str">
        <f>IF($A1216="","",MONTH($A1216))</f>
        <v/>
      </c>
      <c r="P1216" s="40" t="str">
        <f>IF($A1216="","",YEAR($A1216))</f>
        <v/>
      </c>
      <c r="Q1216" s="41" t="str">
        <f>IF($A1216="","",DATE(P1216,O1216,1))</f>
        <v/>
      </c>
      <c r="R1216" s="36" t="str">
        <f>IF(OR($A1216="",$N1216=""),"",IF(AND($C1216&lt;&gt;"Transferência",N($I1216)&gt;1),$N1216/$I1216,$N1216))</f>
        <v/>
      </c>
      <c r="S1216" s="41" t="str">
        <f>IF(OR($A1216="",$F1216="",$C1216&lt;&gt;"Despesa"),"",IF(COUNTIF(Cartoes_Nome,$F1216)=0,"",DATE(P1216,O1216+IF(DAY($A1216)&gt;=INDEX(Cartoes_Fech,MATCH($F1216,Cartoes_Nome,0)),1,0),1)))</f>
        <v/>
      </c>
      <c r="T1216" s="42" t="str">
        <f>IF($A1216="","",IF(COUNTIFS(L_Data,$A1216,L_Desc,$B1216,L_Valor,$N1216,L_Tipo,$C1216)&gt;1,"⚠ Possível duplicidade",IF(OR(AND($C1216="Despesa",COUNTIF(CatD_Nome,$D1216)=0),AND($C1216="Receita",COUNTIF(CatR_Nome,$D1216)=0)),"⚠ Categoria não combina com o tipo",IF(OR($N1216="",$C1216=""),"⚠ Falta valor ou tipo",""))))</f>
        <v/>
      </c>
      <c r="U1216" s="40">
        <f>IF($A1216="",0,P1216*12+O1216)</f>
        <v>0</v>
      </c>
      <c r="V1216" s="40">
        <f>IF($A1216="",0,U1216+MAX(0,N($I1216)-MAX(N($H1216),1)))</f>
        <v>0</v>
      </c>
      <c r="W1216" s="40">
        <f>IF(S1216="",0,YEAR(S1216)*12+MONTH(S1216))</f>
        <v>0</v>
      </c>
      <c r="X1216" s="40">
        <f>IF(W1216=0,0,W1216+V1216-U1216)</f>
        <v>0</v>
      </c>
      <c r="Y1216" s="36">
        <f>IF(W1216=0,0,N(R1216)*MAX(0,X1216-MAX(W1216,YEAR(Cfg_Hoje)*12+MONTH(Cfg_Hoje)+IF(DAY(Cfg_Hoje)&gt;=INDEX(Cartoes_Fech,MATCH($F1216,Cartoes_Nome,0)),1,0))+1))</f>
        <v>0</v>
      </c>
      <c r="Z1216" s="40">
        <f>IF($A1216="",0,DAY($A1216))</f>
        <v>0</v>
      </c>
      <c r="AA1216" s="40">
        <f>IF($A1216="",0,WEEKDAY($A1216))</f>
        <v>0</v>
      </c>
      <c r="AB1216" s="36">
        <f>IF(AND($C1216="Despesa",U1216&gt;0,U1216&lt;=Sel_Idx,V1216&gt;=Sel_Idx),N(R1216)+ROW()/1000000000,0)</f>
        <v>0</v>
      </c>
      <c r="AC1216" s="40">
        <f>IF(AND($C1216="Despesa",U1216&gt;0,U1216&lt;=Sel_Idx,V1216&gt;=Sel_Idx),Z1216*10000+ROW(),0)</f>
        <v>0</v>
      </c>
      <c r="AD1216" s="40">
        <f>IF(AC1216=0,0,COUNTIFS(L_CalChave,"&gt;0",L_CalChave,"&lt;"&amp;AC1216)+1)</f>
        <v>0</v>
      </c>
    </row>
    <row r="1217">
      <c r="A1217" s="38" t="n"/>
      <c r="B1217" s="39" t="n"/>
      <c r="C1217" s="34" t="n"/>
      <c r="D1217" s="34" t="n"/>
      <c r="E1217" s="34" t="n"/>
      <c r="F1217" s="34" t="n"/>
      <c r="G1217" s="34" t="n"/>
      <c r="H1217" s="37" t="n"/>
      <c r="I1217" s="37" t="n"/>
      <c r="J1217" s="34" t="n"/>
      <c r="K1217" s="34" t="n"/>
      <c r="L1217" s="34" t="n"/>
      <c r="M1217" s="39" t="n"/>
      <c r="N1217" s="35" t="n"/>
      <c r="O1217" s="40" t="str">
        <f>IF($A1217="","",MONTH($A1217))</f>
        <v/>
      </c>
      <c r="P1217" s="40" t="str">
        <f>IF($A1217="","",YEAR($A1217))</f>
        <v/>
      </c>
      <c r="Q1217" s="41" t="str">
        <f>IF($A1217="","",DATE(P1217,O1217,1))</f>
        <v/>
      </c>
      <c r="R1217" s="36" t="str">
        <f>IF(OR($A1217="",$N1217=""),"",IF(AND($C1217&lt;&gt;"Transferência",N($I1217)&gt;1),$N1217/$I1217,$N1217))</f>
        <v/>
      </c>
      <c r="S1217" s="41" t="str">
        <f>IF(OR($A1217="",$F1217="",$C1217&lt;&gt;"Despesa"),"",IF(COUNTIF(Cartoes_Nome,$F1217)=0,"",DATE(P1217,O1217+IF(DAY($A1217)&gt;=INDEX(Cartoes_Fech,MATCH($F1217,Cartoes_Nome,0)),1,0),1)))</f>
        <v/>
      </c>
      <c r="T1217" s="42" t="str">
        <f>IF($A1217="","",IF(COUNTIFS(L_Data,$A1217,L_Desc,$B1217,L_Valor,$N1217,L_Tipo,$C1217)&gt;1,"⚠ Possível duplicidade",IF(OR(AND($C1217="Despesa",COUNTIF(CatD_Nome,$D1217)=0),AND($C1217="Receita",COUNTIF(CatR_Nome,$D1217)=0)),"⚠ Categoria não combina com o tipo",IF(OR($N1217="",$C1217=""),"⚠ Falta valor ou tipo",""))))</f>
        <v/>
      </c>
      <c r="U1217" s="40">
        <f>IF($A1217="",0,P1217*12+O1217)</f>
        <v>0</v>
      </c>
      <c r="V1217" s="40">
        <f>IF($A1217="",0,U1217+MAX(0,N($I1217)-MAX(N($H1217),1)))</f>
        <v>0</v>
      </c>
      <c r="W1217" s="40">
        <f>IF(S1217="",0,YEAR(S1217)*12+MONTH(S1217))</f>
        <v>0</v>
      </c>
      <c r="X1217" s="40">
        <f>IF(W1217=0,0,W1217+V1217-U1217)</f>
        <v>0</v>
      </c>
      <c r="Y1217" s="36">
        <f>IF(W1217=0,0,N(R1217)*MAX(0,X1217-MAX(W1217,YEAR(Cfg_Hoje)*12+MONTH(Cfg_Hoje)+IF(DAY(Cfg_Hoje)&gt;=INDEX(Cartoes_Fech,MATCH($F1217,Cartoes_Nome,0)),1,0))+1))</f>
        <v>0</v>
      </c>
      <c r="Z1217" s="40">
        <f>IF($A1217="",0,DAY($A1217))</f>
        <v>0</v>
      </c>
      <c r="AA1217" s="40">
        <f>IF($A1217="",0,WEEKDAY($A1217))</f>
        <v>0</v>
      </c>
      <c r="AB1217" s="36">
        <f>IF(AND($C1217="Despesa",U1217&gt;0,U1217&lt;=Sel_Idx,V1217&gt;=Sel_Idx),N(R1217)+ROW()/1000000000,0)</f>
        <v>0</v>
      </c>
      <c r="AC1217" s="40">
        <f>IF(AND($C1217="Despesa",U1217&gt;0,U1217&lt;=Sel_Idx,V1217&gt;=Sel_Idx),Z1217*10000+ROW(),0)</f>
        <v>0</v>
      </c>
      <c r="AD1217" s="40">
        <f>IF(AC1217=0,0,COUNTIFS(L_CalChave,"&gt;0",L_CalChave,"&lt;"&amp;AC1217)+1)</f>
        <v>0</v>
      </c>
    </row>
    <row r="1218">
      <c r="A1218" s="38" t="n"/>
      <c r="B1218" s="39" t="n"/>
      <c r="C1218" s="34" t="n"/>
      <c r="D1218" s="34" t="n"/>
      <c r="E1218" s="34" t="n"/>
      <c r="F1218" s="34" t="n"/>
      <c r="G1218" s="34" t="n"/>
      <c r="H1218" s="37" t="n"/>
      <c r="I1218" s="37" t="n"/>
      <c r="J1218" s="34" t="n"/>
      <c r="K1218" s="34" t="n"/>
      <c r="L1218" s="34" t="n"/>
      <c r="M1218" s="39" t="n"/>
      <c r="N1218" s="35" t="n"/>
      <c r="O1218" s="40" t="str">
        <f>IF($A1218="","",MONTH($A1218))</f>
        <v/>
      </c>
      <c r="P1218" s="40" t="str">
        <f>IF($A1218="","",YEAR($A1218))</f>
        <v/>
      </c>
      <c r="Q1218" s="41" t="str">
        <f>IF($A1218="","",DATE(P1218,O1218,1))</f>
        <v/>
      </c>
      <c r="R1218" s="36" t="str">
        <f>IF(OR($A1218="",$N1218=""),"",IF(AND($C1218&lt;&gt;"Transferência",N($I1218)&gt;1),$N1218/$I1218,$N1218))</f>
        <v/>
      </c>
      <c r="S1218" s="41" t="str">
        <f>IF(OR($A1218="",$F1218="",$C1218&lt;&gt;"Despesa"),"",IF(COUNTIF(Cartoes_Nome,$F1218)=0,"",DATE(P1218,O1218+IF(DAY($A1218)&gt;=INDEX(Cartoes_Fech,MATCH($F1218,Cartoes_Nome,0)),1,0),1)))</f>
        <v/>
      </c>
      <c r="T1218" s="42" t="str">
        <f>IF($A1218="","",IF(COUNTIFS(L_Data,$A1218,L_Desc,$B1218,L_Valor,$N1218,L_Tipo,$C1218)&gt;1,"⚠ Possível duplicidade",IF(OR(AND($C1218="Despesa",COUNTIF(CatD_Nome,$D1218)=0),AND($C1218="Receita",COUNTIF(CatR_Nome,$D1218)=0)),"⚠ Categoria não combina com o tipo",IF(OR($N1218="",$C1218=""),"⚠ Falta valor ou tipo",""))))</f>
        <v/>
      </c>
      <c r="U1218" s="40">
        <f>IF($A1218="",0,P1218*12+O1218)</f>
        <v>0</v>
      </c>
      <c r="V1218" s="40">
        <f>IF($A1218="",0,U1218+MAX(0,N($I1218)-MAX(N($H1218),1)))</f>
        <v>0</v>
      </c>
      <c r="W1218" s="40">
        <f>IF(S1218="",0,YEAR(S1218)*12+MONTH(S1218))</f>
        <v>0</v>
      </c>
      <c r="X1218" s="40">
        <f>IF(W1218=0,0,W1218+V1218-U1218)</f>
        <v>0</v>
      </c>
      <c r="Y1218" s="36">
        <f>IF(W1218=0,0,N(R1218)*MAX(0,X1218-MAX(W1218,YEAR(Cfg_Hoje)*12+MONTH(Cfg_Hoje)+IF(DAY(Cfg_Hoje)&gt;=INDEX(Cartoes_Fech,MATCH($F1218,Cartoes_Nome,0)),1,0))+1))</f>
        <v>0</v>
      </c>
      <c r="Z1218" s="40">
        <f>IF($A1218="",0,DAY($A1218))</f>
        <v>0</v>
      </c>
      <c r="AA1218" s="40">
        <f>IF($A1218="",0,WEEKDAY($A1218))</f>
        <v>0</v>
      </c>
      <c r="AB1218" s="36">
        <f>IF(AND($C1218="Despesa",U1218&gt;0,U1218&lt;=Sel_Idx,V1218&gt;=Sel_Idx),N(R1218)+ROW()/1000000000,0)</f>
        <v>0</v>
      </c>
      <c r="AC1218" s="40">
        <f>IF(AND($C1218="Despesa",U1218&gt;0,U1218&lt;=Sel_Idx,V1218&gt;=Sel_Idx),Z1218*10000+ROW(),0)</f>
        <v>0</v>
      </c>
      <c r="AD1218" s="40">
        <f>IF(AC1218=0,0,COUNTIFS(L_CalChave,"&gt;0",L_CalChave,"&lt;"&amp;AC1218)+1)</f>
        <v>0</v>
      </c>
    </row>
    <row r="1219">
      <c r="A1219" s="38" t="n"/>
      <c r="B1219" s="39" t="n"/>
      <c r="C1219" s="34" t="n"/>
      <c r="D1219" s="34" t="n"/>
      <c r="E1219" s="34" t="n"/>
      <c r="F1219" s="34" t="n"/>
      <c r="G1219" s="34" t="n"/>
      <c r="H1219" s="37" t="n"/>
      <c r="I1219" s="37" t="n"/>
      <c r="J1219" s="34" t="n"/>
      <c r="K1219" s="34" t="n"/>
      <c r="L1219" s="34" t="n"/>
      <c r="M1219" s="39" t="n"/>
      <c r="N1219" s="35" t="n"/>
      <c r="O1219" s="40" t="str">
        <f>IF($A1219="","",MONTH($A1219))</f>
        <v/>
      </c>
      <c r="P1219" s="40" t="str">
        <f>IF($A1219="","",YEAR($A1219))</f>
        <v/>
      </c>
      <c r="Q1219" s="41" t="str">
        <f>IF($A1219="","",DATE(P1219,O1219,1))</f>
        <v/>
      </c>
      <c r="R1219" s="36" t="str">
        <f>IF(OR($A1219="",$N1219=""),"",IF(AND($C1219&lt;&gt;"Transferência",N($I1219)&gt;1),$N1219/$I1219,$N1219))</f>
        <v/>
      </c>
      <c r="S1219" s="41" t="str">
        <f>IF(OR($A1219="",$F1219="",$C1219&lt;&gt;"Despesa"),"",IF(COUNTIF(Cartoes_Nome,$F1219)=0,"",DATE(P1219,O1219+IF(DAY($A1219)&gt;=INDEX(Cartoes_Fech,MATCH($F1219,Cartoes_Nome,0)),1,0),1)))</f>
        <v/>
      </c>
      <c r="T1219" s="42" t="str">
        <f>IF($A1219="","",IF(COUNTIFS(L_Data,$A1219,L_Desc,$B1219,L_Valor,$N1219,L_Tipo,$C1219)&gt;1,"⚠ Possível duplicidade",IF(OR(AND($C1219="Despesa",COUNTIF(CatD_Nome,$D1219)=0),AND($C1219="Receita",COUNTIF(CatR_Nome,$D1219)=0)),"⚠ Categoria não combina com o tipo",IF(OR($N1219="",$C1219=""),"⚠ Falta valor ou tipo",""))))</f>
        <v/>
      </c>
      <c r="U1219" s="40">
        <f>IF($A1219="",0,P1219*12+O1219)</f>
        <v>0</v>
      </c>
      <c r="V1219" s="40">
        <f>IF($A1219="",0,U1219+MAX(0,N($I1219)-MAX(N($H1219),1)))</f>
        <v>0</v>
      </c>
      <c r="W1219" s="40">
        <f>IF(S1219="",0,YEAR(S1219)*12+MONTH(S1219))</f>
        <v>0</v>
      </c>
      <c r="X1219" s="40">
        <f>IF(W1219=0,0,W1219+V1219-U1219)</f>
        <v>0</v>
      </c>
      <c r="Y1219" s="36">
        <f>IF(W1219=0,0,N(R1219)*MAX(0,X1219-MAX(W1219,YEAR(Cfg_Hoje)*12+MONTH(Cfg_Hoje)+IF(DAY(Cfg_Hoje)&gt;=INDEX(Cartoes_Fech,MATCH($F1219,Cartoes_Nome,0)),1,0))+1))</f>
        <v>0</v>
      </c>
      <c r="Z1219" s="40">
        <f>IF($A1219="",0,DAY($A1219))</f>
        <v>0</v>
      </c>
      <c r="AA1219" s="40">
        <f>IF($A1219="",0,WEEKDAY($A1219))</f>
        <v>0</v>
      </c>
      <c r="AB1219" s="36">
        <f>IF(AND($C1219="Despesa",U1219&gt;0,U1219&lt;=Sel_Idx,V1219&gt;=Sel_Idx),N(R1219)+ROW()/1000000000,0)</f>
        <v>0</v>
      </c>
      <c r="AC1219" s="40">
        <f>IF(AND($C1219="Despesa",U1219&gt;0,U1219&lt;=Sel_Idx,V1219&gt;=Sel_Idx),Z1219*10000+ROW(),0)</f>
        <v>0</v>
      </c>
      <c r="AD1219" s="40">
        <f>IF(AC1219=0,0,COUNTIFS(L_CalChave,"&gt;0",L_CalChave,"&lt;"&amp;AC1219)+1)</f>
        <v>0</v>
      </c>
    </row>
    <row r="1220">
      <c r="A1220" s="38" t="n"/>
      <c r="B1220" s="39" t="n"/>
      <c r="C1220" s="34" t="n"/>
      <c r="D1220" s="34" t="n"/>
      <c r="E1220" s="34" t="n"/>
      <c r="F1220" s="34" t="n"/>
      <c r="G1220" s="34" t="n"/>
      <c r="H1220" s="37" t="n"/>
      <c r="I1220" s="37" t="n"/>
      <c r="J1220" s="34" t="n"/>
      <c r="K1220" s="34" t="n"/>
      <c r="L1220" s="34" t="n"/>
      <c r="M1220" s="39" t="n"/>
      <c r="N1220" s="35" t="n"/>
      <c r="O1220" s="40" t="str">
        <f>IF($A1220="","",MONTH($A1220))</f>
        <v/>
      </c>
      <c r="P1220" s="40" t="str">
        <f>IF($A1220="","",YEAR($A1220))</f>
        <v/>
      </c>
      <c r="Q1220" s="41" t="str">
        <f>IF($A1220="","",DATE(P1220,O1220,1))</f>
        <v/>
      </c>
      <c r="R1220" s="36" t="str">
        <f>IF(OR($A1220="",$N1220=""),"",IF(AND($C1220&lt;&gt;"Transferência",N($I1220)&gt;1),$N1220/$I1220,$N1220))</f>
        <v/>
      </c>
      <c r="S1220" s="41" t="str">
        <f>IF(OR($A1220="",$F1220="",$C1220&lt;&gt;"Despesa"),"",IF(COUNTIF(Cartoes_Nome,$F1220)=0,"",DATE(P1220,O1220+IF(DAY($A1220)&gt;=INDEX(Cartoes_Fech,MATCH($F1220,Cartoes_Nome,0)),1,0),1)))</f>
        <v/>
      </c>
      <c r="T1220" s="42" t="str">
        <f>IF($A1220="","",IF(COUNTIFS(L_Data,$A1220,L_Desc,$B1220,L_Valor,$N1220,L_Tipo,$C1220)&gt;1,"⚠ Possível duplicidade",IF(OR(AND($C1220="Despesa",COUNTIF(CatD_Nome,$D1220)=0),AND($C1220="Receita",COUNTIF(CatR_Nome,$D1220)=0)),"⚠ Categoria não combina com o tipo",IF(OR($N1220="",$C1220=""),"⚠ Falta valor ou tipo",""))))</f>
        <v/>
      </c>
      <c r="U1220" s="40">
        <f>IF($A1220="",0,P1220*12+O1220)</f>
        <v>0</v>
      </c>
      <c r="V1220" s="40">
        <f>IF($A1220="",0,U1220+MAX(0,N($I1220)-MAX(N($H1220),1)))</f>
        <v>0</v>
      </c>
      <c r="W1220" s="40">
        <f>IF(S1220="",0,YEAR(S1220)*12+MONTH(S1220))</f>
        <v>0</v>
      </c>
      <c r="X1220" s="40">
        <f>IF(W1220=0,0,W1220+V1220-U1220)</f>
        <v>0</v>
      </c>
      <c r="Y1220" s="36">
        <f>IF(W1220=0,0,N(R1220)*MAX(0,X1220-MAX(W1220,YEAR(Cfg_Hoje)*12+MONTH(Cfg_Hoje)+IF(DAY(Cfg_Hoje)&gt;=INDEX(Cartoes_Fech,MATCH($F1220,Cartoes_Nome,0)),1,0))+1))</f>
        <v>0</v>
      </c>
      <c r="Z1220" s="40">
        <f>IF($A1220="",0,DAY($A1220))</f>
        <v>0</v>
      </c>
      <c r="AA1220" s="40">
        <f>IF($A1220="",0,WEEKDAY($A1220))</f>
        <v>0</v>
      </c>
      <c r="AB1220" s="36">
        <f>IF(AND($C1220="Despesa",U1220&gt;0,U1220&lt;=Sel_Idx,V1220&gt;=Sel_Idx),N(R1220)+ROW()/1000000000,0)</f>
        <v>0</v>
      </c>
      <c r="AC1220" s="40">
        <f>IF(AND($C1220="Despesa",U1220&gt;0,U1220&lt;=Sel_Idx,V1220&gt;=Sel_Idx),Z1220*10000+ROW(),0)</f>
        <v>0</v>
      </c>
      <c r="AD1220" s="40">
        <f>IF(AC1220=0,0,COUNTIFS(L_CalChave,"&gt;0",L_CalChave,"&lt;"&amp;AC1220)+1)</f>
        <v>0</v>
      </c>
    </row>
    <row r="1221">
      <c r="A1221" s="38" t="n"/>
      <c r="B1221" s="39" t="n"/>
      <c r="C1221" s="34" t="n"/>
      <c r="D1221" s="34" t="n"/>
      <c r="E1221" s="34" t="n"/>
      <c r="F1221" s="34" t="n"/>
      <c r="G1221" s="34" t="n"/>
      <c r="H1221" s="37" t="n"/>
      <c r="I1221" s="37" t="n"/>
      <c r="J1221" s="34" t="n"/>
      <c r="K1221" s="34" t="n"/>
      <c r="L1221" s="34" t="n"/>
      <c r="M1221" s="39" t="n"/>
      <c r="N1221" s="35" t="n"/>
      <c r="O1221" s="40" t="str">
        <f>IF($A1221="","",MONTH($A1221))</f>
        <v/>
      </c>
      <c r="P1221" s="40" t="str">
        <f>IF($A1221="","",YEAR($A1221))</f>
        <v/>
      </c>
      <c r="Q1221" s="41" t="str">
        <f>IF($A1221="","",DATE(P1221,O1221,1))</f>
        <v/>
      </c>
      <c r="R1221" s="36" t="str">
        <f>IF(OR($A1221="",$N1221=""),"",IF(AND($C1221&lt;&gt;"Transferência",N($I1221)&gt;1),$N1221/$I1221,$N1221))</f>
        <v/>
      </c>
      <c r="S1221" s="41" t="str">
        <f>IF(OR($A1221="",$F1221="",$C1221&lt;&gt;"Despesa"),"",IF(COUNTIF(Cartoes_Nome,$F1221)=0,"",DATE(P1221,O1221+IF(DAY($A1221)&gt;=INDEX(Cartoes_Fech,MATCH($F1221,Cartoes_Nome,0)),1,0),1)))</f>
        <v/>
      </c>
      <c r="T1221" s="42" t="str">
        <f>IF($A1221="","",IF(COUNTIFS(L_Data,$A1221,L_Desc,$B1221,L_Valor,$N1221,L_Tipo,$C1221)&gt;1,"⚠ Possível duplicidade",IF(OR(AND($C1221="Despesa",COUNTIF(CatD_Nome,$D1221)=0),AND($C1221="Receita",COUNTIF(CatR_Nome,$D1221)=0)),"⚠ Categoria não combina com o tipo",IF(OR($N1221="",$C1221=""),"⚠ Falta valor ou tipo",""))))</f>
        <v/>
      </c>
      <c r="U1221" s="40">
        <f>IF($A1221="",0,P1221*12+O1221)</f>
        <v>0</v>
      </c>
      <c r="V1221" s="40">
        <f>IF($A1221="",0,U1221+MAX(0,N($I1221)-MAX(N($H1221),1)))</f>
        <v>0</v>
      </c>
      <c r="W1221" s="40">
        <f>IF(S1221="",0,YEAR(S1221)*12+MONTH(S1221))</f>
        <v>0</v>
      </c>
      <c r="X1221" s="40">
        <f>IF(W1221=0,0,W1221+V1221-U1221)</f>
        <v>0</v>
      </c>
      <c r="Y1221" s="36">
        <f>IF(W1221=0,0,N(R1221)*MAX(0,X1221-MAX(W1221,YEAR(Cfg_Hoje)*12+MONTH(Cfg_Hoje)+IF(DAY(Cfg_Hoje)&gt;=INDEX(Cartoes_Fech,MATCH($F1221,Cartoes_Nome,0)),1,0))+1))</f>
        <v>0</v>
      </c>
      <c r="Z1221" s="40">
        <f>IF($A1221="",0,DAY($A1221))</f>
        <v>0</v>
      </c>
      <c r="AA1221" s="40">
        <f>IF($A1221="",0,WEEKDAY($A1221))</f>
        <v>0</v>
      </c>
      <c r="AB1221" s="36">
        <f>IF(AND($C1221="Despesa",U1221&gt;0,U1221&lt;=Sel_Idx,V1221&gt;=Sel_Idx),N(R1221)+ROW()/1000000000,0)</f>
        <v>0</v>
      </c>
      <c r="AC1221" s="40">
        <f>IF(AND($C1221="Despesa",U1221&gt;0,U1221&lt;=Sel_Idx,V1221&gt;=Sel_Idx),Z1221*10000+ROW(),0)</f>
        <v>0</v>
      </c>
      <c r="AD1221" s="40">
        <f>IF(AC1221=0,0,COUNTIFS(L_CalChave,"&gt;0",L_CalChave,"&lt;"&amp;AC1221)+1)</f>
        <v>0</v>
      </c>
    </row>
    <row r="1222">
      <c r="A1222" s="38" t="n"/>
      <c r="B1222" s="39" t="n"/>
      <c r="C1222" s="34" t="n"/>
      <c r="D1222" s="34" t="n"/>
      <c r="E1222" s="34" t="n"/>
      <c r="F1222" s="34" t="n"/>
      <c r="G1222" s="34" t="n"/>
      <c r="H1222" s="37" t="n"/>
      <c r="I1222" s="37" t="n"/>
      <c r="J1222" s="34" t="n"/>
      <c r="K1222" s="34" t="n"/>
      <c r="L1222" s="34" t="n"/>
      <c r="M1222" s="39" t="n"/>
      <c r="N1222" s="35" t="n"/>
      <c r="O1222" s="40" t="str">
        <f>IF($A1222="","",MONTH($A1222))</f>
        <v/>
      </c>
      <c r="P1222" s="40" t="str">
        <f>IF($A1222="","",YEAR($A1222))</f>
        <v/>
      </c>
      <c r="Q1222" s="41" t="str">
        <f>IF($A1222="","",DATE(P1222,O1222,1))</f>
        <v/>
      </c>
      <c r="R1222" s="36" t="str">
        <f>IF(OR($A1222="",$N1222=""),"",IF(AND($C1222&lt;&gt;"Transferência",N($I1222)&gt;1),$N1222/$I1222,$N1222))</f>
        <v/>
      </c>
      <c r="S1222" s="41" t="str">
        <f>IF(OR($A1222="",$F1222="",$C1222&lt;&gt;"Despesa"),"",IF(COUNTIF(Cartoes_Nome,$F1222)=0,"",DATE(P1222,O1222+IF(DAY($A1222)&gt;=INDEX(Cartoes_Fech,MATCH($F1222,Cartoes_Nome,0)),1,0),1)))</f>
        <v/>
      </c>
      <c r="T1222" s="42" t="str">
        <f>IF($A1222="","",IF(COUNTIFS(L_Data,$A1222,L_Desc,$B1222,L_Valor,$N1222,L_Tipo,$C1222)&gt;1,"⚠ Possível duplicidade",IF(OR(AND($C1222="Despesa",COUNTIF(CatD_Nome,$D1222)=0),AND($C1222="Receita",COUNTIF(CatR_Nome,$D1222)=0)),"⚠ Categoria não combina com o tipo",IF(OR($N1222="",$C1222=""),"⚠ Falta valor ou tipo",""))))</f>
        <v/>
      </c>
      <c r="U1222" s="40">
        <f>IF($A1222="",0,P1222*12+O1222)</f>
        <v>0</v>
      </c>
      <c r="V1222" s="40">
        <f>IF($A1222="",0,U1222+MAX(0,N($I1222)-MAX(N($H1222),1)))</f>
        <v>0</v>
      </c>
      <c r="W1222" s="40">
        <f>IF(S1222="",0,YEAR(S1222)*12+MONTH(S1222))</f>
        <v>0</v>
      </c>
      <c r="X1222" s="40">
        <f>IF(W1222=0,0,W1222+V1222-U1222)</f>
        <v>0</v>
      </c>
      <c r="Y1222" s="36">
        <f>IF(W1222=0,0,N(R1222)*MAX(0,X1222-MAX(W1222,YEAR(Cfg_Hoje)*12+MONTH(Cfg_Hoje)+IF(DAY(Cfg_Hoje)&gt;=INDEX(Cartoes_Fech,MATCH($F1222,Cartoes_Nome,0)),1,0))+1))</f>
        <v>0</v>
      </c>
      <c r="Z1222" s="40">
        <f>IF($A1222="",0,DAY($A1222))</f>
        <v>0</v>
      </c>
      <c r="AA1222" s="40">
        <f>IF($A1222="",0,WEEKDAY($A1222))</f>
        <v>0</v>
      </c>
      <c r="AB1222" s="36">
        <f>IF(AND($C1222="Despesa",U1222&gt;0,U1222&lt;=Sel_Idx,V1222&gt;=Sel_Idx),N(R1222)+ROW()/1000000000,0)</f>
        <v>0</v>
      </c>
      <c r="AC1222" s="40">
        <f>IF(AND($C1222="Despesa",U1222&gt;0,U1222&lt;=Sel_Idx,V1222&gt;=Sel_Idx),Z1222*10000+ROW(),0)</f>
        <v>0</v>
      </c>
      <c r="AD1222" s="40">
        <f>IF(AC1222=0,0,COUNTIFS(L_CalChave,"&gt;0",L_CalChave,"&lt;"&amp;AC1222)+1)</f>
        <v>0</v>
      </c>
    </row>
    <row r="1223">
      <c r="A1223" s="38" t="n"/>
      <c r="B1223" s="39" t="n"/>
      <c r="C1223" s="34" t="n"/>
      <c r="D1223" s="34" t="n"/>
      <c r="E1223" s="34" t="n"/>
      <c r="F1223" s="34" t="n"/>
      <c r="G1223" s="34" t="n"/>
      <c r="H1223" s="37" t="n"/>
      <c r="I1223" s="37" t="n"/>
      <c r="J1223" s="34" t="n"/>
      <c r="K1223" s="34" t="n"/>
      <c r="L1223" s="34" t="n"/>
      <c r="M1223" s="39" t="n"/>
      <c r="N1223" s="35" t="n"/>
      <c r="O1223" s="40" t="str">
        <f>IF($A1223="","",MONTH($A1223))</f>
        <v/>
      </c>
      <c r="P1223" s="40" t="str">
        <f>IF($A1223="","",YEAR($A1223))</f>
        <v/>
      </c>
      <c r="Q1223" s="41" t="str">
        <f>IF($A1223="","",DATE(P1223,O1223,1))</f>
        <v/>
      </c>
      <c r="R1223" s="36" t="str">
        <f>IF(OR($A1223="",$N1223=""),"",IF(AND($C1223&lt;&gt;"Transferência",N($I1223)&gt;1),$N1223/$I1223,$N1223))</f>
        <v/>
      </c>
      <c r="S1223" s="41" t="str">
        <f>IF(OR($A1223="",$F1223="",$C1223&lt;&gt;"Despesa"),"",IF(COUNTIF(Cartoes_Nome,$F1223)=0,"",DATE(P1223,O1223+IF(DAY($A1223)&gt;=INDEX(Cartoes_Fech,MATCH($F1223,Cartoes_Nome,0)),1,0),1)))</f>
        <v/>
      </c>
      <c r="T1223" s="42" t="str">
        <f>IF($A1223="","",IF(COUNTIFS(L_Data,$A1223,L_Desc,$B1223,L_Valor,$N1223,L_Tipo,$C1223)&gt;1,"⚠ Possível duplicidade",IF(OR(AND($C1223="Despesa",COUNTIF(CatD_Nome,$D1223)=0),AND($C1223="Receita",COUNTIF(CatR_Nome,$D1223)=0)),"⚠ Categoria não combina com o tipo",IF(OR($N1223="",$C1223=""),"⚠ Falta valor ou tipo",""))))</f>
        <v/>
      </c>
      <c r="U1223" s="40">
        <f>IF($A1223="",0,P1223*12+O1223)</f>
        <v>0</v>
      </c>
      <c r="V1223" s="40">
        <f>IF($A1223="",0,U1223+MAX(0,N($I1223)-MAX(N($H1223),1)))</f>
        <v>0</v>
      </c>
      <c r="W1223" s="40">
        <f>IF(S1223="",0,YEAR(S1223)*12+MONTH(S1223))</f>
        <v>0</v>
      </c>
      <c r="X1223" s="40">
        <f>IF(W1223=0,0,W1223+V1223-U1223)</f>
        <v>0</v>
      </c>
      <c r="Y1223" s="36">
        <f>IF(W1223=0,0,N(R1223)*MAX(0,X1223-MAX(W1223,YEAR(Cfg_Hoje)*12+MONTH(Cfg_Hoje)+IF(DAY(Cfg_Hoje)&gt;=INDEX(Cartoes_Fech,MATCH($F1223,Cartoes_Nome,0)),1,0))+1))</f>
        <v>0</v>
      </c>
      <c r="Z1223" s="40">
        <f>IF($A1223="",0,DAY($A1223))</f>
        <v>0</v>
      </c>
      <c r="AA1223" s="40">
        <f>IF($A1223="",0,WEEKDAY($A1223))</f>
        <v>0</v>
      </c>
      <c r="AB1223" s="36">
        <f>IF(AND($C1223="Despesa",U1223&gt;0,U1223&lt;=Sel_Idx,V1223&gt;=Sel_Idx),N(R1223)+ROW()/1000000000,0)</f>
        <v>0</v>
      </c>
      <c r="AC1223" s="40">
        <f>IF(AND($C1223="Despesa",U1223&gt;0,U1223&lt;=Sel_Idx,V1223&gt;=Sel_Idx),Z1223*10000+ROW(),0)</f>
        <v>0</v>
      </c>
      <c r="AD1223" s="40">
        <f>IF(AC1223=0,0,COUNTIFS(L_CalChave,"&gt;0",L_CalChave,"&lt;"&amp;AC1223)+1)</f>
        <v>0</v>
      </c>
    </row>
    <row r="1224">
      <c r="A1224" s="38" t="n"/>
      <c r="B1224" s="39" t="n"/>
      <c r="C1224" s="34" t="n"/>
      <c r="D1224" s="34" t="n"/>
      <c r="E1224" s="34" t="n"/>
      <c r="F1224" s="34" t="n"/>
      <c r="G1224" s="34" t="n"/>
      <c r="H1224" s="37" t="n"/>
      <c r="I1224" s="37" t="n"/>
      <c r="J1224" s="34" t="n"/>
      <c r="K1224" s="34" t="n"/>
      <c r="L1224" s="34" t="n"/>
      <c r="M1224" s="39" t="n"/>
      <c r="N1224" s="35" t="n"/>
      <c r="O1224" s="40" t="str">
        <f>IF($A1224="","",MONTH($A1224))</f>
        <v/>
      </c>
      <c r="P1224" s="40" t="str">
        <f>IF($A1224="","",YEAR($A1224))</f>
        <v/>
      </c>
      <c r="Q1224" s="41" t="str">
        <f>IF($A1224="","",DATE(P1224,O1224,1))</f>
        <v/>
      </c>
      <c r="R1224" s="36" t="str">
        <f>IF(OR($A1224="",$N1224=""),"",IF(AND($C1224&lt;&gt;"Transferência",N($I1224)&gt;1),$N1224/$I1224,$N1224))</f>
        <v/>
      </c>
      <c r="S1224" s="41" t="str">
        <f>IF(OR($A1224="",$F1224="",$C1224&lt;&gt;"Despesa"),"",IF(COUNTIF(Cartoes_Nome,$F1224)=0,"",DATE(P1224,O1224+IF(DAY($A1224)&gt;=INDEX(Cartoes_Fech,MATCH($F1224,Cartoes_Nome,0)),1,0),1)))</f>
        <v/>
      </c>
      <c r="T1224" s="42" t="str">
        <f>IF($A1224="","",IF(COUNTIFS(L_Data,$A1224,L_Desc,$B1224,L_Valor,$N1224,L_Tipo,$C1224)&gt;1,"⚠ Possível duplicidade",IF(OR(AND($C1224="Despesa",COUNTIF(CatD_Nome,$D1224)=0),AND($C1224="Receita",COUNTIF(CatR_Nome,$D1224)=0)),"⚠ Categoria não combina com o tipo",IF(OR($N1224="",$C1224=""),"⚠ Falta valor ou tipo",""))))</f>
        <v/>
      </c>
      <c r="U1224" s="40">
        <f>IF($A1224="",0,P1224*12+O1224)</f>
        <v>0</v>
      </c>
      <c r="V1224" s="40">
        <f>IF($A1224="",0,U1224+MAX(0,N($I1224)-MAX(N($H1224),1)))</f>
        <v>0</v>
      </c>
      <c r="W1224" s="40">
        <f>IF(S1224="",0,YEAR(S1224)*12+MONTH(S1224))</f>
        <v>0</v>
      </c>
      <c r="X1224" s="40">
        <f>IF(W1224=0,0,W1224+V1224-U1224)</f>
        <v>0</v>
      </c>
      <c r="Y1224" s="36">
        <f>IF(W1224=0,0,N(R1224)*MAX(0,X1224-MAX(W1224,YEAR(Cfg_Hoje)*12+MONTH(Cfg_Hoje)+IF(DAY(Cfg_Hoje)&gt;=INDEX(Cartoes_Fech,MATCH($F1224,Cartoes_Nome,0)),1,0))+1))</f>
        <v>0</v>
      </c>
      <c r="Z1224" s="40">
        <f>IF($A1224="",0,DAY($A1224))</f>
        <v>0</v>
      </c>
      <c r="AA1224" s="40">
        <f>IF($A1224="",0,WEEKDAY($A1224))</f>
        <v>0</v>
      </c>
      <c r="AB1224" s="36">
        <f>IF(AND($C1224="Despesa",U1224&gt;0,U1224&lt;=Sel_Idx,V1224&gt;=Sel_Idx),N(R1224)+ROW()/1000000000,0)</f>
        <v>0</v>
      </c>
      <c r="AC1224" s="40">
        <f>IF(AND($C1224="Despesa",U1224&gt;0,U1224&lt;=Sel_Idx,V1224&gt;=Sel_Idx),Z1224*10000+ROW(),0)</f>
        <v>0</v>
      </c>
      <c r="AD1224" s="40">
        <f>IF(AC1224=0,0,COUNTIFS(L_CalChave,"&gt;0",L_CalChave,"&lt;"&amp;AC1224)+1)</f>
        <v>0</v>
      </c>
    </row>
    <row r="1225">
      <c r="A1225" s="38" t="n"/>
      <c r="B1225" s="39" t="n"/>
      <c r="C1225" s="34" t="n"/>
      <c r="D1225" s="34" t="n"/>
      <c r="E1225" s="34" t="n"/>
      <c r="F1225" s="34" t="n"/>
      <c r="G1225" s="34" t="n"/>
      <c r="H1225" s="37" t="n"/>
      <c r="I1225" s="37" t="n"/>
      <c r="J1225" s="34" t="n"/>
      <c r="K1225" s="34" t="n"/>
      <c r="L1225" s="34" t="n"/>
      <c r="M1225" s="39" t="n"/>
      <c r="N1225" s="35" t="n"/>
      <c r="O1225" s="40" t="str">
        <f>IF($A1225="","",MONTH($A1225))</f>
        <v/>
      </c>
      <c r="P1225" s="40" t="str">
        <f>IF($A1225="","",YEAR($A1225))</f>
        <v/>
      </c>
      <c r="Q1225" s="41" t="str">
        <f>IF($A1225="","",DATE(P1225,O1225,1))</f>
        <v/>
      </c>
      <c r="R1225" s="36" t="str">
        <f>IF(OR($A1225="",$N1225=""),"",IF(AND($C1225&lt;&gt;"Transferência",N($I1225)&gt;1),$N1225/$I1225,$N1225))</f>
        <v/>
      </c>
      <c r="S1225" s="41" t="str">
        <f>IF(OR($A1225="",$F1225="",$C1225&lt;&gt;"Despesa"),"",IF(COUNTIF(Cartoes_Nome,$F1225)=0,"",DATE(P1225,O1225+IF(DAY($A1225)&gt;=INDEX(Cartoes_Fech,MATCH($F1225,Cartoes_Nome,0)),1,0),1)))</f>
        <v/>
      </c>
      <c r="T1225" s="42" t="str">
        <f>IF($A1225="","",IF(COUNTIFS(L_Data,$A1225,L_Desc,$B1225,L_Valor,$N1225,L_Tipo,$C1225)&gt;1,"⚠ Possível duplicidade",IF(OR(AND($C1225="Despesa",COUNTIF(CatD_Nome,$D1225)=0),AND($C1225="Receita",COUNTIF(CatR_Nome,$D1225)=0)),"⚠ Categoria não combina com o tipo",IF(OR($N1225="",$C1225=""),"⚠ Falta valor ou tipo",""))))</f>
        <v/>
      </c>
      <c r="U1225" s="40">
        <f>IF($A1225="",0,P1225*12+O1225)</f>
        <v>0</v>
      </c>
      <c r="V1225" s="40">
        <f>IF($A1225="",0,U1225+MAX(0,N($I1225)-MAX(N($H1225),1)))</f>
        <v>0</v>
      </c>
      <c r="W1225" s="40">
        <f>IF(S1225="",0,YEAR(S1225)*12+MONTH(S1225))</f>
        <v>0</v>
      </c>
      <c r="X1225" s="40">
        <f>IF(W1225=0,0,W1225+V1225-U1225)</f>
        <v>0</v>
      </c>
      <c r="Y1225" s="36">
        <f>IF(W1225=0,0,N(R1225)*MAX(0,X1225-MAX(W1225,YEAR(Cfg_Hoje)*12+MONTH(Cfg_Hoje)+IF(DAY(Cfg_Hoje)&gt;=INDEX(Cartoes_Fech,MATCH($F1225,Cartoes_Nome,0)),1,0))+1))</f>
        <v>0</v>
      </c>
      <c r="Z1225" s="40">
        <f>IF($A1225="",0,DAY($A1225))</f>
        <v>0</v>
      </c>
      <c r="AA1225" s="40">
        <f>IF($A1225="",0,WEEKDAY($A1225))</f>
        <v>0</v>
      </c>
      <c r="AB1225" s="36">
        <f>IF(AND($C1225="Despesa",U1225&gt;0,U1225&lt;=Sel_Idx,V1225&gt;=Sel_Idx),N(R1225)+ROW()/1000000000,0)</f>
        <v>0</v>
      </c>
      <c r="AC1225" s="40">
        <f>IF(AND($C1225="Despesa",U1225&gt;0,U1225&lt;=Sel_Idx,V1225&gt;=Sel_Idx),Z1225*10000+ROW(),0)</f>
        <v>0</v>
      </c>
      <c r="AD1225" s="40">
        <f>IF(AC1225=0,0,COUNTIFS(L_CalChave,"&gt;0",L_CalChave,"&lt;"&amp;AC1225)+1)</f>
        <v>0</v>
      </c>
    </row>
    <row r="1226">
      <c r="A1226" s="38" t="n"/>
      <c r="B1226" s="39" t="n"/>
      <c r="C1226" s="34" t="n"/>
      <c r="D1226" s="34" t="n"/>
      <c r="E1226" s="34" t="n"/>
      <c r="F1226" s="34" t="n"/>
      <c r="G1226" s="34" t="n"/>
      <c r="H1226" s="37" t="n"/>
      <c r="I1226" s="37" t="n"/>
      <c r="J1226" s="34" t="n"/>
      <c r="K1226" s="34" t="n"/>
      <c r="L1226" s="34" t="n"/>
      <c r="M1226" s="39" t="n"/>
      <c r="N1226" s="35" t="n"/>
      <c r="O1226" s="40" t="str">
        <f>IF($A1226="","",MONTH($A1226))</f>
        <v/>
      </c>
      <c r="P1226" s="40" t="str">
        <f>IF($A1226="","",YEAR($A1226))</f>
        <v/>
      </c>
      <c r="Q1226" s="41" t="str">
        <f>IF($A1226="","",DATE(P1226,O1226,1))</f>
        <v/>
      </c>
      <c r="R1226" s="36" t="str">
        <f>IF(OR($A1226="",$N1226=""),"",IF(AND($C1226&lt;&gt;"Transferência",N($I1226)&gt;1),$N1226/$I1226,$N1226))</f>
        <v/>
      </c>
      <c r="S1226" s="41" t="str">
        <f>IF(OR($A1226="",$F1226="",$C1226&lt;&gt;"Despesa"),"",IF(COUNTIF(Cartoes_Nome,$F1226)=0,"",DATE(P1226,O1226+IF(DAY($A1226)&gt;=INDEX(Cartoes_Fech,MATCH($F1226,Cartoes_Nome,0)),1,0),1)))</f>
        <v/>
      </c>
      <c r="T1226" s="42" t="str">
        <f>IF($A1226="","",IF(COUNTIFS(L_Data,$A1226,L_Desc,$B1226,L_Valor,$N1226,L_Tipo,$C1226)&gt;1,"⚠ Possível duplicidade",IF(OR(AND($C1226="Despesa",COUNTIF(CatD_Nome,$D1226)=0),AND($C1226="Receita",COUNTIF(CatR_Nome,$D1226)=0)),"⚠ Categoria não combina com o tipo",IF(OR($N1226="",$C1226=""),"⚠ Falta valor ou tipo",""))))</f>
        <v/>
      </c>
      <c r="U1226" s="40">
        <f>IF($A1226="",0,P1226*12+O1226)</f>
        <v>0</v>
      </c>
      <c r="V1226" s="40">
        <f>IF($A1226="",0,U1226+MAX(0,N($I1226)-MAX(N($H1226),1)))</f>
        <v>0</v>
      </c>
      <c r="W1226" s="40">
        <f>IF(S1226="",0,YEAR(S1226)*12+MONTH(S1226))</f>
        <v>0</v>
      </c>
      <c r="X1226" s="40">
        <f>IF(W1226=0,0,W1226+V1226-U1226)</f>
        <v>0</v>
      </c>
      <c r="Y1226" s="36">
        <f>IF(W1226=0,0,N(R1226)*MAX(0,X1226-MAX(W1226,YEAR(Cfg_Hoje)*12+MONTH(Cfg_Hoje)+IF(DAY(Cfg_Hoje)&gt;=INDEX(Cartoes_Fech,MATCH($F1226,Cartoes_Nome,0)),1,0))+1))</f>
        <v>0</v>
      </c>
      <c r="Z1226" s="40">
        <f>IF($A1226="",0,DAY($A1226))</f>
        <v>0</v>
      </c>
      <c r="AA1226" s="40">
        <f>IF($A1226="",0,WEEKDAY($A1226))</f>
        <v>0</v>
      </c>
      <c r="AB1226" s="36">
        <f>IF(AND($C1226="Despesa",U1226&gt;0,U1226&lt;=Sel_Idx,V1226&gt;=Sel_Idx),N(R1226)+ROW()/1000000000,0)</f>
        <v>0</v>
      </c>
      <c r="AC1226" s="40">
        <f>IF(AND($C1226="Despesa",U1226&gt;0,U1226&lt;=Sel_Idx,V1226&gt;=Sel_Idx),Z1226*10000+ROW(),0)</f>
        <v>0</v>
      </c>
      <c r="AD1226" s="40">
        <f>IF(AC1226=0,0,COUNTIFS(L_CalChave,"&gt;0",L_CalChave,"&lt;"&amp;AC1226)+1)</f>
        <v>0</v>
      </c>
    </row>
    <row r="1227">
      <c r="A1227" s="38" t="n"/>
      <c r="B1227" s="39" t="n"/>
      <c r="C1227" s="34" t="n"/>
      <c r="D1227" s="34" t="n"/>
      <c r="E1227" s="34" t="n"/>
      <c r="F1227" s="34" t="n"/>
      <c r="G1227" s="34" t="n"/>
      <c r="H1227" s="37" t="n"/>
      <c r="I1227" s="37" t="n"/>
      <c r="J1227" s="34" t="n"/>
      <c r="K1227" s="34" t="n"/>
      <c r="L1227" s="34" t="n"/>
      <c r="M1227" s="39" t="n"/>
      <c r="N1227" s="35" t="n"/>
      <c r="O1227" s="40" t="str">
        <f>IF($A1227="","",MONTH($A1227))</f>
        <v/>
      </c>
      <c r="P1227" s="40" t="str">
        <f>IF($A1227="","",YEAR($A1227))</f>
        <v/>
      </c>
      <c r="Q1227" s="41" t="str">
        <f>IF($A1227="","",DATE(P1227,O1227,1))</f>
        <v/>
      </c>
      <c r="R1227" s="36" t="str">
        <f>IF(OR($A1227="",$N1227=""),"",IF(AND($C1227&lt;&gt;"Transferência",N($I1227)&gt;1),$N1227/$I1227,$N1227))</f>
        <v/>
      </c>
      <c r="S1227" s="41" t="str">
        <f>IF(OR($A1227="",$F1227="",$C1227&lt;&gt;"Despesa"),"",IF(COUNTIF(Cartoes_Nome,$F1227)=0,"",DATE(P1227,O1227+IF(DAY($A1227)&gt;=INDEX(Cartoes_Fech,MATCH($F1227,Cartoes_Nome,0)),1,0),1)))</f>
        <v/>
      </c>
      <c r="T1227" s="42" t="str">
        <f>IF($A1227="","",IF(COUNTIFS(L_Data,$A1227,L_Desc,$B1227,L_Valor,$N1227,L_Tipo,$C1227)&gt;1,"⚠ Possível duplicidade",IF(OR(AND($C1227="Despesa",COUNTIF(CatD_Nome,$D1227)=0),AND($C1227="Receita",COUNTIF(CatR_Nome,$D1227)=0)),"⚠ Categoria não combina com o tipo",IF(OR($N1227="",$C1227=""),"⚠ Falta valor ou tipo",""))))</f>
        <v/>
      </c>
      <c r="U1227" s="40">
        <f>IF($A1227="",0,P1227*12+O1227)</f>
        <v>0</v>
      </c>
      <c r="V1227" s="40">
        <f>IF($A1227="",0,U1227+MAX(0,N($I1227)-MAX(N($H1227),1)))</f>
        <v>0</v>
      </c>
      <c r="W1227" s="40">
        <f>IF(S1227="",0,YEAR(S1227)*12+MONTH(S1227))</f>
        <v>0</v>
      </c>
      <c r="X1227" s="40">
        <f>IF(W1227=0,0,W1227+V1227-U1227)</f>
        <v>0</v>
      </c>
      <c r="Y1227" s="36">
        <f>IF(W1227=0,0,N(R1227)*MAX(0,X1227-MAX(W1227,YEAR(Cfg_Hoje)*12+MONTH(Cfg_Hoje)+IF(DAY(Cfg_Hoje)&gt;=INDEX(Cartoes_Fech,MATCH($F1227,Cartoes_Nome,0)),1,0))+1))</f>
        <v>0</v>
      </c>
      <c r="Z1227" s="40">
        <f>IF($A1227="",0,DAY($A1227))</f>
        <v>0</v>
      </c>
      <c r="AA1227" s="40">
        <f>IF($A1227="",0,WEEKDAY($A1227))</f>
        <v>0</v>
      </c>
      <c r="AB1227" s="36">
        <f>IF(AND($C1227="Despesa",U1227&gt;0,U1227&lt;=Sel_Idx,V1227&gt;=Sel_Idx),N(R1227)+ROW()/1000000000,0)</f>
        <v>0</v>
      </c>
      <c r="AC1227" s="40">
        <f>IF(AND($C1227="Despesa",U1227&gt;0,U1227&lt;=Sel_Idx,V1227&gt;=Sel_Idx),Z1227*10000+ROW(),0)</f>
        <v>0</v>
      </c>
      <c r="AD1227" s="40">
        <f>IF(AC1227=0,0,COUNTIFS(L_CalChave,"&gt;0",L_CalChave,"&lt;"&amp;AC1227)+1)</f>
        <v>0</v>
      </c>
    </row>
    <row r="1228">
      <c r="A1228" s="38" t="n"/>
      <c r="B1228" s="39" t="n"/>
      <c r="C1228" s="34" t="n"/>
      <c r="D1228" s="34" t="n"/>
      <c r="E1228" s="34" t="n"/>
      <c r="F1228" s="34" t="n"/>
      <c r="G1228" s="34" t="n"/>
      <c r="H1228" s="37" t="n"/>
      <c r="I1228" s="37" t="n"/>
      <c r="J1228" s="34" t="n"/>
      <c r="K1228" s="34" t="n"/>
      <c r="L1228" s="34" t="n"/>
      <c r="M1228" s="39" t="n"/>
      <c r="N1228" s="35" t="n"/>
      <c r="O1228" s="40" t="str">
        <f>IF($A1228="","",MONTH($A1228))</f>
        <v/>
      </c>
      <c r="P1228" s="40" t="str">
        <f>IF($A1228="","",YEAR($A1228))</f>
        <v/>
      </c>
      <c r="Q1228" s="41" t="str">
        <f>IF($A1228="","",DATE(P1228,O1228,1))</f>
        <v/>
      </c>
      <c r="R1228" s="36" t="str">
        <f>IF(OR($A1228="",$N1228=""),"",IF(AND($C1228&lt;&gt;"Transferência",N($I1228)&gt;1),$N1228/$I1228,$N1228))</f>
        <v/>
      </c>
      <c r="S1228" s="41" t="str">
        <f>IF(OR($A1228="",$F1228="",$C1228&lt;&gt;"Despesa"),"",IF(COUNTIF(Cartoes_Nome,$F1228)=0,"",DATE(P1228,O1228+IF(DAY($A1228)&gt;=INDEX(Cartoes_Fech,MATCH($F1228,Cartoes_Nome,0)),1,0),1)))</f>
        <v/>
      </c>
      <c r="T1228" s="42" t="str">
        <f>IF($A1228="","",IF(COUNTIFS(L_Data,$A1228,L_Desc,$B1228,L_Valor,$N1228,L_Tipo,$C1228)&gt;1,"⚠ Possível duplicidade",IF(OR(AND($C1228="Despesa",COUNTIF(CatD_Nome,$D1228)=0),AND($C1228="Receita",COUNTIF(CatR_Nome,$D1228)=0)),"⚠ Categoria não combina com o tipo",IF(OR($N1228="",$C1228=""),"⚠ Falta valor ou tipo",""))))</f>
        <v/>
      </c>
      <c r="U1228" s="40">
        <f>IF($A1228="",0,P1228*12+O1228)</f>
        <v>0</v>
      </c>
      <c r="V1228" s="40">
        <f>IF($A1228="",0,U1228+MAX(0,N($I1228)-MAX(N($H1228),1)))</f>
        <v>0</v>
      </c>
      <c r="W1228" s="40">
        <f>IF(S1228="",0,YEAR(S1228)*12+MONTH(S1228))</f>
        <v>0</v>
      </c>
      <c r="X1228" s="40">
        <f>IF(W1228=0,0,W1228+V1228-U1228)</f>
        <v>0</v>
      </c>
      <c r="Y1228" s="36">
        <f>IF(W1228=0,0,N(R1228)*MAX(0,X1228-MAX(W1228,YEAR(Cfg_Hoje)*12+MONTH(Cfg_Hoje)+IF(DAY(Cfg_Hoje)&gt;=INDEX(Cartoes_Fech,MATCH($F1228,Cartoes_Nome,0)),1,0))+1))</f>
        <v>0</v>
      </c>
      <c r="Z1228" s="40">
        <f>IF($A1228="",0,DAY($A1228))</f>
        <v>0</v>
      </c>
      <c r="AA1228" s="40">
        <f>IF($A1228="",0,WEEKDAY($A1228))</f>
        <v>0</v>
      </c>
      <c r="AB1228" s="36">
        <f>IF(AND($C1228="Despesa",U1228&gt;0,U1228&lt;=Sel_Idx,V1228&gt;=Sel_Idx),N(R1228)+ROW()/1000000000,0)</f>
        <v>0</v>
      </c>
      <c r="AC1228" s="40">
        <f>IF(AND($C1228="Despesa",U1228&gt;0,U1228&lt;=Sel_Idx,V1228&gt;=Sel_Idx),Z1228*10000+ROW(),0)</f>
        <v>0</v>
      </c>
      <c r="AD1228" s="40">
        <f>IF(AC1228=0,0,COUNTIFS(L_CalChave,"&gt;0",L_CalChave,"&lt;"&amp;AC1228)+1)</f>
        <v>0</v>
      </c>
    </row>
    <row r="1229">
      <c r="A1229" s="38" t="n"/>
      <c r="B1229" s="39" t="n"/>
      <c r="C1229" s="34" t="n"/>
      <c r="D1229" s="34" t="n"/>
      <c r="E1229" s="34" t="n"/>
      <c r="F1229" s="34" t="n"/>
      <c r="G1229" s="34" t="n"/>
      <c r="H1229" s="37" t="n"/>
      <c r="I1229" s="37" t="n"/>
      <c r="J1229" s="34" t="n"/>
      <c r="K1229" s="34" t="n"/>
      <c r="L1229" s="34" t="n"/>
      <c r="M1229" s="39" t="n"/>
      <c r="N1229" s="35" t="n"/>
      <c r="O1229" s="40" t="str">
        <f>IF($A1229="","",MONTH($A1229))</f>
        <v/>
      </c>
      <c r="P1229" s="40" t="str">
        <f>IF($A1229="","",YEAR($A1229))</f>
        <v/>
      </c>
      <c r="Q1229" s="41" t="str">
        <f>IF($A1229="","",DATE(P1229,O1229,1))</f>
        <v/>
      </c>
      <c r="R1229" s="36" t="str">
        <f>IF(OR($A1229="",$N1229=""),"",IF(AND($C1229&lt;&gt;"Transferência",N($I1229)&gt;1),$N1229/$I1229,$N1229))</f>
        <v/>
      </c>
      <c r="S1229" s="41" t="str">
        <f>IF(OR($A1229="",$F1229="",$C1229&lt;&gt;"Despesa"),"",IF(COUNTIF(Cartoes_Nome,$F1229)=0,"",DATE(P1229,O1229+IF(DAY($A1229)&gt;=INDEX(Cartoes_Fech,MATCH($F1229,Cartoes_Nome,0)),1,0),1)))</f>
        <v/>
      </c>
      <c r="T1229" s="42" t="str">
        <f>IF($A1229="","",IF(COUNTIFS(L_Data,$A1229,L_Desc,$B1229,L_Valor,$N1229,L_Tipo,$C1229)&gt;1,"⚠ Possível duplicidade",IF(OR(AND($C1229="Despesa",COUNTIF(CatD_Nome,$D1229)=0),AND($C1229="Receita",COUNTIF(CatR_Nome,$D1229)=0)),"⚠ Categoria não combina com o tipo",IF(OR($N1229="",$C1229=""),"⚠ Falta valor ou tipo",""))))</f>
        <v/>
      </c>
      <c r="U1229" s="40">
        <f>IF($A1229="",0,P1229*12+O1229)</f>
        <v>0</v>
      </c>
      <c r="V1229" s="40">
        <f>IF($A1229="",0,U1229+MAX(0,N($I1229)-MAX(N($H1229),1)))</f>
        <v>0</v>
      </c>
      <c r="W1229" s="40">
        <f>IF(S1229="",0,YEAR(S1229)*12+MONTH(S1229))</f>
        <v>0</v>
      </c>
      <c r="X1229" s="40">
        <f>IF(W1229=0,0,W1229+V1229-U1229)</f>
        <v>0</v>
      </c>
      <c r="Y1229" s="36">
        <f>IF(W1229=0,0,N(R1229)*MAX(0,X1229-MAX(W1229,YEAR(Cfg_Hoje)*12+MONTH(Cfg_Hoje)+IF(DAY(Cfg_Hoje)&gt;=INDEX(Cartoes_Fech,MATCH($F1229,Cartoes_Nome,0)),1,0))+1))</f>
        <v>0</v>
      </c>
      <c r="Z1229" s="40">
        <f>IF($A1229="",0,DAY($A1229))</f>
        <v>0</v>
      </c>
      <c r="AA1229" s="40">
        <f>IF($A1229="",0,WEEKDAY($A1229))</f>
        <v>0</v>
      </c>
      <c r="AB1229" s="36">
        <f>IF(AND($C1229="Despesa",U1229&gt;0,U1229&lt;=Sel_Idx,V1229&gt;=Sel_Idx),N(R1229)+ROW()/1000000000,0)</f>
        <v>0</v>
      </c>
      <c r="AC1229" s="40">
        <f>IF(AND($C1229="Despesa",U1229&gt;0,U1229&lt;=Sel_Idx,V1229&gt;=Sel_Idx),Z1229*10000+ROW(),0)</f>
        <v>0</v>
      </c>
      <c r="AD1229" s="40">
        <f>IF(AC1229=0,0,COUNTIFS(L_CalChave,"&gt;0",L_CalChave,"&lt;"&amp;AC1229)+1)</f>
        <v>0</v>
      </c>
    </row>
    <row r="1230">
      <c r="A1230" s="38" t="n"/>
      <c r="B1230" s="39" t="n"/>
      <c r="C1230" s="34" t="n"/>
      <c r="D1230" s="34" t="n"/>
      <c r="E1230" s="34" t="n"/>
      <c r="F1230" s="34" t="n"/>
      <c r="G1230" s="34" t="n"/>
      <c r="H1230" s="37" t="n"/>
      <c r="I1230" s="37" t="n"/>
      <c r="J1230" s="34" t="n"/>
      <c r="K1230" s="34" t="n"/>
      <c r="L1230" s="34" t="n"/>
      <c r="M1230" s="39" t="n"/>
      <c r="N1230" s="35" t="n"/>
      <c r="O1230" s="40" t="str">
        <f>IF($A1230="","",MONTH($A1230))</f>
        <v/>
      </c>
      <c r="P1230" s="40" t="str">
        <f>IF($A1230="","",YEAR($A1230))</f>
        <v/>
      </c>
      <c r="Q1230" s="41" t="str">
        <f>IF($A1230="","",DATE(P1230,O1230,1))</f>
        <v/>
      </c>
      <c r="R1230" s="36" t="str">
        <f>IF(OR($A1230="",$N1230=""),"",IF(AND($C1230&lt;&gt;"Transferência",N($I1230)&gt;1),$N1230/$I1230,$N1230))</f>
        <v/>
      </c>
      <c r="S1230" s="41" t="str">
        <f>IF(OR($A1230="",$F1230="",$C1230&lt;&gt;"Despesa"),"",IF(COUNTIF(Cartoes_Nome,$F1230)=0,"",DATE(P1230,O1230+IF(DAY($A1230)&gt;=INDEX(Cartoes_Fech,MATCH($F1230,Cartoes_Nome,0)),1,0),1)))</f>
        <v/>
      </c>
      <c r="T1230" s="42" t="str">
        <f>IF($A1230="","",IF(COUNTIFS(L_Data,$A1230,L_Desc,$B1230,L_Valor,$N1230,L_Tipo,$C1230)&gt;1,"⚠ Possível duplicidade",IF(OR(AND($C1230="Despesa",COUNTIF(CatD_Nome,$D1230)=0),AND($C1230="Receita",COUNTIF(CatR_Nome,$D1230)=0)),"⚠ Categoria não combina com o tipo",IF(OR($N1230="",$C1230=""),"⚠ Falta valor ou tipo",""))))</f>
        <v/>
      </c>
      <c r="U1230" s="40">
        <f>IF($A1230="",0,P1230*12+O1230)</f>
        <v>0</v>
      </c>
      <c r="V1230" s="40">
        <f>IF($A1230="",0,U1230+MAX(0,N($I1230)-MAX(N($H1230),1)))</f>
        <v>0</v>
      </c>
      <c r="W1230" s="40">
        <f>IF(S1230="",0,YEAR(S1230)*12+MONTH(S1230))</f>
        <v>0</v>
      </c>
      <c r="X1230" s="40">
        <f>IF(W1230=0,0,W1230+V1230-U1230)</f>
        <v>0</v>
      </c>
      <c r="Y1230" s="36">
        <f>IF(W1230=0,0,N(R1230)*MAX(0,X1230-MAX(W1230,YEAR(Cfg_Hoje)*12+MONTH(Cfg_Hoje)+IF(DAY(Cfg_Hoje)&gt;=INDEX(Cartoes_Fech,MATCH($F1230,Cartoes_Nome,0)),1,0))+1))</f>
        <v>0</v>
      </c>
      <c r="Z1230" s="40">
        <f>IF($A1230="",0,DAY($A1230))</f>
        <v>0</v>
      </c>
      <c r="AA1230" s="40">
        <f>IF($A1230="",0,WEEKDAY($A1230))</f>
        <v>0</v>
      </c>
      <c r="AB1230" s="36">
        <f>IF(AND($C1230="Despesa",U1230&gt;0,U1230&lt;=Sel_Idx,V1230&gt;=Sel_Idx),N(R1230)+ROW()/1000000000,0)</f>
        <v>0</v>
      </c>
      <c r="AC1230" s="40">
        <f>IF(AND($C1230="Despesa",U1230&gt;0,U1230&lt;=Sel_Idx,V1230&gt;=Sel_Idx),Z1230*10000+ROW(),0)</f>
        <v>0</v>
      </c>
      <c r="AD1230" s="40">
        <f>IF(AC1230=0,0,COUNTIFS(L_CalChave,"&gt;0",L_CalChave,"&lt;"&amp;AC1230)+1)</f>
        <v>0</v>
      </c>
    </row>
    <row r="1231">
      <c r="A1231" s="38" t="n"/>
      <c r="B1231" s="39" t="n"/>
      <c r="C1231" s="34" t="n"/>
      <c r="D1231" s="34" t="n"/>
      <c r="E1231" s="34" t="n"/>
      <c r="F1231" s="34" t="n"/>
      <c r="G1231" s="34" t="n"/>
      <c r="H1231" s="37" t="n"/>
      <c r="I1231" s="37" t="n"/>
      <c r="J1231" s="34" t="n"/>
      <c r="K1231" s="34" t="n"/>
      <c r="L1231" s="34" t="n"/>
      <c r="M1231" s="39" t="n"/>
      <c r="N1231" s="35" t="n"/>
      <c r="O1231" s="40" t="str">
        <f>IF($A1231="","",MONTH($A1231))</f>
        <v/>
      </c>
      <c r="P1231" s="40" t="str">
        <f>IF($A1231="","",YEAR($A1231))</f>
        <v/>
      </c>
      <c r="Q1231" s="41" t="str">
        <f>IF($A1231="","",DATE(P1231,O1231,1))</f>
        <v/>
      </c>
      <c r="R1231" s="36" t="str">
        <f>IF(OR($A1231="",$N1231=""),"",IF(AND($C1231&lt;&gt;"Transferência",N($I1231)&gt;1),$N1231/$I1231,$N1231))</f>
        <v/>
      </c>
      <c r="S1231" s="41" t="str">
        <f>IF(OR($A1231="",$F1231="",$C1231&lt;&gt;"Despesa"),"",IF(COUNTIF(Cartoes_Nome,$F1231)=0,"",DATE(P1231,O1231+IF(DAY($A1231)&gt;=INDEX(Cartoes_Fech,MATCH($F1231,Cartoes_Nome,0)),1,0),1)))</f>
        <v/>
      </c>
      <c r="T1231" s="42" t="str">
        <f>IF($A1231="","",IF(COUNTIFS(L_Data,$A1231,L_Desc,$B1231,L_Valor,$N1231,L_Tipo,$C1231)&gt;1,"⚠ Possível duplicidade",IF(OR(AND($C1231="Despesa",COUNTIF(CatD_Nome,$D1231)=0),AND($C1231="Receita",COUNTIF(CatR_Nome,$D1231)=0)),"⚠ Categoria não combina com o tipo",IF(OR($N1231="",$C1231=""),"⚠ Falta valor ou tipo",""))))</f>
        <v/>
      </c>
      <c r="U1231" s="40">
        <f>IF($A1231="",0,P1231*12+O1231)</f>
        <v>0</v>
      </c>
      <c r="V1231" s="40">
        <f>IF($A1231="",0,U1231+MAX(0,N($I1231)-MAX(N($H1231),1)))</f>
        <v>0</v>
      </c>
      <c r="W1231" s="40">
        <f>IF(S1231="",0,YEAR(S1231)*12+MONTH(S1231))</f>
        <v>0</v>
      </c>
      <c r="X1231" s="40">
        <f>IF(W1231=0,0,W1231+V1231-U1231)</f>
        <v>0</v>
      </c>
      <c r="Y1231" s="36">
        <f>IF(W1231=0,0,N(R1231)*MAX(0,X1231-MAX(W1231,YEAR(Cfg_Hoje)*12+MONTH(Cfg_Hoje)+IF(DAY(Cfg_Hoje)&gt;=INDEX(Cartoes_Fech,MATCH($F1231,Cartoes_Nome,0)),1,0))+1))</f>
        <v>0</v>
      </c>
      <c r="Z1231" s="40">
        <f>IF($A1231="",0,DAY($A1231))</f>
        <v>0</v>
      </c>
      <c r="AA1231" s="40">
        <f>IF($A1231="",0,WEEKDAY($A1231))</f>
        <v>0</v>
      </c>
      <c r="AB1231" s="36">
        <f>IF(AND($C1231="Despesa",U1231&gt;0,U1231&lt;=Sel_Idx,V1231&gt;=Sel_Idx),N(R1231)+ROW()/1000000000,0)</f>
        <v>0</v>
      </c>
      <c r="AC1231" s="40">
        <f>IF(AND($C1231="Despesa",U1231&gt;0,U1231&lt;=Sel_Idx,V1231&gt;=Sel_Idx),Z1231*10000+ROW(),0)</f>
        <v>0</v>
      </c>
      <c r="AD1231" s="40">
        <f>IF(AC1231=0,0,COUNTIFS(L_CalChave,"&gt;0",L_CalChave,"&lt;"&amp;AC1231)+1)</f>
        <v>0</v>
      </c>
    </row>
    <row r="1232">
      <c r="A1232" s="38" t="n"/>
      <c r="B1232" s="39" t="n"/>
      <c r="C1232" s="34" t="n"/>
      <c r="D1232" s="34" t="n"/>
      <c r="E1232" s="34" t="n"/>
      <c r="F1232" s="34" t="n"/>
      <c r="G1232" s="34" t="n"/>
      <c r="H1232" s="37" t="n"/>
      <c r="I1232" s="37" t="n"/>
      <c r="J1232" s="34" t="n"/>
      <c r="K1232" s="34" t="n"/>
      <c r="L1232" s="34" t="n"/>
      <c r="M1232" s="39" t="n"/>
      <c r="N1232" s="35" t="n"/>
      <c r="O1232" s="40" t="str">
        <f>IF($A1232="","",MONTH($A1232))</f>
        <v/>
      </c>
      <c r="P1232" s="40" t="str">
        <f>IF($A1232="","",YEAR($A1232))</f>
        <v/>
      </c>
      <c r="Q1232" s="41" t="str">
        <f>IF($A1232="","",DATE(P1232,O1232,1))</f>
        <v/>
      </c>
      <c r="R1232" s="36" t="str">
        <f>IF(OR($A1232="",$N1232=""),"",IF(AND($C1232&lt;&gt;"Transferência",N($I1232)&gt;1),$N1232/$I1232,$N1232))</f>
        <v/>
      </c>
      <c r="S1232" s="41" t="str">
        <f>IF(OR($A1232="",$F1232="",$C1232&lt;&gt;"Despesa"),"",IF(COUNTIF(Cartoes_Nome,$F1232)=0,"",DATE(P1232,O1232+IF(DAY($A1232)&gt;=INDEX(Cartoes_Fech,MATCH($F1232,Cartoes_Nome,0)),1,0),1)))</f>
        <v/>
      </c>
      <c r="T1232" s="42" t="str">
        <f>IF($A1232="","",IF(COUNTIFS(L_Data,$A1232,L_Desc,$B1232,L_Valor,$N1232,L_Tipo,$C1232)&gt;1,"⚠ Possível duplicidade",IF(OR(AND($C1232="Despesa",COUNTIF(CatD_Nome,$D1232)=0),AND($C1232="Receita",COUNTIF(CatR_Nome,$D1232)=0)),"⚠ Categoria não combina com o tipo",IF(OR($N1232="",$C1232=""),"⚠ Falta valor ou tipo",""))))</f>
        <v/>
      </c>
      <c r="U1232" s="40">
        <f>IF($A1232="",0,P1232*12+O1232)</f>
        <v>0</v>
      </c>
      <c r="V1232" s="40">
        <f>IF($A1232="",0,U1232+MAX(0,N($I1232)-MAX(N($H1232),1)))</f>
        <v>0</v>
      </c>
      <c r="W1232" s="40">
        <f>IF(S1232="",0,YEAR(S1232)*12+MONTH(S1232))</f>
        <v>0</v>
      </c>
      <c r="X1232" s="40">
        <f>IF(W1232=0,0,W1232+V1232-U1232)</f>
        <v>0</v>
      </c>
      <c r="Y1232" s="36">
        <f>IF(W1232=0,0,N(R1232)*MAX(0,X1232-MAX(W1232,YEAR(Cfg_Hoje)*12+MONTH(Cfg_Hoje)+IF(DAY(Cfg_Hoje)&gt;=INDEX(Cartoes_Fech,MATCH($F1232,Cartoes_Nome,0)),1,0))+1))</f>
        <v>0</v>
      </c>
      <c r="Z1232" s="40">
        <f>IF($A1232="",0,DAY($A1232))</f>
        <v>0</v>
      </c>
      <c r="AA1232" s="40">
        <f>IF($A1232="",0,WEEKDAY($A1232))</f>
        <v>0</v>
      </c>
      <c r="AB1232" s="36">
        <f>IF(AND($C1232="Despesa",U1232&gt;0,U1232&lt;=Sel_Idx,V1232&gt;=Sel_Idx),N(R1232)+ROW()/1000000000,0)</f>
        <v>0</v>
      </c>
      <c r="AC1232" s="40">
        <f>IF(AND($C1232="Despesa",U1232&gt;0,U1232&lt;=Sel_Idx,V1232&gt;=Sel_Idx),Z1232*10000+ROW(),0)</f>
        <v>0</v>
      </c>
      <c r="AD1232" s="40">
        <f>IF(AC1232=0,0,COUNTIFS(L_CalChave,"&gt;0",L_CalChave,"&lt;"&amp;AC1232)+1)</f>
        <v>0</v>
      </c>
    </row>
    <row r="1233">
      <c r="A1233" s="38" t="n"/>
      <c r="B1233" s="39" t="n"/>
      <c r="C1233" s="34" t="n"/>
      <c r="D1233" s="34" t="n"/>
      <c r="E1233" s="34" t="n"/>
      <c r="F1233" s="34" t="n"/>
      <c r="G1233" s="34" t="n"/>
      <c r="H1233" s="37" t="n"/>
      <c r="I1233" s="37" t="n"/>
      <c r="J1233" s="34" t="n"/>
      <c r="K1233" s="34" t="n"/>
      <c r="L1233" s="34" t="n"/>
      <c r="M1233" s="39" t="n"/>
      <c r="N1233" s="35" t="n"/>
      <c r="O1233" s="40" t="str">
        <f>IF($A1233="","",MONTH($A1233))</f>
        <v/>
      </c>
      <c r="P1233" s="40" t="str">
        <f>IF($A1233="","",YEAR($A1233))</f>
        <v/>
      </c>
      <c r="Q1233" s="41" t="str">
        <f>IF($A1233="","",DATE(P1233,O1233,1))</f>
        <v/>
      </c>
      <c r="R1233" s="36" t="str">
        <f>IF(OR($A1233="",$N1233=""),"",IF(AND($C1233&lt;&gt;"Transferência",N($I1233)&gt;1),$N1233/$I1233,$N1233))</f>
        <v/>
      </c>
      <c r="S1233" s="41" t="str">
        <f>IF(OR($A1233="",$F1233="",$C1233&lt;&gt;"Despesa"),"",IF(COUNTIF(Cartoes_Nome,$F1233)=0,"",DATE(P1233,O1233+IF(DAY($A1233)&gt;=INDEX(Cartoes_Fech,MATCH($F1233,Cartoes_Nome,0)),1,0),1)))</f>
        <v/>
      </c>
      <c r="T1233" s="42" t="str">
        <f>IF($A1233="","",IF(COUNTIFS(L_Data,$A1233,L_Desc,$B1233,L_Valor,$N1233,L_Tipo,$C1233)&gt;1,"⚠ Possível duplicidade",IF(OR(AND($C1233="Despesa",COUNTIF(CatD_Nome,$D1233)=0),AND($C1233="Receita",COUNTIF(CatR_Nome,$D1233)=0)),"⚠ Categoria não combina com o tipo",IF(OR($N1233="",$C1233=""),"⚠ Falta valor ou tipo",""))))</f>
        <v/>
      </c>
      <c r="U1233" s="40">
        <f>IF($A1233="",0,P1233*12+O1233)</f>
        <v>0</v>
      </c>
      <c r="V1233" s="40">
        <f>IF($A1233="",0,U1233+MAX(0,N($I1233)-MAX(N($H1233),1)))</f>
        <v>0</v>
      </c>
      <c r="W1233" s="40">
        <f>IF(S1233="",0,YEAR(S1233)*12+MONTH(S1233))</f>
        <v>0</v>
      </c>
      <c r="X1233" s="40">
        <f>IF(W1233=0,0,W1233+V1233-U1233)</f>
        <v>0</v>
      </c>
      <c r="Y1233" s="36">
        <f>IF(W1233=0,0,N(R1233)*MAX(0,X1233-MAX(W1233,YEAR(Cfg_Hoje)*12+MONTH(Cfg_Hoje)+IF(DAY(Cfg_Hoje)&gt;=INDEX(Cartoes_Fech,MATCH($F1233,Cartoes_Nome,0)),1,0))+1))</f>
        <v>0</v>
      </c>
      <c r="Z1233" s="40">
        <f>IF($A1233="",0,DAY($A1233))</f>
        <v>0</v>
      </c>
      <c r="AA1233" s="40">
        <f>IF($A1233="",0,WEEKDAY($A1233))</f>
        <v>0</v>
      </c>
      <c r="AB1233" s="36">
        <f>IF(AND($C1233="Despesa",U1233&gt;0,U1233&lt;=Sel_Idx,V1233&gt;=Sel_Idx),N(R1233)+ROW()/1000000000,0)</f>
        <v>0</v>
      </c>
      <c r="AC1233" s="40">
        <f>IF(AND($C1233="Despesa",U1233&gt;0,U1233&lt;=Sel_Idx,V1233&gt;=Sel_Idx),Z1233*10000+ROW(),0)</f>
        <v>0</v>
      </c>
      <c r="AD1233" s="40">
        <f>IF(AC1233=0,0,COUNTIFS(L_CalChave,"&gt;0",L_CalChave,"&lt;"&amp;AC1233)+1)</f>
        <v>0</v>
      </c>
    </row>
    <row r="1234">
      <c r="A1234" s="38" t="n"/>
      <c r="B1234" s="39" t="n"/>
      <c r="C1234" s="34" t="n"/>
      <c r="D1234" s="34" t="n"/>
      <c r="E1234" s="34" t="n"/>
      <c r="F1234" s="34" t="n"/>
      <c r="G1234" s="34" t="n"/>
      <c r="H1234" s="37" t="n"/>
      <c r="I1234" s="37" t="n"/>
      <c r="J1234" s="34" t="n"/>
      <c r="K1234" s="34" t="n"/>
      <c r="L1234" s="34" t="n"/>
      <c r="M1234" s="39" t="n"/>
      <c r="N1234" s="35" t="n"/>
      <c r="O1234" s="40" t="str">
        <f>IF($A1234="","",MONTH($A1234))</f>
        <v/>
      </c>
      <c r="P1234" s="40" t="str">
        <f>IF($A1234="","",YEAR($A1234))</f>
        <v/>
      </c>
      <c r="Q1234" s="41" t="str">
        <f>IF($A1234="","",DATE(P1234,O1234,1))</f>
        <v/>
      </c>
      <c r="R1234" s="36" t="str">
        <f>IF(OR($A1234="",$N1234=""),"",IF(AND($C1234&lt;&gt;"Transferência",N($I1234)&gt;1),$N1234/$I1234,$N1234))</f>
        <v/>
      </c>
      <c r="S1234" s="41" t="str">
        <f>IF(OR($A1234="",$F1234="",$C1234&lt;&gt;"Despesa"),"",IF(COUNTIF(Cartoes_Nome,$F1234)=0,"",DATE(P1234,O1234+IF(DAY($A1234)&gt;=INDEX(Cartoes_Fech,MATCH($F1234,Cartoes_Nome,0)),1,0),1)))</f>
        <v/>
      </c>
      <c r="T1234" s="42" t="str">
        <f>IF($A1234="","",IF(COUNTIFS(L_Data,$A1234,L_Desc,$B1234,L_Valor,$N1234,L_Tipo,$C1234)&gt;1,"⚠ Possível duplicidade",IF(OR(AND($C1234="Despesa",COUNTIF(CatD_Nome,$D1234)=0),AND($C1234="Receita",COUNTIF(CatR_Nome,$D1234)=0)),"⚠ Categoria não combina com o tipo",IF(OR($N1234="",$C1234=""),"⚠ Falta valor ou tipo",""))))</f>
        <v/>
      </c>
      <c r="U1234" s="40">
        <f>IF($A1234="",0,P1234*12+O1234)</f>
        <v>0</v>
      </c>
      <c r="V1234" s="40">
        <f>IF($A1234="",0,U1234+MAX(0,N($I1234)-MAX(N($H1234),1)))</f>
        <v>0</v>
      </c>
      <c r="W1234" s="40">
        <f>IF(S1234="",0,YEAR(S1234)*12+MONTH(S1234))</f>
        <v>0</v>
      </c>
      <c r="X1234" s="40">
        <f>IF(W1234=0,0,W1234+V1234-U1234)</f>
        <v>0</v>
      </c>
      <c r="Y1234" s="36">
        <f>IF(W1234=0,0,N(R1234)*MAX(0,X1234-MAX(W1234,YEAR(Cfg_Hoje)*12+MONTH(Cfg_Hoje)+IF(DAY(Cfg_Hoje)&gt;=INDEX(Cartoes_Fech,MATCH($F1234,Cartoes_Nome,0)),1,0))+1))</f>
        <v>0</v>
      </c>
      <c r="Z1234" s="40">
        <f>IF($A1234="",0,DAY($A1234))</f>
        <v>0</v>
      </c>
      <c r="AA1234" s="40">
        <f>IF($A1234="",0,WEEKDAY($A1234))</f>
        <v>0</v>
      </c>
      <c r="AB1234" s="36">
        <f>IF(AND($C1234="Despesa",U1234&gt;0,U1234&lt;=Sel_Idx,V1234&gt;=Sel_Idx),N(R1234)+ROW()/1000000000,0)</f>
        <v>0</v>
      </c>
      <c r="AC1234" s="40">
        <f>IF(AND($C1234="Despesa",U1234&gt;0,U1234&lt;=Sel_Idx,V1234&gt;=Sel_Idx),Z1234*10000+ROW(),0)</f>
        <v>0</v>
      </c>
      <c r="AD1234" s="40">
        <f>IF(AC1234=0,0,COUNTIFS(L_CalChave,"&gt;0",L_CalChave,"&lt;"&amp;AC1234)+1)</f>
        <v>0</v>
      </c>
    </row>
    <row r="1235">
      <c r="A1235" s="38" t="n"/>
      <c r="B1235" s="39" t="n"/>
      <c r="C1235" s="34" t="n"/>
      <c r="D1235" s="34" t="n"/>
      <c r="E1235" s="34" t="n"/>
      <c r="F1235" s="34" t="n"/>
      <c r="G1235" s="34" t="n"/>
      <c r="H1235" s="37" t="n"/>
      <c r="I1235" s="37" t="n"/>
      <c r="J1235" s="34" t="n"/>
      <c r="K1235" s="34" t="n"/>
      <c r="L1235" s="34" t="n"/>
      <c r="M1235" s="39" t="n"/>
      <c r="N1235" s="35" t="n"/>
      <c r="O1235" s="40" t="str">
        <f>IF($A1235="","",MONTH($A1235))</f>
        <v/>
      </c>
      <c r="P1235" s="40" t="str">
        <f>IF($A1235="","",YEAR($A1235))</f>
        <v/>
      </c>
      <c r="Q1235" s="41" t="str">
        <f>IF($A1235="","",DATE(P1235,O1235,1))</f>
        <v/>
      </c>
      <c r="R1235" s="36" t="str">
        <f>IF(OR($A1235="",$N1235=""),"",IF(AND($C1235&lt;&gt;"Transferência",N($I1235)&gt;1),$N1235/$I1235,$N1235))</f>
        <v/>
      </c>
      <c r="S1235" s="41" t="str">
        <f>IF(OR($A1235="",$F1235="",$C1235&lt;&gt;"Despesa"),"",IF(COUNTIF(Cartoes_Nome,$F1235)=0,"",DATE(P1235,O1235+IF(DAY($A1235)&gt;=INDEX(Cartoes_Fech,MATCH($F1235,Cartoes_Nome,0)),1,0),1)))</f>
        <v/>
      </c>
      <c r="T1235" s="42" t="str">
        <f>IF($A1235="","",IF(COUNTIFS(L_Data,$A1235,L_Desc,$B1235,L_Valor,$N1235,L_Tipo,$C1235)&gt;1,"⚠ Possível duplicidade",IF(OR(AND($C1235="Despesa",COUNTIF(CatD_Nome,$D1235)=0),AND($C1235="Receita",COUNTIF(CatR_Nome,$D1235)=0)),"⚠ Categoria não combina com o tipo",IF(OR($N1235="",$C1235=""),"⚠ Falta valor ou tipo",""))))</f>
        <v/>
      </c>
      <c r="U1235" s="40">
        <f>IF($A1235="",0,P1235*12+O1235)</f>
        <v>0</v>
      </c>
      <c r="V1235" s="40">
        <f>IF($A1235="",0,U1235+MAX(0,N($I1235)-MAX(N($H1235),1)))</f>
        <v>0</v>
      </c>
      <c r="W1235" s="40">
        <f>IF(S1235="",0,YEAR(S1235)*12+MONTH(S1235))</f>
        <v>0</v>
      </c>
      <c r="X1235" s="40">
        <f>IF(W1235=0,0,W1235+V1235-U1235)</f>
        <v>0</v>
      </c>
      <c r="Y1235" s="36">
        <f>IF(W1235=0,0,N(R1235)*MAX(0,X1235-MAX(W1235,YEAR(Cfg_Hoje)*12+MONTH(Cfg_Hoje)+IF(DAY(Cfg_Hoje)&gt;=INDEX(Cartoes_Fech,MATCH($F1235,Cartoes_Nome,0)),1,0))+1))</f>
        <v>0</v>
      </c>
      <c r="Z1235" s="40">
        <f>IF($A1235="",0,DAY($A1235))</f>
        <v>0</v>
      </c>
      <c r="AA1235" s="40">
        <f>IF($A1235="",0,WEEKDAY($A1235))</f>
        <v>0</v>
      </c>
      <c r="AB1235" s="36">
        <f>IF(AND($C1235="Despesa",U1235&gt;0,U1235&lt;=Sel_Idx,V1235&gt;=Sel_Idx),N(R1235)+ROW()/1000000000,0)</f>
        <v>0</v>
      </c>
      <c r="AC1235" s="40">
        <f>IF(AND($C1235="Despesa",U1235&gt;0,U1235&lt;=Sel_Idx,V1235&gt;=Sel_Idx),Z1235*10000+ROW(),0)</f>
        <v>0</v>
      </c>
      <c r="AD1235" s="40">
        <f>IF(AC1235=0,0,COUNTIFS(L_CalChave,"&gt;0",L_CalChave,"&lt;"&amp;AC1235)+1)</f>
        <v>0</v>
      </c>
    </row>
    <row r="1236">
      <c r="A1236" s="38" t="n"/>
      <c r="B1236" s="39" t="n"/>
      <c r="C1236" s="34" t="n"/>
      <c r="D1236" s="34" t="n"/>
      <c r="E1236" s="34" t="n"/>
      <c r="F1236" s="34" t="n"/>
      <c r="G1236" s="34" t="n"/>
      <c r="H1236" s="37" t="n"/>
      <c r="I1236" s="37" t="n"/>
      <c r="J1236" s="34" t="n"/>
      <c r="K1236" s="34" t="n"/>
      <c r="L1236" s="34" t="n"/>
      <c r="M1236" s="39" t="n"/>
      <c r="N1236" s="35" t="n"/>
      <c r="O1236" s="40" t="str">
        <f>IF($A1236="","",MONTH($A1236))</f>
        <v/>
      </c>
      <c r="P1236" s="40" t="str">
        <f>IF($A1236="","",YEAR($A1236))</f>
        <v/>
      </c>
      <c r="Q1236" s="41" t="str">
        <f>IF($A1236="","",DATE(P1236,O1236,1))</f>
        <v/>
      </c>
      <c r="R1236" s="36" t="str">
        <f>IF(OR($A1236="",$N1236=""),"",IF(AND($C1236&lt;&gt;"Transferência",N($I1236)&gt;1),$N1236/$I1236,$N1236))</f>
        <v/>
      </c>
      <c r="S1236" s="41" t="str">
        <f>IF(OR($A1236="",$F1236="",$C1236&lt;&gt;"Despesa"),"",IF(COUNTIF(Cartoes_Nome,$F1236)=0,"",DATE(P1236,O1236+IF(DAY($A1236)&gt;=INDEX(Cartoes_Fech,MATCH($F1236,Cartoes_Nome,0)),1,0),1)))</f>
        <v/>
      </c>
      <c r="T1236" s="42" t="str">
        <f>IF($A1236="","",IF(COUNTIFS(L_Data,$A1236,L_Desc,$B1236,L_Valor,$N1236,L_Tipo,$C1236)&gt;1,"⚠ Possível duplicidade",IF(OR(AND($C1236="Despesa",COUNTIF(CatD_Nome,$D1236)=0),AND($C1236="Receita",COUNTIF(CatR_Nome,$D1236)=0)),"⚠ Categoria não combina com o tipo",IF(OR($N1236="",$C1236=""),"⚠ Falta valor ou tipo",""))))</f>
        <v/>
      </c>
      <c r="U1236" s="40">
        <f>IF($A1236="",0,P1236*12+O1236)</f>
        <v>0</v>
      </c>
      <c r="V1236" s="40">
        <f>IF($A1236="",0,U1236+MAX(0,N($I1236)-MAX(N($H1236),1)))</f>
        <v>0</v>
      </c>
      <c r="W1236" s="40">
        <f>IF(S1236="",0,YEAR(S1236)*12+MONTH(S1236))</f>
        <v>0</v>
      </c>
      <c r="X1236" s="40">
        <f>IF(W1236=0,0,W1236+V1236-U1236)</f>
        <v>0</v>
      </c>
      <c r="Y1236" s="36">
        <f>IF(W1236=0,0,N(R1236)*MAX(0,X1236-MAX(W1236,YEAR(Cfg_Hoje)*12+MONTH(Cfg_Hoje)+IF(DAY(Cfg_Hoje)&gt;=INDEX(Cartoes_Fech,MATCH($F1236,Cartoes_Nome,0)),1,0))+1))</f>
        <v>0</v>
      </c>
      <c r="Z1236" s="40">
        <f>IF($A1236="",0,DAY($A1236))</f>
        <v>0</v>
      </c>
      <c r="AA1236" s="40">
        <f>IF($A1236="",0,WEEKDAY($A1236))</f>
        <v>0</v>
      </c>
      <c r="AB1236" s="36">
        <f>IF(AND($C1236="Despesa",U1236&gt;0,U1236&lt;=Sel_Idx,V1236&gt;=Sel_Idx),N(R1236)+ROW()/1000000000,0)</f>
        <v>0</v>
      </c>
      <c r="AC1236" s="40">
        <f>IF(AND($C1236="Despesa",U1236&gt;0,U1236&lt;=Sel_Idx,V1236&gt;=Sel_Idx),Z1236*10000+ROW(),0)</f>
        <v>0</v>
      </c>
      <c r="AD1236" s="40">
        <f>IF(AC1236=0,0,COUNTIFS(L_CalChave,"&gt;0",L_CalChave,"&lt;"&amp;AC1236)+1)</f>
        <v>0</v>
      </c>
    </row>
    <row r="1237">
      <c r="A1237" s="38" t="n"/>
      <c r="B1237" s="39" t="n"/>
      <c r="C1237" s="34" t="n"/>
      <c r="D1237" s="34" t="n"/>
      <c r="E1237" s="34" t="n"/>
      <c r="F1237" s="34" t="n"/>
      <c r="G1237" s="34" t="n"/>
      <c r="H1237" s="37" t="n"/>
      <c r="I1237" s="37" t="n"/>
      <c r="J1237" s="34" t="n"/>
      <c r="K1237" s="34" t="n"/>
      <c r="L1237" s="34" t="n"/>
      <c r="M1237" s="39" t="n"/>
      <c r="N1237" s="35" t="n"/>
      <c r="O1237" s="40" t="str">
        <f>IF($A1237="","",MONTH($A1237))</f>
        <v/>
      </c>
      <c r="P1237" s="40" t="str">
        <f>IF($A1237="","",YEAR($A1237))</f>
        <v/>
      </c>
      <c r="Q1237" s="41" t="str">
        <f>IF($A1237="","",DATE(P1237,O1237,1))</f>
        <v/>
      </c>
      <c r="R1237" s="36" t="str">
        <f>IF(OR($A1237="",$N1237=""),"",IF(AND($C1237&lt;&gt;"Transferência",N($I1237)&gt;1),$N1237/$I1237,$N1237))</f>
        <v/>
      </c>
      <c r="S1237" s="41" t="str">
        <f>IF(OR($A1237="",$F1237="",$C1237&lt;&gt;"Despesa"),"",IF(COUNTIF(Cartoes_Nome,$F1237)=0,"",DATE(P1237,O1237+IF(DAY($A1237)&gt;=INDEX(Cartoes_Fech,MATCH($F1237,Cartoes_Nome,0)),1,0),1)))</f>
        <v/>
      </c>
      <c r="T1237" s="42" t="str">
        <f>IF($A1237="","",IF(COUNTIFS(L_Data,$A1237,L_Desc,$B1237,L_Valor,$N1237,L_Tipo,$C1237)&gt;1,"⚠ Possível duplicidade",IF(OR(AND($C1237="Despesa",COUNTIF(CatD_Nome,$D1237)=0),AND($C1237="Receita",COUNTIF(CatR_Nome,$D1237)=0)),"⚠ Categoria não combina com o tipo",IF(OR($N1237="",$C1237=""),"⚠ Falta valor ou tipo",""))))</f>
        <v/>
      </c>
      <c r="U1237" s="40">
        <f>IF($A1237="",0,P1237*12+O1237)</f>
        <v>0</v>
      </c>
      <c r="V1237" s="40">
        <f>IF($A1237="",0,U1237+MAX(0,N($I1237)-MAX(N($H1237),1)))</f>
        <v>0</v>
      </c>
      <c r="W1237" s="40">
        <f>IF(S1237="",0,YEAR(S1237)*12+MONTH(S1237))</f>
        <v>0</v>
      </c>
      <c r="X1237" s="40">
        <f>IF(W1237=0,0,W1237+V1237-U1237)</f>
        <v>0</v>
      </c>
      <c r="Y1237" s="36">
        <f>IF(W1237=0,0,N(R1237)*MAX(0,X1237-MAX(W1237,YEAR(Cfg_Hoje)*12+MONTH(Cfg_Hoje)+IF(DAY(Cfg_Hoje)&gt;=INDEX(Cartoes_Fech,MATCH($F1237,Cartoes_Nome,0)),1,0))+1))</f>
        <v>0</v>
      </c>
      <c r="Z1237" s="40">
        <f>IF($A1237="",0,DAY($A1237))</f>
        <v>0</v>
      </c>
      <c r="AA1237" s="40">
        <f>IF($A1237="",0,WEEKDAY($A1237))</f>
        <v>0</v>
      </c>
      <c r="AB1237" s="36">
        <f>IF(AND($C1237="Despesa",U1237&gt;0,U1237&lt;=Sel_Idx,V1237&gt;=Sel_Idx),N(R1237)+ROW()/1000000000,0)</f>
        <v>0</v>
      </c>
      <c r="AC1237" s="40">
        <f>IF(AND($C1237="Despesa",U1237&gt;0,U1237&lt;=Sel_Idx,V1237&gt;=Sel_Idx),Z1237*10000+ROW(),0)</f>
        <v>0</v>
      </c>
      <c r="AD1237" s="40">
        <f>IF(AC1237=0,0,COUNTIFS(L_CalChave,"&gt;0",L_CalChave,"&lt;"&amp;AC1237)+1)</f>
        <v>0</v>
      </c>
    </row>
    <row r="1238">
      <c r="A1238" s="38" t="n"/>
      <c r="B1238" s="39" t="n"/>
      <c r="C1238" s="34" t="n"/>
      <c r="D1238" s="34" t="n"/>
      <c r="E1238" s="34" t="n"/>
      <c r="F1238" s="34" t="n"/>
      <c r="G1238" s="34" t="n"/>
      <c r="H1238" s="37" t="n"/>
      <c r="I1238" s="37" t="n"/>
      <c r="J1238" s="34" t="n"/>
      <c r="K1238" s="34" t="n"/>
      <c r="L1238" s="34" t="n"/>
      <c r="M1238" s="39" t="n"/>
      <c r="N1238" s="35" t="n"/>
      <c r="O1238" s="40" t="str">
        <f>IF($A1238="","",MONTH($A1238))</f>
        <v/>
      </c>
      <c r="P1238" s="40" t="str">
        <f>IF($A1238="","",YEAR($A1238))</f>
        <v/>
      </c>
      <c r="Q1238" s="41" t="str">
        <f>IF($A1238="","",DATE(P1238,O1238,1))</f>
        <v/>
      </c>
      <c r="R1238" s="36" t="str">
        <f>IF(OR($A1238="",$N1238=""),"",IF(AND($C1238&lt;&gt;"Transferência",N($I1238)&gt;1),$N1238/$I1238,$N1238))</f>
        <v/>
      </c>
      <c r="S1238" s="41" t="str">
        <f>IF(OR($A1238="",$F1238="",$C1238&lt;&gt;"Despesa"),"",IF(COUNTIF(Cartoes_Nome,$F1238)=0,"",DATE(P1238,O1238+IF(DAY($A1238)&gt;=INDEX(Cartoes_Fech,MATCH($F1238,Cartoes_Nome,0)),1,0),1)))</f>
        <v/>
      </c>
      <c r="T1238" s="42" t="str">
        <f>IF($A1238="","",IF(COUNTIFS(L_Data,$A1238,L_Desc,$B1238,L_Valor,$N1238,L_Tipo,$C1238)&gt;1,"⚠ Possível duplicidade",IF(OR(AND($C1238="Despesa",COUNTIF(CatD_Nome,$D1238)=0),AND($C1238="Receita",COUNTIF(CatR_Nome,$D1238)=0)),"⚠ Categoria não combina com o tipo",IF(OR($N1238="",$C1238=""),"⚠ Falta valor ou tipo",""))))</f>
        <v/>
      </c>
      <c r="U1238" s="40">
        <f>IF($A1238="",0,P1238*12+O1238)</f>
        <v>0</v>
      </c>
      <c r="V1238" s="40">
        <f>IF($A1238="",0,U1238+MAX(0,N($I1238)-MAX(N($H1238),1)))</f>
        <v>0</v>
      </c>
      <c r="W1238" s="40">
        <f>IF(S1238="",0,YEAR(S1238)*12+MONTH(S1238))</f>
        <v>0</v>
      </c>
      <c r="X1238" s="40">
        <f>IF(W1238=0,0,W1238+V1238-U1238)</f>
        <v>0</v>
      </c>
      <c r="Y1238" s="36">
        <f>IF(W1238=0,0,N(R1238)*MAX(0,X1238-MAX(W1238,YEAR(Cfg_Hoje)*12+MONTH(Cfg_Hoje)+IF(DAY(Cfg_Hoje)&gt;=INDEX(Cartoes_Fech,MATCH($F1238,Cartoes_Nome,0)),1,0))+1))</f>
        <v>0</v>
      </c>
      <c r="Z1238" s="40">
        <f>IF($A1238="",0,DAY($A1238))</f>
        <v>0</v>
      </c>
      <c r="AA1238" s="40">
        <f>IF($A1238="",0,WEEKDAY($A1238))</f>
        <v>0</v>
      </c>
      <c r="AB1238" s="36">
        <f>IF(AND($C1238="Despesa",U1238&gt;0,U1238&lt;=Sel_Idx,V1238&gt;=Sel_Idx),N(R1238)+ROW()/1000000000,0)</f>
        <v>0</v>
      </c>
      <c r="AC1238" s="40">
        <f>IF(AND($C1238="Despesa",U1238&gt;0,U1238&lt;=Sel_Idx,V1238&gt;=Sel_Idx),Z1238*10000+ROW(),0)</f>
        <v>0</v>
      </c>
      <c r="AD1238" s="40">
        <f>IF(AC1238=0,0,COUNTIFS(L_CalChave,"&gt;0",L_CalChave,"&lt;"&amp;AC1238)+1)</f>
        <v>0</v>
      </c>
    </row>
    <row r="1239">
      <c r="A1239" s="38" t="n"/>
      <c r="B1239" s="39" t="n"/>
      <c r="C1239" s="34" t="n"/>
      <c r="D1239" s="34" t="n"/>
      <c r="E1239" s="34" t="n"/>
      <c r="F1239" s="34" t="n"/>
      <c r="G1239" s="34" t="n"/>
      <c r="H1239" s="37" t="n"/>
      <c r="I1239" s="37" t="n"/>
      <c r="J1239" s="34" t="n"/>
      <c r="K1239" s="34" t="n"/>
      <c r="L1239" s="34" t="n"/>
      <c r="M1239" s="39" t="n"/>
      <c r="N1239" s="35" t="n"/>
      <c r="O1239" s="40" t="str">
        <f>IF($A1239="","",MONTH($A1239))</f>
        <v/>
      </c>
      <c r="P1239" s="40" t="str">
        <f>IF($A1239="","",YEAR($A1239))</f>
        <v/>
      </c>
      <c r="Q1239" s="41" t="str">
        <f>IF($A1239="","",DATE(P1239,O1239,1))</f>
        <v/>
      </c>
      <c r="R1239" s="36" t="str">
        <f>IF(OR($A1239="",$N1239=""),"",IF(AND($C1239&lt;&gt;"Transferência",N($I1239)&gt;1),$N1239/$I1239,$N1239))</f>
        <v/>
      </c>
      <c r="S1239" s="41" t="str">
        <f>IF(OR($A1239="",$F1239="",$C1239&lt;&gt;"Despesa"),"",IF(COUNTIF(Cartoes_Nome,$F1239)=0,"",DATE(P1239,O1239+IF(DAY($A1239)&gt;=INDEX(Cartoes_Fech,MATCH($F1239,Cartoes_Nome,0)),1,0),1)))</f>
        <v/>
      </c>
      <c r="T1239" s="42" t="str">
        <f>IF($A1239="","",IF(COUNTIFS(L_Data,$A1239,L_Desc,$B1239,L_Valor,$N1239,L_Tipo,$C1239)&gt;1,"⚠ Possível duplicidade",IF(OR(AND($C1239="Despesa",COUNTIF(CatD_Nome,$D1239)=0),AND($C1239="Receita",COUNTIF(CatR_Nome,$D1239)=0)),"⚠ Categoria não combina com o tipo",IF(OR($N1239="",$C1239=""),"⚠ Falta valor ou tipo",""))))</f>
        <v/>
      </c>
      <c r="U1239" s="40">
        <f>IF($A1239="",0,P1239*12+O1239)</f>
        <v>0</v>
      </c>
      <c r="V1239" s="40">
        <f>IF($A1239="",0,U1239+MAX(0,N($I1239)-MAX(N($H1239),1)))</f>
        <v>0</v>
      </c>
      <c r="W1239" s="40">
        <f>IF(S1239="",0,YEAR(S1239)*12+MONTH(S1239))</f>
        <v>0</v>
      </c>
      <c r="X1239" s="40">
        <f>IF(W1239=0,0,W1239+V1239-U1239)</f>
        <v>0</v>
      </c>
      <c r="Y1239" s="36">
        <f>IF(W1239=0,0,N(R1239)*MAX(0,X1239-MAX(W1239,YEAR(Cfg_Hoje)*12+MONTH(Cfg_Hoje)+IF(DAY(Cfg_Hoje)&gt;=INDEX(Cartoes_Fech,MATCH($F1239,Cartoes_Nome,0)),1,0))+1))</f>
        <v>0</v>
      </c>
      <c r="Z1239" s="40">
        <f>IF($A1239="",0,DAY($A1239))</f>
        <v>0</v>
      </c>
      <c r="AA1239" s="40">
        <f>IF($A1239="",0,WEEKDAY($A1239))</f>
        <v>0</v>
      </c>
      <c r="AB1239" s="36">
        <f>IF(AND($C1239="Despesa",U1239&gt;0,U1239&lt;=Sel_Idx,V1239&gt;=Sel_Idx),N(R1239)+ROW()/1000000000,0)</f>
        <v>0</v>
      </c>
      <c r="AC1239" s="40">
        <f>IF(AND($C1239="Despesa",U1239&gt;0,U1239&lt;=Sel_Idx,V1239&gt;=Sel_Idx),Z1239*10000+ROW(),0)</f>
        <v>0</v>
      </c>
      <c r="AD1239" s="40">
        <f>IF(AC1239=0,0,COUNTIFS(L_CalChave,"&gt;0",L_CalChave,"&lt;"&amp;AC1239)+1)</f>
        <v>0</v>
      </c>
    </row>
    <row r="1240">
      <c r="A1240" s="38" t="n"/>
      <c r="B1240" s="39" t="n"/>
      <c r="C1240" s="34" t="n"/>
      <c r="D1240" s="34" t="n"/>
      <c r="E1240" s="34" t="n"/>
      <c r="F1240" s="34" t="n"/>
      <c r="G1240" s="34" t="n"/>
      <c r="H1240" s="37" t="n"/>
      <c r="I1240" s="37" t="n"/>
      <c r="J1240" s="34" t="n"/>
      <c r="K1240" s="34" t="n"/>
      <c r="L1240" s="34" t="n"/>
      <c r="M1240" s="39" t="n"/>
      <c r="N1240" s="35" t="n"/>
      <c r="O1240" s="40" t="str">
        <f>IF($A1240="","",MONTH($A1240))</f>
        <v/>
      </c>
      <c r="P1240" s="40" t="str">
        <f>IF($A1240="","",YEAR($A1240))</f>
        <v/>
      </c>
      <c r="Q1240" s="41" t="str">
        <f>IF($A1240="","",DATE(P1240,O1240,1))</f>
        <v/>
      </c>
      <c r="R1240" s="36" t="str">
        <f>IF(OR($A1240="",$N1240=""),"",IF(AND($C1240&lt;&gt;"Transferência",N($I1240)&gt;1),$N1240/$I1240,$N1240))</f>
        <v/>
      </c>
      <c r="S1240" s="41" t="str">
        <f>IF(OR($A1240="",$F1240="",$C1240&lt;&gt;"Despesa"),"",IF(COUNTIF(Cartoes_Nome,$F1240)=0,"",DATE(P1240,O1240+IF(DAY($A1240)&gt;=INDEX(Cartoes_Fech,MATCH($F1240,Cartoes_Nome,0)),1,0),1)))</f>
        <v/>
      </c>
      <c r="T1240" s="42" t="str">
        <f>IF($A1240="","",IF(COUNTIFS(L_Data,$A1240,L_Desc,$B1240,L_Valor,$N1240,L_Tipo,$C1240)&gt;1,"⚠ Possível duplicidade",IF(OR(AND($C1240="Despesa",COUNTIF(CatD_Nome,$D1240)=0),AND($C1240="Receita",COUNTIF(CatR_Nome,$D1240)=0)),"⚠ Categoria não combina com o tipo",IF(OR($N1240="",$C1240=""),"⚠ Falta valor ou tipo",""))))</f>
        <v/>
      </c>
      <c r="U1240" s="40">
        <f>IF($A1240="",0,P1240*12+O1240)</f>
        <v>0</v>
      </c>
      <c r="V1240" s="40">
        <f>IF($A1240="",0,U1240+MAX(0,N($I1240)-MAX(N($H1240),1)))</f>
        <v>0</v>
      </c>
      <c r="W1240" s="40">
        <f>IF(S1240="",0,YEAR(S1240)*12+MONTH(S1240))</f>
        <v>0</v>
      </c>
      <c r="X1240" s="40">
        <f>IF(W1240=0,0,W1240+V1240-U1240)</f>
        <v>0</v>
      </c>
      <c r="Y1240" s="36">
        <f>IF(W1240=0,0,N(R1240)*MAX(0,X1240-MAX(W1240,YEAR(Cfg_Hoje)*12+MONTH(Cfg_Hoje)+IF(DAY(Cfg_Hoje)&gt;=INDEX(Cartoes_Fech,MATCH($F1240,Cartoes_Nome,0)),1,0))+1))</f>
        <v>0</v>
      </c>
      <c r="Z1240" s="40">
        <f>IF($A1240="",0,DAY($A1240))</f>
        <v>0</v>
      </c>
      <c r="AA1240" s="40">
        <f>IF($A1240="",0,WEEKDAY($A1240))</f>
        <v>0</v>
      </c>
      <c r="AB1240" s="36">
        <f>IF(AND($C1240="Despesa",U1240&gt;0,U1240&lt;=Sel_Idx,V1240&gt;=Sel_Idx),N(R1240)+ROW()/1000000000,0)</f>
        <v>0</v>
      </c>
      <c r="AC1240" s="40">
        <f>IF(AND($C1240="Despesa",U1240&gt;0,U1240&lt;=Sel_Idx,V1240&gt;=Sel_Idx),Z1240*10000+ROW(),0)</f>
        <v>0</v>
      </c>
      <c r="AD1240" s="40">
        <f>IF(AC1240=0,0,COUNTIFS(L_CalChave,"&gt;0",L_CalChave,"&lt;"&amp;AC1240)+1)</f>
        <v>0</v>
      </c>
    </row>
    <row r="1241">
      <c r="A1241" s="38" t="n"/>
      <c r="B1241" s="39" t="n"/>
      <c r="C1241" s="34" t="n"/>
      <c r="D1241" s="34" t="n"/>
      <c r="E1241" s="34" t="n"/>
      <c r="F1241" s="34" t="n"/>
      <c r="G1241" s="34" t="n"/>
      <c r="H1241" s="37" t="n"/>
      <c r="I1241" s="37" t="n"/>
      <c r="J1241" s="34" t="n"/>
      <c r="K1241" s="34" t="n"/>
      <c r="L1241" s="34" t="n"/>
      <c r="M1241" s="39" t="n"/>
      <c r="N1241" s="35" t="n"/>
      <c r="O1241" s="40" t="str">
        <f>IF($A1241="","",MONTH($A1241))</f>
        <v/>
      </c>
      <c r="P1241" s="40" t="str">
        <f>IF($A1241="","",YEAR($A1241))</f>
        <v/>
      </c>
      <c r="Q1241" s="41" t="str">
        <f>IF($A1241="","",DATE(P1241,O1241,1))</f>
        <v/>
      </c>
      <c r="R1241" s="36" t="str">
        <f>IF(OR($A1241="",$N1241=""),"",IF(AND($C1241&lt;&gt;"Transferência",N($I1241)&gt;1),$N1241/$I1241,$N1241))</f>
        <v/>
      </c>
      <c r="S1241" s="41" t="str">
        <f>IF(OR($A1241="",$F1241="",$C1241&lt;&gt;"Despesa"),"",IF(COUNTIF(Cartoes_Nome,$F1241)=0,"",DATE(P1241,O1241+IF(DAY($A1241)&gt;=INDEX(Cartoes_Fech,MATCH($F1241,Cartoes_Nome,0)),1,0),1)))</f>
        <v/>
      </c>
      <c r="T1241" s="42" t="str">
        <f>IF($A1241="","",IF(COUNTIFS(L_Data,$A1241,L_Desc,$B1241,L_Valor,$N1241,L_Tipo,$C1241)&gt;1,"⚠ Possível duplicidade",IF(OR(AND($C1241="Despesa",COUNTIF(CatD_Nome,$D1241)=0),AND($C1241="Receita",COUNTIF(CatR_Nome,$D1241)=0)),"⚠ Categoria não combina com o tipo",IF(OR($N1241="",$C1241=""),"⚠ Falta valor ou tipo",""))))</f>
        <v/>
      </c>
      <c r="U1241" s="40">
        <f>IF($A1241="",0,P1241*12+O1241)</f>
        <v>0</v>
      </c>
      <c r="V1241" s="40">
        <f>IF($A1241="",0,U1241+MAX(0,N($I1241)-MAX(N($H1241),1)))</f>
        <v>0</v>
      </c>
      <c r="W1241" s="40">
        <f>IF(S1241="",0,YEAR(S1241)*12+MONTH(S1241))</f>
        <v>0</v>
      </c>
      <c r="X1241" s="40">
        <f>IF(W1241=0,0,W1241+V1241-U1241)</f>
        <v>0</v>
      </c>
      <c r="Y1241" s="36">
        <f>IF(W1241=0,0,N(R1241)*MAX(0,X1241-MAX(W1241,YEAR(Cfg_Hoje)*12+MONTH(Cfg_Hoje)+IF(DAY(Cfg_Hoje)&gt;=INDEX(Cartoes_Fech,MATCH($F1241,Cartoes_Nome,0)),1,0))+1))</f>
        <v>0</v>
      </c>
      <c r="Z1241" s="40">
        <f>IF($A1241="",0,DAY($A1241))</f>
        <v>0</v>
      </c>
      <c r="AA1241" s="40">
        <f>IF($A1241="",0,WEEKDAY($A1241))</f>
        <v>0</v>
      </c>
      <c r="AB1241" s="36">
        <f>IF(AND($C1241="Despesa",U1241&gt;0,U1241&lt;=Sel_Idx,V1241&gt;=Sel_Idx),N(R1241)+ROW()/1000000000,0)</f>
        <v>0</v>
      </c>
      <c r="AC1241" s="40">
        <f>IF(AND($C1241="Despesa",U1241&gt;0,U1241&lt;=Sel_Idx,V1241&gt;=Sel_Idx),Z1241*10000+ROW(),0)</f>
        <v>0</v>
      </c>
      <c r="AD1241" s="40">
        <f>IF(AC1241=0,0,COUNTIFS(L_CalChave,"&gt;0",L_CalChave,"&lt;"&amp;AC1241)+1)</f>
        <v>0</v>
      </c>
    </row>
    <row r="1242">
      <c r="A1242" s="38" t="n"/>
      <c r="B1242" s="39" t="n"/>
      <c r="C1242" s="34" t="n"/>
      <c r="D1242" s="34" t="n"/>
      <c r="E1242" s="34" t="n"/>
      <c r="F1242" s="34" t="n"/>
      <c r="G1242" s="34" t="n"/>
      <c r="H1242" s="37" t="n"/>
      <c r="I1242" s="37" t="n"/>
      <c r="J1242" s="34" t="n"/>
      <c r="K1242" s="34" t="n"/>
      <c r="L1242" s="34" t="n"/>
      <c r="M1242" s="39" t="n"/>
      <c r="N1242" s="35" t="n"/>
      <c r="O1242" s="40" t="str">
        <f>IF($A1242="","",MONTH($A1242))</f>
        <v/>
      </c>
      <c r="P1242" s="40" t="str">
        <f>IF($A1242="","",YEAR($A1242))</f>
        <v/>
      </c>
      <c r="Q1242" s="41" t="str">
        <f>IF($A1242="","",DATE(P1242,O1242,1))</f>
        <v/>
      </c>
      <c r="R1242" s="36" t="str">
        <f>IF(OR($A1242="",$N1242=""),"",IF(AND($C1242&lt;&gt;"Transferência",N($I1242)&gt;1),$N1242/$I1242,$N1242))</f>
        <v/>
      </c>
      <c r="S1242" s="41" t="str">
        <f>IF(OR($A1242="",$F1242="",$C1242&lt;&gt;"Despesa"),"",IF(COUNTIF(Cartoes_Nome,$F1242)=0,"",DATE(P1242,O1242+IF(DAY($A1242)&gt;=INDEX(Cartoes_Fech,MATCH($F1242,Cartoes_Nome,0)),1,0),1)))</f>
        <v/>
      </c>
      <c r="T1242" s="42" t="str">
        <f>IF($A1242="","",IF(COUNTIFS(L_Data,$A1242,L_Desc,$B1242,L_Valor,$N1242,L_Tipo,$C1242)&gt;1,"⚠ Possível duplicidade",IF(OR(AND($C1242="Despesa",COUNTIF(CatD_Nome,$D1242)=0),AND($C1242="Receita",COUNTIF(CatR_Nome,$D1242)=0)),"⚠ Categoria não combina com o tipo",IF(OR($N1242="",$C1242=""),"⚠ Falta valor ou tipo",""))))</f>
        <v/>
      </c>
      <c r="U1242" s="40">
        <f>IF($A1242="",0,P1242*12+O1242)</f>
        <v>0</v>
      </c>
      <c r="V1242" s="40">
        <f>IF($A1242="",0,U1242+MAX(0,N($I1242)-MAX(N($H1242),1)))</f>
        <v>0</v>
      </c>
      <c r="W1242" s="40">
        <f>IF(S1242="",0,YEAR(S1242)*12+MONTH(S1242))</f>
        <v>0</v>
      </c>
      <c r="X1242" s="40">
        <f>IF(W1242=0,0,W1242+V1242-U1242)</f>
        <v>0</v>
      </c>
      <c r="Y1242" s="36">
        <f>IF(W1242=0,0,N(R1242)*MAX(0,X1242-MAX(W1242,YEAR(Cfg_Hoje)*12+MONTH(Cfg_Hoje)+IF(DAY(Cfg_Hoje)&gt;=INDEX(Cartoes_Fech,MATCH($F1242,Cartoes_Nome,0)),1,0))+1))</f>
        <v>0</v>
      </c>
      <c r="Z1242" s="40">
        <f>IF($A1242="",0,DAY($A1242))</f>
        <v>0</v>
      </c>
      <c r="AA1242" s="40">
        <f>IF($A1242="",0,WEEKDAY($A1242))</f>
        <v>0</v>
      </c>
      <c r="AB1242" s="36">
        <f>IF(AND($C1242="Despesa",U1242&gt;0,U1242&lt;=Sel_Idx,V1242&gt;=Sel_Idx),N(R1242)+ROW()/1000000000,0)</f>
        <v>0</v>
      </c>
      <c r="AC1242" s="40">
        <f>IF(AND($C1242="Despesa",U1242&gt;0,U1242&lt;=Sel_Idx,V1242&gt;=Sel_Idx),Z1242*10000+ROW(),0)</f>
        <v>0</v>
      </c>
      <c r="AD1242" s="40">
        <f>IF(AC1242=0,0,COUNTIFS(L_CalChave,"&gt;0",L_CalChave,"&lt;"&amp;AC1242)+1)</f>
        <v>0</v>
      </c>
    </row>
    <row r="1243">
      <c r="A1243" s="38" t="n"/>
      <c r="B1243" s="39" t="n"/>
      <c r="C1243" s="34" t="n"/>
      <c r="D1243" s="34" t="n"/>
      <c r="E1243" s="34" t="n"/>
      <c r="F1243" s="34" t="n"/>
      <c r="G1243" s="34" t="n"/>
      <c r="H1243" s="37" t="n"/>
      <c r="I1243" s="37" t="n"/>
      <c r="J1243" s="34" t="n"/>
      <c r="K1243" s="34" t="n"/>
      <c r="L1243" s="34" t="n"/>
      <c r="M1243" s="39" t="n"/>
      <c r="N1243" s="35" t="n"/>
      <c r="O1243" s="40" t="str">
        <f>IF($A1243="","",MONTH($A1243))</f>
        <v/>
      </c>
      <c r="P1243" s="40" t="str">
        <f>IF($A1243="","",YEAR($A1243))</f>
        <v/>
      </c>
      <c r="Q1243" s="41" t="str">
        <f>IF($A1243="","",DATE(P1243,O1243,1))</f>
        <v/>
      </c>
      <c r="R1243" s="36" t="str">
        <f>IF(OR($A1243="",$N1243=""),"",IF(AND($C1243&lt;&gt;"Transferência",N($I1243)&gt;1),$N1243/$I1243,$N1243))</f>
        <v/>
      </c>
      <c r="S1243" s="41" t="str">
        <f>IF(OR($A1243="",$F1243="",$C1243&lt;&gt;"Despesa"),"",IF(COUNTIF(Cartoes_Nome,$F1243)=0,"",DATE(P1243,O1243+IF(DAY($A1243)&gt;=INDEX(Cartoes_Fech,MATCH($F1243,Cartoes_Nome,0)),1,0),1)))</f>
        <v/>
      </c>
      <c r="T1243" s="42" t="str">
        <f>IF($A1243="","",IF(COUNTIFS(L_Data,$A1243,L_Desc,$B1243,L_Valor,$N1243,L_Tipo,$C1243)&gt;1,"⚠ Possível duplicidade",IF(OR(AND($C1243="Despesa",COUNTIF(CatD_Nome,$D1243)=0),AND($C1243="Receita",COUNTIF(CatR_Nome,$D1243)=0)),"⚠ Categoria não combina com o tipo",IF(OR($N1243="",$C1243=""),"⚠ Falta valor ou tipo",""))))</f>
        <v/>
      </c>
      <c r="U1243" s="40">
        <f>IF($A1243="",0,P1243*12+O1243)</f>
        <v>0</v>
      </c>
      <c r="V1243" s="40">
        <f>IF($A1243="",0,U1243+MAX(0,N($I1243)-MAX(N($H1243),1)))</f>
        <v>0</v>
      </c>
      <c r="W1243" s="40">
        <f>IF(S1243="",0,YEAR(S1243)*12+MONTH(S1243))</f>
        <v>0</v>
      </c>
      <c r="X1243" s="40">
        <f>IF(W1243=0,0,W1243+V1243-U1243)</f>
        <v>0</v>
      </c>
      <c r="Y1243" s="36">
        <f>IF(W1243=0,0,N(R1243)*MAX(0,X1243-MAX(W1243,YEAR(Cfg_Hoje)*12+MONTH(Cfg_Hoje)+IF(DAY(Cfg_Hoje)&gt;=INDEX(Cartoes_Fech,MATCH($F1243,Cartoes_Nome,0)),1,0))+1))</f>
        <v>0</v>
      </c>
      <c r="Z1243" s="40">
        <f>IF($A1243="",0,DAY($A1243))</f>
        <v>0</v>
      </c>
      <c r="AA1243" s="40">
        <f>IF($A1243="",0,WEEKDAY($A1243))</f>
        <v>0</v>
      </c>
      <c r="AB1243" s="36">
        <f>IF(AND($C1243="Despesa",U1243&gt;0,U1243&lt;=Sel_Idx,V1243&gt;=Sel_Idx),N(R1243)+ROW()/1000000000,0)</f>
        <v>0</v>
      </c>
      <c r="AC1243" s="40">
        <f>IF(AND($C1243="Despesa",U1243&gt;0,U1243&lt;=Sel_Idx,V1243&gt;=Sel_Idx),Z1243*10000+ROW(),0)</f>
        <v>0</v>
      </c>
      <c r="AD1243" s="40">
        <f>IF(AC1243=0,0,COUNTIFS(L_CalChave,"&gt;0",L_CalChave,"&lt;"&amp;AC1243)+1)</f>
        <v>0</v>
      </c>
    </row>
    <row r="1244">
      <c r="A1244" s="38" t="n"/>
      <c r="B1244" s="39" t="n"/>
      <c r="C1244" s="34" t="n"/>
      <c r="D1244" s="34" t="n"/>
      <c r="E1244" s="34" t="n"/>
      <c r="F1244" s="34" t="n"/>
      <c r="G1244" s="34" t="n"/>
      <c r="H1244" s="37" t="n"/>
      <c r="I1244" s="37" t="n"/>
      <c r="J1244" s="34" t="n"/>
      <c r="K1244" s="34" t="n"/>
      <c r="L1244" s="34" t="n"/>
      <c r="M1244" s="39" t="n"/>
      <c r="N1244" s="35" t="n"/>
      <c r="O1244" s="40" t="str">
        <f>IF($A1244="","",MONTH($A1244))</f>
        <v/>
      </c>
      <c r="P1244" s="40" t="str">
        <f>IF($A1244="","",YEAR($A1244))</f>
        <v/>
      </c>
      <c r="Q1244" s="41" t="str">
        <f>IF($A1244="","",DATE(P1244,O1244,1))</f>
        <v/>
      </c>
      <c r="R1244" s="36" t="str">
        <f>IF(OR($A1244="",$N1244=""),"",IF(AND($C1244&lt;&gt;"Transferência",N($I1244)&gt;1),$N1244/$I1244,$N1244))</f>
        <v/>
      </c>
      <c r="S1244" s="41" t="str">
        <f>IF(OR($A1244="",$F1244="",$C1244&lt;&gt;"Despesa"),"",IF(COUNTIF(Cartoes_Nome,$F1244)=0,"",DATE(P1244,O1244+IF(DAY($A1244)&gt;=INDEX(Cartoes_Fech,MATCH($F1244,Cartoes_Nome,0)),1,0),1)))</f>
        <v/>
      </c>
      <c r="T1244" s="42" t="str">
        <f>IF($A1244="","",IF(COUNTIFS(L_Data,$A1244,L_Desc,$B1244,L_Valor,$N1244,L_Tipo,$C1244)&gt;1,"⚠ Possível duplicidade",IF(OR(AND($C1244="Despesa",COUNTIF(CatD_Nome,$D1244)=0),AND($C1244="Receita",COUNTIF(CatR_Nome,$D1244)=0)),"⚠ Categoria não combina com o tipo",IF(OR($N1244="",$C1244=""),"⚠ Falta valor ou tipo",""))))</f>
        <v/>
      </c>
      <c r="U1244" s="40">
        <f>IF($A1244="",0,P1244*12+O1244)</f>
        <v>0</v>
      </c>
      <c r="V1244" s="40">
        <f>IF($A1244="",0,U1244+MAX(0,N($I1244)-MAX(N($H1244),1)))</f>
        <v>0</v>
      </c>
      <c r="W1244" s="40">
        <f>IF(S1244="",0,YEAR(S1244)*12+MONTH(S1244))</f>
        <v>0</v>
      </c>
      <c r="X1244" s="40">
        <f>IF(W1244=0,0,W1244+V1244-U1244)</f>
        <v>0</v>
      </c>
      <c r="Y1244" s="36">
        <f>IF(W1244=0,0,N(R1244)*MAX(0,X1244-MAX(W1244,YEAR(Cfg_Hoje)*12+MONTH(Cfg_Hoje)+IF(DAY(Cfg_Hoje)&gt;=INDEX(Cartoes_Fech,MATCH($F1244,Cartoes_Nome,0)),1,0))+1))</f>
        <v>0</v>
      </c>
      <c r="Z1244" s="40">
        <f>IF($A1244="",0,DAY($A1244))</f>
        <v>0</v>
      </c>
      <c r="AA1244" s="40">
        <f>IF($A1244="",0,WEEKDAY($A1244))</f>
        <v>0</v>
      </c>
      <c r="AB1244" s="36">
        <f>IF(AND($C1244="Despesa",U1244&gt;0,U1244&lt;=Sel_Idx,V1244&gt;=Sel_Idx),N(R1244)+ROW()/1000000000,0)</f>
        <v>0</v>
      </c>
      <c r="AC1244" s="40">
        <f>IF(AND($C1244="Despesa",U1244&gt;0,U1244&lt;=Sel_Idx,V1244&gt;=Sel_Idx),Z1244*10000+ROW(),0)</f>
        <v>0</v>
      </c>
      <c r="AD1244" s="40">
        <f>IF(AC1244=0,0,COUNTIFS(L_CalChave,"&gt;0",L_CalChave,"&lt;"&amp;AC1244)+1)</f>
        <v>0</v>
      </c>
    </row>
    <row r="1245">
      <c r="A1245" s="38" t="n"/>
      <c r="B1245" s="39" t="n"/>
      <c r="C1245" s="34" t="n"/>
      <c r="D1245" s="34" t="n"/>
      <c r="E1245" s="34" t="n"/>
      <c r="F1245" s="34" t="n"/>
      <c r="G1245" s="34" t="n"/>
      <c r="H1245" s="37" t="n"/>
      <c r="I1245" s="37" t="n"/>
      <c r="J1245" s="34" t="n"/>
      <c r="K1245" s="34" t="n"/>
      <c r="L1245" s="34" t="n"/>
      <c r="M1245" s="39" t="n"/>
      <c r="N1245" s="35" t="n"/>
      <c r="O1245" s="40" t="str">
        <f>IF($A1245="","",MONTH($A1245))</f>
        <v/>
      </c>
      <c r="P1245" s="40" t="str">
        <f>IF($A1245="","",YEAR($A1245))</f>
        <v/>
      </c>
      <c r="Q1245" s="41" t="str">
        <f>IF($A1245="","",DATE(P1245,O1245,1))</f>
        <v/>
      </c>
      <c r="R1245" s="36" t="str">
        <f>IF(OR($A1245="",$N1245=""),"",IF(AND($C1245&lt;&gt;"Transferência",N($I1245)&gt;1),$N1245/$I1245,$N1245))</f>
        <v/>
      </c>
      <c r="S1245" s="41" t="str">
        <f>IF(OR($A1245="",$F1245="",$C1245&lt;&gt;"Despesa"),"",IF(COUNTIF(Cartoes_Nome,$F1245)=0,"",DATE(P1245,O1245+IF(DAY($A1245)&gt;=INDEX(Cartoes_Fech,MATCH($F1245,Cartoes_Nome,0)),1,0),1)))</f>
        <v/>
      </c>
      <c r="T1245" s="42" t="str">
        <f>IF($A1245="","",IF(COUNTIFS(L_Data,$A1245,L_Desc,$B1245,L_Valor,$N1245,L_Tipo,$C1245)&gt;1,"⚠ Possível duplicidade",IF(OR(AND($C1245="Despesa",COUNTIF(CatD_Nome,$D1245)=0),AND($C1245="Receita",COUNTIF(CatR_Nome,$D1245)=0)),"⚠ Categoria não combina com o tipo",IF(OR($N1245="",$C1245=""),"⚠ Falta valor ou tipo",""))))</f>
        <v/>
      </c>
      <c r="U1245" s="40">
        <f>IF($A1245="",0,P1245*12+O1245)</f>
        <v>0</v>
      </c>
      <c r="V1245" s="40">
        <f>IF($A1245="",0,U1245+MAX(0,N($I1245)-MAX(N($H1245),1)))</f>
        <v>0</v>
      </c>
      <c r="W1245" s="40">
        <f>IF(S1245="",0,YEAR(S1245)*12+MONTH(S1245))</f>
        <v>0</v>
      </c>
      <c r="X1245" s="40">
        <f>IF(W1245=0,0,W1245+V1245-U1245)</f>
        <v>0</v>
      </c>
      <c r="Y1245" s="36">
        <f>IF(W1245=0,0,N(R1245)*MAX(0,X1245-MAX(W1245,YEAR(Cfg_Hoje)*12+MONTH(Cfg_Hoje)+IF(DAY(Cfg_Hoje)&gt;=INDEX(Cartoes_Fech,MATCH($F1245,Cartoes_Nome,0)),1,0))+1))</f>
        <v>0</v>
      </c>
      <c r="Z1245" s="40">
        <f>IF($A1245="",0,DAY($A1245))</f>
        <v>0</v>
      </c>
      <c r="AA1245" s="40">
        <f>IF($A1245="",0,WEEKDAY($A1245))</f>
        <v>0</v>
      </c>
      <c r="AB1245" s="36">
        <f>IF(AND($C1245="Despesa",U1245&gt;0,U1245&lt;=Sel_Idx,V1245&gt;=Sel_Idx),N(R1245)+ROW()/1000000000,0)</f>
        <v>0</v>
      </c>
      <c r="AC1245" s="40">
        <f>IF(AND($C1245="Despesa",U1245&gt;0,U1245&lt;=Sel_Idx,V1245&gt;=Sel_Idx),Z1245*10000+ROW(),0)</f>
        <v>0</v>
      </c>
      <c r="AD1245" s="40">
        <f>IF(AC1245=0,0,COUNTIFS(L_CalChave,"&gt;0",L_CalChave,"&lt;"&amp;AC1245)+1)</f>
        <v>0</v>
      </c>
    </row>
    <row r="1246">
      <c r="A1246" s="38" t="n"/>
      <c r="B1246" s="39" t="n"/>
      <c r="C1246" s="34" t="n"/>
      <c r="D1246" s="34" t="n"/>
      <c r="E1246" s="34" t="n"/>
      <c r="F1246" s="34" t="n"/>
      <c r="G1246" s="34" t="n"/>
      <c r="H1246" s="37" t="n"/>
      <c r="I1246" s="37" t="n"/>
      <c r="J1246" s="34" t="n"/>
      <c r="K1246" s="34" t="n"/>
      <c r="L1246" s="34" t="n"/>
      <c r="M1246" s="39" t="n"/>
      <c r="N1246" s="35" t="n"/>
      <c r="O1246" s="40" t="str">
        <f>IF($A1246="","",MONTH($A1246))</f>
        <v/>
      </c>
      <c r="P1246" s="40" t="str">
        <f>IF($A1246="","",YEAR($A1246))</f>
        <v/>
      </c>
      <c r="Q1246" s="41" t="str">
        <f>IF($A1246="","",DATE(P1246,O1246,1))</f>
        <v/>
      </c>
      <c r="R1246" s="36" t="str">
        <f>IF(OR($A1246="",$N1246=""),"",IF(AND($C1246&lt;&gt;"Transferência",N($I1246)&gt;1),$N1246/$I1246,$N1246))</f>
        <v/>
      </c>
      <c r="S1246" s="41" t="str">
        <f>IF(OR($A1246="",$F1246="",$C1246&lt;&gt;"Despesa"),"",IF(COUNTIF(Cartoes_Nome,$F1246)=0,"",DATE(P1246,O1246+IF(DAY($A1246)&gt;=INDEX(Cartoes_Fech,MATCH($F1246,Cartoes_Nome,0)),1,0),1)))</f>
        <v/>
      </c>
      <c r="T1246" s="42" t="str">
        <f>IF($A1246="","",IF(COUNTIFS(L_Data,$A1246,L_Desc,$B1246,L_Valor,$N1246,L_Tipo,$C1246)&gt;1,"⚠ Possível duplicidade",IF(OR(AND($C1246="Despesa",COUNTIF(CatD_Nome,$D1246)=0),AND($C1246="Receita",COUNTIF(CatR_Nome,$D1246)=0)),"⚠ Categoria não combina com o tipo",IF(OR($N1246="",$C1246=""),"⚠ Falta valor ou tipo",""))))</f>
        <v/>
      </c>
      <c r="U1246" s="40">
        <f>IF($A1246="",0,P1246*12+O1246)</f>
        <v>0</v>
      </c>
      <c r="V1246" s="40">
        <f>IF($A1246="",0,U1246+MAX(0,N($I1246)-MAX(N($H1246),1)))</f>
        <v>0</v>
      </c>
      <c r="W1246" s="40">
        <f>IF(S1246="",0,YEAR(S1246)*12+MONTH(S1246))</f>
        <v>0</v>
      </c>
      <c r="X1246" s="40">
        <f>IF(W1246=0,0,W1246+V1246-U1246)</f>
        <v>0</v>
      </c>
      <c r="Y1246" s="36">
        <f>IF(W1246=0,0,N(R1246)*MAX(0,X1246-MAX(W1246,YEAR(Cfg_Hoje)*12+MONTH(Cfg_Hoje)+IF(DAY(Cfg_Hoje)&gt;=INDEX(Cartoes_Fech,MATCH($F1246,Cartoes_Nome,0)),1,0))+1))</f>
        <v>0</v>
      </c>
      <c r="Z1246" s="40">
        <f>IF($A1246="",0,DAY($A1246))</f>
        <v>0</v>
      </c>
      <c r="AA1246" s="40">
        <f>IF($A1246="",0,WEEKDAY($A1246))</f>
        <v>0</v>
      </c>
      <c r="AB1246" s="36">
        <f>IF(AND($C1246="Despesa",U1246&gt;0,U1246&lt;=Sel_Idx,V1246&gt;=Sel_Idx),N(R1246)+ROW()/1000000000,0)</f>
        <v>0</v>
      </c>
      <c r="AC1246" s="40">
        <f>IF(AND($C1246="Despesa",U1246&gt;0,U1246&lt;=Sel_Idx,V1246&gt;=Sel_Idx),Z1246*10000+ROW(),0)</f>
        <v>0</v>
      </c>
      <c r="AD1246" s="40">
        <f>IF(AC1246=0,0,COUNTIFS(L_CalChave,"&gt;0",L_CalChave,"&lt;"&amp;AC1246)+1)</f>
        <v>0</v>
      </c>
    </row>
    <row r="1247">
      <c r="A1247" s="38" t="n"/>
      <c r="B1247" s="39" t="n"/>
      <c r="C1247" s="34" t="n"/>
      <c r="D1247" s="34" t="n"/>
      <c r="E1247" s="34" t="n"/>
      <c r="F1247" s="34" t="n"/>
      <c r="G1247" s="34" t="n"/>
      <c r="H1247" s="37" t="n"/>
      <c r="I1247" s="37" t="n"/>
      <c r="J1247" s="34" t="n"/>
      <c r="K1247" s="34" t="n"/>
      <c r="L1247" s="34" t="n"/>
      <c r="M1247" s="39" t="n"/>
      <c r="N1247" s="35" t="n"/>
      <c r="O1247" s="40" t="str">
        <f>IF($A1247="","",MONTH($A1247))</f>
        <v/>
      </c>
      <c r="P1247" s="40" t="str">
        <f>IF($A1247="","",YEAR($A1247))</f>
        <v/>
      </c>
      <c r="Q1247" s="41" t="str">
        <f>IF($A1247="","",DATE(P1247,O1247,1))</f>
        <v/>
      </c>
      <c r="R1247" s="36" t="str">
        <f>IF(OR($A1247="",$N1247=""),"",IF(AND($C1247&lt;&gt;"Transferência",N($I1247)&gt;1),$N1247/$I1247,$N1247))</f>
        <v/>
      </c>
      <c r="S1247" s="41" t="str">
        <f>IF(OR($A1247="",$F1247="",$C1247&lt;&gt;"Despesa"),"",IF(COUNTIF(Cartoes_Nome,$F1247)=0,"",DATE(P1247,O1247+IF(DAY($A1247)&gt;=INDEX(Cartoes_Fech,MATCH($F1247,Cartoes_Nome,0)),1,0),1)))</f>
        <v/>
      </c>
      <c r="T1247" s="42" t="str">
        <f>IF($A1247="","",IF(COUNTIFS(L_Data,$A1247,L_Desc,$B1247,L_Valor,$N1247,L_Tipo,$C1247)&gt;1,"⚠ Possível duplicidade",IF(OR(AND($C1247="Despesa",COUNTIF(CatD_Nome,$D1247)=0),AND($C1247="Receita",COUNTIF(CatR_Nome,$D1247)=0)),"⚠ Categoria não combina com o tipo",IF(OR($N1247="",$C1247=""),"⚠ Falta valor ou tipo",""))))</f>
        <v/>
      </c>
      <c r="U1247" s="40">
        <f>IF($A1247="",0,P1247*12+O1247)</f>
        <v>0</v>
      </c>
      <c r="V1247" s="40">
        <f>IF($A1247="",0,U1247+MAX(0,N($I1247)-MAX(N($H1247),1)))</f>
        <v>0</v>
      </c>
      <c r="W1247" s="40">
        <f>IF(S1247="",0,YEAR(S1247)*12+MONTH(S1247))</f>
        <v>0</v>
      </c>
      <c r="X1247" s="40">
        <f>IF(W1247=0,0,W1247+V1247-U1247)</f>
        <v>0</v>
      </c>
      <c r="Y1247" s="36">
        <f>IF(W1247=0,0,N(R1247)*MAX(0,X1247-MAX(W1247,YEAR(Cfg_Hoje)*12+MONTH(Cfg_Hoje)+IF(DAY(Cfg_Hoje)&gt;=INDEX(Cartoes_Fech,MATCH($F1247,Cartoes_Nome,0)),1,0))+1))</f>
        <v>0</v>
      </c>
      <c r="Z1247" s="40">
        <f>IF($A1247="",0,DAY($A1247))</f>
        <v>0</v>
      </c>
      <c r="AA1247" s="40">
        <f>IF($A1247="",0,WEEKDAY($A1247))</f>
        <v>0</v>
      </c>
      <c r="AB1247" s="36">
        <f>IF(AND($C1247="Despesa",U1247&gt;0,U1247&lt;=Sel_Idx,V1247&gt;=Sel_Idx),N(R1247)+ROW()/1000000000,0)</f>
        <v>0</v>
      </c>
      <c r="AC1247" s="40">
        <f>IF(AND($C1247="Despesa",U1247&gt;0,U1247&lt;=Sel_Idx,V1247&gt;=Sel_Idx),Z1247*10000+ROW(),0)</f>
        <v>0</v>
      </c>
      <c r="AD1247" s="40">
        <f>IF(AC1247=0,0,COUNTIFS(L_CalChave,"&gt;0",L_CalChave,"&lt;"&amp;AC1247)+1)</f>
        <v>0</v>
      </c>
    </row>
    <row r="1248">
      <c r="A1248" s="38" t="n"/>
      <c r="B1248" s="39" t="n"/>
      <c r="C1248" s="34" t="n"/>
      <c r="D1248" s="34" t="n"/>
      <c r="E1248" s="34" t="n"/>
      <c r="F1248" s="34" t="n"/>
      <c r="G1248" s="34" t="n"/>
      <c r="H1248" s="37" t="n"/>
      <c r="I1248" s="37" t="n"/>
      <c r="J1248" s="34" t="n"/>
      <c r="K1248" s="34" t="n"/>
      <c r="L1248" s="34" t="n"/>
      <c r="M1248" s="39" t="n"/>
      <c r="N1248" s="35" t="n"/>
      <c r="O1248" s="40" t="str">
        <f>IF($A1248="","",MONTH($A1248))</f>
        <v/>
      </c>
      <c r="P1248" s="40" t="str">
        <f>IF($A1248="","",YEAR($A1248))</f>
        <v/>
      </c>
      <c r="Q1248" s="41" t="str">
        <f>IF($A1248="","",DATE(P1248,O1248,1))</f>
        <v/>
      </c>
      <c r="R1248" s="36" t="str">
        <f>IF(OR($A1248="",$N1248=""),"",IF(AND($C1248&lt;&gt;"Transferência",N($I1248)&gt;1),$N1248/$I1248,$N1248))</f>
        <v/>
      </c>
      <c r="S1248" s="41" t="str">
        <f>IF(OR($A1248="",$F1248="",$C1248&lt;&gt;"Despesa"),"",IF(COUNTIF(Cartoes_Nome,$F1248)=0,"",DATE(P1248,O1248+IF(DAY($A1248)&gt;=INDEX(Cartoes_Fech,MATCH($F1248,Cartoes_Nome,0)),1,0),1)))</f>
        <v/>
      </c>
      <c r="T1248" s="42" t="str">
        <f>IF($A1248="","",IF(COUNTIFS(L_Data,$A1248,L_Desc,$B1248,L_Valor,$N1248,L_Tipo,$C1248)&gt;1,"⚠ Possível duplicidade",IF(OR(AND($C1248="Despesa",COUNTIF(CatD_Nome,$D1248)=0),AND($C1248="Receita",COUNTIF(CatR_Nome,$D1248)=0)),"⚠ Categoria não combina com o tipo",IF(OR($N1248="",$C1248=""),"⚠ Falta valor ou tipo",""))))</f>
        <v/>
      </c>
      <c r="U1248" s="40">
        <f>IF($A1248="",0,P1248*12+O1248)</f>
        <v>0</v>
      </c>
      <c r="V1248" s="40">
        <f>IF($A1248="",0,U1248+MAX(0,N($I1248)-MAX(N($H1248),1)))</f>
        <v>0</v>
      </c>
      <c r="W1248" s="40">
        <f>IF(S1248="",0,YEAR(S1248)*12+MONTH(S1248))</f>
        <v>0</v>
      </c>
      <c r="X1248" s="40">
        <f>IF(W1248=0,0,W1248+V1248-U1248)</f>
        <v>0</v>
      </c>
      <c r="Y1248" s="36">
        <f>IF(W1248=0,0,N(R1248)*MAX(0,X1248-MAX(W1248,YEAR(Cfg_Hoje)*12+MONTH(Cfg_Hoje)+IF(DAY(Cfg_Hoje)&gt;=INDEX(Cartoes_Fech,MATCH($F1248,Cartoes_Nome,0)),1,0))+1))</f>
        <v>0</v>
      </c>
      <c r="Z1248" s="40">
        <f>IF($A1248="",0,DAY($A1248))</f>
        <v>0</v>
      </c>
      <c r="AA1248" s="40">
        <f>IF($A1248="",0,WEEKDAY($A1248))</f>
        <v>0</v>
      </c>
      <c r="AB1248" s="36">
        <f>IF(AND($C1248="Despesa",U1248&gt;0,U1248&lt;=Sel_Idx,V1248&gt;=Sel_Idx),N(R1248)+ROW()/1000000000,0)</f>
        <v>0</v>
      </c>
      <c r="AC1248" s="40">
        <f>IF(AND($C1248="Despesa",U1248&gt;0,U1248&lt;=Sel_Idx,V1248&gt;=Sel_Idx),Z1248*10000+ROW(),0)</f>
        <v>0</v>
      </c>
      <c r="AD1248" s="40">
        <f>IF(AC1248=0,0,COUNTIFS(L_CalChave,"&gt;0",L_CalChave,"&lt;"&amp;AC1248)+1)</f>
        <v>0</v>
      </c>
    </row>
    <row r="1249">
      <c r="A1249" s="38" t="n"/>
      <c r="B1249" s="39" t="n"/>
      <c r="C1249" s="34" t="n"/>
      <c r="D1249" s="34" t="n"/>
      <c r="E1249" s="34" t="n"/>
      <c r="F1249" s="34" t="n"/>
      <c r="G1249" s="34" t="n"/>
      <c r="H1249" s="37" t="n"/>
      <c r="I1249" s="37" t="n"/>
      <c r="J1249" s="34" t="n"/>
      <c r="K1249" s="34" t="n"/>
      <c r="L1249" s="34" t="n"/>
      <c r="M1249" s="39" t="n"/>
      <c r="N1249" s="35" t="n"/>
      <c r="O1249" s="40" t="str">
        <f>IF($A1249="","",MONTH($A1249))</f>
        <v/>
      </c>
      <c r="P1249" s="40" t="str">
        <f>IF($A1249="","",YEAR($A1249))</f>
        <v/>
      </c>
      <c r="Q1249" s="41" t="str">
        <f>IF($A1249="","",DATE(P1249,O1249,1))</f>
        <v/>
      </c>
      <c r="R1249" s="36" t="str">
        <f>IF(OR($A1249="",$N1249=""),"",IF(AND($C1249&lt;&gt;"Transferência",N($I1249)&gt;1),$N1249/$I1249,$N1249))</f>
        <v/>
      </c>
      <c r="S1249" s="41" t="str">
        <f>IF(OR($A1249="",$F1249="",$C1249&lt;&gt;"Despesa"),"",IF(COUNTIF(Cartoes_Nome,$F1249)=0,"",DATE(P1249,O1249+IF(DAY($A1249)&gt;=INDEX(Cartoes_Fech,MATCH($F1249,Cartoes_Nome,0)),1,0),1)))</f>
        <v/>
      </c>
      <c r="T1249" s="42" t="str">
        <f>IF($A1249="","",IF(COUNTIFS(L_Data,$A1249,L_Desc,$B1249,L_Valor,$N1249,L_Tipo,$C1249)&gt;1,"⚠ Possível duplicidade",IF(OR(AND($C1249="Despesa",COUNTIF(CatD_Nome,$D1249)=0),AND($C1249="Receita",COUNTIF(CatR_Nome,$D1249)=0)),"⚠ Categoria não combina com o tipo",IF(OR($N1249="",$C1249=""),"⚠ Falta valor ou tipo",""))))</f>
        <v/>
      </c>
      <c r="U1249" s="40">
        <f>IF($A1249="",0,P1249*12+O1249)</f>
        <v>0</v>
      </c>
      <c r="V1249" s="40">
        <f>IF($A1249="",0,U1249+MAX(0,N($I1249)-MAX(N($H1249),1)))</f>
        <v>0</v>
      </c>
      <c r="W1249" s="40">
        <f>IF(S1249="",0,YEAR(S1249)*12+MONTH(S1249))</f>
        <v>0</v>
      </c>
      <c r="X1249" s="40">
        <f>IF(W1249=0,0,W1249+V1249-U1249)</f>
        <v>0</v>
      </c>
      <c r="Y1249" s="36">
        <f>IF(W1249=0,0,N(R1249)*MAX(0,X1249-MAX(W1249,YEAR(Cfg_Hoje)*12+MONTH(Cfg_Hoje)+IF(DAY(Cfg_Hoje)&gt;=INDEX(Cartoes_Fech,MATCH($F1249,Cartoes_Nome,0)),1,0))+1))</f>
        <v>0</v>
      </c>
      <c r="Z1249" s="40">
        <f>IF($A1249="",0,DAY($A1249))</f>
        <v>0</v>
      </c>
      <c r="AA1249" s="40">
        <f>IF($A1249="",0,WEEKDAY($A1249))</f>
        <v>0</v>
      </c>
      <c r="AB1249" s="36">
        <f>IF(AND($C1249="Despesa",U1249&gt;0,U1249&lt;=Sel_Idx,V1249&gt;=Sel_Idx),N(R1249)+ROW()/1000000000,0)</f>
        <v>0</v>
      </c>
      <c r="AC1249" s="40">
        <f>IF(AND($C1249="Despesa",U1249&gt;0,U1249&lt;=Sel_Idx,V1249&gt;=Sel_Idx),Z1249*10000+ROW(),0)</f>
        <v>0</v>
      </c>
      <c r="AD1249" s="40">
        <f>IF(AC1249=0,0,COUNTIFS(L_CalChave,"&gt;0",L_CalChave,"&lt;"&amp;AC1249)+1)</f>
        <v>0</v>
      </c>
    </row>
    <row r="1250">
      <c r="A1250" s="38" t="n"/>
      <c r="B1250" s="39" t="n"/>
      <c r="C1250" s="34" t="n"/>
      <c r="D1250" s="34" t="n"/>
      <c r="E1250" s="34" t="n"/>
      <c r="F1250" s="34" t="n"/>
      <c r="G1250" s="34" t="n"/>
      <c r="H1250" s="37" t="n"/>
      <c r="I1250" s="37" t="n"/>
      <c r="J1250" s="34" t="n"/>
      <c r="K1250" s="34" t="n"/>
      <c r="L1250" s="34" t="n"/>
      <c r="M1250" s="39" t="n"/>
      <c r="N1250" s="35" t="n"/>
      <c r="O1250" s="40" t="str">
        <f>IF($A1250="","",MONTH($A1250))</f>
        <v/>
      </c>
      <c r="P1250" s="40" t="str">
        <f>IF($A1250="","",YEAR($A1250))</f>
        <v/>
      </c>
      <c r="Q1250" s="41" t="str">
        <f>IF($A1250="","",DATE(P1250,O1250,1))</f>
        <v/>
      </c>
      <c r="R1250" s="36" t="str">
        <f>IF(OR($A1250="",$N1250=""),"",IF(AND($C1250&lt;&gt;"Transferência",N($I1250)&gt;1),$N1250/$I1250,$N1250))</f>
        <v/>
      </c>
      <c r="S1250" s="41" t="str">
        <f>IF(OR($A1250="",$F1250="",$C1250&lt;&gt;"Despesa"),"",IF(COUNTIF(Cartoes_Nome,$F1250)=0,"",DATE(P1250,O1250+IF(DAY($A1250)&gt;=INDEX(Cartoes_Fech,MATCH($F1250,Cartoes_Nome,0)),1,0),1)))</f>
        <v/>
      </c>
      <c r="T1250" s="42" t="str">
        <f>IF($A1250="","",IF(COUNTIFS(L_Data,$A1250,L_Desc,$B1250,L_Valor,$N1250,L_Tipo,$C1250)&gt;1,"⚠ Possível duplicidade",IF(OR(AND($C1250="Despesa",COUNTIF(CatD_Nome,$D1250)=0),AND($C1250="Receita",COUNTIF(CatR_Nome,$D1250)=0)),"⚠ Categoria não combina com o tipo",IF(OR($N1250="",$C1250=""),"⚠ Falta valor ou tipo",""))))</f>
        <v/>
      </c>
      <c r="U1250" s="40">
        <f>IF($A1250="",0,P1250*12+O1250)</f>
        <v>0</v>
      </c>
      <c r="V1250" s="40">
        <f>IF($A1250="",0,U1250+MAX(0,N($I1250)-MAX(N($H1250),1)))</f>
        <v>0</v>
      </c>
      <c r="W1250" s="40">
        <f>IF(S1250="",0,YEAR(S1250)*12+MONTH(S1250))</f>
        <v>0</v>
      </c>
      <c r="X1250" s="40">
        <f>IF(W1250=0,0,W1250+V1250-U1250)</f>
        <v>0</v>
      </c>
      <c r="Y1250" s="36">
        <f>IF(W1250=0,0,N(R1250)*MAX(0,X1250-MAX(W1250,YEAR(Cfg_Hoje)*12+MONTH(Cfg_Hoje)+IF(DAY(Cfg_Hoje)&gt;=INDEX(Cartoes_Fech,MATCH($F1250,Cartoes_Nome,0)),1,0))+1))</f>
        <v>0</v>
      </c>
      <c r="Z1250" s="40">
        <f>IF($A1250="",0,DAY($A1250))</f>
        <v>0</v>
      </c>
      <c r="AA1250" s="40">
        <f>IF($A1250="",0,WEEKDAY($A1250))</f>
        <v>0</v>
      </c>
      <c r="AB1250" s="36">
        <f>IF(AND($C1250="Despesa",U1250&gt;0,U1250&lt;=Sel_Idx,V1250&gt;=Sel_Idx),N(R1250)+ROW()/1000000000,0)</f>
        <v>0</v>
      </c>
      <c r="AC1250" s="40">
        <f>IF(AND($C1250="Despesa",U1250&gt;0,U1250&lt;=Sel_Idx,V1250&gt;=Sel_Idx),Z1250*10000+ROW(),0)</f>
        <v>0</v>
      </c>
      <c r="AD1250" s="40">
        <f>IF(AC1250=0,0,COUNTIFS(L_CalChave,"&gt;0",L_CalChave,"&lt;"&amp;AC1250)+1)</f>
        <v>0</v>
      </c>
    </row>
    <row r="1251">
      <c r="A1251" s="38" t="n"/>
      <c r="B1251" s="39" t="n"/>
      <c r="C1251" s="34" t="n"/>
      <c r="D1251" s="34" t="n"/>
      <c r="E1251" s="34" t="n"/>
      <c r="F1251" s="34" t="n"/>
      <c r="G1251" s="34" t="n"/>
      <c r="H1251" s="37" t="n"/>
      <c r="I1251" s="37" t="n"/>
      <c r="J1251" s="34" t="n"/>
      <c r="K1251" s="34" t="n"/>
      <c r="L1251" s="34" t="n"/>
      <c r="M1251" s="39" t="n"/>
      <c r="N1251" s="35" t="n"/>
      <c r="O1251" s="40" t="str">
        <f>IF($A1251="","",MONTH($A1251))</f>
        <v/>
      </c>
      <c r="P1251" s="40" t="str">
        <f>IF($A1251="","",YEAR($A1251))</f>
        <v/>
      </c>
      <c r="Q1251" s="41" t="str">
        <f>IF($A1251="","",DATE(P1251,O1251,1))</f>
        <v/>
      </c>
      <c r="R1251" s="36" t="str">
        <f>IF(OR($A1251="",$N1251=""),"",IF(AND($C1251&lt;&gt;"Transferência",N($I1251)&gt;1),$N1251/$I1251,$N1251))</f>
        <v/>
      </c>
      <c r="S1251" s="41" t="str">
        <f>IF(OR($A1251="",$F1251="",$C1251&lt;&gt;"Despesa"),"",IF(COUNTIF(Cartoes_Nome,$F1251)=0,"",DATE(P1251,O1251+IF(DAY($A1251)&gt;=INDEX(Cartoes_Fech,MATCH($F1251,Cartoes_Nome,0)),1,0),1)))</f>
        <v/>
      </c>
      <c r="T1251" s="42" t="str">
        <f>IF($A1251="","",IF(COUNTIFS(L_Data,$A1251,L_Desc,$B1251,L_Valor,$N1251,L_Tipo,$C1251)&gt;1,"⚠ Possível duplicidade",IF(OR(AND($C1251="Despesa",COUNTIF(CatD_Nome,$D1251)=0),AND($C1251="Receita",COUNTIF(CatR_Nome,$D1251)=0)),"⚠ Categoria não combina com o tipo",IF(OR($N1251="",$C1251=""),"⚠ Falta valor ou tipo",""))))</f>
        <v/>
      </c>
      <c r="U1251" s="40">
        <f>IF($A1251="",0,P1251*12+O1251)</f>
        <v>0</v>
      </c>
      <c r="V1251" s="40">
        <f>IF($A1251="",0,U1251+MAX(0,N($I1251)-MAX(N($H1251),1)))</f>
        <v>0</v>
      </c>
      <c r="W1251" s="40">
        <f>IF(S1251="",0,YEAR(S1251)*12+MONTH(S1251))</f>
        <v>0</v>
      </c>
      <c r="X1251" s="40">
        <f>IF(W1251=0,0,W1251+V1251-U1251)</f>
        <v>0</v>
      </c>
      <c r="Y1251" s="36">
        <f>IF(W1251=0,0,N(R1251)*MAX(0,X1251-MAX(W1251,YEAR(Cfg_Hoje)*12+MONTH(Cfg_Hoje)+IF(DAY(Cfg_Hoje)&gt;=INDEX(Cartoes_Fech,MATCH($F1251,Cartoes_Nome,0)),1,0))+1))</f>
        <v>0</v>
      </c>
      <c r="Z1251" s="40">
        <f>IF($A1251="",0,DAY($A1251))</f>
        <v>0</v>
      </c>
      <c r="AA1251" s="40">
        <f>IF($A1251="",0,WEEKDAY($A1251))</f>
        <v>0</v>
      </c>
      <c r="AB1251" s="36">
        <f>IF(AND($C1251="Despesa",U1251&gt;0,U1251&lt;=Sel_Idx,V1251&gt;=Sel_Idx),N(R1251)+ROW()/1000000000,0)</f>
        <v>0</v>
      </c>
      <c r="AC1251" s="40">
        <f>IF(AND($C1251="Despesa",U1251&gt;0,U1251&lt;=Sel_Idx,V1251&gt;=Sel_Idx),Z1251*10000+ROW(),0)</f>
        <v>0</v>
      </c>
      <c r="AD1251" s="40">
        <f>IF(AC1251=0,0,COUNTIFS(L_CalChave,"&gt;0",L_CalChave,"&lt;"&amp;AC1251)+1)</f>
        <v>0</v>
      </c>
    </row>
    <row r="1252">
      <c r="A1252" s="38" t="n"/>
      <c r="B1252" s="39" t="n"/>
      <c r="C1252" s="34" t="n"/>
      <c r="D1252" s="34" t="n"/>
      <c r="E1252" s="34" t="n"/>
      <c r="F1252" s="34" t="n"/>
      <c r="G1252" s="34" t="n"/>
      <c r="H1252" s="37" t="n"/>
      <c r="I1252" s="37" t="n"/>
      <c r="J1252" s="34" t="n"/>
      <c r="K1252" s="34" t="n"/>
      <c r="L1252" s="34" t="n"/>
      <c r="M1252" s="39" t="n"/>
      <c r="N1252" s="35" t="n"/>
      <c r="O1252" s="40" t="str">
        <f>IF($A1252="","",MONTH($A1252))</f>
        <v/>
      </c>
      <c r="P1252" s="40" t="str">
        <f>IF($A1252="","",YEAR($A1252))</f>
        <v/>
      </c>
      <c r="Q1252" s="41" t="str">
        <f>IF($A1252="","",DATE(P1252,O1252,1))</f>
        <v/>
      </c>
      <c r="R1252" s="36" t="str">
        <f>IF(OR($A1252="",$N1252=""),"",IF(AND($C1252&lt;&gt;"Transferência",N($I1252)&gt;1),$N1252/$I1252,$N1252))</f>
        <v/>
      </c>
      <c r="S1252" s="41" t="str">
        <f>IF(OR($A1252="",$F1252="",$C1252&lt;&gt;"Despesa"),"",IF(COUNTIF(Cartoes_Nome,$F1252)=0,"",DATE(P1252,O1252+IF(DAY($A1252)&gt;=INDEX(Cartoes_Fech,MATCH($F1252,Cartoes_Nome,0)),1,0),1)))</f>
        <v/>
      </c>
      <c r="T1252" s="42" t="str">
        <f>IF($A1252="","",IF(COUNTIFS(L_Data,$A1252,L_Desc,$B1252,L_Valor,$N1252,L_Tipo,$C1252)&gt;1,"⚠ Possível duplicidade",IF(OR(AND($C1252="Despesa",COUNTIF(CatD_Nome,$D1252)=0),AND($C1252="Receita",COUNTIF(CatR_Nome,$D1252)=0)),"⚠ Categoria não combina com o tipo",IF(OR($N1252="",$C1252=""),"⚠ Falta valor ou tipo",""))))</f>
        <v/>
      </c>
      <c r="U1252" s="40">
        <f>IF($A1252="",0,P1252*12+O1252)</f>
        <v>0</v>
      </c>
      <c r="V1252" s="40">
        <f>IF($A1252="",0,U1252+MAX(0,N($I1252)-MAX(N($H1252),1)))</f>
        <v>0</v>
      </c>
      <c r="W1252" s="40">
        <f>IF(S1252="",0,YEAR(S1252)*12+MONTH(S1252))</f>
        <v>0</v>
      </c>
      <c r="X1252" s="40">
        <f>IF(W1252=0,0,W1252+V1252-U1252)</f>
        <v>0</v>
      </c>
      <c r="Y1252" s="36">
        <f>IF(W1252=0,0,N(R1252)*MAX(0,X1252-MAX(W1252,YEAR(Cfg_Hoje)*12+MONTH(Cfg_Hoje)+IF(DAY(Cfg_Hoje)&gt;=INDEX(Cartoes_Fech,MATCH($F1252,Cartoes_Nome,0)),1,0))+1))</f>
        <v>0</v>
      </c>
      <c r="Z1252" s="40">
        <f>IF($A1252="",0,DAY($A1252))</f>
        <v>0</v>
      </c>
      <c r="AA1252" s="40">
        <f>IF($A1252="",0,WEEKDAY($A1252))</f>
        <v>0</v>
      </c>
      <c r="AB1252" s="36">
        <f>IF(AND($C1252="Despesa",U1252&gt;0,U1252&lt;=Sel_Idx,V1252&gt;=Sel_Idx),N(R1252)+ROW()/1000000000,0)</f>
        <v>0</v>
      </c>
      <c r="AC1252" s="40">
        <f>IF(AND($C1252="Despesa",U1252&gt;0,U1252&lt;=Sel_Idx,V1252&gt;=Sel_Idx),Z1252*10000+ROW(),0)</f>
        <v>0</v>
      </c>
      <c r="AD1252" s="40">
        <f>IF(AC1252=0,0,COUNTIFS(L_CalChave,"&gt;0",L_CalChave,"&lt;"&amp;AC1252)+1)</f>
        <v>0</v>
      </c>
    </row>
    <row r="1253">
      <c r="A1253" s="38" t="n"/>
      <c r="B1253" s="39" t="n"/>
      <c r="C1253" s="34" t="n"/>
      <c r="D1253" s="34" t="n"/>
      <c r="E1253" s="34" t="n"/>
      <c r="F1253" s="34" t="n"/>
      <c r="G1253" s="34" t="n"/>
      <c r="H1253" s="37" t="n"/>
      <c r="I1253" s="37" t="n"/>
      <c r="J1253" s="34" t="n"/>
      <c r="K1253" s="34" t="n"/>
      <c r="L1253" s="34" t="n"/>
      <c r="M1253" s="39" t="n"/>
      <c r="N1253" s="35" t="n"/>
      <c r="O1253" s="40" t="str">
        <f>IF($A1253="","",MONTH($A1253))</f>
        <v/>
      </c>
      <c r="P1253" s="40" t="str">
        <f>IF($A1253="","",YEAR($A1253))</f>
        <v/>
      </c>
      <c r="Q1253" s="41" t="str">
        <f>IF($A1253="","",DATE(P1253,O1253,1))</f>
        <v/>
      </c>
      <c r="R1253" s="36" t="str">
        <f>IF(OR($A1253="",$N1253=""),"",IF(AND($C1253&lt;&gt;"Transferência",N($I1253)&gt;1),$N1253/$I1253,$N1253))</f>
        <v/>
      </c>
      <c r="S1253" s="41" t="str">
        <f>IF(OR($A1253="",$F1253="",$C1253&lt;&gt;"Despesa"),"",IF(COUNTIF(Cartoes_Nome,$F1253)=0,"",DATE(P1253,O1253+IF(DAY($A1253)&gt;=INDEX(Cartoes_Fech,MATCH($F1253,Cartoes_Nome,0)),1,0),1)))</f>
        <v/>
      </c>
      <c r="T1253" s="42" t="str">
        <f>IF($A1253="","",IF(COUNTIFS(L_Data,$A1253,L_Desc,$B1253,L_Valor,$N1253,L_Tipo,$C1253)&gt;1,"⚠ Possível duplicidade",IF(OR(AND($C1253="Despesa",COUNTIF(CatD_Nome,$D1253)=0),AND($C1253="Receita",COUNTIF(CatR_Nome,$D1253)=0)),"⚠ Categoria não combina com o tipo",IF(OR($N1253="",$C1253=""),"⚠ Falta valor ou tipo",""))))</f>
        <v/>
      </c>
      <c r="U1253" s="40">
        <f>IF($A1253="",0,P1253*12+O1253)</f>
        <v>0</v>
      </c>
      <c r="V1253" s="40">
        <f>IF($A1253="",0,U1253+MAX(0,N($I1253)-MAX(N($H1253),1)))</f>
        <v>0</v>
      </c>
      <c r="W1253" s="40">
        <f>IF(S1253="",0,YEAR(S1253)*12+MONTH(S1253))</f>
        <v>0</v>
      </c>
      <c r="X1253" s="40">
        <f>IF(W1253=0,0,W1253+V1253-U1253)</f>
        <v>0</v>
      </c>
      <c r="Y1253" s="36">
        <f>IF(W1253=0,0,N(R1253)*MAX(0,X1253-MAX(W1253,YEAR(Cfg_Hoje)*12+MONTH(Cfg_Hoje)+IF(DAY(Cfg_Hoje)&gt;=INDEX(Cartoes_Fech,MATCH($F1253,Cartoes_Nome,0)),1,0))+1))</f>
        <v>0</v>
      </c>
      <c r="Z1253" s="40">
        <f>IF($A1253="",0,DAY($A1253))</f>
        <v>0</v>
      </c>
      <c r="AA1253" s="40">
        <f>IF($A1253="",0,WEEKDAY($A1253))</f>
        <v>0</v>
      </c>
      <c r="AB1253" s="36">
        <f>IF(AND($C1253="Despesa",U1253&gt;0,U1253&lt;=Sel_Idx,V1253&gt;=Sel_Idx),N(R1253)+ROW()/1000000000,0)</f>
        <v>0</v>
      </c>
      <c r="AC1253" s="40">
        <f>IF(AND($C1253="Despesa",U1253&gt;0,U1253&lt;=Sel_Idx,V1253&gt;=Sel_Idx),Z1253*10000+ROW(),0)</f>
        <v>0</v>
      </c>
      <c r="AD1253" s="40">
        <f>IF(AC1253=0,0,COUNTIFS(L_CalChave,"&gt;0",L_CalChave,"&lt;"&amp;AC1253)+1)</f>
        <v>0</v>
      </c>
    </row>
    <row r="1254">
      <c r="A1254" s="38" t="n"/>
      <c r="B1254" s="39" t="n"/>
      <c r="C1254" s="34" t="n"/>
      <c r="D1254" s="34" t="n"/>
      <c r="E1254" s="34" t="n"/>
      <c r="F1254" s="34" t="n"/>
      <c r="G1254" s="34" t="n"/>
      <c r="H1254" s="37" t="n"/>
      <c r="I1254" s="37" t="n"/>
      <c r="J1254" s="34" t="n"/>
      <c r="K1254" s="34" t="n"/>
      <c r="L1254" s="34" t="n"/>
      <c r="M1254" s="39" t="n"/>
      <c r="N1254" s="35" t="n"/>
      <c r="O1254" s="40" t="str">
        <f>IF($A1254="","",MONTH($A1254))</f>
        <v/>
      </c>
      <c r="P1254" s="40" t="str">
        <f>IF($A1254="","",YEAR($A1254))</f>
        <v/>
      </c>
      <c r="Q1254" s="41" t="str">
        <f>IF($A1254="","",DATE(P1254,O1254,1))</f>
        <v/>
      </c>
      <c r="R1254" s="36" t="str">
        <f>IF(OR($A1254="",$N1254=""),"",IF(AND($C1254&lt;&gt;"Transferência",N($I1254)&gt;1),$N1254/$I1254,$N1254))</f>
        <v/>
      </c>
      <c r="S1254" s="41" t="str">
        <f>IF(OR($A1254="",$F1254="",$C1254&lt;&gt;"Despesa"),"",IF(COUNTIF(Cartoes_Nome,$F1254)=0,"",DATE(P1254,O1254+IF(DAY($A1254)&gt;=INDEX(Cartoes_Fech,MATCH($F1254,Cartoes_Nome,0)),1,0),1)))</f>
        <v/>
      </c>
      <c r="T1254" s="42" t="str">
        <f>IF($A1254="","",IF(COUNTIFS(L_Data,$A1254,L_Desc,$B1254,L_Valor,$N1254,L_Tipo,$C1254)&gt;1,"⚠ Possível duplicidade",IF(OR(AND($C1254="Despesa",COUNTIF(CatD_Nome,$D1254)=0),AND($C1254="Receita",COUNTIF(CatR_Nome,$D1254)=0)),"⚠ Categoria não combina com o tipo",IF(OR($N1254="",$C1254=""),"⚠ Falta valor ou tipo",""))))</f>
        <v/>
      </c>
      <c r="U1254" s="40">
        <f>IF($A1254="",0,P1254*12+O1254)</f>
        <v>0</v>
      </c>
      <c r="V1254" s="40">
        <f>IF($A1254="",0,U1254+MAX(0,N($I1254)-MAX(N($H1254),1)))</f>
        <v>0</v>
      </c>
      <c r="W1254" s="40">
        <f>IF(S1254="",0,YEAR(S1254)*12+MONTH(S1254))</f>
        <v>0</v>
      </c>
      <c r="X1254" s="40">
        <f>IF(W1254=0,0,W1254+V1254-U1254)</f>
        <v>0</v>
      </c>
      <c r="Y1254" s="36">
        <f>IF(W1254=0,0,N(R1254)*MAX(0,X1254-MAX(W1254,YEAR(Cfg_Hoje)*12+MONTH(Cfg_Hoje)+IF(DAY(Cfg_Hoje)&gt;=INDEX(Cartoes_Fech,MATCH($F1254,Cartoes_Nome,0)),1,0))+1))</f>
        <v>0</v>
      </c>
      <c r="Z1254" s="40">
        <f>IF($A1254="",0,DAY($A1254))</f>
        <v>0</v>
      </c>
      <c r="AA1254" s="40">
        <f>IF($A1254="",0,WEEKDAY($A1254))</f>
        <v>0</v>
      </c>
      <c r="AB1254" s="36">
        <f>IF(AND($C1254="Despesa",U1254&gt;0,U1254&lt;=Sel_Idx,V1254&gt;=Sel_Idx),N(R1254)+ROW()/1000000000,0)</f>
        <v>0</v>
      </c>
      <c r="AC1254" s="40">
        <f>IF(AND($C1254="Despesa",U1254&gt;0,U1254&lt;=Sel_Idx,V1254&gt;=Sel_Idx),Z1254*10000+ROW(),0)</f>
        <v>0</v>
      </c>
      <c r="AD1254" s="40">
        <f>IF(AC1254=0,0,COUNTIFS(L_CalChave,"&gt;0",L_CalChave,"&lt;"&amp;AC1254)+1)</f>
        <v>0</v>
      </c>
    </row>
    <row r="1255">
      <c r="A1255" s="38" t="n"/>
      <c r="B1255" s="39" t="n"/>
      <c r="C1255" s="34" t="n"/>
      <c r="D1255" s="34" t="n"/>
      <c r="E1255" s="34" t="n"/>
      <c r="F1255" s="34" t="n"/>
      <c r="G1255" s="34" t="n"/>
      <c r="H1255" s="37" t="n"/>
      <c r="I1255" s="37" t="n"/>
      <c r="J1255" s="34" t="n"/>
      <c r="K1255" s="34" t="n"/>
      <c r="L1255" s="34" t="n"/>
      <c r="M1255" s="39" t="n"/>
      <c r="N1255" s="35" t="n"/>
      <c r="O1255" s="40" t="str">
        <f>IF($A1255="","",MONTH($A1255))</f>
        <v/>
      </c>
      <c r="P1255" s="40" t="str">
        <f>IF($A1255="","",YEAR($A1255))</f>
        <v/>
      </c>
      <c r="Q1255" s="41" t="str">
        <f>IF($A1255="","",DATE(P1255,O1255,1))</f>
        <v/>
      </c>
      <c r="R1255" s="36" t="str">
        <f>IF(OR($A1255="",$N1255=""),"",IF(AND($C1255&lt;&gt;"Transferência",N($I1255)&gt;1),$N1255/$I1255,$N1255))</f>
        <v/>
      </c>
      <c r="S1255" s="41" t="str">
        <f>IF(OR($A1255="",$F1255="",$C1255&lt;&gt;"Despesa"),"",IF(COUNTIF(Cartoes_Nome,$F1255)=0,"",DATE(P1255,O1255+IF(DAY($A1255)&gt;=INDEX(Cartoes_Fech,MATCH($F1255,Cartoes_Nome,0)),1,0),1)))</f>
        <v/>
      </c>
      <c r="T1255" s="42" t="str">
        <f>IF($A1255="","",IF(COUNTIFS(L_Data,$A1255,L_Desc,$B1255,L_Valor,$N1255,L_Tipo,$C1255)&gt;1,"⚠ Possível duplicidade",IF(OR(AND($C1255="Despesa",COUNTIF(CatD_Nome,$D1255)=0),AND($C1255="Receita",COUNTIF(CatR_Nome,$D1255)=0)),"⚠ Categoria não combina com o tipo",IF(OR($N1255="",$C1255=""),"⚠ Falta valor ou tipo",""))))</f>
        <v/>
      </c>
      <c r="U1255" s="40">
        <f>IF($A1255="",0,P1255*12+O1255)</f>
        <v>0</v>
      </c>
      <c r="V1255" s="40">
        <f>IF($A1255="",0,U1255+MAX(0,N($I1255)-MAX(N($H1255),1)))</f>
        <v>0</v>
      </c>
      <c r="W1255" s="40">
        <f>IF(S1255="",0,YEAR(S1255)*12+MONTH(S1255))</f>
        <v>0</v>
      </c>
      <c r="X1255" s="40">
        <f>IF(W1255=0,0,W1255+V1255-U1255)</f>
        <v>0</v>
      </c>
      <c r="Y1255" s="36">
        <f>IF(W1255=0,0,N(R1255)*MAX(0,X1255-MAX(W1255,YEAR(Cfg_Hoje)*12+MONTH(Cfg_Hoje)+IF(DAY(Cfg_Hoje)&gt;=INDEX(Cartoes_Fech,MATCH($F1255,Cartoes_Nome,0)),1,0))+1))</f>
        <v>0</v>
      </c>
      <c r="Z1255" s="40">
        <f>IF($A1255="",0,DAY($A1255))</f>
        <v>0</v>
      </c>
      <c r="AA1255" s="40">
        <f>IF($A1255="",0,WEEKDAY($A1255))</f>
        <v>0</v>
      </c>
      <c r="AB1255" s="36">
        <f>IF(AND($C1255="Despesa",U1255&gt;0,U1255&lt;=Sel_Idx,V1255&gt;=Sel_Idx),N(R1255)+ROW()/1000000000,0)</f>
        <v>0</v>
      </c>
      <c r="AC1255" s="40">
        <f>IF(AND($C1255="Despesa",U1255&gt;0,U1255&lt;=Sel_Idx,V1255&gt;=Sel_Idx),Z1255*10000+ROW(),0)</f>
        <v>0</v>
      </c>
      <c r="AD1255" s="40">
        <f>IF(AC1255=0,0,COUNTIFS(L_CalChave,"&gt;0",L_CalChave,"&lt;"&amp;AC1255)+1)</f>
        <v>0</v>
      </c>
    </row>
    <row r="1256">
      <c r="A1256" s="38" t="n"/>
      <c r="B1256" s="39" t="n"/>
      <c r="C1256" s="34" t="n"/>
      <c r="D1256" s="34" t="n"/>
      <c r="E1256" s="34" t="n"/>
      <c r="F1256" s="34" t="n"/>
      <c r="G1256" s="34" t="n"/>
      <c r="H1256" s="37" t="n"/>
      <c r="I1256" s="37" t="n"/>
      <c r="J1256" s="34" t="n"/>
      <c r="K1256" s="34" t="n"/>
      <c r="L1256" s="34" t="n"/>
      <c r="M1256" s="39" t="n"/>
      <c r="N1256" s="35" t="n"/>
      <c r="O1256" s="40" t="str">
        <f>IF($A1256="","",MONTH($A1256))</f>
        <v/>
      </c>
      <c r="P1256" s="40" t="str">
        <f>IF($A1256="","",YEAR($A1256))</f>
        <v/>
      </c>
      <c r="Q1256" s="41" t="str">
        <f>IF($A1256="","",DATE(P1256,O1256,1))</f>
        <v/>
      </c>
      <c r="R1256" s="36" t="str">
        <f>IF(OR($A1256="",$N1256=""),"",IF(AND($C1256&lt;&gt;"Transferência",N($I1256)&gt;1),$N1256/$I1256,$N1256))</f>
        <v/>
      </c>
      <c r="S1256" s="41" t="str">
        <f>IF(OR($A1256="",$F1256="",$C1256&lt;&gt;"Despesa"),"",IF(COUNTIF(Cartoes_Nome,$F1256)=0,"",DATE(P1256,O1256+IF(DAY($A1256)&gt;=INDEX(Cartoes_Fech,MATCH($F1256,Cartoes_Nome,0)),1,0),1)))</f>
        <v/>
      </c>
      <c r="T1256" s="42" t="str">
        <f>IF($A1256="","",IF(COUNTIFS(L_Data,$A1256,L_Desc,$B1256,L_Valor,$N1256,L_Tipo,$C1256)&gt;1,"⚠ Possível duplicidade",IF(OR(AND($C1256="Despesa",COUNTIF(CatD_Nome,$D1256)=0),AND($C1256="Receita",COUNTIF(CatR_Nome,$D1256)=0)),"⚠ Categoria não combina com o tipo",IF(OR($N1256="",$C1256=""),"⚠ Falta valor ou tipo",""))))</f>
        <v/>
      </c>
      <c r="U1256" s="40">
        <f>IF($A1256="",0,P1256*12+O1256)</f>
        <v>0</v>
      </c>
      <c r="V1256" s="40">
        <f>IF($A1256="",0,U1256+MAX(0,N($I1256)-MAX(N($H1256),1)))</f>
        <v>0</v>
      </c>
      <c r="W1256" s="40">
        <f>IF(S1256="",0,YEAR(S1256)*12+MONTH(S1256))</f>
        <v>0</v>
      </c>
      <c r="X1256" s="40">
        <f>IF(W1256=0,0,W1256+V1256-U1256)</f>
        <v>0</v>
      </c>
      <c r="Y1256" s="36">
        <f>IF(W1256=0,0,N(R1256)*MAX(0,X1256-MAX(W1256,YEAR(Cfg_Hoje)*12+MONTH(Cfg_Hoje)+IF(DAY(Cfg_Hoje)&gt;=INDEX(Cartoes_Fech,MATCH($F1256,Cartoes_Nome,0)),1,0))+1))</f>
        <v>0</v>
      </c>
      <c r="Z1256" s="40">
        <f>IF($A1256="",0,DAY($A1256))</f>
        <v>0</v>
      </c>
      <c r="AA1256" s="40">
        <f>IF($A1256="",0,WEEKDAY($A1256))</f>
        <v>0</v>
      </c>
      <c r="AB1256" s="36">
        <f>IF(AND($C1256="Despesa",U1256&gt;0,U1256&lt;=Sel_Idx,V1256&gt;=Sel_Idx),N(R1256)+ROW()/1000000000,0)</f>
        <v>0</v>
      </c>
      <c r="AC1256" s="40">
        <f>IF(AND($C1256="Despesa",U1256&gt;0,U1256&lt;=Sel_Idx,V1256&gt;=Sel_Idx),Z1256*10000+ROW(),0)</f>
        <v>0</v>
      </c>
      <c r="AD1256" s="40">
        <f>IF(AC1256=0,0,COUNTIFS(L_CalChave,"&gt;0",L_CalChave,"&lt;"&amp;AC1256)+1)</f>
        <v>0</v>
      </c>
    </row>
    <row r="1257">
      <c r="A1257" s="38" t="n"/>
      <c r="B1257" s="39" t="n"/>
      <c r="C1257" s="34" t="n"/>
      <c r="D1257" s="34" t="n"/>
      <c r="E1257" s="34" t="n"/>
      <c r="F1257" s="34" t="n"/>
      <c r="G1257" s="34" t="n"/>
      <c r="H1257" s="37" t="n"/>
      <c r="I1257" s="37" t="n"/>
      <c r="J1257" s="34" t="n"/>
      <c r="K1257" s="34" t="n"/>
      <c r="L1257" s="34" t="n"/>
      <c r="M1257" s="39" t="n"/>
      <c r="N1257" s="35" t="n"/>
      <c r="O1257" s="40" t="str">
        <f>IF($A1257="","",MONTH($A1257))</f>
        <v/>
      </c>
      <c r="P1257" s="40" t="str">
        <f>IF($A1257="","",YEAR($A1257))</f>
        <v/>
      </c>
      <c r="Q1257" s="41" t="str">
        <f>IF($A1257="","",DATE(P1257,O1257,1))</f>
        <v/>
      </c>
      <c r="R1257" s="36" t="str">
        <f>IF(OR($A1257="",$N1257=""),"",IF(AND($C1257&lt;&gt;"Transferência",N($I1257)&gt;1),$N1257/$I1257,$N1257))</f>
        <v/>
      </c>
      <c r="S1257" s="41" t="str">
        <f>IF(OR($A1257="",$F1257="",$C1257&lt;&gt;"Despesa"),"",IF(COUNTIF(Cartoes_Nome,$F1257)=0,"",DATE(P1257,O1257+IF(DAY($A1257)&gt;=INDEX(Cartoes_Fech,MATCH($F1257,Cartoes_Nome,0)),1,0),1)))</f>
        <v/>
      </c>
      <c r="T1257" s="42" t="str">
        <f>IF($A1257="","",IF(COUNTIFS(L_Data,$A1257,L_Desc,$B1257,L_Valor,$N1257,L_Tipo,$C1257)&gt;1,"⚠ Possível duplicidade",IF(OR(AND($C1257="Despesa",COUNTIF(CatD_Nome,$D1257)=0),AND($C1257="Receita",COUNTIF(CatR_Nome,$D1257)=0)),"⚠ Categoria não combina com o tipo",IF(OR($N1257="",$C1257=""),"⚠ Falta valor ou tipo",""))))</f>
        <v/>
      </c>
      <c r="U1257" s="40">
        <f>IF($A1257="",0,P1257*12+O1257)</f>
        <v>0</v>
      </c>
      <c r="V1257" s="40">
        <f>IF($A1257="",0,U1257+MAX(0,N($I1257)-MAX(N($H1257),1)))</f>
        <v>0</v>
      </c>
      <c r="W1257" s="40">
        <f>IF(S1257="",0,YEAR(S1257)*12+MONTH(S1257))</f>
        <v>0</v>
      </c>
      <c r="X1257" s="40">
        <f>IF(W1257=0,0,W1257+V1257-U1257)</f>
        <v>0</v>
      </c>
      <c r="Y1257" s="36">
        <f>IF(W1257=0,0,N(R1257)*MAX(0,X1257-MAX(W1257,YEAR(Cfg_Hoje)*12+MONTH(Cfg_Hoje)+IF(DAY(Cfg_Hoje)&gt;=INDEX(Cartoes_Fech,MATCH($F1257,Cartoes_Nome,0)),1,0))+1))</f>
        <v>0</v>
      </c>
      <c r="Z1257" s="40">
        <f>IF($A1257="",0,DAY($A1257))</f>
        <v>0</v>
      </c>
      <c r="AA1257" s="40">
        <f>IF($A1257="",0,WEEKDAY($A1257))</f>
        <v>0</v>
      </c>
      <c r="AB1257" s="36">
        <f>IF(AND($C1257="Despesa",U1257&gt;0,U1257&lt;=Sel_Idx,V1257&gt;=Sel_Idx),N(R1257)+ROW()/1000000000,0)</f>
        <v>0</v>
      </c>
      <c r="AC1257" s="40">
        <f>IF(AND($C1257="Despesa",U1257&gt;0,U1257&lt;=Sel_Idx,V1257&gt;=Sel_Idx),Z1257*10000+ROW(),0)</f>
        <v>0</v>
      </c>
      <c r="AD1257" s="40">
        <f>IF(AC1257=0,0,COUNTIFS(L_CalChave,"&gt;0",L_CalChave,"&lt;"&amp;AC1257)+1)</f>
        <v>0</v>
      </c>
    </row>
    <row r="1258">
      <c r="A1258" s="38" t="n"/>
      <c r="B1258" s="39" t="n"/>
      <c r="C1258" s="34" t="n"/>
      <c r="D1258" s="34" t="n"/>
      <c r="E1258" s="34" t="n"/>
      <c r="F1258" s="34" t="n"/>
      <c r="G1258" s="34" t="n"/>
      <c r="H1258" s="37" t="n"/>
      <c r="I1258" s="37" t="n"/>
      <c r="J1258" s="34" t="n"/>
      <c r="K1258" s="34" t="n"/>
      <c r="L1258" s="34" t="n"/>
      <c r="M1258" s="39" t="n"/>
      <c r="N1258" s="35" t="n"/>
      <c r="O1258" s="40" t="str">
        <f>IF($A1258="","",MONTH($A1258))</f>
        <v/>
      </c>
      <c r="P1258" s="40" t="str">
        <f>IF($A1258="","",YEAR($A1258))</f>
        <v/>
      </c>
      <c r="Q1258" s="41" t="str">
        <f>IF($A1258="","",DATE(P1258,O1258,1))</f>
        <v/>
      </c>
      <c r="R1258" s="36" t="str">
        <f>IF(OR($A1258="",$N1258=""),"",IF(AND($C1258&lt;&gt;"Transferência",N($I1258)&gt;1),$N1258/$I1258,$N1258))</f>
        <v/>
      </c>
      <c r="S1258" s="41" t="str">
        <f>IF(OR($A1258="",$F1258="",$C1258&lt;&gt;"Despesa"),"",IF(COUNTIF(Cartoes_Nome,$F1258)=0,"",DATE(P1258,O1258+IF(DAY($A1258)&gt;=INDEX(Cartoes_Fech,MATCH($F1258,Cartoes_Nome,0)),1,0),1)))</f>
        <v/>
      </c>
      <c r="T1258" s="42" t="str">
        <f>IF($A1258="","",IF(COUNTIFS(L_Data,$A1258,L_Desc,$B1258,L_Valor,$N1258,L_Tipo,$C1258)&gt;1,"⚠ Possível duplicidade",IF(OR(AND($C1258="Despesa",COUNTIF(CatD_Nome,$D1258)=0),AND($C1258="Receita",COUNTIF(CatR_Nome,$D1258)=0)),"⚠ Categoria não combina com o tipo",IF(OR($N1258="",$C1258=""),"⚠ Falta valor ou tipo",""))))</f>
        <v/>
      </c>
      <c r="U1258" s="40">
        <f>IF($A1258="",0,P1258*12+O1258)</f>
        <v>0</v>
      </c>
      <c r="V1258" s="40">
        <f>IF($A1258="",0,U1258+MAX(0,N($I1258)-MAX(N($H1258),1)))</f>
        <v>0</v>
      </c>
      <c r="W1258" s="40">
        <f>IF(S1258="",0,YEAR(S1258)*12+MONTH(S1258))</f>
        <v>0</v>
      </c>
      <c r="X1258" s="40">
        <f>IF(W1258=0,0,W1258+V1258-U1258)</f>
        <v>0</v>
      </c>
      <c r="Y1258" s="36">
        <f>IF(W1258=0,0,N(R1258)*MAX(0,X1258-MAX(W1258,YEAR(Cfg_Hoje)*12+MONTH(Cfg_Hoje)+IF(DAY(Cfg_Hoje)&gt;=INDEX(Cartoes_Fech,MATCH($F1258,Cartoes_Nome,0)),1,0))+1))</f>
        <v>0</v>
      </c>
      <c r="Z1258" s="40">
        <f>IF($A1258="",0,DAY($A1258))</f>
        <v>0</v>
      </c>
      <c r="AA1258" s="40">
        <f>IF($A1258="",0,WEEKDAY($A1258))</f>
        <v>0</v>
      </c>
      <c r="AB1258" s="36">
        <f>IF(AND($C1258="Despesa",U1258&gt;0,U1258&lt;=Sel_Idx,V1258&gt;=Sel_Idx),N(R1258)+ROW()/1000000000,0)</f>
        <v>0</v>
      </c>
      <c r="AC1258" s="40">
        <f>IF(AND($C1258="Despesa",U1258&gt;0,U1258&lt;=Sel_Idx,V1258&gt;=Sel_Idx),Z1258*10000+ROW(),0)</f>
        <v>0</v>
      </c>
      <c r="AD1258" s="40">
        <f>IF(AC1258=0,0,COUNTIFS(L_CalChave,"&gt;0",L_CalChave,"&lt;"&amp;AC1258)+1)</f>
        <v>0</v>
      </c>
    </row>
    <row r="1259">
      <c r="A1259" s="38" t="n"/>
      <c r="B1259" s="39" t="n"/>
      <c r="C1259" s="34" t="n"/>
      <c r="D1259" s="34" t="n"/>
      <c r="E1259" s="34" t="n"/>
      <c r="F1259" s="34" t="n"/>
      <c r="G1259" s="34" t="n"/>
      <c r="H1259" s="37" t="n"/>
      <c r="I1259" s="37" t="n"/>
      <c r="J1259" s="34" t="n"/>
      <c r="K1259" s="34" t="n"/>
      <c r="L1259" s="34" t="n"/>
      <c r="M1259" s="39" t="n"/>
      <c r="N1259" s="35" t="n"/>
      <c r="O1259" s="40" t="str">
        <f>IF($A1259="","",MONTH($A1259))</f>
        <v/>
      </c>
      <c r="P1259" s="40" t="str">
        <f>IF($A1259="","",YEAR($A1259))</f>
        <v/>
      </c>
      <c r="Q1259" s="41" t="str">
        <f>IF($A1259="","",DATE(P1259,O1259,1))</f>
        <v/>
      </c>
      <c r="R1259" s="36" t="str">
        <f>IF(OR($A1259="",$N1259=""),"",IF(AND($C1259&lt;&gt;"Transferência",N($I1259)&gt;1),$N1259/$I1259,$N1259))</f>
        <v/>
      </c>
      <c r="S1259" s="41" t="str">
        <f>IF(OR($A1259="",$F1259="",$C1259&lt;&gt;"Despesa"),"",IF(COUNTIF(Cartoes_Nome,$F1259)=0,"",DATE(P1259,O1259+IF(DAY($A1259)&gt;=INDEX(Cartoes_Fech,MATCH($F1259,Cartoes_Nome,0)),1,0),1)))</f>
        <v/>
      </c>
      <c r="T1259" s="42" t="str">
        <f>IF($A1259="","",IF(COUNTIFS(L_Data,$A1259,L_Desc,$B1259,L_Valor,$N1259,L_Tipo,$C1259)&gt;1,"⚠ Possível duplicidade",IF(OR(AND($C1259="Despesa",COUNTIF(CatD_Nome,$D1259)=0),AND($C1259="Receita",COUNTIF(CatR_Nome,$D1259)=0)),"⚠ Categoria não combina com o tipo",IF(OR($N1259="",$C1259=""),"⚠ Falta valor ou tipo",""))))</f>
        <v/>
      </c>
      <c r="U1259" s="40">
        <f>IF($A1259="",0,P1259*12+O1259)</f>
        <v>0</v>
      </c>
      <c r="V1259" s="40">
        <f>IF($A1259="",0,U1259+MAX(0,N($I1259)-MAX(N($H1259),1)))</f>
        <v>0</v>
      </c>
      <c r="W1259" s="40">
        <f>IF(S1259="",0,YEAR(S1259)*12+MONTH(S1259))</f>
        <v>0</v>
      </c>
      <c r="X1259" s="40">
        <f>IF(W1259=0,0,W1259+V1259-U1259)</f>
        <v>0</v>
      </c>
      <c r="Y1259" s="36">
        <f>IF(W1259=0,0,N(R1259)*MAX(0,X1259-MAX(W1259,YEAR(Cfg_Hoje)*12+MONTH(Cfg_Hoje)+IF(DAY(Cfg_Hoje)&gt;=INDEX(Cartoes_Fech,MATCH($F1259,Cartoes_Nome,0)),1,0))+1))</f>
        <v>0</v>
      </c>
      <c r="Z1259" s="40">
        <f>IF($A1259="",0,DAY($A1259))</f>
        <v>0</v>
      </c>
      <c r="AA1259" s="40">
        <f>IF($A1259="",0,WEEKDAY($A1259))</f>
        <v>0</v>
      </c>
      <c r="AB1259" s="36">
        <f>IF(AND($C1259="Despesa",U1259&gt;0,U1259&lt;=Sel_Idx,V1259&gt;=Sel_Idx),N(R1259)+ROW()/1000000000,0)</f>
        <v>0</v>
      </c>
      <c r="AC1259" s="40">
        <f>IF(AND($C1259="Despesa",U1259&gt;0,U1259&lt;=Sel_Idx,V1259&gt;=Sel_Idx),Z1259*10000+ROW(),0)</f>
        <v>0</v>
      </c>
      <c r="AD1259" s="40">
        <f>IF(AC1259=0,0,COUNTIFS(L_CalChave,"&gt;0",L_CalChave,"&lt;"&amp;AC1259)+1)</f>
        <v>0</v>
      </c>
    </row>
    <row r="1260">
      <c r="A1260" s="38" t="n"/>
      <c r="B1260" s="39" t="n"/>
      <c r="C1260" s="34" t="n"/>
      <c r="D1260" s="34" t="n"/>
      <c r="E1260" s="34" t="n"/>
      <c r="F1260" s="34" t="n"/>
      <c r="G1260" s="34" t="n"/>
      <c r="H1260" s="37" t="n"/>
      <c r="I1260" s="37" t="n"/>
      <c r="J1260" s="34" t="n"/>
      <c r="K1260" s="34" t="n"/>
      <c r="L1260" s="34" t="n"/>
      <c r="M1260" s="39" t="n"/>
      <c r="N1260" s="35" t="n"/>
      <c r="O1260" s="40" t="str">
        <f>IF($A1260="","",MONTH($A1260))</f>
        <v/>
      </c>
      <c r="P1260" s="40" t="str">
        <f>IF($A1260="","",YEAR($A1260))</f>
        <v/>
      </c>
      <c r="Q1260" s="41" t="str">
        <f>IF($A1260="","",DATE(P1260,O1260,1))</f>
        <v/>
      </c>
      <c r="R1260" s="36" t="str">
        <f>IF(OR($A1260="",$N1260=""),"",IF(AND($C1260&lt;&gt;"Transferência",N($I1260)&gt;1),$N1260/$I1260,$N1260))</f>
        <v/>
      </c>
      <c r="S1260" s="41" t="str">
        <f>IF(OR($A1260="",$F1260="",$C1260&lt;&gt;"Despesa"),"",IF(COUNTIF(Cartoes_Nome,$F1260)=0,"",DATE(P1260,O1260+IF(DAY($A1260)&gt;=INDEX(Cartoes_Fech,MATCH($F1260,Cartoes_Nome,0)),1,0),1)))</f>
        <v/>
      </c>
      <c r="T1260" s="42" t="str">
        <f>IF($A1260="","",IF(COUNTIFS(L_Data,$A1260,L_Desc,$B1260,L_Valor,$N1260,L_Tipo,$C1260)&gt;1,"⚠ Possível duplicidade",IF(OR(AND($C1260="Despesa",COUNTIF(CatD_Nome,$D1260)=0),AND($C1260="Receita",COUNTIF(CatR_Nome,$D1260)=0)),"⚠ Categoria não combina com o tipo",IF(OR($N1260="",$C1260=""),"⚠ Falta valor ou tipo",""))))</f>
        <v/>
      </c>
      <c r="U1260" s="40">
        <f>IF($A1260="",0,P1260*12+O1260)</f>
        <v>0</v>
      </c>
      <c r="V1260" s="40">
        <f>IF($A1260="",0,U1260+MAX(0,N($I1260)-MAX(N($H1260),1)))</f>
        <v>0</v>
      </c>
      <c r="W1260" s="40">
        <f>IF(S1260="",0,YEAR(S1260)*12+MONTH(S1260))</f>
        <v>0</v>
      </c>
      <c r="X1260" s="40">
        <f>IF(W1260=0,0,W1260+V1260-U1260)</f>
        <v>0</v>
      </c>
      <c r="Y1260" s="36">
        <f>IF(W1260=0,0,N(R1260)*MAX(0,X1260-MAX(W1260,YEAR(Cfg_Hoje)*12+MONTH(Cfg_Hoje)+IF(DAY(Cfg_Hoje)&gt;=INDEX(Cartoes_Fech,MATCH($F1260,Cartoes_Nome,0)),1,0))+1))</f>
        <v>0</v>
      </c>
      <c r="Z1260" s="40">
        <f>IF($A1260="",0,DAY($A1260))</f>
        <v>0</v>
      </c>
      <c r="AA1260" s="40">
        <f>IF($A1260="",0,WEEKDAY($A1260))</f>
        <v>0</v>
      </c>
      <c r="AB1260" s="36">
        <f>IF(AND($C1260="Despesa",U1260&gt;0,U1260&lt;=Sel_Idx,V1260&gt;=Sel_Idx),N(R1260)+ROW()/1000000000,0)</f>
        <v>0</v>
      </c>
      <c r="AC1260" s="40">
        <f>IF(AND($C1260="Despesa",U1260&gt;0,U1260&lt;=Sel_Idx,V1260&gt;=Sel_Idx),Z1260*10000+ROW(),0)</f>
        <v>0</v>
      </c>
      <c r="AD1260" s="40">
        <f>IF(AC1260=0,0,COUNTIFS(L_CalChave,"&gt;0",L_CalChave,"&lt;"&amp;AC1260)+1)</f>
        <v>0</v>
      </c>
    </row>
    <row r="1261">
      <c r="A1261" s="38" t="n"/>
      <c r="B1261" s="39" t="n"/>
      <c r="C1261" s="34" t="n"/>
      <c r="D1261" s="34" t="n"/>
      <c r="E1261" s="34" t="n"/>
      <c r="F1261" s="34" t="n"/>
      <c r="G1261" s="34" t="n"/>
      <c r="H1261" s="37" t="n"/>
      <c r="I1261" s="37" t="n"/>
      <c r="J1261" s="34" t="n"/>
      <c r="K1261" s="34" t="n"/>
      <c r="L1261" s="34" t="n"/>
      <c r="M1261" s="39" t="n"/>
      <c r="N1261" s="35" t="n"/>
      <c r="O1261" s="40" t="str">
        <f>IF($A1261="","",MONTH($A1261))</f>
        <v/>
      </c>
      <c r="P1261" s="40" t="str">
        <f>IF($A1261="","",YEAR($A1261))</f>
        <v/>
      </c>
      <c r="Q1261" s="41" t="str">
        <f>IF($A1261="","",DATE(P1261,O1261,1))</f>
        <v/>
      </c>
      <c r="R1261" s="36" t="str">
        <f>IF(OR($A1261="",$N1261=""),"",IF(AND($C1261&lt;&gt;"Transferência",N($I1261)&gt;1),$N1261/$I1261,$N1261))</f>
        <v/>
      </c>
      <c r="S1261" s="41" t="str">
        <f>IF(OR($A1261="",$F1261="",$C1261&lt;&gt;"Despesa"),"",IF(COUNTIF(Cartoes_Nome,$F1261)=0,"",DATE(P1261,O1261+IF(DAY($A1261)&gt;=INDEX(Cartoes_Fech,MATCH($F1261,Cartoes_Nome,0)),1,0),1)))</f>
        <v/>
      </c>
      <c r="T1261" s="42" t="str">
        <f>IF($A1261="","",IF(COUNTIFS(L_Data,$A1261,L_Desc,$B1261,L_Valor,$N1261,L_Tipo,$C1261)&gt;1,"⚠ Possível duplicidade",IF(OR(AND($C1261="Despesa",COUNTIF(CatD_Nome,$D1261)=0),AND($C1261="Receita",COUNTIF(CatR_Nome,$D1261)=0)),"⚠ Categoria não combina com o tipo",IF(OR($N1261="",$C1261=""),"⚠ Falta valor ou tipo",""))))</f>
        <v/>
      </c>
      <c r="U1261" s="40">
        <f>IF($A1261="",0,P1261*12+O1261)</f>
        <v>0</v>
      </c>
      <c r="V1261" s="40">
        <f>IF($A1261="",0,U1261+MAX(0,N($I1261)-MAX(N($H1261),1)))</f>
        <v>0</v>
      </c>
      <c r="W1261" s="40">
        <f>IF(S1261="",0,YEAR(S1261)*12+MONTH(S1261))</f>
        <v>0</v>
      </c>
      <c r="X1261" s="40">
        <f>IF(W1261=0,0,W1261+V1261-U1261)</f>
        <v>0</v>
      </c>
      <c r="Y1261" s="36">
        <f>IF(W1261=0,0,N(R1261)*MAX(0,X1261-MAX(W1261,YEAR(Cfg_Hoje)*12+MONTH(Cfg_Hoje)+IF(DAY(Cfg_Hoje)&gt;=INDEX(Cartoes_Fech,MATCH($F1261,Cartoes_Nome,0)),1,0))+1))</f>
        <v>0</v>
      </c>
      <c r="Z1261" s="40">
        <f>IF($A1261="",0,DAY($A1261))</f>
        <v>0</v>
      </c>
      <c r="AA1261" s="40">
        <f>IF($A1261="",0,WEEKDAY($A1261))</f>
        <v>0</v>
      </c>
      <c r="AB1261" s="36">
        <f>IF(AND($C1261="Despesa",U1261&gt;0,U1261&lt;=Sel_Idx,V1261&gt;=Sel_Idx),N(R1261)+ROW()/1000000000,0)</f>
        <v>0</v>
      </c>
      <c r="AC1261" s="40">
        <f>IF(AND($C1261="Despesa",U1261&gt;0,U1261&lt;=Sel_Idx,V1261&gt;=Sel_Idx),Z1261*10000+ROW(),0)</f>
        <v>0</v>
      </c>
      <c r="AD1261" s="40">
        <f>IF(AC1261=0,0,COUNTIFS(L_CalChave,"&gt;0",L_CalChave,"&lt;"&amp;AC1261)+1)</f>
        <v>0</v>
      </c>
    </row>
    <row r="1262">
      <c r="A1262" s="38" t="n"/>
      <c r="B1262" s="39" t="n"/>
      <c r="C1262" s="34" t="n"/>
      <c r="D1262" s="34" t="n"/>
      <c r="E1262" s="34" t="n"/>
      <c r="F1262" s="34" t="n"/>
      <c r="G1262" s="34" t="n"/>
      <c r="H1262" s="37" t="n"/>
      <c r="I1262" s="37" t="n"/>
      <c r="J1262" s="34" t="n"/>
      <c r="K1262" s="34" t="n"/>
      <c r="L1262" s="34" t="n"/>
      <c r="M1262" s="39" t="n"/>
      <c r="N1262" s="35" t="n"/>
      <c r="O1262" s="40" t="str">
        <f>IF($A1262="","",MONTH($A1262))</f>
        <v/>
      </c>
      <c r="P1262" s="40" t="str">
        <f>IF($A1262="","",YEAR($A1262))</f>
        <v/>
      </c>
      <c r="Q1262" s="41" t="str">
        <f>IF($A1262="","",DATE(P1262,O1262,1))</f>
        <v/>
      </c>
      <c r="R1262" s="36" t="str">
        <f>IF(OR($A1262="",$N1262=""),"",IF(AND($C1262&lt;&gt;"Transferência",N($I1262)&gt;1),$N1262/$I1262,$N1262))</f>
        <v/>
      </c>
      <c r="S1262" s="41" t="str">
        <f>IF(OR($A1262="",$F1262="",$C1262&lt;&gt;"Despesa"),"",IF(COUNTIF(Cartoes_Nome,$F1262)=0,"",DATE(P1262,O1262+IF(DAY($A1262)&gt;=INDEX(Cartoes_Fech,MATCH($F1262,Cartoes_Nome,0)),1,0),1)))</f>
        <v/>
      </c>
      <c r="T1262" s="42" t="str">
        <f>IF($A1262="","",IF(COUNTIFS(L_Data,$A1262,L_Desc,$B1262,L_Valor,$N1262,L_Tipo,$C1262)&gt;1,"⚠ Possível duplicidade",IF(OR(AND($C1262="Despesa",COUNTIF(CatD_Nome,$D1262)=0),AND($C1262="Receita",COUNTIF(CatR_Nome,$D1262)=0)),"⚠ Categoria não combina com o tipo",IF(OR($N1262="",$C1262=""),"⚠ Falta valor ou tipo",""))))</f>
        <v/>
      </c>
      <c r="U1262" s="40">
        <f>IF($A1262="",0,P1262*12+O1262)</f>
        <v>0</v>
      </c>
      <c r="V1262" s="40">
        <f>IF($A1262="",0,U1262+MAX(0,N($I1262)-MAX(N($H1262),1)))</f>
        <v>0</v>
      </c>
      <c r="W1262" s="40">
        <f>IF(S1262="",0,YEAR(S1262)*12+MONTH(S1262))</f>
        <v>0</v>
      </c>
      <c r="X1262" s="40">
        <f>IF(W1262=0,0,W1262+V1262-U1262)</f>
        <v>0</v>
      </c>
      <c r="Y1262" s="36">
        <f>IF(W1262=0,0,N(R1262)*MAX(0,X1262-MAX(W1262,YEAR(Cfg_Hoje)*12+MONTH(Cfg_Hoje)+IF(DAY(Cfg_Hoje)&gt;=INDEX(Cartoes_Fech,MATCH($F1262,Cartoes_Nome,0)),1,0))+1))</f>
        <v>0</v>
      </c>
      <c r="Z1262" s="40">
        <f>IF($A1262="",0,DAY($A1262))</f>
        <v>0</v>
      </c>
      <c r="AA1262" s="40">
        <f>IF($A1262="",0,WEEKDAY($A1262))</f>
        <v>0</v>
      </c>
      <c r="AB1262" s="36">
        <f>IF(AND($C1262="Despesa",U1262&gt;0,U1262&lt;=Sel_Idx,V1262&gt;=Sel_Idx),N(R1262)+ROW()/1000000000,0)</f>
        <v>0</v>
      </c>
      <c r="AC1262" s="40">
        <f>IF(AND($C1262="Despesa",U1262&gt;0,U1262&lt;=Sel_Idx,V1262&gt;=Sel_Idx),Z1262*10000+ROW(),0)</f>
        <v>0</v>
      </c>
      <c r="AD1262" s="40">
        <f>IF(AC1262=0,0,COUNTIFS(L_CalChave,"&gt;0",L_CalChave,"&lt;"&amp;AC1262)+1)</f>
        <v>0</v>
      </c>
    </row>
    <row r="1263">
      <c r="A1263" s="38" t="n"/>
      <c r="B1263" s="39" t="n"/>
      <c r="C1263" s="34" t="n"/>
      <c r="D1263" s="34" t="n"/>
      <c r="E1263" s="34" t="n"/>
      <c r="F1263" s="34" t="n"/>
      <c r="G1263" s="34" t="n"/>
      <c r="H1263" s="37" t="n"/>
      <c r="I1263" s="37" t="n"/>
      <c r="J1263" s="34" t="n"/>
      <c r="K1263" s="34" t="n"/>
      <c r="L1263" s="34" t="n"/>
      <c r="M1263" s="39" t="n"/>
      <c r="N1263" s="35" t="n"/>
      <c r="O1263" s="40" t="str">
        <f>IF($A1263="","",MONTH($A1263))</f>
        <v/>
      </c>
      <c r="P1263" s="40" t="str">
        <f>IF($A1263="","",YEAR($A1263))</f>
        <v/>
      </c>
      <c r="Q1263" s="41" t="str">
        <f>IF($A1263="","",DATE(P1263,O1263,1))</f>
        <v/>
      </c>
      <c r="R1263" s="36" t="str">
        <f>IF(OR($A1263="",$N1263=""),"",IF(AND($C1263&lt;&gt;"Transferência",N($I1263)&gt;1),$N1263/$I1263,$N1263))</f>
        <v/>
      </c>
      <c r="S1263" s="41" t="str">
        <f>IF(OR($A1263="",$F1263="",$C1263&lt;&gt;"Despesa"),"",IF(COUNTIF(Cartoes_Nome,$F1263)=0,"",DATE(P1263,O1263+IF(DAY($A1263)&gt;=INDEX(Cartoes_Fech,MATCH($F1263,Cartoes_Nome,0)),1,0),1)))</f>
        <v/>
      </c>
      <c r="T1263" s="42" t="str">
        <f>IF($A1263="","",IF(COUNTIFS(L_Data,$A1263,L_Desc,$B1263,L_Valor,$N1263,L_Tipo,$C1263)&gt;1,"⚠ Possível duplicidade",IF(OR(AND($C1263="Despesa",COUNTIF(CatD_Nome,$D1263)=0),AND($C1263="Receita",COUNTIF(CatR_Nome,$D1263)=0)),"⚠ Categoria não combina com o tipo",IF(OR($N1263="",$C1263=""),"⚠ Falta valor ou tipo",""))))</f>
        <v/>
      </c>
      <c r="U1263" s="40">
        <f>IF($A1263="",0,P1263*12+O1263)</f>
        <v>0</v>
      </c>
      <c r="V1263" s="40">
        <f>IF($A1263="",0,U1263+MAX(0,N($I1263)-MAX(N($H1263),1)))</f>
        <v>0</v>
      </c>
      <c r="W1263" s="40">
        <f>IF(S1263="",0,YEAR(S1263)*12+MONTH(S1263))</f>
        <v>0</v>
      </c>
      <c r="X1263" s="40">
        <f>IF(W1263=0,0,W1263+V1263-U1263)</f>
        <v>0</v>
      </c>
      <c r="Y1263" s="36">
        <f>IF(W1263=0,0,N(R1263)*MAX(0,X1263-MAX(W1263,YEAR(Cfg_Hoje)*12+MONTH(Cfg_Hoje)+IF(DAY(Cfg_Hoje)&gt;=INDEX(Cartoes_Fech,MATCH($F1263,Cartoes_Nome,0)),1,0))+1))</f>
        <v>0</v>
      </c>
      <c r="Z1263" s="40">
        <f>IF($A1263="",0,DAY($A1263))</f>
        <v>0</v>
      </c>
      <c r="AA1263" s="40">
        <f>IF($A1263="",0,WEEKDAY($A1263))</f>
        <v>0</v>
      </c>
      <c r="AB1263" s="36">
        <f>IF(AND($C1263="Despesa",U1263&gt;0,U1263&lt;=Sel_Idx,V1263&gt;=Sel_Idx),N(R1263)+ROW()/1000000000,0)</f>
        <v>0</v>
      </c>
      <c r="AC1263" s="40">
        <f>IF(AND($C1263="Despesa",U1263&gt;0,U1263&lt;=Sel_Idx,V1263&gt;=Sel_Idx),Z1263*10000+ROW(),0)</f>
        <v>0</v>
      </c>
      <c r="AD1263" s="40">
        <f>IF(AC1263=0,0,COUNTIFS(L_CalChave,"&gt;0",L_CalChave,"&lt;"&amp;AC1263)+1)</f>
        <v>0</v>
      </c>
    </row>
    <row r="1264">
      <c r="A1264" s="38" t="n"/>
      <c r="B1264" s="39" t="n"/>
      <c r="C1264" s="34" t="n"/>
      <c r="D1264" s="34" t="n"/>
      <c r="E1264" s="34" t="n"/>
      <c r="F1264" s="34" t="n"/>
      <c r="G1264" s="34" t="n"/>
      <c r="H1264" s="37" t="n"/>
      <c r="I1264" s="37" t="n"/>
      <c r="J1264" s="34" t="n"/>
      <c r="K1264" s="34" t="n"/>
      <c r="L1264" s="34" t="n"/>
      <c r="M1264" s="39" t="n"/>
      <c r="N1264" s="35" t="n"/>
      <c r="O1264" s="40" t="str">
        <f>IF($A1264="","",MONTH($A1264))</f>
        <v/>
      </c>
      <c r="P1264" s="40" t="str">
        <f>IF($A1264="","",YEAR($A1264))</f>
        <v/>
      </c>
      <c r="Q1264" s="41" t="str">
        <f>IF($A1264="","",DATE(P1264,O1264,1))</f>
        <v/>
      </c>
      <c r="R1264" s="36" t="str">
        <f>IF(OR($A1264="",$N1264=""),"",IF(AND($C1264&lt;&gt;"Transferência",N($I1264)&gt;1),$N1264/$I1264,$N1264))</f>
        <v/>
      </c>
      <c r="S1264" s="41" t="str">
        <f>IF(OR($A1264="",$F1264="",$C1264&lt;&gt;"Despesa"),"",IF(COUNTIF(Cartoes_Nome,$F1264)=0,"",DATE(P1264,O1264+IF(DAY($A1264)&gt;=INDEX(Cartoes_Fech,MATCH($F1264,Cartoes_Nome,0)),1,0),1)))</f>
        <v/>
      </c>
      <c r="T1264" s="42" t="str">
        <f>IF($A1264="","",IF(COUNTIFS(L_Data,$A1264,L_Desc,$B1264,L_Valor,$N1264,L_Tipo,$C1264)&gt;1,"⚠ Possível duplicidade",IF(OR(AND($C1264="Despesa",COUNTIF(CatD_Nome,$D1264)=0),AND($C1264="Receita",COUNTIF(CatR_Nome,$D1264)=0)),"⚠ Categoria não combina com o tipo",IF(OR($N1264="",$C1264=""),"⚠ Falta valor ou tipo",""))))</f>
        <v/>
      </c>
      <c r="U1264" s="40">
        <f>IF($A1264="",0,P1264*12+O1264)</f>
        <v>0</v>
      </c>
      <c r="V1264" s="40">
        <f>IF($A1264="",0,U1264+MAX(0,N($I1264)-MAX(N($H1264),1)))</f>
        <v>0</v>
      </c>
      <c r="W1264" s="40">
        <f>IF(S1264="",0,YEAR(S1264)*12+MONTH(S1264))</f>
        <v>0</v>
      </c>
      <c r="X1264" s="40">
        <f>IF(W1264=0,0,W1264+V1264-U1264)</f>
        <v>0</v>
      </c>
      <c r="Y1264" s="36">
        <f>IF(W1264=0,0,N(R1264)*MAX(0,X1264-MAX(W1264,YEAR(Cfg_Hoje)*12+MONTH(Cfg_Hoje)+IF(DAY(Cfg_Hoje)&gt;=INDEX(Cartoes_Fech,MATCH($F1264,Cartoes_Nome,0)),1,0))+1))</f>
        <v>0</v>
      </c>
      <c r="Z1264" s="40">
        <f>IF($A1264="",0,DAY($A1264))</f>
        <v>0</v>
      </c>
      <c r="AA1264" s="40">
        <f>IF($A1264="",0,WEEKDAY($A1264))</f>
        <v>0</v>
      </c>
      <c r="AB1264" s="36">
        <f>IF(AND($C1264="Despesa",U1264&gt;0,U1264&lt;=Sel_Idx,V1264&gt;=Sel_Idx),N(R1264)+ROW()/1000000000,0)</f>
        <v>0</v>
      </c>
      <c r="AC1264" s="40">
        <f>IF(AND($C1264="Despesa",U1264&gt;0,U1264&lt;=Sel_Idx,V1264&gt;=Sel_Idx),Z1264*10000+ROW(),0)</f>
        <v>0</v>
      </c>
      <c r="AD1264" s="40">
        <f>IF(AC1264=0,0,COUNTIFS(L_CalChave,"&gt;0",L_CalChave,"&lt;"&amp;AC1264)+1)</f>
        <v>0</v>
      </c>
    </row>
    <row r="1265">
      <c r="A1265" s="38" t="n"/>
      <c r="B1265" s="39" t="n"/>
      <c r="C1265" s="34" t="n"/>
      <c r="D1265" s="34" t="n"/>
      <c r="E1265" s="34" t="n"/>
      <c r="F1265" s="34" t="n"/>
      <c r="G1265" s="34" t="n"/>
      <c r="H1265" s="37" t="n"/>
      <c r="I1265" s="37" t="n"/>
      <c r="J1265" s="34" t="n"/>
      <c r="K1265" s="34" t="n"/>
      <c r="L1265" s="34" t="n"/>
      <c r="M1265" s="39" t="n"/>
      <c r="N1265" s="35" t="n"/>
      <c r="O1265" s="40" t="str">
        <f>IF($A1265="","",MONTH($A1265))</f>
        <v/>
      </c>
      <c r="P1265" s="40" t="str">
        <f>IF($A1265="","",YEAR($A1265))</f>
        <v/>
      </c>
      <c r="Q1265" s="41" t="str">
        <f>IF($A1265="","",DATE(P1265,O1265,1))</f>
        <v/>
      </c>
      <c r="R1265" s="36" t="str">
        <f>IF(OR($A1265="",$N1265=""),"",IF(AND($C1265&lt;&gt;"Transferência",N($I1265)&gt;1),$N1265/$I1265,$N1265))</f>
        <v/>
      </c>
      <c r="S1265" s="41" t="str">
        <f>IF(OR($A1265="",$F1265="",$C1265&lt;&gt;"Despesa"),"",IF(COUNTIF(Cartoes_Nome,$F1265)=0,"",DATE(P1265,O1265+IF(DAY($A1265)&gt;=INDEX(Cartoes_Fech,MATCH($F1265,Cartoes_Nome,0)),1,0),1)))</f>
        <v/>
      </c>
      <c r="T1265" s="42" t="str">
        <f>IF($A1265="","",IF(COUNTIFS(L_Data,$A1265,L_Desc,$B1265,L_Valor,$N1265,L_Tipo,$C1265)&gt;1,"⚠ Possível duplicidade",IF(OR(AND($C1265="Despesa",COUNTIF(CatD_Nome,$D1265)=0),AND($C1265="Receita",COUNTIF(CatR_Nome,$D1265)=0)),"⚠ Categoria não combina com o tipo",IF(OR($N1265="",$C1265=""),"⚠ Falta valor ou tipo",""))))</f>
        <v/>
      </c>
      <c r="U1265" s="40">
        <f>IF($A1265="",0,P1265*12+O1265)</f>
        <v>0</v>
      </c>
      <c r="V1265" s="40">
        <f>IF($A1265="",0,U1265+MAX(0,N($I1265)-MAX(N($H1265),1)))</f>
        <v>0</v>
      </c>
      <c r="W1265" s="40">
        <f>IF(S1265="",0,YEAR(S1265)*12+MONTH(S1265))</f>
        <v>0</v>
      </c>
      <c r="X1265" s="40">
        <f>IF(W1265=0,0,W1265+V1265-U1265)</f>
        <v>0</v>
      </c>
      <c r="Y1265" s="36">
        <f>IF(W1265=0,0,N(R1265)*MAX(0,X1265-MAX(W1265,YEAR(Cfg_Hoje)*12+MONTH(Cfg_Hoje)+IF(DAY(Cfg_Hoje)&gt;=INDEX(Cartoes_Fech,MATCH($F1265,Cartoes_Nome,0)),1,0))+1))</f>
        <v>0</v>
      </c>
      <c r="Z1265" s="40">
        <f>IF($A1265="",0,DAY($A1265))</f>
        <v>0</v>
      </c>
      <c r="AA1265" s="40">
        <f>IF($A1265="",0,WEEKDAY($A1265))</f>
        <v>0</v>
      </c>
      <c r="AB1265" s="36">
        <f>IF(AND($C1265="Despesa",U1265&gt;0,U1265&lt;=Sel_Idx,V1265&gt;=Sel_Idx),N(R1265)+ROW()/1000000000,0)</f>
        <v>0</v>
      </c>
      <c r="AC1265" s="40">
        <f>IF(AND($C1265="Despesa",U1265&gt;0,U1265&lt;=Sel_Idx,V1265&gt;=Sel_Idx),Z1265*10000+ROW(),0)</f>
        <v>0</v>
      </c>
      <c r="AD1265" s="40">
        <f>IF(AC1265=0,0,COUNTIFS(L_CalChave,"&gt;0",L_CalChave,"&lt;"&amp;AC1265)+1)</f>
        <v>0</v>
      </c>
    </row>
    <row r="1266">
      <c r="A1266" s="38" t="n"/>
      <c r="B1266" s="39" t="n"/>
      <c r="C1266" s="34" t="n"/>
      <c r="D1266" s="34" t="n"/>
      <c r="E1266" s="34" t="n"/>
      <c r="F1266" s="34" t="n"/>
      <c r="G1266" s="34" t="n"/>
      <c r="H1266" s="37" t="n"/>
      <c r="I1266" s="37" t="n"/>
      <c r="J1266" s="34" t="n"/>
      <c r="K1266" s="34" t="n"/>
      <c r="L1266" s="34" t="n"/>
      <c r="M1266" s="39" t="n"/>
      <c r="N1266" s="35" t="n"/>
      <c r="O1266" s="40" t="str">
        <f>IF($A1266="","",MONTH($A1266))</f>
        <v/>
      </c>
      <c r="P1266" s="40" t="str">
        <f>IF($A1266="","",YEAR($A1266))</f>
        <v/>
      </c>
      <c r="Q1266" s="41" t="str">
        <f>IF($A1266="","",DATE(P1266,O1266,1))</f>
        <v/>
      </c>
      <c r="R1266" s="36" t="str">
        <f>IF(OR($A1266="",$N1266=""),"",IF(AND($C1266&lt;&gt;"Transferência",N($I1266)&gt;1),$N1266/$I1266,$N1266))</f>
        <v/>
      </c>
      <c r="S1266" s="41" t="str">
        <f>IF(OR($A1266="",$F1266="",$C1266&lt;&gt;"Despesa"),"",IF(COUNTIF(Cartoes_Nome,$F1266)=0,"",DATE(P1266,O1266+IF(DAY($A1266)&gt;=INDEX(Cartoes_Fech,MATCH($F1266,Cartoes_Nome,0)),1,0),1)))</f>
        <v/>
      </c>
      <c r="T1266" s="42" t="str">
        <f>IF($A1266="","",IF(COUNTIFS(L_Data,$A1266,L_Desc,$B1266,L_Valor,$N1266,L_Tipo,$C1266)&gt;1,"⚠ Possível duplicidade",IF(OR(AND($C1266="Despesa",COUNTIF(CatD_Nome,$D1266)=0),AND($C1266="Receita",COUNTIF(CatR_Nome,$D1266)=0)),"⚠ Categoria não combina com o tipo",IF(OR($N1266="",$C1266=""),"⚠ Falta valor ou tipo",""))))</f>
        <v/>
      </c>
      <c r="U1266" s="40">
        <f>IF($A1266="",0,P1266*12+O1266)</f>
        <v>0</v>
      </c>
      <c r="V1266" s="40">
        <f>IF($A1266="",0,U1266+MAX(0,N($I1266)-MAX(N($H1266),1)))</f>
        <v>0</v>
      </c>
      <c r="W1266" s="40">
        <f>IF(S1266="",0,YEAR(S1266)*12+MONTH(S1266))</f>
        <v>0</v>
      </c>
      <c r="X1266" s="40">
        <f>IF(W1266=0,0,W1266+V1266-U1266)</f>
        <v>0</v>
      </c>
      <c r="Y1266" s="36">
        <f>IF(W1266=0,0,N(R1266)*MAX(0,X1266-MAX(W1266,YEAR(Cfg_Hoje)*12+MONTH(Cfg_Hoje)+IF(DAY(Cfg_Hoje)&gt;=INDEX(Cartoes_Fech,MATCH($F1266,Cartoes_Nome,0)),1,0))+1))</f>
        <v>0</v>
      </c>
      <c r="Z1266" s="40">
        <f>IF($A1266="",0,DAY($A1266))</f>
        <v>0</v>
      </c>
      <c r="AA1266" s="40">
        <f>IF($A1266="",0,WEEKDAY($A1266))</f>
        <v>0</v>
      </c>
      <c r="AB1266" s="36">
        <f>IF(AND($C1266="Despesa",U1266&gt;0,U1266&lt;=Sel_Idx,V1266&gt;=Sel_Idx),N(R1266)+ROW()/1000000000,0)</f>
        <v>0</v>
      </c>
      <c r="AC1266" s="40">
        <f>IF(AND($C1266="Despesa",U1266&gt;0,U1266&lt;=Sel_Idx,V1266&gt;=Sel_Idx),Z1266*10000+ROW(),0)</f>
        <v>0</v>
      </c>
      <c r="AD1266" s="40">
        <f>IF(AC1266=0,0,COUNTIFS(L_CalChave,"&gt;0",L_CalChave,"&lt;"&amp;AC1266)+1)</f>
        <v>0</v>
      </c>
    </row>
    <row r="1267">
      <c r="A1267" s="38" t="n"/>
      <c r="B1267" s="39" t="n"/>
      <c r="C1267" s="34" t="n"/>
      <c r="D1267" s="34" t="n"/>
      <c r="E1267" s="34" t="n"/>
      <c r="F1267" s="34" t="n"/>
      <c r="G1267" s="34" t="n"/>
      <c r="H1267" s="37" t="n"/>
      <c r="I1267" s="37" t="n"/>
      <c r="J1267" s="34" t="n"/>
      <c r="K1267" s="34" t="n"/>
      <c r="L1267" s="34" t="n"/>
      <c r="M1267" s="39" t="n"/>
      <c r="N1267" s="35" t="n"/>
      <c r="O1267" s="40" t="str">
        <f>IF($A1267="","",MONTH($A1267))</f>
        <v/>
      </c>
      <c r="P1267" s="40" t="str">
        <f>IF($A1267="","",YEAR($A1267))</f>
        <v/>
      </c>
      <c r="Q1267" s="41" t="str">
        <f>IF($A1267="","",DATE(P1267,O1267,1))</f>
        <v/>
      </c>
      <c r="R1267" s="36" t="str">
        <f>IF(OR($A1267="",$N1267=""),"",IF(AND($C1267&lt;&gt;"Transferência",N($I1267)&gt;1),$N1267/$I1267,$N1267))</f>
        <v/>
      </c>
      <c r="S1267" s="41" t="str">
        <f>IF(OR($A1267="",$F1267="",$C1267&lt;&gt;"Despesa"),"",IF(COUNTIF(Cartoes_Nome,$F1267)=0,"",DATE(P1267,O1267+IF(DAY($A1267)&gt;=INDEX(Cartoes_Fech,MATCH($F1267,Cartoes_Nome,0)),1,0),1)))</f>
        <v/>
      </c>
      <c r="T1267" s="42" t="str">
        <f>IF($A1267="","",IF(COUNTIFS(L_Data,$A1267,L_Desc,$B1267,L_Valor,$N1267,L_Tipo,$C1267)&gt;1,"⚠ Possível duplicidade",IF(OR(AND($C1267="Despesa",COUNTIF(CatD_Nome,$D1267)=0),AND($C1267="Receita",COUNTIF(CatR_Nome,$D1267)=0)),"⚠ Categoria não combina com o tipo",IF(OR($N1267="",$C1267=""),"⚠ Falta valor ou tipo",""))))</f>
        <v/>
      </c>
      <c r="U1267" s="40">
        <f>IF($A1267="",0,P1267*12+O1267)</f>
        <v>0</v>
      </c>
      <c r="V1267" s="40">
        <f>IF($A1267="",0,U1267+MAX(0,N($I1267)-MAX(N($H1267),1)))</f>
        <v>0</v>
      </c>
      <c r="W1267" s="40">
        <f>IF(S1267="",0,YEAR(S1267)*12+MONTH(S1267))</f>
        <v>0</v>
      </c>
      <c r="X1267" s="40">
        <f>IF(W1267=0,0,W1267+V1267-U1267)</f>
        <v>0</v>
      </c>
      <c r="Y1267" s="36">
        <f>IF(W1267=0,0,N(R1267)*MAX(0,X1267-MAX(W1267,YEAR(Cfg_Hoje)*12+MONTH(Cfg_Hoje)+IF(DAY(Cfg_Hoje)&gt;=INDEX(Cartoes_Fech,MATCH($F1267,Cartoes_Nome,0)),1,0))+1))</f>
        <v>0</v>
      </c>
      <c r="Z1267" s="40">
        <f>IF($A1267="",0,DAY($A1267))</f>
        <v>0</v>
      </c>
      <c r="AA1267" s="40">
        <f>IF($A1267="",0,WEEKDAY($A1267))</f>
        <v>0</v>
      </c>
      <c r="AB1267" s="36">
        <f>IF(AND($C1267="Despesa",U1267&gt;0,U1267&lt;=Sel_Idx,V1267&gt;=Sel_Idx),N(R1267)+ROW()/1000000000,0)</f>
        <v>0</v>
      </c>
      <c r="AC1267" s="40">
        <f>IF(AND($C1267="Despesa",U1267&gt;0,U1267&lt;=Sel_Idx,V1267&gt;=Sel_Idx),Z1267*10000+ROW(),0)</f>
        <v>0</v>
      </c>
      <c r="AD1267" s="40">
        <f>IF(AC1267=0,0,COUNTIFS(L_CalChave,"&gt;0",L_CalChave,"&lt;"&amp;AC1267)+1)</f>
        <v>0</v>
      </c>
    </row>
    <row r="1268">
      <c r="A1268" s="38" t="n"/>
      <c r="B1268" s="39" t="n"/>
      <c r="C1268" s="34" t="n"/>
      <c r="D1268" s="34" t="n"/>
      <c r="E1268" s="34" t="n"/>
      <c r="F1268" s="34" t="n"/>
      <c r="G1268" s="34" t="n"/>
      <c r="H1268" s="37" t="n"/>
      <c r="I1268" s="37" t="n"/>
      <c r="J1268" s="34" t="n"/>
      <c r="K1268" s="34" t="n"/>
      <c r="L1268" s="34" t="n"/>
      <c r="M1268" s="39" t="n"/>
      <c r="N1268" s="35" t="n"/>
      <c r="O1268" s="40" t="str">
        <f>IF($A1268="","",MONTH($A1268))</f>
        <v/>
      </c>
      <c r="P1268" s="40" t="str">
        <f>IF($A1268="","",YEAR($A1268))</f>
        <v/>
      </c>
      <c r="Q1268" s="41" t="str">
        <f>IF($A1268="","",DATE(P1268,O1268,1))</f>
        <v/>
      </c>
      <c r="R1268" s="36" t="str">
        <f>IF(OR($A1268="",$N1268=""),"",IF(AND($C1268&lt;&gt;"Transferência",N($I1268)&gt;1),$N1268/$I1268,$N1268))</f>
        <v/>
      </c>
      <c r="S1268" s="41" t="str">
        <f>IF(OR($A1268="",$F1268="",$C1268&lt;&gt;"Despesa"),"",IF(COUNTIF(Cartoes_Nome,$F1268)=0,"",DATE(P1268,O1268+IF(DAY($A1268)&gt;=INDEX(Cartoes_Fech,MATCH($F1268,Cartoes_Nome,0)),1,0),1)))</f>
        <v/>
      </c>
      <c r="T1268" s="42" t="str">
        <f>IF($A1268="","",IF(COUNTIFS(L_Data,$A1268,L_Desc,$B1268,L_Valor,$N1268,L_Tipo,$C1268)&gt;1,"⚠ Possível duplicidade",IF(OR(AND($C1268="Despesa",COUNTIF(CatD_Nome,$D1268)=0),AND($C1268="Receita",COUNTIF(CatR_Nome,$D1268)=0)),"⚠ Categoria não combina com o tipo",IF(OR($N1268="",$C1268=""),"⚠ Falta valor ou tipo",""))))</f>
        <v/>
      </c>
      <c r="U1268" s="40">
        <f>IF($A1268="",0,P1268*12+O1268)</f>
        <v>0</v>
      </c>
      <c r="V1268" s="40">
        <f>IF($A1268="",0,U1268+MAX(0,N($I1268)-MAX(N($H1268),1)))</f>
        <v>0</v>
      </c>
      <c r="W1268" s="40">
        <f>IF(S1268="",0,YEAR(S1268)*12+MONTH(S1268))</f>
        <v>0</v>
      </c>
      <c r="X1268" s="40">
        <f>IF(W1268=0,0,W1268+V1268-U1268)</f>
        <v>0</v>
      </c>
      <c r="Y1268" s="36">
        <f>IF(W1268=0,0,N(R1268)*MAX(0,X1268-MAX(W1268,YEAR(Cfg_Hoje)*12+MONTH(Cfg_Hoje)+IF(DAY(Cfg_Hoje)&gt;=INDEX(Cartoes_Fech,MATCH($F1268,Cartoes_Nome,0)),1,0))+1))</f>
        <v>0</v>
      </c>
      <c r="Z1268" s="40">
        <f>IF($A1268="",0,DAY($A1268))</f>
        <v>0</v>
      </c>
      <c r="AA1268" s="40">
        <f>IF($A1268="",0,WEEKDAY($A1268))</f>
        <v>0</v>
      </c>
      <c r="AB1268" s="36">
        <f>IF(AND($C1268="Despesa",U1268&gt;0,U1268&lt;=Sel_Idx,V1268&gt;=Sel_Idx),N(R1268)+ROW()/1000000000,0)</f>
        <v>0</v>
      </c>
      <c r="AC1268" s="40">
        <f>IF(AND($C1268="Despesa",U1268&gt;0,U1268&lt;=Sel_Idx,V1268&gt;=Sel_Idx),Z1268*10000+ROW(),0)</f>
        <v>0</v>
      </c>
      <c r="AD1268" s="40">
        <f>IF(AC1268=0,0,COUNTIFS(L_CalChave,"&gt;0",L_CalChave,"&lt;"&amp;AC1268)+1)</f>
        <v>0</v>
      </c>
    </row>
    <row r="1269">
      <c r="A1269" s="38" t="n"/>
      <c r="B1269" s="39" t="n"/>
      <c r="C1269" s="34" t="n"/>
      <c r="D1269" s="34" t="n"/>
      <c r="E1269" s="34" t="n"/>
      <c r="F1269" s="34" t="n"/>
      <c r="G1269" s="34" t="n"/>
      <c r="H1269" s="37" t="n"/>
      <c r="I1269" s="37" t="n"/>
      <c r="J1269" s="34" t="n"/>
      <c r="K1269" s="34" t="n"/>
      <c r="L1269" s="34" t="n"/>
      <c r="M1269" s="39" t="n"/>
      <c r="N1269" s="35" t="n"/>
      <c r="O1269" s="40" t="str">
        <f>IF($A1269="","",MONTH($A1269))</f>
        <v/>
      </c>
      <c r="P1269" s="40" t="str">
        <f>IF($A1269="","",YEAR($A1269))</f>
        <v/>
      </c>
      <c r="Q1269" s="41" t="str">
        <f>IF($A1269="","",DATE(P1269,O1269,1))</f>
        <v/>
      </c>
      <c r="R1269" s="36" t="str">
        <f>IF(OR($A1269="",$N1269=""),"",IF(AND($C1269&lt;&gt;"Transferência",N($I1269)&gt;1),$N1269/$I1269,$N1269))</f>
        <v/>
      </c>
      <c r="S1269" s="41" t="str">
        <f>IF(OR($A1269="",$F1269="",$C1269&lt;&gt;"Despesa"),"",IF(COUNTIF(Cartoes_Nome,$F1269)=0,"",DATE(P1269,O1269+IF(DAY($A1269)&gt;=INDEX(Cartoes_Fech,MATCH($F1269,Cartoes_Nome,0)),1,0),1)))</f>
        <v/>
      </c>
      <c r="T1269" s="42" t="str">
        <f>IF($A1269="","",IF(COUNTIFS(L_Data,$A1269,L_Desc,$B1269,L_Valor,$N1269,L_Tipo,$C1269)&gt;1,"⚠ Possível duplicidade",IF(OR(AND($C1269="Despesa",COUNTIF(CatD_Nome,$D1269)=0),AND($C1269="Receita",COUNTIF(CatR_Nome,$D1269)=0)),"⚠ Categoria não combina com o tipo",IF(OR($N1269="",$C1269=""),"⚠ Falta valor ou tipo",""))))</f>
        <v/>
      </c>
      <c r="U1269" s="40">
        <f>IF($A1269="",0,P1269*12+O1269)</f>
        <v>0</v>
      </c>
      <c r="V1269" s="40">
        <f>IF($A1269="",0,U1269+MAX(0,N($I1269)-MAX(N($H1269),1)))</f>
        <v>0</v>
      </c>
      <c r="W1269" s="40">
        <f>IF(S1269="",0,YEAR(S1269)*12+MONTH(S1269))</f>
        <v>0</v>
      </c>
      <c r="X1269" s="40">
        <f>IF(W1269=0,0,W1269+V1269-U1269)</f>
        <v>0</v>
      </c>
      <c r="Y1269" s="36">
        <f>IF(W1269=0,0,N(R1269)*MAX(0,X1269-MAX(W1269,YEAR(Cfg_Hoje)*12+MONTH(Cfg_Hoje)+IF(DAY(Cfg_Hoje)&gt;=INDEX(Cartoes_Fech,MATCH($F1269,Cartoes_Nome,0)),1,0))+1))</f>
        <v>0</v>
      </c>
      <c r="Z1269" s="40">
        <f>IF($A1269="",0,DAY($A1269))</f>
        <v>0</v>
      </c>
      <c r="AA1269" s="40">
        <f>IF($A1269="",0,WEEKDAY($A1269))</f>
        <v>0</v>
      </c>
      <c r="AB1269" s="36">
        <f>IF(AND($C1269="Despesa",U1269&gt;0,U1269&lt;=Sel_Idx,V1269&gt;=Sel_Idx),N(R1269)+ROW()/1000000000,0)</f>
        <v>0</v>
      </c>
      <c r="AC1269" s="40">
        <f>IF(AND($C1269="Despesa",U1269&gt;0,U1269&lt;=Sel_Idx,V1269&gt;=Sel_Idx),Z1269*10000+ROW(),0)</f>
        <v>0</v>
      </c>
      <c r="AD1269" s="40">
        <f>IF(AC1269=0,0,COUNTIFS(L_CalChave,"&gt;0",L_CalChave,"&lt;"&amp;AC1269)+1)</f>
        <v>0</v>
      </c>
    </row>
    <row r="1270">
      <c r="A1270" s="38" t="n"/>
      <c r="B1270" s="39" t="n"/>
      <c r="C1270" s="34" t="n"/>
      <c r="D1270" s="34" t="n"/>
      <c r="E1270" s="34" t="n"/>
      <c r="F1270" s="34" t="n"/>
      <c r="G1270" s="34" t="n"/>
      <c r="H1270" s="37" t="n"/>
      <c r="I1270" s="37" t="n"/>
      <c r="J1270" s="34" t="n"/>
      <c r="K1270" s="34" t="n"/>
      <c r="L1270" s="34" t="n"/>
      <c r="M1270" s="39" t="n"/>
      <c r="N1270" s="35" t="n"/>
      <c r="O1270" s="40" t="str">
        <f>IF($A1270="","",MONTH($A1270))</f>
        <v/>
      </c>
      <c r="P1270" s="40" t="str">
        <f>IF($A1270="","",YEAR($A1270))</f>
        <v/>
      </c>
      <c r="Q1270" s="41" t="str">
        <f>IF($A1270="","",DATE(P1270,O1270,1))</f>
        <v/>
      </c>
      <c r="R1270" s="36" t="str">
        <f>IF(OR($A1270="",$N1270=""),"",IF(AND($C1270&lt;&gt;"Transferência",N($I1270)&gt;1),$N1270/$I1270,$N1270))</f>
        <v/>
      </c>
      <c r="S1270" s="41" t="str">
        <f>IF(OR($A1270="",$F1270="",$C1270&lt;&gt;"Despesa"),"",IF(COUNTIF(Cartoes_Nome,$F1270)=0,"",DATE(P1270,O1270+IF(DAY($A1270)&gt;=INDEX(Cartoes_Fech,MATCH($F1270,Cartoes_Nome,0)),1,0),1)))</f>
        <v/>
      </c>
      <c r="T1270" s="42" t="str">
        <f>IF($A1270="","",IF(COUNTIFS(L_Data,$A1270,L_Desc,$B1270,L_Valor,$N1270,L_Tipo,$C1270)&gt;1,"⚠ Possível duplicidade",IF(OR(AND($C1270="Despesa",COUNTIF(CatD_Nome,$D1270)=0),AND($C1270="Receita",COUNTIF(CatR_Nome,$D1270)=0)),"⚠ Categoria não combina com o tipo",IF(OR($N1270="",$C1270=""),"⚠ Falta valor ou tipo",""))))</f>
        <v/>
      </c>
      <c r="U1270" s="40">
        <f>IF($A1270="",0,P1270*12+O1270)</f>
        <v>0</v>
      </c>
      <c r="V1270" s="40">
        <f>IF($A1270="",0,U1270+MAX(0,N($I1270)-MAX(N($H1270),1)))</f>
        <v>0</v>
      </c>
      <c r="W1270" s="40">
        <f>IF(S1270="",0,YEAR(S1270)*12+MONTH(S1270))</f>
        <v>0</v>
      </c>
      <c r="X1270" s="40">
        <f>IF(W1270=0,0,W1270+V1270-U1270)</f>
        <v>0</v>
      </c>
      <c r="Y1270" s="36">
        <f>IF(W1270=0,0,N(R1270)*MAX(0,X1270-MAX(W1270,YEAR(Cfg_Hoje)*12+MONTH(Cfg_Hoje)+IF(DAY(Cfg_Hoje)&gt;=INDEX(Cartoes_Fech,MATCH($F1270,Cartoes_Nome,0)),1,0))+1))</f>
        <v>0</v>
      </c>
      <c r="Z1270" s="40">
        <f>IF($A1270="",0,DAY($A1270))</f>
        <v>0</v>
      </c>
      <c r="AA1270" s="40">
        <f>IF($A1270="",0,WEEKDAY($A1270))</f>
        <v>0</v>
      </c>
      <c r="AB1270" s="36">
        <f>IF(AND($C1270="Despesa",U1270&gt;0,U1270&lt;=Sel_Idx,V1270&gt;=Sel_Idx),N(R1270)+ROW()/1000000000,0)</f>
        <v>0</v>
      </c>
      <c r="AC1270" s="40">
        <f>IF(AND($C1270="Despesa",U1270&gt;0,U1270&lt;=Sel_Idx,V1270&gt;=Sel_Idx),Z1270*10000+ROW(),0)</f>
        <v>0</v>
      </c>
      <c r="AD1270" s="40">
        <f>IF(AC1270=0,0,COUNTIFS(L_CalChave,"&gt;0",L_CalChave,"&lt;"&amp;AC1270)+1)</f>
        <v>0</v>
      </c>
    </row>
    <row r="1271">
      <c r="A1271" s="38" t="n"/>
      <c r="B1271" s="39" t="n"/>
      <c r="C1271" s="34" t="n"/>
      <c r="D1271" s="34" t="n"/>
      <c r="E1271" s="34" t="n"/>
      <c r="F1271" s="34" t="n"/>
      <c r="G1271" s="34" t="n"/>
      <c r="H1271" s="37" t="n"/>
      <c r="I1271" s="37" t="n"/>
      <c r="J1271" s="34" t="n"/>
      <c r="K1271" s="34" t="n"/>
      <c r="L1271" s="34" t="n"/>
      <c r="M1271" s="39" t="n"/>
      <c r="N1271" s="35" t="n"/>
      <c r="O1271" s="40" t="str">
        <f>IF($A1271="","",MONTH($A1271))</f>
        <v/>
      </c>
      <c r="P1271" s="40" t="str">
        <f>IF($A1271="","",YEAR($A1271))</f>
        <v/>
      </c>
      <c r="Q1271" s="41" t="str">
        <f>IF($A1271="","",DATE(P1271,O1271,1))</f>
        <v/>
      </c>
      <c r="R1271" s="36" t="str">
        <f>IF(OR($A1271="",$N1271=""),"",IF(AND($C1271&lt;&gt;"Transferência",N($I1271)&gt;1),$N1271/$I1271,$N1271))</f>
        <v/>
      </c>
      <c r="S1271" s="41" t="str">
        <f>IF(OR($A1271="",$F1271="",$C1271&lt;&gt;"Despesa"),"",IF(COUNTIF(Cartoes_Nome,$F1271)=0,"",DATE(P1271,O1271+IF(DAY($A1271)&gt;=INDEX(Cartoes_Fech,MATCH($F1271,Cartoes_Nome,0)),1,0),1)))</f>
        <v/>
      </c>
      <c r="T1271" s="42" t="str">
        <f>IF($A1271="","",IF(COUNTIFS(L_Data,$A1271,L_Desc,$B1271,L_Valor,$N1271,L_Tipo,$C1271)&gt;1,"⚠ Possível duplicidade",IF(OR(AND($C1271="Despesa",COUNTIF(CatD_Nome,$D1271)=0),AND($C1271="Receita",COUNTIF(CatR_Nome,$D1271)=0)),"⚠ Categoria não combina com o tipo",IF(OR($N1271="",$C1271=""),"⚠ Falta valor ou tipo",""))))</f>
        <v/>
      </c>
      <c r="U1271" s="40">
        <f>IF($A1271="",0,P1271*12+O1271)</f>
        <v>0</v>
      </c>
      <c r="V1271" s="40">
        <f>IF($A1271="",0,U1271+MAX(0,N($I1271)-MAX(N($H1271),1)))</f>
        <v>0</v>
      </c>
      <c r="W1271" s="40">
        <f>IF(S1271="",0,YEAR(S1271)*12+MONTH(S1271))</f>
        <v>0</v>
      </c>
      <c r="X1271" s="40">
        <f>IF(W1271=0,0,W1271+V1271-U1271)</f>
        <v>0</v>
      </c>
      <c r="Y1271" s="36">
        <f>IF(W1271=0,0,N(R1271)*MAX(0,X1271-MAX(W1271,YEAR(Cfg_Hoje)*12+MONTH(Cfg_Hoje)+IF(DAY(Cfg_Hoje)&gt;=INDEX(Cartoes_Fech,MATCH($F1271,Cartoes_Nome,0)),1,0))+1))</f>
        <v>0</v>
      </c>
      <c r="Z1271" s="40">
        <f>IF($A1271="",0,DAY($A1271))</f>
        <v>0</v>
      </c>
      <c r="AA1271" s="40">
        <f>IF($A1271="",0,WEEKDAY($A1271))</f>
        <v>0</v>
      </c>
      <c r="AB1271" s="36">
        <f>IF(AND($C1271="Despesa",U1271&gt;0,U1271&lt;=Sel_Idx,V1271&gt;=Sel_Idx),N(R1271)+ROW()/1000000000,0)</f>
        <v>0</v>
      </c>
      <c r="AC1271" s="40">
        <f>IF(AND($C1271="Despesa",U1271&gt;0,U1271&lt;=Sel_Idx,V1271&gt;=Sel_Idx),Z1271*10000+ROW(),0)</f>
        <v>0</v>
      </c>
      <c r="AD1271" s="40">
        <f>IF(AC1271=0,0,COUNTIFS(L_CalChave,"&gt;0",L_CalChave,"&lt;"&amp;AC1271)+1)</f>
        <v>0</v>
      </c>
    </row>
    <row r="1272">
      <c r="A1272" s="38" t="n"/>
      <c r="B1272" s="39" t="n"/>
      <c r="C1272" s="34" t="n"/>
      <c r="D1272" s="34" t="n"/>
      <c r="E1272" s="34" t="n"/>
      <c r="F1272" s="34" t="n"/>
      <c r="G1272" s="34" t="n"/>
      <c r="H1272" s="37" t="n"/>
      <c r="I1272" s="37" t="n"/>
      <c r="J1272" s="34" t="n"/>
      <c r="K1272" s="34" t="n"/>
      <c r="L1272" s="34" t="n"/>
      <c r="M1272" s="39" t="n"/>
      <c r="N1272" s="35" t="n"/>
      <c r="O1272" s="40" t="str">
        <f>IF($A1272="","",MONTH($A1272))</f>
        <v/>
      </c>
      <c r="P1272" s="40" t="str">
        <f>IF($A1272="","",YEAR($A1272))</f>
        <v/>
      </c>
      <c r="Q1272" s="41" t="str">
        <f>IF($A1272="","",DATE(P1272,O1272,1))</f>
        <v/>
      </c>
      <c r="R1272" s="36" t="str">
        <f>IF(OR($A1272="",$N1272=""),"",IF(AND($C1272&lt;&gt;"Transferência",N($I1272)&gt;1),$N1272/$I1272,$N1272))</f>
        <v/>
      </c>
      <c r="S1272" s="41" t="str">
        <f>IF(OR($A1272="",$F1272="",$C1272&lt;&gt;"Despesa"),"",IF(COUNTIF(Cartoes_Nome,$F1272)=0,"",DATE(P1272,O1272+IF(DAY($A1272)&gt;=INDEX(Cartoes_Fech,MATCH($F1272,Cartoes_Nome,0)),1,0),1)))</f>
        <v/>
      </c>
      <c r="T1272" s="42" t="str">
        <f>IF($A1272="","",IF(COUNTIFS(L_Data,$A1272,L_Desc,$B1272,L_Valor,$N1272,L_Tipo,$C1272)&gt;1,"⚠ Possível duplicidade",IF(OR(AND($C1272="Despesa",COUNTIF(CatD_Nome,$D1272)=0),AND($C1272="Receita",COUNTIF(CatR_Nome,$D1272)=0)),"⚠ Categoria não combina com o tipo",IF(OR($N1272="",$C1272=""),"⚠ Falta valor ou tipo",""))))</f>
        <v/>
      </c>
      <c r="U1272" s="40">
        <f>IF($A1272="",0,P1272*12+O1272)</f>
        <v>0</v>
      </c>
      <c r="V1272" s="40">
        <f>IF($A1272="",0,U1272+MAX(0,N($I1272)-MAX(N($H1272),1)))</f>
        <v>0</v>
      </c>
      <c r="W1272" s="40">
        <f>IF(S1272="",0,YEAR(S1272)*12+MONTH(S1272))</f>
        <v>0</v>
      </c>
      <c r="X1272" s="40">
        <f>IF(W1272=0,0,W1272+V1272-U1272)</f>
        <v>0</v>
      </c>
      <c r="Y1272" s="36">
        <f>IF(W1272=0,0,N(R1272)*MAX(0,X1272-MAX(W1272,YEAR(Cfg_Hoje)*12+MONTH(Cfg_Hoje)+IF(DAY(Cfg_Hoje)&gt;=INDEX(Cartoes_Fech,MATCH($F1272,Cartoes_Nome,0)),1,0))+1))</f>
        <v>0</v>
      </c>
      <c r="Z1272" s="40">
        <f>IF($A1272="",0,DAY($A1272))</f>
        <v>0</v>
      </c>
      <c r="AA1272" s="40">
        <f>IF($A1272="",0,WEEKDAY($A1272))</f>
        <v>0</v>
      </c>
      <c r="AB1272" s="36">
        <f>IF(AND($C1272="Despesa",U1272&gt;0,U1272&lt;=Sel_Idx,V1272&gt;=Sel_Idx),N(R1272)+ROW()/1000000000,0)</f>
        <v>0</v>
      </c>
      <c r="AC1272" s="40">
        <f>IF(AND($C1272="Despesa",U1272&gt;0,U1272&lt;=Sel_Idx,V1272&gt;=Sel_Idx),Z1272*10000+ROW(),0)</f>
        <v>0</v>
      </c>
      <c r="AD1272" s="40">
        <f>IF(AC1272=0,0,COUNTIFS(L_CalChave,"&gt;0",L_CalChave,"&lt;"&amp;AC1272)+1)</f>
        <v>0</v>
      </c>
    </row>
    <row r="1273">
      <c r="A1273" s="38" t="n"/>
      <c r="B1273" s="39" t="n"/>
      <c r="C1273" s="34" t="n"/>
      <c r="D1273" s="34" t="n"/>
      <c r="E1273" s="34" t="n"/>
      <c r="F1273" s="34" t="n"/>
      <c r="G1273" s="34" t="n"/>
      <c r="H1273" s="37" t="n"/>
      <c r="I1273" s="37" t="n"/>
      <c r="J1273" s="34" t="n"/>
      <c r="K1273" s="34" t="n"/>
      <c r="L1273" s="34" t="n"/>
      <c r="M1273" s="39" t="n"/>
      <c r="N1273" s="35" t="n"/>
      <c r="O1273" s="40" t="str">
        <f>IF($A1273="","",MONTH($A1273))</f>
        <v/>
      </c>
      <c r="P1273" s="40" t="str">
        <f>IF($A1273="","",YEAR($A1273))</f>
        <v/>
      </c>
      <c r="Q1273" s="41" t="str">
        <f>IF($A1273="","",DATE(P1273,O1273,1))</f>
        <v/>
      </c>
      <c r="R1273" s="36" t="str">
        <f>IF(OR($A1273="",$N1273=""),"",IF(AND($C1273&lt;&gt;"Transferência",N($I1273)&gt;1),$N1273/$I1273,$N1273))</f>
        <v/>
      </c>
      <c r="S1273" s="41" t="str">
        <f>IF(OR($A1273="",$F1273="",$C1273&lt;&gt;"Despesa"),"",IF(COUNTIF(Cartoes_Nome,$F1273)=0,"",DATE(P1273,O1273+IF(DAY($A1273)&gt;=INDEX(Cartoes_Fech,MATCH($F1273,Cartoes_Nome,0)),1,0),1)))</f>
        <v/>
      </c>
      <c r="T1273" s="42" t="str">
        <f>IF($A1273="","",IF(COUNTIFS(L_Data,$A1273,L_Desc,$B1273,L_Valor,$N1273,L_Tipo,$C1273)&gt;1,"⚠ Possível duplicidade",IF(OR(AND($C1273="Despesa",COUNTIF(CatD_Nome,$D1273)=0),AND($C1273="Receita",COUNTIF(CatR_Nome,$D1273)=0)),"⚠ Categoria não combina com o tipo",IF(OR($N1273="",$C1273=""),"⚠ Falta valor ou tipo",""))))</f>
        <v/>
      </c>
      <c r="U1273" s="40">
        <f>IF($A1273="",0,P1273*12+O1273)</f>
        <v>0</v>
      </c>
      <c r="V1273" s="40">
        <f>IF($A1273="",0,U1273+MAX(0,N($I1273)-MAX(N($H1273),1)))</f>
        <v>0</v>
      </c>
      <c r="W1273" s="40">
        <f>IF(S1273="",0,YEAR(S1273)*12+MONTH(S1273))</f>
        <v>0</v>
      </c>
      <c r="X1273" s="40">
        <f>IF(W1273=0,0,W1273+V1273-U1273)</f>
        <v>0</v>
      </c>
      <c r="Y1273" s="36">
        <f>IF(W1273=0,0,N(R1273)*MAX(0,X1273-MAX(W1273,YEAR(Cfg_Hoje)*12+MONTH(Cfg_Hoje)+IF(DAY(Cfg_Hoje)&gt;=INDEX(Cartoes_Fech,MATCH($F1273,Cartoes_Nome,0)),1,0))+1))</f>
        <v>0</v>
      </c>
      <c r="Z1273" s="40">
        <f>IF($A1273="",0,DAY($A1273))</f>
        <v>0</v>
      </c>
      <c r="AA1273" s="40">
        <f>IF($A1273="",0,WEEKDAY($A1273))</f>
        <v>0</v>
      </c>
      <c r="AB1273" s="36">
        <f>IF(AND($C1273="Despesa",U1273&gt;0,U1273&lt;=Sel_Idx,V1273&gt;=Sel_Idx),N(R1273)+ROW()/1000000000,0)</f>
        <v>0</v>
      </c>
      <c r="AC1273" s="40">
        <f>IF(AND($C1273="Despesa",U1273&gt;0,U1273&lt;=Sel_Idx,V1273&gt;=Sel_Idx),Z1273*10000+ROW(),0)</f>
        <v>0</v>
      </c>
      <c r="AD1273" s="40">
        <f>IF(AC1273=0,0,COUNTIFS(L_CalChave,"&gt;0",L_CalChave,"&lt;"&amp;AC1273)+1)</f>
        <v>0</v>
      </c>
    </row>
    <row r="1274">
      <c r="A1274" s="38" t="n"/>
      <c r="B1274" s="39" t="n"/>
      <c r="C1274" s="34" t="n"/>
      <c r="D1274" s="34" t="n"/>
      <c r="E1274" s="34" t="n"/>
      <c r="F1274" s="34" t="n"/>
      <c r="G1274" s="34" t="n"/>
      <c r="H1274" s="37" t="n"/>
      <c r="I1274" s="37" t="n"/>
      <c r="J1274" s="34" t="n"/>
      <c r="K1274" s="34" t="n"/>
      <c r="L1274" s="34" t="n"/>
      <c r="M1274" s="39" t="n"/>
      <c r="N1274" s="35" t="n"/>
      <c r="O1274" s="40" t="str">
        <f>IF($A1274="","",MONTH($A1274))</f>
        <v/>
      </c>
      <c r="P1274" s="40" t="str">
        <f>IF($A1274="","",YEAR($A1274))</f>
        <v/>
      </c>
      <c r="Q1274" s="41" t="str">
        <f>IF($A1274="","",DATE(P1274,O1274,1))</f>
        <v/>
      </c>
      <c r="R1274" s="36" t="str">
        <f>IF(OR($A1274="",$N1274=""),"",IF(AND($C1274&lt;&gt;"Transferência",N($I1274)&gt;1),$N1274/$I1274,$N1274))</f>
        <v/>
      </c>
      <c r="S1274" s="41" t="str">
        <f>IF(OR($A1274="",$F1274="",$C1274&lt;&gt;"Despesa"),"",IF(COUNTIF(Cartoes_Nome,$F1274)=0,"",DATE(P1274,O1274+IF(DAY($A1274)&gt;=INDEX(Cartoes_Fech,MATCH($F1274,Cartoes_Nome,0)),1,0),1)))</f>
        <v/>
      </c>
      <c r="T1274" s="42" t="str">
        <f>IF($A1274="","",IF(COUNTIFS(L_Data,$A1274,L_Desc,$B1274,L_Valor,$N1274,L_Tipo,$C1274)&gt;1,"⚠ Possível duplicidade",IF(OR(AND($C1274="Despesa",COUNTIF(CatD_Nome,$D1274)=0),AND($C1274="Receita",COUNTIF(CatR_Nome,$D1274)=0)),"⚠ Categoria não combina com o tipo",IF(OR($N1274="",$C1274=""),"⚠ Falta valor ou tipo",""))))</f>
        <v/>
      </c>
      <c r="U1274" s="40">
        <f>IF($A1274="",0,P1274*12+O1274)</f>
        <v>0</v>
      </c>
      <c r="V1274" s="40">
        <f>IF($A1274="",0,U1274+MAX(0,N($I1274)-MAX(N($H1274),1)))</f>
        <v>0</v>
      </c>
      <c r="W1274" s="40">
        <f>IF(S1274="",0,YEAR(S1274)*12+MONTH(S1274))</f>
        <v>0</v>
      </c>
      <c r="X1274" s="40">
        <f>IF(W1274=0,0,W1274+V1274-U1274)</f>
        <v>0</v>
      </c>
      <c r="Y1274" s="36">
        <f>IF(W1274=0,0,N(R1274)*MAX(0,X1274-MAX(W1274,YEAR(Cfg_Hoje)*12+MONTH(Cfg_Hoje)+IF(DAY(Cfg_Hoje)&gt;=INDEX(Cartoes_Fech,MATCH($F1274,Cartoes_Nome,0)),1,0))+1))</f>
        <v>0</v>
      </c>
      <c r="Z1274" s="40">
        <f>IF($A1274="",0,DAY($A1274))</f>
        <v>0</v>
      </c>
      <c r="AA1274" s="40">
        <f>IF($A1274="",0,WEEKDAY($A1274))</f>
        <v>0</v>
      </c>
      <c r="AB1274" s="36">
        <f>IF(AND($C1274="Despesa",U1274&gt;0,U1274&lt;=Sel_Idx,V1274&gt;=Sel_Idx),N(R1274)+ROW()/1000000000,0)</f>
        <v>0</v>
      </c>
      <c r="AC1274" s="40">
        <f>IF(AND($C1274="Despesa",U1274&gt;0,U1274&lt;=Sel_Idx,V1274&gt;=Sel_Idx),Z1274*10000+ROW(),0)</f>
        <v>0</v>
      </c>
      <c r="AD1274" s="40">
        <f>IF(AC1274=0,0,COUNTIFS(L_CalChave,"&gt;0",L_CalChave,"&lt;"&amp;AC1274)+1)</f>
        <v>0</v>
      </c>
    </row>
    <row r="1275">
      <c r="A1275" s="38" t="n"/>
      <c r="B1275" s="39" t="n"/>
      <c r="C1275" s="34" t="n"/>
      <c r="D1275" s="34" t="n"/>
      <c r="E1275" s="34" t="n"/>
      <c r="F1275" s="34" t="n"/>
      <c r="G1275" s="34" t="n"/>
      <c r="H1275" s="37" t="n"/>
      <c r="I1275" s="37" t="n"/>
      <c r="J1275" s="34" t="n"/>
      <c r="K1275" s="34" t="n"/>
      <c r="L1275" s="34" t="n"/>
      <c r="M1275" s="39" t="n"/>
      <c r="N1275" s="35" t="n"/>
      <c r="O1275" s="40" t="str">
        <f>IF($A1275="","",MONTH($A1275))</f>
        <v/>
      </c>
      <c r="P1275" s="40" t="str">
        <f>IF($A1275="","",YEAR($A1275))</f>
        <v/>
      </c>
      <c r="Q1275" s="41" t="str">
        <f>IF($A1275="","",DATE(P1275,O1275,1))</f>
        <v/>
      </c>
      <c r="R1275" s="36" t="str">
        <f>IF(OR($A1275="",$N1275=""),"",IF(AND($C1275&lt;&gt;"Transferência",N($I1275)&gt;1),$N1275/$I1275,$N1275))</f>
        <v/>
      </c>
      <c r="S1275" s="41" t="str">
        <f>IF(OR($A1275="",$F1275="",$C1275&lt;&gt;"Despesa"),"",IF(COUNTIF(Cartoes_Nome,$F1275)=0,"",DATE(P1275,O1275+IF(DAY($A1275)&gt;=INDEX(Cartoes_Fech,MATCH($F1275,Cartoes_Nome,0)),1,0),1)))</f>
        <v/>
      </c>
      <c r="T1275" s="42" t="str">
        <f>IF($A1275="","",IF(COUNTIFS(L_Data,$A1275,L_Desc,$B1275,L_Valor,$N1275,L_Tipo,$C1275)&gt;1,"⚠ Possível duplicidade",IF(OR(AND($C1275="Despesa",COUNTIF(CatD_Nome,$D1275)=0),AND($C1275="Receita",COUNTIF(CatR_Nome,$D1275)=0)),"⚠ Categoria não combina com o tipo",IF(OR($N1275="",$C1275=""),"⚠ Falta valor ou tipo",""))))</f>
        <v/>
      </c>
      <c r="U1275" s="40">
        <f>IF($A1275="",0,P1275*12+O1275)</f>
        <v>0</v>
      </c>
      <c r="V1275" s="40">
        <f>IF($A1275="",0,U1275+MAX(0,N($I1275)-MAX(N($H1275),1)))</f>
        <v>0</v>
      </c>
      <c r="W1275" s="40">
        <f>IF(S1275="",0,YEAR(S1275)*12+MONTH(S1275))</f>
        <v>0</v>
      </c>
      <c r="X1275" s="40">
        <f>IF(W1275=0,0,W1275+V1275-U1275)</f>
        <v>0</v>
      </c>
      <c r="Y1275" s="36">
        <f>IF(W1275=0,0,N(R1275)*MAX(0,X1275-MAX(W1275,YEAR(Cfg_Hoje)*12+MONTH(Cfg_Hoje)+IF(DAY(Cfg_Hoje)&gt;=INDEX(Cartoes_Fech,MATCH($F1275,Cartoes_Nome,0)),1,0))+1))</f>
        <v>0</v>
      </c>
      <c r="Z1275" s="40">
        <f>IF($A1275="",0,DAY($A1275))</f>
        <v>0</v>
      </c>
      <c r="AA1275" s="40">
        <f>IF($A1275="",0,WEEKDAY($A1275))</f>
        <v>0</v>
      </c>
      <c r="AB1275" s="36">
        <f>IF(AND($C1275="Despesa",U1275&gt;0,U1275&lt;=Sel_Idx,V1275&gt;=Sel_Idx),N(R1275)+ROW()/1000000000,0)</f>
        <v>0</v>
      </c>
      <c r="AC1275" s="40">
        <f>IF(AND($C1275="Despesa",U1275&gt;0,U1275&lt;=Sel_Idx,V1275&gt;=Sel_Idx),Z1275*10000+ROW(),0)</f>
        <v>0</v>
      </c>
      <c r="AD1275" s="40">
        <f>IF(AC1275=0,0,COUNTIFS(L_CalChave,"&gt;0",L_CalChave,"&lt;"&amp;AC1275)+1)</f>
        <v>0</v>
      </c>
    </row>
    <row r="1276">
      <c r="A1276" s="38" t="n"/>
      <c r="B1276" s="39" t="n"/>
      <c r="C1276" s="34" t="n"/>
      <c r="D1276" s="34" t="n"/>
      <c r="E1276" s="34" t="n"/>
      <c r="F1276" s="34" t="n"/>
      <c r="G1276" s="34" t="n"/>
      <c r="H1276" s="37" t="n"/>
      <c r="I1276" s="37" t="n"/>
      <c r="J1276" s="34" t="n"/>
      <c r="K1276" s="34" t="n"/>
      <c r="L1276" s="34" t="n"/>
      <c r="M1276" s="39" t="n"/>
      <c r="N1276" s="35" t="n"/>
      <c r="O1276" s="40" t="str">
        <f>IF($A1276="","",MONTH($A1276))</f>
        <v/>
      </c>
      <c r="P1276" s="40" t="str">
        <f>IF($A1276="","",YEAR($A1276))</f>
        <v/>
      </c>
      <c r="Q1276" s="41" t="str">
        <f>IF($A1276="","",DATE(P1276,O1276,1))</f>
        <v/>
      </c>
      <c r="R1276" s="36" t="str">
        <f>IF(OR($A1276="",$N1276=""),"",IF(AND($C1276&lt;&gt;"Transferência",N($I1276)&gt;1),$N1276/$I1276,$N1276))</f>
        <v/>
      </c>
      <c r="S1276" s="41" t="str">
        <f>IF(OR($A1276="",$F1276="",$C1276&lt;&gt;"Despesa"),"",IF(COUNTIF(Cartoes_Nome,$F1276)=0,"",DATE(P1276,O1276+IF(DAY($A1276)&gt;=INDEX(Cartoes_Fech,MATCH($F1276,Cartoes_Nome,0)),1,0),1)))</f>
        <v/>
      </c>
      <c r="T1276" s="42" t="str">
        <f>IF($A1276="","",IF(COUNTIFS(L_Data,$A1276,L_Desc,$B1276,L_Valor,$N1276,L_Tipo,$C1276)&gt;1,"⚠ Possível duplicidade",IF(OR(AND($C1276="Despesa",COUNTIF(CatD_Nome,$D1276)=0),AND($C1276="Receita",COUNTIF(CatR_Nome,$D1276)=0)),"⚠ Categoria não combina com o tipo",IF(OR($N1276="",$C1276=""),"⚠ Falta valor ou tipo",""))))</f>
        <v/>
      </c>
      <c r="U1276" s="40">
        <f>IF($A1276="",0,P1276*12+O1276)</f>
        <v>0</v>
      </c>
      <c r="V1276" s="40">
        <f>IF($A1276="",0,U1276+MAX(0,N($I1276)-MAX(N($H1276),1)))</f>
        <v>0</v>
      </c>
      <c r="W1276" s="40">
        <f>IF(S1276="",0,YEAR(S1276)*12+MONTH(S1276))</f>
        <v>0</v>
      </c>
      <c r="X1276" s="40">
        <f>IF(W1276=0,0,W1276+V1276-U1276)</f>
        <v>0</v>
      </c>
      <c r="Y1276" s="36">
        <f>IF(W1276=0,0,N(R1276)*MAX(0,X1276-MAX(W1276,YEAR(Cfg_Hoje)*12+MONTH(Cfg_Hoje)+IF(DAY(Cfg_Hoje)&gt;=INDEX(Cartoes_Fech,MATCH($F1276,Cartoes_Nome,0)),1,0))+1))</f>
        <v>0</v>
      </c>
      <c r="Z1276" s="40">
        <f>IF($A1276="",0,DAY($A1276))</f>
        <v>0</v>
      </c>
      <c r="AA1276" s="40">
        <f>IF($A1276="",0,WEEKDAY($A1276))</f>
        <v>0</v>
      </c>
      <c r="AB1276" s="36">
        <f>IF(AND($C1276="Despesa",U1276&gt;0,U1276&lt;=Sel_Idx,V1276&gt;=Sel_Idx),N(R1276)+ROW()/1000000000,0)</f>
        <v>0</v>
      </c>
      <c r="AC1276" s="40">
        <f>IF(AND($C1276="Despesa",U1276&gt;0,U1276&lt;=Sel_Idx,V1276&gt;=Sel_Idx),Z1276*10000+ROW(),0)</f>
        <v>0</v>
      </c>
      <c r="AD1276" s="40">
        <f>IF(AC1276=0,0,COUNTIFS(L_CalChave,"&gt;0",L_CalChave,"&lt;"&amp;AC1276)+1)</f>
        <v>0</v>
      </c>
    </row>
    <row r="1277">
      <c r="A1277" s="38" t="n"/>
      <c r="B1277" s="39" t="n"/>
      <c r="C1277" s="34" t="n"/>
      <c r="D1277" s="34" t="n"/>
      <c r="E1277" s="34" t="n"/>
      <c r="F1277" s="34" t="n"/>
      <c r="G1277" s="34" t="n"/>
      <c r="H1277" s="37" t="n"/>
      <c r="I1277" s="37" t="n"/>
      <c r="J1277" s="34" t="n"/>
      <c r="K1277" s="34" t="n"/>
      <c r="L1277" s="34" t="n"/>
      <c r="M1277" s="39" t="n"/>
      <c r="N1277" s="35" t="n"/>
      <c r="O1277" s="40" t="str">
        <f>IF($A1277="","",MONTH($A1277))</f>
        <v/>
      </c>
      <c r="P1277" s="40" t="str">
        <f>IF($A1277="","",YEAR($A1277))</f>
        <v/>
      </c>
      <c r="Q1277" s="41" t="str">
        <f>IF($A1277="","",DATE(P1277,O1277,1))</f>
        <v/>
      </c>
      <c r="R1277" s="36" t="str">
        <f>IF(OR($A1277="",$N1277=""),"",IF(AND($C1277&lt;&gt;"Transferência",N($I1277)&gt;1),$N1277/$I1277,$N1277))</f>
        <v/>
      </c>
      <c r="S1277" s="41" t="str">
        <f>IF(OR($A1277="",$F1277="",$C1277&lt;&gt;"Despesa"),"",IF(COUNTIF(Cartoes_Nome,$F1277)=0,"",DATE(P1277,O1277+IF(DAY($A1277)&gt;=INDEX(Cartoes_Fech,MATCH($F1277,Cartoes_Nome,0)),1,0),1)))</f>
        <v/>
      </c>
      <c r="T1277" s="42" t="str">
        <f>IF($A1277="","",IF(COUNTIFS(L_Data,$A1277,L_Desc,$B1277,L_Valor,$N1277,L_Tipo,$C1277)&gt;1,"⚠ Possível duplicidade",IF(OR(AND($C1277="Despesa",COUNTIF(CatD_Nome,$D1277)=0),AND($C1277="Receita",COUNTIF(CatR_Nome,$D1277)=0)),"⚠ Categoria não combina com o tipo",IF(OR($N1277="",$C1277=""),"⚠ Falta valor ou tipo",""))))</f>
        <v/>
      </c>
      <c r="U1277" s="40">
        <f>IF($A1277="",0,P1277*12+O1277)</f>
        <v>0</v>
      </c>
      <c r="V1277" s="40">
        <f>IF($A1277="",0,U1277+MAX(0,N($I1277)-MAX(N($H1277),1)))</f>
        <v>0</v>
      </c>
      <c r="W1277" s="40">
        <f>IF(S1277="",0,YEAR(S1277)*12+MONTH(S1277))</f>
        <v>0</v>
      </c>
      <c r="X1277" s="40">
        <f>IF(W1277=0,0,W1277+V1277-U1277)</f>
        <v>0</v>
      </c>
      <c r="Y1277" s="36">
        <f>IF(W1277=0,0,N(R1277)*MAX(0,X1277-MAX(W1277,YEAR(Cfg_Hoje)*12+MONTH(Cfg_Hoje)+IF(DAY(Cfg_Hoje)&gt;=INDEX(Cartoes_Fech,MATCH($F1277,Cartoes_Nome,0)),1,0))+1))</f>
        <v>0</v>
      </c>
      <c r="Z1277" s="40">
        <f>IF($A1277="",0,DAY($A1277))</f>
        <v>0</v>
      </c>
      <c r="AA1277" s="40">
        <f>IF($A1277="",0,WEEKDAY($A1277))</f>
        <v>0</v>
      </c>
      <c r="AB1277" s="36">
        <f>IF(AND($C1277="Despesa",U1277&gt;0,U1277&lt;=Sel_Idx,V1277&gt;=Sel_Idx),N(R1277)+ROW()/1000000000,0)</f>
        <v>0</v>
      </c>
      <c r="AC1277" s="40">
        <f>IF(AND($C1277="Despesa",U1277&gt;0,U1277&lt;=Sel_Idx,V1277&gt;=Sel_Idx),Z1277*10000+ROW(),0)</f>
        <v>0</v>
      </c>
      <c r="AD1277" s="40">
        <f>IF(AC1277=0,0,COUNTIFS(L_CalChave,"&gt;0",L_CalChave,"&lt;"&amp;AC1277)+1)</f>
        <v>0</v>
      </c>
    </row>
    <row r="1278">
      <c r="A1278" s="38" t="n"/>
      <c r="B1278" s="39" t="n"/>
      <c r="C1278" s="34" t="n"/>
      <c r="D1278" s="34" t="n"/>
      <c r="E1278" s="34" t="n"/>
      <c r="F1278" s="34" t="n"/>
      <c r="G1278" s="34" t="n"/>
      <c r="H1278" s="37" t="n"/>
      <c r="I1278" s="37" t="n"/>
      <c r="J1278" s="34" t="n"/>
      <c r="K1278" s="34" t="n"/>
      <c r="L1278" s="34" t="n"/>
      <c r="M1278" s="39" t="n"/>
      <c r="N1278" s="35" t="n"/>
      <c r="O1278" s="40" t="str">
        <f>IF($A1278="","",MONTH($A1278))</f>
        <v/>
      </c>
      <c r="P1278" s="40" t="str">
        <f>IF($A1278="","",YEAR($A1278))</f>
        <v/>
      </c>
      <c r="Q1278" s="41" t="str">
        <f>IF($A1278="","",DATE(P1278,O1278,1))</f>
        <v/>
      </c>
      <c r="R1278" s="36" t="str">
        <f>IF(OR($A1278="",$N1278=""),"",IF(AND($C1278&lt;&gt;"Transferência",N($I1278)&gt;1),$N1278/$I1278,$N1278))</f>
        <v/>
      </c>
      <c r="S1278" s="41" t="str">
        <f>IF(OR($A1278="",$F1278="",$C1278&lt;&gt;"Despesa"),"",IF(COUNTIF(Cartoes_Nome,$F1278)=0,"",DATE(P1278,O1278+IF(DAY($A1278)&gt;=INDEX(Cartoes_Fech,MATCH($F1278,Cartoes_Nome,0)),1,0),1)))</f>
        <v/>
      </c>
      <c r="T1278" s="42" t="str">
        <f>IF($A1278="","",IF(COUNTIFS(L_Data,$A1278,L_Desc,$B1278,L_Valor,$N1278,L_Tipo,$C1278)&gt;1,"⚠ Possível duplicidade",IF(OR(AND($C1278="Despesa",COUNTIF(CatD_Nome,$D1278)=0),AND($C1278="Receita",COUNTIF(CatR_Nome,$D1278)=0)),"⚠ Categoria não combina com o tipo",IF(OR($N1278="",$C1278=""),"⚠ Falta valor ou tipo",""))))</f>
        <v/>
      </c>
      <c r="U1278" s="40">
        <f>IF($A1278="",0,P1278*12+O1278)</f>
        <v>0</v>
      </c>
      <c r="V1278" s="40">
        <f>IF($A1278="",0,U1278+MAX(0,N($I1278)-MAX(N($H1278),1)))</f>
        <v>0</v>
      </c>
      <c r="W1278" s="40">
        <f>IF(S1278="",0,YEAR(S1278)*12+MONTH(S1278))</f>
        <v>0</v>
      </c>
      <c r="X1278" s="40">
        <f>IF(W1278=0,0,W1278+V1278-U1278)</f>
        <v>0</v>
      </c>
      <c r="Y1278" s="36">
        <f>IF(W1278=0,0,N(R1278)*MAX(0,X1278-MAX(W1278,YEAR(Cfg_Hoje)*12+MONTH(Cfg_Hoje)+IF(DAY(Cfg_Hoje)&gt;=INDEX(Cartoes_Fech,MATCH($F1278,Cartoes_Nome,0)),1,0))+1))</f>
        <v>0</v>
      </c>
      <c r="Z1278" s="40">
        <f>IF($A1278="",0,DAY($A1278))</f>
        <v>0</v>
      </c>
      <c r="AA1278" s="40">
        <f>IF($A1278="",0,WEEKDAY($A1278))</f>
        <v>0</v>
      </c>
      <c r="AB1278" s="36">
        <f>IF(AND($C1278="Despesa",U1278&gt;0,U1278&lt;=Sel_Idx,V1278&gt;=Sel_Idx),N(R1278)+ROW()/1000000000,0)</f>
        <v>0</v>
      </c>
      <c r="AC1278" s="40">
        <f>IF(AND($C1278="Despesa",U1278&gt;0,U1278&lt;=Sel_Idx,V1278&gt;=Sel_Idx),Z1278*10000+ROW(),0)</f>
        <v>0</v>
      </c>
      <c r="AD1278" s="40">
        <f>IF(AC1278=0,0,COUNTIFS(L_CalChave,"&gt;0",L_CalChave,"&lt;"&amp;AC1278)+1)</f>
        <v>0</v>
      </c>
    </row>
    <row r="1279">
      <c r="A1279" s="38" t="n"/>
      <c r="B1279" s="39" t="n"/>
      <c r="C1279" s="34" t="n"/>
      <c r="D1279" s="34" t="n"/>
      <c r="E1279" s="34" t="n"/>
      <c r="F1279" s="34" t="n"/>
      <c r="G1279" s="34" t="n"/>
      <c r="H1279" s="37" t="n"/>
      <c r="I1279" s="37" t="n"/>
      <c r="J1279" s="34" t="n"/>
      <c r="K1279" s="34" t="n"/>
      <c r="L1279" s="34" t="n"/>
      <c r="M1279" s="39" t="n"/>
      <c r="N1279" s="35" t="n"/>
      <c r="O1279" s="40" t="str">
        <f>IF($A1279="","",MONTH($A1279))</f>
        <v/>
      </c>
      <c r="P1279" s="40" t="str">
        <f>IF($A1279="","",YEAR($A1279))</f>
        <v/>
      </c>
      <c r="Q1279" s="41" t="str">
        <f>IF($A1279="","",DATE(P1279,O1279,1))</f>
        <v/>
      </c>
      <c r="R1279" s="36" t="str">
        <f>IF(OR($A1279="",$N1279=""),"",IF(AND($C1279&lt;&gt;"Transferência",N($I1279)&gt;1),$N1279/$I1279,$N1279))</f>
        <v/>
      </c>
      <c r="S1279" s="41" t="str">
        <f>IF(OR($A1279="",$F1279="",$C1279&lt;&gt;"Despesa"),"",IF(COUNTIF(Cartoes_Nome,$F1279)=0,"",DATE(P1279,O1279+IF(DAY($A1279)&gt;=INDEX(Cartoes_Fech,MATCH($F1279,Cartoes_Nome,0)),1,0),1)))</f>
        <v/>
      </c>
      <c r="T1279" s="42" t="str">
        <f>IF($A1279="","",IF(COUNTIFS(L_Data,$A1279,L_Desc,$B1279,L_Valor,$N1279,L_Tipo,$C1279)&gt;1,"⚠ Possível duplicidade",IF(OR(AND($C1279="Despesa",COUNTIF(CatD_Nome,$D1279)=0),AND($C1279="Receita",COUNTIF(CatR_Nome,$D1279)=0)),"⚠ Categoria não combina com o tipo",IF(OR($N1279="",$C1279=""),"⚠ Falta valor ou tipo",""))))</f>
        <v/>
      </c>
      <c r="U1279" s="40">
        <f>IF($A1279="",0,P1279*12+O1279)</f>
        <v>0</v>
      </c>
      <c r="V1279" s="40">
        <f>IF($A1279="",0,U1279+MAX(0,N($I1279)-MAX(N($H1279),1)))</f>
        <v>0</v>
      </c>
      <c r="W1279" s="40">
        <f>IF(S1279="",0,YEAR(S1279)*12+MONTH(S1279))</f>
        <v>0</v>
      </c>
      <c r="X1279" s="40">
        <f>IF(W1279=0,0,W1279+V1279-U1279)</f>
        <v>0</v>
      </c>
      <c r="Y1279" s="36">
        <f>IF(W1279=0,0,N(R1279)*MAX(0,X1279-MAX(W1279,YEAR(Cfg_Hoje)*12+MONTH(Cfg_Hoje)+IF(DAY(Cfg_Hoje)&gt;=INDEX(Cartoes_Fech,MATCH($F1279,Cartoes_Nome,0)),1,0))+1))</f>
        <v>0</v>
      </c>
      <c r="Z1279" s="40">
        <f>IF($A1279="",0,DAY($A1279))</f>
        <v>0</v>
      </c>
      <c r="AA1279" s="40">
        <f>IF($A1279="",0,WEEKDAY($A1279))</f>
        <v>0</v>
      </c>
      <c r="AB1279" s="36">
        <f>IF(AND($C1279="Despesa",U1279&gt;0,U1279&lt;=Sel_Idx,V1279&gt;=Sel_Idx),N(R1279)+ROW()/1000000000,0)</f>
        <v>0</v>
      </c>
      <c r="AC1279" s="40">
        <f>IF(AND($C1279="Despesa",U1279&gt;0,U1279&lt;=Sel_Idx,V1279&gt;=Sel_Idx),Z1279*10000+ROW(),0)</f>
        <v>0</v>
      </c>
      <c r="AD1279" s="40">
        <f>IF(AC1279=0,0,COUNTIFS(L_CalChave,"&gt;0",L_CalChave,"&lt;"&amp;AC1279)+1)</f>
        <v>0</v>
      </c>
    </row>
    <row r="1280">
      <c r="A1280" s="38" t="n"/>
      <c r="B1280" s="39" t="n"/>
      <c r="C1280" s="34" t="n"/>
      <c r="D1280" s="34" t="n"/>
      <c r="E1280" s="34" t="n"/>
      <c r="F1280" s="34" t="n"/>
      <c r="G1280" s="34" t="n"/>
      <c r="H1280" s="37" t="n"/>
      <c r="I1280" s="37" t="n"/>
      <c r="J1280" s="34" t="n"/>
      <c r="K1280" s="34" t="n"/>
      <c r="L1280" s="34" t="n"/>
      <c r="M1280" s="39" t="n"/>
      <c r="N1280" s="35" t="n"/>
      <c r="O1280" s="40" t="str">
        <f>IF($A1280="","",MONTH($A1280))</f>
        <v/>
      </c>
      <c r="P1280" s="40" t="str">
        <f>IF($A1280="","",YEAR($A1280))</f>
        <v/>
      </c>
      <c r="Q1280" s="41" t="str">
        <f>IF($A1280="","",DATE(P1280,O1280,1))</f>
        <v/>
      </c>
      <c r="R1280" s="36" t="str">
        <f>IF(OR($A1280="",$N1280=""),"",IF(AND($C1280&lt;&gt;"Transferência",N($I1280)&gt;1),$N1280/$I1280,$N1280))</f>
        <v/>
      </c>
      <c r="S1280" s="41" t="str">
        <f>IF(OR($A1280="",$F1280="",$C1280&lt;&gt;"Despesa"),"",IF(COUNTIF(Cartoes_Nome,$F1280)=0,"",DATE(P1280,O1280+IF(DAY($A1280)&gt;=INDEX(Cartoes_Fech,MATCH($F1280,Cartoes_Nome,0)),1,0),1)))</f>
        <v/>
      </c>
      <c r="T1280" s="42" t="str">
        <f>IF($A1280="","",IF(COUNTIFS(L_Data,$A1280,L_Desc,$B1280,L_Valor,$N1280,L_Tipo,$C1280)&gt;1,"⚠ Possível duplicidade",IF(OR(AND($C1280="Despesa",COUNTIF(CatD_Nome,$D1280)=0),AND($C1280="Receita",COUNTIF(CatR_Nome,$D1280)=0)),"⚠ Categoria não combina com o tipo",IF(OR($N1280="",$C1280=""),"⚠ Falta valor ou tipo",""))))</f>
        <v/>
      </c>
      <c r="U1280" s="40">
        <f>IF($A1280="",0,P1280*12+O1280)</f>
        <v>0</v>
      </c>
      <c r="V1280" s="40">
        <f>IF($A1280="",0,U1280+MAX(0,N($I1280)-MAX(N($H1280),1)))</f>
        <v>0</v>
      </c>
      <c r="W1280" s="40">
        <f>IF(S1280="",0,YEAR(S1280)*12+MONTH(S1280))</f>
        <v>0</v>
      </c>
      <c r="X1280" s="40">
        <f>IF(W1280=0,0,W1280+V1280-U1280)</f>
        <v>0</v>
      </c>
      <c r="Y1280" s="36">
        <f>IF(W1280=0,0,N(R1280)*MAX(0,X1280-MAX(W1280,YEAR(Cfg_Hoje)*12+MONTH(Cfg_Hoje)+IF(DAY(Cfg_Hoje)&gt;=INDEX(Cartoes_Fech,MATCH($F1280,Cartoes_Nome,0)),1,0))+1))</f>
        <v>0</v>
      </c>
      <c r="Z1280" s="40">
        <f>IF($A1280="",0,DAY($A1280))</f>
        <v>0</v>
      </c>
      <c r="AA1280" s="40">
        <f>IF($A1280="",0,WEEKDAY($A1280))</f>
        <v>0</v>
      </c>
      <c r="AB1280" s="36">
        <f>IF(AND($C1280="Despesa",U1280&gt;0,U1280&lt;=Sel_Idx,V1280&gt;=Sel_Idx),N(R1280)+ROW()/1000000000,0)</f>
        <v>0</v>
      </c>
      <c r="AC1280" s="40">
        <f>IF(AND($C1280="Despesa",U1280&gt;0,U1280&lt;=Sel_Idx,V1280&gt;=Sel_Idx),Z1280*10000+ROW(),0)</f>
        <v>0</v>
      </c>
      <c r="AD1280" s="40">
        <f>IF(AC1280=0,0,COUNTIFS(L_CalChave,"&gt;0",L_CalChave,"&lt;"&amp;AC1280)+1)</f>
        <v>0</v>
      </c>
    </row>
    <row r="1281">
      <c r="A1281" s="38" t="n"/>
      <c r="B1281" s="39" t="n"/>
      <c r="C1281" s="34" t="n"/>
      <c r="D1281" s="34" t="n"/>
      <c r="E1281" s="34" t="n"/>
      <c r="F1281" s="34" t="n"/>
      <c r="G1281" s="34" t="n"/>
      <c r="H1281" s="37" t="n"/>
      <c r="I1281" s="37" t="n"/>
      <c r="J1281" s="34" t="n"/>
      <c r="K1281" s="34" t="n"/>
      <c r="L1281" s="34" t="n"/>
      <c r="M1281" s="39" t="n"/>
      <c r="N1281" s="35" t="n"/>
      <c r="O1281" s="40" t="str">
        <f>IF($A1281="","",MONTH($A1281))</f>
        <v/>
      </c>
      <c r="P1281" s="40" t="str">
        <f>IF($A1281="","",YEAR($A1281))</f>
        <v/>
      </c>
      <c r="Q1281" s="41" t="str">
        <f>IF($A1281="","",DATE(P1281,O1281,1))</f>
        <v/>
      </c>
      <c r="R1281" s="36" t="str">
        <f>IF(OR($A1281="",$N1281=""),"",IF(AND($C1281&lt;&gt;"Transferência",N($I1281)&gt;1),$N1281/$I1281,$N1281))</f>
        <v/>
      </c>
      <c r="S1281" s="41" t="str">
        <f>IF(OR($A1281="",$F1281="",$C1281&lt;&gt;"Despesa"),"",IF(COUNTIF(Cartoes_Nome,$F1281)=0,"",DATE(P1281,O1281+IF(DAY($A1281)&gt;=INDEX(Cartoes_Fech,MATCH($F1281,Cartoes_Nome,0)),1,0),1)))</f>
        <v/>
      </c>
      <c r="T1281" s="42" t="str">
        <f>IF($A1281="","",IF(COUNTIFS(L_Data,$A1281,L_Desc,$B1281,L_Valor,$N1281,L_Tipo,$C1281)&gt;1,"⚠ Possível duplicidade",IF(OR(AND($C1281="Despesa",COUNTIF(CatD_Nome,$D1281)=0),AND($C1281="Receita",COUNTIF(CatR_Nome,$D1281)=0)),"⚠ Categoria não combina com o tipo",IF(OR($N1281="",$C1281=""),"⚠ Falta valor ou tipo",""))))</f>
        <v/>
      </c>
      <c r="U1281" s="40">
        <f>IF($A1281="",0,P1281*12+O1281)</f>
        <v>0</v>
      </c>
      <c r="V1281" s="40">
        <f>IF($A1281="",0,U1281+MAX(0,N($I1281)-MAX(N($H1281),1)))</f>
        <v>0</v>
      </c>
      <c r="W1281" s="40">
        <f>IF(S1281="",0,YEAR(S1281)*12+MONTH(S1281))</f>
        <v>0</v>
      </c>
      <c r="X1281" s="40">
        <f>IF(W1281=0,0,W1281+V1281-U1281)</f>
        <v>0</v>
      </c>
      <c r="Y1281" s="36">
        <f>IF(W1281=0,0,N(R1281)*MAX(0,X1281-MAX(W1281,YEAR(Cfg_Hoje)*12+MONTH(Cfg_Hoje)+IF(DAY(Cfg_Hoje)&gt;=INDEX(Cartoes_Fech,MATCH($F1281,Cartoes_Nome,0)),1,0))+1))</f>
        <v>0</v>
      </c>
      <c r="Z1281" s="40">
        <f>IF($A1281="",0,DAY($A1281))</f>
        <v>0</v>
      </c>
      <c r="AA1281" s="40">
        <f>IF($A1281="",0,WEEKDAY($A1281))</f>
        <v>0</v>
      </c>
      <c r="AB1281" s="36">
        <f>IF(AND($C1281="Despesa",U1281&gt;0,U1281&lt;=Sel_Idx,V1281&gt;=Sel_Idx),N(R1281)+ROW()/1000000000,0)</f>
        <v>0</v>
      </c>
      <c r="AC1281" s="40">
        <f>IF(AND($C1281="Despesa",U1281&gt;0,U1281&lt;=Sel_Idx,V1281&gt;=Sel_Idx),Z1281*10000+ROW(),0)</f>
        <v>0</v>
      </c>
      <c r="AD1281" s="40">
        <f>IF(AC1281=0,0,COUNTIFS(L_CalChave,"&gt;0",L_CalChave,"&lt;"&amp;AC1281)+1)</f>
        <v>0</v>
      </c>
    </row>
    <row r="1282">
      <c r="A1282" s="38" t="n"/>
      <c r="B1282" s="39" t="n"/>
      <c r="C1282" s="34" t="n"/>
      <c r="D1282" s="34" t="n"/>
      <c r="E1282" s="34" t="n"/>
      <c r="F1282" s="34" t="n"/>
      <c r="G1282" s="34" t="n"/>
      <c r="H1282" s="37" t="n"/>
      <c r="I1282" s="37" t="n"/>
      <c r="J1282" s="34" t="n"/>
      <c r="K1282" s="34" t="n"/>
      <c r="L1282" s="34" t="n"/>
      <c r="M1282" s="39" t="n"/>
      <c r="N1282" s="35" t="n"/>
      <c r="O1282" s="40" t="str">
        <f>IF($A1282="","",MONTH($A1282))</f>
        <v/>
      </c>
      <c r="P1282" s="40" t="str">
        <f>IF($A1282="","",YEAR($A1282))</f>
        <v/>
      </c>
      <c r="Q1282" s="41" t="str">
        <f>IF($A1282="","",DATE(P1282,O1282,1))</f>
        <v/>
      </c>
      <c r="R1282" s="36" t="str">
        <f>IF(OR($A1282="",$N1282=""),"",IF(AND($C1282&lt;&gt;"Transferência",N($I1282)&gt;1),$N1282/$I1282,$N1282))</f>
        <v/>
      </c>
      <c r="S1282" s="41" t="str">
        <f>IF(OR($A1282="",$F1282="",$C1282&lt;&gt;"Despesa"),"",IF(COUNTIF(Cartoes_Nome,$F1282)=0,"",DATE(P1282,O1282+IF(DAY($A1282)&gt;=INDEX(Cartoes_Fech,MATCH($F1282,Cartoes_Nome,0)),1,0),1)))</f>
        <v/>
      </c>
      <c r="T1282" s="42" t="str">
        <f>IF($A1282="","",IF(COUNTIFS(L_Data,$A1282,L_Desc,$B1282,L_Valor,$N1282,L_Tipo,$C1282)&gt;1,"⚠ Possível duplicidade",IF(OR(AND($C1282="Despesa",COUNTIF(CatD_Nome,$D1282)=0),AND($C1282="Receita",COUNTIF(CatR_Nome,$D1282)=0)),"⚠ Categoria não combina com o tipo",IF(OR($N1282="",$C1282=""),"⚠ Falta valor ou tipo",""))))</f>
        <v/>
      </c>
      <c r="U1282" s="40">
        <f>IF($A1282="",0,P1282*12+O1282)</f>
        <v>0</v>
      </c>
      <c r="V1282" s="40">
        <f>IF($A1282="",0,U1282+MAX(0,N($I1282)-MAX(N($H1282),1)))</f>
        <v>0</v>
      </c>
      <c r="W1282" s="40">
        <f>IF(S1282="",0,YEAR(S1282)*12+MONTH(S1282))</f>
        <v>0</v>
      </c>
      <c r="X1282" s="40">
        <f>IF(W1282=0,0,W1282+V1282-U1282)</f>
        <v>0</v>
      </c>
      <c r="Y1282" s="36">
        <f>IF(W1282=0,0,N(R1282)*MAX(0,X1282-MAX(W1282,YEAR(Cfg_Hoje)*12+MONTH(Cfg_Hoje)+IF(DAY(Cfg_Hoje)&gt;=INDEX(Cartoes_Fech,MATCH($F1282,Cartoes_Nome,0)),1,0))+1))</f>
        <v>0</v>
      </c>
      <c r="Z1282" s="40">
        <f>IF($A1282="",0,DAY($A1282))</f>
        <v>0</v>
      </c>
      <c r="AA1282" s="40">
        <f>IF($A1282="",0,WEEKDAY($A1282))</f>
        <v>0</v>
      </c>
      <c r="AB1282" s="36">
        <f>IF(AND($C1282="Despesa",U1282&gt;0,U1282&lt;=Sel_Idx,V1282&gt;=Sel_Idx),N(R1282)+ROW()/1000000000,0)</f>
        <v>0</v>
      </c>
      <c r="AC1282" s="40">
        <f>IF(AND($C1282="Despesa",U1282&gt;0,U1282&lt;=Sel_Idx,V1282&gt;=Sel_Idx),Z1282*10000+ROW(),0)</f>
        <v>0</v>
      </c>
      <c r="AD1282" s="40">
        <f>IF(AC1282=0,0,COUNTIFS(L_CalChave,"&gt;0",L_CalChave,"&lt;"&amp;AC1282)+1)</f>
        <v>0</v>
      </c>
    </row>
    <row r="1283">
      <c r="A1283" s="38" t="n"/>
      <c r="B1283" s="39" t="n"/>
      <c r="C1283" s="34" t="n"/>
      <c r="D1283" s="34" t="n"/>
      <c r="E1283" s="34" t="n"/>
      <c r="F1283" s="34" t="n"/>
      <c r="G1283" s="34" t="n"/>
      <c r="H1283" s="37" t="n"/>
      <c r="I1283" s="37" t="n"/>
      <c r="J1283" s="34" t="n"/>
      <c r="K1283" s="34" t="n"/>
      <c r="L1283" s="34" t="n"/>
      <c r="M1283" s="39" t="n"/>
      <c r="N1283" s="35" t="n"/>
      <c r="O1283" s="40" t="str">
        <f>IF($A1283="","",MONTH($A1283))</f>
        <v/>
      </c>
      <c r="P1283" s="40" t="str">
        <f>IF($A1283="","",YEAR($A1283))</f>
        <v/>
      </c>
      <c r="Q1283" s="41" t="str">
        <f>IF($A1283="","",DATE(P1283,O1283,1))</f>
        <v/>
      </c>
      <c r="R1283" s="36" t="str">
        <f>IF(OR($A1283="",$N1283=""),"",IF(AND($C1283&lt;&gt;"Transferência",N($I1283)&gt;1),$N1283/$I1283,$N1283))</f>
        <v/>
      </c>
      <c r="S1283" s="41" t="str">
        <f>IF(OR($A1283="",$F1283="",$C1283&lt;&gt;"Despesa"),"",IF(COUNTIF(Cartoes_Nome,$F1283)=0,"",DATE(P1283,O1283+IF(DAY($A1283)&gt;=INDEX(Cartoes_Fech,MATCH($F1283,Cartoes_Nome,0)),1,0),1)))</f>
        <v/>
      </c>
      <c r="T1283" s="42" t="str">
        <f>IF($A1283="","",IF(COUNTIFS(L_Data,$A1283,L_Desc,$B1283,L_Valor,$N1283,L_Tipo,$C1283)&gt;1,"⚠ Possível duplicidade",IF(OR(AND($C1283="Despesa",COUNTIF(CatD_Nome,$D1283)=0),AND($C1283="Receita",COUNTIF(CatR_Nome,$D1283)=0)),"⚠ Categoria não combina com o tipo",IF(OR($N1283="",$C1283=""),"⚠ Falta valor ou tipo",""))))</f>
        <v/>
      </c>
      <c r="U1283" s="40">
        <f>IF($A1283="",0,P1283*12+O1283)</f>
        <v>0</v>
      </c>
      <c r="V1283" s="40">
        <f>IF($A1283="",0,U1283+MAX(0,N($I1283)-MAX(N($H1283),1)))</f>
        <v>0</v>
      </c>
      <c r="W1283" s="40">
        <f>IF(S1283="",0,YEAR(S1283)*12+MONTH(S1283))</f>
        <v>0</v>
      </c>
      <c r="X1283" s="40">
        <f>IF(W1283=0,0,W1283+V1283-U1283)</f>
        <v>0</v>
      </c>
      <c r="Y1283" s="36">
        <f>IF(W1283=0,0,N(R1283)*MAX(0,X1283-MAX(W1283,YEAR(Cfg_Hoje)*12+MONTH(Cfg_Hoje)+IF(DAY(Cfg_Hoje)&gt;=INDEX(Cartoes_Fech,MATCH($F1283,Cartoes_Nome,0)),1,0))+1))</f>
        <v>0</v>
      </c>
      <c r="Z1283" s="40">
        <f>IF($A1283="",0,DAY($A1283))</f>
        <v>0</v>
      </c>
      <c r="AA1283" s="40">
        <f>IF($A1283="",0,WEEKDAY($A1283))</f>
        <v>0</v>
      </c>
      <c r="AB1283" s="36">
        <f>IF(AND($C1283="Despesa",U1283&gt;0,U1283&lt;=Sel_Idx,V1283&gt;=Sel_Idx),N(R1283)+ROW()/1000000000,0)</f>
        <v>0</v>
      </c>
      <c r="AC1283" s="40">
        <f>IF(AND($C1283="Despesa",U1283&gt;0,U1283&lt;=Sel_Idx,V1283&gt;=Sel_Idx),Z1283*10000+ROW(),0)</f>
        <v>0</v>
      </c>
      <c r="AD1283" s="40">
        <f>IF(AC1283=0,0,COUNTIFS(L_CalChave,"&gt;0",L_CalChave,"&lt;"&amp;AC1283)+1)</f>
        <v>0</v>
      </c>
    </row>
    <row r="1284">
      <c r="A1284" s="38" t="n"/>
      <c r="B1284" s="39" t="n"/>
      <c r="C1284" s="34" t="n"/>
      <c r="D1284" s="34" t="n"/>
      <c r="E1284" s="34" t="n"/>
      <c r="F1284" s="34" t="n"/>
      <c r="G1284" s="34" t="n"/>
      <c r="H1284" s="37" t="n"/>
      <c r="I1284" s="37" t="n"/>
      <c r="J1284" s="34" t="n"/>
      <c r="K1284" s="34" t="n"/>
      <c r="L1284" s="34" t="n"/>
      <c r="M1284" s="39" t="n"/>
      <c r="N1284" s="35" t="n"/>
      <c r="O1284" s="40" t="str">
        <f>IF($A1284="","",MONTH($A1284))</f>
        <v/>
      </c>
      <c r="P1284" s="40" t="str">
        <f>IF($A1284="","",YEAR($A1284))</f>
        <v/>
      </c>
      <c r="Q1284" s="41" t="str">
        <f>IF($A1284="","",DATE(P1284,O1284,1))</f>
        <v/>
      </c>
      <c r="R1284" s="36" t="str">
        <f>IF(OR($A1284="",$N1284=""),"",IF(AND($C1284&lt;&gt;"Transferência",N($I1284)&gt;1),$N1284/$I1284,$N1284))</f>
        <v/>
      </c>
      <c r="S1284" s="41" t="str">
        <f>IF(OR($A1284="",$F1284="",$C1284&lt;&gt;"Despesa"),"",IF(COUNTIF(Cartoes_Nome,$F1284)=0,"",DATE(P1284,O1284+IF(DAY($A1284)&gt;=INDEX(Cartoes_Fech,MATCH($F1284,Cartoes_Nome,0)),1,0),1)))</f>
        <v/>
      </c>
      <c r="T1284" s="42" t="str">
        <f>IF($A1284="","",IF(COUNTIFS(L_Data,$A1284,L_Desc,$B1284,L_Valor,$N1284,L_Tipo,$C1284)&gt;1,"⚠ Possível duplicidade",IF(OR(AND($C1284="Despesa",COUNTIF(CatD_Nome,$D1284)=0),AND($C1284="Receita",COUNTIF(CatR_Nome,$D1284)=0)),"⚠ Categoria não combina com o tipo",IF(OR($N1284="",$C1284=""),"⚠ Falta valor ou tipo",""))))</f>
        <v/>
      </c>
      <c r="U1284" s="40">
        <f>IF($A1284="",0,P1284*12+O1284)</f>
        <v>0</v>
      </c>
      <c r="V1284" s="40">
        <f>IF($A1284="",0,U1284+MAX(0,N($I1284)-MAX(N($H1284),1)))</f>
        <v>0</v>
      </c>
      <c r="W1284" s="40">
        <f>IF(S1284="",0,YEAR(S1284)*12+MONTH(S1284))</f>
        <v>0</v>
      </c>
      <c r="X1284" s="40">
        <f>IF(W1284=0,0,W1284+V1284-U1284)</f>
        <v>0</v>
      </c>
      <c r="Y1284" s="36">
        <f>IF(W1284=0,0,N(R1284)*MAX(0,X1284-MAX(W1284,YEAR(Cfg_Hoje)*12+MONTH(Cfg_Hoje)+IF(DAY(Cfg_Hoje)&gt;=INDEX(Cartoes_Fech,MATCH($F1284,Cartoes_Nome,0)),1,0))+1))</f>
        <v>0</v>
      </c>
      <c r="Z1284" s="40">
        <f>IF($A1284="",0,DAY($A1284))</f>
        <v>0</v>
      </c>
      <c r="AA1284" s="40">
        <f>IF($A1284="",0,WEEKDAY($A1284))</f>
        <v>0</v>
      </c>
      <c r="AB1284" s="36">
        <f>IF(AND($C1284="Despesa",U1284&gt;0,U1284&lt;=Sel_Idx,V1284&gt;=Sel_Idx),N(R1284)+ROW()/1000000000,0)</f>
        <v>0</v>
      </c>
      <c r="AC1284" s="40">
        <f>IF(AND($C1284="Despesa",U1284&gt;0,U1284&lt;=Sel_Idx,V1284&gt;=Sel_Idx),Z1284*10000+ROW(),0)</f>
        <v>0</v>
      </c>
      <c r="AD1284" s="40">
        <f>IF(AC1284=0,0,COUNTIFS(L_CalChave,"&gt;0",L_CalChave,"&lt;"&amp;AC1284)+1)</f>
        <v>0</v>
      </c>
    </row>
    <row r="1285">
      <c r="A1285" s="38" t="n"/>
      <c r="B1285" s="39" t="n"/>
      <c r="C1285" s="34" t="n"/>
      <c r="D1285" s="34" t="n"/>
      <c r="E1285" s="34" t="n"/>
      <c r="F1285" s="34" t="n"/>
      <c r="G1285" s="34" t="n"/>
      <c r="H1285" s="37" t="n"/>
      <c r="I1285" s="37" t="n"/>
      <c r="J1285" s="34" t="n"/>
      <c r="K1285" s="34" t="n"/>
      <c r="L1285" s="34" t="n"/>
      <c r="M1285" s="39" t="n"/>
      <c r="N1285" s="35" t="n"/>
      <c r="O1285" s="40" t="str">
        <f>IF($A1285="","",MONTH($A1285))</f>
        <v/>
      </c>
      <c r="P1285" s="40" t="str">
        <f>IF($A1285="","",YEAR($A1285))</f>
        <v/>
      </c>
      <c r="Q1285" s="41" t="str">
        <f>IF($A1285="","",DATE(P1285,O1285,1))</f>
        <v/>
      </c>
      <c r="R1285" s="36" t="str">
        <f>IF(OR($A1285="",$N1285=""),"",IF(AND($C1285&lt;&gt;"Transferência",N($I1285)&gt;1),$N1285/$I1285,$N1285))</f>
        <v/>
      </c>
      <c r="S1285" s="41" t="str">
        <f>IF(OR($A1285="",$F1285="",$C1285&lt;&gt;"Despesa"),"",IF(COUNTIF(Cartoes_Nome,$F1285)=0,"",DATE(P1285,O1285+IF(DAY($A1285)&gt;=INDEX(Cartoes_Fech,MATCH($F1285,Cartoes_Nome,0)),1,0),1)))</f>
        <v/>
      </c>
      <c r="T1285" s="42" t="str">
        <f>IF($A1285="","",IF(COUNTIFS(L_Data,$A1285,L_Desc,$B1285,L_Valor,$N1285,L_Tipo,$C1285)&gt;1,"⚠ Possível duplicidade",IF(OR(AND($C1285="Despesa",COUNTIF(CatD_Nome,$D1285)=0),AND($C1285="Receita",COUNTIF(CatR_Nome,$D1285)=0)),"⚠ Categoria não combina com o tipo",IF(OR($N1285="",$C1285=""),"⚠ Falta valor ou tipo",""))))</f>
        <v/>
      </c>
      <c r="U1285" s="40">
        <f>IF($A1285="",0,P1285*12+O1285)</f>
        <v>0</v>
      </c>
      <c r="V1285" s="40">
        <f>IF($A1285="",0,U1285+MAX(0,N($I1285)-MAX(N($H1285),1)))</f>
        <v>0</v>
      </c>
      <c r="W1285" s="40">
        <f>IF(S1285="",0,YEAR(S1285)*12+MONTH(S1285))</f>
        <v>0</v>
      </c>
      <c r="X1285" s="40">
        <f>IF(W1285=0,0,W1285+V1285-U1285)</f>
        <v>0</v>
      </c>
      <c r="Y1285" s="36">
        <f>IF(W1285=0,0,N(R1285)*MAX(0,X1285-MAX(W1285,YEAR(Cfg_Hoje)*12+MONTH(Cfg_Hoje)+IF(DAY(Cfg_Hoje)&gt;=INDEX(Cartoes_Fech,MATCH($F1285,Cartoes_Nome,0)),1,0))+1))</f>
        <v>0</v>
      </c>
      <c r="Z1285" s="40">
        <f>IF($A1285="",0,DAY($A1285))</f>
        <v>0</v>
      </c>
      <c r="AA1285" s="40">
        <f>IF($A1285="",0,WEEKDAY($A1285))</f>
        <v>0</v>
      </c>
      <c r="AB1285" s="36">
        <f>IF(AND($C1285="Despesa",U1285&gt;0,U1285&lt;=Sel_Idx,V1285&gt;=Sel_Idx),N(R1285)+ROW()/1000000000,0)</f>
        <v>0</v>
      </c>
      <c r="AC1285" s="40">
        <f>IF(AND($C1285="Despesa",U1285&gt;0,U1285&lt;=Sel_Idx,V1285&gt;=Sel_Idx),Z1285*10000+ROW(),0)</f>
        <v>0</v>
      </c>
      <c r="AD1285" s="40">
        <f>IF(AC1285=0,0,COUNTIFS(L_CalChave,"&gt;0",L_CalChave,"&lt;"&amp;AC1285)+1)</f>
        <v>0</v>
      </c>
    </row>
    <row r="1286">
      <c r="A1286" s="38" t="n"/>
      <c r="B1286" s="39" t="n"/>
      <c r="C1286" s="34" t="n"/>
      <c r="D1286" s="34" t="n"/>
      <c r="E1286" s="34" t="n"/>
      <c r="F1286" s="34" t="n"/>
      <c r="G1286" s="34" t="n"/>
      <c r="H1286" s="37" t="n"/>
      <c r="I1286" s="37" t="n"/>
      <c r="J1286" s="34" t="n"/>
      <c r="K1286" s="34" t="n"/>
      <c r="L1286" s="34" t="n"/>
      <c r="M1286" s="39" t="n"/>
      <c r="N1286" s="35" t="n"/>
      <c r="O1286" s="40" t="str">
        <f>IF($A1286="","",MONTH($A1286))</f>
        <v/>
      </c>
      <c r="P1286" s="40" t="str">
        <f>IF($A1286="","",YEAR($A1286))</f>
        <v/>
      </c>
      <c r="Q1286" s="41" t="str">
        <f>IF($A1286="","",DATE(P1286,O1286,1))</f>
        <v/>
      </c>
      <c r="R1286" s="36" t="str">
        <f>IF(OR($A1286="",$N1286=""),"",IF(AND($C1286&lt;&gt;"Transferência",N($I1286)&gt;1),$N1286/$I1286,$N1286))</f>
        <v/>
      </c>
      <c r="S1286" s="41" t="str">
        <f>IF(OR($A1286="",$F1286="",$C1286&lt;&gt;"Despesa"),"",IF(COUNTIF(Cartoes_Nome,$F1286)=0,"",DATE(P1286,O1286+IF(DAY($A1286)&gt;=INDEX(Cartoes_Fech,MATCH($F1286,Cartoes_Nome,0)),1,0),1)))</f>
        <v/>
      </c>
      <c r="T1286" s="42" t="str">
        <f>IF($A1286="","",IF(COUNTIFS(L_Data,$A1286,L_Desc,$B1286,L_Valor,$N1286,L_Tipo,$C1286)&gt;1,"⚠ Possível duplicidade",IF(OR(AND($C1286="Despesa",COUNTIF(CatD_Nome,$D1286)=0),AND($C1286="Receita",COUNTIF(CatR_Nome,$D1286)=0)),"⚠ Categoria não combina com o tipo",IF(OR($N1286="",$C1286=""),"⚠ Falta valor ou tipo",""))))</f>
        <v/>
      </c>
      <c r="U1286" s="40">
        <f>IF($A1286="",0,P1286*12+O1286)</f>
        <v>0</v>
      </c>
      <c r="V1286" s="40">
        <f>IF($A1286="",0,U1286+MAX(0,N($I1286)-MAX(N($H1286),1)))</f>
        <v>0</v>
      </c>
      <c r="W1286" s="40">
        <f>IF(S1286="",0,YEAR(S1286)*12+MONTH(S1286))</f>
        <v>0</v>
      </c>
      <c r="X1286" s="40">
        <f>IF(W1286=0,0,W1286+V1286-U1286)</f>
        <v>0</v>
      </c>
      <c r="Y1286" s="36">
        <f>IF(W1286=0,0,N(R1286)*MAX(0,X1286-MAX(W1286,YEAR(Cfg_Hoje)*12+MONTH(Cfg_Hoje)+IF(DAY(Cfg_Hoje)&gt;=INDEX(Cartoes_Fech,MATCH($F1286,Cartoes_Nome,0)),1,0))+1))</f>
        <v>0</v>
      </c>
      <c r="Z1286" s="40">
        <f>IF($A1286="",0,DAY($A1286))</f>
        <v>0</v>
      </c>
      <c r="AA1286" s="40">
        <f>IF($A1286="",0,WEEKDAY($A1286))</f>
        <v>0</v>
      </c>
      <c r="AB1286" s="36">
        <f>IF(AND($C1286="Despesa",U1286&gt;0,U1286&lt;=Sel_Idx,V1286&gt;=Sel_Idx),N(R1286)+ROW()/1000000000,0)</f>
        <v>0</v>
      </c>
      <c r="AC1286" s="40">
        <f>IF(AND($C1286="Despesa",U1286&gt;0,U1286&lt;=Sel_Idx,V1286&gt;=Sel_Idx),Z1286*10000+ROW(),0)</f>
        <v>0</v>
      </c>
      <c r="AD1286" s="40">
        <f>IF(AC1286=0,0,COUNTIFS(L_CalChave,"&gt;0",L_CalChave,"&lt;"&amp;AC1286)+1)</f>
        <v>0</v>
      </c>
    </row>
    <row r="1287">
      <c r="A1287" s="38" t="n"/>
      <c r="B1287" s="39" t="n"/>
      <c r="C1287" s="34" t="n"/>
      <c r="D1287" s="34" t="n"/>
      <c r="E1287" s="34" t="n"/>
      <c r="F1287" s="34" t="n"/>
      <c r="G1287" s="34" t="n"/>
      <c r="H1287" s="37" t="n"/>
      <c r="I1287" s="37" t="n"/>
      <c r="J1287" s="34" t="n"/>
      <c r="K1287" s="34" t="n"/>
      <c r="L1287" s="34" t="n"/>
      <c r="M1287" s="39" t="n"/>
      <c r="N1287" s="35" t="n"/>
      <c r="O1287" s="40" t="str">
        <f>IF($A1287="","",MONTH($A1287))</f>
        <v/>
      </c>
      <c r="P1287" s="40" t="str">
        <f>IF($A1287="","",YEAR($A1287))</f>
        <v/>
      </c>
      <c r="Q1287" s="41" t="str">
        <f>IF($A1287="","",DATE(P1287,O1287,1))</f>
        <v/>
      </c>
      <c r="R1287" s="36" t="str">
        <f>IF(OR($A1287="",$N1287=""),"",IF(AND($C1287&lt;&gt;"Transferência",N($I1287)&gt;1),$N1287/$I1287,$N1287))</f>
        <v/>
      </c>
      <c r="S1287" s="41" t="str">
        <f>IF(OR($A1287="",$F1287="",$C1287&lt;&gt;"Despesa"),"",IF(COUNTIF(Cartoes_Nome,$F1287)=0,"",DATE(P1287,O1287+IF(DAY($A1287)&gt;=INDEX(Cartoes_Fech,MATCH($F1287,Cartoes_Nome,0)),1,0),1)))</f>
        <v/>
      </c>
      <c r="T1287" s="42" t="str">
        <f>IF($A1287="","",IF(COUNTIFS(L_Data,$A1287,L_Desc,$B1287,L_Valor,$N1287,L_Tipo,$C1287)&gt;1,"⚠ Possível duplicidade",IF(OR(AND($C1287="Despesa",COUNTIF(CatD_Nome,$D1287)=0),AND($C1287="Receita",COUNTIF(CatR_Nome,$D1287)=0)),"⚠ Categoria não combina com o tipo",IF(OR($N1287="",$C1287=""),"⚠ Falta valor ou tipo",""))))</f>
        <v/>
      </c>
      <c r="U1287" s="40">
        <f>IF($A1287="",0,P1287*12+O1287)</f>
        <v>0</v>
      </c>
      <c r="V1287" s="40">
        <f>IF($A1287="",0,U1287+MAX(0,N($I1287)-MAX(N($H1287),1)))</f>
        <v>0</v>
      </c>
      <c r="W1287" s="40">
        <f>IF(S1287="",0,YEAR(S1287)*12+MONTH(S1287))</f>
        <v>0</v>
      </c>
      <c r="X1287" s="40">
        <f>IF(W1287=0,0,W1287+V1287-U1287)</f>
        <v>0</v>
      </c>
      <c r="Y1287" s="36">
        <f>IF(W1287=0,0,N(R1287)*MAX(0,X1287-MAX(W1287,YEAR(Cfg_Hoje)*12+MONTH(Cfg_Hoje)+IF(DAY(Cfg_Hoje)&gt;=INDEX(Cartoes_Fech,MATCH($F1287,Cartoes_Nome,0)),1,0))+1))</f>
        <v>0</v>
      </c>
      <c r="Z1287" s="40">
        <f>IF($A1287="",0,DAY($A1287))</f>
        <v>0</v>
      </c>
      <c r="AA1287" s="40">
        <f>IF($A1287="",0,WEEKDAY($A1287))</f>
        <v>0</v>
      </c>
      <c r="AB1287" s="36">
        <f>IF(AND($C1287="Despesa",U1287&gt;0,U1287&lt;=Sel_Idx,V1287&gt;=Sel_Idx),N(R1287)+ROW()/1000000000,0)</f>
        <v>0</v>
      </c>
      <c r="AC1287" s="40">
        <f>IF(AND($C1287="Despesa",U1287&gt;0,U1287&lt;=Sel_Idx,V1287&gt;=Sel_Idx),Z1287*10000+ROW(),0)</f>
        <v>0</v>
      </c>
      <c r="AD1287" s="40">
        <f>IF(AC1287=0,0,COUNTIFS(L_CalChave,"&gt;0",L_CalChave,"&lt;"&amp;AC1287)+1)</f>
        <v>0</v>
      </c>
    </row>
    <row r="1288">
      <c r="A1288" s="38" t="n"/>
      <c r="B1288" s="39" t="n"/>
      <c r="C1288" s="34" t="n"/>
      <c r="D1288" s="34" t="n"/>
      <c r="E1288" s="34" t="n"/>
      <c r="F1288" s="34" t="n"/>
      <c r="G1288" s="34" t="n"/>
      <c r="H1288" s="37" t="n"/>
      <c r="I1288" s="37" t="n"/>
      <c r="J1288" s="34" t="n"/>
      <c r="K1288" s="34" t="n"/>
      <c r="L1288" s="34" t="n"/>
      <c r="M1288" s="39" t="n"/>
      <c r="N1288" s="35" t="n"/>
      <c r="O1288" s="40" t="str">
        <f>IF($A1288="","",MONTH($A1288))</f>
        <v/>
      </c>
      <c r="P1288" s="40" t="str">
        <f>IF($A1288="","",YEAR($A1288))</f>
        <v/>
      </c>
      <c r="Q1288" s="41" t="str">
        <f>IF($A1288="","",DATE(P1288,O1288,1))</f>
        <v/>
      </c>
      <c r="R1288" s="36" t="str">
        <f>IF(OR($A1288="",$N1288=""),"",IF(AND($C1288&lt;&gt;"Transferência",N($I1288)&gt;1),$N1288/$I1288,$N1288))</f>
        <v/>
      </c>
      <c r="S1288" s="41" t="str">
        <f>IF(OR($A1288="",$F1288="",$C1288&lt;&gt;"Despesa"),"",IF(COUNTIF(Cartoes_Nome,$F1288)=0,"",DATE(P1288,O1288+IF(DAY($A1288)&gt;=INDEX(Cartoes_Fech,MATCH($F1288,Cartoes_Nome,0)),1,0),1)))</f>
        <v/>
      </c>
      <c r="T1288" s="42" t="str">
        <f>IF($A1288="","",IF(COUNTIFS(L_Data,$A1288,L_Desc,$B1288,L_Valor,$N1288,L_Tipo,$C1288)&gt;1,"⚠ Possível duplicidade",IF(OR(AND($C1288="Despesa",COUNTIF(CatD_Nome,$D1288)=0),AND($C1288="Receita",COUNTIF(CatR_Nome,$D1288)=0)),"⚠ Categoria não combina com o tipo",IF(OR($N1288="",$C1288=""),"⚠ Falta valor ou tipo",""))))</f>
        <v/>
      </c>
      <c r="U1288" s="40">
        <f>IF($A1288="",0,P1288*12+O1288)</f>
        <v>0</v>
      </c>
      <c r="V1288" s="40">
        <f>IF($A1288="",0,U1288+MAX(0,N($I1288)-MAX(N($H1288),1)))</f>
        <v>0</v>
      </c>
      <c r="W1288" s="40">
        <f>IF(S1288="",0,YEAR(S1288)*12+MONTH(S1288))</f>
        <v>0</v>
      </c>
      <c r="X1288" s="40">
        <f>IF(W1288=0,0,W1288+V1288-U1288)</f>
        <v>0</v>
      </c>
      <c r="Y1288" s="36">
        <f>IF(W1288=0,0,N(R1288)*MAX(0,X1288-MAX(W1288,YEAR(Cfg_Hoje)*12+MONTH(Cfg_Hoje)+IF(DAY(Cfg_Hoje)&gt;=INDEX(Cartoes_Fech,MATCH($F1288,Cartoes_Nome,0)),1,0))+1))</f>
        <v>0</v>
      </c>
      <c r="Z1288" s="40">
        <f>IF($A1288="",0,DAY($A1288))</f>
        <v>0</v>
      </c>
      <c r="AA1288" s="40">
        <f>IF($A1288="",0,WEEKDAY($A1288))</f>
        <v>0</v>
      </c>
      <c r="AB1288" s="36">
        <f>IF(AND($C1288="Despesa",U1288&gt;0,U1288&lt;=Sel_Idx,V1288&gt;=Sel_Idx),N(R1288)+ROW()/1000000000,0)</f>
        <v>0</v>
      </c>
      <c r="AC1288" s="40">
        <f>IF(AND($C1288="Despesa",U1288&gt;0,U1288&lt;=Sel_Idx,V1288&gt;=Sel_Idx),Z1288*10000+ROW(),0)</f>
        <v>0</v>
      </c>
      <c r="AD1288" s="40">
        <f>IF(AC1288=0,0,COUNTIFS(L_CalChave,"&gt;0",L_CalChave,"&lt;"&amp;AC1288)+1)</f>
        <v>0</v>
      </c>
    </row>
    <row r="1289">
      <c r="A1289" s="38" t="n"/>
      <c r="B1289" s="39" t="n"/>
      <c r="C1289" s="34" t="n"/>
      <c r="D1289" s="34" t="n"/>
      <c r="E1289" s="34" t="n"/>
      <c r="F1289" s="34" t="n"/>
      <c r="G1289" s="34" t="n"/>
      <c r="H1289" s="37" t="n"/>
      <c r="I1289" s="37" t="n"/>
      <c r="J1289" s="34" t="n"/>
      <c r="K1289" s="34" t="n"/>
      <c r="L1289" s="34" t="n"/>
      <c r="M1289" s="39" t="n"/>
      <c r="N1289" s="35" t="n"/>
      <c r="O1289" s="40" t="str">
        <f>IF($A1289="","",MONTH($A1289))</f>
        <v/>
      </c>
      <c r="P1289" s="40" t="str">
        <f>IF($A1289="","",YEAR($A1289))</f>
        <v/>
      </c>
      <c r="Q1289" s="41" t="str">
        <f>IF($A1289="","",DATE(P1289,O1289,1))</f>
        <v/>
      </c>
      <c r="R1289" s="36" t="str">
        <f>IF(OR($A1289="",$N1289=""),"",IF(AND($C1289&lt;&gt;"Transferência",N($I1289)&gt;1),$N1289/$I1289,$N1289))</f>
        <v/>
      </c>
      <c r="S1289" s="41" t="str">
        <f>IF(OR($A1289="",$F1289="",$C1289&lt;&gt;"Despesa"),"",IF(COUNTIF(Cartoes_Nome,$F1289)=0,"",DATE(P1289,O1289+IF(DAY($A1289)&gt;=INDEX(Cartoes_Fech,MATCH($F1289,Cartoes_Nome,0)),1,0),1)))</f>
        <v/>
      </c>
      <c r="T1289" s="42" t="str">
        <f>IF($A1289="","",IF(COUNTIFS(L_Data,$A1289,L_Desc,$B1289,L_Valor,$N1289,L_Tipo,$C1289)&gt;1,"⚠ Possível duplicidade",IF(OR(AND($C1289="Despesa",COUNTIF(CatD_Nome,$D1289)=0),AND($C1289="Receita",COUNTIF(CatR_Nome,$D1289)=0)),"⚠ Categoria não combina com o tipo",IF(OR($N1289="",$C1289=""),"⚠ Falta valor ou tipo",""))))</f>
        <v/>
      </c>
      <c r="U1289" s="40">
        <f>IF($A1289="",0,P1289*12+O1289)</f>
        <v>0</v>
      </c>
      <c r="V1289" s="40">
        <f>IF($A1289="",0,U1289+MAX(0,N($I1289)-MAX(N($H1289),1)))</f>
        <v>0</v>
      </c>
      <c r="W1289" s="40">
        <f>IF(S1289="",0,YEAR(S1289)*12+MONTH(S1289))</f>
        <v>0</v>
      </c>
      <c r="X1289" s="40">
        <f>IF(W1289=0,0,W1289+V1289-U1289)</f>
        <v>0</v>
      </c>
      <c r="Y1289" s="36">
        <f>IF(W1289=0,0,N(R1289)*MAX(0,X1289-MAX(W1289,YEAR(Cfg_Hoje)*12+MONTH(Cfg_Hoje)+IF(DAY(Cfg_Hoje)&gt;=INDEX(Cartoes_Fech,MATCH($F1289,Cartoes_Nome,0)),1,0))+1))</f>
        <v>0</v>
      </c>
      <c r="Z1289" s="40">
        <f>IF($A1289="",0,DAY($A1289))</f>
        <v>0</v>
      </c>
      <c r="AA1289" s="40">
        <f>IF($A1289="",0,WEEKDAY($A1289))</f>
        <v>0</v>
      </c>
      <c r="AB1289" s="36">
        <f>IF(AND($C1289="Despesa",U1289&gt;0,U1289&lt;=Sel_Idx,V1289&gt;=Sel_Idx),N(R1289)+ROW()/1000000000,0)</f>
        <v>0</v>
      </c>
      <c r="AC1289" s="40">
        <f>IF(AND($C1289="Despesa",U1289&gt;0,U1289&lt;=Sel_Idx,V1289&gt;=Sel_Idx),Z1289*10000+ROW(),0)</f>
        <v>0</v>
      </c>
      <c r="AD1289" s="40">
        <f>IF(AC1289=0,0,COUNTIFS(L_CalChave,"&gt;0",L_CalChave,"&lt;"&amp;AC1289)+1)</f>
        <v>0</v>
      </c>
    </row>
    <row r="1290">
      <c r="A1290" s="38" t="n"/>
      <c r="B1290" s="39" t="n"/>
      <c r="C1290" s="34" t="n"/>
      <c r="D1290" s="34" t="n"/>
      <c r="E1290" s="34" t="n"/>
      <c r="F1290" s="34" t="n"/>
      <c r="G1290" s="34" t="n"/>
      <c r="H1290" s="37" t="n"/>
      <c r="I1290" s="37" t="n"/>
      <c r="J1290" s="34" t="n"/>
      <c r="K1290" s="34" t="n"/>
      <c r="L1290" s="34" t="n"/>
      <c r="M1290" s="39" t="n"/>
      <c r="N1290" s="35" t="n"/>
      <c r="O1290" s="40" t="str">
        <f>IF($A1290="","",MONTH($A1290))</f>
        <v/>
      </c>
      <c r="P1290" s="40" t="str">
        <f>IF($A1290="","",YEAR($A1290))</f>
        <v/>
      </c>
      <c r="Q1290" s="41" t="str">
        <f>IF($A1290="","",DATE(P1290,O1290,1))</f>
        <v/>
      </c>
      <c r="R1290" s="36" t="str">
        <f>IF(OR($A1290="",$N1290=""),"",IF(AND($C1290&lt;&gt;"Transferência",N($I1290)&gt;1),$N1290/$I1290,$N1290))</f>
        <v/>
      </c>
      <c r="S1290" s="41" t="str">
        <f>IF(OR($A1290="",$F1290="",$C1290&lt;&gt;"Despesa"),"",IF(COUNTIF(Cartoes_Nome,$F1290)=0,"",DATE(P1290,O1290+IF(DAY($A1290)&gt;=INDEX(Cartoes_Fech,MATCH($F1290,Cartoes_Nome,0)),1,0),1)))</f>
        <v/>
      </c>
      <c r="T1290" s="42" t="str">
        <f>IF($A1290="","",IF(COUNTIFS(L_Data,$A1290,L_Desc,$B1290,L_Valor,$N1290,L_Tipo,$C1290)&gt;1,"⚠ Possível duplicidade",IF(OR(AND($C1290="Despesa",COUNTIF(CatD_Nome,$D1290)=0),AND($C1290="Receita",COUNTIF(CatR_Nome,$D1290)=0)),"⚠ Categoria não combina com o tipo",IF(OR($N1290="",$C1290=""),"⚠ Falta valor ou tipo",""))))</f>
        <v/>
      </c>
      <c r="U1290" s="40">
        <f>IF($A1290="",0,P1290*12+O1290)</f>
        <v>0</v>
      </c>
      <c r="V1290" s="40">
        <f>IF($A1290="",0,U1290+MAX(0,N($I1290)-MAX(N($H1290),1)))</f>
        <v>0</v>
      </c>
      <c r="W1290" s="40">
        <f>IF(S1290="",0,YEAR(S1290)*12+MONTH(S1290))</f>
        <v>0</v>
      </c>
      <c r="X1290" s="40">
        <f>IF(W1290=0,0,W1290+V1290-U1290)</f>
        <v>0</v>
      </c>
      <c r="Y1290" s="36">
        <f>IF(W1290=0,0,N(R1290)*MAX(0,X1290-MAX(W1290,YEAR(Cfg_Hoje)*12+MONTH(Cfg_Hoje)+IF(DAY(Cfg_Hoje)&gt;=INDEX(Cartoes_Fech,MATCH($F1290,Cartoes_Nome,0)),1,0))+1))</f>
        <v>0</v>
      </c>
      <c r="Z1290" s="40">
        <f>IF($A1290="",0,DAY($A1290))</f>
        <v>0</v>
      </c>
      <c r="AA1290" s="40">
        <f>IF($A1290="",0,WEEKDAY($A1290))</f>
        <v>0</v>
      </c>
      <c r="AB1290" s="36">
        <f>IF(AND($C1290="Despesa",U1290&gt;0,U1290&lt;=Sel_Idx,V1290&gt;=Sel_Idx),N(R1290)+ROW()/1000000000,0)</f>
        <v>0</v>
      </c>
      <c r="AC1290" s="40">
        <f>IF(AND($C1290="Despesa",U1290&gt;0,U1290&lt;=Sel_Idx,V1290&gt;=Sel_Idx),Z1290*10000+ROW(),0)</f>
        <v>0</v>
      </c>
      <c r="AD1290" s="40">
        <f>IF(AC1290=0,0,COUNTIFS(L_CalChave,"&gt;0",L_CalChave,"&lt;"&amp;AC1290)+1)</f>
        <v>0</v>
      </c>
    </row>
    <row r="1291">
      <c r="A1291" s="38" t="n"/>
      <c r="B1291" s="39" t="n"/>
      <c r="C1291" s="34" t="n"/>
      <c r="D1291" s="34" t="n"/>
      <c r="E1291" s="34" t="n"/>
      <c r="F1291" s="34" t="n"/>
      <c r="G1291" s="34" t="n"/>
      <c r="H1291" s="37" t="n"/>
      <c r="I1291" s="37" t="n"/>
      <c r="J1291" s="34" t="n"/>
      <c r="K1291" s="34" t="n"/>
      <c r="L1291" s="34" t="n"/>
      <c r="M1291" s="39" t="n"/>
      <c r="N1291" s="35" t="n"/>
      <c r="O1291" s="40" t="str">
        <f>IF($A1291="","",MONTH($A1291))</f>
        <v/>
      </c>
      <c r="P1291" s="40" t="str">
        <f>IF($A1291="","",YEAR($A1291))</f>
        <v/>
      </c>
      <c r="Q1291" s="41" t="str">
        <f>IF($A1291="","",DATE(P1291,O1291,1))</f>
        <v/>
      </c>
      <c r="R1291" s="36" t="str">
        <f>IF(OR($A1291="",$N1291=""),"",IF(AND($C1291&lt;&gt;"Transferência",N($I1291)&gt;1),$N1291/$I1291,$N1291))</f>
        <v/>
      </c>
      <c r="S1291" s="41" t="str">
        <f>IF(OR($A1291="",$F1291="",$C1291&lt;&gt;"Despesa"),"",IF(COUNTIF(Cartoes_Nome,$F1291)=0,"",DATE(P1291,O1291+IF(DAY($A1291)&gt;=INDEX(Cartoes_Fech,MATCH($F1291,Cartoes_Nome,0)),1,0),1)))</f>
        <v/>
      </c>
      <c r="T1291" s="42" t="str">
        <f>IF($A1291="","",IF(COUNTIFS(L_Data,$A1291,L_Desc,$B1291,L_Valor,$N1291,L_Tipo,$C1291)&gt;1,"⚠ Possível duplicidade",IF(OR(AND($C1291="Despesa",COUNTIF(CatD_Nome,$D1291)=0),AND($C1291="Receita",COUNTIF(CatR_Nome,$D1291)=0)),"⚠ Categoria não combina com o tipo",IF(OR($N1291="",$C1291=""),"⚠ Falta valor ou tipo",""))))</f>
        <v/>
      </c>
      <c r="U1291" s="40">
        <f>IF($A1291="",0,P1291*12+O1291)</f>
        <v>0</v>
      </c>
      <c r="V1291" s="40">
        <f>IF($A1291="",0,U1291+MAX(0,N($I1291)-MAX(N($H1291),1)))</f>
        <v>0</v>
      </c>
      <c r="W1291" s="40">
        <f>IF(S1291="",0,YEAR(S1291)*12+MONTH(S1291))</f>
        <v>0</v>
      </c>
      <c r="X1291" s="40">
        <f>IF(W1291=0,0,W1291+V1291-U1291)</f>
        <v>0</v>
      </c>
      <c r="Y1291" s="36">
        <f>IF(W1291=0,0,N(R1291)*MAX(0,X1291-MAX(W1291,YEAR(Cfg_Hoje)*12+MONTH(Cfg_Hoje)+IF(DAY(Cfg_Hoje)&gt;=INDEX(Cartoes_Fech,MATCH($F1291,Cartoes_Nome,0)),1,0))+1))</f>
        <v>0</v>
      </c>
      <c r="Z1291" s="40">
        <f>IF($A1291="",0,DAY($A1291))</f>
        <v>0</v>
      </c>
      <c r="AA1291" s="40">
        <f>IF($A1291="",0,WEEKDAY($A1291))</f>
        <v>0</v>
      </c>
      <c r="AB1291" s="36">
        <f>IF(AND($C1291="Despesa",U1291&gt;0,U1291&lt;=Sel_Idx,V1291&gt;=Sel_Idx),N(R1291)+ROW()/1000000000,0)</f>
        <v>0</v>
      </c>
      <c r="AC1291" s="40">
        <f>IF(AND($C1291="Despesa",U1291&gt;0,U1291&lt;=Sel_Idx,V1291&gt;=Sel_Idx),Z1291*10000+ROW(),0)</f>
        <v>0</v>
      </c>
      <c r="AD1291" s="40">
        <f>IF(AC1291=0,0,COUNTIFS(L_CalChave,"&gt;0",L_CalChave,"&lt;"&amp;AC1291)+1)</f>
        <v>0</v>
      </c>
    </row>
    <row r="1292">
      <c r="A1292" s="38" t="n"/>
      <c r="B1292" s="39" t="n"/>
      <c r="C1292" s="34" t="n"/>
      <c r="D1292" s="34" t="n"/>
      <c r="E1292" s="34" t="n"/>
      <c r="F1292" s="34" t="n"/>
      <c r="G1292" s="34" t="n"/>
      <c r="H1292" s="37" t="n"/>
      <c r="I1292" s="37" t="n"/>
      <c r="J1292" s="34" t="n"/>
      <c r="K1292" s="34" t="n"/>
      <c r="L1292" s="34" t="n"/>
      <c r="M1292" s="39" t="n"/>
      <c r="N1292" s="35" t="n"/>
      <c r="O1292" s="40" t="str">
        <f>IF($A1292="","",MONTH($A1292))</f>
        <v/>
      </c>
      <c r="P1292" s="40" t="str">
        <f>IF($A1292="","",YEAR($A1292))</f>
        <v/>
      </c>
      <c r="Q1292" s="41" t="str">
        <f>IF($A1292="","",DATE(P1292,O1292,1))</f>
        <v/>
      </c>
      <c r="R1292" s="36" t="str">
        <f>IF(OR($A1292="",$N1292=""),"",IF(AND($C1292&lt;&gt;"Transferência",N($I1292)&gt;1),$N1292/$I1292,$N1292))</f>
        <v/>
      </c>
      <c r="S1292" s="41" t="str">
        <f>IF(OR($A1292="",$F1292="",$C1292&lt;&gt;"Despesa"),"",IF(COUNTIF(Cartoes_Nome,$F1292)=0,"",DATE(P1292,O1292+IF(DAY($A1292)&gt;=INDEX(Cartoes_Fech,MATCH($F1292,Cartoes_Nome,0)),1,0),1)))</f>
        <v/>
      </c>
      <c r="T1292" s="42" t="str">
        <f>IF($A1292="","",IF(COUNTIFS(L_Data,$A1292,L_Desc,$B1292,L_Valor,$N1292,L_Tipo,$C1292)&gt;1,"⚠ Possível duplicidade",IF(OR(AND($C1292="Despesa",COUNTIF(CatD_Nome,$D1292)=0),AND($C1292="Receita",COUNTIF(CatR_Nome,$D1292)=0)),"⚠ Categoria não combina com o tipo",IF(OR($N1292="",$C1292=""),"⚠ Falta valor ou tipo",""))))</f>
        <v/>
      </c>
      <c r="U1292" s="40">
        <f>IF($A1292="",0,P1292*12+O1292)</f>
        <v>0</v>
      </c>
      <c r="V1292" s="40">
        <f>IF($A1292="",0,U1292+MAX(0,N($I1292)-MAX(N($H1292),1)))</f>
        <v>0</v>
      </c>
      <c r="W1292" s="40">
        <f>IF(S1292="",0,YEAR(S1292)*12+MONTH(S1292))</f>
        <v>0</v>
      </c>
      <c r="X1292" s="40">
        <f>IF(W1292=0,0,W1292+V1292-U1292)</f>
        <v>0</v>
      </c>
      <c r="Y1292" s="36">
        <f>IF(W1292=0,0,N(R1292)*MAX(0,X1292-MAX(W1292,YEAR(Cfg_Hoje)*12+MONTH(Cfg_Hoje)+IF(DAY(Cfg_Hoje)&gt;=INDEX(Cartoes_Fech,MATCH($F1292,Cartoes_Nome,0)),1,0))+1))</f>
        <v>0</v>
      </c>
      <c r="Z1292" s="40">
        <f>IF($A1292="",0,DAY($A1292))</f>
        <v>0</v>
      </c>
      <c r="AA1292" s="40">
        <f>IF($A1292="",0,WEEKDAY($A1292))</f>
        <v>0</v>
      </c>
      <c r="AB1292" s="36">
        <f>IF(AND($C1292="Despesa",U1292&gt;0,U1292&lt;=Sel_Idx,V1292&gt;=Sel_Idx),N(R1292)+ROW()/1000000000,0)</f>
        <v>0</v>
      </c>
      <c r="AC1292" s="40">
        <f>IF(AND($C1292="Despesa",U1292&gt;0,U1292&lt;=Sel_Idx,V1292&gt;=Sel_Idx),Z1292*10000+ROW(),0)</f>
        <v>0</v>
      </c>
      <c r="AD1292" s="40">
        <f>IF(AC1292=0,0,COUNTIFS(L_CalChave,"&gt;0",L_CalChave,"&lt;"&amp;AC1292)+1)</f>
        <v>0</v>
      </c>
    </row>
    <row r="1293">
      <c r="A1293" s="38" t="n"/>
      <c r="B1293" s="39" t="n"/>
      <c r="C1293" s="34" t="n"/>
      <c r="D1293" s="34" t="n"/>
      <c r="E1293" s="34" t="n"/>
      <c r="F1293" s="34" t="n"/>
      <c r="G1293" s="34" t="n"/>
      <c r="H1293" s="37" t="n"/>
      <c r="I1293" s="37" t="n"/>
      <c r="J1293" s="34" t="n"/>
      <c r="K1293" s="34" t="n"/>
      <c r="L1293" s="34" t="n"/>
      <c r="M1293" s="39" t="n"/>
      <c r="N1293" s="35" t="n"/>
      <c r="O1293" s="40" t="str">
        <f>IF($A1293="","",MONTH($A1293))</f>
        <v/>
      </c>
      <c r="P1293" s="40" t="str">
        <f>IF($A1293="","",YEAR($A1293))</f>
        <v/>
      </c>
      <c r="Q1293" s="41" t="str">
        <f>IF($A1293="","",DATE(P1293,O1293,1))</f>
        <v/>
      </c>
      <c r="R1293" s="36" t="str">
        <f>IF(OR($A1293="",$N1293=""),"",IF(AND($C1293&lt;&gt;"Transferência",N($I1293)&gt;1),$N1293/$I1293,$N1293))</f>
        <v/>
      </c>
      <c r="S1293" s="41" t="str">
        <f>IF(OR($A1293="",$F1293="",$C1293&lt;&gt;"Despesa"),"",IF(COUNTIF(Cartoes_Nome,$F1293)=0,"",DATE(P1293,O1293+IF(DAY($A1293)&gt;=INDEX(Cartoes_Fech,MATCH($F1293,Cartoes_Nome,0)),1,0),1)))</f>
        <v/>
      </c>
      <c r="T1293" s="42" t="str">
        <f>IF($A1293="","",IF(COUNTIFS(L_Data,$A1293,L_Desc,$B1293,L_Valor,$N1293,L_Tipo,$C1293)&gt;1,"⚠ Possível duplicidade",IF(OR(AND($C1293="Despesa",COUNTIF(CatD_Nome,$D1293)=0),AND($C1293="Receita",COUNTIF(CatR_Nome,$D1293)=0)),"⚠ Categoria não combina com o tipo",IF(OR($N1293="",$C1293=""),"⚠ Falta valor ou tipo",""))))</f>
        <v/>
      </c>
      <c r="U1293" s="40">
        <f>IF($A1293="",0,P1293*12+O1293)</f>
        <v>0</v>
      </c>
      <c r="V1293" s="40">
        <f>IF($A1293="",0,U1293+MAX(0,N($I1293)-MAX(N($H1293),1)))</f>
        <v>0</v>
      </c>
      <c r="W1293" s="40">
        <f>IF(S1293="",0,YEAR(S1293)*12+MONTH(S1293))</f>
        <v>0</v>
      </c>
      <c r="X1293" s="40">
        <f>IF(W1293=0,0,W1293+V1293-U1293)</f>
        <v>0</v>
      </c>
      <c r="Y1293" s="36">
        <f>IF(W1293=0,0,N(R1293)*MAX(0,X1293-MAX(W1293,YEAR(Cfg_Hoje)*12+MONTH(Cfg_Hoje)+IF(DAY(Cfg_Hoje)&gt;=INDEX(Cartoes_Fech,MATCH($F1293,Cartoes_Nome,0)),1,0))+1))</f>
        <v>0</v>
      </c>
      <c r="Z1293" s="40">
        <f>IF($A1293="",0,DAY($A1293))</f>
        <v>0</v>
      </c>
      <c r="AA1293" s="40">
        <f>IF($A1293="",0,WEEKDAY($A1293))</f>
        <v>0</v>
      </c>
      <c r="AB1293" s="36">
        <f>IF(AND($C1293="Despesa",U1293&gt;0,U1293&lt;=Sel_Idx,V1293&gt;=Sel_Idx),N(R1293)+ROW()/1000000000,0)</f>
        <v>0</v>
      </c>
      <c r="AC1293" s="40">
        <f>IF(AND($C1293="Despesa",U1293&gt;0,U1293&lt;=Sel_Idx,V1293&gt;=Sel_Idx),Z1293*10000+ROW(),0)</f>
        <v>0</v>
      </c>
      <c r="AD1293" s="40">
        <f>IF(AC1293=0,0,COUNTIFS(L_CalChave,"&gt;0",L_CalChave,"&lt;"&amp;AC1293)+1)</f>
        <v>0</v>
      </c>
    </row>
    <row r="1294">
      <c r="A1294" s="38" t="n"/>
      <c r="B1294" s="39" t="n"/>
      <c r="C1294" s="34" t="n"/>
      <c r="D1294" s="34" t="n"/>
      <c r="E1294" s="34" t="n"/>
      <c r="F1294" s="34" t="n"/>
      <c r="G1294" s="34" t="n"/>
      <c r="H1294" s="37" t="n"/>
      <c r="I1294" s="37" t="n"/>
      <c r="J1294" s="34" t="n"/>
      <c r="K1294" s="34" t="n"/>
      <c r="L1294" s="34" t="n"/>
      <c r="M1294" s="39" t="n"/>
      <c r="N1294" s="35" t="n"/>
      <c r="O1294" s="40" t="str">
        <f>IF($A1294="","",MONTH($A1294))</f>
        <v/>
      </c>
      <c r="P1294" s="40" t="str">
        <f>IF($A1294="","",YEAR($A1294))</f>
        <v/>
      </c>
      <c r="Q1294" s="41" t="str">
        <f>IF($A1294="","",DATE(P1294,O1294,1))</f>
        <v/>
      </c>
      <c r="R1294" s="36" t="str">
        <f>IF(OR($A1294="",$N1294=""),"",IF(AND($C1294&lt;&gt;"Transferência",N($I1294)&gt;1),$N1294/$I1294,$N1294))</f>
        <v/>
      </c>
      <c r="S1294" s="41" t="str">
        <f>IF(OR($A1294="",$F1294="",$C1294&lt;&gt;"Despesa"),"",IF(COUNTIF(Cartoes_Nome,$F1294)=0,"",DATE(P1294,O1294+IF(DAY($A1294)&gt;=INDEX(Cartoes_Fech,MATCH($F1294,Cartoes_Nome,0)),1,0),1)))</f>
        <v/>
      </c>
      <c r="T1294" s="42" t="str">
        <f>IF($A1294="","",IF(COUNTIFS(L_Data,$A1294,L_Desc,$B1294,L_Valor,$N1294,L_Tipo,$C1294)&gt;1,"⚠ Possível duplicidade",IF(OR(AND($C1294="Despesa",COUNTIF(CatD_Nome,$D1294)=0),AND($C1294="Receita",COUNTIF(CatR_Nome,$D1294)=0)),"⚠ Categoria não combina com o tipo",IF(OR($N1294="",$C1294=""),"⚠ Falta valor ou tipo",""))))</f>
        <v/>
      </c>
      <c r="U1294" s="40">
        <f>IF($A1294="",0,P1294*12+O1294)</f>
        <v>0</v>
      </c>
      <c r="V1294" s="40">
        <f>IF($A1294="",0,U1294+MAX(0,N($I1294)-MAX(N($H1294),1)))</f>
        <v>0</v>
      </c>
      <c r="W1294" s="40">
        <f>IF(S1294="",0,YEAR(S1294)*12+MONTH(S1294))</f>
        <v>0</v>
      </c>
      <c r="X1294" s="40">
        <f>IF(W1294=0,0,W1294+V1294-U1294)</f>
        <v>0</v>
      </c>
      <c r="Y1294" s="36">
        <f>IF(W1294=0,0,N(R1294)*MAX(0,X1294-MAX(W1294,YEAR(Cfg_Hoje)*12+MONTH(Cfg_Hoje)+IF(DAY(Cfg_Hoje)&gt;=INDEX(Cartoes_Fech,MATCH($F1294,Cartoes_Nome,0)),1,0))+1))</f>
        <v>0</v>
      </c>
      <c r="Z1294" s="40">
        <f>IF($A1294="",0,DAY($A1294))</f>
        <v>0</v>
      </c>
      <c r="AA1294" s="40">
        <f>IF($A1294="",0,WEEKDAY($A1294))</f>
        <v>0</v>
      </c>
      <c r="AB1294" s="36">
        <f>IF(AND($C1294="Despesa",U1294&gt;0,U1294&lt;=Sel_Idx,V1294&gt;=Sel_Idx),N(R1294)+ROW()/1000000000,0)</f>
        <v>0</v>
      </c>
      <c r="AC1294" s="40">
        <f>IF(AND($C1294="Despesa",U1294&gt;0,U1294&lt;=Sel_Idx,V1294&gt;=Sel_Idx),Z1294*10000+ROW(),0)</f>
        <v>0</v>
      </c>
      <c r="AD1294" s="40">
        <f>IF(AC1294=0,0,COUNTIFS(L_CalChave,"&gt;0",L_CalChave,"&lt;"&amp;AC1294)+1)</f>
        <v>0</v>
      </c>
    </row>
    <row r="1295">
      <c r="A1295" s="38" t="n"/>
      <c r="B1295" s="39" t="n"/>
      <c r="C1295" s="34" t="n"/>
      <c r="D1295" s="34" t="n"/>
      <c r="E1295" s="34" t="n"/>
      <c r="F1295" s="34" t="n"/>
      <c r="G1295" s="34" t="n"/>
      <c r="H1295" s="37" t="n"/>
      <c r="I1295" s="37" t="n"/>
      <c r="J1295" s="34" t="n"/>
      <c r="K1295" s="34" t="n"/>
      <c r="L1295" s="34" t="n"/>
      <c r="M1295" s="39" t="n"/>
      <c r="N1295" s="35" t="n"/>
      <c r="O1295" s="40" t="str">
        <f>IF($A1295="","",MONTH($A1295))</f>
        <v/>
      </c>
      <c r="P1295" s="40" t="str">
        <f>IF($A1295="","",YEAR($A1295))</f>
        <v/>
      </c>
      <c r="Q1295" s="41" t="str">
        <f>IF($A1295="","",DATE(P1295,O1295,1))</f>
        <v/>
      </c>
      <c r="R1295" s="36" t="str">
        <f>IF(OR($A1295="",$N1295=""),"",IF(AND($C1295&lt;&gt;"Transferência",N($I1295)&gt;1),$N1295/$I1295,$N1295))</f>
        <v/>
      </c>
      <c r="S1295" s="41" t="str">
        <f>IF(OR($A1295="",$F1295="",$C1295&lt;&gt;"Despesa"),"",IF(COUNTIF(Cartoes_Nome,$F1295)=0,"",DATE(P1295,O1295+IF(DAY($A1295)&gt;=INDEX(Cartoes_Fech,MATCH($F1295,Cartoes_Nome,0)),1,0),1)))</f>
        <v/>
      </c>
      <c r="T1295" s="42" t="str">
        <f>IF($A1295="","",IF(COUNTIFS(L_Data,$A1295,L_Desc,$B1295,L_Valor,$N1295,L_Tipo,$C1295)&gt;1,"⚠ Possível duplicidade",IF(OR(AND($C1295="Despesa",COUNTIF(CatD_Nome,$D1295)=0),AND($C1295="Receita",COUNTIF(CatR_Nome,$D1295)=0)),"⚠ Categoria não combina com o tipo",IF(OR($N1295="",$C1295=""),"⚠ Falta valor ou tipo",""))))</f>
        <v/>
      </c>
      <c r="U1295" s="40">
        <f>IF($A1295="",0,P1295*12+O1295)</f>
        <v>0</v>
      </c>
      <c r="V1295" s="40">
        <f>IF($A1295="",0,U1295+MAX(0,N($I1295)-MAX(N($H1295),1)))</f>
        <v>0</v>
      </c>
      <c r="W1295" s="40">
        <f>IF(S1295="",0,YEAR(S1295)*12+MONTH(S1295))</f>
        <v>0</v>
      </c>
      <c r="X1295" s="40">
        <f>IF(W1295=0,0,W1295+V1295-U1295)</f>
        <v>0</v>
      </c>
      <c r="Y1295" s="36">
        <f>IF(W1295=0,0,N(R1295)*MAX(0,X1295-MAX(W1295,YEAR(Cfg_Hoje)*12+MONTH(Cfg_Hoje)+IF(DAY(Cfg_Hoje)&gt;=INDEX(Cartoes_Fech,MATCH($F1295,Cartoes_Nome,0)),1,0))+1))</f>
        <v>0</v>
      </c>
      <c r="Z1295" s="40">
        <f>IF($A1295="",0,DAY($A1295))</f>
        <v>0</v>
      </c>
      <c r="AA1295" s="40">
        <f>IF($A1295="",0,WEEKDAY($A1295))</f>
        <v>0</v>
      </c>
      <c r="AB1295" s="36">
        <f>IF(AND($C1295="Despesa",U1295&gt;0,U1295&lt;=Sel_Idx,V1295&gt;=Sel_Idx),N(R1295)+ROW()/1000000000,0)</f>
        <v>0</v>
      </c>
      <c r="AC1295" s="40">
        <f>IF(AND($C1295="Despesa",U1295&gt;0,U1295&lt;=Sel_Idx,V1295&gt;=Sel_Idx),Z1295*10000+ROW(),0)</f>
        <v>0</v>
      </c>
      <c r="AD1295" s="40">
        <f>IF(AC1295=0,0,COUNTIFS(L_CalChave,"&gt;0",L_CalChave,"&lt;"&amp;AC1295)+1)</f>
        <v>0</v>
      </c>
    </row>
    <row r="1296">
      <c r="A1296" s="38" t="n"/>
      <c r="B1296" s="39" t="n"/>
      <c r="C1296" s="34" t="n"/>
      <c r="D1296" s="34" t="n"/>
      <c r="E1296" s="34" t="n"/>
      <c r="F1296" s="34" t="n"/>
      <c r="G1296" s="34" t="n"/>
      <c r="H1296" s="37" t="n"/>
      <c r="I1296" s="37" t="n"/>
      <c r="J1296" s="34" t="n"/>
      <c r="K1296" s="34" t="n"/>
      <c r="L1296" s="34" t="n"/>
      <c r="M1296" s="39" t="n"/>
      <c r="N1296" s="35" t="n"/>
      <c r="O1296" s="40" t="str">
        <f>IF($A1296="","",MONTH($A1296))</f>
        <v/>
      </c>
      <c r="P1296" s="40" t="str">
        <f>IF($A1296="","",YEAR($A1296))</f>
        <v/>
      </c>
      <c r="Q1296" s="41" t="str">
        <f>IF($A1296="","",DATE(P1296,O1296,1))</f>
        <v/>
      </c>
      <c r="R1296" s="36" t="str">
        <f>IF(OR($A1296="",$N1296=""),"",IF(AND($C1296&lt;&gt;"Transferência",N($I1296)&gt;1),$N1296/$I1296,$N1296))</f>
        <v/>
      </c>
      <c r="S1296" s="41" t="str">
        <f>IF(OR($A1296="",$F1296="",$C1296&lt;&gt;"Despesa"),"",IF(COUNTIF(Cartoes_Nome,$F1296)=0,"",DATE(P1296,O1296+IF(DAY($A1296)&gt;=INDEX(Cartoes_Fech,MATCH($F1296,Cartoes_Nome,0)),1,0),1)))</f>
        <v/>
      </c>
      <c r="T1296" s="42" t="str">
        <f>IF($A1296="","",IF(COUNTIFS(L_Data,$A1296,L_Desc,$B1296,L_Valor,$N1296,L_Tipo,$C1296)&gt;1,"⚠ Possível duplicidade",IF(OR(AND($C1296="Despesa",COUNTIF(CatD_Nome,$D1296)=0),AND($C1296="Receita",COUNTIF(CatR_Nome,$D1296)=0)),"⚠ Categoria não combina com o tipo",IF(OR($N1296="",$C1296=""),"⚠ Falta valor ou tipo",""))))</f>
        <v/>
      </c>
      <c r="U1296" s="40">
        <f>IF($A1296="",0,P1296*12+O1296)</f>
        <v>0</v>
      </c>
      <c r="V1296" s="40">
        <f>IF($A1296="",0,U1296+MAX(0,N($I1296)-MAX(N($H1296),1)))</f>
        <v>0</v>
      </c>
      <c r="W1296" s="40">
        <f>IF(S1296="",0,YEAR(S1296)*12+MONTH(S1296))</f>
        <v>0</v>
      </c>
      <c r="X1296" s="40">
        <f>IF(W1296=0,0,W1296+V1296-U1296)</f>
        <v>0</v>
      </c>
      <c r="Y1296" s="36">
        <f>IF(W1296=0,0,N(R1296)*MAX(0,X1296-MAX(W1296,YEAR(Cfg_Hoje)*12+MONTH(Cfg_Hoje)+IF(DAY(Cfg_Hoje)&gt;=INDEX(Cartoes_Fech,MATCH($F1296,Cartoes_Nome,0)),1,0))+1))</f>
        <v>0</v>
      </c>
      <c r="Z1296" s="40">
        <f>IF($A1296="",0,DAY($A1296))</f>
        <v>0</v>
      </c>
      <c r="AA1296" s="40">
        <f>IF($A1296="",0,WEEKDAY($A1296))</f>
        <v>0</v>
      </c>
      <c r="AB1296" s="36">
        <f>IF(AND($C1296="Despesa",U1296&gt;0,U1296&lt;=Sel_Idx,V1296&gt;=Sel_Idx),N(R1296)+ROW()/1000000000,0)</f>
        <v>0</v>
      </c>
      <c r="AC1296" s="40">
        <f>IF(AND($C1296="Despesa",U1296&gt;0,U1296&lt;=Sel_Idx,V1296&gt;=Sel_Idx),Z1296*10000+ROW(),0)</f>
        <v>0</v>
      </c>
      <c r="AD1296" s="40">
        <f>IF(AC1296=0,0,COUNTIFS(L_CalChave,"&gt;0",L_CalChave,"&lt;"&amp;AC1296)+1)</f>
        <v>0</v>
      </c>
    </row>
    <row r="1297">
      <c r="A1297" s="38" t="n"/>
      <c r="B1297" s="39" t="n"/>
      <c r="C1297" s="34" t="n"/>
      <c r="D1297" s="34" t="n"/>
      <c r="E1297" s="34" t="n"/>
      <c r="F1297" s="34" t="n"/>
      <c r="G1297" s="34" t="n"/>
      <c r="H1297" s="37" t="n"/>
      <c r="I1297" s="37" t="n"/>
      <c r="J1297" s="34" t="n"/>
      <c r="K1297" s="34" t="n"/>
      <c r="L1297" s="34" t="n"/>
      <c r="M1297" s="39" t="n"/>
      <c r="N1297" s="35" t="n"/>
      <c r="O1297" s="40" t="str">
        <f>IF($A1297="","",MONTH($A1297))</f>
        <v/>
      </c>
      <c r="P1297" s="40" t="str">
        <f>IF($A1297="","",YEAR($A1297))</f>
        <v/>
      </c>
      <c r="Q1297" s="41" t="str">
        <f>IF($A1297="","",DATE(P1297,O1297,1))</f>
        <v/>
      </c>
      <c r="R1297" s="36" t="str">
        <f>IF(OR($A1297="",$N1297=""),"",IF(AND($C1297&lt;&gt;"Transferência",N($I1297)&gt;1),$N1297/$I1297,$N1297))</f>
        <v/>
      </c>
      <c r="S1297" s="41" t="str">
        <f>IF(OR($A1297="",$F1297="",$C1297&lt;&gt;"Despesa"),"",IF(COUNTIF(Cartoes_Nome,$F1297)=0,"",DATE(P1297,O1297+IF(DAY($A1297)&gt;=INDEX(Cartoes_Fech,MATCH($F1297,Cartoes_Nome,0)),1,0),1)))</f>
        <v/>
      </c>
      <c r="T1297" s="42" t="str">
        <f>IF($A1297="","",IF(COUNTIFS(L_Data,$A1297,L_Desc,$B1297,L_Valor,$N1297,L_Tipo,$C1297)&gt;1,"⚠ Possível duplicidade",IF(OR(AND($C1297="Despesa",COUNTIF(CatD_Nome,$D1297)=0),AND($C1297="Receita",COUNTIF(CatR_Nome,$D1297)=0)),"⚠ Categoria não combina com o tipo",IF(OR($N1297="",$C1297=""),"⚠ Falta valor ou tipo",""))))</f>
        <v/>
      </c>
      <c r="U1297" s="40">
        <f>IF($A1297="",0,P1297*12+O1297)</f>
        <v>0</v>
      </c>
      <c r="V1297" s="40">
        <f>IF($A1297="",0,U1297+MAX(0,N($I1297)-MAX(N($H1297),1)))</f>
        <v>0</v>
      </c>
      <c r="W1297" s="40">
        <f>IF(S1297="",0,YEAR(S1297)*12+MONTH(S1297))</f>
        <v>0</v>
      </c>
      <c r="X1297" s="40">
        <f>IF(W1297=0,0,W1297+V1297-U1297)</f>
        <v>0</v>
      </c>
      <c r="Y1297" s="36">
        <f>IF(W1297=0,0,N(R1297)*MAX(0,X1297-MAX(W1297,YEAR(Cfg_Hoje)*12+MONTH(Cfg_Hoje)+IF(DAY(Cfg_Hoje)&gt;=INDEX(Cartoes_Fech,MATCH($F1297,Cartoes_Nome,0)),1,0))+1))</f>
        <v>0</v>
      </c>
      <c r="Z1297" s="40">
        <f>IF($A1297="",0,DAY($A1297))</f>
        <v>0</v>
      </c>
      <c r="AA1297" s="40">
        <f>IF($A1297="",0,WEEKDAY($A1297))</f>
        <v>0</v>
      </c>
      <c r="AB1297" s="36">
        <f>IF(AND($C1297="Despesa",U1297&gt;0,U1297&lt;=Sel_Idx,V1297&gt;=Sel_Idx),N(R1297)+ROW()/1000000000,0)</f>
        <v>0</v>
      </c>
      <c r="AC1297" s="40">
        <f>IF(AND($C1297="Despesa",U1297&gt;0,U1297&lt;=Sel_Idx,V1297&gt;=Sel_Idx),Z1297*10000+ROW(),0)</f>
        <v>0</v>
      </c>
      <c r="AD1297" s="40">
        <f>IF(AC1297=0,0,COUNTIFS(L_CalChave,"&gt;0",L_CalChave,"&lt;"&amp;AC1297)+1)</f>
        <v>0</v>
      </c>
    </row>
    <row r="1298">
      <c r="A1298" s="38" t="n"/>
      <c r="B1298" s="39" t="n"/>
      <c r="C1298" s="34" t="n"/>
      <c r="D1298" s="34" t="n"/>
      <c r="E1298" s="34" t="n"/>
      <c r="F1298" s="34" t="n"/>
      <c r="G1298" s="34" t="n"/>
      <c r="H1298" s="37" t="n"/>
      <c r="I1298" s="37" t="n"/>
      <c r="J1298" s="34" t="n"/>
      <c r="K1298" s="34" t="n"/>
      <c r="L1298" s="34" t="n"/>
      <c r="M1298" s="39" t="n"/>
      <c r="N1298" s="35" t="n"/>
      <c r="O1298" s="40" t="str">
        <f>IF($A1298="","",MONTH($A1298))</f>
        <v/>
      </c>
      <c r="P1298" s="40" t="str">
        <f>IF($A1298="","",YEAR($A1298))</f>
        <v/>
      </c>
      <c r="Q1298" s="41" t="str">
        <f>IF($A1298="","",DATE(P1298,O1298,1))</f>
        <v/>
      </c>
      <c r="R1298" s="36" t="str">
        <f>IF(OR($A1298="",$N1298=""),"",IF(AND($C1298&lt;&gt;"Transferência",N($I1298)&gt;1),$N1298/$I1298,$N1298))</f>
        <v/>
      </c>
      <c r="S1298" s="41" t="str">
        <f>IF(OR($A1298="",$F1298="",$C1298&lt;&gt;"Despesa"),"",IF(COUNTIF(Cartoes_Nome,$F1298)=0,"",DATE(P1298,O1298+IF(DAY($A1298)&gt;=INDEX(Cartoes_Fech,MATCH($F1298,Cartoes_Nome,0)),1,0),1)))</f>
        <v/>
      </c>
      <c r="T1298" s="42" t="str">
        <f>IF($A1298="","",IF(COUNTIFS(L_Data,$A1298,L_Desc,$B1298,L_Valor,$N1298,L_Tipo,$C1298)&gt;1,"⚠ Possível duplicidade",IF(OR(AND($C1298="Despesa",COUNTIF(CatD_Nome,$D1298)=0),AND($C1298="Receita",COUNTIF(CatR_Nome,$D1298)=0)),"⚠ Categoria não combina com o tipo",IF(OR($N1298="",$C1298=""),"⚠ Falta valor ou tipo",""))))</f>
        <v/>
      </c>
      <c r="U1298" s="40">
        <f>IF($A1298="",0,P1298*12+O1298)</f>
        <v>0</v>
      </c>
      <c r="V1298" s="40">
        <f>IF($A1298="",0,U1298+MAX(0,N($I1298)-MAX(N($H1298),1)))</f>
        <v>0</v>
      </c>
      <c r="W1298" s="40">
        <f>IF(S1298="",0,YEAR(S1298)*12+MONTH(S1298))</f>
        <v>0</v>
      </c>
      <c r="X1298" s="40">
        <f>IF(W1298=0,0,W1298+V1298-U1298)</f>
        <v>0</v>
      </c>
      <c r="Y1298" s="36">
        <f>IF(W1298=0,0,N(R1298)*MAX(0,X1298-MAX(W1298,YEAR(Cfg_Hoje)*12+MONTH(Cfg_Hoje)+IF(DAY(Cfg_Hoje)&gt;=INDEX(Cartoes_Fech,MATCH($F1298,Cartoes_Nome,0)),1,0))+1))</f>
        <v>0</v>
      </c>
      <c r="Z1298" s="40">
        <f>IF($A1298="",0,DAY($A1298))</f>
        <v>0</v>
      </c>
      <c r="AA1298" s="40">
        <f>IF($A1298="",0,WEEKDAY($A1298))</f>
        <v>0</v>
      </c>
      <c r="AB1298" s="36">
        <f>IF(AND($C1298="Despesa",U1298&gt;0,U1298&lt;=Sel_Idx,V1298&gt;=Sel_Idx),N(R1298)+ROW()/1000000000,0)</f>
        <v>0</v>
      </c>
      <c r="AC1298" s="40">
        <f>IF(AND($C1298="Despesa",U1298&gt;0,U1298&lt;=Sel_Idx,V1298&gt;=Sel_Idx),Z1298*10000+ROW(),0)</f>
        <v>0</v>
      </c>
      <c r="AD1298" s="40">
        <f>IF(AC1298=0,0,COUNTIFS(L_CalChave,"&gt;0",L_CalChave,"&lt;"&amp;AC1298)+1)</f>
        <v>0</v>
      </c>
    </row>
    <row r="1299">
      <c r="A1299" s="38" t="n"/>
      <c r="B1299" s="39" t="n"/>
      <c r="C1299" s="34" t="n"/>
      <c r="D1299" s="34" t="n"/>
      <c r="E1299" s="34" t="n"/>
      <c r="F1299" s="34" t="n"/>
      <c r="G1299" s="34" t="n"/>
      <c r="H1299" s="37" t="n"/>
      <c r="I1299" s="37" t="n"/>
      <c r="J1299" s="34" t="n"/>
      <c r="K1299" s="34" t="n"/>
      <c r="L1299" s="34" t="n"/>
      <c r="M1299" s="39" t="n"/>
      <c r="N1299" s="35" t="n"/>
      <c r="O1299" s="40" t="str">
        <f>IF($A1299="","",MONTH($A1299))</f>
        <v/>
      </c>
      <c r="P1299" s="40" t="str">
        <f>IF($A1299="","",YEAR($A1299))</f>
        <v/>
      </c>
      <c r="Q1299" s="41" t="str">
        <f>IF($A1299="","",DATE(P1299,O1299,1))</f>
        <v/>
      </c>
      <c r="R1299" s="36" t="str">
        <f>IF(OR($A1299="",$N1299=""),"",IF(AND($C1299&lt;&gt;"Transferência",N($I1299)&gt;1),$N1299/$I1299,$N1299))</f>
        <v/>
      </c>
      <c r="S1299" s="41" t="str">
        <f>IF(OR($A1299="",$F1299="",$C1299&lt;&gt;"Despesa"),"",IF(COUNTIF(Cartoes_Nome,$F1299)=0,"",DATE(P1299,O1299+IF(DAY($A1299)&gt;=INDEX(Cartoes_Fech,MATCH($F1299,Cartoes_Nome,0)),1,0),1)))</f>
        <v/>
      </c>
      <c r="T1299" s="42" t="str">
        <f>IF($A1299="","",IF(COUNTIFS(L_Data,$A1299,L_Desc,$B1299,L_Valor,$N1299,L_Tipo,$C1299)&gt;1,"⚠ Possível duplicidade",IF(OR(AND($C1299="Despesa",COUNTIF(CatD_Nome,$D1299)=0),AND($C1299="Receita",COUNTIF(CatR_Nome,$D1299)=0)),"⚠ Categoria não combina com o tipo",IF(OR($N1299="",$C1299=""),"⚠ Falta valor ou tipo",""))))</f>
        <v/>
      </c>
      <c r="U1299" s="40">
        <f>IF($A1299="",0,P1299*12+O1299)</f>
        <v>0</v>
      </c>
      <c r="V1299" s="40">
        <f>IF($A1299="",0,U1299+MAX(0,N($I1299)-MAX(N($H1299),1)))</f>
        <v>0</v>
      </c>
      <c r="W1299" s="40">
        <f>IF(S1299="",0,YEAR(S1299)*12+MONTH(S1299))</f>
        <v>0</v>
      </c>
      <c r="X1299" s="40">
        <f>IF(W1299=0,0,W1299+V1299-U1299)</f>
        <v>0</v>
      </c>
      <c r="Y1299" s="36">
        <f>IF(W1299=0,0,N(R1299)*MAX(0,X1299-MAX(W1299,YEAR(Cfg_Hoje)*12+MONTH(Cfg_Hoje)+IF(DAY(Cfg_Hoje)&gt;=INDEX(Cartoes_Fech,MATCH($F1299,Cartoes_Nome,0)),1,0))+1))</f>
        <v>0</v>
      </c>
      <c r="Z1299" s="40">
        <f>IF($A1299="",0,DAY($A1299))</f>
        <v>0</v>
      </c>
      <c r="AA1299" s="40">
        <f>IF($A1299="",0,WEEKDAY($A1299))</f>
        <v>0</v>
      </c>
      <c r="AB1299" s="36">
        <f>IF(AND($C1299="Despesa",U1299&gt;0,U1299&lt;=Sel_Idx,V1299&gt;=Sel_Idx),N(R1299)+ROW()/1000000000,0)</f>
        <v>0</v>
      </c>
      <c r="AC1299" s="40">
        <f>IF(AND($C1299="Despesa",U1299&gt;0,U1299&lt;=Sel_Idx,V1299&gt;=Sel_Idx),Z1299*10000+ROW(),0)</f>
        <v>0</v>
      </c>
      <c r="AD1299" s="40">
        <f>IF(AC1299=0,0,COUNTIFS(L_CalChave,"&gt;0",L_CalChave,"&lt;"&amp;AC1299)+1)</f>
        <v>0</v>
      </c>
    </row>
    <row r="1300">
      <c r="A1300" s="38" t="n"/>
      <c r="B1300" s="39" t="n"/>
      <c r="C1300" s="34" t="n"/>
      <c r="D1300" s="34" t="n"/>
      <c r="E1300" s="34" t="n"/>
      <c r="F1300" s="34" t="n"/>
      <c r="G1300" s="34" t="n"/>
      <c r="H1300" s="37" t="n"/>
      <c r="I1300" s="37" t="n"/>
      <c r="J1300" s="34" t="n"/>
      <c r="K1300" s="34" t="n"/>
      <c r="L1300" s="34" t="n"/>
      <c r="M1300" s="39" t="n"/>
      <c r="N1300" s="35" t="n"/>
      <c r="O1300" s="40" t="str">
        <f>IF($A1300="","",MONTH($A1300))</f>
        <v/>
      </c>
      <c r="P1300" s="40" t="str">
        <f>IF($A1300="","",YEAR($A1300))</f>
        <v/>
      </c>
      <c r="Q1300" s="41" t="str">
        <f>IF($A1300="","",DATE(P1300,O1300,1))</f>
        <v/>
      </c>
      <c r="R1300" s="36" t="str">
        <f>IF(OR($A1300="",$N1300=""),"",IF(AND($C1300&lt;&gt;"Transferência",N($I1300)&gt;1),$N1300/$I1300,$N1300))</f>
        <v/>
      </c>
      <c r="S1300" s="41" t="str">
        <f>IF(OR($A1300="",$F1300="",$C1300&lt;&gt;"Despesa"),"",IF(COUNTIF(Cartoes_Nome,$F1300)=0,"",DATE(P1300,O1300+IF(DAY($A1300)&gt;=INDEX(Cartoes_Fech,MATCH($F1300,Cartoes_Nome,0)),1,0),1)))</f>
        <v/>
      </c>
      <c r="T1300" s="42" t="str">
        <f>IF($A1300="","",IF(COUNTIFS(L_Data,$A1300,L_Desc,$B1300,L_Valor,$N1300,L_Tipo,$C1300)&gt;1,"⚠ Possível duplicidade",IF(OR(AND($C1300="Despesa",COUNTIF(CatD_Nome,$D1300)=0),AND($C1300="Receita",COUNTIF(CatR_Nome,$D1300)=0)),"⚠ Categoria não combina com o tipo",IF(OR($N1300="",$C1300=""),"⚠ Falta valor ou tipo",""))))</f>
        <v/>
      </c>
      <c r="U1300" s="40">
        <f>IF($A1300="",0,P1300*12+O1300)</f>
        <v>0</v>
      </c>
      <c r="V1300" s="40">
        <f>IF($A1300="",0,U1300+MAX(0,N($I1300)-MAX(N($H1300),1)))</f>
        <v>0</v>
      </c>
      <c r="W1300" s="40">
        <f>IF(S1300="",0,YEAR(S1300)*12+MONTH(S1300))</f>
        <v>0</v>
      </c>
      <c r="X1300" s="40">
        <f>IF(W1300=0,0,W1300+V1300-U1300)</f>
        <v>0</v>
      </c>
      <c r="Y1300" s="36">
        <f>IF(W1300=0,0,N(R1300)*MAX(0,X1300-MAX(W1300,YEAR(Cfg_Hoje)*12+MONTH(Cfg_Hoje)+IF(DAY(Cfg_Hoje)&gt;=INDEX(Cartoes_Fech,MATCH($F1300,Cartoes_Nome,0)),1,0))+1))</f>
        <v>0</v>
      </c>
      <c r="Z1300" s="40">
        <f>IF($A1300="",0,DAY($A1300))</f>
        <v>0</v>
      </c>
      <c r="AA1300" s="40">
        <f>IF($A1300="",0,WEEKDAY($A1300))</f>
        <v>0</v>
      </c>
      <c r="AB1300" s="36">
        <f>IF(AND($C1300="Despesa",U1300&gt;0,U1300&lt;=Sel_Idx,V1300&gt;=Sel_Idx),N(R1300)+ROW()/1000000000,0)</f>
        <v>0</v>
      </c>
      <c r="AC1300" s="40">
        <f>IF(AND($C1300="Despesa",U1300&gt;0,U1300&lt;=Sel_Idx,V1300&gt;=Sel_Idx),Z1300*10000+ROW(),0)</f>
        <v>0</v>
      </c>
      <c r="AD1300" s="40">
        <f>IF(AC1300=0,0,COUNTIFS(L_CalChave,"&gt;0",L_CalChave,"&lt;"&amp;AC1300)+1)</f>
        <v>0</v>
      </c>
    </row>
    <row r="1301">
      <c r="A1301" s="38" t="n"/>
      <c r="B1301" s="39" t="n"/>
      <c r="C1301" s="34" t="n"/>
      <c r="D1301" s="34" t="n"/>
      <c r="E1301" s="34" t="n"/>
      <c r="F1301" s="34" t="n"/>
      <c r="G1301" s="34" t="n"/>
      <c r="H1301" s="37" t="n"/>
      <c r="I1301" s="37" t="n"/>
      <c r="J1301" s="34" t="n"/>
      <c r="K1301" s="34" t="n"/>
      <c r="L1301" s="34" t="n"/>
      <c r="M1301" s="39" t="n"/>
      <c r="N1301" s="35" t="n"/>
      <c r="O1301" s="40" t="str">
        <f>IF($A1301="","",MONTH($A1301))</f>
        <v/>
      </c>
      <c r="P1301" s="40" t="str">
        <f>IF($A1301="","",YEAR($A1301))</f>
        <v/>
      </c>
      <c r="Q1301" s="41" t="str">
        <f>IF($A1301="","",DATE(P1301,O1301,1))</f>
        <v/>
      </c>
      <c r="R1301" s="36" t="str">
        <f>IF(OR($A1301="",$N1301=""),"",IF(AND($C1301&lt;&gt;"Transferência",N($I1301)&gt;1),$N1301/$I1301,$N1301))</f>
        <v/>
      </c>
      <c r="S1301" s="41" t="str">
        <f>IF(OR($A1301="",$F1301="",$C1301&lt;&gt;"Despesa"),"",IF(COUNTIF(Cartoes_Nome,$F1301)=0,"",DATE(P1301,O1301+IF(DAY($A1301)&gt;=INDEX(Cartoes_Fech,MATCH($F1301,Cartoes_Nome,0)),1,0),1)))</f>
        <v/>
      </c>
      <c r="T1301" s="42" t="str">
        <f>IF($A1301="","",IF(COUNTIFS(L_Data,$A1301,L_Desc,$B1301,L_Valor,$N1301,L_Tipo,$C1301)&gt;1,"⚠ Possível duplicidade",IF(OR(AND($C1301="Despesa",COUNTIF(CatD_Nome,$D1301)=0),AND($C1301="Receita",COUNTIF(CatR_Nome,$D1301)=0)),"⚠ Categoria não combina com o tipo",IF(OR($N1301="",$C1301=""),"⚠ Falta valor ou tipo",""))))</f>
        <v/>
      </c>
      <c r="U1301" s="40">
        <f>IF($A1301="",0,P1301*12+O1301)</f>
        <v>0</v>
      </c>
      <c r="V1301" s="40">
        <f>IF($A1301="",0,U1301+MAX(0,N($I1301)-MAX(N($H1301),1)))</f>
        <v>0</v>
      </c>
      <c r="W1301" s="40">
        <f>IF(S1301="",0,YEAR(S1301)*12+MONTH(S1301))</f>
        <v>0</v>
      </c>
      <c r="X1301" s="40">
        <f>IF(W1301=0,0,W1301+V1301-U1301)</f>
        <v>0</v>
      </c>
      <c r="Y1301" s="36">
        <f>IF(W1301=0,0,N(R1301)*MAX(0,X1301-MAX(W1301,YEAR(Cfg_Hoje)*12+MONTH(Cfg_Hoje)+IF(DAY(Cfg_Hoje)&gt;=INDEX(Cartoes_Fech,MATCH($F1301,Cartoes_Nome,0)),1,0))+1))</f>
        <v>0</v>
      </c>
      <c r="Z1301" s="40">
        <f>IF($A1301="",0,DAY($A1301))</f>
        <v>0</v>
      </c>
      <c r="AA1301" s="40">
        <f>IF($A1301="",0,WEEKDAY($A1301))</f>
        <v>0</v>
      </c>
      <c r="AB1301" s="36">
        <f>IF(AND($C1301="Despesa",U1301&gt;0,U1301&lt;=Sel_Idx,V1301&gt;=Sel_Idx),N(R1301)+ROW()/1000000000,0)</f>
        <v>0</v>
      </c>
      <c r="AC1301" s="40">
        <f>IF(AND($C1301="Despesa",U1301&gt;0,U1301&lt;=Sel_Idx,V1301&gt;=Sel_Idx),Z1301*10000+ROW(),0)</f>
        <v>0</v>
      </c>
      <c r="AD1301" s="40">
        <f>IF(AC1301=0,0,COUNTIFS(L_CalChave,"&gt;0",L_CalChave,"&lt;"&amp;AC1301)+1)</f>
        <v>0</v>
      </c>
    </row>
    <row r="1302">
      <c r="A1302" s="38" t="n"/>
      <c r="B1302" s="39" t="n"/>
      <c r="C1302" s="34" t="n"/>
      <c r="D1302" s="34" t="n"/>
      <c r="E1302" s="34" t="n"/>
      <c r="F1302" s="34" t="n"/>
      <c r="G1302" s="34" t="n"/>
      <c r="H1302" s="37" t="n"/>
      <c r="I1302" s="37" t="n"/>
      <c r="J1302" s="34" t="n"/>
      <c r="K1302" s="34" t="n"/>
      <c r="L1302" s="34" t="n"/>
      <c r="M1302" s="39" t="n"/>
      <c r="N1302" s="35" t="n"/>
      <c r="O1302" s="40" t="str">
        <f>IF($A1302="","",MONTH($A1302))</f>
        <v/>
      </c>
      <c r="P1302" s="40" t="str">
        <f>IF($A1302="","",YEAR($A1302))</f>
        <v/>
      </c>
      <c r="Q1302" s="41" t="str">
        <f>IF($A1302="","",DATE(P1302,O1302,1))</f>
        <v/>
      </c>
      <c r="R1302" s="36" t="str">
        <f>IF(OR($A1302="",$N1302=""),"",IF(AND($C1302&lt;&gt;"Transferência",N($I1302)&gt;1),$N1302/$I1302,$N1302))</f>
        <v/>
      </c>
      <c r="S1302" s="41" t="str">
        <f>IF(OR($A1302="",$F1302="",$C1302&lt;&gt;"Despesa"),"",IF(COUNTIF(Cartoes_Nome,$F1302)=0,"",DATE(P1302,O1302+IF(DAY($A1302)&gt;=INDEX(Cartoes_Fech,MATCH($F1302,Cartoes_Nome,0)),1,0),1)))</f>
        <v/>
      </c>
      <c r="T1302" s="42" t="str">
        <f>IF($A1302="","",IF(COUNTIFS(L_Data,$A1302,L_Desc,$B1302,L_Valor,$N1302,L_Tipo,$C1302)&gt;1,"⚠ Possível duplicidade",IF(OR(AND($C1302="Despesa",COUNTIF(CatD_Nome,$D1302)=0),AND($C1302="Receita",COUNTIF(CatR_Nome,$D1302)=0)),"⚠ Categoria não combina com o tipo",IF(OR($N1302="",$C1302=""),"⚠ Falta valor ou tipo",""))))</f>
        <v/>
      </c>
      <c r="U1302" s="40">
        <f>IF($A1302="",0,P1302*12+O1302)</f>
        <v>0</v>
      </c>
      <c r="V1302" s="40">
        <f>IF($A1302="",0,U1302+MAX(0,N($I1302)-MAX(N($H1302),1)))</f>
        <v>0</v>
      </c>
      <c r="W1302" s="40">
        <f>IF(S1302="",0,YEAR(S1302)*12+MONTH(S1302))</f>
        <v>0</v>
      </c>
      <c r="X1302" s="40">
        <f>IF(W1302=0,0,W1302+V1302-U1302)</f>
        <v>0</v>
      </c>
      <c r="Y1302" s="36">
        <f>IF(W1302=0,0,N(R1302)*MAX(0,X1302-MAX(W1302,YEAR(Cfg_Hoje)*12+MONTH(Cfg_Hoje)+IF(DAY(Cfg_Hoje)&gt;=INDEX(Cartoes_Fech,MATCH($F1302,Cartoes_Nome,0)),1,0))+1))</f>
        <v>0</v>
      </c>
      <c r="Z1302" s="40">
        <f>IF($A1302="",0,DAY($A1302))</f>
        <v>0</v>
      </c>
      <c r="AA1302" s="40">
        <f>IF($A1302="",0,WEEKDAY($A1302))</f>
        <v>0</v>
      </c>
      <c r="AB1302" s="36">
        <f>IF(AND($C1302="Despesa",U1302&gt;0,U1302&lt;=Sel_Idx,V1302&gt;=Sel_Idx),N(R1302)+ROW()/1000000000,0)</f>
        <v>0</v>
      </c>
      <c r="AC1302" s="40">
        <f>IF(AND($C1302="Despesa",U1302&gt;0,U1302&lt;=Sel_Idx,V1302&gt;=Sel_Idx),Z1302*10000+ROW(),0)</f>
        <v>0</v>
      </c>
      <c r="AD1302" s="40">
        <f>IF(AC1302=0,0,COUNTIFS(L_CalChave,"&gt;0",L_CalChave,"&lt;"&amp;AC1302)+1)</f>
        <v>0</v>
      </c>
    </row>
    <row r="1303">
      <c r="A1303" s="38" t="n"/>
      <c r="B1303" s="39" t="n"/>
      <c r="C1303" s="34" t="n"/>
      <c r="D1303" s="34" t="n"/>
      <c r="E1303" s="34" t="n"/>
      <c r="F1303" s="34" t="n"/>
      <c r="G1303" s="34" t="n"/>
      <c r="H1303" s="37" t="n"/>
      <c r="I1303" s="37" t="n"/>
      <c r="J1303" s="34" t="n"/>
      <c r="K1303" s="34" t="n"/>
      <c r="L1303" s="34" t="n"/>
      <c r="M1303" s="39" t="n"/>
      <c r="N1303" s="35" t="n"/>
      <c r="O1303" s="40" t="str">
        <f>IF($A1303="","",MONTH($A1303))</f>
        <v/>
      </c>
      <c r="P1303" s="40" t="str">
        <f>IF($A1303="","",YEAR($A1303))</f>
        <v/>
      </c>
      <c r="Q1303" s="41" t="str">
        <f>IF($A1303="","",DATE(P1303,O1303,1))</f>
        <v/>
      </c>
      <c r="R1303" s="36" t="str">
        <f>IF(OR($A1303="",$N1303=""),"",IF(AND($C1303&lt;&gt;"Transferência",N($I1303)&gt;1),$N1303/$I1303,$N1303))</f>
        <v/>
      </c>
      <c r="S1303" s="41" t="str">
        <f>IF(OR($A1303="",$F1303="",$C1303&lt;&gt;"Despesa"),"",IF(COUNTIF(Cartoes_Nome,$F1303)=0,"",DATE(P1303,O1303+IF(DAY($A1303)&gt;=INDEX(Cartoes_Fech,MATCH($F1303,Cartoes_Nome,0)),1,0),1)))</f>
        <v/>
      </c>
      <c r="T1303" s="42" t="str">
        <f>IF($A1303="","",IF(COUNTIFS(L_Data,$A1303,L_Desc,$B1303,L_Valor,$N1303,L_Tipo,$C1303)&gt;1,"⚠ Possível duplicidade",IF(OR(AND($C1303="Despesa",COUNTIF(CatD_Nome,$D1303)=0),AND($C1303="Receita",COUNTIF(CatR_Nome,$D1303)=0)),"⚠ Categoria não combina com o tipo",IF(OR($N1303="",$C1303=""),"⚠ Falta valor ou tipo",""))))</f>
        <v/>
      </c>
      <c r="U1303" s="40">
        <f>IF($A1303="",0,P1303*12+O1303)</f>
        <v>0</v>
      </c>
      <c r="V1303" s="40">
        <f>IF($A1303="",0,U1303+MAX(0,N($I1303)-MAX(N($H1303),1)))</f>
        <v>0</v>
      </c>
      <c r="W1303" s="40">
        <f>IF(S1303="",0,YEAR(S1303)*12+MONTH(S1303))</f>
        <v>0</v>
      </c>
      <c r="X1303" s="40">
        <f>IF(W1303=0,0,W1303+V1303-U1303)</f>
        <v>0</v>
      </c>
      <c r="Y1303" s="36">
        <f>IF(W1303=0,0,N(R1303)*MAX(0,X1303-MAX(W1303,YEAR(Cfg_Hoje)*12+MONTH(Cfg_Hoje)+IF(DAY(Cfg_Hoje)&gt;=INDEX(Cartoes_Fech,MATCH($F1303,Cartoes_Nome,0)),1,0))+1))</f>
        <v>0</v>
      </c>
      <c r="Z1303" s="40">
        <f>IF($A1303="",0,DAY($A1303))</f>
        <v>0</v>
      </c>
      <c r="AA1303" s="40">
        <f>IF($A1303="",0,WEEKDAY($A1303))</f>
        <v>0</v>
      </c>
      <c r="AB1303" s="36">
        <f>IF(AND($C1303="Despesa",U1303&gt;0,U1303&lt;=Sel_Idx,V1303&gt;=Sel_Idx),N(R1303)+ROW()/1000000000,0)</f>
        <v>0</v>
      </c>
      <c r="AC1303" s="40">
        <f>IF(AND($C1303="Despesa",U1303&gt;0,U1303&lt;=Sel_Idx,V1303&gt;=Sel_Idx),Z1303*10000+ROW(),0)</f>
        <v>0</v>
      </c>
      <c r="AD1303" s="40">
        <f>IF(AC1303=0,0,COUNTIFS(L_CalChave,"&gt;0",L_CalChave,"&lt;"&amp;AC1303)+1)</f>
        <v>0</v>
      </c>
    </row>
    <row r="1304">
      <c r="A1304" s="38" t="n"/>
      <c r="B1304" s="39" t="n"/>
      <c r="C1304" s="34" t="n"/>
      <c r="D1304" s="34" t="n"/>
      <c r="E1304" s="34" t="n"/>
      <c r="F1304" s="34" t="n"/>
      <c r="G1304" s="34" t="n"/>
      <c r="H1304" s="37" t="n"/>
      <c r="I1304" s="37" t="n"/>
      <c r="J1304" s="34" t="n"/>
      <c r="K1304" s="34" t="n"/>
      <c r="L1304" s="34" t="n"/>
      <c r="M1304" s="39" t="n"/>
      <c r="N1304" s="35" t="n"/>
      <c r="O1304" s="40" t="str">
        <f>IF($A1304="","",MONTH($A1304))</f>
        <v/>
      </c>
      <c r="P1304" s="40" t="str">
        <f>IF($A1304="","",YEAR($A1304))</f>
        <v/>
      </c>
      <c r="Q1304" s="41" t="str">
        <f>IF($A1304="","",DATE(P1304,O1304,1))</f>
        <v/>
      </c>
      <c r="R1304" s="36" t="str">
        <f>IF(OR($A1304="",$N1304=""),"",IF(AND($C1304&lt;&gt;"Transferência",N($I1304)&gt;1),$N1304/$I1304,$N1304))</f>
        <v/>
      </c>
      <c r="S1304" s="41" t="str">
        <f>IF(OR($A1304="",$F1304="",$C1304&lt;&gt;"Despesa"),"",IF(COUNTIF(Cartoes_Nome,$F1304)=0,"",DATE(P1304,O1304+IF(DAY($A1304)&gt;=INDEX(Cartoes_Fech,MATCH($F1304,Cartoes_Nome,0)),1,0),1)))</f>
        <v/>
      </c>
      <c r="T1304" s="42" t="str">
        <f>IF($A1304="","",IF(COUNTIFS(L_Data,$A1304,L_Desc,$B1304,L_Valor,$N1304,L_Tipo,$C1304)&gt;1,"⚠ Possível duplicidade",IF(OR(AND($C1304="Despesa",COUNTIF(CatD_Nome,$D1304)=0),AND($C1304="Receita",COUNTIF(CatR_Nome,$D1304)=0)),"⚠ Categoria não combina com o tipo",IF(OR($N1304="",$C1304=""),"⚠ Falta valor ou tipo",""))))</f>
        <v/>
      </c>
      <c r="U1304" s="40">
        <f>IF($A1304="",0,P1304*12+O1304)</f>
        <v>0</v>
      </c>
      <c r="V1304" s="40">
        <f>IF($A1304="",0,U1304+MAX(0,N($I1304)-MAX(N($H1304),1)))</f>
        <v>0</v>
      </c>
      <c r="W1304" s="40">
        <f>IF(S1304="",0,YEAR(S1304)*12+MONTH(S1304))</f>
        <v>0</v>
      </c>
      <c r="X1304" s="40">
        <f>IF(W1304=0,0,W1304+V1304-U1304)</f>
        <v>0</v>
      </c>
      <c r="Y1304" s="36">
        <f>IF(W1304=0,0,N(R1304)*MAX(0,X1304-MAX(W1304,YEAR(Cfg_Hoje)*12+MONTH(Cfg_Hoje)+IF(DAY(Cfg_Hoje)&gt;=INDEX(Cartoes_Fech,MATCH($F1304,Cartoes_Nome,0)),1,0))+1))</f>
        <v>0</v>
      </c>
      <c r="Z1304" s="40">
        <f>IF($A1304="",0,DAY($A1304))</f>
        <v>0</v>
      </c>
      <c r="AA1304" s="40">
        <f>IF($A1304="",0,WEEKDAY($A1304))</f>
        <v>0</v>
      </c>
      <c r="AB1304" s="36">
        <f>IF(AND($C1304="Despesa",U1304&gt;0,U1304&lt;=Sel_Idx,V1304&gt;=Sel_Idx),N(R1304)+ROW()/1000000000,0)</f>
        <v>0</v>
      </c>
      <c r="AC1304" s="40">
        <f>IF(AND($C1304="Despesa",U1304&gt;0,U1304&lt;=Sel_Idx,V1304&gt;=Sel_Idx),Z1304*10000+ROW(),0)</f>
        <v>0</v>
      </c>
      <c r="AD1304" s="40">
        <f>IF(AC1304=0,0,COUNTIFS(L_CalChave,"&gt;0",L_CalChave,"&lt;"&amp;AC1304)+1)</f>
        <v>0</v>
      </c>
    </row>
    <row r="1305">
      <c r="A1305" s="38" t="n"/>
      <c r="B1305" s="39" t="n"/>
      <c r="C1305" s="34" t="n"/>
      <c r="D1305" s="34" t="n"/>
      <c r="E1305" s="34" t="n"/>
      <c r="F1305" s="34" t="n"/>
      <c r="G1305" s="34" t="n"/>
      <c r="H1305" s="37" t="n"/>
      <c r="I1305" s="37" t="n"/>
      <c r="J1305" s="34" t="n"/>
      <c r="K1305" s="34" t="n"/>
      <c r="L1305" s="34" t="n"/>
      <c r="M1305" s="39" t="n"/>
      <c r="N1305" s="35" t="n"/>
      <c r="O1305" s="40" t="str">
        <f>IF($A1305="","",MONTH($A1305))</f>
        <v/>
      </c>
      <c r="P1305" s="40" t="str">
        <f>IF($A1305="","",YEAR($A1305))</f>
        <v/>
      </c>
      <c r="Q1305" s="41" t="str">
        <f>IF($A1305="","",DATE(P1305,O1305,1))</f>
        <v/>
      </c>
      <c r="R1305" s="36" t="str">
        <f>IF(OR($A1305="",$N1305=""),"",IF(AND($C1305&lt;&gt;"Transferência",N($I1305)&gt;1),$N1305/$I1305,$N1305))</f>
        <v/>
      </c>
      <c r="S1305" s="41" t="str">
        <f>IF(OR($A1305="",$F1305="",$C1305&lt;&gt;"Despesa"),"",IF(COUNTIF(Cartoes_Nome,$F1305)=0,"",DATE(P1305,O1305+IF(DAY($A1305)&gt;=INDEX(Cartoes_Fech,MATCH($F1305,Cartoes_Nome,0)),1,0),1)))</f>
        <v/>
      </c>
      <c r="T1305" s="42" t="str">
        <f>IF($A1305="","",IF(COUNTIFS(L_Data,$A1305,L_Desc,$B1305,L_Valor,$N1305,L_Tipo,$C1305)&gt;1,"⚠ Possível duplicidade",IF(OR(AND($C1305="Despesa",COUNTIF(CatD_Nome,$D1305)=0),AND($C1305="Receita",COUNTIF(CatR_Nome,$D1305)=0)),"⚠ Categoria não combina com o tipo",IF(OR($N1305="",$C1305=""),"⚠ Falta valor ou tipo",""))))</f>
        <v/>
      </c>
      <c r="U1305" s="40">
        <f>IF($A1305="",0,P1305*12+O1305)</f>
        <v>0</v>
      </c>
      <c r="V1305" s="40">
        <f>IF($A1305="",0,U1305+MAX(0,N($I1305)-MAX(N($H1305),1)))</f>
        <v>0</v>
      </c>
      <c r="W1305" s="40">
        <f>IF(S1305="",0,YEAR(S1305)*12+MONTH(S1305))</f>
        <v>0</v>
      </c>
      <c r="X1305" s="40">
        <f>IF(W1305=0,0,W1305+V1305-U1305)</f>
        <v>0</v>
      </c>
      <c r="Y1305" s="36">
        <f>IF(W1305=0,0,N(R1305)*MAX(0,X1305-MAX(W1305,YEAR(Cfg_Hoje)*12+MONTH(Cfg_Hoje)+IF(DAY(Cfg_Hoje)&gt;=INDEX(Cartoes_Fech,MATCH($F1305,Cartoes_Nome,0)),1,0))+1))</f>
        <v>0</v>
      </c>
      <c r="Z1305" s="40">
        <f>IF($A1305="",0,DAY($A1305))</f>
        <v>0</v>
      </c>
      <c r="AA1305" s="40">
        <f>IF($A1305="",0,WEEKDAY($A1305))</f>
        <v>0</v>
      </c>
      <c r="AB1305" s="36">
        <f>IF(AND($C1305="Despesa",U1305&gt;0,U1305&lt;=Sel_Idx,V1305&gt;=Sel_Idx),N(R1305)+ROW()/1000000000,0)</f>
        <v>0</v>
      </c>
      <c r="AC1305" s="40">
        <f>IF(AND($C1305="Despesa",U1305&gt;0,U1305&lt;=Sel_Idx,V1305&gt;=Sel_Idx),Z1305*10000+ROW(),0)</f>
        <v>0</v>
      </c>
      <c r="AD1305" s="40">
        <f>IF(AC1305=0,0,COUNTIFS(L_CalChave,"&gt;0",L_CalChave,"&lt;"&amp;AC1305)+1)</f>
        <v>0</v>
      </c>
    </row>
    <row r="1306">
      <c r="A1306" s="38" t="n"/>
      <c r="B1306" s="39" t="n"/>
      <c r="C1306" s="34" t="n"/>
      <c r="D1306" s="34" t="n"/>
      <c r="E1306" s="34" t="n"/>
      <c r="F1306" s="34" t="n"/>
      <c r="G1306" s="34" t="n"/>
      <c r="H1306" s="37" t="n"/>
      <c r="I1306" s="37" t="n"/>
      <c r="J1306" s="34" t="n"/>
      <c r="K1306" s="34" t="n"/>
      <c r="L1306" s="34" t="n"/>
      <c r="M1306" s="39" t="n"/>
      <c r="N1306" s="35" t="n"/>
      <c r="O1306" s="40" t="str">
        <f>IF($A1306="","",MONTH($A1306))</f>
        <v/>
      </c>
      <c r="P1306" s="40" t="str">
        <f>IF($A1306="","",YEAR($A1306))</f>
        <v/>
      </c>
      <c r="Q1306" s="41" t="str">
        <f>IF($A1306="","",DATE(P1306,O1306,1))</f>
        <v/>
      </c>
      <c r="R1306" s="36" t="str">
        <f>IF(OR($A1306="",$N1306=""),"",IF(AND($C1306&lt;&gt;"Transferência",N($I1306)&gt;1),$N1306/$I1306,$N1306))</f>
        <v/>
      </c>
      <c r="S1306" s="41" t="str">
        <f>IF(OR($A1306="",$F1306="",$C1306&lt;&gt;"Despesa"),"",IF(COUNTIF(Cartoes_Nome,$F1306)=0,"",DATE(P1306,O1306+IF(DAY($A1306)&gt;=INDEX(Cartoes_Fech,MATCH($F1306,Cartoes_Nome,0)),1,0),1)))</f>
        <v/>
      </c>
      <c r="T1306" s="42" t="str">
        <f>IF($A1306="","",IF(COUNTIFS(L_Data,$A1306,L_Desc,$B1306,L_Valor,$N1306,L_Tipo,$C1306)&gt;1,"⚠ Possível duplicidade",IF(OR(AND($C1306="Despesa",COUNTIF(CatD_Nome,$D1306)=0),AND($C1306="Receita",COUNTIF(CatR_Nome,$D1306)=0)),"⚠ Categoria não combina com o tipo",IF(OR($N1306="",$C1306=""),"⚠ Falta valor ou tipo",""))))</f>
        <v/>
      </c>
      <c r="U1306" s="40">
        <f>IF($A1306="",0,P1306*12+O1306)</f>
        <v>0</v>
      </c>
      <c r="V1306" s="40">
        <f>IF($A1306="",0,U1306+MAX(0,N($I1306)-MAX(N($H1306),1)))</f>
        <v>0</v>
      </c>
      <c r="W1306" s="40">
        <f>IF(S1306="",0,YEAR(S1306)*12+MONTH(S1306))</f>
        <v>0</v>
      </c>
      <c r="X1306" s="40">
        <f>IF(W1306=0,0,W1306+V1306-U1306)</f>
        <v>0</v>
      </c>
      <c r="Y1306" s="36">
        <f>IF(W1306=0,0,N(R1306)*MAX(0,X1306-MAX(W1306,YEAR(Cfg_Hoje)*12+MONTH(Cfg_Hoje)+IF(DAY(Cfg_Hoje)&gt;=INDEX(Cartoes_Fech,MATCH($F1306,Cartoes_Nome,0)),1,0))+1))</f>
        <v>0</v>
      </c>
      <c r="Z1306" s="40">
        <f>IF($A1306="",0,DAY($A1306))</f>
        <v>0</v>
      </c>
      <c r="AA1306" s="40">
        <f>IF($A1306="",0,WEEKDAY($A1306))</f>
        <v>0</v>
      </c>
      <c r="AB1306" s="36">
        <f>IF(AND($C1306="Despesa",U1306&gt;0,U1306&lt;=Sel_Idx,V1306&gt;=Sel_Idx),N(R1306)+ROW()/1000000000,0)</f>
        <v>0</v>
      </c>
      <c r="AC1306" s="40">
        <f>IF(AND($C1306="Despesa",U1306&gt;0,U1306&lt;=Sel_Idx,V1306&gt;=Sel_Idx),Z1306*10000+ROW(),0)</f>
        <v>0</v>
      </c>
      <c r="AD1306" s="40">
        <f>IF(AC1306=0,0,COUNTIFS(L_CalChave,"&gt;0",L_CalChave,"&lt;"&amp;AC1306)+1)</f>
        <v>0</v>
      </c>
    </row>
    <row r="1307">
      <c r="A1307" s="38" t="n"/>
      <c r="B1307" s="39" t="n"/>
      <c r="C1307" s="34" t="n"/>
      <c r="D1307" s="34" t="n"/>
      <c r="E1307" s="34" t="n"/>
      <c r="F1307" s="34" t="n"/>
      <c r="G1307" s="34" t="n"/>
      <c r="H1307" s="37" t="n"/>
      <c r="I1307" s="37" t="n"/>
      <c r="J1307" s="34" t="n"/>
      <c r="K1307" s="34" t="n"/>
      <c r="L1307" s="34" t="n"/>
      <c r="M1307" s="39" t="n"/>
      <c r="N1307" s="35" t="n"/>
      <c r="O1307" s="40" t="str">
        <f>IF($A1307="","",MONTH($A1307))</f>
        <v/>
      </c>
      <c r="P1307" s="40" t="str">
        <f>IF($A1307="","",YEAR($A1307))</f>
        <v/>
      </c>
      <c r="Q1307" s="41" t="str">
        <f>IF($A1307="","",DATE(P1307,O1307,1))</f>
        <v/>
      </c>
      <c r="R1307" s="36" t="str">
        <f>IF(OR($A1307="",$N1307=""),"",IF(AND($C1307&lt;&gt;"Transferência",N($I1307)&gt;1),$N1307/$I1307,$N1307))</f>
        <v/>
      </c>
      <c r="S1307" s="41" t="str">
        <f>IF(OR($A1307="",$F1307="",$C1307&lt;&gt;"Despesa"),"",IF(COUNTIF(Cartoes_Nome,$F1307)=0,"",DATE(P1307,O1307+IF(DAY($A1307)&gt;=INDEX(Cartoes_Fech,MATCH($F1307,Cartoes_Nome,0)),1,0),1)))</f>
        <v/>
      </c>
      <c r="T1307" s="42" t="str">
        <f>IF($A1307="","",IF(COUNTIFS(L_Data,$A1307,L_Desc,$B1307,L_Valor,$N1307,L_Tipo,$C1307)&gt;1,"⚠ Possível duplicidade",IF(OR(AND($C1307="Despesa",COUNTIF(CatD_Nome,$D1307)=0),AND($C1307="Receita",COUNTIF(CatR_Nome,$D1307)=0)),"⚠ Categoria não combina com o tipo",IF(OR($N1307="",$C1307=""),"⚠ Falta valor ou tipo",""))))</f>
        <v/>
      </c>
      <c r="U1307" s="40">
        <f>IF($A1307="",0,P1307*12+O1307)</f>
        <v>0</v>
      </c>
      <c r="V1307" s="40">
        <f>IF($A1307="",0,U1307+MAX(0,N($I1307)-MAX(N($H1307),1)))</f>
        <v>0</v>
      </c>
      <c r="W1307" s="40">
        <f>IF(S1307="",0,YEAR(S1307)*12+MONTH(S1307))</f>
        <v>0</v>
      </c>
      <c r="X1307" s="40">
        <f>IF(W1307=0,0,W1307+V1307-U1307)</f>
        <v>0</v>
      </c>
      <c r="Y1307" s="36">
        <f>IF(W1307=0,0,N(R1307)*MAX(0,X1307-MAX(W1307,YEAR(Cfg_Hoje)*12+MONTH(Cfg_Hoje)+IF(DAY(Cfg_Hoje)&gt;=INDEX(Cartoes_Fech,MATCH($F1307,Cartoes_Nome,0)),1,0))+1))</f>
        <v>0</v>
      </c>
      <c r="Z1307" s="40">
        <f>IF($A1307="",0,DAY($A1307))</f>
        <v>0</v>
      </c>
      <c r="AA1307" s="40">
        <f>IF($A1307="",0,WEEKDAY($A1307))</f>
        <v>0</v>
      </c>
      <c r="AB1307" s="36">
        <f>IF(AND($C1307="Despesa",U1307&gt;0,U1307&lt;=Sel_Idx,V1307&gt;=Sel_Idx),N(R1307)+ROW()/1000000000,0)</f>
        <v>0</v>
      </c>
      <c r="AC1307" s="40">
        <f>IF(AND($C1307="Despesa",U1307&gt;0,U1307&lt;=Sel_Idx,V1307&gt;=Sel_Idx),Z1307*10000+ROW(),0)</f>
        <v>0</v>
      </c>
      <c r="AD1307" s="40">
        <f>IF(AC1307=0,0,COUNTIFS(L_CalChave,"&gt;0",L_CalChave,"&lt;"&amp;AC1307)+1)</f>
        <v>0</v>
      </c>
    </row>
    <row r="1308">
      <c r="A1308" s="38" t="n"/>
      <c r="B1308" s="39" t="n"/>
      <c r="C1308" s="34" t="n"/>
      <c r="D1308" s="34" t="n"/>
      <c r="E1308" s="34" t="n"/>
      <c r="F1308" s="34" t="n"/>
      <c r="G1308" s="34" t="n"/>
      <c r="H1308" s="37" t="n"/>
      <c r="I1308" s="37" t="n"/>
      <c r="J1308" s="34" t="n"/>
      <c r="K1308" s="34" t="n"/>
      <c r="L1308" s="34" t="n"/>
      <c r="M1308" s="39" t="n"/>
      <c r="N1308" s="35" t="n"/>
      <c r="O1308" s="40" t="str">
        <f>IF($A1308="","",MONTH($A1308))</f>
        <v/>
      </c>
      <c r="P1308" s="40" t="str">
        <f>IF($A1308="","",YEAR($A1308))</f>
        <v/>
      </c>
      <c r="Q1308" s="41" t="str">
        <f>IF($A1308="","",DATE(P1308,O1308,1))</f>
        <v/>
      </c>
      <c r="R1308" s="36" t="str">
        <f>IF(OR($A1308="",$N1308=""),"",IF(AND($C1308&lt;&gt;"Transferência",N($I1308)&gt;1),$N1308/$I1308,$N1308))</f>
        <v/>
      </c>
      <c r="S1308" s="41" t="str">
        <f>IF(OR($A1308="",$F1308="",$C1308&lt;&gt;"Despesa"),"",IF(COUNTIF(Cartoes_Nome,$F1308)=0,"",DATE(P1308,O1308+IF(DAY($A1308)&gt;=INDEX(Cartoes_Fech,MATCH($F1308,Cartoes_Nome,0)),1,0),1)))</f>
        <v/>
      </c>
      <c r="T1308" s="42" t="str">
        <f>IF($A1308="","",IF(COUNTIFS(L_Data,$A1308,L_Desc,$B1308,L_Valor,$N1308,L_Tipo,$C1308)&gt;1,"⚠ Possível duplicidade",IF(OR(AND($C1308="Despesa",COUNTIF(CatD_Nome,$D1308)=0),AND($C1308="Receita",COUNTIF(CatR_Nome,$D1308)=0)),"⚠ Categoria não combina com o tipo",IF(OR($N1308="",$C1308=""),"⚠ Falta valor ou tipo",""))))</f>
        <v/>
      </c>
      <c r="U1308" s="40">
        <f>IF($A1308="",0,P1308*12+O1308)</f>
        <v>0</v>
      </c>
      <c r="V1308" s="40">
        <f>IF($A1308="",0,U1308+MAX(0,N($I1308)-MAX(N($H1308),1)))</f>
        <v>0</v>
      </c>
      <c r="W1308" s="40">
        <f>IF(S1308="",0,YEAR(S1308)*12+MONTH(S1308))</f>
        <v>0</v>
      </c>
      <c r="X1308" s="40">
        <f>IF(W1308=0,0,W1308+V1308-U1308)</f>
        <v>0</v>
      </c>
      <c r="Y1308" s="36">
        <f>IF(W1308=0,0,N(R1308)*MAX(0,X1308-MAX(W1308,YEAR(Cfg_Hoje)*12+MONTH(Cfg_Hoje)+IF(DAY(Cfg_Hoje)&gt;=INDEX(Cartoes_Fech,MATCH($F1308,Cartoes_Nome,0)),1,0))+1))</f>
        <v>0</v>
      </c>
      <c r="Z1308" s="40">
        <f>IF($A1308="",0,DAY($A1308))</f>
        <v>0</v>
      </c>
      <c r="AA1308" s="40">
        <f>IF($A1308="",0,WEEKDAY($A1308))</f>
        <v>0</v>
      </c>
      <c r="AB1308" s="36">
        <f>IF(AND($C1308="Despesa",U1308&gt;0,U1308&lt;=Sel_Idx,V1308&gt;=Sel_Idx),N(R1308)+ROW()/1000000000,0)</f>
        <v>0</v>
      </c>
      <c r="AC1308" s="40">
        <f>IF(AND($C1308="Despesa",U1308&gt;0,U1308&lt;=Sel_Idx,V1308&gt;=Sel_Idx),Z1308*10000+ROW(),0)</f>
        <v>0</v>
      </c>
      <c r="AD1308" s="40">
        <f>IF(AC1308=0,0,COUNTIFS(L_CalChave,"&gt;0",L_CalChave,"&lt;"&amp;AC1308)+1)</f>
        <v>0</v>
      </c>
    </row>
    <row r="1309">
      <c r="A1309" s="38" t="n"/>
      <c r="B1309" s="39" t="n"/>
      <c r="C1309" s="34" t="n"/>
      <c r="D1309" s="34" t="n"/>
      <c r="E1309" s="34" t="n"/>
      <c r="F1309" s="34" t="n"/>
      <c r="G1309" s="34" t="n"/>
      <c r="H1309" s="37" t="n"/>
      <c r="I1309" s="37" t="n"/>
      <c r="J1309" s="34" t="n"/>
      <c r="K1309" s="34" t="n"/>
      <c r="L1309" s="34" t="n"/>
      <c r="M1309" s="39" t="n"/>
      <c r="N1309" s="35" t="n"/>
      <c r="O1309" s="40" t="str">
        <f>IF($A1309="","",MONTH($A1309))</f>
        <v/>
      </c>
      <c r="P1309" s="40" t="str">
        <f>IF($A1309="","",YEAR($A1309))</f>
        <v/>
      </c>
      <c r="Q1309" s="41" t="str">
        <f>IF($A1309="","",DATE(P1309,O1309,1))</f>
        <v/>
      </c>
      <c r="R1309" s="36" t="str">
        <f>IF(OR($A1309="",$N1309=""),"",IF(AND($C1309&lt;&gt;"Transferência",N($I1309)&gt;1),$N1309/$I1309,$N1309))</f>
        <v/>
      </c>
      <c r="S1309" s="41" t="str">
        <f>IF(OR($A1309="",$F1309="",$C1309&lt;&gt;"Despesa"),"",IF(COUNTIF(Cartoes_Nome,$F1309)=0,"",DATE(P1309,O1309+IF(DAY($A1309)&gt;=INDEX(Cartoes_Fech,MATCH($F1309,Cartoes_Nome,0)),1,0),1)))</f>
        <v/>
      </c>
      <c r="T1309" s="42" t="str">
        <f>IF($A1309="","",IF(COUNTIFS(L_Data,$A1309,L_Desc,$B1309,L_Valor,$N1309,L_Tipo,$C1309)&gt;1,"⚠ Possível duplicidade",IF(OR(AND($C1309="Despesa",COUNTIF(CatD_Nome,$D1309)=0),AND($C1309="Receita",COUNTIF(CatR_Nome,$D1309)=0)),"⚠ Categoria não combina com o tipo",IF(OR($N1309="",$C1309=""),"⚠ Falta valor ou tipo",""))))</f>
        <v/>
      </c>
      <c r="U1309" s="40">
        <f>IF($A1309="",0,P1309*12+O1309)</f>
        <v>0</v>
      </c>
      <c r="V1309" s="40">
        <f>IF($A1309="",0,U1309+MAX(0,N($I1309)-MAX(N($H1309),1)))</f>
        <v>0</v>
      </c>
      <c r="W1309" s="40">
        <f>IF(S1309="",0,YEAR(S1309)*12+MONTH(S1309))</f>
        <v>0</v>
      </c>
      <c r="X1309" s="40">
        <f>IF(W1309=0,0,W1309+V1309-U1309)</f>
        <v>0</v>
      </c>
      <c r="Y1309" s="36">
        <f>IF(W1309=0,0,N(R1309)*MAX(0,X1309-MAX(W1309,YEAR(Cfg_Hoje)*12+MONTH(Cfg_Hoje)+IF(DAY(Cfg_Hoje)&gt;=INDEX(Cartoes_Fech,MATCH($F1309,Cartoes_Nome,0)),1,0))+1))</f>
        <v>0</v>
      </c>
      <c r="Z1309" s="40">
        <f>IF($A1309="",0,DAY($A1309))</f>
        <v>0</v>
      </c>
      <c r="AA1309" s="40">
        <f>IF($A1309="",0,WEEKDAY($A1309))</f>
        <v>0</v>
      </c>
      <c r="AB1309" s="36">
        <f>IF(AND($C1309="Despesa",U1309&gt;0,U1309&lt;=Sel_Idx,V1309&gt;=Sel_Idx),N(R1309)+ROW()/1000000000,0)</f>
        <v>0</v>
      </c>
      <c r="AC1309" s="40">
        <f>IF(AND($C1309="Despesa",U1309&gt;0,U1309&lt;=Sel_Idx,V1309&gt;=Sel_Idx),Z1309*10000+ROW(),0)</f>
        <v>0</v>
      </c>
      <c r="AD1309" s="40">
        <f>IF(AC1309=0,0,COUNTIFS(L_CalChave,"&gt;0",L_CalChave,"&lt;"&amp;AC1309)+1)</f>
        <v>0</v>
      </c>
    </row>
    <row r="1310">
      <c r="A1310" s="38" t="n"/>
      <c r="B1310" s="39" t="n"/>
      <c r="C1310" s="34" t="n"/>
      <c r="D1310" s="34" t="n"/>
      <c r="E1310" s="34" t="n"/>
      <c r="F1310" s="34" t="n"/>
      <c r="G1310" s="34" t="n"/>
      <c r="H1310" s="37" t="n"/>
      <c r="I1310" s="37" t="n"/>
      <c r="J1310" s="34" t="n"/>
      <c r="K1310" s="34" t="n"/>
      <c r="L1310" s="34" t="n"/>
      <c r="M1310" s="39" t="n"/>
      <c r="N1310" s="35" t="n"/>
      <c r="O1310" s="40" t="str">
        <f>IF($A1310="","",MONTH($A1310))</f>
        <v/>
      </c>
      <c r="P1310" s="40" t="str">
        <f>IF($A1310="","",YEAR($A1310))</f>
        <v/>
      </c>
      <c r="Q1310" s="41" t="str">
        <f>IF($A1310="","",DATE(P1310,O1310,1))</f>
        <v/>
      </c>
      <c r="R1310" s="36" t="str">
        <f>IF(OR($A1310="",$N1310=""),"",IF(AND($C1310&lt;&gt;"Transferência",N($I1310)&gt;1),$N1310/$I1310,$N1310))</f>
        <v/>
      </c>
      <c r="S1310" s="41" t="str">
        <f>IF(OR($A1310="",$F1310="",$C1310&lt;&gt;"Despesa"),"",IF(COUNTIF(Cartoes_Nome,$F1310)=0,"",DATE(P1310,O1310+IF(DAY($A1310)&gt;=INDEX(Cartoes_Fech,MATCH($F1310,Cartoes_Nome,0)),1,0),1)))</f>
        <v/>
      </c>
      <c r="T1310" s="42" t="str">
        <f>IF($A1310="","",IF(COUNTIFS(L_Data,$A1310,L_Desc,$B1310,L_Valor,$N1310,L_Tipo,$C1310)&gt;1,"⚠ Possível duplicidade",IF(OR(AND($C1310="Despesa",COUNTIF(CatD_Nome,$D1310)=0),AND($C1310="Receita",COUNTIF(CatR_Nome,$D1310)=0)),"⚠ Categoria não combina com o tipo",IF(OR($N1310="",$C1310=""),"⚠ Falta valor ou tipo",""))))</f>
        <v/>
      </c>
      <c r="U1310" s="40">
        <f>IF($A1310="",0,P1310*12+O1310)</f>
        <v>0</v>
      </c>
      <c r="V1310" s="40">
        <f>IF($A1310="",0,U1310+MAX(0,N($I1310)-MAX(N($H1310),1)))</f>
        <v>0</v>
      </c>
      <c r="W1310" s="40">
        <f>IF(S1310="",0,YEAR(S1310)*12+MONTH(S1310))</f>
        <v>0</v>
      </c>
      <c r="X1310" s="40">
        <f>IF(W1310=0,0,W1310+V1310-U1310)</f>
        <v>0</v>
      </c>
      <c r="Y1310" s="36">
        <f>IF(W1310=0,0,N(R1310)*MAX(0,X1310-MAX(W1310,YEAR(Cfg_Hoje)*12+MONTH(Cfg_Hoje)+IF(DAY(Cfg_Hoje)&gt;=INDEX(Cartoes_Fech,MATCH($F1310,Cartoes_Nome,0)),1,0))+1))</f>
        <v>0</v>
      </c>
      <c r="Z1310" s="40">
        <f>IF($A1310="",0,DAY($A1310))</f>
        <v>0</v>
      </c>
      <c r="AA1310" s="40">
        <f>IF($A1310="",0,WEEKDAY($A1310))</f>
        <v>0</v>
      </c>
      <c r="AB1310" s="36">
        <f>IF(AND($C1310="Despesa",U1310&gt;0,U1310&lt;=Sel_Idx,V1310&gt;=Sel_Idx),N(R1310)+ROW()/1000000000,0)</f>
        <v>0</v>
      </c>
      <c r="AC1310" s="40">
        <f>IF(AND($C1310="Despesa",U1310&gt;0,U1310&lt;=Sel_Idx,V1310&gt;=Sel_Idx),Z1310*10000+ROW(),0)</f>
        <v>0</v>
      </c>
      <c r="AD1310" s="40">
        <f>IF(AC1310=0,0,COUNTIFS(L_CalChave,"&gt;0",L_CalChave,"&lt;"&amp;AC1310)+1)</f>
        <v>0</v>
      </c>
    </row>
    <row r="1311">
      <c r="A1311" s="38" t="n"/>
      <c r="B1311" s="39" t="n"/>
      <c r="C1311" s="34" t="n"/>
      <c r="D1311" s="34" t="n"/>
      <c r="E1311" s="34" t="n"/>
      <c r="F1311" s="34" t="n"/>
      <c r="G1311" s="34" t="n"/>
      <c r="H1311" s="37" t="n"/>
      <c r="I1311" s="37" t="n"/>
      <c r="J1311" s="34" t="n"/>
      <c r="K1311" s="34" t="n"/>
      <c r="L1311" s="34" t="n"/>
      <c r="M1311" s="39" t="n"/>
      <c r="N1311" s="35" t="n"/>
      <c r="O1311" s="40" t="str">
        <f>IF($A1311="","",MONTH($A1311))</f>
        <v/>
      </c>
      <c r="P1311" s="40" t="str">
        <f>IF($A1311="","",YEAR($A1311))</f>
        <v/>
      </c>
      <c r="Q1311" s="41" t="str">
        <f>IF($A1311="","",DATE(P1311,O1311,1))</f>
        <v/>
      </c>
      <c r="R1311" s="36" t="str">
        <f>IF(OR($A1311="",$N1311=""),"",IF(AND($C1311&lt;&gt;"Transferência",N($I1311)&gt;1),$N1311/$I1311,$N1311))</f>
        <v/>
      </c>
      <c r="S1311" s="41" t="str">
        <f>IF(OR($A1311="",$F1311="",$C1311&lt;&gt;"Despesa"),"",IF(COUNTIF(Cartoes_Nome,$F1311)=0,"",DATE(P1311,O1311+IF(DAY($A1311)&gt;=INDEX(Cartoes_Fech,MATCH($F1311,Cartoes_Nome,0)),1,0),1)))</f>
        <v/>
      </c>
      <c r="T1311" s="42" t="str">
        <f>IF($A1311="","",IF(COUNTIFS(L_Data,$A1311,L_Desc,$B1311,L_Valor,$N1311,L_Tipo,$C1311)&gt;1,"⚠ Possível duplicidade",IF(OR(AND($C1311="Despesa",COUNTIF(CatD_Nome,$D1311)=0),AND($C1311="Receita",COUNTIF(CatR_Nome,$D1311)=0)),"⚠ Categoria não combina com o tipo",IF(OR($N1311="",$C1311=""),"⚠ Falta valor ou tipo",""))))</f>
        <v/>
      </c>
      <c r="U1311" s="40">
        <f>IF($A1311="",0,P1311*12+O1311)</f>
        <v>0</v>
      </c>
      <c r="V1311" s="40">
        <f>IF($A1311="",0,U1311+MAX(0,N($I1311)-MAX(N($H1311),1)))</f>
        <v>0</v>
      </c>
      <c r="W1311" s="40">
        <f>IF(S1311="",0,YEAR(S1311)*12+MONTH(S1311))</f>
        <v>0</v>
      </c>
      <c r="X1311" s="40">
        <f>IF(W1311=0,0,W1311+V1311-U1311)</f>
        <v>0</v>
      </c>
      <c r="Y1311" s="36">
        <f>IF(W1311=0,0,N(R1311)*MAX(0,X1311-MAX(W1311,YEAR(Cfg_Hoje)*12+MONTH(Cfg_Hoje)+IF(DAY(Cfg_Hoje)&gt;=INDEX(Cartoes_Fech,MATCH($F1311,Cartoes_Nome,0)),1,0))+1))</f>
        <v>0</v>
      </c>
      <c r="Z1311" s="40">
        <f>IF($A1311="",0,DAY($A1311))</f>
        <v>0</v>
      </c>
      <c r="AA1311" s="40">
        <f>IF($A1311="",0,WEEKDAY($A1311))</f>
        <v>0</v>
      </c>
      <c r="AB1311" s="36">
        <f>IF(AND($C1311="Despesa",U1311&gt;0,U1311&lt;=Sel_Idx,V1311&gt;=Sel_Idx),N(R1311)+ROW()/1000000000,0)</f>
        <v>0</v>
      </c>
      <c r="AC1311" s="40">
        <f>IF(AND($C1311="Despesa",U1311&gt;0,U1311&lt;=Sel_Idx,V1311&gt;=Sel_Idx),Z1311*10000+ROW(),0)</f>
        <v>0</v>
      </c>
      <c r="AD1311" s="40">
        <f>IF(AC1311=0,0,COUNTIFS(L_CalChave,"&gt;0",L_CalChave,"&lt;"&amp;AC1311)+1)</f>
        <v>0</v>
      </c>
    </row>
    <row r="1312">
      <c r="A1312" s="38" t="n"/>
      <c r="B1312" s="39" t="n"/>
      <c r="C1312" s="34" t="n"/>
      <c r="D1312" s="34" t="n"/>
      <c r="E1312" s="34" t="n"/>
      <c r="F1312" s="34" t="n"/>
      <c r="G1312" s="34" t="n"/>
      <c r="H1312" s="37" t="n"/>
      <c r="I1312" s="37" t="n"/>
      <c r="J1312" s="34" t="n"/>
      <c r="K1312" s="34" t="n"/>
      <c r="L1312" s="34" t="n"/>
      <c r="M1312" s="39" t="n"/>
      <c r="N1312" s="35" t="n"/>
      <c r="O1312" s="40" t="str">
        <f>IF($A1312="","",MONTH($A1312))</f>
        <v/>
      </c>
      <c r="P1312" s="40" t="str">
        <f>IF($A1312="","",YEAR($A1312))</f>
        <v/>
      </c>
      <c r="Q1312" s="41" t="str">
        <f>IF($A1312="","",DATE(P1312,O1312,1))</f>
        <v/>
      </c>
      <c r="R1312" s="36" t="str">
        <f>IF(OR($A1312="",$N1312=""),"",IF(AND($C1312&lt;&gt;"Transferência",N($I1312)&gt;1),$N1312/$I1312,$N1312))</f>
        <v/>
      </c>
      <c r="S1312" s="41" t="str">
        <f>IF(OR($A1312="",$F1312="",$C1312&lt;&gt;"Despesa"),"",IF(COUNTIF(Cartoes_Nome,$F1312)=0,"",DATE(P1312,O1312+IF(DAY($A1312)&gt;=INDEX(Cartoes_Fech,MATCH($F1312,Cartoes_Nome,0)),1,0),1)))</f>
        <v/>
      </c>
      <c r="T1312" s="42" t="str">
        <f>IF($A1312="","",IF(COUNTIFS(L_Data,$A1312,L_Desc,$B1312,L_Valor,$N1312,L_Tipo,$C1312)&gt;1,"⚠ Possível duplicidade",IF(OR(AND($C1312="Despesa",COUNTIF(CatD_Nome,$D1312)=0),AND($C1312="Receita",COUNTIF(CatR_Nome,$D1312)=0)),"⚠ Categoria não combina com o tipo",IF(OR($N1312="",$C1312=""),"⚠ Falta valor ou tipo",""))))</f>
        <v/>
      </c>
      <c r="U1312" s="40">
        <f>IF($A1312="",0,P1312*12+O1312)</f>
        <v>0</v>
      </c>
      <c r="V1312" s="40">
        <f>IF($A1312="",0,U1312+MAX(0,N($I1312)-MAX(N($H1312),1)))</f>
        <v>0</v>
      </c>
      <c r="W1312" s="40">
        <f>IF(S1312="",0,YEAR(S1312)*12+MONTH(S1312))</f>
        <v>0</v>
      </c>
      <c r="X1312" s="40">
        <f>IF(W1312=0,0,W1312+V1312-U1312)</f>
        <v>0</v>
      </c>
      <c r="Y1312" s="36">
        <f>IF(W1312=0,0,N(R1312)*MAX(0,X1312-MAX(W1312,YEAR(Cfg_Hoje)*12+MONTH(Cfg_Hoje)+IF(DAY(Cfg_Hoje)&gt;=INDEX(Cartoes_Fech,MATCH($F1312,Cartoes_Nome,0)),1,0))+1))</f>
        <v>0</v>
      </c>
      <c r="Z1312" s="40">
        <f>IF($A1312="",0,DAY($A1312))</f>
        <v>0</v>
      </c>
      <c r="AA1312" s="40">
        <f>IF($A1312="",0,WEEKDAY($A1312))</f>
        <v>0</v>
      </c>
      <c r="AB1312" s="36">
        <f>IF(AND($C1312="Despesa",U1312&gt;0,U1312&lt;=Sel_Idx,V1312&gt;=Sel_Idx),N(R1312)+ROW()/1000000000,0)</f>
        <v>0</v>
      </c>
      <c r="AC1312" s="40">
        <f>IF(AND($C1312="Despesa",U1312&gt;0,U1312&lt;=Sel_Idx,V1312&gt;=Sel_Idx),Z1312*10000+ROW(),0)</f>
        <v>0</v>
      </c>
      <c r="AD1312" s="40">
        <f>IF(AC1312=0,0,COUNTIFS(L_CalChave,"&gt;0",L_CalChave,"&lt;"&amp;AC1312)+1)</f>
        <v>0</v>
      </c>
    </row>
    <row r="1313">
      <c r="A1313" s="38" t="n"/>
      <c r="B1313" s="39" t="n"/>
      <c r="C1313" s="34" t="n"/>
      <c r="D1313" s="34" t="n"/>
      <c r="E1313" s="34" t="n"/>
      <c r="F1313" s="34" t="n"/>
      <c r="G1313" s="34" t="n"/>
      <c r="H1313" s="37" t="n"/>
      <c r="I1313" s="37" t="n"/>
      <c r="J1313" s="34" t="n"/>
      <c r="K1313" s="34" t="n"/>
      <c r="L1313" s="34" t="n"/>
      <c r="M1313" s="39" t="n"/>
      <c r="N1313" s="35" t="n"/>
      <c r="O1313" s="40" t="str">
        <f>IF($A1313="","",MONTH($A1313))</f>
        <v/>
      </c>
      <c r="P1313" s="40" t="str">
        <f>IF($A1313="","",YEAR($A1313))</f>
        <v/>
      </c>
      <c r="Q1313" s="41" t="str">
        <f>IF($A1313="","",DATE(P1313,O1313,1))</f>
        <v/>
      </c>
      <c r="R1313" s="36" t="str">
        <f>IF(OR($A1313="",$N1313=""),"",IF(AND($C1313&lt;&gt;"Transferência",N($I1313)&gt;1),$N1313/$I1313,$N1313))</f>
        <v/>
      </c>
      <c r="S1313" s="41" t="str">
        <f>IF(OR($A1313="",$F1313="",$C1313&lt;&gt;"Despesa"),"",IF(COUNTIF(Cartoes_Nome,$F1313)=0,"",DATE(P1313,O1313+IF(DAY($A1313)&gt;=INDEX(Cartoes_Fech,MATCH($F1313,Cartoes_Nome,0)),1,0),1)))</f>
        <v/>
      </c>
      <c r="T1313" s="42" t="str">
        <f>IF($A1313="","",IF(COUNTIFS(L_Data,$A1313,L_Desc,$B1313,L_Valor,$N1313,L_Tipo,$C1313)&gt;1,"⚠ Possível duplicidade",IF(OR(AND($C1313="Despesa",COUNTIF(CatD_Nome,$D1313)=0),AND($C1313="Receita",COUNTIF(CatR_Nome,$D1313)=0)),"⚠ Categoria não combina com o tipo",IF(OR($N1313="",$C1313=""),"⚠ Falta valor ou tipo",""))))</f>
        <v/>
      </c>
      <c r="U1313" s="40">
        <f>IF($A1313="",0,P1313*12+O1313)</f>
        <v>0</v>
      </c>
      <c r="V1313" s="40">
        <f>IF($A1313="",0,U1313+MAX(0,N($I1313)-MAX(N($H1313),1)))</f>
        <v>0</v>
      </c>
      <c r="W1313" s="40">
        <f>IF(S1313="",0,YEAR(S1313)*12+MONTH(S1313))</f>
        <v>0</v>
      </c>
      <c r="X1313" s="40">
        <f>IF(W1313=0,0,W1313+V1313-U1313)</f>
        <v>0</v>
      </c>
      <c r="Y1313" s="36">
        <f>IF(W1313=0,0,N(R1313)*MAX(0,X1313-MAX(W1313,YEAR(Cfg_Hoje)*12+MONTH(Cfg_Hoje)+IF(DAY(Cfg_Hoje)&gt;=INDEX(Cartoes_Fech,MATCH($F1313,Cartoes_Nome,0)),1,0))+1))</f>
        <v>0</v>
      </c>
      <c r="Z1313" s="40">
        <f>IF($A1313="",0,DAY($A1313))</f>
        <v>0</v>
      </c>
      <c r="AA1313" s="40">
        <f>IF($A1313="",0,WEEKDAY($A1313))</f>
        <v>0</v>
      </c>
      <c r="AB1313" s="36">
        <f>IF(AND($C1313="Despesa",U1313&gt;0,U1313&lt;=Sel_Idx,V1313&gt;=Sel_Idx),N(R1313)+ROW()/1000000000,0)</f>
        <v>0</v>
      </c>
      <c r="AC1313" s="40">
        <f>IF(AND($C1313="Despesa",U1313&gt;0,U1313&lt;=Sel_Idx,V1313&gt;=Sel_Idx),Z1313*10000+ROW(),0)</f>
        <v>0</v>
      </c>
      <c r="AD1313" s="40">
        <f>IF(AC1313=0,0,COUNTIFS(L_CalChave,"&gt;0",L_CalChave,"&lt;"&amp;AC1313)+1)</f>
        <v>0</v>
      </c>
    </row>
    <row r="1314">
      <c r="A1314" s="38" t="n"/>
      <c r="B1314" s="39" t="n"/>
      <c r="C1314" s="34" t="n"/>
      <c r="D1314" s="34" t="n"/>
      <c r="E1314" s="34" t="n"/>
      <c r="F1314" s="34" t="n"/>
      <c r="G1314" s="34" t="n"/>
      <c r="H1314" s="37" t="n"/>
      <c r="I1314" s="37" t="n"/>
      <c r="J1314" s="34" t="n"/>
      <c r="K1314" s="34" t="n"/>
      <c r="L1314" s="34" t="n"/>
      <c r="M1314" s="39" t="n"/>
      <c r="N1314" s="35" t="n"/>
      <c r="O1314" s="40" t="str">
        <f>IF($A1314="","",MONTH($A1314))</f>
        <v/>
      </c>
      <c r="P1314" s="40" t="str">
        <f>IF($A1314="","",YEAR($A1314))</f>
        <v/>
      </c>
      <c r="Q1314" s="41" t="str">
        <f>IF($A1314="","",DATE(P1314,O1314,1))</f>
        <v/>
      </c>
      <c r="R1314" s="36" t="str">
        <f>IF(OR($A1314="",$N1314=""),"",IF(AND($C1314&lt;&gt;"Transferência",N($I1314)&gt;1),$N1314/$I1314,$N1314))</f>
        <v/>
      </c>
      <c r="S1314" s="41" t="str">
        <f>IF(OR($A1314="",$F1314="",$C1314&lt;&gt;"Despesa"),"",IF(COUNTIF(Cartoes_Nome,$F1314)=0,"",DATE(P1314,O1314+IF(DAY($A1314)&gt;=INDEX(Cartoes_Fech,MATCH($F1314,Cartoes_Nome,0)),1,0),1)))</f>
        <v/>
      </c>
      <c r="T1314" s="42" t="str">
        <f>IF($A1314="","",IF(COUNTIFS(L_Data,$A1314,L_Desc,$B1314,L_Valor,$N1314,L_Tipo,$C1314)&gt;1,"⚠ Possível duplicidade",IF(OR(AND($C1314="Despesa",COUNTIF(CatD_Nome,$D1314)=0),AND($C1314="Receita",COUNTIF(CatR_Nome,$D1314)=0)),"⚠ Categoria não combina com o tipo",IF(OR($N1314="",$C1314=""),"⚠ Falta valor ou tipo",""))))</f>
        <v/>
      </c>
      <c r="U1314" s="40">
        <f>IF($A1314="",0,P1314*12+O1314)</f>
        <v>0</v>
      </c>
      <c r="V1314" s="40">
        <f>IF($A1314="",0,U1314+MAX(0,N($I1314)-MAX(N($H1314),1)))</f>
        <v>0</v>
      </c>
      <c r="W1314" s="40">
        <f>IF(S1314="",0,YEAR(S1314)*12+MONTH(S1314))</f>
        <v>0</v>
      </c>
      <c r="X1314" s="40">
        <f>IF(W1314=0,0,W1314+V1314-U1314)</f>
        <v>0</v>
      </c>
      <c r="Y1314" s="36">
        <f>IF(W1314=0,0,N(R1314)*MAX(0,X1314-MAX(W1314,YEAR(Cfg_Hoje)*12+MONTH(Cfg_Hoje)+IF(DAY(Cfg_Hoje)&gt;=INDEX(Cartoes_Fech,MATCH($F1314,Cartoes_Nome,0)),1,0))+1))</f>
        <v>0</v>
      </c>
      <c r="Z1314" s="40">
        <f>IF($A1314="",0,DAY($A1314))</f>
        <v>0</v>
      </c>
      <c r="AA1314" s="40">
        <f>IF($A1314="",0,WEEKDAY($A1314))</f>
        <v>0</v>
      </c>
      <c r="AB1314" s="36">
        <f>IF(AND($C1314="Despesa",U1314&gt;0,U1314&lt;=Sel_Idx,V1314&gt;=Sel_Idx),N(R1314)+ROW()/1000000000,0)</f>
        <v>0</v>
      </c>
      <c r="AC1314" s="40">
        <f>IF(AND($C1314="Despesa",U1314&gt;0,U1314&lt;=Sel_Idx,V1314&gt;=Sel_Idx),Z1314*10000+ROW(),0)</f>
        <v>0</v>
      </c>
      <c r="AD1314" s="40">
        <f>IF(AC1314=0,0,COUNTIFS(L_CalChave,"&gt;0",L_CalChave,"&lt;"&amp;AC1314)+1)</f>
        <v>0</v>
      </c>
    </row>
    <row r="1315">
      <c r="A1315" s="38" t="n"/>
      <c r="B1315" s="39" t="n"/>
      <c r="C1315" s="34" t="n"/>
      <c r="D1315" s="34" t="n"/>
      <c r="E1315" s="34" t="n"/>
      <c r="F1315" s="34" t="n"/>
      <c r="G1315" s="34" t="n"/>
      <c r="H1315" s="37" t="n"/>
      <c r="I1315" s="37" t="n"/>
      <c r="J1315" s="34" t="n"/>
      <c r="K1315" s="34" t="n"/>
      <c r="L1315" s="34" t="n"/>
      <c r="M1315" s="39" t="n"/>
      <c r="N1315" s="35" t="n"/>
      <c r="O1315" s="40" t="str">
        <f>IF($A1315="","",MONTH($A1315))</f>
        <v/>
      </c>
      <c r="P1315" s="40" t="str">
        <f>IF($A1315="","",YEAR($A1315))</f>
        <v/>
      </c>
      <c r="Q1315" s="41" t="str">
        <f>IF($A1315="","",DATE(P1315,O1315,1))</f>
        <v/>
      </c>
      <c r="R1315" s="36" t="str">
        <f>IF(OR($A1315="",$N1315=""),"",IF(AND($C1315&lt;&gt;"Transferência",N($I1315)&gt;1),$N1315/$I1315,$N1315))</f>
        <v/>
      </c>
      <c r="S1315" s="41" t="str">
        <f>IF(OR($A1315="",$F1315="",$C1315&lt;&gt;"Despesa"),"",IF(COUNTIF(Cartoes_Nome,$F1315)=0,"",DATE(P1315,O1315+IF(DAY($A1315)&gt;=INDEX(Cartoes_Fech,MATCH($F1315,Cartoes_Nome,0)),1,0),1)))</f>
        <v/>
      </c>
      <c r="T1315" s="42" t="str">
        <f>IF($A1315="","",IF(COUNTIFS(L_Data,$A1315,L_Desc,$B1315,L_Valor,$N1315,L_Tipo,$C1315)&gt;1,"⚠ Possível duplicidade",IF(OR(AND($C1315="Despesa",COUNTIF(CatD_Nome,$D1315)=0),AND($C1315="Receita",COUNTIF(CatR_Nome,$D1315)=0)),"⚠ Categoria não combina com o tipo",IF(OR($N1315="",$C1315=""),"⚠ Falta valor ou tipo",""))))</f>
        <v/>
      </c>
      <c r="U1315" s="40">
        <f>IF($A1315="",0,P1315*12+O1315)</f>
        <v>0</v>
      </c>
      <c r="V1315" s="40">
        <f>IF($A1315="",0,U1315+MAX(0,N($I1315)-MAX(N($H1315),1)))</f>
        <v>0</v>
      </c>
      <c r="W1315" s="40">
        <f>IF(S1315="",0,YEAR(S1315)*12+MONTH(S1315))</f>
        <v>0</v>
      </c>
      <c r="X1315" s="40">
        <f>IF(W1315=0,0,W1315+V1315-U1315)</f>
        <v>0</v>
      </c>
      <c r="Y1315" s="36">
        <f>IF(W1315=0,0,N(R1315)*MAX(0,X1315-MAX(W1315,YEAR(Cfg_Hoje)*12+MONTH(Cfg_Hoje)+IF(DAY(Cfg_Hoje)&gt;=INDEX(Cartoes_Fech,MATCH($F1315,Cartoes_Nome,0)),1,0))+1))</f>
        <v>0</v>
      </c>
      <c r="Z1315" s="40">
        <f>IF($A1315="",0,DAY($A1315))</f>
        <v>0</v>
      </c>
      <c r="AA1315" s="40">
        <f>IF($A1315="",0,WEEKDAY($A1315))</f>
        <v>0</v>
      </c>
      <c r="AB1315" s="36">
        <f>IF(AND($C1315="Despesa",U1315&gt;0,U1315&lt;=Sel_Idx,V1315&gt;=Sel_Idx),N(R1315)+ROW()/1000000000,0)</f>
        <v>0</v>
      </c>
      <c r="AC1315" s="40">
        <f>IF(AND($C1315="Despesa",U1315&gt;0,U1315&lt;=Sel_Idx,V1315&gt;=Sel_Idx),Z1315*10000+ROW(),0)</f>
        <v>0</v>
      </c>
      <c r="AD1315" s="40">
        <f>IF(AC1315=0,0,COUNTIFS(L_CalChave,"&gt;0",L_CalChave,"&lt;"&amp;AC1315)+1)</f>
        <v>0</v>
      </c>
    </row>
    <row r="1316">
      <c r="A1316" s="38" t="n"/>
      <c r="B1316" s="39" t="n"/>
      <c r="C1316" s="34" t="n"/>
      <c r="D1316" s="34" t="n"/>
      <c r="E1316" s="34" t="n"/>
      <c r="F1316" s="34" t="n"/>
      <c r="G1316" s="34" t="n"/>
      <c r="H1316" s="37" t="n"/>
      <c r="I1316" s="37" t="n"/>
      <c r="J1316" s="34" t="n"/>
      <c r="K1316" s="34" t="n"/>
      <c r="L1316" s="34" t="n"/>
      <c r="M1316" s="39" t="n"/>
      <c r="N1316" s="35" t="n"/>
      <c r="O1316" s="40" t="str">
        <f>IF($A1316="","",MONTH($A1316))</f>
        <v/>
      </c>
      <c r="P1316" s="40" t="str">
        <f>IF($A1316="","",YEAR($A1316))</f>
        <v/>
      </c>
      <c r="Q1316" s="41" t="str">
        <f>IF($A1316="","",DATE(P1316,O1316,1))</f>
        <v/>
      </c>
      <c r="R1316" s="36" t="str">
        <f>IF(OR($A1316="",$N1316=""),"",IF(AND($C1316&lt;&gt;"Transferência",N($I1316)&gt;1),$N1316/$I1316,$N1316))</f>
        <v/>
      </c>
      <c r="S1316" s="41" t="str">
        <f>IF(OR($A1316="",$F1316="",$C1316&lt;&gt;"Despesa"),"",IF(COUNTIF(Cartoes_Nome,$F1316)=0,"",DATE(P1316,O1316+IF(DAY($A1316)&gt;=INDEX(Cartoes_Fech,MATCH($F1316,Cartoes_Nome,0)),1,0),1)))</f>
        <v/>
      </c>
      <c r="T1316" s="42" t="str">
        <f>IF($A1316="","",IF(COUNTIFS(L_Data,$A1316,L_Desc,$B1316,L_Valor,$N1316,L_Tipo,$C1316)&gt;1,"⚠ Possível duplicidade",IF(OR(AND($C1316="Despesa",COUNTIF(CatD_Nome,$D1316)=0),AND($C1316="Receita",COUNTIF(CatR_Nome,$D1316)=0)),"⚠ Categoria não combina com o tipo",IF(OR($N1316="",$C1316=""),"⚠ Falta valor ou tipo",""))))</f>
        <v/>
      </c>
      <c r="U1316" s="40">
        <f>IF($A1316="",0,P1316*12+O1316)</f>
        <v>0</v>
      </c>
      <c r="V1316" s="40">
        <f>IF($A1316="",0,U1316+MAX(0,N($I1316)-MAX(N($H1316),1)))</f>
        <v>0</v>
      </c>
      <c r="W1316" s="40">
        <f>IF(S1316="",0,YEAR(S1316)*12+MONTH(S1316))</f>
        <v>0</v>
      </c>
      <c r="X1316" s="40">
        <f>IF(W1316=0,0,W1316+V1316-U1316)</f>
        <v>0</v>
      </c>
      <c r="Y1316" s="36">
        <f>IF(W1316=0,0,N(R1316)*MAX(0,X1316-MAX(W1316,YEAR(Cfg_Hoje)*12+MONTH(Cfg_Hoje)+IF(DAY(Cfg_Hoje)&gt;=INDEX(Cartoes_Fech,MATCH($F1316,Cartoes_Nome,0)),1,0))+1))</f>
        <v>0</v>
      </c>
      <c r="Z1316" s="40">
        <f>IF($A1316="",0,DAY($A1316))</f>
        <v>0</v>
      </c>
      <c r="AA1316" s="40">
        <f>IF($A1316="",0,WEEKDAY($A1316))</f>
        <v>0</v>
      </c>
      <c r="AB1316" s="36">
        <f>IF(AND($C1316="Despesa",U1316&gt;0,U1316&lt;=Sel_Idx,V1316&gt;=Sel_Idx),N(R1316)+ROW()/1000000000,0)</f>
        <v>0</v>
      </c>
      <c r="AC1316" s="40">
        <f>IF(AND($C1316="Despesa",U1316&gt;0,U1316&lt;=Sel_Idx,V1316&gt;=Sel_Idx),Z1316*10000+ROW(),0)</f>
        <v>0</v>
      </c>
      <c r="AD1316" s="40">
        <f>IF(AC1316=0,0,COUNTIFS(L_CalChave,"&gt;0",L_CalChave,"&lt;"&amp;AC1316)+1)</f>
        <v>0</v>
      </c>
    </row>
    <row r="1317">
      <c r="A1317" s="38" t="n"/>
      <c r="B1317" s="39" t="n"/>
      <c r="C1317" s="34" t="n"/>
      <c r="D1317" s="34" t="n"/>
      <c r="E1317" s="34" t="n"/>
      <c r="F1317" s="34" t="n"/>
      <c r="G1317" s="34" t="n"/>
      <c r="H1317" s="37" t="n"/>
      <c r="I1317" s="37" t="n"/>
      <c r="J1317" s="34" t="n"/>
      <c r="K1317" s="34" t="n"/>
      <c r="L1317" s="34" t="n"/>
      <c r="M1317" s="39" t="n"/>
      <c r="N1317" s="35" t="n"/>
      <c r="O1317" s="40" t="str">
        <f>IF($A1317="","",MONTH($A1317))</f>
        <v/>
      </c>
      <c r="P1317" s="40" t="str">
        <f>IF($A1317="","",YEAR($A1317))</f>
        <v/>
      </c>
      <c r="Q1317" s="41" t="str">
        <f>IF($A1317="","",DATE(P1317,O1317,1))</f>
        <v/>
      </c>
      <c r="R1317" s="36" t="str">
        <f>IF(OR($A1317="",$N1317=""),"",IF(AND($C1317&lt;&gt;"Transferência",N($I1317)&gt;1),$N1317/$I1317,$N1317))</f>
        <v/>
      </c>
      <c r="S1317" s="41" t="str">
        <f>IF(OR($A1317="",$F1317="",$C1317&lt;&gt;"Despesa"),"",IF(COUNTIF(Cartoes_Nome,$F1317)=0,"",DATE(P1317,O1317+IF(DAY($A1317)&gt;=INDEX(Cartoes_Fech,MATCH($F1317,Cartoes_Nome,0)),1,0),1)))</f>
        <v/>
      </c>
      <c r="T1317" s="42" t="str">
        <f>IF($A1317="","",IF(COUNTIFS(L_Data,$A1317,L_Desc,$B1317,L_Valor,$N1317,L_Tipo,$C1317)&gt;1,"⚠ Possível duplicidade",IF(OR(AND($C1317="Despesa",COUNTIF(CatD_Nome,$D1317)=0),AND($C1317="Receita",COUNTIF(CatR_Nome,$D1317)=0)),"⚠ Categoria não combina com o tipo",IF(OR($N1317="",$C1317=""),"⚠ Falta valor ou tipo",""))))</f>
        <v/>
      </c>
      <c r="U1317" s="40">
        <f>IF($A1317="",0,P1317*12+O1317)</f>
        <v>0</v>
      </c>
      <c r="V1317" s="40">
        <f>IF($A1317="",0,U1317+MAX(0,N($I1317)-MAX(N($H1317),1)))</f>
        <v>0</v>
      </c>
      <c r="W1317" s="40">
        <f>IF(S1317="",0,YEAR(S1317)*12+MONTH(S1317))</f>
        <v>0</v>
      </c>
      <c r="X1317" s="40">
        <f>IF(W1317=0,0,W1317+V1317-U1317)</f>
        <v>0</v>
      </c>
      <c r="Y1317" s="36">
        <f>IF(W1317=0,0,N(R1317)*MAX(0,X1317-MAX(W1317,YEAR(Cfg_Hoje)*12+MONTH(Cfg_Hoje)+IF(DAY(Cfg_Hoje)&gt;=INDEX(Cartoes_Fech,MATCH($F1317,Cartoes_Nome,0)),1,0))+1))</f>
        <v>0</v>
      </c>
      <c r="Z1317" s="40">
        <f>IF($A1317="",0,DAY($A1317))</f>
        <v>0</v>
      </c>
      <c r="AA1317" s="40">
        <f>IF($A1317="",0,WEEKDAY($A1317))</f>
        <v>0</v>
      </c>
      <c r="AB1317" s="36">
        <f>IF(AND($C1317="Despesa",U1317&gt;0,U1317&lt;=Sel_Idx,V1317&gt;=Sel_Idx),N(R1317)+ROW()/1000000000,0)</f>
        <v>0</v>
      </c>
      <c r="AC1317" s="40">
        <f>IF(AND($C1317="Despesa",U1317&gt;0,U1317&lt;=Sel_Idx,V1317&gt;=Sel_Idx),Z1317*10000+ROW(),0)</f>
        <v>0</v>
      </c>
      <c r="AD1317" s="40">
        <f>IF(AC1317=0,0,COUNTIFS(L_CalChave,"&gt;0",L_CalChave,"&lt;"&amp;AC1317)+1)</f>
        <v>0</v>
      </c>
    </row>
    <row r="1318">
      <c r="A1318" s="38" t="n"/>
      <c r="B1318" s="39" t="n"/>
      <c r="C1318" s="34" t="n"/>
      <c r="D1318" s="34" t="n"/>
      <c r="E1318" s="34" t="n"/>
      <c r="F1318" s="34" t="n"/>
      <c r="G1318" s="34" t="n"/>
      <c r="H1318" s="37" t="n"/>
      <c r="I1318" s="37" t="n"/>
      <c r="J1318" s="34" t="n"/>
      <c r="K1318" s="34" t="n"/>
      <c r="L1318" s="34" t="n"/>
      <c r="M1318" s="39" t="n"/>
      <c r="N1318" s="35" t="n"/>
      <c r="O1318" s="40" t="str">
        <f>IF($A1318="","",MONTH($A1318))</f>
        <v/>
      </c>
      <c r="P1318" s="40" t="str">
        <f>IF($A1318="","",YEAR($A1318))</f>
        <v/>
      </c>
      <c r="Q1318" s="41" t="str">
        <f>IF($A1318="","",DATE(P1318,O1318,1))</f>
        <v/>
      </c>
      <c r="R1318" s="36" t="str">
        <f>IF(OR($A1318="",$N1318=""),"",IF(AND($C1318&lt;&gt;"Transferência",N($I1318)&gt;1),$N1318/$I1318,$N1318))</f>
        <v/>
      </c>
      <c r="S1318" s="41" t="str">
        <f>IF(OR($A1318="",$F1318="",$C1318&lt;&gt;"Despesa"),"",IF(COUNTIF(Cartoes_Nome,$F1318)=0,"",DATE(P1318,O1318+IF(DAY($A1318)&gt;=INDEX(Cartoes_Fech,MATCH($F1318,Cartoes_Nome,0)),1,0),1)))</f>
        <v/>
      </c>
      <c r="T1318" s="42" t="str">
        <f>IF($A1318="","",IF(COUNTIFS(L_Data,$A1318,L_Desc,$B1318,L_Valor,$N1318,L_Tipo,$C1318)&gt;1,"⚠ Possível duplicidade",IF(OR(AND($C1318="Despesa",COUNTIF(CatD_Nome,$D1318)=0),AND($C1318="Receita",COUNTIF(CatR_Nome,$D1318)=0)),"⚠ Categoria não combina com o tipo",IF(OR($N1318="",$C1318=""),"⚠ Falta valor ou tipo",""))))</f>
        <v/>
      </c>
      <c r="U1318" s="40">
        <f>IF($A1318="",0,P1318*12+O1318)</f>
        <v>0</v>
      </c>
      <c r="V1318" s="40">
        <f>IF($A1318="",0,U1318+MAX(0,N($I1318)-MAX(N($H1318),1)))</f>
        <v>0</v>
      </c>
      <c r="W1318" s="40">
        <f>IF(S1318="",0,YEAR(S1318)*12+MONTH(S1318))</f>
        <v>0</v>
      </c>
      <c r="X1318" s="40">
        <f>IF(W1318=0,0,W1318+V1318-U1318)</f>
        <v>0</v>
      </c>
      <c r="Y1318" s="36">
        <f>IF(W1318=0,0,N(R1318)*MAX(0,X1318-MAX(W1318,YEAR(Cfg_Hoje)*12+MONTH(Cfg_Hoje)+IF(DAY(Cfg_Hoje)&gt;=INDEX(Cartoes_Fech,MATCH($F1318,Cartoes_Nome,0)),1,0))+1))</f>
        <v>0</v>
      </c>
      <c r="Z1318" s="40">
        <f>IF($A1318="",0,DAY($A1318))</f>
        <v>0</v>
      </c>
      <c r="AA1318" s="40">
        <f>IF($A1318="",0,WEEKDAY($A1318))</f>
        <v>0</v>
      </c>
      <c r="AB1318" s="36">
        <f>IF(AND($C1318="Despesa",U1318&gt;0,U1318&lt;=Sel_Idx,V1318&gt;=Sel_Idx),N(R1318)+ROW()/1000000000,0)</f>
        <v>0</v>
      </c>
      <c r="AC1318" s="40">
        <f>IF(AND($C1318="Despesa",U1318&gt;0,U1318&lt;=Sel_Idx,V1318&gt;=Sel_Idx),Z1318*10000+ROW(),0)</f>
        <v>0</v>
      </c>
      <c r="AD1318" s="40">
        <f>IF(AC1318=0,0,COUNTIFS(L_CalChave,"&gt;0",L_CalChave,"&lt;"&amp;AC1318)+1)</f>
        <v>0</v>
      </c>
    </row>
    <row r="1319">
      <c r="A1319" s="38" t="n"/>
      <c r="B1319" s="39" t="n"/>
      <c r="C1319" s="34" t="n"/>
      <c r="D1319" s="34" t="n"/>
      <c r="E1319" s="34" t="n"/>
      <c r="F1319" s="34" t="n"/>
      <c r="G1319" s="34" t="n"/>
      <c r="H1319" s="37" t="n"/>
      <c r="I1319" s="37" t="n"/>
      <c r="J1319" s="34" t="n"/>
      <c r="K1319" s="34" t="n"/>
      <c r="L1319" s="34" t="n"/>
      <c r="M1319" s="39" t="n"/>
      <c r="N1319" s="35" t="n"/>
      <c r="O1319" s="40" t="str">
        <f>IF($A1319="","",MONTH($A1319))</f>
        <v/>
      </c>
      <c r="P1319" s="40" t="str">
        <f>IF($A1319="","",YEAR($A1319))</f>
        <v/>
      </c>
      <c r="Q1319" s="41" t="str">
        <f>IF($A1319="","",DATE(P1319,O1319,1))</f>
        <v/>
      </c>
      <c r="R1319" s="36" t="str">
        <f>IF(OR($A1319="",$N1319=""),"",IF(AND($C1319&lt;&gt;"Transferência",N($I1319)&gt;1),$N1319/$I1319,$N1319))</f>
        <v/>
      </c>
      <c r="S1319" s="41" t="str">
        <f>IF(OR($A1319="",$F1319="",$C1319&lt;&gt;"Despesa"),"",IF(COUNTIF(Cartoes_Nome,$F1319)=0,"",DATE(P1319,O1319+IF(DAY($A1319)&gt;=INDEX(Cartoes_Fech,MATCH($F1319,Cartoes_Nome,0)),1,0),1)))</f>
        <v/>
      </c>
      <c r="T1319" s="42" t="str">
        <f>IF($A1319="","",IF(COUNTIFS(L_Data,$A1319,L_Desc,$B1319,L_Valor,$N1319,L_Tipo,$C1319)&gt;1,"⚠ Possível duplicidade",IF(OR(AND($C1319="Despesa",COUNTIF(CatD_Nome,$D1319)=0),AND($C1319="Receita",COUNTIF(CatR_Nome,$D1319)=0)),"⚠ Categoria não combina com o tipo",IF(OR($N1319="",$C1319=""),"⚠ Falta valor ou tipo",""))))</f>
        <v/>
      </c>
      <c r="U1319" s="40">
        <f>IF($A1319="",0,P1319*12+O1319)</f>
        <v>0</v>
      </c>
      <c r="V1319" s="40">
        <f>IF($A1319="",0,U1319+MAX(0,N($I1319)-MAX(N($H1319),1)))</f>
        <v>0</v>
      </c>
      <c r="W1319" s="40">
        <f>IF(S1319="",0,YEAR(S1319)*12+MONTH(S1319))</f>
        <v>0</v>
      </c>
      <c r="X1319" s="40">
        <f>IF(W1319=0,0,W1319+V1319-U1319)</f>
        <v>0</v>
      </c>
      <c r="Y1319" s="36">
        <f>IF(W1319=0,0,N(R1319)*MAX(0,X1319-MAX(W1319,YEAR(Cfg_Hoje)*12+MONTH(Cfg_Hoje)+IF(DAY(Cfg_Hoje)&gt;=INDEX(Cartoes_Fech,MATCH($F1319,Cartoes_Nome,0)),1,0))+1))</f>
        <v>0</v>
      </c>
      <c r="Z1319" s="40">
        <f>IF($A1319="",0,DAY($A1319))</f>
        <v>0</v>
      </c>
      <c r="AA1319" s="40">
        <f>IF($A1319="",0,WEEKDAY($A1319))</f>
        <v>0</v>
      </c>
      <c r="AB1319" s="36">
        <f>IF(AND($C1319="Despesa",U1319&gt;0,U1319&lt;=Sel_Idx,V1319&gt;=Sel_Idx),N(R1319)+ROW()/1000000000,0)</f>
        <v>0</v>
      </c>
      <c r="AC1319" s="40">
        <f>IF(AND($C1319="Despesa",U1319&gt;0,U1319&lt;=Sel_Idx,V1319&gt;=Sel_Idx),Z1319*10000+ROW(),0)</f>
        <v>0</v>
      </c>
      <c r="AD1319" s="40">
        <f>IF(AC1319=0,0,COUNTIFS(L_CalChave,"&gt;0",L_CalChave,"&lt;"&amp;AC1319)+1)</f>
        <v>0</v>
      </c>
    </row>
    <row r="1320">
      <c r="A1320" s="38" t="n"/>
      <c r="B1320" s="39" t="n"/>
      <c r="C1320" s="34" t="n"/>
      <c r="D1320" s="34" t="n"/>
      <c r="E1320" s="34" t="n"/>
      <c r="F1320" s="34" t="n"/>
      <c r="G1320" s="34" t="n"/>
      <c r="H1320" s="37" t="n"/>
      <c r="I1320" s="37" t="n"/>
      <c r="J1320" s="34" t="n"/>
      <c r="K1320" s="34" t="n"/>
      <c r="L1320" s="34" t="n"/>
      <c r="M1320" s="39" t="n"/>
      <c r="N1320" s="35" t="n"/>
      <c r="O1320" s="40" t="str">
        <f>IF($A1320="","",MONTH($A1320))</f>
        <v/>
      </c>
      <c r="P1320" s="40" t="str">
        <f>IF($A1320="","",YEAR($A1320))</f>
        <v/>
      </c>
      <c r="Q1320" s="41" t="str">
        <f>IF($A1320="","",DATE(P1320,O1320,1))</f>
        <v/>
      </c>
      <c r="R1320" s="36" t="str">
        <f>IF(OR($A1320="",$N1320=""),"",IF(AND($C1320&lt;&gt;"Transferência",N($I1320)&gt;1),$N1320/$I1320,$N1320))</f>
        <v/>
      </c>
      <c r="S1320" s="41" t="str">
        <f>IF(OR($A1320="",$F1320="",$C1320&lt;&gt;"Despesa"),"",IF(COUNTIF(Cartoes_Nome,$F1320)=0,"",DATE(P1320,O1320+IF(DAY($A1320)&gt;=INDEX(Cartoes_Fech,MATCH($F1320,Cartoes_Nome,0)),1,0),1)))</f>
        <v/>
      </c>
      <c r="T1320" s="42" t="str">
        <f>IF($A1320="","",IF(COUNTIFS(L_Data,$A1320,L_Desc,$B1320,L_Valor,$N1320,L_Tipo,$C1320)&gt;1,"⚠ Possível duplicidade",IF(OR(AND($C1320="Despesa",COUNTIF(CatD_Nome,$D1320)=0),AND($C1320="Receita",COUNTIF(CatR_Nome,$D1320)=0)),"⚠ Categoria não combina com o tipo",IF(OR($N1320="",$C1320=""),"⚠ Falta valor ou tipo",""))))</f>
        <v/>
      </c>
      <c r="U1320" s="40">
        <f>IF($A1320="",0,P1320*12+O1320)</f>
        <v>0</v>
      </c>
      <c r="V1320" s="40">
        <f>IF($A1320="",0,U1320+MAX(0,N($I1320)-MAX(N($H1320),1)))</f>
        <v>0</v>
      </c>
      <c r="W1320" s="40">
        <f>IF(S1320="",0,YEAR(S1320)*12+MONTH(S1320))</f>
        <v>0</v>
      </c>
      <c r="X1320" s="40">
        <f>IF(W1320=0,0,W1320+V1320-U1320)</f>
        <v>0</v>
      </c>
      <c r="Y1320" s="36">
        <f>IF(W1320=0,0,N(R1320)*MAX(0,X1320-MAX(W1320,YEAR(Cfg_Hoje)*12+MONTH(Cfg_Hoje)+IF(DAY(Cfg_Hoje)&gt;=INDEX(Cartoes_Fech,MATCH($F1320,Cartoes_Nome,0)),1,0))+1))</f>
        <v>0</v>
      </c>
      <c r="Z1320" s="40">
        <f>IF($A1320="",0,DAY($A1320))</f>
        <v>0</v>
      </c>
      <c r="AA1320" s="40">
        <f>IF($A1320="",0,WEEKDAY($A1320))</f>
        <v>0</v>
      </c>
      <c r="AB1320" s="36">
        <f>IF(AND($C1320="Despesa",U1320&gt;0,U1320&lt;=Sel_Idx,V1320&gt;=Sel_Idx),N(R1320)+ROW()/1000000000,0)</f>
        <v>0</v>
      </c>
      <c r="AC1320" s="40">
        <f>IF(AND($C1320="Despesa",U1320&gt;0,U1320&lt;=Sel_Idx,V1320&gt;=Sel_Idx),Z1320*10000+ROW(),0)</f>
        <v>0</v>
      </c>
      <c r="AD1320" s="40">
        <f>IF(AC1320=0,0,COUNTIFS(L_CalChave,"&gt;0",L_CalChave,"&lt;"&amp;AC1320)+1)</f>
        <v>0</v>
      </c>
    </row>
    <row r="1321">
      <c r="A1321" s="38" t="n"/>
      <c r="B1321" s="39" t="n"/>
      <c r="C1321" s="34" t="n"/>
      <c r="D1321" s="34" t="n"/>
      <c r="E1321" s="34" t="n"/>
      <c r="F1321" s="34" t="n"/>
      <c r="G1321" s="34" t="n"/>
      <c r="H1321" s="37" t="n"/>
      <c r="I1321" s="37" t="n"/>
      <c r="J1321" s="34" t="n"/>
      <c r="K1321" s="34" t="n"/>
      <c r="L1321" s="34" t="n"/>
      <c r="M1321" s="39" t="n"/>
      <c r="N1321" s="35" t="n"/>
      <c r="O1321" s="40" t="str">
        <f>IF($A1321="","",MONTH($A1321))</f>
        <v/>
      </c>
      <c r="P1321" s="40" t="str">
        <f>IF($A1321="","",YEAR($A1321))</f>
        <v/>
      </c>
      <c r="Q1321" s="41" t="str">
        <f>IF($A1321="","",DATE(P1321,O1321,1))</f>
        <v/>
      </c>
      <c r="R1321" s="36" t="str">
        <f>IF(OR($A1321="",$N1321=""),"",IF(AND($C1321&lt;&gt;"Transferência",N($I1321)&gt;1),$N1321/$I1321,$N1321))</f>
        <v/>
      </c>
      <c r="S1321" s="41" t="str">
        <f>IF(OR($A1321="",$F1321="",$C1321&lt;&gt;"Despesa"),"",IF(COUNTIF(Cartoes_Nome,$F1321)=0,"",DATE(P1321,O1321+IF(DAY($A1321)&gt;=INDEX(Cartoes_Fech,MATCH($F1321,Cartoes_Nome,0)),1,0),1)))</f>
        <v/>
      </c>
      <c r="T1321" s="42" t="str">
        <f>IF($A1321="","",IF(COUNTIFS(L_Data,$A1321,L_Desc,$B1321,L_Valor,$N1321,L_Tipo,$C1321)&gt;1,"⚠ Possível duplicidade",IF(OR(AND($C1321="Despesa",COUNTIF(CatD_Nome,$D1321)=0),AND($C1321="Receita",COUNTIF(CatR_Nome,$D1321)=0)),"⚠ Categoria não combina com o tipo",IF(OR($N1321="",$C1321=""),"⚠ Falta valor ou tipo",""))))</f>
        <v/>
      </c>
      <c r="U1321" s="40">
        <f>IF($A1321="",0,P1321*12+O1321)</f>
        <v>0</v>
      </c>
      <c r="V1321" s="40">
        <f>IF($A1321="",0,U1321+MAX(0,N($I1321)-MAX(N($H1321),1)))</f>
        <v>0</v>
      </c>
      <c r="W1321" s="40">
        <f>IF(S1321="",0,YEAR(S1321)*12+MONTH(S1321))</f>
        <v>0</v>
      </c>
      <c r="X1321" s="40">
        <f>IF(W1321=0,0,W1321+V1321-U1321)</f>
        <v>0</v>
      </c>
      <c r="Y1321" s="36">
        <f>IF(W1321=0,0,N(R1321)*MAX(0,X1321-MAX(W1321,YEAR(Cfg_Hoje)*12+MONTH(Cfg_Hoje)+IF(DAY(Cfg_Hoje)&gt;=INDEX(Cartoes_Fech,MATCH($F1321,Cartoes_Nome,0)),1,0))+1))</f>
        <v>0</v>
      </c>
      <c r="Z1321" s="40">
        <f>IF($A1321="",0,DAY($A1321))</f>
        <v>0</v>
      </c>
      <c r="AA1321" s="40">
        <f>IF($A1321="",0,WEEKDAY($A1321))</f>
        <v>0</v>
      </c>
      <c r="AB1321" s="36">
        <f>IF(AND($C1321="Despesa",U1321&gt;0,U1321&lt;=Sel_Idx,V1321&gt;=Sel_Idx),N(R1321)+ROW()/1000000000,0)</f>
        <v>0</v>
      </c>
      <c r="AC1321" s="40">
        <f>IF(AND($C1321="Despesa",U1321&gt;0,U1321&lt;=Sel_Idx,V1321&gt;=Sel_Idx),Z1321*10000+ROW(),0)</f>
        <v>0</v>
      </c>
      <c r="AD1321" s="40">
        <f>IF(AC1321=0,0,COUNTIFS(L_CalChave,"&gt;0",L_CalChave,"&lt;"&amp;AC1321)+1)</f>
        <v>0</v>
      </c>
    </row>
    <row r="1322">
      <c r="A1322" s="38" t="n"/>
      <c r="B1322" s="39" t="n"/>
      <c r="C1322" s="34" t="n"/>
      <c r="D1322" s="34" t="n"/>
      <c r="E1322" s="34" t="n"/>
      <c r="F1322" s="34" t="n"/>
      <c r="G1322" s="34" t="n"/>
      <c r="H1322" s="37" t="n"/>
      <c r="I1322" s="37" t="n"/>
      <c r="J1322" s="34" t="n"/>
      <c r="K1322" s="34" t="n"/>
      <c r="L1322" s="34" t="n"/>
      <c r="M1322" s="39" t="n"/>
      <c r="N1322" s="35" t="n"/>
      <c r="O1322" s="40" t="str">
        <f>IF($A1322="","",MONTH($A1322))</f>
        <v/>
      </c>
      <c r="P1322" s="40" t="str">
        <f>IF($A1322="","",YEAR($A1322))</f>
        <v/>
      </c>
      <c r="Q1322" s="41" t="str">
        <f>IF($A1322="","",DATE(P1322,O1322,1))</f>
        <v/>
      </c>
      <c r="R1322" s="36" t="str">
        <f>IF(OR($A1322="",$N1322=""),"",IF(AND($C1322&lt;&gt;"Transferência",N($I1322)&gt;1),$N1322/$I1322,$N1322))</f>
        <v/>
      </c>
      <c r="S1322" s="41" t="str">
        <f>IF(OR($A1322="",$F1322="",$C1322&lt;&gt;"Despesa"),"",IF(COUNTIF(Cartoes_Nome,$F1322)=0,"",DATE(P1322,O1322+IF(DAY($A1322)&gt;=INDEX(Cartoes_Fech,MATCH($F1322,Cartoes_Nome,0)),1,0),1)))</f>
        <v/>
      </c>
      <c r="T1322" s="42" t="str">
        <f>IF($A1322="","",IF(COUNTIFS(L_Data,$A1322,L_Desc,$B1322,L_Valor,$N1322,L_Tipo,$C1322)&gt;1,"⚠ Possível duplicidade",IF(OR(AND($C1322="Despesa",COUNTIF(CatD_Nome,$D1322)=0),AND($C1322="Receita",COUNTIF(CatR_Nome,$D1322)=0)),"⚠ Categoria não combina com o tipo",IF(OR($N1322="",$C1322=""),"⚠ Falta valor ou tipo",""))))</f>
        <v/>
      </c>
      <c r="U1322" s="40">
        <f>IF($A1322="",0,P1322*12+O1322)</f>
        <v>0</v>
      </c>
      <c r="V1322" s="40">
        <f>IF($A1322="",0,U1322+MAX(0,N($I1322)-MAX(N($H1322),1)))</f>
        <v>0</v>
      </c>
      <c r="W1322" s="40">
        <f>IF(S1322="",0,YEAR(S1322)*12+MONTH(S1322))</f>
        <v>0</v>
      </c>
      <c r="X1322" s="40">
        <f>IF(W1322=0,0,W1322+V1322-U1322)</f>
        <v>0</v>
      </c>
      <c r="Y1322" s="36">
        <f>IF(W1322=0,0,N(R1322)*MAX(0,X1322-MAX(W1322,YEAR(Cfg_Hoje)*12+MONTH(Cfg_Hoje)+IF(DAY(Cfg_Hoje)&gt;=INDEX(Cartoes_Fech,MATCH($F1322,Cartoes_Nome,0)),1,0))+1))</f>
        <v>0</v>
      </c>
      <c r="Z1322" s="40">
        <f>IF($A1322="",0,DAY($A1322))</f>
        <v>0</v>
      </c>
      <c r="AA1322" s="40">
        <f>IF($A1322="",0,WEEKDAY($A1322))</f>
        <v>0</v>
      </c>
      <c r="AB1322" s="36">
        <f>IF(AND($C1322="Despesa",U1322&gt;0,U1322&lt;=Sel_Idx,V1322&gt;=Sel_Idx),N(R1322)+ROW()/1000000000,0)</f>
        <v>0</v>
      </c>
      <c r="AC1322" s="40">
        <f>IF(AND($C1322="Despesa",U1322&gt;0,U1322&lt;=Sel_Idx,V1322&gt;=Sel_Idx),Z1322*10000+ROW(),0)</f>
        <v>0</v>
      </c>
      <c r="AD1322" s="40">
        <f>IF(AC1322=0,0,COUNTIFS(L_CalChave,"&gt;0",L_CalChave,"&lt;"&amp;AC1322)+1)</f>
        <v>0</v>
      </c>
    </row>
    <row r="1323">
      <c r="A1323" s="38" t="n"/>
      <c r="B1323" s="39" t="n"/>
      <c r="C1323" s="34" t="n"/>
      <c r="D1323" s="34" t="n"/>
      <c r="E1323" s="34" t="n"/>
      <c r="F1323" s="34" t="n"/>
      <c r="G1323" s="34" t="n"/>
      <c r="H1323" s="37" t="n"/>
      <c r="I1323" s="37" t="n"/>
      <c r="J1323" s="34" t="n"/>
      <c r="K1323" s="34" t="n"/>
      <c r="L1323" s="34" t="n"/>
      <c r="M1323" s="39" t="n"/>
      <c r="N1323" s="35" t="n"/>
      <c r="O1323" s="40" t="str">
        <f>IF($A1323="","",MONTH($A1323))</f>
        <v/>
      </c>
      <c r="P1323" s="40" t="str">
        <f>IF($A1323="","",YEAR($A1323))</f>
        <v/>
      </c>
      <c r="Q1323" s="41" t="str">
        <f>IF($A1323="","",DATE(P1323,O1323,1))</f>
        <v/>
      </c>
      <c r="R1323" s="36" t="str">
        <f>IF(OR($A1323="",$N1323=""),"",IF(AND($C1323&lt;&gt;"Transferência",N($I1323)&gt;1),$N1323/$I1323,$N1323))</f>
        <v/>
      </c>
      <c r="S1323" s="41" t="str">
        <f>IF(OR($A1323="",$F1323="",$C1323&lt;&gt;"Despesa"),"",IF(COUNTIF(Cartoes_Nome,$F1323)=0,"",DATE(P1323,O1323+IF(DAY($A1323)&gt;=INDEX(Cartoes_Fech,MATCH($F1323,Cartoes_Nome,0)),1,0),1)))</f>
        <v/>
      </c>
      <c r="T1323" s="42" t="str">
        <f>IF($A1323="","",IF(COUNTIFS(L_Data,$A1323,L_Desc,$B1323,L_Valor,$N1323,L_Tipo,$C1323)&gt;1,"⚠ Possível duplicidade",IF(OR(AND($C1323="Despesa",COUNTIF(CatD_Nome,$D1323)=0),AND($C1323="Receita",COUNTIF(CatR_Nome,$D1323)=0)),"⚠ Categoria não combina com o tipo",IF(OR($N1323="",$C1323=""),"⚠ Falta valor ou tipo",""))))</f>
        <v/>
      </c>
      <c r="U1323" s="40">
        <f>IF($A1323="",0,P1323*12+O1323)</f>
        <v>0</v>
      </c>
      <c r="V1323" s="40">
        <f>IF($A1323="",0,U1323+MAX(0,N($I1323)-MAX(N($H1323),1)))</f>
        <v>0</v>
      </c>
      <c r="W1323" s="40">
        <f>IF(S1323="",0,YEAR(S1323)*12+MONTH(S1323))</f>
        <v>0</v>
      </c>
      <c r="X1323" s="40">
        <f>IF(W1323=0,0,W1323+V1323-U1323)</f>
        <v>0</v>
      </c>
      <c r="Y1323" s="36">
        <f>IF(W1323=0,0,N(R1323)*MAX(0,X1323-MAX(W1323,YEAR(Cfg_Hoje)*12+MONTH(Cfg_Hoje)+IF(DAY(Cfg_Hoje)&gt;=INDEX(Cartoes_Fech,MATCH($F1323,Cartoes_Nome,0)),1,0))+1))</f>
        <v>0</v>
      </c>
      <c r="Z1323" s="40">
        <f>IF($A1323="",0,DAY($A1323))</f>
        <v>0</v>
      </c>
      <c r="AA1323" s="40">
        <f>IF($A1323="",0,WEEKDAY($A1323))</f>
        <v>0</v>
      </c>
      <c r="AB1323" s="36">
        <f>IF(AND($C1323="Despesa",U1323&gt;0,U1323&lt;=Sel_Idx,V1323&gt;=Sel_Idx),N(R1323)+ROW()/1000000000,0)</f>
        <v>0</v>
      </c>
      <c r="AC1323" s="40">
        <f>IF(AND($C1323="Despesa",U1323&gt;0,U1323&lt;=Sel_Idx,V1323&gt;=Sel_Idx),Z1323*10000+ROW(),0)</f>
        <v>0</v>
      </c>
      <c r="AD1323" s="40">
        <f>IF(AC1323=0,0,COUNTIFS(L_CalChave,"&gt;0",L_CalChave,"&lt;"&amp;AC1323)+1)</f>
        <v>0</v>
      </c>
    </row>
    <row r="1324">
      <c r="A1324" s="38" t="n"/>
      <c r="B1324" s="39" t="n"/>
      <c r="C1324" s="34" t="n"/>
      <c r="D1324" s="34" t="n"/>
      <c r="E1324" s="34" t="n"/>
      <c r="F1324" s="34" t="n"/>
      <c r="G1324" s="34" t="n"/>
      <c r="H1324" s="37" t="n"/>
      <c r="I1324" s="37" t="n"/>
      <c r="J1324" s="34" t="n"/>
      <c r="K1324" s="34" t="n"/>
      <c r="L1324" s="34" t="n"/>
      <c r="M1324" s="39" t="n"/>
      <c r="N1324" s="35" t="n"/>
      <c r="O1324" s="40" t="str">
        <f>IF($A1324="","",MONTH($A1324))</f>
        <v/>
      </c>
      <c r="P1324" s="40" t="str">
        <f>IF($A1324="","",YEAR($A1324))</f>
        <v/>
      </c>
      <c r="Q1324" s="41" t="str">
        <f>IF($A1324="","",DATE(P1324,O1324,1))</f>
        <v/>
      </c>
      <c r="R1324" s="36" t="str">
        <f>IF(OR($A1324="",$N1324=""),"",IF(AND($C1324&lt;&gt;"Transferência",N($I1324)&gt;1),$N1324/$I1324,$N1324))</f>
        <v/>
      </c>
      <c r="S1324" s="41" t="str">
        <f>IF(OR($A1324="",$F1324="",$C1324&lt;&gt;"Despesa"),"",IF(COUNTIF(Cartoes_Nome,$F1324)=0,"",DATE(P1324,O1324+IF(DAY($A1324)&gt;=INDEX(Cartoes_Fech,MATCH($F1324,Cartoes_Nome,0)),1,0),1)))</f>
        <v/>
      </c>
      <c r="T1324" s="42" t="str">
        <f>IF($A1324="","",IF(COUNTIFS(L_Data,$A1324,L_Desc,$B1324,L_Valor,$N1324,L_Tipo,$C1324)&gt;1,"⚠ Possível duplicidade",IF(OR(AND($C1324="Despesa",COUNTIF(CatD_Nome,$D1324)=0),AND($C1324="Receita",COUNTIF(CatR_Nome,$D1324)=0)),"⚠ Categoria não combina com o tipo",IF(OR($N1324="",$C1324=""),"⚠ Falta valor ou tipo",""))))</f>
        <v/>
      </c>
      <c r="U1324" s="40">
        <f>IF($A1324="",0,P1324*12+O1324)</f>
        <v>0</v>
      </c>
      <c r="V1324" s="40">
        <f>IF($A1324="",0,U1324+MAX(0,N($I1324)-MAX(N($H1324),1)))</f>
        <v>0</v>
      </c>
      <c r="W1324" s="40">
        <f>IF(S1324="",0,YEAR(S1324)*12+MONTH(S1324))</f>
        <v>0</v>
      </c>
      <c r="X1324" s="40">
        <f>IF(W1324=0,0,W1324+V1324-U1324)</f>
        <v>0</v>
      </c>
      <c r="Y1324" s="36">
        <f>IF(W1324=0,0,N(R1324)*MAX(0,X1324-MAX(W1324,YEAR(Cfg_Hoje)*12+MONTH(Cfg_Hoje)+IF(DAY(Cfg_Hoje)&gt;=INDEX(Cartoes_Fech,MATCH($F1324,Cartoes_Nome,0)),1,0))+1))</f>
        <v>0</v>
      </c>
      <c r="Z1324" s="40">
        <f>IF($A1324="",0,DAY($A1324))</f>
        <v>0</v>
      </c>
      <c r="AA1324" s="40">
        <f>IF($A1324="",0,WEEKDAY($A1324))</f>
        <v>0</v>
      </c>
      <c r="AB1324" s="36">
        <f>IF(AND($C1324="Despesa",U1324&gt;0,U1324&lt;=Sel_Idx,V1324&gt;=Sel_Idx),N(R1324)+ROW()/1000000000,0)</f>
        <v>0</v>
      </c>
      <c r="AC1324" s="40">
        <f>IF(AND($C1324="Despesa",U1324&gt;0,U1324&lt;=Sel_Idx,V1324&gt;=Sel_Idx),Z1324*10000+ROW(),0)</f>
        <v>0</v>
      </c>
      <c r="AD1324" s="40">
        <f>IF(AC1324=0,0,COUNTIFS(L_CalChave,"&gt;0",L_CalChave,"&lt;"&amp;AC1324)+1)</f>
        <v>0</v>
      </c>
    </row>
    <row r="1325">
      <c r="A1325" s="38" t="n"/>
      <c r="B1325" s="39" t="n"/>
      <c r="C1325" s="34" t="n"/>
      <c r="D1325" s="34" t="n"/>
      <c r="E1325" s="34" t="n"/>
      <c r="F1325" s="34" t="n"/>
      <c r="G1325" s="34" t="n"/>
      <c r="H1325" s="37" t="n"/>
      <c r="I1325" s="37" t="n"/>
      <c r="J1325" s="34" t="n"/>
      <c r="K1325" s="34" t="n"/>
      <c r="L1325" s="34" t="n"/>
      <c r="M1325" s="39" t="n"/>
      <c r="N1325" s="35" t="n"/>
      <c r="O1325" s="40" t="str">
        <f>IF($A1325="","",MONTH($A1325))</f>
        <v/>
      </c>
      <c r="P1325" s="40" t="str">
        <f>IF($A1325="","",YEAR($A1325))</f>
        <v/>
      </c>
      <c r="Q1325" s="41" t="str">
        <f>IF($A1325="","",DATE(P1325,O1325,1))</f>
        <v/>
      </c>
      <c r="R1325" s="36" t="str">
        <f>IF(OR($A1325="",$N1325=""),"",IF(AND($C1325&lt;&gt;"Transferência",N($I1325)&gt;1),$N1325/$I1325,$N1325))</f>
        <v/>
      </c>
      <c r="S1325" s="41" t="str">
        <f>IF(OR($A1325="",$F1325="",$C1325&lt;&gt;"Despesa"),"",IF(COUNTIF(Cartoes_Nome,$F1325)=0,"",DATE(P1325,O1325+IF(DAY($A1325)&gt;=INDEX(Cartoes_Fech,MATCH($F1325,Cartoes_Nome,0)),1,0),1)))</f>
        <v/>
      </c>
      <c r="T1325" s="42" t="str">
        <f>IF($A1325="","",IF(COUNTIFS(L_Data,$A1325,L_Desc,$B1325,L_Valor,$N1325,L_Tipo,$C1325)&gt;1,"⚠ Possível duplicidade",IF(OR(AND($C1325="Despesa",COUNTIF(CatD_Nome,$D1325)=0),AND($C1325="Receita",COUNTIF(CatR_Nome,$D1325)=0)),"⚠ Categoria não combina com o tipo",IF(OR($N1325="",$C1325=""),"⚠ Falta valor ou tipo",""))))</f>
        <v/>
      </c>
      <c r="U1325" s="40">
        <f>IF($A1325="",0,P1325*12+O1325)</f>
        <v>0</v>
      </c>
      <c r="V1325" s="40">
        <f>IF($A1325="",0,U1325+MAX(0,N($I1325)-MAX(N($H1325),1)))</f>
        <v>0</v>
      </c>
      <c r="W1325" s="40">
        <f>IF(S1325="",0,YEAR(S1325)*12+MONTH(S1325))</f>
        <v>0</v>
      </c>
      <c r="X1325" s="40">
        <f>IF(W1325=0,0,W1325+V1325-U1325)</f>
        <v>0</v>
      </c>
      <c r="Y1325" s="36">
        <f>IF(W1325=0,0,N(R1325)*MAX(0,X1325-MAX(W1325,YEAR(Cfg_Hoje)*12+MONTH(Cfg_Hoje)+IF(DAY(Cfg_Hoje)&gt;=INDEX(Cartoes_Fech,MATCH($F1325,Cartoes_Nome,0)),1,0))+1))</f>
        <v>0</v>
      </c>
      <c r="Z1325" s="40">
        <f>IF($A1325="",0,DAY($A1325))</f>
        <v>0</v>
      </c>
      <c r="AA1325" s="40">
        <f>IF($A1325="",0,WEEKDAY($A1325))</f>
        <v>0</v>
      </c>
      <c r="AB1325" s="36">
        <f>IF(AND($C1325="Despesa",U1325&gt;0,U1325&lt;=Sel_Idx,V1325&gt;=Sel_Idx),N(R1325)+ROW()/1000000000,0)</f>
        <v>0</v>
      </c>
      <c r="AC1325" s="40">
        <f>IF(AND($C1325="Despesa",U1325&gt;0,U1325&lt;=Sel_Idx,V1325&gt;=Sel_Idx),Z1325*10000+ROW(),0)</f>
        <v>0</v>
      </c>
      <c r="AD1325" s="40">
        <f>IF(AC1325=0,0,COUNTIFS(L_CalChave,"&gt;0",L_CalChave,"&lt;"&amp;AC1325)+1)</f>
        <v>0</v>
      </c>
    </row>
    <row r="1326">
      <c r="A1326" s="38" t="n"/>
      <c r="B1326" s="39" t="n"/>
      <c r="C1326" s="34" t="n"/>
      <c r="D1326" s="34" t="n"/>
      <c r="E1326" s="34" t="n"/>
      <c r="F1326" s="34" t="n"/>
      <c r="G1326" s="34" t="n"/>
      <c r="H1326" s="37" t="n"/>
      <c r="I1326" s="37" t="n"/>
      <c r="J1326" s="34" t="n"/>
      <c r="K1326" s="34" t="n"/>
      <c r="L1326" s="34" t="n"/>
      <c r="M1326" s="39" t="n"/>
      <c r="N1326" s="35" t="n"/>
      <c r="O1326" s="40" t="str">
        <f>IF($A1326="","",MONTH($A1326))</f>
        <v/>
      </c>
      <c r="P1326" s="40" t="str">
        <f>IF($A1326="","",YEAR($A1326))</f>
        <v/>
      </c>
      <c r="Q1326" s="41" t="str">
        <f>IF($A1326="","",DATE(P1326,O1326,1))</f>
        <v/>
      </c>
      <c r="R1326" s="36" t="str">
        <f>IF(OR($A1326="",$N1326=""),"",IF(AND($C1326&lt;&gt;"Transferência",N($I1326)&gt;1),$N1326/$I1326,$N1326))</f>
        <v/>
      </c>
      <c r="S1326" s="41" t="str">
        <f>IF(OR($A1326="",$F1326="",$C1326&lt;&gt;"Despesa"),"",IF(COUNTIF(Cartoes_Nome,$F1326)=0,"",DATE(P1326,O1326+IF(DAY($A1326)&gt;=INDEX(Cartoes_Fech,MATCH($F1326,Cartoes_Nome,0)),1,0),1)))</f>
        <v/>
      </c>
      <c r="T1326" s="42" t="str">
        <f>IF($A1326="","",IF(COUNTIFS(L_Data,$A1326,L_Desc,$B1326,L_Valor,$N1326,L_Tipo,$C1326)&gt;1,"⚠ Possível duplicidade",IF(OR(AND($C1326="Despesa",COUNTIF(CatD_Nome,$D1326)=0),AND($C1326="Receita",COUNTIF(CatR_Nome,$D1326)=0)),"⚠ Categoria não combina com o tipo",IF(OR($N1326="",$C1326=""),"⚠ Falta valor ou tipo",""))))</f>
        <v/>
      </c>
      <c r="U1326" s="40">
        <f>IF($A1326="",0,P1326*12+O1326)</f>
        <v>0</v>
      </c>
      <c r="V1326" s="40">
        <f>IF($A1326="",0,U1326+MAX(0,N($I1326)-MAX(N($H1326),1)))</f>
        <v>0</v>
      </c>
      <c r="W1326" s="40">
        <f>IF(S1326="",0,YEAR(S1326)*12+MONTH(S1326))</f>
        <v>0</v>
      </c>
      <c r="X1326" s="40">
        <f>IF(W1326=0,0,W1326+V1326-U1326)</f>
        <v>0</v>
      </c>
      <c r="Y1326" s="36">
        <f>IF(W1326=0,0,N(R1326)*MAX(0,X1326-MAX(W1326,YEAR(Cfg_Hoje)*12+MONTH(Cfg_Hoje)+IF(DAY(Cfg_Hoje)&gt;=INDEX(Cartoes_Fech,MATCH($F1326,Cartoes_Nome,0)),1,0))+1))</f>
        <v>0</v>
      </c>
      <c r="Z1326" s="40">
        <f>IF($A1326="",0,DAY($A1326))</f>
        <v>0</v>
      </c>
      <c r="AA1326" s="40">
        <f>IF($A1326="",0,WEEKDAY($A1326))</f>
        <v>0</v>
      </c>
      <c r="AB1326" s="36">
        <f>IF(AND($C1326="Despesa",U1326&gt;0,U1326&lt;=Sel_Idx,V1326&gt;=Sel_Idx),N(R1326)+ROW()/1000000000,0)</f>
        <v>0</v>
      </c>
      <c r="AC1326" s="40">
        <f>IF(AND($C1326="Despesa",U1326&gt;0,U1326&lt;=Sel_Idx,V1326&gt;=Sel_Idx),Z1326*10000+ROW(),0)</f>
        <v>0</v>
      </c>
      <c r="AD1326" s="40">
        <f>IF(AC1326=0,0,COUNTIFS(L_CalChave,"&gt;0",L_CalChave,"&lt;"&amp;AC1326)+1)</f>
        <v>0</v>
      </c>
    </row>
    <row r="1327">
      <c r="A1327" s="38" t="n"/>
      <c r="B1327" s="39" t="n"/>
      <c r="C1327" s="34" t="n"/>
      <c r="D1327" s="34" t="n"/>
      <c r="E1327" s="34" t="n"/>
      <c r="F1327" s="34" t="n"/>
      <c r="G1327" s="34" t="n"/>
      <c r="H1327" s="37" t="n"/>
      <c r="I1327" s="37" t="n"/>
      <c r="J1327" s="34" t="n"/>
      <c r="K1327" s="34" t="n"/>
      <c r="L1327" s="34" t="n"/>
      <c r="M1327" s="39" t="n"/>
      <c r="N1327" s="35" t="n"/>
      <c r="O1327" s="40" t="str">
        <f>IF($A1327="","",MONTH($A1327))</f>
        <v/>
      </c>
      <c r="P1327" s="40" t="str">
        <f>IF($A1327="","",YEAR($A1327))</f>
        <v/>
      </c>
      <c r="Q1327" s="41" t="str">
        <f>IF($A1327="","",DATE(P1327,O1327,1))</f>
        <v/>
      </c>
      <c r="R1327" s="36" t="str">
        <f>IF(OR($A1327="",$N1327=""),"",IF(AND($C1327&lt;&gt;"Transferência",N($I1327)&gt;1),$N1327/$I1327,$N1327))</f>
        <v/>
      </c>
      <c r="S1327" s="41" t="str">
        <f>IF(OR($A1327="",$F1327="",$C1327&lt;&gt;"Despesa"),"",IF(COUNTIF(Cartoes_Nome,$F1327)=0,"",DATE(P1327,O1327+IF(DAY($A1327)&gt;=INDEX(Cartoes_Fech,MATCH($F1327,Cartoes_Nome,0)),1,0),1)))</f>
        <v/>
      </c>
      <c r="T1327" s="42" t="str">
        <f>IF($A1327="","",IF(COUNTIFS(L_Data,$A1327,L_Desc,$B1327,L_Valor,$N1327,L_Tipo,$C1327)&gt;1,"⚠ Possível duplicidade",IF(OR(AND($C1327="Despesa",COUNTIF(CatD_Nome,$D1327)=0),AND($C1327="Receita",COUNTIF(CatR_Nome,$D1327)=0)),"⚠ Categoria não combina com o tipo",IF(OR($N1327="",$C1327=""),"⚠ Falta valor ou tipo",""))))</f>
        <v/>
      </c>
      <c r="U1327" s="40">
        <f>IF($A1327="",0,P1327*12+O1327)</f>
        <v>0</v>
      </c>
      <c r="V1327" s="40">
        <f>IF($A1327="",0,U1327+MAX(0,N($I1327)-MAX(N($H1327),1)))</f>
        <v>0</v>
      </c>
      <c r="W1327" s="40">
        <f>IF(S1327="",0,YEAR(S1327)*12+MONTH(S1327))</f>
        <v>0</v>
      </c>
      <c r="X1327" s="40">
        <f>IF(W1327=0,0,W1327+V1327-U1327)</f>
        <v>0</v>
      </c>
      <c r="Y1327" s="36">
        <f>IF(W1327=0,0,N(R1327)*MAX(0,X1327-MAX(W1327,YEAR(Cfg_Hoje)*12+MONTH(Cfg_Hoje)+IF(DAY(Cfg_Hoje)&gt;=INDEX(Cartoes_Fech,MATCH($F1327,Cartoes_Nome,0)),1,0))+1))</f>
        <v>0</v>
      </c>
      <c r="Z1327" s="40">
        <f>IF($A1327="",0,DAY($A1327))</f>
        <v>0</v>
      </c>
      <c r="AA1327" s="40">
        <f>IF($A1327="",0,WEEKDAY($A1327))</f>
        <v>0</v>
      </c>
      <c r="AB1327" s="36">
        <f>IF(AND($C1327="Despesa",U1327&gt;0,U1327&lt;=Sel_Idx,V1327&gt;=Sel_Idx),N(R1327)+ROW()/1000000000,0)</f>
        <v>0</v>
      </c>
      <c r="AC1327" s="40">
        <f>IF(AND($C1327="Despesa",U1327&gt;0,U1327&lt;=Sel_Idx,V1327&gt;=Sel_Idx),Z1327*10000+ROW(),0)</f>
        <v>0</v>
      </c>
      <c r="AD1327" s="40">
        <f>IF(AC1327=0,0,COUNTIFS(L_CalChave,"&gt;0",L_CalChave,"&lt;"&amp;AC1327)+1)</f>
        <v>0</v>
      </c>
    </row>
    <row r="1328">
      <c r="A1328" s="38" t="n"/>
      <c r="B1328" s="39" t="n"/>
      <c r="C1328" s="34" t="n"/>
      <c r="D1328" s="34" t="n"/>
      <c r="E1328" s="34" t="n"/>
      <c r="F1328" s="34" t="n"/>
      <c r="G1328" s="34" t="n"/>
      <c r="H1328" s="37" t="n"/>
      <c r="I1328" s="37" t="n"/>
      <c r="J1328" s="34" t="n"/>
      <c r="K1328" s="34" t="n"/>
      <c r="L1328" s="34" t="n"/>
      <c r="M1328" s="39" t="n"/>
      <c r="N1328" s="35" t="n"/>
      <c r="O1328" s="40" t="str">
        <f>IF($A1328="","",MONTH($A1328))</f>
        <v/>
      </c>
      <c r="P1328" s="40" t="str">
        <f>IF($A1328="","",YEAR($A1328))</f>
        <v/>
      </c>
      <c r="Q1328" s="41" t="str">
        <f>IF($A1328="","",DATE(P1328,O1328,1))</f>
        <v/>
      </c>
      <c r="R1328" s="36" t="str">
        <f>IF(OR($A1328="",$N1328=""),"",IF(AND($C1328&lt;&gt;"Transferência",N($I1328)&gt;1),$N1328/$I1328,$N1328))</f>
        <v/>
      </c>
      <c r="S1328" s="41" t="str">
        <f>IF(OR($A1328="",$F1328="",$C1328&lt;&gt;"Despesa"),"",IF(COUNTIF(Cartoes_Nome,$F1328)=0,"",DATE(P1328,O1328+IF(DAY($A1328)&gt;=INDEX(Cartoes_Fech,MATCH($F1328,Cartoes_Nome,0)),1,0),1)))</f>
        <v/>
      </c>
      <c r="T1328" s="42" t="str">
        <f>IF($A1328="","",IF(COUNTIFS(L_Data,$A1328,L_Desc,$B1328,L_Valor,$N1328,L_Tipo,$C1328)&gt;1,"⚠ Possível duplicidade",IF(OR(AND($C1328="Despesa",COUNTIF(CatD_Nome,$D1328)=0),AND($C1328="Receita",COUNTIF(CatR_Nome,$D1328)=0)),"⚠ Categoria não combina com o tipo",IF(OR($N1328="",$C1328=""),"⚠ Falta valor ou tipo",""))))</f>
        <v/>
      </c>
      <c r="U1328" s="40">
        <f>IF($A1328="",0,P1328*12+O1328)</f>
        <v>0</v>
      </c>
      <c r="V1328" s="40">
        <f>IF($A1328="",0,U1328+MAX(0,N($I1328)-MAX(N($H1328),1)))</f>
        <v>0</v>
      </c>
      <c r="W1328" s="40">
        <f>IF(S1328="",0,YEAR(S1328)*12+MONTH(S1328))</f>
        <v>0</v>
      </c>
      <c r="X1328" s="40">
        <f>IF(W1328=0,0,W1328+V1328-U1328)</f>
        <v>0</v>
      </c>
      <c r="Y1328" s="36">
        <f>IF(W1328=0,0,N(R1328)*MAX(0,X1328-MAX(W1328,YEAR(Cfg_Hoje)*12+MONTH(Cfg_Hoje)+IF(DAY(Cfg_Hoje)&gt;=INDEX(Cartoes_Fech,MATCH($F1328,Cartoes_Nome,0)),1,0))+1))</f>
        <v>0</v>
      </c>
      <c r="Z1328" s="40">
        <f>IF($A1328="",0,DAY($A1328))</f>
        <v>0</v>
      </c>
      <c r="AA1328" s="40">
        <f>IF($A1328="",0,WEEKDAY($A1328))</f>
        <v>0</v>
      </c>
      <c r="AB1328" s="36">
        <f>IF(AND($C1328="Despesa",U1328&gt;0,U1328&lt;=Sel_Idx,V1328&gt;=Sel_Idx),N(R1328)+ROW()/1000000000,0)</f>
        <v>0</v>
      </c>
      <c r="AC1328" s="40">
        <f>IF(AND($C1328="Despesa",U1328&gt;0,U1328&lt;=Sel_Idx,V1328&gt;=Sel_Idx),Z1328*10000+ROW(),0)</f>
        <v>0</v>
      </c>
      <c r="AD1328" s="40">
        <f>IF(AC1328=0,0,COUNTIFS(L_CalChave,"&gt;0",L_CalChave,"&lt;"&amp;AC1328)+1)</f>
        <v>0</v>
      </c>
    </row>
    <row r="1329">
      <c r="A1329" s="38" t="n"/>
      <c r="B1329" s="39" t="n"/>
      <c r="C1329" s="34" t="n"/>
      <c r="D1329" s="34" t="n"/>
      <c r="E1329" s="34" t="n"/>
      <c r="F1329" s="34" t="n"/>
      <c r="G1329" s="34" t="n"/>
      <c r="H1329" s="37" t="n"/>
      <c r="I1329" s="37" t="n"/>
      <c r="J1329" s="34" t="n"/>
      <c r="K1329" s="34" t="n"/>
      <c r="L1329" s="34" t="n"/>
      <c r="M1329" s="39" t="n"/>
      <c r="N1329" s="35" t="n"/>
      <c r="O1329" s="40" t="str">
        <f>IF($A1329="","",MONTH($A1329))</f>
        <v/>
      </c>
      <c r="P1329" s="40" t="str">
        <f>IF($A1329="","",YEAR($A1329))</f>
        <v/>
      </c>
      <c r="Q1329" s="41" t="str">
        <f>IF($A1329="","",DATE(P1329,O1329,1))</f>
        <v/>
      </c>
      <c r="R1329" s="36" t="str">
        <f>IF(OR($A1329="",$N1329=""),"",IF(AND($C1329&lt;&gt;"Transferência",N($I1329)&gt;1),$N1329/$I1329,$N1329))</f>
        <v/>
      </c>
      <c r="S1329" s="41" t="str">
        <f>IF(OR($A1329="",$F1329="",$C1329&lt;&gt;"Despesa"),"",IF(COUNTIF(Cartoes_Nome,$F1329)=0,"",DATE(P1329,O1329+IF(DAY($A1329)&gt;=INDEX(Cartoes_Fech,MATCH($F1329,Cartoes_Nome,0)),1,0),1)))</f>
        <v/>
      </c>
      <c r="T1329" s="42" t="str">
        <f>IF($A1329="","",IF(COUNTIFS(L_Data,$A1329,L_Desc,$B1329,L_Valor,$N1329,L_Tipo,$C1329)&gt;1,"⚠ Possível duplicidade",IF(OR(AND($C1329="Despesa",COUNTIF(CatD_Nome,$D1329)=0),AND($C1329="Receita",COUNTIF(CatR_Nome,$D1329)=0)),"⚠ Categoria não combina com o tipo",IF(OR($N1329="",$C1329=""),"⚠ Falta valor ou tipo",""))))</f>
        <v/>
      </c>
      <c r="U1329" s="40">
        <f>IF($A1329="",0,P1329*12+O1329)</f>
        <v>0</v>
      </c>
      <c r="V1329" s="40">
        <f>IF($A1329="",0,U1329+MAX(0,N($I1329)-MAX(N($H1329),1)))</f>
        <v>0</v>
      </c>
      <c r="W1329" s="40">
        <f>IF(S1329="",0,YEAR(S1329)*12+MONTH(S1329))</f>
        <v>0</v>
      </c>
      <c r="X1329" s="40">
        <f>IF(W1329=0,0,W1329+V1329-U1329)</f>
        <v>0</v>
      </c>
      <c r="Y1329" s="36">
        <f>IF(W1329=0,0,N(R1329)*MAX(0,X1329-MAX(W1329,YEAR(Cfg_Hoje)*12+MONTH(Cfg_Hoje)+IF(DAY(Cfg_Hoje)&gt;=INDEX(Cartoes_Fech,MATCH($F1329,Cartoes_Nome,0)),1,0))+1))</f>
        <v>0</v>
      </c>
      <c r="Z1329" s="40">
        <f>IF($A1329="",0,DAY($A1329))</f>
        <v>0</v>
      </c>
      <c r="AA1329" s="40">
        <f>IF($A1329="",0,WEEKDAY($A1329))</f>
        <v>0</v>
      </c>
      <c r="AB1329" s="36">
        <f>IF(AND($C1329="Despesa",U1329&gt;0,U1329&lt;=Sel_Idx,V1329&gt;=Sel_Idx),N(R1329)+ROW()/1000000000,0)</f>
        <v>0</v>
      </c>
      <c r="AC1329" s="40">
        <f>IF(AND($C1329="Despesa",U1329&gt;0,U1329&lt;=Sel_Idx,V1329&gt;=Sel_Idx),Z1329*10000+ROW(),0)</f>
        <v>0</v>
      </c>
      <c r="AD1329" s="40">
        <f>IF(AC1329=0,0,COUNTIFS(L_CalChave,"&gt;0",L_CalChave,"&lt;"&amp;AC1329)+1)</f>
        <v>0</v>
      </c>
    </row>
    <row r="1330">
      <c r="A1330" s="38" t="n"/>
      <c r="B1330" s="39" t="n"/>
      <c r="C1330" s="34" t="n"/>
      <c r="D1330" s="34" t="n"/>
      <c r="E1330" s="34" t="n"/>
      <c r="F1330" s="34" t="n"/>
      <c r="G1330" s="34" t="n"/>
      <c r="H1330" s="37" t="n"/>
      <c r="I1330" s="37" t="n"/>
      <c r="J1330" s="34" t="n"/>
      <c r="K1330" s="34" t="n"/>
      <c r="L1330" s="34" t="n"/>
      <c r="M1330" s="39" t="n"/>
      <c r="N1330" s="35" t="n"/>
      <c r="O1330" s="40" t="str">
        <f>IF($A1330="","",MONTH($A1330))</f>
        <v/>
      </c>
      <c r="P1330" s="40" t="str">
        <f>IF($A1330="","",YEAR($A1330))</f>
        <v/>
      </c>
      <c r="Q1330" s="41" t="str">
        <f>IF($A1330="","",DATE(P1330,O1330,1))</f>
        <v/>
      </c>
      <c r="R1330" s="36" t="str">
        <f>IF(OR($A1330="",$N1330=""),"",IF(AND($C1330&lt;&gt;"Transferência",N($I1330)&gt;1),$N1330/$I1330,$N1330))</f>
        <v/>
      </c>
      <c r="S1330" s="41" t="str">
        <f>IF(OR($A1330="",$F1330="",$C1330&lt;&gt;"Despesa"),"",IF(COUNTIF(Cartoes_Nome,$F1330)=0,"",DATE(P1330,O1330+IF(DAY($A1330)&gt;=INDEX(Cartoes_Fech,MATCH($F1330,Cartoes_Nome,0)),1,0),1)))</f>
        <v/>
      </c>
      <c r="T1330" s="42" t="str">
        <f>IF($A1330="","",IF(COUNTIFS(L_Data,$A1330,L_Desc,$B1330,L_Valor,$N1330,L_Tipo,$C1330)&gt;1,"⚠ Possível duplicidade",IF(OR(AND($C1330="Despesa",COUNTIF(CatD_Nome,$D1330)=0),AND($C1330="Receita",COUNTIF(CatR_Nome,$D1330)=0)),"⚠ Categoria não combina com o tipo",IF(OR($N1330="",$C1330=""),"⚠ Falta valor ou tipo",""))))</f>
        <v/>
      </c>
      <c r="U1330" s="40">
        <f>IF($A1330="",0,P1330*12+O1330)</f>
        <v>0</v>
      </c>
      <c r="V1330" s="40">
        <f>IF($A1330="",0,U1330+MAX(0,N($I1330)-MAX(N($H1330),1)))</f>
        <v>0</v>
      </c>
      <c r="W1330" s="40">
        <f>IF(S1330="",0,YEAR(S1330)*12+MONTH(S1330))</f>
        <v>0</v>
      </c>
      <c r="X1330" s="40">
        <f>IF(W1330=0,0,W1330+V1330-U1330)</f>
        <v>0</v>
      </c>
      <c r="Y1330" s="36">
        <f>IF(W1330=0,0,N(R1330)*MAX(0,X1330-MAX(W1330,YEAR(Cfg_Hoje)*12+MONTH(Cfg_Hoje)+IF(DAY(Cfg_Hoje)&gt;=INDEX(Cartoes_Fech,MATCH($F1330,Cartoes_Nome,0)),1,0))+1))</f>
        <v>0</v>
      </c>
      <c r="Z1330" s="40">
        <f>IF($A1330="",0,DAY($A1330))</f>
        <v>0</v>
      </c>
      <c r="AA1330" s="40">
        <f>IF($A1330="",0,WEEKDAY($A1330))</f>
        <v>0</v>
      </c>
      <c r="AB1330" s="36">
        <f>IF(AND($C1330="Despesa",U1330&gt;0,U1330&lt;=Sel_Idx,V1330&gt;=Sel_Idx),N(R1330)+ROW()/1000000000,0)</f>
        <v>0</v>
      </c>
      <c r="AC1330" s="40">
        <f>IF(AND($C1330="Despesa",U1330&gt;0,U1330&lt;=Sel_Idx,V1330&gt;=Sel_Idx),Z1330*10000+ROW(),0)</f>
        <v>0</v>
      </c>
      <c r="AD1330" s="40">
        <f>IF(AC1330=0,0,COUNTIFS(L_CalChave,"&gt;0",L_CalChave,"&lt;"&amp;AC1330)+1)</f>
        <v>0</v>
      </c>
    </row>
    <row r="1331">
      <c r="A1331" s="38" t="n"/>
      <c r="B1331" s="39" t="n"/>
      <c r="C1331" s="34" t="n"/>
      <c r="D1331" s="34" t="n"/>
      <c r="E1331" s="34" t="n"/>
      <c r="F1331" s="34" t="n"/>
      <c r="G1331" s="34" t="n"/>
      <c r="H1331" s="37" t="n"/>
      <c r="I1331" s="37" t="n"/>
      <c r="J1331" s="34" t="n"/>
      <c r="K1331" s="34" t="n"/>
      <c r="L1331" s="34" t="n"/>
      <c r="M1331" s="39" t="n"/>
      <c r="N1331" s="35" t="n"/>
      <c r="O1331" s="40" t="str">
        <f>IF($A1331="","",MONTH($A1331))</f>
        <v/>
      </c>
      <c r="P1331" s="40" t="str">
        <f>IF($A1331="","",YEAR($A1331))</f>
        <v/>
      </c>
      <c r="Q1331" s="41" t="str">
        <f>IF($A1331="","",DATE(P1331,O1331,1))</f>
        <v/>
      </c>
      <c r="R1331" s="36" t="str">
        <f>IF(OR($A1331="",$N1331=""),"",IF(AND($C1331&lt;&gt;"Transferência",N($I1331)&gt;1),$N1331/$I1331,$N1331))</f>
        <v/>
      </c>
      <c r="S1331" s="41" t="str">
        <f>IF(OR($A1331="",$F1331="",$C1331&lt;&gt;"Despesa"),"",IF(COUNTIF(Cartoes_Nome,$F1331)=0,"",DATE(P1331,O1331+IF(DAY($A1331)&gt;=INDEX(Cartoes_Fech,MATCH($F1331,Cartoes_Nome,0)),1,0),1)))</f>
        <v/>
      </c>
      <c r="T1331" s="42" t="str">
        <f>IF($A1331="","",IF(COUNTIFS(L_Data,$A1331,L_Desc,$B1331,L_Valor,$N1331,L_Tipo,$C1331)&gt;1,"⚠ Possível duplicidade",IF(OR(AND($C1331="Despesa",COUNTIF(CatD_Nome,$D1331)=0),AND($C1331="Receita",COUNTIF(CatR_Nome,$D1331)=0)),"⚠ Categoria não combina com o tipo",IF(OR($N1331="",$C1331=""),"⚠ Falta valor ou tipo",""))))</f>
        <v/>
      </c>
      <c r="U1331" s="40">
        <f>IF($A1331="",0,P1331*12+O1331)</f>
        <v>0</v>
      </c>
      <c r="V1331" s="40">
        <f>IF($A1331="",0,U1331+MAX(0,N($I1331)-MAX(N($H1331),1)))</f>
        <v>0</v>
      </c>
      <c r="W1331" s="40">
        <f>IF(S1331="",0,YEAR(S1331)*12+MONTH(S1331))</f>
        <v>0</v>
      </c>
      <c r="X1331" s="40">
        <f>IF(W1331=0,0,W1331+V1331-U1331)</f>
        <v>0</v>
      </c>
      <c r="Y1331" s="36">
        <f>IF(W1331=0,0,N(R1331)*MAX(0,X1331-MAX(W1331,YEAR(Cfg_Hoje)*12+MONTH(Cfg_Hoje)+IF(DAY(Cfg_Hoje)&gt;=INDEX(Cartoes_Fech,MATCH($F1331,Cartoes_Nome,0)),1,0))+1))</f>
        <v>0</v>
      </c>
      <c r="Z1331" s="40">
        <f>IF($A1331="",0,DAY($A1331))</f>
        <v>0</v>
      </c>
      <c r="AA1331" s="40">
        <f>IF($A1331="",0,WEEKDAY($A1331))</f>
        <v>0</v>
      </c>
      <c r="AB1331" s="36">
        <f>IF(AND($C1331="Despesa",U1331&gt;0,U1331&lt;=Sel_Idx,V1331&gt;=Sel_Idx),N(R1331)+ROW()/1000000000,0)</f>
        <v>0</v>
      </c>
      <c r="AC1331" s="40">
        <f>IF(AND($C1331="Despesa",U1331&gt;0,U1331&lt;=Sel_Idx,V1331&gt;=Sel_Idx),Z1331*10000+ROW(),0)</f>
        <v>0</v>
      </c>
      <c r="AD1331" s="40">
        <f>IF(AC1331=0,0,COUNTIFS(L_CalChave,"&gt;0",L_CalChave,"&lt;"&amp;AC1331)+1)</f>
        <v>0</v>
      </c>
    </row>
    <row r="1332">
      <c r="A1332" s="38" t="n"/>
      <c r="B1332" s="39" t="n"/>
      <c r="C1332" s="34" t="n"/>
      <c r="D1332" s="34" t="n"/>
      <c r="E1332" s="34" t="n"/>
      <c r="F1332" s="34" t="n"/>
      <c r="G1332" s="34" t="n"/>
      <c r="H1332" s="37" t="n"/>
      <c r="I1332" s="37" t="n"/>
      <c r="J1332" s="34" t="n"/>
      <c r="K1332" s="34" t="n"/>
      <c r="L1332" s="34" t="n"/>
      <c r="M1332" s="39" t="n"/>
      <c r="N1332" s="35" t="n"/>
      <c r="O1332" s="40" t="str">
        <f>IF($A1332="","",MONTH($A1332))</f>
        <v/>
      </c>
      <c r="P1332" s="40" t="str">
        <f>IF($A1332="","",YEAR($A1332))</f>
        <v/>
      </c>
      <c r="Q1332" s="41" t="str">
        <f>IF($A1332="","",DATE(P1332,O1332,1))</f>
        <v/>
      </c>
      <c r="R1332" s="36" t="str">
        <f>IF(OR($A1332="",$N1332=""),"",IF(AND($C1332&lt;&gt;"Transferência",N($I1332)&gt;1),$N1332/$I1332,$N1332))</f>
        <v/>
      </c>
      <c r="S1332" s="41" t="str">
        <f>IF(OR($A1332="",$F1332="",$C1332&lt;&gt;"Despesa"),"",IF(COUNTIF(Cartoes_Nome,$F1332)=0,"",DATE(P1332,O1332+IF(DAY($A1332)&gt;=INDEX(Cartoes_Fech,MATCH($F1332,Cartoes_Nome,0)),1,0),1)))</f>
        <v/>
      </c>
      <c r="T1332" s="42" t="str">
        <f>IF($A1332="","",IF(COUNTIFS(L_Data,$A1332,L_Desc,$B1332,L_Valor,$N1332,L_Tipo,$C1332)&gt;1,"⚠ Possível duplicidade",IF(OR(AND($C1332="Despesa",COUNTIF(CatD_Nome,$D1332)=0),AND($C1332="Receita",COUNTIF(CatR_Nome,$D1332)=0)),"⚠ Categoria não combina com o tipo",IF(OR($N1332="",$C1332=""),"⚠ Falta valor ou tipo",""))))</f>
        <v/>
      </c>
      <c r="U1332" s="40">
        <f>IF($A1332="",0,P1332*12+O1332)</f>
        <v>0</v>
      </c>
      <c r="V1332" s="40">
        <f>IF($A1332="",0,U1332+MAX(0,N($I1332)-MAX(N($H1332),1)))</f>
        <v>0</v>
      </c>
      <c r="W1332" s="40">
        <f>IF(S1332="",0,YEAR(S1332)*12+MONTH(S1332))</f>
        <v>0</v>
      </c>
      <c r="X1332" s="40">
        <f>IF(W1332=0,0,W1332+V1332-U1332)</f>
        <v>0</v>
      </c>
      <c r="Y1332" s="36">
        <f>IF(W1332=0,0,N(R1332)*MAX(0,X1332-MAX(W1332,YEAR(Cfg_Hoje)*12+MONTH(Cfg_Hoje)+IF(DAY(Cfg_Hoje)&gt;=INDEX(Cartoes_Fech,MATCH($F1332,Cartoes_Nome,0)),1,0))+1))</f>
        <v>0</v>
      </c>
      <c r="Z1332" s="40">
        <f>IF($A1332="",0,DAY($A1332))</f>
        <v>0</v>
      </c>
      <c r="AA1332" s="40">
        <f>IF($A1332="",0,WEEKDAY($A1332))</f>
        <v>0</v>
      </c>
      <c r="AB1332" s="36">
        <f>IF(AND($C1332="Despesa",U1332&gt;0,U1332&lt;=Sel_Idx,V1332&gt;=Sel_Idx),N(R1332)+ROW()/1000000000,0)</f>
        <v>0</v>
      </c>
      <c r="AC1332" s="40">
        <f>IF(AND($C1332="Despesa",U1332&gt;0,U1332&lt;=Sel_Idx,V1332&gt;=Sel_Idx),Z1332*10000+ROW(),0)</f>
        <v>0</v>
      </c>
      <c r="AD1332" s="40">
        <f>IF(AC1332=0,0,COUNTIFS(L_CalChave,"&gt;0",L_CalChave,"&lt;"&amp;AC1332)+1)</f>
        <v>0</v>
      </c>
    </row>
    <row r="1333">
      <c r="A1333" s="38" t="n"/>
      <c r="B1333" s="39" t="n"/>
      <c r="C1333" s="34" t="n"/>
      <c r="D1333" s="34" t="n"/>
      <c r="E1333" s="34" t="n"/>
      <c r="F1333" s="34" t="n"/>
      <c r="G1333" s="34" t="n"/>
      <c r="H1333" s="37" t="n"/>
      <c r="I1333" s="37" t="n"/>
      <c r="J1333" s="34" t="n"/>
      <c r="K1333" s="34" t="n"/>
      <c r="L1333" s="34" t="n"/>
      <c r="M1333" s="39" t="n"/>
      <c r="N1333" s="35" t="n"/>
      <c r="O1333" s="40" t="str">
        <f>IF($A1333="","",MONTH($A1333))</f>
        <v/>
      </c>
      <c r="P1333" s="40" t="str">
        <f>IF($A1333="","",YEAR($A1333))</f>
        <v/>
      </c>
      <c r="Q1333" s="41" t="str">
        <f>IF($A1333="","",DATE(P1333,O1333,1))</f>
        <v/>
      </c>
      <c r="R1333" s="36" t="str">
        <f>IF(OR($A1333="",$N1333=""),"",IF(AND($C1333&lt;&gt;"Transferência",N($I1333)&gt;1),$N1333/$I1333,$N1333))</f>
        <v/>
      </c>
      <c r="S1333" s="41" t="str">
        <f>IF(OR($A1333="",$F1333="",$C1333&lt;&gt;"Despesa"),"",IF(COUNTIF(Cartoes_Nome,$F1333)=0,"",DATE(P1333,O1333+IF(DAY($A1333)&gt;=INDEX(Cartoes_Fech,MATCH($F1333,Cartoes_Nome,0)),1,0),1)))</f>
        <v/>
      </c>
      <c r="T1333" s="42" t="str">
        <f>IF($A1333="","",IF(COUNTIFS(L_Data,$A1333,L_Desc,$B1333,L_Valor,$N1333,L_Tipo,$C1333)&gt;1,"⚠ Possível duplicidade",IF(OR(AND($C1333="Despesa",COUNTIF(CatD_Nome,$D1333)=0),AND($C1333="Receita",COUNTIF(CatR_Nome,$D1333)=0)),"⚠ Categoria não combina com o tipo",IF(OR($N1333="",$C1333=""),"⚠ Falta valor ou tipo",""))))</f>
        <v/>
      </c>
      <c r="U1333" s="40">
        <f>IF($A1333="",0,P1333*12+O1333)</f>
        <v>0</v>
      </c>
      <c r="V1333" s="40">
        <f>IF($A1333="",0,U1333+MAX(0,N($I1333)-MAX(N($H1333),1)))</f>
        <v>0</v>
      </c>
      <c r="W1333" s="40">
        <f>IF(S1333="",0,YEAR(S1333)*12+MONTH(S1333))</f>
        <v>0</v>
      </c>
      <c r="X1333" s="40">
        <f>IF(W1333=0,0,W1333+V1333-U1333)</f>
        <v>0</v>
      </c>
      <c r="Y1333" s="36">
        <f>IF(W1333=0,0,N(R1333)*MAX(0,X1333-MAX(W1333,YEAR(Cfg_Hoje)*12+MONTH(Cfg_Hoje)+IF(DAY(Cfg_Hoje)&gt;=INDEX(Cartoes_Fech,MATCH($F1333,Cartoes_Nome,0)),1,0))+1))</f>
        <v>0</v>
      </c>
      <c r="Z1333" s="40">
        <f>IF($A1333="",0,DAY($A1333))</f>
        <v>0</v>
      </c>
      <c r="AA1333" s="40">
        <f>IF($A1333="",0,WEEKDAY($A1333))</f>
        <v>0</v>
      </c>
      <c r="AB1333" s="36">
        <f>IF(AND($C1333="Despesa",U1333&gt;0,U1333&lt;=Sel_Idx,V1333&gt;=Sel_Idx),N(R1333)+ROW()/1000000000,0)</f>
        <v>0</v>
      </c>
      <c r="AC1333" s="40">
        <f>IF(AND($C1333="Despesa",U1333&gt;0,U1333&lt;=Sel_Idx,V1333&gt;=Sel_Idx),Z1333*10000+ROW(),0)</f>
        <v>0</v>
      </c>
      <c r="AD1333" s="40">
        <f>IF(AC1333=0,0,COUNTIFS(L_CalChave,"&gt;0",L_CalChave,"&lt;"&amp;AC1333)+1)</f>
        <v>0</v>
      </c>
    </row>
    <row r="1334">
      <c r="A1334" s="38" t="n"/>
      <c r="B1334" s="39" t="n"/>
      <c r="C1334" s="34" t="n"/>
      <c r="D1334" s="34" t="n"/>
      <c r="E1334" s="34" t="n"/>
      <c r="F1334" s="34" t="n"/>
      <c r="G1334" s="34" t="n"/>
      <c r="H1334" s="37" t="n"/>
      <c r="I1334" s="37" t="n"/>
      <c r="J1334" s="34" t="n"/>
      <c r="K1334" s="34" t="n"/>
      <c r="L1334" s="34" t="n"/>
      <c r="M1334" s="39" t="n"/>
      <c r="N1334" s="35" t="n"/>
      <c r="O1334" s="40" t="str">
        <f>IF($A1334="","",MONTH($A1334))</f>
        <v/>
      </c>
      <c r="P1334" s="40" t="str">
        <f>IF($A1334="","",YEAR($A1334))</f>
        <v/>
      </c>
      <c r="Q1334" s="41" t="str">
        <f>IF($A1334="","",DATE(P1334,O1334,1))</f>
        <v/>
      </c>
      <c r="R1334" s="36" t="str">
        <f>IF(OR($A1334="",$N1334=""),"",IF(AND($C1334&lt;&gt;"Transferência",N($I1334)&gt;1),$N1334/$I1334,$N1334))</f>
        <v/>
      </c>
      <c r="S1334" s="41" t="str">
        <f>IF(OR($A1334="",$F1334="",$C1334&lt;&gt;"Despesa"),"",IF(COUNTIF(Cartoes_Nome,$F1334)=0,"",DATE(P1334,O1334+IF(DAY($A1334)&gt;=INDEX(Cartoes_Fech,MATCH($F1334,Cartoes_Nome,0)),1,0),1)))</f>
        <v/>
      </c>
      <c r="T1334" s="42" t="str">
        <f>IF($A1334="","",IF(COUNTIFS(L_Data,$A1334,L_Desc,$B1334,L_Valor,$N1334,L_Tipo,$C1334)&gt;1,"⚠ Possível duplicidade",IF(OR(AND($C1334="Despesa",COUNTIF(CatD_Nome,$D1334)=0),AND($C1334="Receita",COUNTIF(CatR_Nome,$D1334)=0)),"⚠ Categoria não combina com o tipo",IF(OR($N1334="",$C1334=""),"⚠ Falta valor ou tipo",""))))</f>
        <v/>
      </c>
      <c r="U1334" s="40">
        <f>IF($A1334="",0,P1334*12+O1334)</f>
        <v>0</v>
      </c>
      <c r="V1334" s="40">
        <f>IF($A1334="",0,U1334+MAX(0,N($I1334)-MAX(N($H1334),1)))</f>
        <v>0</v>
      </c>
      <c r="W1334" s="40">
        <f>IF(S1334="",0,YEAR(S1334)*12+MONTH(S1334))</f>
        <v>0</v>
      </c>
      <c r="X1334" s="40">
        <f>IF(W1334=0,0,W1334+V1334-U1334)</f>
        <v>0</v>
      </c>
      <c r="Y1334" s="36">
        <f>IF(W1334=0,0,N(R1334)*MAX(0,X1334-MAX(W1334,YEAR(Cfg_Hoje)*12+MONTH(Cfg_Hoje)+IF(DAY(Cfg_Hoje)&gt;=INDEX(Cartoes_Fech,MATCH($F1334,Cartoes_Nome,0)),1,0))+1))</f>
        <v>0</v>
      </c>
      <c r="Z1334" s="40">
        <f>IF($A1334="",0,DAY($A1334))</f>
        <v>0</v>
      </c>
      <c r="AA1334" s="40">
        <f>IF($A1334="",0,WEEKDAY($A1334))</f>
        <v>0</v>
      </c>
      <c r="AB1334" s="36">
        <f>IF(AND($C1334="Despesa",U1334&gt;0,U1334&lt;=Sel_Idx,V1334&gt;=Sel_Idx),N(R1334)+ROW()/1000000000,0)</f>
        <v>0</v>
      </c>
      <c r="AC1334" s="40">
        <f>IF(AND($C1334="Despesa",U1334&gt;0,U1334&lt;=Sel_Idx,V1334&gt;=Sel_Idx),Z1334*10000+ROW(),0)</f>
        <v>0</v>
      </c>
      <c r="AD1334" s="40">
        <f>IF(AC1334=0,0,COUNTIFS(L_CalChave,"&gt;0",L_CalChave,"&lt;"&amp;AC1334)+1)</f>
        <v>0</v>
      </c>
    </row>
    <row r="1335">
      <c r="A1335" s="38" t="n"/>
      <c r="B1335" s="39" t="n"/>
      <c r="C1335" s="34" t="n"/>
      <c r="D1335" s="34" t="n"/>
      <c r="E1335" s="34" t="n"/>
      <c r="F1335" s="34" t="n"/>
      <c r="G1335" s="34" t="n"/>
      <c r="H1335" s="37" t="n"/>
      <c r="I1335" s="37" t="n"/>
      <c r="J1335" s="34" t="n"/>
      <c r="K1335" s="34" t="n"/>
      <c r="L1335" s="34" t="n"/>
      <c r="M1335" s="39" t="n"/>
      <c r="N1335" s="35" t="n"/>
      <c r="O1335" s="40" t="str">
        <f>IF($A1335="","",MONTH($A1335))</f>
        <v/>
      </c>
      <c r="P1335" s="40" t="str">
        <f>IF($A1335="","",YEAR($A1335))</f>
        <v/>
      </c>
      <c r="Q1335" s="41" t="str">
        <f>IF($A1335="","",DATE(P1335,O1335,1))</f>
        <v/>
      </c>
      <c r="R1335" s="36" t="str">
        <f>IF(OR($A1335="",$N1335=""),"",IF(AND($C1335&lt;&gt;"Transferência",N($I1335)&gt;1),$N1335/$I1335,$N1335))</f>
        <v/>
      </c>
      <c r="S1335" s="41" t="str">
        <f>IF(OR($A1335="",$F1335="",$C1335&lt;&gt;"Despesa"),"",IF(COUNTIF(Cartoes_Nome,$F1335)=0,"",DATE(P1335,O1335+IF(DAY($A1335)&gt;=INDEX(Cartoes_Fech,MATCH($F1335,Cartoes_Nome,0)),1,0),1)))</f>
        <v/>
      </c>
      <c r="T1335" s="42" t="str">
        <f>IF($A1335="","",IF(COUNTIFS(L_Data,$A1335,L_Desc,$B1335,L_Valor,$N1335,L_Tipo,$C1335)&gt;1,"⚠ Possível duplicidade",IF(OR(AND($C1335="Despesa",COUNTIF(CatD_Nome,$D1335)=0),AND($C1335="Receita",COUNTIF(CatR_Nome,$D1335)=0)),"⚠ Categoria não combina com o tipo",IF(OR($N1335="",$C1335=""),"⚠ Falta valor ou tipo",""))))</f>
        <v/>
      </c>
      <c r="U1335" s="40">
        <f>IF($A1335="",0,P1335*12+O1335)</f>
        <v>0</v>
      </c>
      <c r="V1335" s="40">
        <f>IF($A1335="",0,U1335+MAX(0,N($I1335)-MAX(N($H1335),1)))</f>
        <v>0</v>
      </c>
      <c r="W1335" s="40">
        <f>IF(S1335="",0,YEAR(S1335)*12+MONTH(S1335))</f>
        <v>0</v>
      </c>
      <c r="X1335" s="40">
        <f>IF(W1335=0,0,W1335+V1335-U1335)</f>
        <v>0</v>
      </c>
      <c r="Y1335" s="36">
        <f>IF(W1335=0,0,N(R1335)*MAX(0,X1335-MAX(W1335,YEAR(Cfg_Hoje)*12+MONTH(Cfg_Hoje)+IF(DAY(Cfg_Hoje)&gt;=INDEX(Cartoes_Fech,MATCH($F1335,Cartoes_Nome,0)),1,0))+1))</f>
        <v>0</v>
      </c>
      <c r="Z1335" s="40">
        <f>IF($A1335="",0,DAY($A1335))</f>
        <v>0</v>
      </c>
      <c r="AA1335" s="40">
        <f>IF($A1335="",0,WEEKDAY($A1335))</f>
        <v>0</v>
      </c>
      <c r="AB1335" s="36">
        <f>IF(AND($C1335="Despesa",U1335&gt;0,U1335&lt;=Sel_Idx,V1335&gt;=Sel_Idx),N(R1335)+ROW()/1000000000,0)</f>
        <v>0</v>
      </c>
      <c r="AC1335" s="40">
        <f>IF(AND($C1335="Despesa",U1335&gt;0,U1335&lt;=Sel_Idx,V1335&gt;=Sel_Idx),Z1335*10000+ROW(),0)</f>
        <v>0</v>
      </c>
      <c r="AD1335" s="40">
        <f>IF(AC1335=0,0,COUNTIFS(L_CalChave,"&gt;0",L_CalChave,"&lt;"&amp;AC1335)+1)</f>
        <v>0</v>
      </c>
    </row>
    <row r="1336">
      <c r="A1336" s="38" t="n"/>
      <c r="B1336" s="39" t="n"/>
      <c r="C1336" s="34" t="n"/>
      <c r="D1336" s="34" t="n"/>
      <c r="E1336" s="34" t="n"/>
      <c r="F1336" s="34" t="n"/>
      <c r="G1336" s="34" t="n"/>
      <c r="H1336" s="37" t="n"/>
      <c r="I1336" s="37" t="n"/>
      <c r="J1336" s="34" t="n"/>
      <c r="K1336" s="34" t="n"/>
      <c r="L1336" s="34" t="n"/>
      <c r="M1336" s="39" t="n"/>
      <c r="N1336" s="35" t="n"/>
      <c r="O1336" s="40" t="str">
        <f>IF($A1336="","",MONTH($A1336))</f>
        <v/>
      </c>
      <c r="P1336" s="40" t="str">
        <f>IF($A1336="","",YEAR($A1336))</f>
        <v/>
      </c>
      <c r="Q1336" s="41" t="str">
        <f>IF($A1336="","",DATE(P1336,O1336,1))</f>
        <v/>
      </c>
      <c r="R1336" s="36" t="str">
        <f>IF(OR($A1336="",$N1336=""),"",IF(AND($C1336&lt;&gt;"Transferência",N($I1336)&gt;1),$N1336/$I1336,$N1336))</f>
        <v/>
      </c>
      <c r="S1336" s="41" t="str">
        <f>IF(OR($A1336="",$F1336="",$C1336&lt;&gt;"Despesa"),"",IF(COUNTIF(Cartoes_Nome,$F1336)=0,"",DATE(P1336,O1336+IF(DAY($A1336)&gt;=INDEX(Cartoes_Fech,MATCH($F1336,Cartoes_Nome,0)),1,0),1)))</f>
        <v/>
      </c>
      <c r="T1336" s="42" t="str">
        <f>IF($A1336="","",IF(COUNTIFS(L_Data,$A1336,L_Desc,$B1336,L_Valor,$N1336,L_Tipo,$C1336)&gt;1,"⚠ Possível duplicidade",IF(OR(AND($C1336="Despesa",COUNTIF(CatD_Nome,$D1336)=0),AND($C1336="Receita",COUNTIF(CatR_Nome,$D1336)=0)),"⚠ Categoria não combina com o tipo",IF(OR($N1336="",$C1336=""),"⚠ Falta valor ou tipo",""))))</f>
        <v/>
      </c>
      <c r="U1336" s="40">
        <f>IF($A1336="",0,P1336*12+O1336)</f>
        <v>0</v>
      </c>
      <c r="V1336" s="40">
        <f>IF($A1336="",0,U1336+MAX(0,N($I1336)-MAX(N($H1336),1)))</f>
        <v>0</v>
      </c>
      <c r="W1336" s="40">
        <f>IF(S1336="",0,YEAR(S1336)*12+MONTH(S1336))</f>
        <v>0</v>
      </c>
      <c r="X1336" s="40">
        <f>IF(W1336=0,0,W1336+V1336-U1336)</f>
        <v>0</v>
      </c>
      <c r="Y1336" s="36">
        <f>IF(W1336=0,0,N(R1336)*MAX(0,X1336-MAX(W1336,YEAR(Cfg_Hoje)*12+MONTH(Cfg_Hoje)+IF(DAY(Cfg_Hoje)&gt;=INDEX(Cartoes_Fech,MATCH($F1336,Cartoes_Nome,0)),1,0))+1))</f>
        <v>0</v>
      </c>
      <c r="Z1336" s="40">
        <f>IF($A1336="",0,DAY($A1336))</f>
        <v>0</v>
      </c>
      <c r="AA1336" s="40">
        <f>IF($A1336="",0,WEEKDAY($A1336))</f>
        <v>0</v>
      </c>
      <c r="AB1336" s="36">
        <f>IF(AND($C1336="Despesa",U1336&gt;0,U1336&lt;=Sel_Idx,V1336&gt;=Sel_Idx),N(R1336)+ROW()/1000000000,0)</f>
        <v>0</v>
      </c>
      <c r="AC1336" s="40">
        <f>IF(AND($C1336="Despesa",U1336&gt;0,U1336&lt;=Sel_Idx,V1336&gt;=Sel_Idx),Z1336*10000+ROW(),0)</f>
        <v>0</v>
      </c>
      <c r="AD1336" s="40">
        <f>IF(AC1336=0,0,COUNTIFS(L_CalChave,"&gt;0",L_CalChave,"&lt;"&amp;AC1336)+1)</f>
        <v>0</v>
      </c>
    </row>
    <row r="1337">
      <c r="A1337" s="38" t="n"/>
      <c r="B1337" s="39" t="n"/>
      <c r="C1337" s="34" t="n"/>
      <c r="D1337" s="34" t="n"/>
      <c r="E1337" s="34" t="n"/>
      <c r="F1337" s="34" t="n"/>
      <c r="G1337" s="34" t="n"/>
      <c r="H1337" s="37" t="n"/>
      <c r="I1337" s="37" t="n"/>
      <c r="J1337" s="34" t="n"/>
      <c r="K1337" s="34" t="n"/>
      <c r="L1337" s="34" t="n"/>
      <c r="M1337" s="39" t="n"/>
      <c r="N1337" s="35" t="n"/>
      <c r="O1337" s="40" t="str">
        <f>IF($A1337="","",MONTH($A1337))</f>
        <v/>
      </c>
      <c r="P1337" s="40" t="str">
        <f>IF($A1337="","",YEAR($A1337))</f>
        <v/>
      </c>
      <c r="Q1337" s="41" t="str">
        <f>IF($A1337="","",DATE(P1337,O1337,1))</f>
        <v/>
      </c>
      <c r="R1337" s="36" t="str">
        <f>IF(OR($A1337="",$N1337=""),"",IF(AND($C1337&lt;&gt;"Transferência",N($I1337)&gt;1),$N1337/$I1337,$N1337))</f>
        <v/>
      </c>
      <c r="S1337" s="41" t="str">
        <f>IF(OR($A1337="",$F1337="",$C1337&lt;&gt;"Despesa"),"",IF(COUNTIF(Cartoes_Nome,$F1337)=0,"",DATE(P1337,O1337+IF(DAY($A1337)&gt;=INDEX(Cartoes_Fech,MATCH($F1337,Cartoes_Nome,0)),1,0),1)))</f>
        <v/>
      </c>
      <c r="T1337" s="42" t="str">
        <f>IF($A1337="","",IF(COUNTIFS(L_Data,$A1337,L_Desc,$B1337,L_Valor,$N1337,L_Tipo,$C1337)&gt;1,"⚠ Possível duplicidade",IF(OR(AND($C1337="Despesa",COUNTIF(CatD_Nome,$D1337)=0),AND($C1337="Receita",COUNTIF(CatR_Nome,$D1337)=0)),"⚠ Categoria não combina com o tipo",IF(OR($N1337="",$C1337=""),"⚠ Falta valor ou tipo",""))))</f>
        <v/>
      </c>
      <c r="U1337" s="40">
        <f>IF($A1337="",0,P1337*12+O1337)</f>
        <v>0</v>
      </c>
      <c r="V1337" s="40">
        <f>IF($A1337="",0,U1337+MAX(0,N($I1337)-MAX(N($H1337),1)))</f>
        <v>0</v>
      </c>
      <c r="W1337" s="40">
        <f>IF(S1337="",0,YEAR(S1337)*12+MONTH(S1337))</f>
        <v>0</v>
      </c>
      <c r="X1337" s="40">
        <f>IF(W1337=0,0,W1337+V1337-U1337)</f>
        <v>0</v>
      </c>
      <c r="Y1337" s="36">
        <f>IF(W1337=0,0,N(R1337)*MAX(0,X1337-MAX(W1337,YEAR(Cfg_Hoje)*12+MONTH(Cfg_Hoje)+IF(DAY(Cfg_Hoje)&gt;=INDEX(Cartoes_Fech,MATCH($F1337,Cartoes_Nome,0)),1,0))+1))</f>
        <v>0</v>
      </c>
      <c r="Z1337" s="40">
        <f>IF($A1337="",0,DAY($A1337))</f>
        <v>0</v>
      </c>
      <c r="AA1337" s="40">
        <f>IF($A1337="",0,WEEKDAY($A1337))</f>
        <v>0</v>
      </c>
      <c r="AB1337" s="36">
        <f>IF(AND($C1337="Despesa",U1337&gt;0,U1337&lt;=Sel_Idx,V1337&gt;=Sel_Idx),N(R1337)+ROW()/1000000000,0)</f>
        <v>0</v>
      </c>
      <c r="AC1337" s="40">
        <f>IF(AND($C1337="Despesa",U1337&gt;0,U1337&lt;=Sel_Idx,V1337&gt;=Sel_Idx),Z1337*10000+ROW(),0)</f>
        <v>0</v>
      </c>
      <c r="AD1337" s="40">
        <f>IF(AC1337=0,0,COUNTIFS(L_CalChave,"&gt;0",L_CalChave,"&lt;"&amp;AC1337)+1)</f>
        <v>0</v>
      </c>
    </row>
    <row r="1338">
      <c r="A1338" s="38" t="n"/>
      <c r="B1338" s="39" t="n"/>
      <c r="C1338" s="34" t="n"/>
      <c r="D1338" s="34" t="n"/>
      <c r="E1338" s="34" t="n"/>
      <c r="F1338" s="34" t="n"/>
      <c r="G1338" s="34" t="n"/>
      <c r="H1338" s="37" t="n"/>
      <c r="I1338" s="37" t="n"/>
      <c r="J1338" s="34" t="n"/>
      <c r="K1338" s="34" t="n"/>
      <c r="L1338" s="34" t="n"/>
      <c r="M1338" s="39" t="n"/>
      <c r="N1338" s="35" t="n"/>
      <c r="O1338" s="40" t="str">
        <f>IF($A1338="","",MONTH($A1338))</f>
        <v/>
      </c>
      <c r="P1338" s="40" t="str">
        <f>IF($A1338="","",YEAR($A1338))</f>
        <v/>
      </c>
      <c r="Q1338" s="41" t="str">
        <f>IF($A1338="","",DATE(P1338,O1338,1))</f>
        <v/>
      </c>
      <c r="R1338" s="36" t="str">
        <f>IF(OR($A1338="",$N1338=""),"",IF(AND($C1338&lt;&gt;"Transferência",N($I1338)&gt;1),$N1338/$I1338,$N1338))</f>
        <v/>
      </c>
      <c r="S1338" s="41" t="str">
        <f>IF(OR($A1338="",$F1338="",$C1338&lt;&gt;"Despesa"),"",IF(COUNTIF(Cartoes_Nome,$F1338)=0,"",DATE(P1338,O1338+IF(DAY($A1338)&gt;=INDEX(Cartoes_Fech,MATCH($F1338,Cartoes_Nome,0)),1,0),1)))</f>
        <v/>
      </c>
      <c r="T1338" s="42" t="str">
        <f>IF($A1338="","",IF(COUNTIFS(L_Data,$A1338,L_Desc,$B1338,L_Valor,$N1338,L_Tipo,$C1338)&gt;1,"⚠ Possível duplicidade",IF(OR(AND($C1338="Despesa",COUNTIF(CatD_Nome,$D1338)=0),AND($C1338="Receita",COUNTIF(CatR_Nome,$D1338)=0)),"⚠ Categoria não combina com o tipo",IF(OR($N1338="",$C1338=""),"⚠ Falta valor ou tipo",""))))</f>
        <v/>
      </c>
      <c r="U1338" s="40">
        <f>IF($A1338="",0,P1338*12+O1338)</f>
        <v>0</v>
      </c>
      <c r="V1338" s="40">
        <f>IF($A1338="",0,U1338+MAX(0,N($I1338)-MAX(N($H1338),1)))</f>
        <v>0</v>
      </c>
      <c r="W1338" s="40">
        <f>IF(S1338="",0,YEAR(S1338)*12+MONTH(S1338))</f>
        <v>0</v>
      </c>
      <c r="X1338" s="40">
        <f>IF(W1338=0,0,W1338+V1338-U1338)</f>
        <v>0</v>
      </c>
      <c r="Y1338" s="36">
        <f>IF(W1338=0,0,N(R1338)*MAX(0,X1338-MAX(W1338,YEAR(Cfg_Hoje)*12+MONTH(Cfg_Hoje)+IF(DAY(Cfg_Hoje)&gt;=INDEX(Cartoes_Fech,MATCH($F1338,Cartoes_Nome,0)),1,0))+1))</f>
        <v>0</v>
      </c>
      <c r="Z1338" s="40">
        <f>IF($A1338="",0,DAY($A1338))</f>
        <v>0</v>
      </c>
      <c r="AA1338" s="40">
        <f>IF($A1338="",0,WEEKDAY($A1338))</f>
        <v>0</v>
      </c>
      <c r="AB1338" s="36">
        <f>IF(AND($C1338="Despesa",U1338&gt;0,U1338&lt;=Sel_Idx,V1338&gt;=Sel_Idx),N(R1338)+ROW()/1000000000,0)</f>
        <v>0</v>
      </c>
      <c r="AC1338" s="40">
        <f>IF(AND($C1338="Despesa",U1338&gt;0,U1338&lt;=Sel_Idx,V1338&gt;=Sel_Idx),Z1338*10000+ROW(),0)</f>
        <v>0</v>
      </c>
      <c r="AD1338" s="40">
        <f>IF(AC1338=0,0,COUNTIFS(L_CalChave,"&gt;0",L_CalChave,"&lt;"&amp;AC1338)+1)</f>
        <v>0</v>
      </c>
    </row>
    <row r="1339">
      <c r="A1339" s="38" t="n"/>
      <c r="B1339" s="39" t="n"/>
      <c r="C1339" s="34" t="n"/>
      <c r="D1339" s="34" t="n"/>
      <c r="E1339" s="34" t="n"/>
      <c r="F1339" s="34" t="n"/>
      <c r="G1339" s="34" t="n"/>
      <c r="H1339" s="37" t="n"/>
      <c r="I1339" s="37" t="n"/>
      <c r="J1339" s="34" t="n"/>
      <c r="K1339" s="34" t="n"/>
      <c r="L1339" s="34" t="n"/>
      <c r="M1339" s="39" t="n"/>
      <c r="N1339" s="35" t="n"/>
      <c r="O1339" s="40" t="str">
        <f>IF($A1339="","",MONTH($A1339))</f>
        <v/>
      </c>
      <c r="P1339" s="40" t="str">
        <f>IF($A1339="","",YEAR($A1339))</f>
        <v/>
      </c>
      <c r="Q1339" s="41" t="str">
        <f>IF($A1339="","",DATE(P1339,O1339,1))</f>
        <v/>
      </c>
      <c r="R1339" s="36" t="str">
        <f>IF(OR($A1339="",$N1339=""),"",IF(AND($C1339&lt;&gt;"Transferência",N($I1339)&gt;1),$N1339/$I1339,$N1339))</f>
        <v/>
      </c>
      <c r="S1339" s="41" t="str">
        <f>IF(OR($A1339="",$F1339="",$C1339&lt;&gt;"Despesa"),"",IF(COUNTIF(Cartoes_Nome,$F1339)=0,"",DATE(P1339,O1339+IF(DAY($A1339)&gt;=INDEX(Cartoes_Fech,MATCH($F1339,Cartoes_Nome,0)),1,0),1)))</f>
        <v/>
      </c>
      <c r="T1339" s="42" t="str">
        <f>IF($A1339="","",IF(COUNTIFS(L_Data,$A1339,L_Desc,$B1339,L_Valor,$N1339,L_Tipo,$C1339)&gt;1,"⚠ Possível duplicidade",IF(OR(AND($C1339="Despesa",COUNTIF(CatD_Nome,$D1339)=0),AND($C1339="Receita",COUNTIF(CatR_Nome,$D1339)=0)),"⚠ Categoria não combina com o tipo",IF(OR($N1339="",$C1339=""),"⚠ Falta valor ou tipo",""))))</f>
        <v/>
      </c>
      <c r="U1339" s="40">
        <f>IF($A1339="",0,P1339*12+O1339)</f>
        <v>0</v>
      </c>
      <c r="V1339" s="40">
        <f>IF($A1339="",0,U1339+MAX(0,N($I1339)-MAX(N($H1339),1)))</f>
        <v>0</v>
      </c>
      <c r="W1339" s="40">
        <f>IF(S1339="",0,YEAR(S1339)*12+MONTH(S1339))</f>
        <v>0</v>
      </c>
      <c r="X1339" s="40">
        <f>IF(W1339=0,0,W1339+V1339-U1339)</f>
        <v>0</v>
      </c>
      <c r="Y1339" s="36">
        <f>IF(W1339=0,0,N(R1339)*MAX(0,X1339-MAX(W1339,YEAR(Cfg_Hoje)*12+MONTH(Cfg_Hoje)+IF(DAY(Cfg_Hoje)&gt;=INDEX(Cartoes_Fech,MATCH($F1339,Cartoes_Nome,0)),1,0))+1))</f>
        <v>0</v>
      </c>
      <c r="Z1339" s="40">
        <f>IF($A1339="",0,DAY($A1339))</f>
        <v>0</v>
      </c>
      <c r="AA1339" s="40">
        <f>IF($A1339="",0,WEEKDAY($A1339))</f>
        <v>0</v>
      </c>
      <c r="AB1339" s="36">
        <f>IF(AND($C1339="Despesa",U1339&gt;0,U1339&lt;=Sel_Idx,V1339&gt;=Sel_Idx),N(R1339)+ROW()/1000000000,0)</f>
        <v>0</v>
      </c>
      <c r="AC1339" s="40">
        <f>IF(AND($C1339="Despesa",U1339&gt;0,U1339&lt;=Sel_Idx,V1339&gt;=Sel_Idx),Z1339*10000+ROW(),0)</f>
        <v>0</v>
      </c>
      <c r="AD1339" s="40">
        <f>IF(AC1339=0,0,COUNTIFS(L_CalChave,"&gt;0",L_CalChave,"&lt;"&amp;AC1339)+1)</f>
        <v>0</v>
      </c>
    </row>
    <row r="1340">
      <c r="A1340" s="38" t="n"/>
      <c r="B1340" s="39" t="n"/>
      <c r="C1340" s="34" t="n"/>
      <c r="D1340" s="34" t="n"/>
      <c r="E1340" s="34" t="n"/>
      <c r="F1340" s="34" t="n"/>
      <c r="G1340" s="34" t="n"/>
      <c r="H1340" s="37" t="n"/>
      <c r="I1340" s="37" t="n"/>
      <c r="J1340" s="34" t="n"/>
      <c r="K1340" s="34" t="n"/>
      <c r="L1340" s="34" t="n"/>
      <c r="M1340" s="39" t="n"/>
      <c r="N1340" s="35" t="n"/>
      <c r="O1340" s="40" t="str">
        <f>IF($A1340="","",MONTH($A1340))</f>
        <v/>
      </c>
      <c r="P1340" s="40" t="str">
        <f>IF($A1340="","",YEAR($A1340))</f>
        <v/>
      </c>
      <c r="Q1340" s="41" t="str">
        <f>IF($A1340="","",DATE(P1340,O1340,1))</f>
        <v/>
      </c>
      <c r="R1340" s="36" t="str">
        <f>IF(OR($A1340="",$N1340=""),"",IF(AND($C1340&lt;&gt;"Transferência",N($I1340)&gt;1),$N1340/$I1340,$N1340))</f>
        <v/>
      </c>
      <c r="S1340" s="41" t="str">
        <f>IF(OR($A1340="",$F1340="",$C1340&lt;&gt;"Despesa"),"",IF(COUNTIF(Cartoes_Nome,$F1340)=0,"",DATE(P1340,O1340+IF(DAY($A1340)&gt;=INDEX(Cartoes_Fech,MATCH($F1340,Cartoes_Nome,0)),1,0),1)))</f>
        <v/>
      </c>
      <c r="T1340" s="42" t="str">
        <f>IF($A1340="","",IF(COUNTIFS(L_Data,$A1340,L_Desc,$B1340,L_Valor,$N1340,L_Tipo,$C1340)&gt;1,"⚠ Possível duplicidade",IF(OR(AND($C1340="Despesa",COUNTIF(CatD_Nome,$D1340)=0),AND($C1340="Receita",COUNTIF(CatR_Nome,$D1340)=0)),"⚠ Categoria não combina com o tipo",IF(OR($N1340="",$C1340=""),"⚠ Falta valor ou tipo",""))))</f>
        <v/>
      </c>
      <c r="U1340" s="40">
        <f>IF($A1340="",0,P1340*12+O1340)</f>
        <v>0</v>
      </c>
      <c r="V1340" s="40">
        <f>IF($A1340="",0,U1340+MAX(0,N($I1340)-MAX(N($H1340),1)))</f>
        <v>0</v>
      </c>
      <c r="W1340" s="40">
        <f>IF(S1340="",0,YEAR(S1340)*12+MONTH(S1340))</f>
        <v>0</v>
      </c>
      <c r="X1340" s="40">
        <f>IF(W1340=0,0,W1340+V1340-U1340)</f>
        <v>0</v>
      </c>
      <c r="Y1340" s="36">
        <f>IF(W1340=0,0,N(R1340)*MAX(0,X1340-MAX(W1340,YEAR(Cfg_Hoje)*12+MONTH(Cfg_Hoje)+IF(DAY(Cfg_Hoje)&gt;=INDEX(Cartoes_Fech,MATCH($F1340,Cartoes_Nome,0)),1,0))+1))</f>
        <v>0</v>
      </c>
      <c r="Z1340" s="40">
        <f>IF($A1340="",0,DAY($A1340))</f>
        <v>0</v>
      </c>
      <c r="AA1340" s="40">
        <f>IF($A1340="",0,WEEKDAY($A1340))</f>
        <v>0</v>
      </c>
      <c r="AB1340" s="36">
        <f>IF(AND($C1340="Despesa",U1340&gt;0,U1340&lt;=Sel_Idx,V1340&gt;=Sel_Idx),N(R1340)+ROW()/1000000000,0)</f>
        <v>0</v>
      </c>
      <c r="AC1340" s="40">
        <f>IF(AND($C1340="Despesa",U1340&gt;0,U1340&lt;=Sel_Idx,V1340&gt;=Sel_Idx),Z1340*10000+ROW(),0)</f>
        <v>0</v>
      </c>
      <c r="AD1340" s="40">
        <f>IF(AC1340=0,0,COUNTIFS(L_CalChave,"&gt;0",L_CalChave,"&lt;"&amp;AC1340)+1)</f>
        <v>0</v>
      </c>
    </row>
    <row r="1341">
      <c r="A1341" s="38" t="n"/>
      <c r="B1341" s="39" t="n"/>
      <c r="C1341" s="34" t="n"/>
      <c r="D1341" s="34" t="n"/>
      <c r="E1341" s="34" t="n"/>
      <c r="F1341" s="34" t="n"/>
      <c r="G1341" s="34" t="n"/>
      <c r="H1341" s="37" t="n"/>
      <c r="I1341" s="37" t="n"/>
      <c r="J1341" s="34" t="n"/>
      <c r="K1341" s="34" t="n"/>
      <c r="L1341" s="34" t="n"/>
      <c r="M1341" s="39" t="n"/>
      <c r="N1341" s="35" t="n"/>
      <c r="O1341" s="40" t="str">
        <f>IF($A1341="","",MONTH($A1341))</f>
        <v/>
      </c>
      <c r="P1341" s="40" t="str">
        <f>IF($A1341="","",YEAR($A1341))</f>
        <v/>
      </c>
      <c r="Q1341" s="41" t="str">
        <f>IF($A1341="","",DATE(P1341,O1341,1))</f>
        <v/>
      </c>
      <c r="R1341" s="36" t="str">
        <f>IF(OR($A1341="",$N1341=""),"",IF(AND($C1341&lt;&gt;"Transferência",N($I1341)&gt;1),$N1341/$I1341,$N1341))</f>
        <v/>
      </c>
      <c r="S1341" s="41" t="str">
        <f>IF(OR($A1341="",$F1341="",$C1341&lt;&gt;"Despesa"),"",IF(COUNTIF(Cartoes_Nome,$F1341)=0,"",DATE(P1341,O1341+IF(DAY($A1341)&gt;=INDEX(Cartoes_Fech,MATCH($F1341,Cartoes_Nome,0)),1,0),1)))</f>
        <v/>
      </c>
      <c r="T1341" s="42" t="str">
        <f>IF($A1341="","",IF(COUNTIFS(L_Data,$A1341,L_Desc,$B1341,L_Valor,$N1341,L_Tipo,$C1341)&gt;1,"⚠ Possível duplicidade",IF(OR(AND($C1341="Despesa",COUNTIF(CatD_Nome,$D1341)=0),AND($C1341="Receita",COUNTIF(CatR_Nome,$D1341)=0)),"⚠ Categoria não combina com o tipo",IF(OR($N1341="",$C1341=""),"⚠ Falta valor ou tipo",""))))</f>
        <v/>
      </c>
      <c r="U1341" s="40">
        <f>IF($A1341="",0,P1341*12+O1341)</f>
        <v>0</v>
      </c>
      <c r="V1341" s="40">
        <f>IF($A1341="",0,U1341+MAX(0,N($I1341)-MAX(N($H1341),1)))</f>
        <v>0</v>
      </c>
      <c r="W1341" s="40">
        <f>IF(S1341="",0,YEAR(S1341)*12+MONTH(S1341))</f>
        <v>0</v>
      </c>
      <c r="X1341" s="40">
        <f>IF(W1341=0,0,W1341+V1341-U1341)</f>
        <v>0</v>
      </c>
      <c r="Y1341" s="36">
        <f>IF(W1341=0,0,N(R1341)*MAX(0,X1341-MAX(W1341,YEAR(Cfg_Hoje)*12+MONTH(Cfg_Hoje)+IF(DAY(Cfg_Hoje)&gt;=INDEX(Cartoes_Fech,MATCH($F1341,Cartoes_Nome,0)),1,0))+1))</f>
        <v>0</v>
      </c>
      <c r="Z1341" s="40">
        <f>IF($A1341="",0,DAY($A1341))</f>
        <v>0</v>
      </c>
      <c r="AA1341" s="40">
        <f>IF($A1341="",0,WEEKDAY($A1341))</f>
        <v>0</v>
      </c>
      <c r="AB1341" s="36">
        <f>IF(AND($C1341="Despesa",U1341&gt;0,U1341&lt;=Sel_Idx,V1341&gt;=Sel_Idx),N(R1341)+ROW()/1000000000,0)</f>
        <v>0</v>
      </c>
      <c r="AC1341" s="40">
        <f>IF(AND($C1341="Despesa",U1341&gt;0,U1341&lt;=Sel_Idx,V1341&gt;=Sel_Idx),Z1341*10000+ROW(),0)</f>
        <v>0</v>
      </c>
      <c r="AD1341" s="40">
        <f>IF(AC1341=0,0,COUNTIFS(L_CalChave,"&gt;0",L_CalChave,"&lt;"&amp;AC1341)+1)</f>
        <v>0</v>
      </c>
    </row>
    <row r="1342">
      <c r="A1342" s="38" t="n"/>
      <c r="B1342" s="39" t="n"/>
      <c r="C1342" s="34" t="n"/>
      <c r="D1342" s="34" t="n"/>
      <c r="E1342" s="34" t="n"/>
      <c r="F1342" s="34" t="n"/>
      <c r="G1342" s="34" t="n"/>
      <c r="H1342" s="37" t="n"/>
      <c r="I1342" s="37" t="n"/>
      <c r="J1342" s="34" t="n"/>
      <c r="K1342" s="34" t="n"/>
      <c r="L1342" s="34" t="n"/>
      <c r="M1342" s="39" t="n"/>
      <c r="N1342" s="35" t="n"/>
      <c r="O1342" s="40" t="str">
        <f>IF($A1342="","",MONTH($A1342))</f>
        <v/>
      </c>
      <c r="P1342" s="40" t="str">
        <f>IF($A1342="","",YEAR($A1342))</f>
        <v/>
      </c>
      <c r="Q1342" s="41" t="str">
        <f>IF($A1342="","",DATE(P1342,O1342,1))</f>
        <v/>
      </c>
      <c r="R1342" s="36" t="str">
        <f>IF(OR($A1342="",$N1342=""),"",IF(AND($C1342&lt;&gt;"Transferência",N($I1342)&gt;1),$N1342/$I1342,$N1342))</f>
        <v/>
      </c>
      <c r="S1342" s="41" t="str">
        <f>IF(OR($A1342="",$F1342="",$C1342&lt;&gt;"Despesa"),"",IF(COUNTIF(Cartoes_Nome,$F1342)=0,"",DATE(P1342,O1342+IF(DAY($A1342)&gt;=INDEX(Cartoes_Fech,MATCH($F1342,Cartoes_Nome,0)),1,0),1)))</f>
        <v/>
      </c>
      <c r="T1342" s="42" t="str">
        <f>IF($A1342="","",IF(COUNTIFS(L_Data,$A1342,L_Desc,$B1342,L_Valor,$N1342,L_Tipo,$C1342)&gt;1,"⚠ Possível duplicidade",IF(OR(AND($C1342="Despesa",COUNTIF(CatD_Nome,$D1342)=0),AND($C1342="Receita",COUNTIF(CatR_Nome,$D1342)=0)),"⚠ Categoria não combina com o tipo",IF(OR($N1342="",$C1342=""),"⚠ Falta valor ou tipo",""))))</f>
        <v/>
      </c>
      <c r="U1342" s="40">
        <f>IF($A1342="",0,P1342*12+O1342)</f>
        <v>0</v>
      </c>
      <c r="V1342" s="40">
        <f>IF($A1342="",0,U1342+MAX(0,N($I1342)-MAX(N($H1342),1)))</f>
        <v>0</v>
      </c>
      <c r="W1342" s="40">
        <f>IF(S1342="",0,YEAR(S1342)*12+MONTH(S1342))</f>
        <v>0</v>
      </c>
      <c r="X1342" s="40">
        <f>IF(W1342=0,0,W1342+V1342-U1342)</f>
        <v>0</v>
      </c>
      <c r="Y1342" s="36">
        <f>IF(W1342=0,0,N(R1342)*MAX(0,X1342-MAX(W1342,YEAR(Cfg_Hoje)*12+MONTH(Cfg_Hoje)+IF(DAY(Cfg_Hoje)&gt;=INDEX(Cartoes_Fech,MATCH($F1342,Cartoes_Nome,0)),1,0))+1))</f>
        <v>0</v>
      </c>
      <c r="Z1342" s="40">
        <f>IF($A1342="",0,DAY($A1342))</f>
        <v>0</v>
      </c>
      <c r="AA1342" s="40">
        <f>IF($A1342="",0,WEEKDAY($A1342))</f>
        <v>0</v>
      </c>
      <c r="AB1342" s="36">
        <f>IF(AND($C1342="Despesa",U1342&gt;0,U1342&lt;=Sel_Idx,V1342&gt;=Sel_Idx),N(R1342)+ROW()/1000000000,0)</f>
        <v>0</v>
      </c>
      <c r="AC1342" s="40">
        <f>IF(AND($C1342="Despesa",U1342&gt;0,U1342&lt;=Sel_Idx,V1342&gt;=Sel_Idx),Z1342*10000+ROW(),0)</f>
        <v>0</v>
      </c>
      <c r="AD1342" s="40">
        <f>IF(AC1342=0,0,COUNTIFS(L_CalChave,"&gt;0",L_CalChave,"&lt;"&amp;AC1342)+1)</f>
        <v>0</v>
      </c>
    </row>
    <row r="1343">
      <c r="A1343" s="38" t="n"/>
      <c r="B1343" s="39" t="n"/>
      <c r="C1343" s="34" t="n"/>
      <c r="D1343" s="34" t="n"/>
      <c r="E1343" s="34" t="n"/>
      <c r="F1343" s="34" t="n"/>
      <c r="G1343" s="34" t="n"/>
      <c r="H1343" s="37" t="n"/>
      <c r="I1343" s="37" t="n"/>
      <c r="J1343" s="34" t="n"/>
      <c r="K1343" s="34" t="n"/>
      <c r="L1343" s="34" t="n"/>
      <c r="M1343" s="39" t="n"/>
      <c r="N1343" s="35" t="n"/>
      <c r="O1343" s="40" t="str">
        <f>IF($A1343="","",MONTH($A1343))</f>
        <v/>
      </c>
      <c r="P1343" s="40" t="str">
        <f>IF($A1343="","",YEAR($A1343))</f>
        <v/>
      </c>
      <c r="Q1343" s="41" t="str">
        <f>IF($A1343="","",DATE(P1343,O1343,1))</f>
        <v/>
      </c>
      <c r="R1343" s="36" t="str">
        <f>IF(OR($A1343="",$N1343=""),"",IF(AND($C1343&lt;&gt;"Transferência",N($I1343)&gt;1),$N1343/$I1343,$N1343))</f>
        <v/>
      </c>
      <c r="S1343" s="41" t="str">
        <f>IF(OR($A1343="",$F1343="",$C1343&lt;&gt;"Despesa"),"",IF(COUNTIF(Cartoes_Nome,$F1343)=0,"",DATE(P1343,O1343+IF(DAY($A1343)&gt;=INDEX(Cartoes_Fech,MATCH($F1343,Cartoes_Nome,0)),1,0),1)))</f>
        <v/>
      </c>
      <c r="T1343" s="42" t="str">
        <f>IF($A1343="","",IF(COUNTIFS(L_Data,$A1343,L_Desc,$B1343,L_Valor,$N1343,L_Tipo,$C1343)&gt;1,"⚠ Possível duplicidade",IF(OR(AND($C1343="Despesa",COUNTIF(CatD_Nome,$D1343)=0),AND($C1343="Receita",COUNTIF(CatR_Nome,$D1343)=0)),"⚠ Categoria não combina com o tipo",IF(OR($N1343="",$C1343=""),"⚠ Falta valor ou tipo",""))))</f>
        <v/>
      </c>
      <c r="U1343" s="40">
        <f>IF($A1343="",0,P1343*12+O1343)</f>
        <v>0</v>
      </c>
      <c r="V1343" s="40">
        <f>IF($A1343="",0,U1343+MAX(0,N($I1343)-MAX(N($H1343),1)))</f>
        <v>0</v>
      </c>
      <c r="W1343" s="40">
        <f>IF(S1343="",0,YEAR(S1343)*12+MONTH(S1343))</f>
        <v>0</v>
      </c>
      <c r="X1343" s="40">
        <f>IF(W1343=0,0,W1343+V1343-U1343)</f>
        <v>0</v>
      </c>
      <c r="Y1343" s="36">
        <f>IF(W1343=0,0,N(R1343)*MAX(0,X1343-MAX(W1343,YEAR(Cfg_Hoje)*12+MONTH(Cfg_Hoje)+IF(DAY(Cfg_Hoje)&gt;=INDEX(Cartoes_Fech,MATCH($F1343,Cartoes_Nome,0)),1,0))+1))</f>
        <v>0</v>
      </c>
      <c r="Z1343" s="40">
        <f>IF($A1343="",0,DAY($A1343))</f>
        <v>0</v>
      </c>
      <c r="AA1343" s="40">
        <f>IF($A1343="",0,WEEKDAY($A1343))</f>
        <v>0</v>
      </c>
      <c r="AB1343" s="36">
        <f>IF(AND($C1343="Despesa",U1343&gt;0,U1343&lt;=Sel_Idx,V1343&gt;=Sel_Idx),N(R1343)+ROW()/1000000000,0)</f>
        <v>0</v>
      </c>
      <c r="AC1343" s="40">
        <f>IF(AND($C1343="Despesa",U1343&gt;0,U1343&lt;=Sel_Idx,V1343&gt;=Sel_Idx),Z1343*10000+ROW(),0)</f>
        <v>0</v>
      </c>
      <c r="AD1343" s="40">
        <f>IF(AC1343=0,0,COUNTIFS(L_CalChave,"&gt;0",L_CalChave,"&lt;"&amp;AC1343)+1)</f>
        <v>0</v>
      </c>
    </row>
    <row r="1344">
      <c r="A1344" s="38" t="n"/>
      <c r="B1344" s="39" t="n"/>
      <c r="C1344" s="34" t="n"/>
      <c r="D1344" s="34" t="n"/>
      <c r="E1344" s="34" t="n"/>
      <c r="F1344" s="34" t="n"/>
      <c r="G1344" s="34" t="n"/>
      <c r="H1344" s="37" t="n"/>
      <c r="I1344" s="37" t="n"/>
      <c r="J1344" s="34" t="n"/>
      <c r="K1344" s="34" t="n"/>
      <c r="L1344" s="34" t="n"/>
      <c r="M1344" s="39" t="n"/>
      <c r="N1344" s="35" t="n"/>
      <c r="O1344" s="40" t="str">
        <f>IF($A1344="","",MONTH($A1344))</f>
        <v/>
      </c>
      <c r="P1344" s="40" t="str">
        <f>IF($A1344="","",YEAR($A1344))</f>
        <v/>
      </c>
      <c r="Q1344" s="41" t="str">
        <f>IF($A1344="","",DATE(P1344,O1344,1))</f>
        <v/>
      </c>
      <c r="R1344" s="36" t="str">
        <f>IF(OR($A1344="",$N1344=""),"",IF(AND($C1344&lt;&gt;"Transferência",N($I1344)&gt;1),$N1344/$I1344,$N1344))</f>
        <v/>
      </c>
      <c r="S1344" s="41" t="str">
        <f>IF(OR($A1344="",$F1344="",$C1344&lt;&gt;"Despesa"),"",IF(COUNTIF(Cartoes_Nome,$F1344)=0,"",DATE(P1344,O1344+IF(DAY($A1344)&gt;=INDEX(Cartoes_Fech,MATCH($F1344,Cartoes_Nome,0)),1,0),1)))</f>
        <v/>
      </c>
      <c r="T1344" s="42" t="str">
        <f>IF($A1344="","",IF(COUNTIFS(L_Data,$A1344,L_Desc,$B1344,L_Valor,$N1344,L_Tipo,$C1344)&gt;1,"⚠ Possível duplicidade",IF(OR(AND($C1344="Despesa",COUNTIF(CatD_Nome,$D1344)=0),AND($C1344="Receita",COUNTIF(CatR_Nome,$D1344)=0)),"⚠ Categoria não combina com o tipo",IF(OR($N1344="",$C1344=""),"⚠ Falta valor ou tipo",""))))</f>
        <v/>
      </c>
      <c r="U1344" s="40">
        <f>IF($A1344="",0,P1344*12+O1344)</f>
        <v>0</v>
      </c>
      <c r="V1344" s="40">
        <f>IF($A1344="",0,U1344+MAX(0,N($I1344)-MAX(N($H1344),1)))</f>
        <v>0</v>
      </c>
      <c r="W1344" s="40">
        <f>IF(S1344="",0,YEAR(S1344)*12+MONTH(S1344))</f>
        <v>0</v>
      </c>
      <c r="X1344" s="40">
        <f>IF(W1344=0,0,W1344+V1344-U1344)</f>
        <v>0</v>
      </c>
      <c r="Y1344" s="36">
        <f>IF(W1344=0,0,N(R1344)*MAX(0,X1344-MAX(W1344,YEAR(Cfg_Hoje)*12+MONTH(Cfg_Hoje)+IF(DAY(Cfg_Hoje)&gt;=INDEX(Cartoes_Fech,MATCH($F1344,Cartoes_Nome,0)),1,0))+1))</f>
        <v>0</v>
      </c>
      <c r="Z1344" s="40">
        <f>IF($A1344="",0,DAY($A1344))</f>
        <v>0</v>
      </c>
      <c r="AA1344" s="40">
        <f>IF($A1344="",0,WEEKDAY($A1344))</f>
        <v>0</v>
      </c>
      <c r="AB1344" s="36">
        <f>IF(AND($C1344="Despesa",U1344&gt;0,U1344&lt;=Sel_Idx,V1344&gt;=Sel_Idx),N(R1344)+ROW()/1000000000,0)</f>
        <v>0</v>
      </c>
      <c r="AC1344" s="40">
        <f>IF(AND($C1344="Despesa",U1344&gt;0,U1344&lt;=Sel_Idx,V1344&gt;=Sel_Idx),Z1344*10000+ROW(),0)</f>
        <v>0</v>
      </c>
      <c r="AD1344" s="40">
        <f>IF(AC1344=0,0,COUNTIFS(L_CalChave,"&gt;0",L_CalChave,"&lt;"&amp;AC1344)+1)</f>
        <v>0</v>
      </c>
    </row>
    <row r="1345">
      <c r="A1345" s="38" t="n"/>
      <c r="B1345" s="39" t="n"/>
      <c r="C1345" s="34" t="n"/>
      <c r="D1345" s="34" t="n"/>
      <c r="E1345" s="34" t="n"/>
      <c r="F1345" s="34" t="n"/>
      <c r="G1345" s="34" t="n"/>
      <c r="H1345" s="37" t="n"/>
      <c r="I1345" s="37" t="n"/>
      <c r="J1345" s="34" t="n"/>
      <c r="K1345" s="34" t="n"/>
      <c r="L1345" s="34" t="n"/>
      <c r="M1345" s="39" t="n"/>
      <c r="N1345" s="35" t="n"/>
      <c r="O1345" s="40" t="str">
        <f>IF($A1345="","",MONTH($A1345))</f>
        <v/>
      </c>
      <c r="P1345" s="40" t="str">
        <f>IF($A1345="","",YEAR($A1345))</f>
        <v/>
      </c>
      <c r="Q1345" s="41" t="str">
        <f>IF($A1345="","",DATE(P1345,O1345,1))</f>
        <v/>
      </c>
      <c r="R1345" s="36" t="str">
        <f>IF(OR($A1345="",$N1345=""),"",IF(AND($C1345&lt;&gt;"Transferência",N($I1345)&gt;1),$N1345/$I1345,$N1345))</f>
        <v/>
      </c>
      <c r="S1345" s="41" t="str">
        <f>IF(OR($A1345="",$F1345="",$C1345&lt;&gt;"Despesa"),"",IF(COUNTIF(Cartoes_Nome,$F1345)=0,"",DATE(P1345,O1345+IF(DAY($A1345)&gt;=INDEX(Cartoes_Fech,MATCH($F1345,Cartoes_Nome,0)),1,0),1)))</f>
        <v/>
      </c>
      <c r="T1345" s="42" t="str">
        <f>IF($A1345="","",IF(COUNTIFS(L_Data,$A1345,L_Desc,$B1345,L_Valor,$N1345,L_Tipo,$C1345)&gt;1,"⚠ Possível duplicidade",IF(OR(AND($C1345="Despesa",COUNTIF(CatD_Nome,$D1345)=0),AND($C1345="Receita",COUNTIF(CatR_Nome,$D1345)=0)),"⚠ Categoria não combina com o tipo",IF(OR($N1345="",$C1345=""),"⚠ Falta valor ou tipo",""))))</f>
        <v/>
      </c>
      <c r="U1345" s="40">
        <f>IF($A1345="",0,P1345*12+O1345)</f>
        <v>0</v>
      </c>
      <c r="V1345" s="40">
        <f>IF($A1345="",0,U1345+MAX(0,N($I1345)-MAX(N($H1345),1)))</f>
        <v>0</v>
      </c>
      <c r="W1345" s="40">
        <f>IF(S1345="",0,YEAR(S1345)*12+MONTH(S1345))</f>
        <v>0</v>
      </c>
      <c r="X1345" s="40">
        <f>IF(W1345=0,0,W1345+V1345-U1345)</f>
        <v>0</v>
      </c>
      <c r="Y1345" s="36">
        <f>IF(W1345=0,0,N(R1345)*MAX(0,X1345-MAX(W1345,YEAR(Cfg_Hoje)*12+MONTH(Cfg_Hoje)+IF(DAY(Cfg_Hoje)&gt;=INDEX(Cartoes_Fech,MATCH($F1345,Cartoes_Nome,0)),1,0))+1))</f>
        <v>0</v>
      </c>
      <c r="Z1345" s="40">
        <f>IF($A1345="",0,DAY($A1345))</f>
        <v>0</v>
      </c>
      <c r="AA1345" s="40">
        <f>IF($A1345="",0,WEEKDAY($A1345))</f>
        <v>0</v>
      </c>
      <c r="AB1345" s="36">
        <f>IF(AND($C1345="Despesa",U1345&gt;0,U1345&lt;=Sel_Idx,V1345&gt;=Sel_Idx),N(R1345)+ROW()/1000000000,0)</f>
        <v>0</v>
      </c>
      <c r="AC1345" s="40">
        <f>IF(AND($C1345="Despesa",U1345&gt;0,U1345&lt;=Sel_Idx,V1345&gt;=Sel_Idx),Z1345*10000+ROW(),0)</f>
        <v>0</v>
      </c>
      <c r="AD1345" s="40">
        <f>IF(AC1345=0,0,COUNTIFS(L_CalChave,"&gt;0",L_CalChave,"&lt;"&amp;AC1345)+1)</f>
        <v>0</v>
      </c>
    </row>
    <row r="1346">
      <c r="A1346" s="38" t="n"/>
      <c r="B1346" s="39" t="n"/>
      <c r="C1346" s="34" t="n"/>
      <c r="D1346" s="34" t="n"/>
      <c r="E1346" s="34" t="n"/>
      <c r="F1346" s="34" t="n"/>
      <c r="G1346" s="34" t="n"/>
      <c r="H1346" s="37" t="n"/>
      <c r="I1346" s="37" t="n"/>
      <c r="J1346" s="34" t="n"/>
      <c r="K1346" s="34" t="n"/>
      <c r="L1346" s="34" t="n"/>
      <c r="M1346" s="39" t="n"/>
      <c r="N1346" s="35" t="n"/>
      <c r="O1346" s="40" t="str">
        <f>IF($A1346="","",MONTH($A1346))</f>
        <v/>
      </c>
      <c r="P1346" s="40" t="str">
        <f>IF($A1346="","",YEAR($A1346))</f>
        <v/>
      </c>
      <c r="Q1346" s="41" t="str">
        <f>IF($A1346="","",DATE(P1346,O1346,1))</f>
        <v/>
      </c>
      <c r="R1346" s="36" t="str">
        <f>IF(OR($A1346="",$N1346=""),"",IF(AND($C1346&lt;&gt;"Transferência",N($I1346)&gt;1),$N1346/$I1346,$N1346))</f>
        <v/>
      </c>
      <c r="S1346" s="41" t="str">
        <f>IF(OR($A1346="",$F1346="",$C1346&lt;&gt;"Despesa"),"",IF(COUNTIF(Cartoes_Nome,$F1346)=0,"",DATE(P1346,O1346+IF(DAY($A1346)&gt;=INDEX(Cartoes_Fech,MATCH($F1346,Cartoes_Nome,0)),1,0),1)))</f>
        <v/>
      </c>
      <c r="T1346" s="42" t="str">
        <f>IF($A1346="","",IF(COUNTIFS(L_Data,$A1346,L_Desc,$B1346,L_Valor,$N1346,L_Tipo,$C1346)&gt;1,"⚠ Possível duplicidade",IF(OR(AND($C1346="Despesa",COUNTIF(CatD_Nome,$D1346)=0),AND($C1346="Receita",COUNTIF(CatR_Nome,$D1346)=0)),"⚠ Categoria não combina com o tipo",IF(OR($N1346="",$C1346=""),"⚠ Falta valor ou tipo",""))))</f>
        <v/>
      </c>
      <c r="U1346" s="40">
        <f>IF($A1346="",0,P1346*12+O1346)</f>
        <v>0</v>
      </c>
      <c r="V1346" s="40">
        <f>IF($A1346="",0,U1346+MAX(0,N($I1346)-MAX(N($H1346),1)))</f>
        <v>0</v>
      </c>
      <c r="W1346" s="40">
        <f>IF(S1346="",0,YEAR(S1346)*12+MONTH(S1346))</f>
        <v>0</v>
      </c>
      <c r="X1346" s="40">
        <f>IF(W1346=0,0,W1346+V1346-U1346)</f>
        <v>0</v>
      </c>
      <c r="Y1346" s="36">
        <f>IF(W1346=0,0,N(R1346)*MAX(0,X1346-MAX(W1346,YEAR(Cfg_Hoje)*12+MONTH(Cfg_Hoje)+IF(DAY(Cfg_Hoje)&gt;=INDEX(Cartoes_Fech,MATCH($F1346,Cartoes_Nome,0)),1,0))+1))</f>
        <v>0</v>
      </c>
      <c r="Z1346" s="40">
        <f>IF($A1346="",0,DAY($A1346))</f>
        <v>0</v>
      </c>
      <c r="AA1346" s="40">
        <f>IF($A1346="",0,WEEKDAY($A1346))</f>
        <v>0</v>
      </c>
      <c r="AB1346" s="36">
        <f>IF(AND($C1346="Despesa",U1346&gt;0,U1346&lt;=Sel_Idx,V1346&gt;=Sel_Idx),N(R1346)+ROW()/1000000000,0)</f>
        <v>0</v>
      </c>
      <c r="AC1346" s="40">
        <f>IF(AND($C1346="Despesa",U1346&gt;0,U1346&lt;=Sel_Idx,V1346&gt;=Sel_Idx),Z1346*10000+ROW(),0)</f>
        <v>0</v>
      </c>
      <c r="AD1346" s="40">
        <f>IF(AC1346=0,0,COUNTIFS(L_CalChave,"&gt;0",L_CalChave,"&lt;"&amp;AC1346)+1)</f>
        <v>0</v>
      </c>
    </row>
    <row r="1347">
      <c r="A1347" s="38" t="n"/>
      <c r="B1347" s="39" t="n"/>
      <c r="C1347" s="34" t="n"/>
      <c r="D1347" s="34" t="n"/>
      <c r="E1347" s="34" t="n"/>
      <c r="F1347" s="34" t="n"/>
      <c r="G1347" s="34" t="n"/>
      <c r="H1347" s="37" t="n"/>
      <c r="I1347" s="37" t="n"/>
      <c r="J1347" s="34" t="n"/>
      <c r="K1347" s="34" t="n"/>
      <c r="L1347" s="34" t="n"/>
      <c r="M1347" s="39" t="n"/>
      <c r="N1347" s="35" t="n"/>
      <c r="O1347" s="40" t="str">
        <f>IF($A1347="","",MONTH($A1347))</f>
        <v/>
      </c>
      <c r="P1347" s="40" t="str">
        <f>IF($A1347="","",YEAR($A1347))</f>
        <v/>
      </c>
      <c r="Q1347" s="41" t="str">
        <f>IF($A1347="","",DATE(P1347,O1347,1))</f>
        <v/>
      </c>
      <c r="R1347" s="36" t="str">
        <f>IF(OR($A1347="",$N1347=""),"",IF(AND($C1347&lt;&gt;"Transferência",N($I1347)&gt;1),$N1347/$I1347,$N1347))</f>
        <v/>
      </c>
      <c r="S1347" s="41" t="str">
        <f>IF(OR($A1347="",$F1347="",$C1347&lt;&gt;"Despesa"),"",IF(COUNTIF(Cartoes_Nome,$F1347)=0,"",DATE(P1347,O1347+IF(DAY($A1347)&gt;=INDEX(Cartoes_Fech,MATCH($F1347,Cartoes_Nome,0)),1,0),1)))</f>
        <v/>
      </c>
      <c r="T1347" s="42" t="str">
        <f>IF($A1347="","",IF(COUNTIFS(L_Data,$A1347,L_Desc,$B1347,L_Valor,$N1347,L_Tipo,$C1347)&gt;1,"⚠ Possível duplicidade",IF(OR(AND($C1347="Despesa",COUNTIF(CatD_Nome,$D1347)=0),AND($C1347="Receita",COUNTIF(CatR_Nome,$D1347)=0)),"⚠ Categoria não combina com o tipo",IF(OR($N1347="",$C1347=""),"⚠ Falta valor ou tipo",""))))</f>
        <v/>
      </c>
      <c r="U1347" s="40">
        <f>IF($A1347="",0,P1347*12+O1347)</f>
        <v>0</v>
      </c>
      <c r="V1347" s="40">
        <f>IF($A1347="",0,U1347+MAX(0,N($I1347)-MAX(N($H1347),1)))</f>
        <v>0</v>
      </c>
      <c r="W1347" s="40">
        <f>IF(S1347="",0,YEAR(S1347)*12+MONTH(S1347))</f>
        <v>0</v>
      </c>
      <c r="X1347" s="40">
        <f>IF(W1347=0,0,W1347+V1347-U1347)</f>
        <v>0</v>
      </c>
      <c r="Y1347" s="36">
        <f>IF(W1347=0,0,N(R1347)*MAX(0,X1347-MAX(W1347,YEAR(Cfg_Hoje)*12+MONTH(Cfg_Hoje)+IF(DAY(Cfg_Hoje)&gt;=INDEX(Cartoes_Fech,MATCH($F1347,Cartoes_Nome,0)),1,0))+1))</f>
        <v>0</v>
      </c>
      <c r="Z1347" s="40">
        <f>IF($A1347="",0,DAY($A1347))</f>
        <v>0</v>
      </c>
      <c r="AA1347" s="40">
        <f>IF($A1347="",0,WEEKDAY($A1347))</f>
        <v>0</v>
      </c>
      <c r="AB1347" s="36">
        <f>IF(AND($C1347="Despesa",U1347&gt;0,U1347&lt;=Sel_Idx,V1347&gt;=Sel_Idx),N(R1347)+ROW()/1000000000,0)</f>
        <v>0</v>
      </c>
      <c r="AC1347" s="40">
        <f>IF(AND($C1347="Despesa",U1347&gt;0,U1347&lt;=Sel_Idx,V1347&gt;=Sel_Idx),Z1347*10000+ROW(),0)</f>
        <v>0</v>
      </c>
      <c r="AD1347" s="40">
        <f>IF(AC1347=0,0,COUNTIFS(L_CalChave,"&gt;0",L_CalChave,"&lt;"&amp;AC1347)+1)</f>
        <v>0</v>
      </c>
    </row>
    <row r="1348">
      <c r="A1348" s="38" t="n"/>
      <c r="B1348" s="39" t="n"/>
      <c r="C1348" s="34" t="n"/>
      <c r="D1348" s="34" t="n"/>
      <c r="E1348" s="34" t="n"/>
      <c r="F1348" s="34" t="n"/>
      <c r="G1348" s="34" t="n"/>
      <c r="H1348" s="37" t="n"/>
      <c r="I1348" s="37" t="n"/>
      <c r="J1348" s="34" t="n"/>
      <c r="K1348" s="34" t="n"/>
      <c r="L1348" s="34" t="n"/>
      <c r="M1348" s="39" t="n"/>
      <c r="N1348" s="35" t="n"/>
      <c r="O1348" s="40" t="str">
        <f>IF($A1348="","",MONTH($A1348))</f>
        <v/>
      </c>
      <c r="P1348" s="40" t="str">
        <f>IF($A1348="","",YEAR($A1348))</f>
        <v/>
      </c>
      <c r="Q1348" s="41" t="str">
        <f>IF($A1348="","",DATE(P1348,O1348,1))</f>
        <v/>
      </c>
      <c r="R1348" s="36" t="str">
        <f>IF(OR($A1348="",$N1348=""),"",IF(AND($C1348&lt;&gt;"Transferência",N($I1348)&gt;1),$N1348/$I1348,$N1348))</f>
        <v/>
      </c>
      <c r="S1348" s="41" t="str">
        <f>IF(OR($A1348="",$F1348="",$C1348&lt;&gt;"Despesa"),"",IF(COUNTIF(Cartoes_Nome,$F1348)=0,"",DATE(P1348,O1348+IF(DAY($A1348)&gt;=INDEX(Cartoes_Fech,MATCH($F1348,Cartoes_Nome,0)),1,0),1)))</f>
        <v/>
      </c>
      <c r="T1348" s="42" t="str">
        <f>IF($A1348="","",IF(COUNTIFS(L_Data,$A1348,L_Desc,$B1348,L_Valor,$N1348,L_Tipo,$C1348)&gt;1,"⚠ Possível duplicidade",IF(OR(AND($C1348="Despesa",COUNTIF(CatD_Nome,$D1348)=0),AND($C1348="Receita",COUNTIF(CatR_Nome,$D1348)=0)),"⚠ Categoria não combina com o tipo",IF(OR($N1348="",$C1348=""),"⚠ Falta valor ou tipo",""))))</f>
        <v/>
      </c>
      <c r="U1348" s="40">
        <f>IF($A1348="",0,P1348*12+O1348)</f>
        <v>0</v>
      </c>
      <c r="V1348" s="40">
        <f>IF($A1348="",0,U1348+MAX(0,N($I1348)-MAX(N($H1348),1)))</f>
        <v>0</v>
      </c>
      <c r="W1348" s="40">
        <f>IF(S1348="",0,YEAR(S1348)*12+MONTH(S1348))</f>
        <v>0</v>
      </c>
      <c r="X1348" s="40">
        <f>IF(W1348=0,0,W1348+V1348-U1348)</f>
        <v>0</v>
      </c>
      <c r="Y1348" s="36">
        <f>IF(W1348=0,0,N(R1348)*MAX(0,X1348-MAX(W1348,YEAR(Cfg_Hoje)*12+MONTH(Cfg_Hoje)+IF(DAY(Cfg_Hoje)&gt;=INDEX(Cartoes_Fech,MATCH($F1348,Cartoes_Nome,0)),1,0))+1))</f>
        <v>0</v>
      </c>
      <c r="Z1348" s="40">
        <f>IF($A1348="",0,DAY($A1348))</f>
        <v>0</v>
      </c>
      <c r="AA1348" s="40">
        <f>IF($A1348="",0,WEEKDAY($A1348))</f>
        <v>0</v>
      </c>
      <c r="AB1348" s="36">
        <f>IF(AND($C1348="Despesa",U1348&gt;0,U1348&lt;=Sel_Idx,V1348&gt;=Sel_Idx),N(R1348)+ROW()/1000000000,0)</f>
        <v>0</v>
      </c>
      <c r="AC1348" s="40">
        <f>IF(AND($C1348="Despesa",U1348&gt;0,U1348&lt;=Sel_Idx,V1348&gt;=Sel_Idx),Z1348*10000+ROW(),0)</f>
        <v>0</v>
      </c>
      <c r="AD1348" s="40">
        <f>IF(AC1348=0,0,COUNTIFS(L_CalChave,"&gt;0",L_CalChave,"&lt;"&amp;AC1348)+1)</f>
        <v>0</v>
      </c>
    </row>
    <row r="1349">
      <c r="A1349" s="38" t="n"/>
      <c r="B1349" s="39" t="n"/>
      <c r="C1349" s="34" t="n"/>
      <c r="D1349" s="34" t="n"/>
      <c r="E1349" s="34" t="n"/>
      <c r="F1349" s="34" t="n"/>
      <c r="G1349" s="34" t="n"/>
      <c r="H1349" s="37" t="n"/>
      <c r="I1349" s="37" t="n"/>
      <c r="J1349" s="34" t="n"/>
      <c r="K1349" s="34" t="n"/>
      <c r="L1349" s="34" t="n"/>
      <c r="M1349" s="39" t="n"/>
      <c r="N1349" s="35" t="n"/>
      <c r="O1349" s="40" t="str">
        <f>IF($A1349="","",MONTH($A1349))</f>
        <v/>
      </c>
      <c r="P1349" s="40" t="str">
        <f>IF($A1349="","",YEAR($A1349))</f>
        <v/>
      </c>
      <c r="Q1349" s="41" t="str">
        <f>IF($A1349="","",DATE(P1349,O1349,1))</f>
        <v/>
      </c>
      <c r="R1349" s="36" t="str">
        <f>IF(OR($A1349="",$N1349=""),"",IF(AND($C1349&lt;&gt;"Transferência",N($I1349)&gt;1),$N1349/$I1349,$N1349))</f>
        <v/>
      </c>
      <c r="S1349" s="41" t="str">
        <f>IF(OR($A1349="",$F1349="",$C1349&lt;&gt;"Despesa"),"",IF(COUNTIF(Cartoes_Nome,$F1349)=0,"",DATE(P1349,O1349+IF(DAY($A1349)&gt;=INDEX(Cartoes_Fech,MATCH($F1349,Cartoes_Nome,0)),1,0),1)))</f>
        <v/>
      </c>
      <c r="T1349" s="42" t="str">
        <f>IF($A1349="","",IF(COUNTIFS(L_Data,$A1349,L_Desc,$B1349,L_Valor,$N1349,L_Tipo,$C1349)&gt;1,"⚠ Possível duplicidade",IF(OR(AND($C1349="Despesa",COUNTIF(CatD_Nome,$D1349)=0),AND($C1349="Receita",COUNTIF(CatR_Nome,$D1349)=0)),"⚠ Categoria não combina com o tipo",IF(OR($N1349="",$C1349=""),"⚠ Falta valor ou tipo",""))))</f>
        <v/>
      </c>
      <c r="U1349" s="40">
        <f>IF($A1349="",0,P1349*12+O1349)</f>
        <v>0</v>
      </c>
      <c r="V1349" s="40">
        <f>IF($A1349="",0,U1349+MAX(0,N($I1349)-MAX(N($H1349),1)))</f>
        <v>0</v>
      </c>
      <c r="W1349" s="40">
        <f>IF(S1349="",0,YEAR(S1349)*12+MONTH(S1349))</f>
        <v>0</v>
      </c>
      <c r="X1349" s="40">
        <f>IF(W1349=0,0,W1349+V1349-U1349)</f>
        <v>0</v>
      </c>
      <c r="Y1349" s="36">
        <f>IF(W1349=0,0,N(R1349)*MAX(0,X1349-MAX(W1349,YEAR(Cfg_Hoje)*12+MONTH(Cfg_Hoje)+IF(DAY(Cfg_Hoje)&gt;=INDEX(Cartoes_Fech,MATCH($F1349,Cartoes_Nome,0)),1,0))+1))</f>
        <v>0</v>
      </c>
      <c r="Z1349" s="40">
        <f>IF($A1349="",0,DAY($A1349))</f>
        <v>0</v>
      </c>
      <c r="AA1349" s="40">
        <f>IF($A1349="",0,WEEKDAY($A1349))</f>
        <v>0</v>
      </c>
      <c r="AB1349" s="36">
        <f>IF(AND($C1349="Despesa",U1349&gt;0,U1349&lt;=Sel_Idx,V1349&gt;=Sel_Idx),N(R1349)+ROW()/1000000000,0)</f>
        <v>0</v>
      </c>
      <c r="AC1349" s="40">
        <f>IF(AND($C1349="Despesa",U1349&gt;0,U1349&lt;=Sel_Idx,V1349&gt;=Sel_Idx),Z1349*10000+ROW(),0)</f>
        <v>0</v>
      </c>
      <c r="AD1349" s="40">
        <f>IF(AC1349=0,0,COUNTIFS(L_CalChave,"&gt;0",L_CalChave,"&lt;"&amp;AC1349)+1)</f>
        <v>0</v>
      </c>
    </row>
    <row r="1350">
      <c r="A1350" s="38" t="n"/>
      <c r="B1350" s="39" t="n"/>
      <c r="C1350" s="34" t="n"/>
      <c r="D1350" s="34" t="n"/>
      <c r="E1350" s="34" t="n"/>
      <c r="F1350" s="34" t="n"/>
      <c r="G1350" s="34" t="n"/>
      <c r="H1350" s="37" t="n"/>
      <c r="I1350" s="37" t="n"/>
      <c r="J1350" s="34" t="n"/>
      <c r="K1350" s="34" t="n"/>
      <c r="L1350" s="34" t="n"/>
      <c r="M1350" s="39" t="n"/>
      <c r="N1350" s="35" t="n"/>
      <c r="O1350" s="40" t="str">
        <f>IF($A1350="","",MONTH($A1350))</f>
        <v/>
      </c>
      <c r="P1350" s="40" t="str">
        <f>IF($A1350="","",YEAR($A1350))</f>
        <v/>
      </c>
      <c r="Q1350" s="41" t="str">
        <f>IF($A1350="","",DATE(P1350,O1350,1))</f>
        <v/>
      </c>
      <c r="R1350" s="36" t="str">
        <f>IF(OR($A1350="",$N1350=""),"",IF(AND($C1350&lt;&gt;"Transferência",N($I1350)&gt;1),$N1350/$I1350,$N1350))</f>
        <v/>
      </c>
      <c r="S1350" s="41" t="str">
        <f>IF(OR($A1350="",$F1350="",$C1350&lt;&gt;"Despesa"),"",IF(COUNTIF(Cartoes_Nome,$F1350)=0,"",DATE(P1350,O1350+IF(DAY($A1350)&gt;=INDEX(Cartoes_Fech,MATCH($F1350,Cartoes_Nome,0)),1,0),1)))</f>
        <v/>
      </c>
      <c r="T1350" s="42" t="str">
        <f>IF($A1350="","",IF(COUNTIFS(L_Data,$A1350,L_Desc,$B1350,L_Valor,$N1350,L_Tipo,$C1350)&gt;1,"⚠ Possível duplicidade",IF(OR(AND($C1350="Despesa",COUNTIF(CatD_Nome,$D1350)=0),AND($C1350="Receita",COUNTIF(CatR_Nome,$D1350)=0)),"⚠ Categoria não combina com o tipo",IF(OR($N1350="",$C1350=""),"⚠ Falta valor ou tipo",""))))</f>
        <v/>
      </c>
      <c r="U1350" s="40">
        <f>IF($A1350="",0,P1350*12+O1350)</f>
        <v>0</v>
      </c>
      <c r="V1350" s="40">
        <f>IF($A1350="",0,U1350+MAX(0,N($I1350)-MAX(N($H1350),1)))</f>
        <v>0</v>
      </c>
      <c r="W1350" s="40">
        <f>IF(S1350="",0,YEAR(S1350)*12+MONTH(S1350))</f>
        <v>0</v>
      </c>
      <c r="X1350" s="40">
        <f>IF(W1350=0,0,W1350+V1350-U1350)</f>
        <v>0</v>
      </c>
      <c r="Y1350" s="36">
        <f>IF(W1350=0,0,N(R1350)*MAX(0,X1350-MAX(W1350,YEAR(Cfg_Hoje)*12+MONTH(Cfg_Hoje)+IF(DAY(Cfg_Hoje)&gt;=INDEX(Cartoes_Fech,MATCH($F1350,Cartoes_Nome,0)),1,0))+1))</f>
        <v>0</v>
      </c>
      <c r="Z1350" s="40">
        <f>IF($A1350="",0,DAY($A1350))</f>
        <v>0</v>
      </c>
      <c r="AA1350" s="40">
        <f>IF($A1350="",0,WEEKDAY($A1350))</f>
        <v>0</v>
      </c>
      <c r="AB1350" s="36">
        <f>IF(AND($C1350="Despesa",U1350&gt;0,U1350&lt;=Sel_Idx,V1350&gt;=Sel_Idx),N(R1350)+ROW()/1000000000,0)</f>
        <v>0</v>
      </c>
      <c r="AC1350" s="40">
        <f>IF(AND($C1350="Despesa",U1350&gt;0,U1350&lt;=Sel_Idx,V1350&gt;=Sel_Idx),Z1350*10000+ROW(),0)</f>
        <v>0</v>
      </c>
      <c r="AD1350" s="40">
        <f>IF(AC1350=0,0,COUNTIFS(L_CalChave,"&gt;0",L_CalChave,"&lt;"&amp;AC1350)+1)</f>
        <v>0</v>
      </c>
    </row>
    <row r="1351">
      <c r="A1351" s="38" t="n"/>
      <c r="B1351" s="39" t="n"/>
      <c r="C1351" s="34" t="n"/>
      <c r="D1351" s="34" t="n"/>
      <c r="E1351" s="34" t="n"/>
      <c r="F1351" s="34" t="n"/>
      <c r="G1351" s="34" t="n"/>
      <c r="H1351" s="37" t="n"/>
      <c r="I1351" s="37" t="n"/>
      <c r="J1351" s="34" t="n"/>
      <c r="K1351" s="34" t="n"/>
      <c r="L1351" s="34" t="n"/>
      <c r="M1351" s="39" t="n"/>
      <c r="N1351" s="35" t="n"/>
      <c r="O1351" s="40" t="str">
        <f>IF($A1351="","",MONTH($A1351))</f>
        <v/>
      </c>
      <c r="P1351" s="40" t="str">
        <f>IF($A1351="","",YEAR($A1351))</f>
        <v/>
      </c>
      <c r="Q1351" s="41" t="str">
        <f>IF($A1351="","",DATE(P1351,O1351,1))</f>
        <v/>
      </c>
      <c r="R1351" s="36" t="str">
        <f>IF(OR($A1351="",$N1351=""),"",IF(AND($C1351&lt;&gt;"Transferência",N($I1351)&gt;1),$N1351/$I1351,$N1351))</f>
        <v/>
      </c>
      <c r="S1351" s="41" t="str">
        <f>IF(OR($A1351="",$F1351="",$C1351&lt;&gt;"Despesa"),"",IF(COUNTIF(Cartoes_Nome,$F1351)=0,"",DATE(P1351,O1351+IF(DAY($A1351)&gt;=INDEX(Cartoes_Fech,MATCH($F1351,Cartoes_Nome,0)),1,0),1)))</f>
        <v/>
      </c>
      <c r="T1351" s="42" t="str">
        <f>IF($A1351="","",IF(COUNTIFS(L_Data,$A1351,L_Desc,$B1351,L_Valor,$N1351,L_Tipo,$C1351)&gt;1,"⚠ Possível duplicidade",IF(OR(AND($C1351="Despesa",COUNTIF(CatD_Nome,$D1351)=0),AND($C1351="Receita",COUNTIF(CatR_Nome,$D1351)=0)),"⚠ Categoria não combina com o tipo",IF(OR($N1351="",$C1351=""),"⚠ Falta valor ou tipo",""))))</f>
        <v/>
      </c>
      <c r="U1351" s="40">
        <f>IF($A1351="",0,P1351*12+O1351)</f>
        <v>0</v>
      </c>
      <c r="V1351" s="40">
        <f>IF($A1351="",0,U1351+MAX(0,N($I1351)-MAX(N($H1351),1)))</f>
        <v>0</v>
      </c>
      <c r="W1351" s="40">
        <f>IF(S1351="",0,YEAR(S1351)*12+MONTH(S1351))</f>
        <v>0</v>
      </c>
      <c r="X1351" s="40">
        <f>IF(W1351=0,0,W1351+V1351-U1351)</f>
        <v>0</v>
      </c>
      <c r="Y1351" s="36">
        <f>IF(W1351=0,0,N(R1351)*MAX(0,X1351-MAX(W1351,YEAR(Cfg_Hoje)*12+MONTH(Cfg_Hoje)+IF(DAY(Cfg_Hoje)&gt;=INDEX(Cartoes_Fech,MATCH($F1351,Cartoes_Nome,0)),1,0))+1))</f>
        <v>0</v>
      </c>
      <c r="Z1351" s="40">
        <f>IF($A1351="",0,DAY($A1351))</f>
        <v>0</v>
      </c>
      <c r="AA1351" s="40">
        <f>IF($A1351="",0,WEEKDAY($A1351))</f>
        <v>0</v>
      </c>
      <c r="AB1351" s="36">
        <f>IF(AND($C1351="Despesa",U1351&gt;0,U1351&lt;=Sel_Idx,V1351&gt;=Sel_Idx),N(R1351)+ROW()/1000000000,0)</f>
        <v>0</v>
      </c>
      <c r="AC1351" s="40">
        <f>IF(AND($C1351="Despesa",U1351&gt;0,U1351&lt;=Sel_Idx,V1351&gt;=Sel_Idx),Z1351*10000+ROW(),0)</f>
        <v>0</v>
      </c>
      <c r="AD1351" s="40">
        <f>IF(AC1351=0,0,COUNTIFS(L_CalChave,"&gt;0",L_CalChave,"&lt;"&amp;AC1351)+1)</f>
        <v>0</v>
      </c>
    </row>
    <row r="1352">
      <c r="A1352" s="38" t="n"/>
      <c r="B1352" s="39" t="n"/>
      <c r="C1352" s="34" t="n"/>
      <c r="D1352" s="34" t="n"/>
      <c r="E1352" s="34" t="n"/>
      <c r="F1352" s="34" t="n"/>
      <c r="G1352" s="34" t="n"/>
      <c r="H1352" s="37" t="n"/>
      <c r="I1352" s="37" t="n"/>
      <c r="J1352" s="34" t="n"/>
      <c r="K1352" s="34" t="n"/>
      <c r="L1352" s="34" t="n"/>
      <c r="M1352" s="39" t="n"/>
      <c r="N1352" s="35" t="n"/>
      <c r="O1352" s="40" t="str">
        <f>IF($A1352="","",MONTH($A1352))</f>
        <v/>
      </c>
      <c r="P1352" s="40" t="str">
        <f>IF($A1352="","",YEAR($A1352))</f>
        <v/>
      </c>
      <c r="Q1352" s="41" t="str">
        <f>IF($A1352="","",DATE(P1352,O1352,1))</f>
        <v/>
      </c>
      <c r="R1352" s="36" t="str">
        <f>IF(OR($A1352="",$N1352=""),"",IF(AND($C1352&lt;&gt;"Transferência",N($I1352)&gt;1),$N1352/$I1352,$N1352))</f>
        <v/>
      </c>
      <c r="S1352" s="41" t="str">
        <f>IF(OR($A1352="",$F1352="",$C1352&lt;&gt;"Despesa"),"",IF(COUNTIF(Cartoes_Nome,$F1352)=0,"",DATE(P1352,O1352+IF(DAY($A1352)&gt;=INDEX(Cartoes_Fech,MATCH($F1352,Cartoes_Nome,0)),1,0),1)))</f>
        <v/>
      </c>
      <c r="T1352" s="42" t="str">
        <f>IF($A1352="","",IF(COUNTIFS(L_Data,$A1352,L_Desc,$B1352,L_Valor,$N1352,L_Tipo,$C1352)&gt;1,"⚠ Possível duplicidade",IF(OR(AND($C1352="Despesa",COUNTIF(CatD_Nome,$D1352)=0),AND($C1352="Receita",COUNTIF(CatR_Nome,$D1352)=0)),"⚠ Categoria não combina com o tipo",IF(OR($N1352="",$C1352=""),"⚠ Falta valor ou tipo",""))))</f>
        <v/>
      </c>
      <c r="U1352" s="40">
        <f>IF($A1352="",0,P1352*12+O1352)</f>
        <v>0</v>
      </c>
      <c r="V1352" s="40">
        <f>IF($A1352="",0,U1352+MAX(0,N($I1352)-MAX(N($H1352),1)))</f>
        <v>0</v>
      </c>
      <c r="W1352" s="40">
        <f>IF(S1352="",0,YEAR(S1352)*12+MONTH(S1352))</f>
        <v>0</v>
      </c>
      <c r="X1352" s="40">
        <f>IF(W1352=0,0,W1352+V1352-U1352)</f>
        <v>0</v>
      </c>
      <c r="Y1352" s="36">
        <f>IF(W1352=0,0,N(R1352)*MAX(0,X1352-MAX(W1352,YEAR(Cfg_Hoje)*12+MONTH(Cfg_Hoje)+IF(DAY(Cfg_Hoje)&gt;=INDEX(Cartoes_Fech,MATCH($F1352,Cartoes_Nome,0)),1,0))+1))</f>
        <v>0</v>
      </c>
      <c r="Z1352" s="40">
        <f>IF($A1352="",0,DAY($A1352))</f>
        <v>0</v>
      </c>
      <c r="AA1352" s="40">
        <f>IF($A1352="",0,WEEKDAY($A1352))</f>
        <v>0</v>
      </c>
      <c r="AB1352" s="36">
        <f>IF(AND($C1352="Despesa",U1352&gt;0,U1352&lt;=Sel_Idx,V1352&gt;=Sel_Idx),N(R1352)+ROW()/1000000000,0)</f>
        <v>0</v>
      </c>
      <c r="AC1352" s="40">
        <f>IF(AND($C1352="Despesa",U1352&gt;0,U1352&lt;=Sel_Idx,V1352&gt;=Sel_Idx),Z1352*10000+ROW(),0)</f>
        <v>0</v>
      </c>
      <c r="AD1352" s="40">
        <f>IF(AC1352=0,0,COUNTIFS(L_CalChave,"&gt;0",L_CalChave,"&lt;"&amp;AC1352)+1)</f>
        <v>0</v>
      </c>
    </row>
    <row r="1353">
      <c r="A1353" s="38" t="n"/>
      <c r="B1353" s="39" t="n"/>
      <c r="C1353" s="34" t="n"/>
      <c r="D1353" s="34" t="n"/>
      <c r="E1353" s="34" t="n"/>
      <c r="F1353" s="34" t="n"/>
      <c r="G1353" s="34" t="n"/>
      <c r="H1353" s="37" t="n"/>
      <c r="I1353" s="37" t="n"/>
      <c r="J1353" s="34" t="n"/>
      <c r="K1353" s="34" t="n"/>
      <c r="L1353" s="34" t="n"/>
      <c r="M1353" s="39" t="n"/>
      <c r="N1353" s="35" t="n"/>
      <c r="O1353" s="40" t="str">
        <f>IF($A1353="","",MONTH($A1353))</f>
        <v/>
      </c>
      <c r="P1353" s="40" t="str">
        <f>IF($A1353="","",YEAR($A1353))</f>
        <v/>
      </c>
      <c r="Q1353" s="41" t="str">
        <f>IF($A1353="","",DATE(P1353,O1353,1))</f>
        <v/>
      </c>
      <c r="R1353" s="36" t="str">
        <f>IF(OR($A1353="",$N1353=""),"",IF(AND($C1353&lt;&gt;"Transferência",N($I1353)&gt;1),$N1353/$I1353,$N1353))</f>
        <v/>
      </c>
      <c r="S1353" s="41" t="str">
        <f>IF(OR($A1353="",$F1353="",$C1353&lt;&gt;"Despesa"),"",IF(COUNTIF(Cartoes_Nome,$F1353)=0,"",DATE(P1353,O1353+IF(DAY($A1353)&gt;=INDEX(Cartoes_Fech,MATCH($F1353,Cartoes_Nome,0)),1,0),1)))</f>
        <v/>
      </c>
      <c r="T1353" s="42" t="str">
        <f>IF($A1353="","",IF(COUNTIFS(L_Data,$A1353,L_Desc,$B1353,L_Valor,$N1353,L_Tipo,$C1353)&gt;1,"⚠ Possível duplicidade",IF(OR(AND($C1353="Despesa",COUNTIF(CatD_Nome,$D1353)=0),AND($C1353="Receita",COUNTIF(CatR_Nome,$D1353)=0)),"⚠ Categoria não combina com o tipo",IF(OR($N1353="",$C1353=""),"⚠ Falta valor ou tipo",""))))</f>
        <v/>
      </c>
      <c r="U1353" s="40">
        <f>IF($A1353="",0,P1353*12+O1353)</f>
        <v>0</v>
      </c>
      <c r="V1353" s="40">
        <f>IF($A1353="",0,U1353+MAX(0,N($I1353)-MAX(N($H1353),1)))</f>
        <v>0</v>
      </c>
      <c r="W1353" s="40">
        <f>IF(S1353="",0,YEAR(S1353)*12+MONTH(S1353))</f>
        <v>0</v>
      </c>
      <c r="X1353" s="40">
        <f>IF(W1353=0,0,W1353+V1353-U1353)</f>
        <v>0</v>
      </c>
      <c r="Y1353" s="36">
        <f>IF(W1353=0,0,N(R1353)*MAX(0,X1353-MAX(W1353,YEAR(Cfg_Hoje)*12+MONTH(Cfg_Hoje)+IF(DAY(Cfg_Hoje)&gt;=INDEX(Cartoes_Fech,MATCH($F1353,Cartoes_Nome,0)),1,0))+1))</f>
        <v>0</v>
      </c>
      <c r="Z1353" s="40">
        <f>IF($A1353="",0,DAY($A1353))</f>
        <v>0</v>
      </c>
      <c r="AA1353" s="40">
        <f>IF($A1353="",0,WEEKDAY($A1353))</f>
        <v>0</v>
      </c>
      <c r="AB1353" s="36">
        <f>IF(AND($C1353="Despesa",U1353&gt;0,U1353&lt;=Sel_Idx,V1353&gt;=Sel_Idx),N(R1353)+ROW()/1000000000,0)</f>
        <v>0</v>
      </c>
      <c r="AC1353" s="40">
        <f>IF(AND($C1353="Despesa",U1353&gt;0,U1353&lt;=Sel_Idx,V1353&gt;=Sel_Idx),Z1353*10000+ROW(),0)</f>
        <v>0</v>
      </c>
      <c r="AD1353" s="40">
        <f>IF(AC1353=0,0,COUNTIFS(L_CalChave,"&gt;0",L_CalChave,"&lt;"&amp;AC1353)+1)</f>
        <v>0</v>
      </c>
    </row>
    <row r="1354">
      <c r="A1354" s="38" t="n"/>
      <c r="B1354" s="39" t="n"/>
      <c r="C1354" s="34" t="n"/>
      <c r="D1354" s="34" t="n"/>
      <c r="E1354" s="34" t="n"/>
      <c r="F1354" s="34" t="n"/>
      <c r="G1354" s="34" t="n"/>
      <c r="H1354" s="37" t="n"/>
      <c r="I1354" s="37" t="n"/>
      <c r="J1354" s="34" t="n"/>
      <c r="K1354" s="34" t="n"/>
      <c r="L1354" s="34" t="n"/>
      <c r="M1354" s="39" t="n"/>
      <c r="N1354" s="35" t="n"/>
      <c r="O1354" s="40" t="str">
        <f>IF($A1354="","",MONTH($A1354))</f>
        <v/>
      </c>
      <c r="P1354" s="40" t="str">
        <f>IF($A1354="","",YEAR($A1354))</f>
        <v/>
      </c>
      <c r="Q1354" s="41" t="str">
        <f>IF($A1354="","",DATE(P1354,O1354,1))</f>
        <v/>
      </c>
      <c r="R1354" s="36" t="str">
        <f>IF(OR($A1354="",$N1354=""),"",IF(AND($C1354&lt;&gt;"Transferência",N($I1354)&gt;1),$N1354/$I1354,$N1354))</f>
        <v/>
      </c>
      <c r="S1354" s="41" t="str">
        <f>IF(OR($A1354="",$F1354="",$C1354&lt;&gt;"Despesa"),"",IF(COUNTIF(Cartoes_Nome,$F1354)=0,"",DATE(P1354,O1354+IF(DAY($A1354)&gt;=INDEX(Cartoes_Fech,MATCH($F1354,Cartoes_Nome,0)),1,0),1)))</f>
        <v/>
      </c>
      <c r="T1354" s="42" t="str">
        <f>IF($A1354="","",IF(COUNTIFS(L_Data,$A1354,L_Desc,$B1354,L_Valor,$N1354,L_Tipo,$C1354)&gt;1,"⚠ Possível duplicidade",IF(OR(AND($C1354="Despesa",COUNTIF(CatD_Nome,$D1354)=0),AND($C1354="Receita",COUNTIF(CatR_Nome,$D1354)=0)),"⚠ Categoria não combina com o tipo",IF(OR($N1354="",$C1354=""),"⚠ Falta valor ou tipo",""))))</f>
        <v/>
      </c>
      <c r="U1354" s="40">
        <f>IF($A1354="",0,P1354*12+O1354)</f>
        <v>0</v>
      </c>
      <c r="V1354" s="40">
        <f>IF($A1354="",0,U1354+MAX(0,N($I1354)-MAX(N($H1354),1)))</f>
        <v>0</v>
      </c>
      <c r="W1354" s="40">
        <f>IF(S1354="",0,YEAR(S1354)*12+MONTH(S1354))</f>
        <v>0</v>
      </c>
      <c r="X1354" s="40">
        <f>IF(W1354=0,0,W1354+V1354-U1354)</f>
        <v>0</v>
      </c>
      <c r="Y1354" s="36">
        <f>IF(W1354=0,0,N(R1354)*MAX(0,X1354-MAX(W1354,YEAR(Cfg_Hoje)*12+MONTH(Cfg_Hoje)+IF(DAY(Cfg_Hoje)&gt;=INDEX(Cartoes_Fech,MATCH($F1354,Cartoes_Nome,0)),1,0))+1))</f>
        <v>0</v>
      </c>
      <c r="Z1354" s="40">
        <f>IF($A1354="",0,DAY($A1354))</f>
        <v>0</v>
      </c>
      <c r="AA1354" s="40">
        <f>IF($A1354="",0,WEEKDAY($A1354))</f>
        <v>0</v>
      </c>
      <c r="AB1354" s="36">
        <f>IF(AND($C1354="Despesa",U1354&gt;0,U1354&lt;=Sel_Idx,V1354&gt;=Sel_Idx),N(R1354)+ROW()/1000000000,0)</f>
        <v>0</v>
      </c>
      <c r="AC1354" s="40">
        <f>IF(AND($C1354="Despesa",U1354&gt;0,U1354&lt;=Sel_Idx,V1354&gt;=Sel_Idx),Z1354*10000+ROW(),0)</f>
        <v>0</v>
      </c>
      <c r="AD1354" s="40">
        <f>IF(AC1354=0,0,COUNTIFS(L_CalChave,"&gt;0",L_CalChave,"&lt;"&amp;AC1354)+1)</f>
        <v>0</v>
      </c>
    </row>
    <row r="1355">
      <c r="A1355" s="38" t="n"/>
      <c r="B1355" s="39" t="n"/>
      <c r="C1355" s="34" t="n"/>
      <c r="D1355" s="34" t="n"/>
      <c r="E1355" s="34" t="n"/>
      <c r="F1355" s="34" t="n"/>
      <c r="G1355" s="34" t="n"/>
      <c r="H1355" s="37" t="n"/>
      <c r="I1355" s="37" t="n"/>
      <c r="J1355" s="34" t="n"/>
      <c r="K1355" s="34" t="n"/>
      <c r="L1355" s="34" t="n"/>
      <c r="M1355" s="39" t="n"/>
      <c r="N1355" s="35" t="n"/>
      <c r="O1355" s="40" t="str">
        <f>IF($A1355="","",MONTH($A1355))</f>
        <v/>
      </c>
      <c r="P1355" s="40" t="str">
        <f>IF($A1355="","",YEAR($A1355))</f>
        <v/>
      </c>
      <c r="Q1355" s="41" t="str">
        <f>IF($A1355="","",DATE(P1355,O1355,1))</f>
        <v/>
      </c>
      <c r="R1355" s="36" t="str">
        <f>IF(OR($A1355="",$N1355=""),"",IF(AND($C1355&lt;&gt;"Transferência",N($I1355)&gt;1),$N1355/$I1355,$N1355))</f>
        <v/>
      </c>
      <c r="S1355" s="41" t="str">
        <f>IF(OR($A1355="",$F1355="",$C1355&lt;&gt;"Despesa"),"",IF(COUNTIF(Cartoes_Nome,$F1355)=0,"",DATE(P1355,O1355+IF(DAY($A1355)&gt;=INDEX(Cartoes_Fech,MATCH($F1355,Cartoes_Nome,0)),1,0),1)))</f>
        <v/>
      </c>
      <c r="T1355" s="42" t="str">
        <f>IF($A1355="","",IF(COUNTIFS(L_Data,$A1355,L_Desc,$B1355,L_Valor,$N1355,L_Tipo,$C1355)&gt;1,"⚠ Possível duplicidade",IF(OR(AND($C1355="Despesa",COUNTIF(CatD_Nome,$D1355)=0),AND($C1355="Receita",COUNTIF(CatR_Nome,$D1355)=0)),"⚠ Categoria não combina com o tipo",IF(OR($N1355="",$C1355=""),"⚠ Falta valor ou tipo",""))))</f>
        <v/>
      </c>
      <c r="U1355" s="40">
        <f>IF($A1355="",0,P1355*12+O1355)</f>
        <v>0</v>
      </c>
      <c r="V1355" s="40">
        <f>IF($A1355="",0,U1355+MAX(0,N($I1355)-MAX(N($H1355),1)))</f>
        <v>0</v>
      </c>
      <c r="W1355" s="40">
        <f>IF(S1355="",0,YEAR(S1355)*12+MONTH(S1355))</f>
        <v>0</v>
      </c>
      <c r="X1355" s="40">
        <f>IF(W1355=0,0,W1355+V1355-U1355)</f>
        <v>0</v>
      </c>
      <c r="Y1355" s="36">
        <f>IF(W1355=0,0,N(R1355)*MAX(0,X1355-MAX(W1355,YEAR(Cfg_Hoje)*12+MONTH(Cfg_Hoje)+IF(DAY(Cfg_Hoje)&gt;=INDEX(Cartoes_Fech,MATCH($F1355,Cartoes_Nome,0)),1,0))+1))</f>
        <v>0</v>
      </c>
      <c r="Z1355" s="40">
        <f>IF($A1355="",0,DAY($A1355))</f>
        <v>0</v>
      </c>
      <c r="AA1355" s="40">
        <f>IF($A1355="",0,WEEKDAY($A1355))</f>
        <v>0</v>
      </c>
      <c r="AB1355" s="36">
        <f>IF(AND($C1355="Despesa",U1355&gt;0,U1355&lt;=Sel_Idx,V1355&gt;=Sel_Idx),N(R1355)+ROW()/1000000000,0)</f>
        <v>0</v>
      </c>
      <c r="AC1355" s="40">
        <f>IF(AND($C1355="Despesa",U1355&gt;0,U1355&lt;=Sel_Idx,V1355&gt;=Sel_Idx),Z1355*10000+ROW(),0)</f>
        <v>0</v>
      </c>
      <c r="AD1355" s="40">
        <f>IF(AC1355=0,0,COUNTIFS(L_CalChave,"&gt;0",L_CalChave,"&lt;"&amp;AC1355)+1)</f>
        <v>0</v>
      </c>
    </row>
    <row r="1356">
      <c r="A1356" s="38" t="n"/>
      <c r="B1356" s="39" t="n"/>
      <c r="C1356" s="34" t="n"/>
      <c r="D1356" s="34" t="n"/>
      <c r="E1356" s="34" t="n"/>
      <c r="F1356" s="34" t="n"/>
      <c r="G1356" s="34" t="n"/>
      <c r="H1356" s="37" t="n"/>
      <c r="I1356" s="37" t="n"/>
      <c r="J1356" s="34" t="n"/>
      <c r="K1356" s="34" t="n"/>
      <c r="L1356" s="34" t="n"/>
      <c r="M1356" s="39" t="n"/>
      <c r="N1356" s="35" t="n"/>
      <c r="O1356" s="40" t="str">
        <f>IF($A1356="","",MONTH($A1356))</f>
        <v/>
      </c>
      <c r="P1356" s="40" t="str">
        <f>IF($A1356="","",YEAR($A1356))</f>
        <v/>
      </c>
      <c r="Q1356" s="41" t="str">
        <f>IF($A1356="","",DATE(P1356,O1356,1))</f>
        <v/>
      </c>
      <c r="R1356" s="36" t="str">
        <f>IF(OR($A1356="",$N1356=""),"",IF(AND($C1356&lt;&gt;"Transferência",N($I1356)&gt;1),$N1356/$I1356,$N1356))</f>
        <v/>
      </c>
      <c r="S1356" s="41" t="str">
        <f>IF(OR($A1356="",$F1356="",$C1356&lt;&gt;"Despesa"),"",IF(COUNTIF(Cartoes_Nome,$F1356)=0,"",DATE(P1356,O1356+IF(DAY($A1356)&gt;=INDEX(Cartoes_Fech,MATCH($F1356,Cartoes_Nome,0)),1,0),1)))</f>
        <v/>
      </c>
      <c r="T1356" s="42" t="str">
        <f>IF($A1356="","",IF(COUNTIFS(L_Data,$A1356,L_Desc,$B1356,L_Valor,$N1356,L_Tipo,$C1356)&gt;1,"⚠ Possível duplicidade",IF(OR(AND($C1356="Despesa",COUNTIF(CatD_Nome,$D1356)=0),AND($C1356="Receita",COUNTIF(CatR_Nome,$D1356)=0)),"⚠ Categoria não combina com o tipo",IF(OR($N1356="",$C1356=""),"⚠ Falta valor ou tipo",""))))</f>
        <v/>
      </c>
      <c r="U1356" s="40">
        <f>IF($A1356="",0,P1356*12+O1356)</f>
        <v>0</v>
      </c>
      <c r="V1356" s="40">
        <f>IF($A1356="",0,U1356+MAX(0,N($I1356)-MAX(N($H1356),1)))</f>
        <v>0</v>
      </c>
      <c r="W1356" s="40">
        <f>IF(S1356="",0,YEAR(S1356)*12+MONTH(S1356))</f>
        <v>0</v>
      </c>
      <c r="X1356" s="40">
        <f>IF(W1356=0,0,W1356+V1356-U1356)</f>
        <v>0</v>
      </c>
      <c r="Y1356" s="36">
        <f>IF(W1356=0,0,N(R1356)*MAX(0,X1356-MAX(W1356,YEAR(Cfg_Hoje)*12+MONTH(Cfg_Hoje)+IF(DAY(Cfg_Hoje)&gt;=INDEX(Cartoes_Fech,MATCH($F1356,Cartoes_Nome,0)),1,0))+1))</f>
        <v>0</v>
      </c>
      <c r="Z1356" s="40">
        <f>IF($A1356="",0,DAY($A1356))</f>
        <v>0</v>
      </c>
      <c r="AA1356" s="40">
        <f>IF($A1356="",0,WEEKDAY($A1356))</f>
        <v>0</v>
      </c>
      <c r="AB1356" s="36">
        <f>IF(AND($C1356="Despesa",U1356&gt;0,U1356&lt;=Sel_Idx,V1356&gt;=Sel_Idx),N(R1356)+ROW()/1000000000,0)</f>
        <v>0</v>
      </c>
      <c r="AC1356" s="40">
        <f>IF(AND($C1356="Despesa",U1356&gt;0,U1356&lt;=Sel_Idx,V1356&gt;=Sel_Idx),Z1356*10000+ROW(),0)</f>
        <v>0</v>
      </c>
      <c r="AD1356" s="40">
        <f>IF(AC1356=0,0,COUNTIFS(L_CalChave,"&gt;0",L_CalChave,"&lt;"&amp;AC1356)+1)</f>
        <v>0</v>
      </c>
    </row>
    <row r="1357">
      <c r="A1357" s="38" t="n"/>
      <c r="B1357" s="39" t="n"/>
      <c r="C1357" s="34" t="n"/>
      <c r="D1357" s="34" t="n"/>
      <c r="E1357" s="34" t="n"/>
      <c r="F1357" s="34" t="n"/>
      <c r="G1357" s="34" t="n"/>
      <c r="H1357" s="37" t="n"/>
      <c r="I1357" s="37" t="n"/>
      <c r="J1357" s="34" t="n"/>
      <c r="K1357" s="34" t="n"/>
      <c r="L1357" s="34" t="n"/>
      <c r="M1357" s="39" t="n"/>
      <c r="N1357" s="35" t="n"/>
      <c r="O1357" s="40" t="str">
        <f>IF($A1357="","",MONTH($A1357))</f>
        <v/>
      </c>
      <c r="P1357" s="40" t="str">
        <f>IF($A1357="","",YEAR($A1357))</f>
        <v/>
      </c>
      <c r="Q1357" s="41" t="str">
        <f>IF($A1357="","",DATE(P1357,O1357,1))</f>
        <v/>
      </c>
      <c r="R1357" s="36" t="str">
        <f>IF(OR($A1357="",$N1357=""),"",IF(AND($C1357&lt;&gt;"Transferência",N($I1357)&gt;1),$N1357/$I1357,$N1357))</f>
        <v/>
      </c>
      <c r="S1357" s="41" t="str">
        <f>IF(OR($A1357="",$F1357="",$C1357&lt;&gt;"Despesa"),"",IF(COUNTIF(Cartoes_Nome,$F1357)=0,"",DATE(P1357,O1357+IF(DAY($A1357)&gt;=INDEX(Cartoes_Fech,MATCH($F1357,Cartoes_Nome,0)),1,0),1)))</f>
        <v/>
      </c>
      <c r="T1357" s="42" t="str">
        <f>IF($A1357="","",IF(COUNTIFS(L_Data,$A1357,L_Desc,$B1357,L_Valor,$N1357,L_Tipo,$C1357)&gt;1,"⚠ Possível duplicidade",IF(OR(AND($C1357="Despesa",COUNTIF(CatD_Nome,$D1357)=0),AND($C1357="Receita",COUNTIF(CatR_Nome,$D1357)=0)),"⚠ Categoria não combina com o tipo",IF(OR($N1357="",$C1357=""),"⚠ Falta valor ou tipo",""))))</f>
        <v/>
      </c>
      <c r="U1357" s="40">
        <f>IF($A1357="",0,P1357*12+O1357)</f>
        <v>0</v>
      </c>
      <c r="V1357" s="40">
        <f>IF($A1357="",0,U1357+MAX(0,N($I1357)-MAX(N($H1357),1)))</f>
        <v>0</v>
      </c>
      <c r="W1357" s="40">
        <f>IF(S1357="",0,YEAR(S1357)*12+MONTH(S1357))</f>
        <v>0</v>
      </c>
      <c r="X1357" s="40">
        <f>IF(W1357=0,0,W1357+V1357-U1357)</f>
        <v>0</v>
      </c>
      <c r="Y1357" s="36">
        <f>IF(W1357=0,0,N(R1357)*MAX(0,X1357-MAX(W1357,YEAR(Cfg_Hoje)*12+MONTH(Cfg_Hoje)+IF(DAY(Cfg_Hoje)&gt;=INDEX(Cartoes_Fech,MATCH($F1357,Cartoes_Nome,0)),1,0))+1))</f>
        <v>0</v>
      </c>
      <c r="Z1357" s="40">
        <f>IF($A1357="",0,DAY($A1357))</f>
        <v>0</v>
      </c>
      <c r="AA1357" s="40">
        <f>IF($A1357="",0,WEEKDAY($A1357))</f>
        <v>0</v>
      </c>
      <c r="AB1357" s="36">
        <f>IF(AND($C1357="Despesa",U1357&gt;0,U1357&lt;=Sel_Idx,V1357&gt;=Sel_Idx),N(R1357)+ROW()/1000000000,0)</f>
        <v>0</v>
      </c>
      <c r="AC1357" s="40">
        <f>IF(AND($C1357="Despesa",U1357&gt;0,U1357&lt;=Sel_Idx,V1357&gt;=Sel_Idx),Z1357*10000+ROW(),0)</f>
        <v>0</v>
      </c>
      <c r="AD1357" s="40">
        <f>IF(AC1357=0,0,COUNTIFS(L_CalChave,"&gt;0",L_CalChave,"&lt;"&amp;AC1357)+1)</f>
        <v>0</v>
      </c>
    </row>
    <row r="1358">
      <c r="A1358" s="38" t="n"/>
      <c r="B1358" s="39" t="n"/>
      <c r="C1358" s="34" t="n"/>
      <c r="D1358" s="34" t="n"/>
      <c r="E1358" s="34" t="n"/>
      <c r="F1358" s="34" t="n"/>
      <c r="G1358" s="34" t="n"/>
      <c r="H1358" s="37" t="n"/>
      <c r="I1358" s="37" t="n"/>
      <c r="J1358" s="34" t="n"/>
      <c r="K1358" s="34" t="n"/>
      <c r="L1358" s="34" t="n"/>
      <c r="M1358" s="39" t="n"/>
      <c r="N1358" s="35" t="n"/>
      <c r="O1358" s="40" t="str">
        <f>IF($A1358="","",MONTH($A1358))</f>
        <v/>
      </c>
      <c r="P1358" s="40" t="str">
        <f>IF($A1358="","",YEAR($A1358))</f>
        <v/>
      </c>
      <c r="Q1358" s="41" t="str">
        <f>IF($A1358="","",DATE(P1358,O1358,1))</f>
        <v/>
      </c>
      <c r="R1358" s="36" t="str">
        <f>IF(OR($A1358="",$N1358=""),"",IF(AND($C1358&lt;&gt;"Transferência",N($I1358)&gt;1),$N1358/$I1358,$N1358))</f>
        <v/>
      </c>
      <c r="S1358" s="41" t="str">
        <f>IF(OR($A1358="",$F1358="",$C1358&lt;&gt;"Despesa"),"",IF(COUNTIF(Cartoes_Nome,$F1358)=0,"",DATE(P1358,O1358+IF(DAY($A1358)&gt;=INDEX(Cartoes_Fech,MATCH($F1358,Cartoes_Nome,0)),1,0),1)))</f>
        <v/>
      </c>
      <c r="T1358" s="42" t="str">
        <f>IF($A1358="","",IF(COUNTIFS(L_Data,$A1358,L_Desc,$B1358,L_Valor,$N1358,L_Tipo,$C1358)&gt;1,"⚠ Possível duplicidade",IF(OR(AND($C1358="Despesa",COUNTIF(CatD_Nome,$D1358)=0),AND($C1358="Receita",COUNTIF(CatR_Nome,$D1358)=0)),"⚠ Categoria não combina com o tipo",IF(OR($N1358="",$C1358=""),"⚠ Falta valor ou tipo",""))))</f>
        <v/>
      </c>
      <c r="U1358" s="40">
        <f>IF($A1358="",0,P1358*12+O1358)</f>
        <v>0</v>
      </c>
      <c r="V1358" s="40">
        <f>IF($A1358="",0,U1358+MAX(0,N($I1358)-MAX(N($H1358),1)))</f>
        <v>0</v>
      </c>
      <c r="W1358" s="40">
        <f>IF(S1358="",0,YEAR(S1358)*12+MONTH(S1358))</f>
        <v>0</v>
      </c>
      <c r="X1358" s="40">
        <f>IF(W1358=0,0,W1358+V1358-U1358)</f>
        <v>0</v>
      </c>
      <c r="Y1358" s="36">
        <f>IF(W1358=0,0,N(R1358)*MAX(0,X1358-MAX(W1358,YEAR(Cfg_Hoje)*12+MONTH(Cfg_Hoje)+IF(DAY(Cfg_Hoje)&gt;=INDEX(Cartoes_Fech,MATCH($F1358,Cartoes_Nome,0)),1,0))+1))</f>
        <v>0</v>
      </c>
      <c r="Z1358" s="40">
        <f>IF($A1358="",0,DAY($A1358))</f>
        <v>0</v>
      </c>
      <c r="AA1358" s="40">
        <f>IF($A1358="",0,WEEKDAY($A1358))</f>
        <v>0</v>
      </c>
      <c r="AB1358" s="36">
        <f>IF(AND($C1358="Despesa",U1358&gt;0,U1358&lt;=Sel_Idx,V1358&gt;=Sel_Idx),N(R1358)+ROW()/1000000000,0)</f>
        <v>0</v>
      </c>
      <c r="AC1358" s="40">
        <f>IF(AND($C1358="Despesa",U1358&gt;0,U1358&lt;=Sel_Idx,V1358&gt;=Sel_Idx),Z1358*10000+ROW(),0)</f>
        <v>0</v>
      </c>
      <c r="AD1358" s="40">
        <f>IF(AC1358=0,0,COUNTIFS(L_CalChave,"&gt;0",L_CalChave,"&lt;"&amp;AC1358)+1)</f>
        <v>0</v>
      </c>
    </row>
    <row r="1359">
      <c r="A1359" s="38" t="n"/>
      <c r="B1359" s="39" t="n"/>
      <c r="C1359" s="34" t="n"/>
      <c r="D1359" s="34" t="n"/>
      <c r="E1359" s="34" t="n"/>
      <c r="F1359" s="34" t="n"/>
      <c r="G1359" s="34" t="n"/>
      <c r="H1359" s="37" t="n"/>
      <c r="I1359" s="37" t="n"/>
      <c r="J1359" s="34" t="n"/>
      <c r="K1359" s="34" t="n"/>
      <c r="L1359" s="34" t="n"/>
      <c r="M1359" s="39" t="n"/>
      <c r="N1359" s="35" t="n"/>
      <c r="O1359" s="40" t="str">
        <f>IF($A1359="","",MONTH($A1359))</f>
        <v/>
      </c>
      <c r="P1359" s="40" t="str">
        <f>IF($A1359="","",YEAR($A1359))</f>
        <v/>
      </c>
      <c r="Q1359" s="41" t="str">
        <f>IF($A1359="","",DATE(P1359,O1359,1))</f>
        <v/>
      </c>
      <c r="R1359" s="36" t="str">
        <f>IF(OR($A1359="",$N1359=""),"",IF(AND($C1359&lt;&gt;"Transferência",N($I1359)&gt;1),$N1359/$I1359,$N1359))</f>
        <v/>
      </c>
      <c r="S1359" s="41" t="str">
        <f>IF(OR($A1359="",$F1359="",$C1359&lt;&gt;"Despesa"),"",IF(COUNTIF(Cartoes_Nome,$F1359)=0,"",DATE(P1359,O1359+IF(DAY($A1359)&gt;=INDEX(Cartoes_Fech,MATCH($F1359,Cartoes_Nome,0)),1,0),1)))</f>
        <v/>
      </c>
      <c r="T1359" s="42" t="str">
        <f>IF($A1359="","",IF(COUNTIFS(L_Data,$A1359,L_Desc,$B1359,L_Valor,$N1359,L_Tipo,$C1359)&gt;1,"⚠ Possível duplicidade",IF(OR(AND($C1359="Despesa",COUNTIF(CatD_Nome,$D1359)=0),AND($C1359="Receita",COUNTIF(CatR_Nome,$D1359)=0)),"⚠ Categoria não combina com o tipo",IF(OR($N1359="",$C1359=""),"⚠ Falta valor ou tipo",""))))</f>
        <v/>
      </c>
      <c r="U1359" s="40">
        <f>IF($A1359="",0,P1359*12+O1359)</f>
        <v>0</v>
      </c>
      <c r="V1359" s="40">
        <f>IF($A1359="",0,U1359+MAX(0,N($I1359)-MAX(N($H1359),1)))</f>
        <v>0</v>
      </c>
      <c r="W1359" s="40">
        <f>IF(S1359="",0,YEAR(S1359)*12+MONTH(S1359))</f>
        <v>0</v>
      </c>
      <c r="X1359" s="40">
        <f>IF(W1359=0,0,W1359+V1359-U1359)</f>
        <v>0</v>
      </c>
      <c r="Y1359" s="36">
        <f>IF(W1359=0,0,N(R1359)*MAX(0,X1359-MAX(W1359,YEAR(Cfg_Hoje)*12+MONTH(Cfg_Hoje)+IF(DAY(Cfg_Hoje)&gt;=INDEX(Cartoes_Fech,MATCH($F1359,Cartoes_Nome,0)),1,0))+1))</f>
        <v>0</v>
      </c>
      <c r="Z1359" s="40">
        <f>IF($A1359="",0,DAY($A1359))</f>
        <v>0</v>
      </c>
      <c r="AA1359" s="40">
        <f>IF($A1359="",0,WEEKDAY($A1359))</f>
        <v>0</v>
      </c>
      <c r="AB1359" s="36">
        <f>IF(AND($C1359="Despesa",U1359&gt;0,U1359&lt;=Sel_Idx,V1359&gt;=Sel_Idx),N(R1359)+ROW()/1000000000,0)</f>
        <v>0</v>
      </c>
      <c r="AC1359" s="40">
        <f>IF(AND($C1359="Despesa",U1359&gt;0,U1359&lt;=Sel_Idx,V1359&gt;=Sel_Idx),Z1359*10000+ROW(),0)</f>
        <v>0</v>
      </c>
      <c r="AD1359" s="40">
        <f>IF(AC1359=0,0,COUNTIFS(L_CalChave,"&gt;0",L_CalChave,"&lt;"&amp;AC1359)+1)</f>
        <v>0</v>
      </c>
    </row>
    <row r="1360">
      <c r="A1360" s="38" t="n"/>
      <c r="B1360" s="39" t="n"/>
      <c r="C1360" s="34" t="n"/>
      <c r="D1360" s="34" t="n"/>
      <c r="E1360" s="34" t="n"/>
      <c r="F1360" s="34" t="n"/>
      <c r="G1360" s="34" t="n"/>
      <c r="H1360" s="37" t="n"/>
      <c r="I1360" s="37" t="n"/>
      <c r="J1360" s="34" t="n"/>
      <c r="K1360" s="34" t="n"/>
      <c r="L1360" s="34" t="n"/>
      <c r="M1360" s="39" t="n"/>
      <c r="N1360" s="35" t="n"/>
      <c r="O1360" s="40" t="str">
        <f>IF($A1360="","",MONTH($A1360))</f>
        <v/>
      </c>
      <c r="P1360" s="40" t="str">
        <f>IF($A1360="","",YEAR($A1360))</f>
        <v/>
      </c>
      <c r="Q1360" s="41" t="str">
        <f>IF($A1360="","",DATE(P1360,O1360,1))</f>
        <v/>
      </c>
      <c r="R1360" s="36" t="str">
        <f>IF(OR($A1360="",$N1360=""),"",IF(AND($C1360&lt;&gt;"Transferência",N($I1360)&gt;1),$N1360/$I1360,$N1360))</f>
        <v/>
      </c>
      <c r="S1360" s="41" t="str">
        <f>IF(OR($A1360="",$F1360="",$C1360&lt;&gt;"Despesa"),"",IF(COUNTIF(Cartoes_Nome,$F1360)=0,"",DATE(P1360,O1360+IF(DAY($A1360)&gt;=INDEX(Cartoes_Fech,MATCH($F1360,Cartoes_Nome,0)),1,0),1)))</f>
        <v/>
      </c>
      <c r="T1360" s="42" t="str">
        <f>IF($A1360="","",IF(COUNTIFS(L_Data,$A1360,L_Desc,$B1360,L_Valor,$N1360,L_Tipo,$C1360)&gt;1,"⚠ Possível duplicidade",IF(OR(AND($C1360="Despesa",COUNTIF(CatD_Nome,$D1360)=0),AND($C1360="Receita",COUNTIF(CatR_Nome,$D1360)=0)),"⚠ Categoria não combina com o tipo",IF(OR($N1360="",$C1360=""),"⚠ Falta valor ou tipo",""))))</f>
        <v/>
      </c>
      <c r="U1360" s="40">
        <f>IF($A1360="",0,P1360*12+O1360)</f>
        <v>0</v>
      </c>
      <c r="V1360" s="40">
        <f>IF($A1360="",0,U1360+MAX(0,N($I1360)-MAX(N($H1360),1)))</f>
        <v>0</v>
      </c>
      <c r="W1360" s="40">
        <f>IF(S1360="",0,YEAR(S1360)*12+MONTH(S1360))</f>
        <v>0</v>
      </c>
      <c r="X1360" s="40">
        <f>IF(W1360=0,0,W1360+V1360-U1360)</f>
        <v>0</v>
      </c>
      <c r="Y1360" s="36">
        <f>IF(W1360=0,0,N(R1360)*MAX(0,X1360-MAX(W1360,YEAR(Cfg_Hoje)*12+MONTH(Cfg_Hoje)+IF(DAY(Cfg_Hoje)&gt;=INDEX(Cartoes_Fech,MATCH($F1360,Cartoes_Nome,0)),1,0))+1))</f>
        <v>0</v>
      </c>
      <c r="Z1360" s="40">
        <f>IF($A1360="",0,DAY($A1360))</f>
        <v>0</v>
      </c>
      <c r="AA1360" s="40">
        <f>IF($A1360="",0,WEEKDAY($A1360))</f>
        <v>0</v>
      </c>
      <c r="AB1360" s="36">
        <f>IF(AND($C1360="Despesa",U1360&gt;0,U1360&lt;=Sel_Idx,V1360&gt;=Sel_Idx),N(R1360)+ROW()/1000000000,0)</f>
        <v>0</v>
      </c>
      <c r="AC1360" s="40">
        <f>IF(AND($C1360="Despesa",U1360&gt;0,U1360&lt;=Sel_Idx,V1360&gt;=Sel_Idx),Z1360*10000+ROW(),0)</f>
        <v>0</v>
      </c>
      <c r="AD1360" s="40">
        <f>IF(AC1360=0,0,COUNTIFS(L_CalChave,"&gt;0",L_CalChave,"&lt;"&amp;AC1360)+1)</f>
        <v>0</v>
      </c>
    </row>
    <row r="1361">
      <c r="A1361" s="38" t="n"/>
      <c r="B1361" s="39" t="n"/>
      <c r="C1361" s="34" t="n"/>
      <c r="D1361" s="34" t="n"/>
      <c r="E1361" s="34" t="n"/>
      <c r="F1361" s="34" t="n"/>
      <c r="G1361" s="34" t="n"/>
      <c r="H1361" s="37" t="n"/>
      <c r="I1361" s="37" t="n"/>
      <c r="J1361" s="34" t="n"/>
      <c r="K1361" s="34" t="n"/>
      <c r="L1361" s="34" t="n"/>
      <c r="M1361" s="39" t="n"/>
      <c r="N1361" s="35" t="n"/>
      <c r="O1361" s="40" t="str">
        <f>IF($A1361="","",MONTH($A1361))</f>
        <v/>
      </c>
      <c r="P1361" s="40" t="str">
        <f>IF($A1361="","",YEAR($A1361))</f>
        <v/>
      </c>
      <c r="Q1361" s="41" t="str">
        <f>IF($A1361="","",DATE(P1361,O1361,1))</f>
        <v/>
      </c>
      <c r="R1361" s="36" t="str">
        <f>IF(OR($A1361="",$N1361=""),"",IF(AND($C1361&lt;&gt;"Transferência",N($I1361)&gt;1),$N1361/$I1361,$N1361))</f>
        <v/>
      </c>
      <c r="S1361" s="41" t="str">
        <f>IF(OR($A1361="",$F1361="",$C1361&lt;&gt;"Despesa"),"",IF(COUNTIF(Cartoes_Nome,$F1361)=0,"",DATE(P1361,O1361+IF(DAY($A1361)&gt;=INDEX(Cartoes_Fech,MATCH($F1361,Cartoes_Nome,0)),1,0),1)))</f>
        <v/>
      </c>
      <c r="T1361" s="42" t="str">
        <f>IF($A1361="","",IF(COUNTIFS(L_Data,$A1361,L_Desc,$B1361,L_Valor,$N1361,L_Tipo,$C1361)&gt;1,"⚠ Possível duplicidade",IF(OR(AND($C1361="Despesa",COUNTIF(CatD_Nome,$D1361)=0),AND($C1361="Receita",COUNTIF(CatR_Nome,$D1361)=0)),"⚠ Categoria não combina com o tipo",IF(OR($N1361="",$C1361=""),"⚠ Falta valor ou tipo",""))))</f>
        <v/>
      </c>
      <c r="U1361" s="40">
        <f>IF($A1361="",0,P1361*12+O1361)</f>
        <v>0</v>
      </c>
      <c r="V1361" s="40">
        <f>IF($A1361="",0,U1361+MAX(0,N($I1361)-MAX(N($H1361),1)))</f>
        <v>0</v>
      </c>
      <c r="W1361" s="40">
        <f>IF(S1361="",0,YEAR(S1361)*12+MONTH(S1361))</f>
        <v>0</v>
      </c>
      <c r="X1361" s="40">
        <f>IF(W1361=0,0,W1361+V1361-U1361)</f>
        <v>0</v>
      </c>
      <c r="Y1361" s="36">
        <f>IF(W1361=0,0,N(R1361)*MAX(0,X1361-MAX(W1361,YEAR(Cfg_Hoje)*12+MONTH(Cfg_Hoje)+IF(DAY(Cfg_Hoje)&gt;=INDEX(Cartoes_Fech,MATCH($F1361,Cartoes_Nome,0)),1,0))+1))</f>
        <v>0</v>
      </c>
      <c r="Z1361" s="40">
        <f>IF($A1361="",0,DAY($A1361))</f>
        <v>0</v>
      </c>
      <c r="AA1361" s="40">
        <f>IF($A1361="",0,WEEKDAY($A1361))</f>
        <v>0</v>
      </c>
      <c r="AB1361" s="36">
        <f>IF(AND($C1361="Despesa",U1361&gt;0,U1361&lt;=Sel_Idx,V1361&gt;=Sel_Idx),N(R1361)+ROW()/1000000000,0)</f>
        <v>0</v>
      </c>
      <c r="AC1361" s="40">
        <f>IF(AND($C1361="Despesa",U1361&gt;0,U1361&lt;=Sel_Idx,V1361&gt;=Sel_Idx),Z1361*10000+ROW(),0)</f>
        <v>0</v>
      </c>
      <c r="AD1361" s="40">
        <f>IF(AC1361=0,0,COUNTIFS(L_CalChave,"&gt;0",L_CalChave,"&lt;"&amp;AC1361)+1)</f>
        <v>0</v>
      </c>
    </row>
    <row r="1362">
      <c r="A1362" s="38" t="n"/>
      <c r="B1362" s="39" t="n"/>
      <c r="C1362" s="34" t="n"/>
      <c r="D1362" s="34" t="n"/>
      <c r="E1362" s="34" t="n"/>
      <c r="F1362" s="34" t="n"/>
      <c r="G1362" s="34" t="n"/>
      <c r="H1362" s="37" t="n"/>
      <c r="I1362" s="37" t="n"/>
      <c r="J1362" s="34" t="n"/>
      <c r="K1362" s="34" t="n"/>
      <c r="L1362" s="34" t="n"/>
      <c r="M1362" s="39" t="n"/>
      <c r="N1362" s="35" t="n"/>
      <c r="O1362" s="40" t="str">
        <f>IF($A1362="","",MONTH($A1362))</f>
        <v/>
      </c>
      <c r="P1362" s="40" t="str">
        <f>IF($A1362="","",YEAR($A1362))</f>
        <v/>
      </c>
      <c r="Q1362" s="41" t="str">
        <f>IF($A1362="","",DATE(P1362,O1362,1))</f>
        <v/>
      </c>
      <c r="R1362" s="36" t="str">
        <f>IF(OR($A1362="",$N1362=""),"",IF(AND($C1362&lt;&gt;"Transferência",N($I1362)&gt;1),$N1362/$I1362,$N1362))</f>
        <v/>
      </c>
      <c r="S1362" s="41" t="str">
        <f>IF(OR($A1362="",$F1362="",$C1362&lt;&gt;"Despesa"),"",IF(COUNTIF(Cartoes_Nome,$F1362)=0,"",DATE(P1362,O1362+IF(DAY($A1362)&gt;=INDEX(Cartoes_Fech,MATCH($F1362,Cartoes_Nome,0)),1,0),1)))</f>
        <v/>
      </c>
      <c r="T1362" s="42" t="str">
        <f>IF($A1362="","",IF(COUNTIFS(L_Data,$A1362,L_Desc,$B1362,L_Valor,$N1362,L_Tipo,$C1362)&gt;1,"⚠ Possível duplicidade",IF(OR(AND($C1362="Despesa",COUNTIF(CatD_Nome,$D1362)=0),AND($C1362="Receita",COUNTIF(CatR_Nome,$D1362)=0)),"⚠ Categoria não combina com o tipo",IF(OR($N1362="",$C1362=""),"⚠ Falta valor ou tipo",""))))</f>
        <v/>
      </c>
      <c r="U1362" s="40">
        <f>IF($A1362="",0,P1362*12+O1362)</f>
        <v>0</v>
      </c>
      <c r="V1362" s="40">
        <f>IF($A1362="",0,U1362+MAX(0,N($I1362)-MAX(N($H1362),1)))</f>
        <v>0</v>
      </c>
      <c r="W1362" s="40">
        <f>IF(S1362="",0,YEAR(S1362)*12+MONTH(S1362))</f>
        <v>0</v>
      </c>
      <c r="X1362" s="40">
        <f>IF(W1362=0,0,W1362+V1362-U1362)</f>
        <v>0</v>
      </c>
      <c r="Y1362" s="36">
        <f>IF(W1362=0,0,N(R1362)*MAX(0,X1362-MAX(W1362,YEAR(Cfg_Hoje)*12+MONTH(Cfg_Hoje)+IF(DAY(Cfg_Hoje)&gt;=INDEX(Cartoes_Fech,MATCH($F1362,Cartoes_Nome,0)),1,0))+1))</f>
        <v>0</v>
      </c>
      <c r="Z1362" s="40">
        <f>IF($A1362="",0,DAY($A1362))</f>
        <v>0</v>
      </c>
      <c r="AA1362" s="40">
        <f>IF($A1362="",0,WEEKDAY($A1362))</f>
        <v>0</v>
      </c>
      <c r="AB1362" s="36">
        <f>IF(AND($C1362="Despesa",U1362&gt;0,U1362&lt;=Sel_Idx,V1362&gt;=Sel_Idx),N(R1362)+ROW()/1000000000,0)</f>
        <v>0</v>
      </c>
      <c r="AC1362" s="40">
        <f>IF(AND($C1362="Despesa",U1362&gt;0,U1362&lt;=Sel_Idx,V1362&gt;=Sel_Idx),Z1362*10000+ROW(),0)</f>
        <v>0</v>
      </c>
      <c r="AD1362" s="40">
        <f>IF(AC1362=0,0,COUNTIFS(L_CalChave,"&gt;0",L_CalChave,"&lt;"&amp;AC1362)+1)</f>
        <v>0</v>
      </c>
    </row>
    <row r="1363">
      <c r="A1363" s="38" t="n"/>
      <c r="B1363" s="39" t="n"/>
      <c r="C1363" s="34" t="n"/>
      <c r="D1363" s="34" t="n"/>
      <c r="E1363" s="34" t="n"/>
      <c r="F1363" s="34" t="n"/>
      <c r="G1363" s="34" t="n"/>
      <c r="H1363" s="37" t="n"/>
      <c r="I1363" s="37" t="n"/>
      <c r="J1363" s="34" t="n"/>
      <c r="K1363" s="34" t="n"/>
      <c r="L1363" s="34" t="n"/>
      <c r="M1363" s="39" t="n"/>
      <c r="N1363" s="35" t="n"/>
      <c r="O1363" s="40" t="str">
        <f>IF($A1363="","",MONTH($A1363))</f>
        <v/>
      </c>
      <c r="P1363" s="40" t="str">
        <f>IF($A1363="","",YEAR($A1363))</f>
        <v/>
      </c>
      <c r="Q1363" s="41" t="str">
        <f>IF($A1363="","",DATE(P1363,O1363,1))</f>
        <v/>
      </c>
      <c r="R1363" s="36" t="str">
        <f>IF(OR($A1363="",$N1363=""),"",IF(AND($C1363&lt;&gt;"Transferência",N($I1363)&gt;1),$N1363/$I1363,$N1363))</f>
        <v/>
      </c>
      <c r="S1363" s="41" t="str">
        <f>IF(OR($A1363="",$F1363="",$C1363&lt;&gt;"Despesa"),"",IF(COUNTIF(Cartoes_Nome,$F1363)=0,"",DATE(P1363,O1363+IF(DAY($A1363)&gt;=INDEX(Cartoes_Fech,MATCH($F1363,Cartoes_Nome,0)),1,0),1)))</f>
        <v/>
      </c>
      <c r="T1363" s="42" t="str">
        <f>IF($A1363="","",IF(COUNTIFS(L_Data,$A1363,L_Desc,$B1363,L_Valor,$N1363,L_Tipo,$C1363)&gt;1,"⚠ Possível duplicidade",IF(OR(AND($C1363="Despesa",COUNTIF(CatD_Nome,$D1363)=0),AND($C1363="Receita",COUNTIF(CatR_Nome,$D1363)=0)),"⚠ Categoria não combina com o tipo",IF(OR($N1363="",$C1363=""),"⚠ Falta valor ou tipo",""))))</f>
        <v/>
      </c>
      <c r="U1363" s="40">
        <f>IF($A1363="",0,P1363*12+O1363)</f>
        <v>0</v>
      </c>
      <c r="V1363" s="40">
        <f>IF($A1363="",0,U1363+MAX(0,N($I1363)-MAX(N($H1363),1)))</f>
        <v>0</v>
      </c>
      <c r="W1363" s="40">
        <f>IF(S1363="",0,YEAR(S1363)*12+MONTH(S1363))</f>
        <v>0</v>
      </c>
      <c r="X1363" s="40">
        <f>IF(W1363=0,0,W1363+V1363-U1363)</f>
        <v>0</v>
      </c>
      <c r="Y1363" s="36">
        <f>IF(W1363=0,0,N(R1363)*MAX(0,X1363-MAX(W1363,YEAR(Cfg_Hoje)*12+MONTH(Cfg_Hoje)+IF(DAY(Cfg_Hoje)&gt;=INDEX(Cartoes_Fech,MATCH($F1363,Cartoes_Nome,0)),1,0))+1))</f>
        <v>0</v>
      </c>
      <c r="Z1363" s="40">
        <f>IF($A1363="",0,DAY($A1363))</f>
        <v>0</v>
      </c>
      <c r="AA1363" s="40">
        <f>IF($A1363="",0,WEEKDAY($A1363))</f>
        <v>0</v>
      </c>
      <c r="AB1363" s="36">
        <f>IF(AND($C1363="Despesa",U1363&gt;0,U1363&lt;=Sel_Idx,V1363&gt;=Sel_Idx),N(R1363)+ROW()/1000000000,0)</f>
        <v>0</v>
      </c>
      <c r="AC1363" s="40">
        <f>IF(AND($C1363="Despesa",U1363&gt;0,U1363&lt;=Sel_Idx,V1363&gt;=Sel_Idx),Z1363*10000+ROW(),0)</f>
        <v>0</v>
      </c>
      <c r="AD1363" s="40">
        <f>IF(AC1363=0,0,COUNTIFS(L_CalChave,"&gt;0",L_CalChave,"&lt;"&amp;AC1363)+1)</f>
        <v>0</v>
      </c>
    </row>
    <row r="1364">
      <c r="A1364" s="38" t="n"/>
      <c r="B1364" s="39" t="n"/>
      <c r="C1364" s="34" t="n"/>
      <c r="D1364" s="34" t="n"/>
      <c r="E1364" s="34" t="n"/>
      <c r="F1364" s="34" t="n"/>
      <c r="G1364" s="34" t="n"/>
      <c r="H1364" s="37" t="n"/>
      <c r="I1364" s="37" t="n"/>
      <c r="J1364" s="34" t="n"/>
      <c r="K1364" s="34" t="n"/>
      <c r="L1364" s="34" t="n"/>
      <c r="M1364" s="39" t="n"/>
      <c r="N1364" s="35" t="n"/>
      <c r="O1364" s="40" t="str">
        <f>IF($A1364="","",MONTH($A1364))</f>
        <v/>
      </c>
      <c r="P1364" s="40" t="str">
        <f>IF($A1364="","",YEAR($A1364))</f>
        <v/>
      </c>
      <c r="Q1364" s="41" t="str">
        <f>IF($A1364="","",DATE(P1364,O1364,1))</f>
        <v/>
      </c>
      <c r="R1364" s="36" t="str">
        <f>IF(OR($A1364="",$N1364=""),"",IF(AND($C1364&lt;&gt;"Transferência",N($I1364)&gt;1),$N1364/$I1364,$N1364))</f>
        <v/>
      </c>
      <c r="S1364" s="41" t="str">
        <f>IF(OR($A1364="",$F1364="",$C1364&lt;&gt;"Despesa"),"",IF(COUNTIF(Cartoes_Nome,$F1364)=0,"",DATE(P1364,O1364+IF(DAY($A1364)&gt;=INDEX(Cartoes_Fech,MATCH($F1364,Cartoes_Nome,0)),1,0),1)))</f>
        <v/>
      </c>
      <c r="T1364" s="42" t="str">
        <f>IF($A1364="","",IF(COUNTIFS(L_Data,$A1364,L_Desc,$B1364,L_Valor,$N1364,L_Tipo,$C1364)&gt;1,"⚠ Possível duplicidade",IF(OR(AND($C1364="Despesa",COUNTIF(CatD_Nome,$D1364)=0),AND($C1364="Receita",COUNTIF(CatR_Nome,$D1364)=0)),"⚠ Categoria não combina com o tipo",IF(OR($N1364="",$C1364=""),"⚠ Falta valor ou tipo",""))))</f>
        <v/>
      </c>
      <c r="U1364" s="40">
        <f>IF($A1364="",0,P1364*12+O1364)</f>
        <v>0</v>
      </c>
      <c r="V1364" s="40">
        <f>IF($A1364="",0,U1364+MAX(0,N($I1364)-MAX(N($H1364),1)))</f>
        <v>0</v>
      </c>
      <c r="W1364" s="40">
        <f>IF(S1364="",0,YEAR(S1364)*12+MONTH(S1364))</f>
        <v>0</v>
      </c>
      <c r="X1364" s="40">
        <f>IF(W1364=0,0,W1364+V1364-U1364)</f>
        <v>0</v>
      </c>
      <c r="Y1364" s="36">
        <f>IF(W1364=0,0,N(R1364)*MAX(0,X1364-MAX(W1364,YEAR(Cfg_Hoje)*12+MONTH(Cfg_Hoje)+IF(DAY(Cfg_Hoje)&gt;=INDEX(Cartoes_Fech,MATCH($F1364,Cartoes_Nome,0)),1,0))+1))</f>
        <v>0</v>
      </c>
      <c r="Z1364" s="40">
        <f>IF($A1364="",0,DAY($A1364))</f>
        <v>0</v>
      </c>
      <c r="AA1364" s="40">
        <f>IF($A1364="",0,WEEKDAY($A1364))</f>
        <v>0</v>
      </c>
      <c r="AB1364" s="36">
        <f>IF(AND($C1364="Despesa",U1364&gt;0,U1364&lt;=Sel_Idx,V1364&gt;=Sel_Idx),N(R1364)+ROW()/1000000000,0)</f>
        <v>0</v>
      </c>
      <c r="AC1364" s="40">
        <f>IF(AND($C1364="Despesa",U1364&gt;0,U1364&lt;=Sel_Idx,V1364&gt;=Sel_Idx),Z1364*10000+ROW(),0)</f>
        <v>0</v>
      </c>
      <c r="AD1364" s="40">
        <f>IF(AC1364=0,0,COUNTIFS(L_CalChave,"&gt;0",L_CalChave,"&lt;"&amp;AC1364)+1)</f>
        <v>0</v>
      </c>
    </row>
    <row r="1365">
      <c r="A1365" s="38" t="n"/>
      <c r="B1365" s="39" t="n"/>
      <c r="C1365" s="34" t="n"/>
      <c r="D1365" s="34" t="n"/>
      <c r="E1365" s="34" t="n"/>
      <c r="F1365" s="34" t="n"/>
      <c r="G1365" s="34" t="n"/>
      <c r="H1365" s="37" t="n"/>
      <c r="I1365" s="37" t="n"/>
      <c r="J1365" s="34" t="n"/>
      <c r="K1365" s="34" t="n"/>
      <c r="L1365" s="34" t="n"/>
      <c r="M1365" s="39" t="n"/>
      <c r="N1365" s="35" t="n"/>
      <c r="O1365" s="40" t="str">
        <f>IF($A1365="","",MONTH($A1365))</f>
        <v/>
      </c>
      <c r="P1365" s="40" t="str">
        <f>IF($A1365="","",YEAR($A1365))</f>
        <v/>
      </c>
      <c r="Q1365" s="41" t="str">
        <f>IF($A1365="","",DATE(P1365,O1365,1))</f>
        <v/>
      </c>
      <c r="R1365" s="36" t="str">
        <f>IF(OR($A1365="",$N1365=""),"",IF(AND($C1365&lt;&gt;"Transferência",N($I1365)&gt;1),$N1365/$I1365,$N1365))</f>
        <v/>
      </c>
      <c r="S1365" s="41" t="str">
        <f>IF(OR($A1365="",$F1365="",$C1365&lt;&gt;"Despesa"),"",IF(COUNTIF(Cartoes_Nome,$F1365)=0,"",DATE(P1365,O1365+IF(DAY($A1365)&gt;=INDEX(Cartoes_Fech,MATCH($F1365,Cartoes_Nome,0)),1,0),1)))</f>
        <v/>
      </c>
      <c r="T1365" s="42" t="str">
        <f>IF($A1365="","",IF(COUNTIFS(L_Data,$A1365,L_Desc,$B1365,L_Valor,$N1365,L_Tipo,$C1365)&gt;1,"⚠ Possível duplicidade",IF(OR(AND($C1365="Despesa",COUNTIF(CatD_Nome,$D1365)=0),AND($C1365="Receita",COUNTIF(CatR_Nome,$D1365)=0)),"⚠ Categoria não combina com o tipo",IF(OR($N1365="",$C1365=""),"⚠ Falta valor ou tipo",""))))</f>
        <v/>
      </c>
      <c r="U1365" s="40">
        <f>IF($A1365="",0,P1365*12+O1365)</f>
        <v>0</v>
      </c>
      <c r="V1365" s="40">
        <f>IF($A1365="",0,U1365+MAX(0,N($I1365)-MAX(N($H1365),1)))</f>
        <v>0</v>
      </c>
      <c r="W1365" s="40">
        <f>IF(S1365="",0,YEAR(S1365)*12+MONTH(S1365))</f>
        <v>0</v>
      </c>
      <c r="X1365" s="40">
        <f>IF(W1365=0,0,W1365+V1365-U1365)</f>
        <v>0</v>
      </c>
      <c r="Y1365" s="36">
        <f>IF(W1365=0,0,N(R1365)*MAX(0,X1365-MAX(W1365,YEAR(Cfg_Hoje)*12+MONTH(Cfg_Hoje)+IF(DAY(Cfg_Hoje)&gt;=INDEX(Cartoes_Fech,MATCH($F1365,Cartoes_Nome,0)),1,0))+1))</f>
        <v>0</v>
      </c>
      <c r="Z1365" s="40">
        <f>IF($A1365="",0,DAY($A1365))</f>
        <v>0</v>
      </c>
      <c r="AA1365" s="40">
        <f>IF($A1365="",0,WEEKDAY($A1365))</f>
        <v>0</v>
      </c>
      <c r="AB1365" s="36">
        <f>IF(AND($C1365="Despesa",U1365&gt;0,U1365&lt;=Sel_Idx,V1365&gt;=Sel_Idx),N(R1365)+ROW()/1000000000,0)</f>
        <v>0</v>
      </c>
      <c r="AC1365" s="40">
        <f>IF(AND($C1365="Despesa",U1365&gt;0,U1365&lt;=Sel_Idx,V1365&gt;=Sel_Idx),Z1365*10000+ROW(),0)</f>
        <v>0</v>
      </c>
      <c r="AD1365" s="40">
        <f>IF(AC1365=0,0,COUNTIFS(L_CalChave,"&gt;0",L_CalChave,"&lt;"&amp;AC1365)+1)</f>
        <v>0</v>
      </c>
    </row>
    <row r="1366">
      <c r="A1366" s="38" t="n"/>
      <c r="B1366" s="39" t="n"/>
      <c r="C1366" s="34" t="n"/>
      <c r="D1366" s="34" t="n"/>
      <c r="E1366" s="34" t="n"/>
      <c r="F1366" s="34" t="n"/>
      <c r="G1366" s="34" t="n"/>
      <c r="H1366" s="37" t="n"/>
      <c r="I1366" s="37" t="n"/>
      <c r="J1366" s="34" t="n"/>
      <c r="K1366" s="34" t="n"/>
      <c r="L1366" s="34" t="n"/>
      <c r="M1366" s="39" t="n"/>
      <c r="N1366" s="35" t="n"/>
      <c r="O1366" s="40" t="str">
        <f>IF($A1366="","",MONTH($A1366))</f>
        <v/>
      </c>
      <c r="P1366" s="40" t="str">
        <f>IF($A1366="","",YEAR($A1366))</f>
        <v/>
      </c>
      <c r="Q1366" s="41" t="str">
        <f>IF($A1366="","",DATE(P1366,O1366,1))</f>
        <v/>
      </c>
      <c r="R1366" s="36" t="str">
        <f>IF(OR($A1366="",$N1366=""),"",IF(AND($C1366&lt;&gt;"Transferência",N($I1366)&gt;1),$N1366/$I1366,$N1366))</f>
        <v/>
      </c>
      <c r="S1366" s="41" t="str">
        <f>IF(OR($A1366="",$F1366="",$C1366&lt;&gt;"Despesa"),"",IF(COUNTIF(Cartoes_Nome,$F1366)=0,"",DATE(P1366,O1366+IF(DAY($A1366)&gt;=INDEX(Cartoes_Fech,MATCH($F1366,Cartoes_Nome,0)),1,0),1)))</f>
        <v/>
      </c>
      <c r="T1366" s="42" t="str">
        <f>IF($A1366="","",IF(COUNTIFS(L_Data,$A1366,L_Desc,$B1366,L_Valor,$N1366,L_Tipo,$C1366)&gt;1,"⚠ Possível duplicidade",IF(OR(AND($C1366="Despesa",COUNTIF(CatD_Nome,$D1366)=0),AND($C1366="Receita",COUNTIF(CatR_Nome,$D1366)=0)),"⚠ Categoria não combina com o tipo",IF(OR($N1366="",$C1366=""),"⚠ Falta valor ou tipo",""))))</f>
        <v/>
      </c>
      <c r="U1366" s="40">
        <f>IF($A1366="",0,P1366*12+O1366)</f>
        <v>0</v>
      </c>
      <c r="V1366" s="40">
        <f>IF($A1366="",0,U1366+MAX(0,N($I1366)-MAX(N($H1366),1)))</f>
        <v>0</v>
      </c>
      <c r="W1366" s="40">
        <f>IF(S1366="",0,YEAR(S1366)*12+MONTH(S1366))</f>
        <v>0</v>
      </c>
      <c r="X1366" s="40">
        <f>IF(W1366=0,0,W1366+V1366-U1366)</f>
        <v>0</v>
      </c>
      <c r="Y1366" s="36">
        <f>IF(W1366=0,0,N(R1366)*MAX(0,X1366-MAX(W1366,YEAR(Cfg_Hoje)*12+MONTH(Cfg_Hoje)+IF(DAY(Cfg_Hoje)&gt;=INDEX(Cartoes_Fech,MATCH($F1366,Cartoes_Nome,0)),1,0))+1))</f>
        <v>0</v>
      </c>
      <c r="Z1366" s="40">
        <f>IF($A1366="",0,DAY($A1366))</f>
        <v>0</v>
      </c>
      <c r="AA1366" s="40">
        <f>IF($A1366="",0,WEEKDAY($A1366))</f>
        <v>0</v>
      </c>
      <c r="AB1366" s="36">
        <f>IF(AND($C1366="Despesa",U1366&gt;0,U1366&lt;=Sel_Idx,V1366&gt;=Sel_Idx),N(R1366)+ROW()/1000000000,0)</f>
        <v>0</v>
      </c>
      <c r="AC1366" s="40">
        <f>IF(AND($C1366="Despesa",U1366&gt;0,U1366&lt;=Sel_Idx,V1366&gt;=Sel_Idx),Z1366*10000+ROW(),0)</f>
        <v>0</v>
      </c>
      <c r="AD1366" s="40">
        <f>IF(AC1366=0,0,COUNTIFS(L_CalChave,"&gt;0",L_CalChave,"&lt;"&amp;AC1366)+1)</f>
        <v>0</v>
      </c>
    </row>
    <row r="1367">
      <c r="A1367" s="38" t="n"/>
      <c r="B1367" s="39" t="n"/>
      <c r="C1367" s="34" t="n"/>
      <c r="D1367" s="34" t="n"/>
      <c r="E1367" s="34" t="n"/>
      <c r="F1367" s="34" t="n"/>
      <c r="G1367" s="34" t="n"/>
      <c r="H1367" s="37" t="n"/>
      <c r="I1367" s="37" t="n"/>
      <c r="J1367" s="34" t="n"/>
      <c r="K1367" s="34" t="n"/>
      <c r="L1367" s="34" t="n"/>
      <c r="M1367" s="39" t="n"/>
      <c r="N1367" s="35" t="n"/>
      <c r="O1367" s="40" t="str">
        <f>IF($A1367="","",MONTH($A1367))</f>
        <v/>
      </c>
      <c r="P1367" s="40" t="str">
        <f>IF($A1367="","",YEAR($A1367))</f>
        <v/>
      </c>
      <c r="Q1367" s="41" t="str">
        <f>IF($A1367="","",DATE(P1367,O1367,1))</f>
        <v/>
      </c>
      <c r="R1367" s="36" t="str">
        <f>IF(OR($A1367="",$N1367=""),"",IF(AND($C1367&lt;&gt;"Transferência",N($I1367)&gt;1),$N1367/$I1367,$N1367))</f>
        <v/>
      </c>
      <c r="S1367" s="41" t="str">
        <f>IF(OR($A1367="",$F1367="",$C1367&lt;&gt;"Despesa"),"",IF(COUNTIF(Cartoes_Nome,$F1367)=0,"",DATE(P1367,O1367+IF(DAY($A1367)&gt;=INDEX(Cartoes_Fech,MATCH($F1367,Cartoes_Nome,0)),1,0),1)))</f>
        <v/>
      </c>
      <c r="T1367" s="42" t="str">
        <f>IF($A1367="","",IF(COUNTIFS(L_Data,$A1367,L_Desc,$B1367,L_Valor,$N1367,L_Tipo,$C1367)&gt;1,"⚠ Possível duplicidade",IF(OR(AND($C1367="Despesa",COUNTIF(CatD_Nome,$D1367)=0),AND($C1367="Receita",COUNTIF(CatR_Nome,$D1367)=0)),"⚠ Categoria não combina com o tipo",IF(OR($N1367="",$C1367=""),"⚠ Falta valor ou tipo",""))))</f>
        <v/>
      </c>
      <c r="U1367" s="40">
        <f>IF($A1367="",0,P1367*12+O1367)</f>
        <v>0</v>
      </c>
      <c r="V1367" s="40">
        <f>IF($A1367="",0,U1367+MAX(0,N($I1367)-MAX(N($H1367),1)))</f>
        <v>0</v>
      </c>
      <c r="W1367" s="40">
        <f>IF(S1367="",0,YEAR(S1367)*12+MONTH(S1367))</f>
        <v>0</v>
      </c>
      <c r="X1367" s="40">
        <f>IF(W1367=0,0,W1367+V1367-U1367)</f>
        <v>0</v>
      </c>
      <c r="Y1367" s="36">
        <f>IF(W1367=0,0,N(R1367)*MAX(0,X1367-MAX(W1367,YEAR(Cfg_Hoje)*12+MONTH(Cfg_Hoje)+IF(DAY(Cfg_Hoje)&gt;=INDEX(Cartoes_Fech,MATCH($F1367,Cartoes_Nome,0)),1,0))+1))</f>
        <v>0</v>
      </c>
      <c r="Z1367" s="40">
        <f>IF($A1367="",0,DAY($A1367))</f>
        <v>0</v>
      </c>
      <c r="AA1367" s="40">
        <f>IF($A1367="",0,WEEKDAY($A1367))</f>
        <v>0</v>
      </c>
      <c r="AB1367" s="36">
        <f>IF(AND($C1367="Despesa",U1367&gt;0,U1367&lt;=Sel_Idx,V1367&gt;=Sel_Idx),N(R1367)+ROW()/1000000000,0)</f>
        <v>0</v>
      </c>
      <c r="AC1367" s="40">
        <f>IF(AND($C1367="Despesa",U1367&gt;0,U1367&lt;=Sel_Idx,V1367&gt;=Sel_Idx),Z1367*10000+ROW(),0)</f>
        <v>0</v>
      </c>
      <c r="AD1367" s="40">
        <f>IF(AC1367=0,0,COUNTIFS(L_CalChave,"&gt;0",L_CalChave,"&lt;"&amp;AC1367)+1)</f>
        <v>0</v>
      </c>
    </row>
    <row r="1368">
      <c r="A1368" s="38" t="n"/>
      <c r="B1368" s="39" t="n"/>
      <c r="C1368" s="34" t="n"/>
      <c r="D1368" s="34" t="n"/>
      <c r="E1368" s="34" t="n"/>
      <c r="F1368" s="34" t="n"/>
      <c r="G1368" s="34" t="n"/>
      <c r="H1368" s="37" t="n"/>
      <c r="I1368" s="37" t="n"/>
      <c r="J1368" s="34" t="n"/>
      <c r="K1368" s="34" t="n"/>
      <c r="L1368" s="34" t="n"/>
      <c r="M1368" s="39" t="n"/>
      <c r="N1368" s="35" t="n"/>
      <c r="O1368" s="40" t="str">
        <f>IF($A1368="","",MONTH($A1368))</f>
        <v/>
      </c>
      <c r="P1368" s="40" t="str">
        <f>IF($A1368="","",YEAR($A1368))</f>
        <v/>
      </c>
      <c r="Q1368" s="41" t="str">
        <f>IF($A1368="","",DATE(P1368,O1368,1))</f>
        <v/>
      </c>
      <c r="R1368" s="36" t="str">
        <f>IF(OR($A1368="",$N1368=""),"",IF(AND($C1368&lt;&gt;"Transferência",N($I1368)&gt;1),$N1368/$I1368,$N1368))</f>
        <v/>
      </c>
      <c r="S1368" s="41" t="str">
        <f>IF(OR($A1368="",$F1368="",$C1368&lt;&gt;"Despesa"),"",IF(COUNTIF(Cartoes_Nome,$F1368)=0,"",DATE(P1368,O1368+IF(DAY($A1368)&gt;=INDEX(Cartoes_Fech,MATCH($F1368,Cartoes_Nome,0)),1,0),1)))</f>
        <v/>
      </c>
      <c r="T1368" s="42" t="str">
        <f>IF($A1368="","",IF(COUNTIFS(L_Data,$A1368,L_Desc,$B1368,L_Valor,$N1368,L_Tipo,$C1368)&gt;1,"⚠ Possível duplicidade",IF(OR(AND($C1368="Despesa",COUNTIF(CatD_Nome,$D1368)=0),AND($C1368="Receita",COUNTIF(CatR_Nome,$D1368)=0)),"⚠ Categoria não combina com o tipo",IF(OR($N1368="",$C1368=""),"⚠ Falta valor ou tipo",""))))</f>
        <v/>
      </c>
      <c r="U1368" s="40">
        <f>IF($A1368="",0,P1368*12+O1368)</f>
        <v>0</v>
      </c>
      <c r="V1368" s="40">
        <f>IF($A1368="",0,U1368+MAX(0,N($I1368)-MAX(N($H1368),1)))</f>
        <v>0</v>
      </c>
      <c r="W1368" s="40">
        <f>IF(S1368="",0,YEAR(S1368)*12+MONTH(S1368))</f>
        <v>0</v>
      </c>
      <c r="X1368" s="40">
        <f>IF(W1368=0,0,W1368+V1368-U1368)</f>
        <v>0</v>
      </c>
      <c r="Y1368" s="36">
        <f>IF(W1368=0,0,N(R1368)*MAX(0,X1368-MAX(W1368,YEAR(Cfg_Hoje)*12+MONTH(Cfg_Hoje)+IF(DAY(Cfg_Hoje)&gt;=INDEX(Cartoes_Fech,MATCH($F1368,Cartoes_Nome,0)),1,0))+1))</f>
        <v>0</v>
      </c>
      <c r="Z1368" s="40">
        <f>IF($A1368="",0,DAY($A1368))</f>
        <v>0</v>
      </c>
      <c r="AA1368" s="40">
        <f>IF($A1368="",0,WEEKDAY($A1368))</f>
        <v>0</v>
      </c>
      <c r="AB1368" s="36">
        <f>IF(AND($C1368="Despesa",U1368&gt;0,U1368&lt;=Sel_Idx,V1368&gt;=Sel_Idx),N(R1368)+ROW()/1000000000,0)</f>
        <v>0</v>
      </c>
      <c r="AC1368" s="40">
        <f>IF(AND($C1368="Despesa",U1368&gt;0,U1368&lt;=Sel_Idx,V1368&gt;=Sel_Idx),Z1368*10000+ROW(),0)</f>
        <v>0</v>
      </c>
      <c r="AD1368" s="40">
        <f>IF(AC1368=0,0,COUNTIFS(L_CalChave,"&gt;0",L_CalChave,"&lt;"&amp;AC1368)+1)</f>
        <v>0</v>
      </c>
    </row>
    <row r="1369">
      <c r="A1369" s="38" t="n"/>
      <c r="B1369" s="39" t="n"/>
      <c r="C1369" s="34" t="n"/>
      <c r="D1369" s="34" t="n"/>
      <c r="E1369" s="34" t="n"/>
      <c r="F1369" s="34" t="n"/>
      <c r="G1369" s="34" t="n"/>
      <c r="H1369" s="37" t="n"/>
      <c r="I1369" s="37" t="n"/>
      <c r="J1369" s="34" t="n"/>
      <c r="K1369" s="34" t="n"/>
      <c r="L1369" s="34" t="n"/>
      <c r="M1369" s="39" t="n"/>
      <c r="N1369" s="35" t="n"/>
      <c r="O1369" s="40" t="str">
        <f>IF($A1369="","",MONTH($A1369))</f>
        <v/>
      </c>
      <c r="P1369" s="40" t="str">
        <f>IF($A1369="","",YEAR($A1369))</f>
        <v/>
      </c>
      <c r="Q1369" s="41" t="str">
        <f>IF($A1369="","",DATE(P1369,O1369,1))</f>
        <v/>
      </c>
      <c r="R1369" s="36" t="str">
        <f>IF(OR($A1369="",$N1369=""),"",IF(AND($C1369&lt;&gt;"Transferência",N($I1369)&gt;1),$N1369/$I1369,$N1369))</f>
        <v/>
      </c>
      <c r="S1369" s="41" t="str">
        <f>IF(OR($A1369="",$F1369="",$C1369&lt;&gt;"Despesa"),"",IF(COUNTIF(Cartoes_Nome,$F1369)=0,"",DATE(P1369,O1369+IF(DAY($A1369)&gt;=INDEX(Cartoes_Fech,MATCH($F1369,Cartoes_Nome,0)),1,0),1)))</f>
        <v/>
      </c>
      <c r="T1369" s="42" t="str">
        <f>IF($A1369="","",IF(COUNTIFS(L_Data,$A1369,L_Desc,$B1369,L_Valor,$N1369,L_Tipo,$C1369)&gt;1,"⚠ Possível duplicidade",IF(OR(AND($C1369="Despesa",COUNTIF(CatD_Nome,$D1369)=0),AND($C1369="Receita",COUNTIF(CatR_Nome,$D1369)=0)),"⚠ Categoria não combina com o tipo",IF(OR($N1369="",$C1369=""),"⚠ Falta valor ou tipo",""))))</f>
        <v/>
      </c>
      <c r="U1369" s="40">
        <f>IF($A1369="",0,P1369*12+O1369)</f>
        <v>0</v>
      </c>
      <c r="V1369" s="40">
        <f>IF($A1369="",0,U1369+MAX(0,N($I1369)-MAX(N($H1369),1)))</f>
        <v>0</v>
      </c>
      <c r="W1369" s="40">
        <f>IF(S1369="",0,YEAR(S1369)*12+MONTH(S1369))</f>
        <v>0</v>
      </c>
      <c r="X1369" s="40">
        <f>IF(W1369=0,0,W1369+V1369-U1369)</f>
        <v>0</v>
      </c>
      <c r="Y1369" s="36">
        <f>IF(W1369=0,0,N(R1369)*MAX(0,X1369-MAX(W1369,YEAR(Cfg_Hoje)*12+MONTH(Cfg_Hoje)+IF(DAY(Cfg_Hoje)&gt;=INDEX(Cartoes_Fech,MATCH($F1369,Cartoes_Nome,0)),1,0))+1))</f>
        <v>0</v>
      </c>
      <c r="Z1369" s="40">
        <f>IF($A1369="",0,DAY($A1369))</f>
        <v>0</v>
      </c>
      <c r="AA1369" s="40">
        <f>IF($A1369="",0,WEEKDAY($A1369))</f>
        <v>0</v>
      </c>
      <c r="AB1369" s="36">
        <f>IF(AND($C1369="Despesa",U1369&gt;0,U1369&lt;=Sel_Idx,V1369&gt;=Sel_Idx),N(R1369)+ROW()/1000000000,0)</f>
        <v>0</v>
      </c>
      <c r="AC1369" s="40">
        <f>IF(AND($C1369="Despesa",U1369&gt;0,U1369&lt;=Sel_Idx,V1369&gt;=Sel_Idx),Z1369*10000+ROW(),0)</f>
        <v>0</v>
      </c>
      <c r="AD1369" s="40">
        <f>IF(AC1369=0,0,COUNTIFS(L_CalChave,"&gt;0",L_CalChave,"&lt;"&amp;AC1369)+1)</f>
        <v>0</v>
      </c>
    </row>
    <row r="1370">
      <c r="A1370" s="38" t="n"/>
      <c r="B1370" s="39" t="n"/>
      <c r="C1370" s="34" t="n"/>
      <c r="D1370" s="34" t="n"/>
      <c r="E1370" s="34" t="n"/>
      <c r="F1370" s="34" t="n"/>
      <c r="G1370" s="34" t="n"/>
      <c r="H1370" s="37" t="n"/>
      <c r="I1370" s="37" t="n"/>
      <c r="J1370" s="34" t="n"/>
      <c r="K1370" s="34" t="n"/>
      <c r="L1370" s="34" t="n"/>
      <c r="M1370" s="39" t="n"/>
      <c r="N1370" s="35" t="n"/>
      <c r="O1370" s="40" t="str">
        <f>IF($A1370="","",MONTH($A1370))</f>
        <v/>
      </c>
      <c r="P1370" s="40" t="str">
        <f>IF($A1370="","",YEAR($A1370))</f>
        <v/>
      </c>
      <c r="Q1370" s="41" t="str">
        <f>IF($A1370="","",DATE(P1370,O1370,1))</f>
        <v/>
      </c>
      <c r="R1370" s="36" t="str">
        <f>IF(OR($A1370="",$N1370=""),"",IF(AND($C1370&lt;&gt;"Transferência",N($I1370)&gt;1),$N1370/$I1370,$N1370))</f>
        <v/>
      </c>
      <c r="S1370" s="41" t="str">
        <f>IF(OR($A1370="",$F1370="",$C1370&lt;&gt;"Despesa"),"",IF(COUNTIF(Cartoes_Nome,$F1370)=0,"",DATE(P1370,O1370+IF(DAY($A1370)&gt;=INDEX(Cartoes_Fech,MATCH($F1370,Cartoes_Nome,0)),1,0),1)))</f>
        <v/>
      </c>
      <c r="T1370" s="42" t="str">
        <f>IF($A1370="","",IF(COUNTIFS(L_Data,$A1370,L_Desc,$B1370,L_Valor,$N1370,L_Tipo,$C1370)&gt;1,"⚠ Possível duplicidade",IF(OR(AND($C1370="Despesa",COUNTIF(CatD_Nome,$D1370)=0),AND($C1370="Receita",COUNTIF(CatR_Nome,$D1370)=0)),"⚠ Categoria não combina com o tipo",IF(OR($N1370="",$C1370=""),"⚠ Falta valor ou tipo",""))))</f>
        <v/>
      </c>
      <c r="U1370" s="40">
        <f>IF($A1370="",0,P1370*12+O1370)</f>
        <v>0</v>
      </c>
      <c r="V1370" s="40">
        <f>IF($A1370="",0,U1370+MAX(0,N($I1370)-MAX(N($H1370),1)))</f>
        <v>0</v>
      </c>
      <c r="W1370" s="40">
        <f>IF(S1370="",0,YEAR(S1370)*12+MONTH(S1370))</f>
        <v>0</v>
      </c>
      <c r="X1370" s="40">
        <f>IF(W1370=0,0,W1370+V1370-U1370)</f>
        <v>0</v>
      </c>
      <c r="Y1370" s="36">
        <f>IF(W1370=0,0,N(R1370)*MAX(0,X1370-MAX(W1370,YEAR(Cfg_Hoje)*12+MONTH(Cfg_Hoje)+IF(DAY(Cfg_Hoje)&gt;=INDEX(Cartoes_Fech,MATCH($F1370,Cartoes_Nome,0)),1,0))+1))</f>
        <v>0</v>
      </c>
      <c r="Z1370" s="40">
        <f>IF($A1370="",0,DAY($A1370))</f>
        <v>0</v>
      </c>
      <c r="AA1370" s="40">
        <f>IF($A1370="",0,WEEKDAY($A1370))</f>
        <v>0</v>
      </c>
      <c r="AB1370" s="36">
        <f>IF(AND($C1370="Despesa",U1370&gt;0,U1370&lt;=Sel_Idx,V1370&gt;=Sel_Idx),N(R1370)+ROW()/1000000000,0)</f>
        <v>0</v>
      </c>
      <c r="AC1370" s="40">
        <f>IF(AND($C1370="Despesa",U1370&gt;0,U1370&lt;=Sel_Idx,V1370&gt;=Sel_Idx),Z1370*10000+ROW(),0)</f>
        <v>0</v>
      </c>
      <c r="AD1370" s="40">
        <f>IF(AC1370=0,0,COUNTIFS(L_CalChave,"&gt;0",L_CalChave,"&lt;"&amp;AC1370)+1)</f>
        <v>0</v>
      </c>
    </row>
    <row r="1371">
      <c r="A1371" s="38" t="n"/>
      <c r="B1371" s="39" t="n"/>
      <c r="C1371" s="34" t="n"/>
      <c r="D1371" s="34" t="n"/>
      <c r="E1371" s="34" t="n"/>
      <c r="F1371" s="34" t="n"/>
      <c r="G1371" s="34" t="n"/>
      <c r="H1371" s="37" t="n"/>
      <c r="I1371" s="37" t="n"/>
      <c r="J1371" s="34" t="n"/>
      <c r="K1371" s="34" t="n"/>
      <c r="L1371" s="34" t="n"/>
      <c r="M1371" s="39" t="n"/>
      <c r="N1371" s="35" t="n"/>
      <c r="O1371" s="40" t="str">
        <f>IF($A1371="","",MONTH($A1371))</f>
        <v/>
      </c>
      <c r="P1371" s="40" t="str">
        <f>IF($A1371="","",YEAR($A1371))</f>
        <v/>
      </c>
      <c r="Q1371" s="41" t="str">
        <f>IF($A1371="","",DATE(P1371,O1371,1))</f>
        <v/>
      </c>
      <c r="R1371" s="36" t="str">
        <f>IF(OR($A1371="",$N1371=""),"",IF(AND($C1371&lt;&gt;"Transferência",N($I1371)&gt;1),$N1371/$I1371,$N1371))</f>
        <v/>
      </c>
      <c r="S1371" s="41" t="str">
        <f>IF(OR($A1371="",$F1371="",$C1371&lt;&gt;"Despesa"),"",IF(COUNTIF(Cartoes_Nome,$F1371)=0,"",DATE(P1371,O1371+IF(DAY($A1371)&gt;=INDEX(Cartoes_Fech,MATCH($F1371,Cartoes_Nome,0)),1,0),1)))</f>
        <v/>
      </c>
      <c r="T1371" s="42" t="str">
        <f>IF($A1371="","",IF(COUNTIFS(L_Data,$A1371,L_Desc,$B1371,L_Valor,$N1371,L_Tipo,$C1371)&gt;1,"⚠ Possível duplicidade",IF(OR(AND($C1371="Despesa",COUNTIF(CatD_Nome,$D1371)=0),AND($C1371="Receita",COUNTIF(CatR_Nome,$D1371)=0)),"⚠ Categoria não combina com o tipo",IF(OR($N1371="",$C1371=""),"⚠ Falta valor ou tipo",""))))</f>
        <v/>
      </c>
      <c r="U1371" s="40">
        <f>IF($A1371="",0,P1371*12+O1371)</f>
        <v>0</v>
      </c>
      <c r="V1371" s="40">
        <f>IF($A1371="",0,U1371+MAX(0,N($I1371)-MAX(N($H1371),1)))</f>
        <v>0</v>
      </c>
      <c r="W1371" s="40">
        <f>IF(S1371="",0,YEAR(S1371)*12+MONTH(S1371))</f>
        <v>0</v>
      </c>
      <c r="X1371" s="40">
        <f>IF(W1371=0,0,W1371+V1371-U1371)</f>
        <v>0</v>
      </c>
      <c r="Y1371" s="36">
        <f>IF(W1371=0,0,N(R1371)*MAX(0,X1371-MAX(W1371,YEAR(Cfg_Hoje)*12+MONTH(Cfg_Hoje)+IF(DAY(Cfg_Hoje)&gt;=INDEX(Cartoes_Fech,MATCH($F1371,Cartoes_Nome,0)),1,0))+1))</f>
        <v>0</v>
      </c>
      <c r="Z1371" s="40">
        <f>IF($A1371="",0,DAY($A1371))</f>
        <v>0</v>
      </c>
      <c r="AA1371" s="40">
        <f>IF($A1371="",0,WEEKDAY($A1371))</f>
        <v>0</v>
      </c>
      <c r="AB1371" s="36">
        <f>IF(AND($C1371="Despesa",U1371&gt;0,U1371&lt;=Sel_Idx,V1371&gt;=Sel_Idx),N(R1371)+ROW()/1000000000,0)</f>
        <v>0</v>
      </c>
      <c r="AC1371" s="40">
        <f>IF(AND($C1371="Despesa",U1371&gt;0,U1371&lt;=Sel_Idx,V1371&gt;=Sel_Idx),Z1371*10000+ROW(),0)</f>
        <v>0</v>
      </c>
      <c r="AD1371" s="40">
        <f>IF(AC1371=0,0,COUNTIFS(L_CalChave,"&gt;0",L_CalChave,"&lt;"&amp;AC1371)+1)</f>
        <v>0</v>
      </c>
    </row>
    <row r="1372">
      <c r="A1372" s="38" t="n"/>
      <c r="B1372" s="39" t="n"/>
      <c r="C1372" s="34" t="n"/>
      <c r="D1372" s="34" t="n"/>
      <c r="E1372" s="34" t="n"/>
      <c r="F1372" s="34" t="n"/>
      <c r="G1372" s="34" t="n"/>
      <c r="H1372" s="37" t="n"/>
      <c r="I1372" s="37" t="n"/>
      <c r="J1372" s="34" t="n"/>
      <c r="K1372" s="34" t="n"/>
      <c r="L1372" s="34" t="n"/>
      <c r="M1372" s="39" t="n"/>
      <c r="N1372" s="35" t="n"/>
      <c r="O1372" s="40" t="str">
        <f>IF($A1372="","",MONTH($A1372))</f>
        <v/>
      </c>
      <c r="P1372" s="40" t="str">
        <f>IF($A1372="","",YEAR($A1372))</f>
        <v/>
      </c>
      <c r="Q1372" s="41" t="str">
        <f>IF($A1372="","",DATE(P1372,O1372,1))</f>
        <v/>
      </c>
      <c r="R1372" s="36" t="str">
        <f>IF(OR($A1372="",$N1372=""),"",IF(AND($C1372&lt;&gt;"Transferência",N($I1372)&gt;1),$N1372/$I1372,$N1372))</f>
        <v/>
      </c>
      <c r="S1372" s="41" t="str">
        <f>IF(OR($A1372="",$F1372="",$C1372&lt;&gt;"Despesa"),"",IF(COUNTIF(Cartoes_Nome,$F1372)=0,"",DATE(P1372,O1372+IF(DAY($A1372)&gt;=INDEX(Cartoes_Fech,MATCH($F1372,Cartoes_Nome,0)),1,0),1)))</f>
        <v/>
      </c>
      <c r="T1372" s="42" t="str">
        <f>IF($A1372="","",IF(COUNTIFS(L_Data,$A1372,L_Desc,$B1372,L_Valor,$N1372,L_Tipo,$C1372)&gt;1,"⚠ Possível duplicidade",IF(OR(AND($C1372="Despesa",COUNTIF(CatD_Nome,$D1372)=0),AND($C1372="Receita",COUNTIF(CatR_Nome,$D1372)=0)),"⚠ Categoria não combina com o tipo",IF(OR($N1372="",$C1372=""),"⚠ Falta valor ou tipo",""))))</f>
        <v/>
      </c>
      <c r="U1372" s="40">
        <f>IF($A1372="",0,P1372*12+O1372)</f>
        <v>0</v>
      </c>
      <c r="V1372" s="40">
        <f>IF($A1372="",0,U1372+MAX(0,N($I1372)-MAX(N($H1372),1)))</f>
        <v>0</v>
      </c>
      <c r="W1372" s="40">
        <f>IF(S1372="",0,YEAR(S1372)*12+MONTH(S1372))</f>
        <v>0</v>
      </c>
      <c r="X1372" s="40">
        <f>IF(W1372=0,0,W1372+V1372-U1372)</f>
        <v>0</v>
      </c>
      <c r="Y1372" s="36">
        <f>IF(W1372=0,0,N(R1372)*MAX(0,X1372-MAX(W1372,YEAR(Cfg_Hoje)*12+MONTH(Cfg_Hoje)+IF(DAY(Cfg_Hoje)&gt;=INDEX(Cartoes_Fech,MATCH($F1372,Cartoes_Nome,0)),1,0))+1))</f>
        <v>0</v>
      </c>
      <c r="Z1372" s="40">
        <f>IF($A1372="",0,DAY($A1372))</f>
        <v>0</v>
      </c>
      <c r="AA1372" s="40">
        <f>IF($A1372="",0,WEEKDAY($A1372))</f>
        <v>0</v>
      </c>
      <c r="AB1372" s="36">
        <f>IF(AND($C1372="Despesa",U1372&gt;0,U1372&lt;=Sel_Idx,V1372&gt;=Sel_Idx),N(R1372)+ROW()/1000000000,0)</f>
        <v>0</v>
      </c>
      <c r="AC1372" s="40">
        <f>IF(AND($C1372="Despesa",U1372&gt;0,U1372&lt;=Sel_Idx,V1372&gt;=Sel_Idx),Z1372*10000+ROW(),0)</f>
        <v>0</v>
      </c>
      <c r="AD1372" s="40">
        <f>IF(AC1372=0,0,COUNTIFS(L_CalChave,"&gt;0",L_CalChave,"&lt;"&amp;AC1372)+1)</f>
        <v>0</v>
      </c>
    </row>
    <row r="1373">
      <c r="A1373" s="38" t="n"/>
      <c r="B1373" s="39" t="n"/>
      <c r="C1373" s="34" t="n"/>
      <c r="D1373" s="34" t="n"/>
      <c r="E1373" s="34" t="n"/>
      <c r="F1373" s="34" t="n"/>
      <c r="G1373" s="34" t="n"/>
      <c r="H1373" s="37" t="n"/>
      <c r="I1373" s="37" t="n"/>
      <c r="J1373" s="34" t="n"/>
      <c r="K1373" s="34" t="n"/>
      <c r="L1373" s="34" t="n"/>
      <c r="M1373" s="39" t="n"/>
      <c r="N1373" s="35" t="n"/>
      <c r="O1373" s="40" t="str">
        <f>IF($A1373="","",MONTH($A1373))</f>
        <v/>
      </c>
      <c r="P1373" s="40" t="str">
        <f>IF($A1373="","",YEAR($A1373))</f>
        <v/>
      </c>
      <c r="Q1373" s="41" t="str">
        <f>IF($A1373="","",DATE(P1373,O1373,1))</f>
        <v/>
      </c>
      <c r="R1373" s="36" t="str">
        <f>IF(OR($A1373="",$N1373=""),"",IF(AND($C1373&lt;&gt;"Transferência",N($I1373)&gt;1),$N1373/$I1373,$N1373))</f>
        <v/>
      </c>
      <c r="S1373" s="41" t="str">
        <f>IF(OR($A1373="",$F1373="",$C1373&lt;&gt;"Despesa"),"",IF(COUNTIF(Cartoes_Nome,$F1373)=0,"",DATE(P1373,O1373+IF(DAY($A1373)&gt;=INDEX(Cartoes_Fech,MATCH($F1373,Cartoes_Nome,0)),1,0),1)))</f>
        <v/>
      </c>
      <c r="T1373" s="42" t="str">
        <f>IF($A1373="","",IF(COUNTIFS(L_Data,$A1373,L_Desc,$B1373,L_Valor,$N1373,L_Tipo,$C1373)&gt;1,"⚠ Possível duplicidade",IF(OR(AND($C1373="Despesa",COUNTIF(CatD_Nome,$D1373)=0),AND($C1373="Receita",COUNTIF(CatR_Nome,$D1373)=0)),"⚠ Categoria não combina com o tipo",IF(OR($N1373="",$C1373=""),"⚠ Falta valor ou tipo",""))))</f>
        <v/>
      </c>
      <c r="U1373" s="40">
        <f>IF($A1373="",0,P1373*12+O1373)</f>
        <v>0</v>
      </c>
      <c r="V1373" s="40">
        <f>IF($A1373="",0,U1373+MAX(0,N($I1373)-MAX(N($H1373),1)))</f>
        <v>0</v>
      </c>
      <c r="W1373" s="40">
        <f>IF(S1373="",0,YEAR(S1373)*12+MONTH(S1373))</f>
        <v>0</v>
      </c>
      <c r="X1373" s="40">
        <f>IF(W1373=0,0,W1373+V1373-U1373)</f>
        <v>0</v>
      </c>
      <c r="Y1373" s="36">
        <f>IF(W1373=0,0,N(R1373)*MAX(0,X1373-MAX(W1373,YEAR(Cfg_Hoje)*12+MONTH(Cfg_Hoje)+IF(DAY(Cfg_Hoje)&gt;=INDEX(Cartoes_Fech,MATCH($F1373,Cartoes_Nome,0)),1,0))+1))</f>
        <v>0</v>
      </c>
      <c r="Z1373" s="40">
        <f>IF($A1373="",0,DAY($A1373))</f>
        <v>0</v>
      </c>
      <c r="AA1373" s="40">
        <f>IF($A1373="",0,WEEKDAY($A1373))</f>
        <v>0</v>
      </c>
      <c r="AB1373" s="36">
        <f>IF(AND($C1373="Despesa",U1373&gt;0,U1373&lt;=Sel_Idx,V1373&gt;=Sel_Idx),N(R1373)+ROW()/1000000000,0)</f>
        <v>0</v>
      </c>
      <c r="AC1373" s="40">
        <f>IF(AND($C1373="Despesa",U1373&gt;0,U1373&lt;=Sel_Idx,V1373&gt;=Sel_Idx),Z1373*10000+ROW(),0)</f>
        <v>0</v>
      </c>
      <c r="AD1373" s="40">
        <f>IF(AC1373=0,0,COUNTIFS(L_CalChave,"&gt;0",L_CalChave,"&lt;"&amp;AC1373)+1)</f>
        <v>0</v>
      </c>
    </row>
    <row r="1374">
      <c r="A1374" s="38" t="n"/>
      <c r="B1374" s="39" t="n"/>
      <c r="C1374" s="34" t="n"/>
      <c r="D1374" s="34" t="n"/>
      <c r="E1374" s="34" t="n"/>
      <c r="F1374" s="34" t="n"/>
      <c r="G1374" s="34" t="n"/>
      <c r="H1374" s="37" t="n"/>
      <c r="I1374" s="37" t="n"/>
      <c r="J1374" s="34" t="n"/>
      <c r="K1374" s="34" t="n"/>
      <c r="L1374" s="34" t="n"/>
      <c r="M1374" s="39" t="n"/>
      <c r="N1374" s="35" t="n"/>
      <c r="O1374" s="40" t="str">
        <f>IF($A1374="","",MONTH($A1374))</f>
        <v/>
      </c>
      <c r="P1374" s="40" t="str">
        <f>IF($A1374="","",YEAR($A1374))</f>
        <v/>
      </c>
      <c r="Q1374" s="41" t="str">
        <f>IF($A1374="","",DATE(P1374,O1374,1))</f>
        <v/>
      </c>
      <c r="R1374" s="36" t="str">
        <f>IF(OR($A1374="",$N1374=""),"",IF(AND($C1374&lt;&gt;"Transferência",N($I1374)&gt;1),$N1374/$I1374,$N1374))</f>
        <v/>
      </c>
      <c r="S1374" s="41" t="str">
        <f>IF(OR($A1374="",$F1374="",$C1374&lt;&gt;"Despesa"),"",IF(COUNTIF(Cartoes_Nome,$F1374)=0,"",DATE(P1374,O1374+IF(DAY($A1374)&gt;=INDEX(Cartoes_Fech,MATCH($F1374,Cartoes_Nome,0)),1,0),1)))</f>
        <v/>
      </c>
      <c r="T1374" s="42" t="str">
        <f>IF($A1374="","",IF(COUNTIFS(L_Data,$A1374,L_Desc,$B1374,L_Valor,$N1374,L_Tipo,$C1374)&gt;1,"⚠ Possível duplicidade",IF(OR(AND($C1374="Despesa",COUNTIF(CatD_Nome,$D1374)=0),AND($C1374="Receita",COUNTIF(CatR_Nome,$D1374)=0)),"⚠ Categoria não combina com o tipo",IF(OR($N1374="",$C1374=""),"⚠ Falta valor ou tipo",""))))</f>
        <v/>
      </c>
      <c r="U1374" s="40">
        <f>IF($A1374="",0,P1374*12+O1374)</f>
        <v>0</v>
      </c>
      <c r="V1374" s="40">
        <f>IF($A1374="",0,U1374+MAX(0,N($I1374)-MAX(N($H1374),1)))</f>
        <v>0</v>
      </c>
      <c r="W1374" s="40">
        <f>IF(S1374="",0,YEAR(S1374)*12+MONTH(S1374))</f>
        <v>0</v>
      </c>
      <c r="X1374" s="40">
        <f>IF(W1374=0,0,W1374+V1374-U1374)</f>
        <v>0</v>
      </c>
      <c r="Y1374" s="36">
        <f>IF(W1374=0,0,N(R1374)*MAX(0,X1374-MAX(W1374,YEAR(Cfg_Hoje)*12+MONTH(Cfg_Hoje)+IF(DAY(Cfg_Hoje)&gt;=INDEX(Cartoes_Fech,MATCH($F1374,Cartoes_Nome,0)),1,0))+1))</f>
        <v>0</v>
      </c>
      <c r="Z1374" s="40">
        <f>IF($A1374="",0,DAY($A1374))</f>
        <v>0</v>
      </c>
      <c r="AA1374" s="40">
        <f>IF($A1374="",0,WEEKDAY($A1374))</f>
        <v>0</v>
      </c>
      <c r="AB1374" s="36">
        <f>IF(AND($C1374="Despesa",U1374&gt;0,U1374&lt;=Sel_Idx,V1374&gt;=Sel_Idx),N(R1374)+ROW()/1000000000,0)</f>
        <v>0</v>
      </c>
      <c r="AC1374" s="40">
        <f>IF(AND($C1374="Despesa",U1374&gt;0,U1374&lt;=Sel_Idx,V1374&gt;=Sel_Idx),Z1374*10000+ROW(),0)</f>
        <v>0</v>
      </c>
      <c r="AD1374" s="40">
        <f>IF(AC1374=0,0,COUNTIFS(L_CalChave,"&gt;0",L_CalChave,"&lt;"&amp;AC1374)+1)</f>
        <v>0</v>
      </c>
    </row>
    <row r="1375">
      <c r="A1375" s="38" t="n"/>
      <c r="B1375" s="39" t="n"/>
      <c r="C1375" s="34" t="n"/>
      <c r="D1375" s="34" t="n"/>
      <c r="E1375" s="34" t="n"/>
      <c r="F1375" s="34" t="n"/>
      <c r="G1375" s="34" t="n"/>
      <c r="H1375" s="37" t="n"/>
      <c r="I1375" s="37" t="n"/>
      <c r="J1375" s="34" t="n"/>
      <c r="K1375" s="34" t="n"/>
      <c r="L1375" s="34" t="n"/>
      <c r="M1375" s="39" t="n"/>
      <c r="N1375" s="35" t="n"/>
      <c r="O1375" s="40" t="str">
        <f>IF($A1375="","",MONTH($A1375))</f>
        <v/>
      </c>
      <c r="P1375" s="40" t="str">
        <f>IF($A1375="","",YEAR($A1375))</f>
        <v/>
      </c>
      <c r="Q1375" s="41" t="str">
        <f>IF($A1375="","",DATE(P1375,O1375,1))</f>
        <v/>
      </c>
      <c r="R1375" s="36" t="str">
        <f>IF(OR($A1375="",$N1375=""),"",IF(AND($C1375&lt;&gt;"Transferência",N($I1375)&gt;1),$N1375/$I1375,$N1375))</f>
        <v/>
      </c>
      <c r="S1375" s="41" t="str">
        <f>IF(OR($A1375="",$F1375="",$C1375&lt;&gt;"Despesa"),"",IF(COUNTIF(Cartoes_Nome,$F1375)=0,"",DATE(P1375,O1375+IF(DAY($A1375)&gt;=INDEX(Cartoes_Fech,MATCH($F1375,Cartoes_Nome,0)),1,0),1)))</f>
        <v/>
      </c>
      <c r="T1375" s="42" t="str">
        <f>IF($A1375="","",IF(COUNTIFS(L_Data,$A1375,L_Desc,$B1375,L_Valor,$N1375,L_Tipo,$C1375)&gt;1,"⚠ Possível duplicidade",IF(OR(AND($C1375="Despesa",COUNTIF(CatD_Nome,$D1375)=0),AND($C1375="Receita",COUNTIF(CatR_Nome,$D1375)=0)),"⚠ Categoria não combina com o tipo",IF(OR($N1375="",$C1375=""),"⚠ Falta valor ou tipo",""))))</f>
        <v/>
      </c>
      <c r="U1375" s="40">
        <f>IF($A1375="",0,P1375*12+O1375)</f>
        <v>0</v>
      </c>
      <c r="V1375" s="40">
        <f>IF($A1375="",0,U1375+MAX(0,N($I1375)-MAX(N($H1375),1)))</f>
        <v>0</v>
      </c>
      <c r="W1375" s="40">
        <f>IF(S1375="",0,YEAR(S1375)*12+MONTH(S1375))</f>
        <v>0</v>
      </c>
      <c r="X1375" s="40">
        <f>IF(W1375=0,0,W1375+V1375-U1375)</f>
        <v>0</v>
      </c>
      <c r="Y1375" s="36">
        <f>IF(W1375=0,0,N(R1375)*MAX(0,X1375-MAX(W1375,YEAR(Cfg_Hoje)*12+MONTH(Cfg_Hoje)+IF(DAY(Cfg_Hoje)&gt;=INDEX(Cartoes_Fech,MATCH($F1375,Cartoes_Nome,0)),1,0))+1))</f>
        <v>0</v>
      </c>
      <c r="Z1375" s="40">
        <f>IF($A1375="",0,DAY($A1375))</f>
        <v>0</v>
      </c>
      <c r="AA1375" s="40">
        <f>IF($A1375="",0,WEEKDAY($A1375))</f>
        <v>0</v>
      </c>
      <c r="AB1375" s="36">
        <f>IF(AND($C1375="Despesa",U1375&gt;0,U1375&lt;=Sel_Idx,V1375&gt;=Sel_Idx),N(R1375)+ROW()/1000000000,0)</f>
        <v>0</v>
      </c>
      <c r="AC1375" s="40">
        <f>IF(AND($C1375="Despesa",U1375&gt;0,U1375&lt;=Sel_Idx,V1375&gt;=Sel_Idx),Z1375*10000+ROW(),0)</f>
        <v>0</v>
      </c>
      <c r="AD1375" s="40">
        <f>IF(AC1375=0,0,COUNTIFS(L_CalChave,"&gt;0",L_CalChave,"&lt;"&amp;AC1375)+1)</f>
        <v>0</v>
      </c>
    </row>
    <row r="1376">
      <c r="A1376" s="38" t="n"/>
      <c r="B1376" s="39" t="n"/>
      <c r="C1376" s="34" t="n"/>
      <c r="D1376" s="34" t="n"/>
      <c r="E1376" s="34" t="n"/>
      <c r="F1376" s="34" t="n"/>
      <c r="G1376" s="34" t="n"/>
      <c r="H1376" s="37" t="n"/>
      <c r="I1376" s="37" t="n"/>
      <c r="J1376" s="34" t="n"/>
      <c r="K1376" s="34" t="n"/>
      <c r="L1376" s="34" t="n"/>
      <c r="M1376" s="39" t="n"/>
      <c r="N1376" s="35" t="n"/>
      <c r="O1376" s="40" t="str">
        <f>IF($A1376="","",MONTH($A1376))</f>
        <v/>
      </c>
      <c r="P1376" s="40" t="str">
        <f>IF($A1376="","",YEAR($A1376))</f>
        <v/>
      </c>
      <c r="Q1376" s="41" t="str">
        <f>IF($A1376="","",DATE(P1376,O1376,1))</f>
        <v/>
      </c>
      <c r="R1376" s="36" t="str">
        <f>IF(OR($A1376="",$N1376=""),"",IF(AND($C1376&lt;&gt;"Transferência",N($I1376)&gt;1),$N1376/$I1376,$N1376))</f>
        <v/>
      </c>
      <c r="S1376" s="41" t="str">
        <f>IF(OR($A1376="",$F1376="",$C1376&lt;&gt;"Despesa"),"",IF(COUNTIF(Cartoes_Nome,$F1376)=0,"",DATE(P1376,O1376+IF(DAY($A1376)&gt;=INDEX(Cartoes_Fech,MATCH($F1376,Cartoes_Nome,0)),1,0),1)))</f>
        <v/>
      </c>
      <c r="T1376" s="42" t="str">
        <f>IF($A1376="","",IF(COUNTIFS(L_Data,$A1376,L_Desc,$B1376,L_Valor,$N1376,L_Tipo,$C1376)&gt;1,"⚠ Possível duplicidade",IF(OR(AND($C1376="Despesa",COUNTIF(CatD_Nome,$D1376)=0),AND($C1376="Receita",COUNTIF(CatR_Nome,$D1376)=0)),"⚠ Categoria não combina com o tipo",IF(OR($N1376="",$C1376=""),"⚠ Falta valor ou tipo",""))))</f>
        <v/>
      </c>
      <c r="U1376" s="40">
        <f>IF($A1376="",0,P1376*12+O1376)</f>
        <v>0</v>
      </c>
      <c r="V1376" s="40">
        <f>IF($A1376="",0,U1376+MAX(0,N($I1376)-MAX(N($H1376),1)))</f>
        <v>0</v>
      </c>
      <c r="W1376" s="40">
        <f>IF(S1376="",0,YEAR(S1376)*12+MONTH(S1376))</f>
        <v>0</v>
      </c>
      <c r="X1376" s="40">
        <f>IF(W1376=0,0,W1376+V1376-U1376)</f>
        <v>0</v>
      </c>
      <c r="Y1376" s="36">
        <f>IF(W1376=0,0,N(R1376)*MAX(0,X1376-MAX(W1376,YEAR(Cfg_Hoje)*12+MONTH(Cfg_Hoje)+IF(DAY(Cfg_Hoje)&gt;=INDEX(Cartoes_Fech,MATCH($F1376,Cartoes_Nome,0)),1,0))+1))</f>
        <v>0</v>
      </c>
      <c r="Z1376" s="40">
        <f>IF($A1376="",0,DAY($A1376))</f>
        <v>0</v>
      </c>
      <c r="AA1376" s="40">
        <f>IF($A1376="",0,WEEKDAY($A1376))</f>
        <v>0</v>
      </c>
      <c r="AB1376" s="36">
        <f>IF(AND($C1376="Despesa",U1376&gt;0,U1376&lt;=Sel_Idx,V1376&gt;=Sel_Idx),N(R1376)+ROW()/1000000000,0)</f>
        <v>0</v>
      </c>
      <c r="AC1376" s="40">
        <f>IF(AND($C1376="Despesa",U1376&gt;0,U1376&lt;=Sel_Idx,V1376&gt;=Sel_Idx),Z1376*10000+ROW(),0)</f>
        <v>0</v>
      </c>
      <c r="AD1376" s="40">
        <f>IF(AC1376=0,0,COUNTIFS(L_CalChave,"&gt;0",L_CalChave,"&lt;"&amp;AC1376)+1)</f>
        <v>0</v>
      </c>
    </row>
    <row r="1377">
      <c r="A1377" s="38" t="n"/>
      <c r="B1377" s="39" t="n"/>
      <c r="C1377" s="34" t="n"/>
      <c r="D1377" s="34" t="n"/>
      <c r="E1377" s="34" t="n"/>
      <c r="F1377" s="34" t="n"/>
      <c r="G1377" s="34" t="n"/>
      <c r="H1377" s="37" t="n"/>
      <c r="I1377" s="37" t="n"/>
      <c r="J1377" s="34" t="n"/>
      <c r="K1377" s="34" t="n"/>
      <c r="L1377" s="34" t="n"/>
      <c r="M1377" s="39" t="n"/>
      <c r="N1377" s="35" t="n"/>
      <c r="O1377" s="40" t="str">
        <f>IF($A1377="","",MONTH($A1377))</f>
        <v/>
      </c>
      <c r="P1377" s="40" t="str">
        <f>IF($A1377="","",YEAR($A1377))</f>
        <v/>
      </c>
      <c r="Q1377" s="41" t="str">
        <f>IF($A1377="","",DATE(P1377,O1377,1))</f>
        <v/>
      </c>
      <c r="R1377" s="36" t="str">
        <f>IF(OR($A1377="",$N1377=""),"",IF(AND($C1377&lt;&gt;"Transferência",N($I1377)&gt;1),$N1377/$I1377,$N1377))</f>
        <v/>
      </c>
      <c r="S1377" s="41" t="str">
        <f>IF(OR($A1377="",$F1377="",$C1377&lt;&gt;"Despesa"),"",IF(COUNTIF(Cartoes_Nome,$F1377)=0,"",DATE(P1377,O1377+IF(DAY($A1377)&gt;=INDEX(Cartoes_Fech,MATCH($F1377,Cartoes_Nome,0)),1,0),1)))</f>
        <v/>
      </c>
      <c r="T1377" s="42" t="str">
        <f>IF($A1377="","",IF(COUNTIFS(L_Data,$A1377,L_Desc,$B1377,L_Valor,$N1377,L_Tipo,$C1377)&gt;1,"⚠ Possível duplicidade",IF(OR(AND($C1377="Despesa",COUNTIF(CatD_Nome,$D1377)=0),AND($C1377="Receita",COUNTIF(CatR_Nome,$D1377)=0)),"⚠ Categoria não combina com o tipo",IF(OR($N1377="",$C1377=""),"⚠ Falta valor ou tipo",""))))</f>
        <v/>
      </c>
      <c r="U1377" s="40">
        <f>IF($A1377="",0,P1377*12+O1377)</f>
        <v>0</v>
      </c>
      <c r="V1377" s="40">
        <f>IF($A1377="",0,U1377+MAX(0,N($I1377)-MAX(N($H1377),1)))</f>
        <v>0</v>
      </c>
      <c r="W1377" s="40">
        <f>IF(S1377="",0,YEAR(S1377)*12+MONTH(S1377))</f>
        <v>0</v>
      </c>
      <c r="X1377" s="40">
        <f>IF(W1377=0,0,W1377+V1377-U1377)</f>
        <v>0</v>
      </c>
      <c r="Y1377" s="36">
        <f>IF(W1377=0,0,N(R1377)*MAX(0,X1377-MAX(W1377,YEAR(Cfg_Hoje)*12+MONTH(Cfg_Hoje)+IF(DAY(Cfg_Hoje)&gt;=INDEX(Cartoes_Fech,MATCH($F1377,Cartoes_Nome,0)),1,0))+1))</f>
        <v>0</v>
      </c>
      <c r="Z1377" s="40">
        <f>IF($A1377="",0,DAY($A1377))</f>
        <v>0</v>
      </c>
      <c r="AA1377" s="40">
        <f>IF($A1377="",0,WEEKDAY($A1377))</f>
        <v>0</v>
      </c>
      <c r="AB1377" s="36">
        <f>IF(AND($C1377="Despesa",U1377&gt;0,U1377&lt;=Sel_Idx,V1377&gt;=Sel_Idx),N(R1377)+ROW()/1000000000,0)</f>
        <v>0</v>
      </c>
      <c r="AC1377" s="40">
        <f>IF(AND($C1377="Despesa",U1377&gt;0,U1377&lt;=Sel_Idx,V1377&gt;=Sel_Idx),Z1377*10000+ROW(),0)</f>
        <v>0</v>
      </c>
      <c r="AD1377" s="40">
        <f>IF(AC1377=0,0,COUNTIFS(L_CalChave,"&gt;0",L_CalChave,"&lt;"&amp;AC1377)+1)</f>
        <v>0</v>
      </c>
    </row>
    <row r="1378">
      <c r="A1378" s="38" t="n"/>
      <c r="B1378" s="39" t="n"/>
      <c r="C1378" s="34" t="n"/>
      <c r="D1378" s="34" t="n"/>
      <c r="E1378" s="34" t="n"/>
      <c r="F1378" s="34" t="n"/>
      <c r="G1378" s="34" t="n"/>
      <c r="H1378" s="37" t="n"/>
      <c r="I1378" s="37" t="n"/>
      <c r="J1378" s="34" t="n"/>
      <c r="K1378" s="34" t="n"/>
      <c r="L1378" s="34" t="n"/>
      <c r="M1378" s="39" t="n"/>
      <c r="N1378" s="35" t="n"/>
      <c r="O1378" s="40" t="str">
        <f>IF($A1378="","",MONTH($A1378))</f>
        <v/>
      </c>
      <c r="P1378" s="40" t="str">
        <f>IF($A1378="","",YEAR($A1378))</f>
        <v/>
      </c>
      <c r="Q1378" s="41" t="str">
        <f>IF($A1378="","",DATE(P1378,O1378,1))</f>
        <v/>
      </c>
      <c r="R1378" s="36" t="str">
        <f>IF(OR($A1378="",$N1378=""),"",IF(AND($C1378&lt;&gt;"Transferência",N($I1378)&gt;1),$N1378/$I1378,$N1378))</f>
        <v/>
      </c>
      <c r="S1378" s="41" t="str">
        <f>IF(OR($A1378="",$F1378="",$C1378&lt;&gt;"Despesa"),"",IF(COUNTIF(Cartoes_Nome,$F1378)=0,"",DATE(P1378,O1378+IF(DAY($A1378)&gt;=INDEX(Cartoes_Fech,MATCH($F1378,Cartoes_Nome,0)),1,0),1)))</f>
        <v/>
      </c>
      <c r="T1378" s="42" t="str">
        <f>IF($A1378="","",IF(COUNTIFS(L_Data,$A1378,L_Desc,$B1378,L_Valor,$N1378,L_Tipo,$C1378)&gt;1,"⚠ Possível duplicidade",IF(OR(AND($C1378="Despesa",COUNTIF(CatD_Nome,$D1378)=0),AND($C1378="Receita",COUNTIF(CatR_Nome,$D1378)=0)),"⚠ Categoria não combina com o tipo",IF(OR($N1378="",$C1378=""),"⚠ Falta valor ou tipo",""))))</f>
        <v/>
      </c>
      <c r="U1378" s="40">
        <f>IF($A1378="",0,P1378*12+O1378)</f>
        <v>0</v>
      </c>
      <c r="V1378" s="40">
        <f>IF($A1378="",0,U1378+MAX(0,N($I1378)-MAX(N($H1378),1)))</f>
        <v>0</v>
      </c>
      <c r="W1378" s="40">
        <f>IF(S1378="",0,YEAR(S1378)*12+MONTH(S1378))</f>
        <v>0</v>
      </c>
      <c r="X1378" s="40">
        <f>IF(W1378=0,0,W1378+V1378-U1378)</f>
        <v>0</v>
      </c>
      <c r="Y1378" s="36">
        <f>IF(W1378=0,0,N(R1378)*MAX(0,X1378-MAX(W1378,YEAR(Cfg_Hoje)*12+MONTH(Cfg_Hoje)+IF(DAY(Cfg_Hoje)&gt;=INDEX(Cartoes_Fech,MATCH($F1378,Cartoes_Nome,0)),1,0))+1))</f>
        <v>0</v>
      </c>
      <c r="Z1378" s="40">
        <f>IF($A1378="",0,DAY($A1378))</f>
        <v>0</v>
      </c>
      <c r="AA1378" s="40">
        <f>IF($A1378="",0,WEEKDAY($A1378))</f>
        <v>0</v>
      </c>
      <c r="AB1378" s="36">
        <f>IF(AND($C1378="Despesa",U1378&gt;0,U1378&lt;=Sel_Idx,V1378&gt;=Sel_Idx),N(R1378)+ROW()/1000000000,0)</f>
        <v>0</v>
      </c>
      <c r="AC1378" s="40">
        <f>IF(AND($C1378="Despesa",U1378&gt;0,U1378&lt;=Sel_Idx,V1378&gt;=Sel_Idx),Z1378*10000+ROW(),0)</f>
        <v>0</v>
      </c>
      <c r="AD1378" s="40">
        <f>IF(AC1378=0,0,COUNTIFS(L_CalChave,"&gt;0",L_CalChave,"&lt;"&amp;AC1378)+1)</f>
        <v>0</v>
      </c>
    </row>
    <row r="1379">
      <c r="A1379" s="38" t="n"/>
      <c r="B1379" s="39" t="n"/>
      <c r="C1379" s="34" t="n"/>
      <c r="D1379" s="34" t="n"/>
      <c r="E1379" s="34" t="n"/>
      <c r="F1379" s="34" t="n"/>
      <c r="G1379" s="34" t="n"/>
      <c r="H1379" s="37" t="n"/>
      <c r="I1379" s="37" t="n"/>
      <c r="J1379" s="34" t="n"/>
      <c r="K1379" s="34" t="n"/>
      <c r="L1379" s="34" t="n"/>
      <c r="M1379" s="39" t="n"/>
      <c r="N1379" s="35" t="n"/>
      <c r="O1379" s="40" t="str">
        <f>IF($A1379="","",MONTH($A1379))</f>
        <v/>
      </c>
      <c r="P1379" s="40" t="str">
        <f>IF($A1379="","",YEAR($A1379))</f>
        <v/>
      </c>
      <c r="Q1379" s="41" t="str">
        <f>IF($A1379="","",DATE(P1379,O1379,1))</f>
        <v/>
      </c>
      <c r="R1379" s="36" t="str">
        <f>IF(OR($A1379="",$N1379=""),"",IF(AND($C1379&lt;&gt;"Transferência",N($I1379)&gt;1),$N1379/$I1379,$N1379))</f>
        <v/>
      </c>
      <c r="S1379" s="41" t="str">
        <f>IF(OR($A1379="",$F1379="",$C1379&lt;&gt;"Despesa"),"",IF(COUNTIF(Cartoes_Nome,$F1379)=0,"",DATE(P1379,O1379+IF(DAY($A1379)&gt;=INDEX(Cartoes_Fech,MATCH($F1379,Cartoes_Nome,0)),1,0),1)))</f>
        <v/>
      </c>
      <c r="T1379" s="42" t="str">
        <f>IF($A1379="","",IF(COUNTIFS(L_Data,$A1379,L_Desc,$B1379,L_Valor,$N1379,L_Tipo,$C1379)&gt;1,"⚠ Possível duplicidade",IF(OR(AND($C1379="Despesa",COUNTIF(CatD_Nome,$D1379)=0),AND($C1379="Receita",COUNTIF(CatR_Nome,$D1379)=0)),"⚠ Categoria não combina com o tipo",IF(OR($N1379="",$C1379=""),"⚠ Falta valor ou tipo",""))))</f>
        <v/>
      </c>
      <c r="U1379" s="40">
        <f>IF($A1379="",0,P1379*12+O1379)</f>
        <v>0</v>
      </c>
      <c r="V1379" s="40">
        <f>IF($A1379="",0,U1379+MAX(0,N($I1379)-MAX(N($H1379),1)))</f>
        <v>0</v>
      </c>
      <c r="W1379" s="40">
        <f>IF(S1379="",0,YEAR(S1379)*12+MONTH(S1379))</f>
        <v>0</v>
      </c>
      <c r="X1379" s="40">
        <f>IF(W1379=0,0,W1379+V1379-U1379)</f>
        <v>0</v>
      </c>
      <c r="Y1379" s="36">
        <f>IF(W1379=0,0,N(R1379)*MAX(0,X1379-MAX(W1379,YEAR(Cfg_Hoje)*12+MONTH(Cfg_Hoje)+IF(DAY(Cfg_Hoje)&gt;=INDEX(Cartoes_Fech,MATCH($F1379,Cartoes_Nome,0)),1,0))+1))</f>
        <v>0</v>
      </c>
      <c r="Z1379" s="40">
        <f>IF($A1379="",0,DAY($A1379))</f>
        <v>0</v>
      </c>
      <c r="AA1379" s="40">
        <f>IF($A1379="",0,WEEKDAY($A1379))</f>
        <v>0</v>
      </c>
      <c r="AB1379" s="36">
        <f>IF(AND($C1379="Despesa",U1379&gt;0,U1379&lt;=Sel_Idx,V1379&gt;=Sel_Idx),N(R1379)+ROW()/1000000000,0)</f>
        <v>0</v>
      </c>
      <c r="AC1379" s="40">
        <f>IF(AND($C1379="Despesa",U1379&gt;0,U1379&lt;=Sel_Idx,V1379&gt;=Sel_Idx),Z1379*10000+ROW(),0)</f>
        <v>0</v>
      </c>
      <c r="AD1379" s="40">
        <f>IF(AC1379=0,0,COUNTIFS(L_CalChave,"&gt;0",L_CalChave,"&lt;"&amp;AC1379)+1)</f>
        <v>0</v>
      </c>
    </row>
    <row r="1380">
      <c r="A1380" s="38" t="n"/>
      <c r="B1380" s="39" t="n"/>
      <c r="C1380" s="34" t="n"/>
      <c r="D1380" s="34" t="n"/>
      <c r="E1380" s="34" t="n"/>
      <c r="F1380" s="34" t="n"/>
      <c r="G1380" s="34" t="n"/>
      <c r="H1380" s="37" t="n"/>
      <c r="I1380" s="37" t="n"/>
      <c r="J1380" s="34" t="n"/>
      <c r="K1380" s="34" t="n"/>
      <c r="L1380" s="34" t="n"/>
      <c r="M1380" s="39" t="n"/>
      <c r="N1380" s="35" t="n"/>
      <c r="O1380" s="40" t="str">
        <f>IF($A1380="","",MONTH($A1380))</f>
        <v/>
      </c>
      <c r="P1380" s="40" t="str">
        <f>IF($A1380="","",YEAR($A1380))</f>
        <v/>
      </c>
      <c r="Q1380" s="41" t="str">
        <f>IF($A1380="","",DATE(P1380,O1380,1))</f>
        <v/>
      </c>
      <c r="R1380" s="36" t="str">
        <f>IF(OR($A1380="",$N1380=""),"",IF(AND($C1380&lt;&gt;"Transferência",N($I1380)&gt;1),$N1380/$I1380,$N1380))</f>
        <v/>
      </c>
      <c r="S1380" s="41" t="str">
        <f>IF(OR($A1380="",$F1380="",$C1380&lt;&gt;"Despesa"),"",IF(COUNTIF(Cartoes_Nome,$F1380)=0,"",DATE(P1380,O1380+IF(DAY($A1380)&gt;=INDEX(Cartoes_Fech,MATCH($F1380,Cartoes_Nome,0)),1,0),1)))</f>
        <v/>
      </c>
      <c r="T1380" s="42" t="str">
        <f>IF($A1380="","",IF(COUNTIFS(L_Data,$A1380,L_Desc,$B1380,L_Valor,$N1380,L_Tipo,$C1380)&gt;1,"⚠ Possível duplicidade",IF(OR(AND($C1380="Despesa",COUNTIF(CatD_Nome,$D1380)=0),AND($C1380="Receita",COUNTIF(CatR_Nome,$D1380)=0)),"⚠ Categoria não combina com o tipo",IF(OR($N1380="",$C1380=""),"⚠ Falta valor ou tipo",""))))</f>
        <v/>
      </c>
      <c r="U1380" s="40">
        <f>IF($A1380="",0,P1380*12+O1380)</f>
        <v>0</v>
      </c>
      <c r="V1380" s="40">
        <f>IF($A1380="",0,U1380+MAX(0,N($I1380)-MAX(N($H1380),1)))</f>
        <v>0</v>
      </c>
      <c r="W1380" s="40">
        <f>IF(S1380="",0,YEAR(S1380)*12+MONTH(S1380))</f>
        <v>0</v>
      </c>
      <c r="X1380" s="40">
        <f>IF(W1380=0,0,W1380+V1380-U1380)</f>
        <v>0</v>
      </c>
      <c r="Y1380" s="36">
        <f>IF(W1380=0,0,N(R1380)*MAX(0,X1380-MAX(W1380,YEAR(Cfg_Hoje)*12+MONTH(Cfg_Hoje)+IF(DAY(Cfg_Hoje)&gt;=INDEX(Cartoes_Fech,MATCH($F1380,Cartoes_Nome,0)),1,0))+1))</f>
        <v>0</v>
      </c>
      <c r="Z1380" s="40">
        <f>IF($A1380="",0,DAY($A1380))</f>
        <v>0</v>
      </c>
      <c r="AA1380" s="40">
        <f>IF($A1380="",0,WEEKDAY($A1380))</f>
        <v>0</v>
      </c>
      <c r="AB1380" s="36">
        <f>IF(AND($C1380="Despesa",U1380&gt;0,U1380&lt;=Sel_Idx,V1380&gt;=Sel_Idx),N(R1380)+ROW()/1000000000,0)</f>
        <v>0</v>
      </c>
      <c r="AC1380" s="40">
        <f>IF(AND($C1380="Despesa",U1380&gt;0,U1380&lt;=Sel_Idx,V1380&gt;=Sel_Idx),Z1380*10000+ROW(),0)</f>
        <v>0</v>
      </c>
      <c r="AD1380" s="40">
        <f>IF(AC1380=0,0,COUNTIFS(L_CalChave,"&gt;0",L_CalChave,"&lt;"&amp;AC1380)+1)</f>
        <v>0</v>
      </c>
    </row>
    <row r="1381">
      <c r="A1381" s="38" t="n"/>
      <c r="B1381" s="39" t="n"/>
      <c r="C1381" s="34" t="n"/>
      <c r="D1381" s="34" t="n"/>
      <c r="E1381" s="34" t="n"/>
      <c r="F1381" s="34" t="n"/>
      <c r="G1381" s="34" t="n"/>
      <c r="H1381" s="37" t="n"/>
      <c r="I1381" s="37" t="n"/>
      <c r="J1381" s="34" t="n"/>
      <c r="K1381" s="34" t="n"/>
      <c r="L1381" s="34" t="n"/>
      <c r="M1381" s="39" t="n"/>
      <c r="N1381" s="35" t="n"/>
      <c r="O1381" s="40" t="str">
        <f>IF($A1381="","",MONTH($A1381))</f>
        <v/>
      </c>
      <c r="P1381" s="40" t="str">
        <f>IF($A1381="","",YEAR($A1381))</f>
        <v/>
      </c>
      <c r="Q1381" s="41" t="str">
        <f>IF($A1381="","",DATE(P1381,O1381,1))</f>
        <v/>
      </c>
      <c r="R1381" s="36" t="str">
        <f>IF(OR($A1381="",$N1381=""),"",IF(AND($C1381&lt;&gt;"Transferência",N($I1381)&gt;1),$N1381/$I1381,$N1381))</f>
        <v/>
      </c>
      <c r="S1381" s="41" t="str">
        <f>IF(OR($A1381="",$F1381="",$C1381&lt;&gt;"Despesa"),"",IF(COUNTIF(Cartoes_Nome,$F1381)=0,"",DATE(P1381,O1381+IF(DAY($A1381)&gt;=INDEX(Cartoes_Fech,MATCH($F1381,Cartoes_Nome,0)),1,0),1)))</f>
        <v/>
      </c>
      <c r="T1381" s="42" t="str">
        <f>IF($A1381="","",IF(COUNTIFS(L_Data,$A1381,L_Desc,$B1381,L_Valor,$N1381,L_Tipo,$C1381)&gt;1,"⚠ Possível duplicidade",IF(OR(AND($C1381="Despesa",COUNTIF(CatD_Nome,$D1381)=0),AND($C1381="Receita",COUNTIF(CatR_Nome,$D1381)=0)),"⚠ Categoria não combina com o tipo",IF(OR($N1381="",$C1381=""),"⚠ Falta valor ou tipo",""))))</f>
        <v/>
      </c>
      <c r="U1381" s="40">
        <f>IF($A1381="",0,P1381*12+O1381)</f>
        <v>0</v>
      </c>
      <c r="V1381" s="40">
        <f>IF($A1381="",0,U1381+MAX(0,N($I1381)-MAX(N($H1381),1)))</f>
        <v>0</v>
      </c>
      <c r="W1381" s="40">
        <f>IF(S1381="",0,YEAR(S1381)*12+MONTH(S1381))</f>
        <v>0</v>
      </c>
      <c r="X1381" s="40">
        <f>IF(W1381=0,0,W1381+V1381-U1381)</f>
        <v>0</v>
      </c>
      <c r="Y1381" s="36">
        <f>IF(W1381=0,0,N(R1381)*MAX(0,X1381-MAX(W1381,YEAR(Cfg_Hoje)*12+MONTH(Cfg_Hoje)+IF(DAY(Cfg_Hoje)&gt;=INDEX(Cartoes_Fech,MATCH($F1381,Cartoes_Nome,0)),1,0))+1))</f>
        <v>0</v>
      </c>
      <c r="Z1381" s="40">
        <f>IF($A1381="",0,DAY($A1381))</f>
        <v>0</v>
      </c>
      <c r="AA1381" s="40">
        <f>IF($A1381="",0,WEEKDAY($A1381))</f>
        <v>0</v>
      </c>
      <c r="AB1381" s="36">
        <f>IF(AND($C1381="Despesa",U1381&gt;0,U1381&lt;=Sel_Idx,V1381&gt;=Sel_Idx),N(R1381)+ROW()/1000000000,0)</f>
        <v>0</v>
      </c>
      <c r="AC1381" s="40">
        <f>IF(AND($C1381="Despesa",U1381&gt;0,U1381&lt;=Sel_Idx,V1381&gt;=Sel_Idx),Z1381*10000+ROW(),0)</f>
        <v>0</v>
      </c>
      <c r="AD1381" s="40">
        <f>IF(AC1381=0,0,COUNTIFS(L_CalChave,"&gt;0",L_CalChave,"&lt;"&amp;AC1381)+1)</f>
        <v>0</v>
      </c>
    </row>
    <row r="1382">
      <c r="A1382" s="38" t="n"/>
      <c r="B1382" s="39" t="n"/>
      <c r="C1382" s="34" t="n"/>
      <c r="D1382" s="34" t="n"/>
      <c r="E1382" s="34" t="n"/>
      <c r="F1382" s="34" t="n"/>
      <c r="G1382" s="34" t="n"/>
      <c r="H1382" s="37" t="n"/>
      <c r="I1382" s="37" t="n"/>
      <c r="J1382" s="34" t="n"/>
      <c r="K1382" s="34" t="n"/>
      <c r="L1382" s="34" t="n"/>
      <c r="M1382" s="39" t="n"/>
      <c r="N1382" s="35" t="n"/>
      <c r="O1382" s="40" t="str">
        <f>IF($A1382="","",MONTH($A1382))</f>
        <v/>
      </c>
      <c r="P1382" s="40" t="str">
        <f>IF($A1382="","",YEAR($A1382))</f>
        <v/>
      </c>
      <c r="Q1382" s="41" t="str">
        <f>IF($A1382="","",DATE(P1382,O1382,1))</f>
        <v/>
      </c>
      <c r="R1382" s="36" t="str">
        <f>IF(OR($A1382="",$N1382=""),"",IF(AND($C1382&lt;&gt;"Transferência",N($I1382)&gt;1),$N1382/$I1382,$N1382))</f>
        <v/>
      </c>
      <c r="S1382" s="41" t="str">
        <f>IF(OR($A1382="",$F1382="",$C1382&lt;&gt;"Despesa"),"",IF(COUNTIF(Cartoes_Nome,$F1382)=0,"",DATE(P1382,O1382+IF(DAY($A1382)&gt;=INDEX(Cartoes_Fech,MATCH($F1382,Cartoes_Nome,0)),1,0),1)))</f>
        <v/>
      </c>
      <c r="T1382" s="42" t="str">
        <f>IF($A1382="","",IF(COUNTIFS(L_Data,$A1382,L_Desc,$B1382,L_Valor,$N1382,L_Tipo,$C1382)&gt;1,"⚠ Possível duplicidade",IF(OR(AND($C1382="Despesa",COUNTIF(CatD_Nome,$D1382)=0),AND($C1382="Receita",COUNTIF(CatR_Nome,$D1382)=0)),"⚠ Categoria não combina com o tipo",IF(OR($N1382="",$C1382=""),"⚠ Falta valor ou tipo",""))))</f>
        <v/>
      </c>
      <c r="U1382" s="40">
        <f>IF($A1382="",0,P1382*12+O1382)</f>
        <v>0</v>
      </c>
      <c r="V1382" s="40">
        <f>IF($A1382="",0,U1382+MAX(0,N($I1382)-MAX(N($H1382),1)))</f>
        <v>0</v>
      </c>
      <c r="W1382" s="40">
        <f>IF(S1382="",0,YEAR(S1382)*12+MONTH(S1382))</f>
        <v>0</v>
      </c>
      <c r="X1382" s="40">
        <f>IF(W1382=0,0,W1382+V1382-U1382)</f>
        <v>0</v>
      </c>
      <c r="Y1382" s="36">
        <f>IF(W1382=0,0,N(R1382)*MAX(0,X1382-MAX(W1382,YEAR(Cfg_Hoje)*12+MONTH(Cfg_Hoje)+IF(DAY(Cfg_Hoje)&gt;=INDEX(Cartoes_Fech,MATCH($F1382,Cartoes_Nome,0)),1,0))+1))</f>
        <v>0</v>
      </c>
      <c r="Z1382" s="40">
        <f>IF($A1382="",0,DAY($A1382))</f>
        <v>0</v>
      </c>
      <c r="AA1382" s="40">
        <f>IF($A1382="",0,WEEKDAY($A1382))</f>
        <v>0</v>
      </c>
      <c r="AB1382" s="36">
        <f>IF(AND($C1382="Despesa",U1382&gt;0,U1382&lt;=Sel_Idx,V1382&gt;=Sel_Idx),N(R1382)+ROW()/1000000000,0)</f>
        <v>0</v>
      </c>
      <c r="AC1382" s="40">
        <f>IF(AND($C1382="Despesa",U1382&gt;0,U1382&lt;=Sel_Idx,V1382&gt;=Sel_Idx),Z1382*10000+ROW(),0)</f>
        <v>0</v>
      </c>
      <c r="AD1382" s="40">
        <f>IF(AC1382=0,0,COUNTIFS(L_CalChave,"&gt;0",L_CalChave,"&lt;"&amp;AC1382)+1)</f>
        <v>0</v>
      </c>
    </row>
    <row r="1383">
      <c r="A1383" s="38" t="n"/>
      <c r="B1383" s="39" t="n"/>
      <c r="C1383" s="34" t="n"/>
      <c r="D1383" s="34" t="n"/>
      <c r="E1383" s="34" t="n"/>
      <c r="F1383" s="34" t="n"/>
      <c r="G1383" s="34" t="n"/>
      <c r="H1383" s="37" t="n"/>
      <c r="I1383" s="37" t="n"/>
      <c r="J1383" s="34" t="n"/>
      <c r="K1383" s="34" t="n"/>
      <c r="L1383" s="34" t="n"/>
      <c r="M1383" s="39" t="n"/>
      <c r="N1383" s="35" t="n"/>
      <c r="O1383" s="40" t="str">
        <f>IF($A1383="","",MONTH($A1383))</f>
        <v/>
      </c>
      <c r="P1383" s="40" t="str">
        <f>IF($A1383="","",YEAR($A1383))</f>
        <v/>
      </c>
      <c r="Q1383" s="41" t="str">
        <f>IF($A1383="","",DATE(P1383,O1383,1))</f>
        <v/>
      </c>
      <c r="R1383" s="36" t="str">
        <f>IF(OR($A1383="",$N1383=""),"",IF(AND($C1383&lt;&gt;"Transferência",N($I1383)&gt;1),$N1383/$I1383,$N1383))</f>
        <v/>
      </c>
      <c r="S1383" s="41" t="str">
        <f>IF(OR($A1383="",$F1383="",$C1383&lt;&gt;"Despesa"),"",IF(COUNTIF(Cartoes_Nome,$F1383)=0,"",DATE(P1383,O1383+IF(DAY($A1383)&gt;=INDEX(Cartoes_Fech,MATCH($F1383,Cartoes_Nome,0)),1,0),1)))</f>
        <v/>
      </c>
      <c r="T1383" s="42" t="str">
        <f>IF($A1383="","",IF(COUNTIFS(L_Data,$A1383,L_Desc,$B1383,L_Valor,$N1383,L_Tipo,$C1383)&gt;1,"⚠ Possível duplicidade",IF(OR(AND($C1383="Despesa",COUNTIF(CatD_Nome,$D1383)=0),AND($C1383="Receita",COUNTIF(CatR_Nome,$D1383)=0)),"⚠ Categoria não combina com o tipo",IF(OR($N1383="",$C1383=""),"⚠ Falta valor ou tipo",""))))</f>
        <v/>
      </c>
      <c r="U1383" s="40">
        <f>IF($A1383="",0,P1383*12+O1383)</f>
        <v>0</v>
      </c>
      <c r="V1383" s="40">
        <f>IF($A1383="",0,U1383+MAX(0,N($I1383)-MAX(N($H1383),1)))</f>
        <v>0</v>
      </c>
      <c r="W1383" s="40">
        <f>IF(S1383="",0,YEAR(S1383)*12+MONTH(S1383))</f>
        <v>0</v>
      </c>
      <c r="X1383" s="40">
        <f>IF(W1383=0,0,W1383+V1383-U1383)</f>
        <v>0</v>
      </c>
      <c r="Y1383" s="36">
        <f>IF(W1383=0,0,N(R1383)*MAX(0,X1383-MAX(W1383,YEAR(Cfg_Hoje)*12+MONTH(Cfg_Hoje)+IF(DAY(Cfg_Hoje)&gt;=INDEX(Cartoes_Fech,MATCH($F1383,Cartoes_Nome,0)),1,0))+1))</f>
        <v>0</v>
      </c>
      <c r="Z1383" s="40">
        <f>IF($A1383="",0,DAY($A1383))</f>
        <v>0</v>
      </c>
      <c r="AA1383" s="40">
        <f>IF($A1383="",0,WEEKDAY($A1383))</f>
        <v>0</v>
      </c>
      <c r="AB1383" s="36">
        <f>IF(AND($C1383="Despesa",U1383&gt;0,U1383&lt;=Sel_Idx,V1383&gt;=Sel_Idx),N(R1383)+ROW()/1000000000,0)</f>
        <v>0</v>
      </c>
      <c r="AC1383" s="40">
        <f>IF(AND($C1383="Despesa",U1383&gt;0,U1383&lt;=Sel_Idx,V1383&gt;=Sel_Idx),Z1383*10000+ROW(),0)</f>
        <v>0</v>
      </c>
      <c r="AD1383" s="40">
        <f>IF(AC1383=0,0,COUNTIFS(L_CalChave,"&gt;0",L_CalChave,"&lt;"&amp;AC1383)+1)</f>
        <v>0</v>
      </c>
    </row>
    <row r="1384">
      <c r="A1384" s="38" t="n"/>
      <c r="B1384" s="39" t="n"/>
      <c r="C1384" s="34" t="n"/>
      <c r="D1384" s="34" t="n"/>
      <c r="E1384" s="34" t="n"/>
      <c r="F1384" s="34" t="n"/>
      <c r="G1384" s="34" t="n"/>
      <c r="H1384" s="37" t="n"/>
      <c r="I1384" s="37" t="n"/>
      <c r="J1384" s="34" t="n"/>
      <c r="K1384" s="34" t="n"/>
      <c r="L1384" s="34" t="n"/>
      <c r="M1384" s="39" t="n"/>
      <c r="N1384" s="35" t="n"/>
      <c r="O1384" s="40" t="str">
        <f>IF($A1384="","",MONTH($A1384))</f>
        <v/>
      </c>
      <c r="P1384" s="40" t="str">
        <f>IF($A1384="","",YEAR($A1384))</f>
        <v/>
      </c>
      <c r="Q1384" s="41" t="str">
        <f>IF($A1384="","",DATE(P1384,O1384,1))</f>
        <v/>
      </c>
      <c r="R1384" s="36" t="str">
        <f>IF(OR($A1384="",$N1384=""),"",IF(AND($C1384&lt;&gt;"Transferência",N($I1384)&gt;1),$N1384/$I1384,$N1384))</f>
        <v/>
      </c>
      <c r="S1384" s="41" t="str">
        <f>IF(OR($A1384="",$F1384="",$C1384&lt;&gt;"Despesa"),"",IF(COUNTIF(Cartoes_Nome,$F1384)=0,"",DATE(P1384,O1384+IF(DAY($A1384)&gt;=INDEX(Cartoes_Fech,MATCH($F1384,Cartoes_Nome,0)),1,0),1)))</f>
        <v/>
      </c>
      <c r="T1384" s="42" t="str">
        <f>IF($A1384="","",IF(COUNTIFS(L_Data,$A1384,L_Desc,$B1384,L_Valor,$N1384,L_Tipo,$C1384)&gt;1,"⚠ Possível duplicidade",IF(OR(AND($C1384="Despesa",COUNTIF(CatD_Nome,$D1384)=0),AND($C1384="Receita",COUNTIF(CatR_Nome,$D1384)=0)),"⚠ Categoria não combina com o tipo",IF(OR($N1384="",$C1384=""),"⚠ Falta valor ou tipo",""))))</f>
        <v/>
      </c>
      <c r="U1384" s="40">
        <f>IF($A1384="",0,P1384*12+O1384)</f>
        <v>0</v>
      </c>
      <c r="V1384" s="40">
        <f>IF($A1384="",0,U1384+MAX(0,N($I1384)-MAX(N($H1384),1)))</f>
        <v>0</v>
      </c>
      <c r="W1384" s="40">
        <f>IF(S1384="",0,YEAR(S1384)*12+MONTH(S1384))</f>
        <v>0</v>
      </c>
      <c r="X1384" s="40">
        <f>IF(W1384=0,0,W1384+V1384-U1384)</f>
        <v>0</v>
      </c>
      <c r="Y1384" s="36">
        <f>IF(W1384=0,0,N(R1384)*MAX(0,X1384-MAX(W1384,YEAR(Cfg_Hoje)*12+MONTH(Cfg_Hoje)+IF(DAY(Cfg_Hoje)&gt;=INDEX(Cartoes_Fech,MATCH($F1384,Cartoes_Nome,0)),1,0))+1))</f>
        <v>0</v>
      </c>
      <c r="Z1384" s="40">
        <f>IF($A1384="",0,DAY($A1384))</f>
        <v>0</v>
      </c>
      <c r="AA1384" s="40">
        <f>IF($A1384="",0,WEEKDAY($A1384))</f>
        <v>0</v>
      </c>
      <c r="AB1384" s="36">
        <f>IF(AND($C1384="Despesa",U1384&gt;0,U1384&lt;=Sel_Idx,V1384&gt;=Sel_Idx),N(R1384)+ROW()/1000000000,0)</f>
        <v>0</v>
      </c>
      <c r="AC1384" s="40">
        <f>IF(AND($C1384="Despesa",U1384&gt;0,U1384&lt;=Sel_Idx,V1384&gt;=Sel_Idx),Z1384*10000+ROW(),0)</f>
        <v>0</v>
      </c>
      <c r="AD1384" s="40">
        <f>IF(AC1384=0,0,COUNTIFS(L_CalChave,"&gt;0",L_CalChave,"&lt;"&amp;AC1384)+1)</f>
        <v>0</v>
      </c>
    </row>
    <row r="1385">
      <c r="A1385" s="38" t="n"/>
      <c r="B1385" s="39" t="n"/>
      <c r="C1385" s="34" t="n"/>
      <c r="D1385" s="34" t="n"/>
      <c r="E1385" s="34" t="n"/>
      <c r="F1385" s="34" t="n"/>
      <c r="G1385" s="34" t="n"/>
      <c r="H1385" s="37" t="n"/>
      <c r="I1385" s="37" t="n"/>
      <c r="J1385" s="34" t="n"/>
      <c r="K1385" s="34" t="n"/>
      <c r="L1385" s="34" t="n"/>
      <c r="M1385" s="39" t="n"/>
      <c r="N1385" s="35" t="n"/>
      <c r="O1385" s="40" t="str">
        <f>IF($A1385="","",MONTH($A1385))</f>
        <v/>
      </c>
      <c r="P1385" s="40" t="str">
        <f>IF($A1385="","",YEAR($A1385))</f>
        <v/>
      </c>
      <c r="Q1385" s="41" t="str">
        <f>IF($A1385="","",DATE(P1385,O1385,1))</f>
        <v/>
      </c>
      <c r="R1385" s="36" t="str">
        <f>IF(OR($A1385="",$N1385=""),"",IF(AND($C1385&lt;&gt;"Transferência",N($I1385)&gt;1),$N1385/$I1385,$N1385))</f>
        <v/>
      </c>
      <c r="S1385" s="41" t="str">
        <f>IF(OR($A1385="",$F1385="",$C1385&lt;&gt;"Despesa"),"",IF(COUNTIF(Cartoes_Nome,$F1385)=0,"",DATE(P1385,O1385+IF(DAY($A1385)&gt;=INDEX(Cartoes_Fech,MATCH($F1385,Cartoes_Nome,0)),1,0),1)))</f>
        <v/>
      </c>
      <c r="T1385" s="42" t="str">
        <f>IF($A1385="","",IF(COUNTIFS(L_Data,$A1385,L_Desc,$B1385,L_Valor,$N1385,L_Tipo,$C1385)&gt;1,"⚠ Possível duplicidade",IF(OR(AND($C1385="Despesa",COUNTIF(CatD_Nome,$D1385)=0),AND($C1385="Receita",COUNTIF(CatR_Nome,$D1385)=0)),"⚠ Categoria não combina com o tipo",IF(OR($N1385="",$C1385=""),"⚠ Falta valor ou tipo",""))))</f>
        <v/>
      </c>
      <c r="U1385" s="40">
        <f>IF($A1385="",0,P1385*12+O1385)</f>
        <v>0</v>
      </c>
      <c r="V1385" s="40">
        <f>IF($A1385="",0,U1385+MAX(0,N($I1385)-MAX(N($H1385),1)))</f>
        <v>0</v>
      </c>
      <c r="W1385" s="40">
        <f>IF(S1385="",0,YEAR(S1385)*12+MONTH(S1385))</f>
        <v>0</v>
      </c>
      <c r="X1385" s="40">
        <f>IF(W1385=0,0,W1385+V1385-U1385)</f>
        <v>0</v>
      </c>
      <c r="Y1385" s="36">
        <f>IF(W1385=0,0,N(R1385)*MAX(0,X1385-MAX(W1385,YEAR(Cfg_Hoje)*12+MONTH(Cfg_Hoje)+IF(DAY(Cfg_Hoje)&gt;=INDEX(Cartoes_Fech,MATCH($F1385,Cartoes_Nome,0)),1,0))+1))</f>
        <v>0</v>
      </c>
      <c r="Z1385" s="40">
        <f>IF($A1385="",0,DAY($A1385))</f>
        <v>0</v>
      </c>
      <c r="AA1385" s="40">
        <f>IF($A1385="",0,WEEKDAY($A1385))</f>
        <v>0</v>
      </c>
      <c r="AB1385" s="36">
        <f>IF(AND($C1385="Despesa",U1385&gt;0,U1385&lt;=Sel_Idx,V1385&gt;=Sel_Idx),N(R1385)+ROW()/1000000000,0)</f>
        <v>0</v>
      </c>
      <c r="AC1385" s="40">
        <f>IF(AND($C1385="Despesa",U1385&gt;0,U1385&lt;=Sel_Idx,V1385&gt;=Sel_Idx),Z1385*10000+ROW(),0)</f>
        <v>0</v>
      </c>
      <c r="AD1385" s="40">
        <f>IF(AC1385=0,0,COUNTIFS(L_CalChave,"&gt;0",L_CalChave,"&lt;"&amp;AC1385)+1)</f>
        <v>0</v>
      </c>
    </row>
    <row r="1386">
      <c r="A1386" s="38" t="n"/>
      <c r="B1386" s="39" t="n"/>
      <c r="C1386" s="34" t="n"/>
      <c r="D1386" s="34" t="n"/>
      <c r="E1386" s="34" t="n"/>
      <c r="F1386" s="34" t="n"/>
      <c r="G1386" s="34" t="n"/>
      <c r="H1386" s="37" t="n"/>
      <c r="I1386" s="37" t="n"/>
      <c r="J1386" s="34" t="n"/>
      <c r="K1386" s="34" t="n"/>
      <c r="L1386" s="34" t="n"/>
      <c r="M1386" s="39" t="n"/>
      <c r="N1386" s="35" t="n"/>
      <c r="O1386" s="40" t="str">
        <f>IF($A1386="","",MONTH($A1386))</f>
        <v/>
      </c>
      <c r="P1386" s="40" t="str">
        <f>IF($A1386="","",YEAR($A1386))</f>
        <v/>
      </c>
      <c r="Q1386" s="41" t="str">
        <f>IF($A1386="","",DATE(P1386,O1386,1))</f>
        <v/>
      </c>
      <c r="R1386" s="36" t="str">
        <f>IF(OR($A1386="",$N1386=""),"",IF(AND($C1386&lt;&gt;"Transferência",N($I1386)&gt;1),$N1386/$I1386,$N1386))</f>
        <v/>
      </c>
      <c r="S1386" s="41" t="str">
        <f>IF(OR($A1386="",$F1386="",$C1386&lt;&gt;"Despesa"),"",IF(COUNTIF(Cartoes_Nome,$F1386)=0,"",DATE(P1386,O1386+IF(DAY($A1386)&gt;=INDEX(Cartoes_Fech,MATCH($F1386,Cartoes_Nome,0)),1,0),1)))</f>
        <v/>
      </c>
      <c r="T1386" s="42" t="str">
        <f>IF($A1386="","",IF(COUNTIFS(L_Data,$A1386,L_Desc,$B1386,L_Valor,$N1386,L_Tipo,$C1386)&gt;1,"⚠ Possível duplicidade",IF(OR(AND($C1386="Despesa",COUNTIF(CatD_Nome,$D1386)=0),AND($C1386="Receita",COUNTIF(CatR_Nome,$D1386)=0)),"⚠ Categoria não combina com o tipo",IF(OR($N1386="",$C1386=""),"⚠ Falta valor ou tipo",""))))</f>
        <v/>
      </c>
      <c r="U1386" s="40">
        <f>IF($A1386="",0,P1386*12+O1386)</f>
        <v>0</v>
      </c>
      <c r="V1386" s="40">
        <f>IF($A1386="",0,U1386+MAX(0,N($I1386)-MAX(N($H1386),1)))</f>
        <v>0</v>
      </c>
      <c r="W1386" s="40">
        <f>IF(S1386="",0,YEAR(S1386)*12+MONTH(S1386))</f>
        <v>0</v>
      </c>
      <c r="X1386" s="40">
        <f>IF(W1386=0,0,W1386+V1386-U1386)</f>
        <v>0</v>
      </c>
      <c r="Y1386" s="36">
        <f>IF(W1386=0,0,N(R1386)*MAX(0,X1386-MAX(W1386,YEAR(Cfg_Hoje)*12+MONTH(Cfg_Hoje)+IF(DAY(Cfg_Hoje)&gt;=INDEX(Cartoes_Fech,MATCH($F1386,Cartoes_Nome,0)),1,0))+1))</f>
        <v>0</v>
      </c>
      <c r="Z1386" s="40">
        <f>IF($A1386="",0,DAY($A1386))</f>
        <v>0</v>
      </c>
      <c r="AA1386" s="40">
        <f>IF($A1386="",0,WEEKDAY($A1386))</f>
        <v>0</v>
      </c>
      <c r="AB1386" s="36">
        <f>IF(AND($C1386="Despesa",U1386&gt;0,U1386&lt;=Sel_Idx,V1386&gt;=Sel_Idx),N(R1386)+ROW()/1000000000,0)</f>
        <v>0</v>
      </c>
      <c r="AC1386" s="40">
        <f>IF(AND($C1386="Despesa",U1386&gt;0,U1386&lt;=Sel_Idx,V1386&gt;=Sel_Idx),Z1386*10000+ROW(),0)</f>
        <v>0</v>
      </c>
      <c r="AD1386" s="40">
        <f>IF(AC1386=0,0,COUNTIFS(L_CalChave,"&gt;0",L_CalChave,"&lt;"&amp;AC1386)+1)</f>
        <v>0</v>
      </c>
    </row>
    <row r="1387">
      <c r="A1387" s="38" t="n"/>
      <c r="B1387" s="39" t="n"/>
      <c r="C1387" s="34" t="n"/>
      <c r="D1387" s="34" t="n"/>
      <c r="E1387" s="34" t="n"/>
      <c r="F1387" s="34" t="n"/>
      <c r="G1387" s="34" t="n"/>
      <c r="H1387" s="37" t="n"/>
      <c r="I1387" s="37" t="n"/>
      <c r="J1387" s="34" t="n"/>
      <c r="K1387" s="34" t="n"/>
      <c r="L1387" s="34" t="n"/>
      <c r="M1387" s="39" t="n"/>
      <c r="N1387" s="35" t="n"/>
      <c r="O1387" s="40" t="str">
        <f>IF($A1387="","",MONTH($A1387))</f>
        <v/>
      </c>
      <c r="P1387" s="40" t="str">
        <f>IF($A1387="","",YEAR($A1387))</f>
        <v/>
      </c>
      <c r="Q1387" s="41" t="str">
        <f>IF($A1387="","",DATE(P1387,O1387,1))</f>
        <v/>
      </c>
      <c r="R1387" s="36" t="str">
        <f>IF(OR($A1387="",$N1387=""),"",IF(AND($C1387&lt;&gt;"Transferência",N($I1387)&gt;1),$N1387/$I1387,$N1387))</f>
        <v/>
      </c>
      <c r="S1387" s="41" t="str">
        <f>IF(OR($A1387="",$F1387="",$C1387&lt;&gt;"Despesa"),"",IF(COUNTIF(Cartoes_Nome,$F1387)=0,"",DATE(P1387,O1387+IF(DAY($A1387)&gt;=INDEX(Cartoes_Fech,MATCH($F1387,Cartoes_Nome,0)),1,0),1)))</f>
        <v/>
      </c>
      <c r="T1387" s="42" t="str">
        <f>IF($A1387="","",IF(COUNTIFS(L_Data,$A1387,L_Desc,$B1387,L_Valor,$N1387,L_Tipo,$C1387)&gt;1,"⚠ Possível duplicidade",IF(OR(AND($C1387="Despesa",COUNTIF(CatD_Nome,$D1387)=0),AND($C1387="Receita",COUNTIF(CatR_Nome,$D1387)=0)),"⚠ Categoria não combina com o tipo",IF(OR($N1387="",$C1387=""),"⚠ Falta valor ou tipo",""))))</f>
        <v/>
      </c>
      <c r="U1387" s="40">
        <f>IF($A1387="",0,P1387*12+O1387)</f>
        <v>0</v>
      </c>
      <c r="V1387" s="40">
        <f>IF($A1387="",0,U1387+MAX(0,N($I1387)-MAX(N($H1387),1)))</f>
        <v>0</v>
      </c>
      <c r="W1387" s="40">
        <f>IF(S1387="",0,YEAR(S1387)*12+MONTH(S1387))</f>
        <v>0</v>
      </c>
      <c r="X1387" s="40">
        <f>IF(W1387=0,0,W1387+V1387-U1387)</f>
        <v>0</v>
      </c>
      <c r="Y1387" s="36">
        <f>IF(W1387=0,0,N(R1387)*MAX(0,X1387-MAX(W1387,YEAR(Cfg_Hoje)*12+MONTH(Cfg_Hoje)+IF(DAY(Cfg_Hoje)&gt;=INDEX(Cartoes_Fech,MATCH($F1387,Cartoes_Nome,0)),1,0))+1))</f>
        <v>0</v>
      </c>
      <c r="Z1387" s="40">
        <f>IF($A1387="",0,DAY($A1387))</f>
        <v>0</v>
      </c>
      <c r="AA1387" s="40">
        <f>IF($A1387="",0,WEEKDAY($A1387))</f>
        <v>0</v>
      </c>
      <c r="AB1387" s="36">
        <f>IF(AND($C1387="Despesa",U1387&gt;0,U1387&lt;=Sel_Idx,V1387&gt;=Sel_Idx),N(R1387)+ROW()/1000000000,0)</f>
        <v>0</v>
      </c>
      <c r="AC1387" s="40">
        <f>IF(AND($C1387="Despesa",U1387&gt;0,U1387&lt;=Sel_Idx,V1387&gt;=Sel_Idx),Z1387*10000+ROW(),0)</f>
        <v>0</v>
      </c>
      <c r="AD1387" s="40">
        <f>IF(AC1387=0,0,COUNTIFS(L_CalChave,"&gt;0",L_CalChave,"&lt;"&amp;AC1387)+1)</f>
        <v>0</v>
      </c>
    </row>
    <row r="1388">
      <c r="A1388" s="38" t="n"/>
      <c r="B1388" s="39" t="n"/>
      <c r="C1388" s="34" t="n"/>
      <c r="D1388" s="34" t="n"/>
      <c r="E1388" s="34" t="n"/>
      <c r="F1388" s="34" t="n"/>
      <c r="G1388" s="34" t="n"/>
      <c r="H1388" s="37" t="n"/>
      <c r="I1388" s="37" t="n"/>
      <c r="J1388" s="34" t="n"/>
      <c r="K1388" s="34" t="n"/>
      <c r="L1388" s="34" t="n"/>
      <c r="M1388" s="39" t="n"/>
      <c r="N1388" s="35" t="n"/>
      <c r="O1388" s="40" t="str">
        <f>IF($A1388="","",MONTH($A1388))</f>
        <v/>
      </c>
      <c r="P1388" s="40" t="str">
        <f>IF($A1388="","",YEAR($A1388))</f>
        <v/>
      </c>
      <c r="Q1388" s="41" t="str">
        <f>IF($A1388="","",DATE(P1388,O1388,1))</f>
        <v/>
      </c>
      <c r="R1388" s="36" t="str">
        <f>IF(OR($A1388="",$N1388=""),"",IF(AND($C1388&lt;&gt;"Transferência",N($I1388)&gt;1),$N1388/$I1388,$N1388))</f>
        <v/>
      </c>
      <c r="S1388" s="41" t="str">
        <f>IF(OR($A1388="",$F1388="",$C1388&lt;&gt;"Despesa"),"",IF(COUNTIF(Cartoes_Nome,$F1388)=0,"",DATE(P1388,O1388+IF(DAY($A1388)&gt;=INDEX(Cartoes_Fech,MATCH($F1388,Cartoes_Nome,0)),1,0),1)))</f>
        <v/>
      </c>
      <c r="T1388" s="42" t="str">
        <f>IF($A1388="","",IF(COUNTIFS(L_Data,$A1388,L_Desc,$B1388,L_Valor,$N1388,L_Tipo,$C1388)&gt;1,"⚠ Possível duplicidade",IF(OR(AND($C1388="Despesa",COUNTIF(CatD_Nome,$D1388)=0),AND($C1388="Receita",COUNTIF(CatR_Nome,$D1388)=0)),"⚠ Categoria não combina com o tipo",IF(OR($N1388="",$C1388=""),"⚠ Falta valor ou tipo",""))))</f>
        <v/>
      </c>
      <c r="U1388" s="40">
        <f>IF($A1388="",0,P1388*12+O1388)</f>
        <v>0</v>
      </c>
      <c r="V1388" s="40">
        <f>IF($A1388="",0,U1388+MAX(0,N($I1388)-MAX(N($H1388),1)))</f>
        <v>0</v>
      </c>
      <c r="W1388" s="40">
        <f>IF(S1388="",0,YEAR(S1388)*12+MONTH(S1388))</f>
        <v>0</v>
      </c>
      <c r="X1388" s="40">
        <f>IF(W1388=0,0,W1388+V1388-U1388)</f>
        <v>0</v>
      </c>
      <c r="Y1388" s="36">
        <f>IF(W1388=0,0,N(R1388)*MAX(0,X1388-MAX(W1388,YEAR(Cfg_Hoje)*12+MONTH(Cfg_Hoje)+IF(DAY(Cfg_Hoje)&gt;=INDEX(Cartoes_Fech,MATCH($F1388,Cartoes_Nome,0)),1,0))+1))</f>
        <v>0</v>
      </c>
      <c r="Z1388" s="40">
        <f>IF($A1388="",0,DAY($A1388))</f>
        <v>0</v>
      </c>
      <c r="AA1388" s="40">
        <f>IF($A1388="",0,WEEKDAY($A1388))</f>
        <v>0</v>
      </c>
      <c r="AB1388" s="36">
        <f>IF(AND($C1388="Despesa",U1388&gt;0,U1388&lt;=Sel_Idx,V1388&gt;=Sel_Idx),N(R1388)+ROW()/1000000000,0)</f>
        <v>0</v>
      </c>
      <c r="AC1388" s="40">
        <f>IF(AND($C1388="Despesa",U1388&gt;0,U1388&lt;=Sel_Idx,V1388&gt;=Sel_Idx),Z1388*10000+ROW(),0)</f>
        <v>0</v>
      </c>
      <c r="AD1388" s="40">
        <f>IF(AC1388=0,0,COUNTIFS(L_CalChave,"&gt;0",L_CalChave,"&lt;"&amp;AC1388)+1)</f>
        <v>0</v>
      </c>
    </row>
    <row r="1389">
      <c r="A1389" s="38" t="n"/>
      <c r="B1389" s="39" t="n"/>
      <c r="C1389" s="34" t="n"/>
      <c r="D1389" s="34" t="n"/>
      <c r="E1389" s="34" t="n"/>
      <c r="F1389" s="34" t="n"/>
      <c r="G1389" s="34" t="n"/>
      <c r="H1389" s="37" t="n"/>
      <c r="I1389" s="37" t="n"/>
      <c r="J1389" s="34" t="n"/>
      <c r="K1389" s="34" t="n"/>
      <c r="L1389" s="34" t="n"/>
      <c r="M1389" s="39" t="n"/>
      <c r="N1389" s="35" t="n"/>
      <c r="O1389" s="40" t="str">
        <f>IF($A1389="","",MONTH($A1389))</f>
        <v/>
      </c>
      <c r="P1389" s="40" t="str">
        <f>IF($A1389="","",YEAR($A1389))</f>
        <v/>
      </c>
      <c r="Q1389" s="41" t="str">
        <f>IF($A1389="","",DATE(P1389,O1389,1))</f>
        <v/>
      </c>
      <c r="R1389" s="36" t="str">
        <f>IF(OR($A1389="",$N1389=""),"",IF(AND($C1389&lt;&gt;"Transferência",N($I1389)&gt;1),$N1389/$I1389,$N1389))</f>
        <v/>
      </c>
      <c r="S1389" s="41" t="str">
        <f>IF(OR($A1389="",$F1389="",$C1389&lt;&gt;"Despesa"),"",IF(COUNTIF(Cartoes_Nome,$F1389)=0,"",DATE(P1389,O1389+IF(DAY($A1389)&gt;=INDEX(Cartoes_Fech,MATCH($F1389,Cartoes_Nome,0)),1,0),1)))</f>
        <v/>
      </c>
      <c r="T1389" s="42" t="str">
        <f>IF($A1389="","",IF(COUNTIFS(L_Data,$A1389,L_Desc,$B1389,L_Valor,$N1389,L_Tipo,$C1389)&gt;1,"⚠ Possível duplicidade",IF(OR(AND($C1389="Despesa",COUNTIF(CatD_Nome,$D1389)=0),AND($C1389="Receita",COUNTIF(CatR_Nome,$D1389)=0)),"⚠ Categoria não combina com o tipo",IF(OR($N1389="",$C1389=""),"⚠ Falta valor ou tipo",""))))</f>
        <v/>
      </c>
      <c r="U1389" s="40">
        <f>IF($A1389="",0,P1389*12+O1389)</f>
        <v>0</v>
      </c>
      <c r="V1389" s="40">
        <f>IF($A1389="",0,U1389+MAX(0,N($I1389)-MAX(N($H1389),1)))</f>
        <v>0</v>
      </c>
      <c r="W1389" s="40">
        <f>IF(S1389="",0,YEAR(S1389)*12+MONTH(S1389))</f>
        <v>0</v>
      </c>
      <c r="X1389" s="40">
        <f>IF(W1389=0,0,W1389+V1389-U1389)</f>
        <v>0</v>
      </c>
      <c r="Y1389" s="36">
        <f>IF(W1389=0,0,N(R1389)*MAX(0,X1389-MAX(W1389,YEAR(Cfg_Hoje)*12+MONTH(Cfg_Hoje)+IF(DAY(Cfg_Hoje)&gt;=INDEX(Cartoes_Fech,MATCH($F1389,Cartoes_Nome,0)),1,0))+1))</f>
        <v>0</v>
      </c>
      <c r="Z1389" s="40">
        <f>IF($A1389="",0,DAY($A1389))</f>
        <v>0</v>
      </c>
      <c r="AA1389" s="40">
        <f>IF($A1389="",0,WEEKDAY($A1389))</f>
        <v>0</v>
      </c>
      <c r="AB1389" s="36">
        <f>IF(AND($C1389="Despesa",U1389&gt;0,U1389&lt;=Sel_Idx,V1389&gt;=Sel_Idx),N(R1389)+ROW()/1000000000,0)</f>
        <v>0</v>
      </c>
      <c r="AC1389" s="40">
        <f>IF(AND($C1389="Despesa",U1389&gt;0,U1389&lt;=Sel_Idx,V1389&gt;=Sel_Idx),Z1389*10000+ROW(),0)</f>
        <v>0</v>
      </c>
      <c r="AD1389" s="40">
        <f>IF(AC1389=0,0,COUNTIFS(L_CalChave,"&gt;0",L_CalChave,"&lt;"&amp;AC1389)+1)</f>
        <v>0</v>
      </c>
    </row>
    <row r="1390">
      <c r="A1390" s="38" t="n"/>
      <c r="B1390" s="39" t="n"/>
      <c r="C1390" s="34" t="n"/>
      <c r="D1390" s="34" t="n"/>
      <c r="E1390" s="34" t="n"/>
      <c r="F1390" s="34" t="n"/>
      <c r="G1390" s="34" t="n"/>
      <c r="H1390" s="37" t="n"/>
      <c r="I1390" s="37" t="n"/>
      <c r="J1390" s="34" t="n"/>
      <c r="K1390" s="34" t="n"/>
      <c r="L1390" s="34" t="n"/>
      <c r="M1390" s="39" t="n"/>
      <c r="N1390" s="35" t="n"/>
      <c r="O1390" s="40" t="str">
        <f>IF($A1390="","",MONTH($A1390))</f>
        <v/>
      </c>
      <c r="P1390" s="40" t="str">
        <f>IF($A1390="","",YEAR($A1390))</f>
        <v/>
      </c>
      <c r="Q1390" s="41" t="str">
        <f>IF($A1390="","",DATE(P1390,O1390,1))</f>
        <v/>
      </c>
      <c r="R1390" s="36" t="str">
        <f>IF(OR($A1390="",$N1390=""),"",IF(AND($C1390&lt;&gt;"Transferência",N($I1390)&gt;1),$N1390/$I1390,$N1390))</f>
        <v/>
      </c>
      <c r="S1390" s="41" t="str">
        <f>IF(OR($A1390="",$F1390="",$C1390&lt;&gt;"Despesa"),"",IF(COUNTIF(Cartoes_Nome,$F1390)=0,"",DATE(P1390,O1390+IF(DAY($A1390)&gt;=INDEX(Cartoes_Fech,MATCH($F1390,Cartoes_Nome,0)),1,0),1)))</f>
        <v/>
      </c>
      <c r="T1390" s="42" t="str">
        <f>IF($A1390="","",IF(COUNTIFS(L_Data,$A1390,L_Desc,$B1390,L_Valor,$N1390,L_Tipo,$C1390)&gt;1,"⚠ Possível duplicidade",IF(OR(AND($C1390="Despesa",COUNTIF(CatD_Nome,$D1390)=0),AND($C1390="Receita",COUNTIF(CatR_Nome,$D1390)=0)),"⚠ Categoria não combina com o tipo",IF(OR($N1390="",$C1390=""),"⚠ Falta valor ou tipo",""))))</f>
        <v/>
      </c>
      <c r="U1390" s="40">
        <f>IF($A1390="",0,P1390*12+O1390)</f>
        <v>0</v>
      </c>
      <c r="V1390" s="40">
        <f>IF($A1390="",0,U1390+MAX(0,N($I1390)-MAX(N($H1390),1)))</f>
        <v>0</v>
      </c>
      <c r="W1390" s="40">
        <f>IF(S1390="",0,YEAR(S1390)*12+MONTH(S1390))</f>
        <v>0</v>
      </c>
      <c r="X1390" s="40">
        <f>IF(W1390=0,0,W1390+V1390-U1390)</f>
        <v>0</v>
      </c>
      <c r="Y1390" s="36">
        <f>IF(W1390=0,0,N(R1390)*MAX(0,X1390-MAX(W1390,YEAR(Cfg_Hoje)*12+MONTH(Cfg_Hoje)+IF(DAY(Cfg_Hoje)&gt;=INDEX(Cartoes_Fech,MATCH($F1390,Cartoes_Nome,0)),1,0))+1))</f>
        <v>0</v>
      </c>
      <c r="Z1390" s="40">
        <f>IF($A1390="",0,DAY($A1390))</f>
        <v>0</v>
      </c>
      <c r="AA1390" s="40">
        <f>IF($A1390="",0,WEEKDAY($A1390))</f>
        <v>0</v>
      </c>
      <c r="AB1390" s="36">
        <f>IF(AND($C1390="Despesa",U1390&gt;0,U1390&lt;=Sel_Idx,V1390&gt;=Sel_Idx),N(R1390)+ROW()/1000000000,0)</f>
        <v>0</v>
      </c>
      <c r="AC1390" s="40">
        <f>IF(AND($C1390="Despesa",U1390&gt;0,U1390&lt;=Sel_Idx,V1390&gt;=Sel_Idx),Z1390*10000+ROW(),0)</f>
        <v>0</v>
      </c>
      <c r="AD1390" s="40">
        <f>IF(AC1390=0,0,COUNTIFS(L_CalChave,"&gt;0",L_CalChave,"&lt;"&amp;AC1390)+1)</f>
        <v>0</v>
      </c>
    </row>
    <row r="1391">
      <c r="A1391" s="38" t="n"/>
      <c r="B1391" s="39" t="n"/>
      <c r="C1391" s="34" t="n"/>
      <c r="D1391" s="34" t="n"/>
      <c r="E1391" s="34" t="n"/>
      <c r="F1391" s="34" t="n"/>
      <c r="G1391" s="34" t="n"/>
      <c r="H1391" s="37" t="n"/>
      <c r="I1391" s="37" t="n"/>
      <c r="J1391" s="34" t="n"/>
      <c r="K1391" s="34" t="n"/>
      <c r="L1391" s="34" t="n"/>
      <c r="M1391" s="39" t="n"/>
      <c r="N1391" s="35" t="n"/>
      <c r="O1391" s="40" t="str">
        <f>IF($A1391="","",MONTH($A1391))</f>
        <v/>
      </c>
      <c r="P1391" s="40" t="str">
        <f>IF($A1391="","",YEAR($A1391))</f>
        <v/>
      </c>
      <c r="Q1391" s="41" t="str">
        <f>IF($A1391="","",DATE(P1391,O1391,1))</f>
        <v/>
      </c>
      <c r="R1391" s="36" t="str">
        <f>IF(OR($A1391="",$N1391=""),"",IF(AND($C1391&lt;&gt;"Transferência",N($I1391)&gt;1),$N1391/$I1391,$N1391))</f>
        <v/>
      </c>
      <c r="S1391" s="41" t="str">
        <f>IF(OR($A1391="",$F1391="",$C1391&lt;&gt;"Despesa"),"",IF(COUNTIF(Cartoes_Nome,$F1391)=0,"",DATE(P1391,O1391+IF(DAY($A1391)&gt;=INDEX(Cartoes_Fech,MATCH($F1391,Cartoes_Nome,0)),1,0),1)))</f>
        <v/>
      </c>
      <c r="T1391" s="42" t="str">
        <f>IF($A1391="","",IF(COUNTIFS(L_Data,$A1391,L_Desc,$B1391,L_Valor,$N1391,L_Tipo,$C1391)&gt;1,"⚠ Possível duplicidade",IF(OR(AND($C1391="Despesa",COUNTIF(CatD_Nome,$D1391)=0),AND($C1391="Receita",COUNTIF(CatR_Nome,$D1391)=0)),"⚠ Categoria não combina com o tipo",IF(OR($N1391="",$C1391=""),"⚠ Falta valor ou tipo",""))))</f>
        <v/>
      </c>
      <c r="U1391" s="40">
        <f>IF($A1391="",0,P1391*12+O1391)</f>
        <v>0</v>
      </c>
      <c r="V1391" s="40">
        <f>IF($A1391="",0,U1391+MAX(0,N($I1391)-MAX(N($H1391),1)))</f>
        <v>0</v>
      </c>
      <c r="W1391" s="40">
        <f>IF(S1391="",0,YEAR(S1391)*12+MONTH(S1391))</f>
        <v>0</v>
      </c>
      <c r="X1391" s="40">
        <f>IF(W1391=0,0,W1391+V1391-U1391)</f>
        <v>0</v>
      </c>
      <c r="Y1391" s="36">
        <f>IF(W1391=0,0,N(R1391)*MAX(0,X1391-MAX(W1391,YEAR(Cfg_Hoje)*12+MONTH(Cfg_Hoje)+IF(DAY(Cfg_Hoje)&gt;=INDEX(Cartoes_Fech,MATCH($F1391,Cartoes_Nome,0)),1,0))+1))</f>
        <v>0</v>
      </c>
      <c r="Z1391" s="40">
        <f>IF($A1391="",0,DAY($A1391))</f>
        <v>0</v>
      </c>
      <c r="AA1391" s="40">
        <f>IF($A1391="",0,WEEKDAY($A1391))</f>
        <v>0</v>
      </c>
      <c r="AB1391" s="36">
        <f>IF(AND($C1391="Despesa",U1391&gt;0,U1391&lt;=Sel_Idx,V1391&gt;=Sel_Idx),N(R1391)+ROW()/1000000000,0)</f>
        <v>0</v>
      </c>
      <c r="AC1391" s="40">
        <f>IF(AND($C1391="Despesa",U1391&gt;0,U1391&lt;=Sel_Idx,V1391&gt;=Sel_Idx),Z1391*10000+ROW(),0)</f>
        <v>0</v>
      </c>
      <c r="AD1391" s="40">
        <f>IF(AC1391=0,0,COUNTIFS(L_CalChave,"&gt;0",L_CalChave,"&lt;"&amp;AC1391)+1)</f>
        <v>0</v>
      </c>
    </row>
    <row r="1392">
      <c r="A1392" s="38" t="n"/>
      <c r="B1392" s="39" t="n"/>
      <c r="C1392" s="34" t="n"/>
      <c r="D1392" s="34" t="n"/>
      <c r="E1392" s="34" t="n"/>
      <c r="F1392" s="34" t="n"/>
      <c r="G1392" s="34" t="n"/>
      <c r="H1392" s="37" t="n"/>
      <c r="I1392" s="37" t="n"/>
      <c r="J1392" s="34" t="n"/>
      <c r="K1392" s="34" t="n"/>
      <c r="L1392" s="34" t="n"/>
      <c r="M1392" s="39" t="n"/>
      <c r="N1392" s="35" t="n"/>
      <c r="O1392" s="40" t="str">
        <f>IF($A1392="","",MONTH($A1392))</f>
        <v/>
      </c>
      <c r="P1392" s="40" t="str">
        <f>IF($A1392="","",YEAR($A1392))</f>
        <v/>
      </c>
      <c r="Q1392" s="41" t="str">
        <f>IF($A1392="","",DATE(P1392,O1392,1))</f>
        <v/>
      </c>
      <c r="R1392" s="36" t="str">
        <f>IF(OR($A1392="",$N1392=""),"",IF(AND($C1392&lt;&gt;"Transferência",N($I1392)&gt;1),$N1392/$I1392,$N1392))</f>
        <v/>
      </c>
      <c r="S1392" s="41" t="str">
        <f>IF(OR($A1392="",$F1392="",$C1392&lt;&gt;"Despesa"),"",IF(COUNTIF(Cartoes_Nome,$F1392)=0,"",DATE(P1392,O1392+IF(DAY($A1392)&gt;=INDEX(Cartoes_Fech,MATCH($F1392,Cartoes_Nome,0)),1,0),1)))</f>
        <v/>
      </c>
      <c r="T1392" s="42" t="str">
        <f>IF($A1392="","",IF(COUNTIFS(L_Data,$A1392,L_Desc,$B1392,L_Valor,$N1392,L_Tipo,$C1392)&gt;1,"⚠ Possível duplicidade",IF(OR(AND($C1392="Despesa",COUNTIF(CatD_Nome,$D1392)=0),AND($C1392="Receita",COUNTIF(CatR_Nome,$D1392)=0)),"⚠ Categoria não combina com o tipo",IF(OR($N1392="",$C1392=""),"⚠ Falta valor ou tipo",""))))</f>
        <v/>
      </c>
      <c r="U1392" s="40">
        <f>IF($A1392="",0,P1392*12+O1392)</f>
        <v>0</v>
      </c>
      <c r="V1392" s="40">
        <f>IF($A1392="",0,U1392+MAX(0,N($I1392)-MAX(N($H1392),1)))</f>
        <v>0</v>
      </c>
      <c r="W1392" s="40">
        <f>IF(S1392="",0,YEAR(S1392)*12+MONTH(S1392))</f>
        <v>0</v>
      </c>
      <c r="X1392" s="40">
        <f>IF(W1392=0,0,W1392+V1392-U1392)</f>
        <v>0</v>
      </c>
      <c r="Y1392" s="36">
        <f>IF(W1392=0,0,N(R1392)*MAX(0,X1392-MAX(W1392,YEAR(Cfg_Hoje)*12+MONTH(Cfg_Hoje)+IF(DAY(Cfg_Hoje)&gt;=INDEX(Cartoes_Fech,MATCH($F1392,Cartoes_Nome,0)),1,0))+1))</f>
        <v>0</v>
      </c>
      <c r="Z1392" s="40">
        <f>IF($A1392="",0,DAY($A1392))</f>
        <v>0</v>
      </c>
      <c r="AA1392" s="40">
        <f>IF($A1392="",0,WEEKDAY($A1392))</f>
        <v>0</v>
      </c>
      <c r="AB1392" s="36">
        <f>IF(AND($C1392="Despesa",U1392&gt;0,U1392&lt;=Sel_Idx,V1392&gt;=Sel_Idx),N(R1392)+ROW()/1000000000,0)</f>
        <v>0</v>
      </c>
      <c r="AC1392" s="40">
        <f>IF(AND($C1392="Despesa",U1392&gt;0,U1392&lt;=Sel_Idx,V1392&gt;=Sel_Idx),Z1392*10000+ROW(),0)</f>
        <v>0</v>
      </c>
      <c r="AD1392" s="40">
        <f>IF(AC1392=0,0,COUNTIFS(L_CalChave,"&gt;0",L_CalChave,"&lt;"&amp;AC1392)+1)</f>
        <v>0</v>
      </c>
    </row>
    <row r="1393">
      <c r="A1393" s="38" t="n"/>
      <c r="B1393" s="39" t="n"/>
      <c r="C1393" s="34" t="n"/>
      <c r="D1393" s="34" t="n"/>
      <c r="E1393" s="34" t="n"/>
      <c r="F1393" s="34" t="n"/>
      <c r="G1393" s="34" t="n"/>
      <c r="H1393" s="37" t="n"/>
      <c r="I1393" s="37" t="n"/>
      <c r="J1393" s="34" t="n"/>
      <c r="K1393" s="34" t="n"/>
      <c r="L1393" s="34" t="n"/>
      <c r="M1393" s="39" t="n"/>
      <c r="N1393" s="35" t="n"/>
      <c r="O1393" s="40" t="str">
        <f>IF($A1393="","",MONTH($A1393))</f>
        <v/>
      </c>
      <c r="P1393" s="40" t="str">
        <f>IF($A1393="","",YEAR($A1393))</f>
        <v/>
      </c>
      <c r="Q1393" s="41" t="str">
        <f>IF($A1393="","",DATE(P1393,O1393,1))</f>
        <v/>
      </c>
      <c r="R1393" s="36" t="str">
        <f>IF(OR($A1393="",$N1393=""),"",IF(AND($C1393&lt;&gt;"Transferência",N($I1393)&gt;1),$N1393/$I1393,$N1393))</f>
        <v/>
      </c>
      <c r="S1393" s="41" t="str">
        <f>IF(OR($A1393="",$F1393="",$C1393&lt;&gt;"Despesa"),"",IF(COUNTIF(Cartoes_Nome,$F1393)=0,"",DATE(P1393,O1393+IF(DAY($A1393)&gt;=INDEX(Cartoes_Fech,MATCH($F1393,Cartoes_Nome,0)),1,0),1)))</f>
        <v/>
      </c>
      <c r="T1393" s="42" t="str">
        <f>IF($A1393="","",IF(COUNTIFS(L_Data,$A1393,L_Desc,$B1393,L_Valor,$N1393,L_Tipo,$C1393)&gt;1,"⚠ Possível duplicidade",IF(OR(AND($C1393="Despesa",COUNTIF(CatD_Nome,$D1393)=0),AND($C1393="Receita",COUNTIF(CatR_Nome,$D1393)=0)),"⚠ Categoria não combina com o tipo",IF(OR($N1393="",$C1393=""),"⚠ Falta valor ou tipo",""))))</f>
        <v/>
      </c>
      <c r="U1393" s="40">
        <f>IF($A1393="",0,P1393*12+O1393)</f>
        <v>0</v>
      </c>
      <c r="V1393" s="40">
        <f>IF($A1393="",0,U1393+MAX(0,N($I1393)-MAX(N($H1393),1)))</f>
        <v>0</v>
      </c>
      <c r="W1393" s="40">
        <f>IF(S1393="",0,YEAR(S1393)*12+MONTH(S1393))</f>
        <v>0</v>
      </c>
      <c r="X1393" s="40">
        <f>IF(W1393=0,0,W1393+V1393-U1393)</f>
        <v>0</v>
      </c>
      <c r="Y1393" s="36">
        <f>IF(W1393=0,0,N(R1393)*MAX(0,X1393-MAX(W1393,YEAR(Cfg_Hoje)*12+MONTH(Cfg_Hoje)+IF(DAY(Cfg_Hoje)&gt;=INDEX(Cartoes_Fech,MATCH($F1393,Cartoes_Nome,0)),1,0))+1))</f>
        <v>0</v>
      </c>
      <c r="Z1393" s="40">
        <f>IF($A1393="",0,DAY($A1393))</f>
        <v>0</v>
      </c>
      <c r="AA1393" s="40">
        <f>IF($A1393="",0,WEEKDAY($A1393))</f>
        <v>0</v>
      </c>
      <c r="AB1393" s="36">
        <f>IF(AND($C1393="Despesa",U1393&gt;0,U1393&lt;=Sel_Idx,V1393&gt;=Sel_Idx),N(R1393)+ROW()/1000000000,0)</f>
        <v>0</v>
      </c>
      <c r="AC1393" s="40">
        <f>IF(AND($C1393="Despesa",U1393&gt;0,U1393&lt;=Sel_Idx,V1393&gt;=Sel_Idx),Z1393*10000+ROW(),0)</f>
        <v>0</v>
      </c>
      <c r="AD1393" s="40">
        <f>IF(AC1393=0,0,COUNTIFS(L_CalChave,"&gt;0",L_CalChave,"&lt;"&amp;AC1393)+1)</f>
        <v>0</v>
      </c>
    </row>
    <row r="1394">
      <c r="A1394" s="38" t="n"/>
      <c r="B1394" s="39" t="n"/>
      <c r="C1394" s="34" t="n"/>
      <c r="D1394" s="34" t="n"/>
      <c r="E1394" s="34" t="n"/>
      <c r="F1394" s="34" t="n"/>
      <c r="G1394" s="34" t="n"/>
      <c r="H1394" s="37" t="n"/>
      <c r="I1394" s="37" t="n"/>
      <c r="J1394" s="34" t="n"/>
      <c r="K1394" s="34" t="n"/>
      <c r="L1394" s="34" t="n"/>
      <c r="M1394" s="39" t="n"/>
      <c r="N1394" s="35" t="n"/>
      <c r="O1394" s="40" t="str">
        <f>IF($A1394="","",MONTH($A1394))</f>
        <v/>
      </c>
      <c r="P1394" s="40" t="str">
        <f>IF($A1394="","",YEAR($A1394))</f>
        <v/>
      </c>
      <c r="Q1394" s="41" t="str">
        <f>IF($A1394="","",DATE(P1394,O1394,1))</f>
        <v/>
      </c>
      <c r="R1394" s="36" t="str">
        <f>IF(OR($A1394="",$N1394=""),"",IF(AND($C1394&lt;&gt;"Transferência",N($I1394)&gt;1),$N1394/$I1394,$N1394))</f>
        <v/>
      </c>
      <c r="S1394" s="41" t="str">
        <f>IF(OR($A1394="",$F1394="",$C1394&lt;&gt;"Despesa"),"",IF(COUNTIF(Cartoes_Nome,$F1394)=0,"",DATE(P1394,O1394+IF(DAY($A1394)&gt;=INDEX(Cartoes_Fech,MATCH($F1394,Cartoes_Nome,0)),1,0),1)))</f>
        <v/>
      </c>
      <c r="T1394" s="42" t="str">
        <f>IF($A1394="","",IF(COUNTIFS(L_Data,$A1394,L_Desc,$B1394,L_Valor,$N1394,L_Tipo,$C1394)&gt;1,"⚠ Possível duplicidade",IF(OR(AND($C1394="Despesa",COUNTIF(CatD_Nome,$D1394)=0),AND($C1394="Receita",COUNTIF(CatR_Nome,$D1394)=0)),"⚠ Categoria não combina com o tipo",IF(OR($N1394="",$C1394=""),"⚠ Falta valor ou tipo",""))))</f>
        <v/>
      </c>
      <c r="U1394" s="40">
        <f>IF($A1394="",0,P1394*12+O1394)</f>
        <v>0</v>
      </c>
      <c r="V1394" s="40">
        <f>IF($A1394="",0,U1394+MAX(0,N($I1394)-MAX(N($H1394),1)))</f>
        <v>0</v>
      </c>
      <c r="W1394" s="40">
        <f>IF(S1394="",0,YEAR(S1394)*12+MONTH(S1394))</f>
        <v>0</v>
      </c>
      <c r="X1394" s="40">
        <f>IF(W1394=0,0,W1394+V1394-U1394)</f>
        <v>0</v>
      </c>
      <c r="Y1394" s="36">
        <f>IF(W1394=0,0,N(R1394)*MAX(0,X1394-MAX(W1394,YEAR(Cfg_Hoje)*12+MONTH(Cfg_Hoje)+IF(DAY(Cfg_Hoje)&gt;=INDEX(Cartoes_Fech,MATCH($F1394,Cartoes_Nome,0)),1,0))+1))</f>
        <v>0</v>
      </c>
      <c r="Z1394" s="40">
        <f>IF($A1394="",0,DAY($A1394))</f>
        <v>0</v>
      </c>
      <c r="AA1394" s="40">
        <f>IF($A1394="",0,WEEKDAY($A1394))</f>
        <v>0</v>
      </c>
      <c r="AB1394" s="36">
        <f>IF(AND($C1394="Despesa",U1394&gt;0,U1394&lt;=Sel_Idx,V1394&gt;=Sel_Idx),N(R1394)+ROW()/1000000000,0)</f>
        <v>0</v>
      </c>
      <c r="AC1394" s="40">
        <f>IF(AND($C1394="Despesa",U1394&gt;0,U1394&lt;=Sel_Idx,V1394&gt;=Sel_Idx),Z1394*10000+ROW(),0)</f>
        <v>0</v>
      </c>
      <c r="AD1394" s="40">
        <f>IF(AC1394=0,0,COUNTIFS(L_CalChave,"&gt;0",L_CalChave,"&lt;"&amp;AC1394)+1)</f>
        <v>0</v>
      </c>
    </row>
    <row r="1395">
      <c r="A1395" s="38" t="n"/>
      <c r="B1395" s="39" t="n"/>
      <c r="C1395" s="34" t="n"/>
      <c r="D1395" s="34" t="n"/>
      <c r="E1395" s="34" t="n"/>
      <c r="F1395" s="34" t="n"/>
      <c r="G1395" s="34" t="n"/>
      <c r="H1395" s="37" t="n"/>
      <c r="I1395" s="37" t="n"/>
      <c r="J1395" s="34" t="n"/>
      <c r="K1395" s="34" t="n"/>
      <c r="L1395" s="34" t="n"/>
      <c r="M1395" s="39" t="n"/>
      <c r="N1395" s="35" t="n"/>
      <c r="O1395" s="40" t="str">
        <f>IF($A1395="","",MONTH($A1395))</f>
        <v/>
      </c>
      <c r="P1395" s="40" t="str">
        <f>IF($A1395="","",YEAR($A1395))</f>
        <v/>
      </c>
      <c r="Q1395" s="41" t="str">
        <f>IF($A1395="","",DATE(P1395,O1395,1))</f>
        <v/>
      </c>
      <c r="R1395" s="36" t="str">
        <f>IF(OR($A1395="",$N1395=""),"",IF(AND($C1395&lt;&gt;"Transferência",N($I1395)&gt;1),$N1395/$I1395,$N1395))</f>
        <v/>
      </c>
      <c r="S1395" s="41" t="str">
        <f>IF(OR($A1395="",$F1395="",$C1395&lt;&gt;"Despesa"),"",IF(COUNTIF(Cartoes_Nome,$F1395)=0,"",DATE(P1395,O1395+IF(DAY($A1395)&gt;=INDEX(Cartoes_Fech,MATCH($F1395,Cartoes_Nome,0)),1,0),1)))</f>
        <v/>
      </c>
      <c r="T1395" s="42" t="str">
        <f>IF($A1395="","",IF(COUNTIFS(L_Data,$A1395,L_Desc,$B1395,L_Valor,$N1395,L_Tipo,$C1395)&gt;1,"⚠ Possível duplicidade",IF(OR(AND($C1395="Despesa",COUNTIF(CatD_Nome,$D1395)=0),AND($C1395="Receita",COUNTIF(CatR_Nome,$D1395)=0)),"⚠ Categoria não combina com o tipo",IF(OR($N1395="",$C1395=""),"⚠ Falta valor ou tipo",""))))</f>
        <v/>
      </c>
      <c r="U1395" s="40">
        <f>IF($A1395="",0,P1395*12+O1395)</f>
        <v>0</v>
      </c>
      <c r="V1395" s="40">
        <f>IF($A1395="",0,U1395+MAX(0,N($I1395)-MAX(N($H1395),1)))</f>
        <v>0</v>
      </c>
      <c r="W1395" s="40">
        <f>IF(S1395="",0,YEAR(S1395)*12+MONTH(S1395))</f>
        <v>0</v>
      </c>
      <c r="X1395" s="40">
        <f>IF(W1395=0,0,W1395+V1395-U1395)</f>
        <v>0</v>
      </c>
      <c r="Y1395" s="36">
        <f>IF(W1395=0,0,N(R1395)*MAX(0,X1395-MAX(W1395,YEAR(Cfg_Hoje)*12+MONTH(Cfg_Hoje)+IF(DAY(Cfg_Hoje)&gt;=INDEX(Cartoes_Fech,MATCH($F1395,Cartoes_Nome,0)),1,0))+1))</f>
        <v>0</v>
      </c>
      <c r="Z1395" s="40">
        <f>IF($A1395="",0,DAY($A1395))</f>
        <v>0</v>
      </c>
      <c r="AA1395" s="40">
        <f>IF($A1395="",0,WEEKDAY($A1395))</f>
        <v>0</v>
      </c>
      <c r="AB1395" s="36">
        <f>IF(AND($C1395="Despesa",U1395&gt;0,U1395&lt;=Sel_Idx,V1395&gt;=Sel_Idx),N(R1395)+ROW()/1000000000,0)</f>
        <v>0</v>
      </c>
      <c r="AC1395" s="40">
        <f>IF(AND($C1395="Despesa",U1395&gt;0,U1395&lt;=Sel_Idx,V1395&gt;=Sel_Idx),Z1395*10000+ROW(),0)</f>
        <v>0</v>
      </c>
      <c r="AD1395" s="40">
        <f>IF(AC1395=0,0,COUNTIFS(L_CalChave,"&gt;0",L_CalChave,"&lt;"&amp;AC1395)+1)</f>
        <v>0</v>
      </c>
    </row>
    <row r="1396">
      <c r="A1396" s="38" t="n"/>
      <c r="B1396" s="39" t="n"/>
      <c r="C1396" s="34" t="n"/>
      <c r="D1396" s="34" t="n"/>
      <c r="E1396" s="34" t="n"/>
      <c r="F1396" s="34" t="n"/>
      <c r="G1396" s="34" t="n"/>
      <c r="H1396" s="37" t="n"/>
      <c r="I1396" s="37" t="n"/>
      <c r="J1396" s="34" t="n"/>
      <c r="K1396" s="34" t="n"/>
      <c r="L1396" s="34" t="n"/>
      <c r="M1396" s="39" t="n"/>
      <c r="N1396" s="35" t="n"/>
      <c r="O1396" s="40" t="str">
        <f>IF($A1396="","",MONTH($A1396))</f>
        <v/>
      </c>
      <c r="P1396" s="40" t="str">
        <f>IF($A1396="","",YEAR($A1396))</f>
        <v/>
      </c>
      <c r="Q1396" s="41" t="str">
        <f>IF($A1396="","",DATE(P1396,O1396,1))</f>
        <v/>
      </c>
      <c r="R1396" s="36" t="str">
        <f>IF(OR($A1396="",$N1396=""),"",IF(AND($C1396&lt;&gt;"Transferência",N($I1396)&gt;1),$N1396/$I1396,$N1396))</f>
        <v/>
      </c>
      <c r="S1396" s="41" t="str">
        <f>IF(OR($A1396="",$F1396="",$C1396&lt;&gt;"Despesa"),"",IF(COUNTIF(Cartoes_Nome,$F1396)=0,"",DATE(P1396,O1396+IF(DAY($A1396)&gt;=INDEX(Cartoes_Fech,MATCH($F1396,Cartoes_Nome,0)),1,0),1)))</f>
        <v/>
      </c>
      <c r="T1396" s="42" t="str">
        <f>IF($A1396="","",IF(COUNTIFS(L_Data,$A1396,L_Desc,$B1396,L_Valor,$N1396,L_Tipo,$C1396)&gt;1,"⚠ Possível duplicidade",IF(OR(AND($C1396="Despesa",COUNTIF(CatD_Nome,$D1396)=0),AND($C1396="Receita",COUNTIF(CatR_Nome,$D1396)=0)),"⚠ Categoria não combina com o tipo",IF(OR($N1396="",$C1396=""),"⚠ Falta valor ou tipo",""))))</f>
        <v/>
      </c>
      <c r="U1396" s="40">
        <f>IF($A1396="",0,P1396*12+O1396)</f>
        <v>0</v>
      </c>
      <c r="V1396" s="40">
        <f>IF($A1396="",0,U1396+MAX(0,N($I1396)-MAX(N($H1396),1)))</f>
        <v>0</v>
      </c>
      <c r="W1396" s="40">
        <f>IF(S1396="",0,YEAR(S1396)*12+MONTH(S1396))</f>
        <v>0</v>
      </c>
      <c r="X1396" s="40">
        <f>IF(W1396=0,0,W1396+V1396-U1396)</f>
        <v>0</v>
      </c>
      <c r="Y1396" s="36">
        <f>IF(W1396=0,0,N(R1396)*MAX(0,X1396-MAX(W1396,YEAR(Cfg_Hoje)*12+MONTH(Cfg_Hoje)+IF(DAY(Cfg_Hoje)&gt;=INDEX(Cartoes_Fech,MATCH($F1396,Cartoes_Nome,0)),1,0))+1))</f>
        <v>0</v>
      </c>
      <c r="Z1396" s="40">
        <f>IF($A1396="",0,DAY($A1396))</f>
        <v>0</v>
      </c>
      <c r="AA1396" s="40">
        <f>IF($A1396="",0,WEEKDAY($A1396))</f>
        <v>0</v>
      </c>
      <c r="AB1396" s="36">
        <f>IF(AND($C1396="Despesa",U1396&gt;0,U1396&lt;=Sel_Idx,V1396&gt;=Sel_Idx),N(R1396)+ROW()/1000000000,0)</f>
        <v>0</v>
      </c>
      <c r="AC1396" s="40">
        <f>IF(AND($C1396="Despesa",U1396&gt;0,U1396&lt;=Sel_Idx,V1396&gt;=Sel_Idx),Z1396*10000+ROW(),0)</f>
        <v>0</v>
      </c>
      <c r="AD1396" s="40">
        <f>IF(AC1396=0,0,COUNTIFS(L_CalChave,"&gt;0",L_CalChave,"&lt;"&amp;AC1396)+1)</f>
        <v>0</v>
      </c>
    </row>
    <row r="1397">
      <c r="A1397" s="38" t="n"/>
      <c r="B1397" s="39" t="n"/>
      <c r="C1397" s="34" t="n"/>
      <c r="D1397" s="34" t="n"/>
      <c r="E1397" s="34" t="n"/>
      <c r="F1397" s="34" t="n"/>
      <c r="G1397" s="34" t="n"/>
      <c r="H1397" s="37" t="n"/>
      <c r="I1397" s="37" t="n"/>
      <c r="J1397" s="34" t="n"/>
      <c r="K1397" s="34" t="n"/>
      <c r="L1397" s="34" t="n"/>
      <c r="M1397" s="39" t="n"/>
      <c r="N1397" s="35" t="n"/>
      <c r="O1397" s="40" t="str">
        <f>IF($A1397="","",MONTH($A1397))</f>
        <v/>
      </c>
      <c r="P1397" s="40" t="str">
        <f>IF($A1397="","",YEAR($A1397))</f>
        <v/>
      </c>
      <c r="Q1397" s="41" t="str">
        <f>IF($A1397="","",DATE(P1397,O1397,1))</f>
        <v/>
      </c>
      <c r="R1397" s="36" t="str">
        <f>IF(OR($A1397="",$N1397=""),"",IF(AND($C1397&lt;&gt;"Transferência",N($I1397)&gt;1),$N1397/$I1397,$N1397))</f>
        <v/>
      </c>
      <c r="S1397" s="41" t="str">
        <f>IF(OR($A1397="",$F1397="",$C1397&lt;&gt;"Despesa"),"",IF(COUNTIF(Cartoes_Nome,$F1397)=0,"",DATE(P1397,O1397+IF(DAY($A1397)&gt;=INDEX(Cartoes_Fech,MATCH($F1397,Cartoes_Nome,0)),1,0),1)))</f>
        <v/>
      </c>
      <c r="T1397" s="42" t="str">
        <f>IF($A1397="","",IF(COUNTIFS(L_Data,$A1397,L_Desc,$B1397,L_Valor,$N1397,L_Tipo,$C1397)&gt;1,"⚠ Possível duplicidade",IF(OR(AND($C1397="Despesa",COUNTIF(CatD_Nome,$D1397)=0),AND($C1397="Receita",COUNTIF(CatR_Nome,$D1397)=0)),"⚠ Categoria não combina com o tipo",IF(OR($N1397="",$C1397=""),"⚠ Falta valor ou tipo",""))))</f>
        <v/>
      </c>
      <c r="U1397" s="40">
        <f>IF($A1397="",0,P1397*12+O1397)</f>
        <v>0</v>
      </c>
      <c r="V1397" s="40">
        <f>IF($A1397="",0,U1397+MAX(0,N($I1397)-MAX(N($H1397),1)))</f>
        <v>0</v>
      </c>
      <c r="W1397" s="40">
        <f>IF(S1397="",0,YEAR(S1397)*12+MONTH(S1397))</f>
        <v>0</v>
      </c>
      <c r="X1397" s="40">
        <f>IF(W1397=0,0,W1397+V1397-U1397)</f>
        <v>0</v>
      </c>
      <c r="Y1397" s="36">
        <f>IF(W1397=0,0,N(R1397)*MAX(0,X1397-MAX(W1397,YEAR(Cfg_Hoje)*12+MONTH(Cfg_Hoje)+IF(DAY(Cfg_Hoje)&gt;=INDEX(Cartoes_Fech,MATCH($F1397,Cartoes_Nome,0)),1,0))+1))</f>
        <v>0</v>
      </c>
      <c r="Z1397" s="40">
        <f>IF($A1397="",0,DAY($A1397))</f>
        <v>0</v>
      </c>
      <c r="AA1397" s="40">
        <f>IF($A1397="",0,WEEKDAY($A1397))</f>
        <v>0</v>
      </c>
      <c r="AB1397" s="36">
        <f>IF(AND($C1397="Despesa",U1397&gt;0,U1397&lt;=Sel_Idx,V1397&gt;=Sel_Idx),N(R1397)+ROW()/1000000000,0)</f>
        <v>0</v>
      </c>
      <c r="AC1397" s="40">
        <f>IF(AND($C1397="Despesa",U1397&gt;0,U1397&lt;=Sel_Idx,V1397&gt;=Sel_Idx),Z1397*10000+ROW(),0)</f>
        <v>0</v>
      </c>
      <c r="AD1397" s="40">
        <f>IF(AC1397=0,0,COUNTIFS(L_CalChave,"&gt;0",L_CalChave,"&lt;"&amp;AC1397)+1)</f>
        <v>0</v>
      </c>
    </row>
    <row r="1398">
      <c r="A1398" s="38" t="n"/>
      <c r="B1398" s="39" t="n"/>
      <c r="C1398" s="34" t="n"/>
      <c r="D1398" s="34" t="n"/>
      <c r="E1398" s="34" t="n"/>
      <c r="F1398" s="34" t="n"/>
      <c r="G1398" s="34" t="n"/>
      <c r="H1398" s="37" t="n"/>
      <c r="I1398" s="37" t="n"/>
      <c r="J1398" s="34" t="n"/>
      <c r="K1398" s="34" t="n"/>
      <c r="L1398" s="34" t="n"/>
      <c r="M1398" s="39" t="n"/>
      <c r="N1398" s="35" t="n"/>
      <c r="O1398" s="40" t="str">
        <f>IF($A1398="","",MONTH($A1398))</f>
        <v/>
      </c>
      <c r="P1398" s="40" t="str">
        <f>IF($A1398="","",YEAR($A1398))</f>
        <v/>
      </c>
      <c r="Q1398" s="41" t="str">
        <f>IF($A1398="","",DATE(P1398,O1398,1))</f>
        <v/>
      </c>
      <c r="R1398" s="36" t="str">
        <f>IF(OR($A1398="",$N1398=""),"",IF(AND($C1398&lt;&gt;"Transferência",N($I1398)&gt;1),$N1398/$I1398,$N1398))</f>
        <v/>
      </c>
      <c r="S1398" s="41" t="str">
        <f>IF(OR($A1398="",$F1398="",$C1398&lt;&gt;"Despesa"),"",IF(COUNTIF(Cartoes_Nome,$F1398)=0,"",DATE(P1398,O1398+IF(DAY($A1398)&gt;=INDEX(Cartoes_Fech,MATCH($F1398,Cartoes_Nome,0)),1,0),1)))</f>
        <v/>
      </c>
      <c r="T1398" s="42" t="str">
        <f>IF($A1398="","",IF(COUNTIFS(L_Data,$A1398,L_Desc,$B1398,L_Valor,$N1398,L_Tipo,$C1398)&gt;1,"⚠ Possível duplicidade",IF(OR(AND($C1398="Despesa",COUNTIF(CatD_Nome,$D1398)=0),AND($C1398="Receita",COUNTIF(CatR_Nome,$D1398)=0)),"⚠ Categoria não combina com o tipo",IF(OR($N1398="",$C1398=""),"⚠ Falta valor ou tipo",""))))</f>
        <v/>
      </c>
      <c r="U1398" s="40">
        <f>IF($A1398="",0,P1398*12+O1398)</f>
        <v>0</v>
      </c>
      <c r="V1398" s="40">
        <f>IF($A1398="",0,U1398+MAX(0,N($I1398)-MAX(N($H1398),1)))</f>
        <v>0</v>
      </c>
      <c r="W1398" s="40">
        <f>IF(S1398="",0,YEAR(S1398)*12+MONTH(S1398))</f>
        <v>0</v>
      </c>
      <c r="X1398" s="40">
        <f>IF(W1398=0,0,W1398+V1398-U1398)</f>
        <v>0</v>
      </c>
      <c r="Y1398" s="36">
        <f>IF(W1398=0,0,N(R1398)*MAX(0,X1398-MAX(W1398,YEAR(Cfg_Hoje)*12+MONTH(Cfg_Hoje)+IF(DAY(Cfg_Hoje)&gt;=INDEX(Cartoes_Fech,MATCH($F1398,Cartoes_Nome,0)),1,0))+1))</f>
        <v>0</v>
      </c>
      <c r="Z1398" s="40">
        <f>IF($A1398="",0,DAY($A1398))</f>
        <v>0</v>
      </c>
      <c r="AA1398" s="40">
        <f>IF($A1398="",0,WEEKDAY($A1398))</f>
        <v>0</v>
      </c>
      <c r="AB1398" s="36">
        <f>IF(AND($C1398="Despesa",U1398&gt;0,U1398&lt;=Sel_Idx,V1398&gt;=Sel_Idx),N(R1398)+ROW()/1000000000,0)</f>
        <v>0</v>
      </c>
      <c r="AC1398" s="40">
        <f>IF(AND($C1398="Despesa",U1398&gt;0,U1398&lt;=Sel_Idx,V1398&gt;=Sel_Idx),Z1398*10000+ROW(),0)</f>
        <v>0</v>
      </c>
      <c r="AD1398" s="40">
        <f>IF(AC1398=0,0,COUNTIFS(L_CalChave,"&gt;0",L_CalChave,"&lt;"&amp;AC1398)+1)</f>
        <v>0</v>
      </c>
    </row>
    <row r="1399">
      <c r="A1399" s="38" t="n"/>
      <c r="B1399" s="39" t="n"/>
      <c r="C1399" s="34" t="n"/>
      <c r="D1399" s="34" t="n"/>
      <c r="E1399" s="34" t="n"/>
      <c r="F1399" s="34" t="n"/>
      <c r="G1399" s="34" t="n"/>
      <c r="H1399" s="37" t="n"/>
      <c r="I1399" s="37" t="n"/>
      <c r="J1399" s="34" t="n"/>
      <c r="K1399" s="34" t="n"/>
      <c r="L1399" s="34" t="n"/>
      <c r="M1399" s="39" t="n"/>
      <c r="N1399" s="35" t="n"/>
      <c r="O1399" s="40" t="str">
        <f>IF($A1399="","",MONTH($A1399))</f>
        <v/>
      </c>
      <c r="P1399" s="40" t="str">
        <f>IF($A1399="","",YEAR($A1399))</f>
        <v/>
      </c>
      <c r="Q1399" s="41" t="str">
        <f>IF($A1399="","",DATE(P1399,O1399,1))</f>
        <v/>
      </c>
      <c r="R1399" s="36" t="str">
        <f>IF(OR($A1399="",$N1399=""),"",IF(AND($C1399&lt;&gt;"Transferência",N($I1399)&gt;1),$N1399/$I1399,$N1399))</f>
        <v/>
      </c>
      <c r="S1399" s="41" t="str">
        <f>IF(OR($A1399="",$F1399="",$C1399&lt;&gt;"Despesa"),"",IF(COUNTIF(Cartoes_Nome,$F1399)=0,"",DATE(P1399,O1399+IF(DAY($A1399)&gt;=INDEX(Cartoes_Fech,MATCH($F1399,Cartoes_Nome,0)),1,0),1)))</f>
        <v/>
      </c>
      <c r="T1399" s="42" t="str">
        <f>IF($A1399="","",IF(COUNTIFS(L_Data,$A1399,L_Desc,$B1399,L_Valor,$N1399,L_Tipo,$C1399)&gt;1,"⚠ Possível duplicidade",IF(OR(AND($C1399="Despesa",COUNTIF(CatD_Nome,$D1399)=0),AND($C1399="Receita",COUNTIF(CatR_Nome,$D1399)=0)),"⚠ Categoria não combina com o tipo",IF(OR($N1399="",$C1399=""),"⚠ Falta valor ou tipo",""))))</f>
        <v/>
      </c>
      <c r="U1399" s="40">
        <f>IF($A1399="",0,P1399*12+O1399)</f>
        <v>0</v>
      </c>
      <c r="V1399" s="40">
        <f>IF($A1399="",0,U1399+MAX(0,N($I1399)-MAX(N($H1399),1)))</f>
        <v>0</v>
      </c>
      <c r="W1399" s="40">
        <f>IF(S1399="",0,YEAR(S1399)*12+MONTH(S1399))</f>
        <v>0</v>
      </c>
      <c r="X1399" s="40">
        <f>IF(W1399=0,0,W1399+V1399-U1399)</f>
        <v>0</v>
      </c>
      <c r="Y1399" s="36">
        <f>IF(W1399=0,0,N(R1399)*MAX(0,X1399-MAX(W1399,YEAR(Cfg_Hoje)*12+MONTH(Cfg_Hoje)+IF(DAY(Cfg_Hoje)&gt;=INDEX(Cartoes_Fech,MATCH($F1399,Cartoes_Nome,0)),1,0))+1))</f>
        <v>0</v>
      </c>
      <c r="Z1399" s="40">
        <f>IF($A1399="",0,DAY($A1399))</f>
        <v>0</v>
      </c>
      <c r="AA1399" s="40">
        <f>IF($A1399="",0,WEEKDAY($A1399))</f>
        <v>0</v>
      </c>
      <c r="AB1399" s="36">
        <f>IF(AND($C1399="Despesa",U1399&gt;0,U1399&lt;=Sel_Idx,V1399&gt;=Sel_Idx),N(R1399)+ROW()/1000000000,0)</f>
        <v>0</v>
      </c>
      <c r="AC1399" s="40">
        <f>IF(AND($C1399="Despesa",U1399&gt;0,U1399&lt;=Sel_Idx,V1399&gt;=Sel_Idx),Z1399*10000+ROW(),0)</f>
        <v>0</v>
      </c>
      <c r="AD1399" s="40">
        <f>IF(AC1399=0,0,COUNTIFS(L_CalChave,"&gt;0",L_CalChave,"&lt;"&amp;AC1399)+1)</f>
        <v>0</v>
      </c>
    </row>
    <row r="1400">
      <c r="A1400" s="38" t="n"/>
      <c r="B1400" s="39" t="n"/>
      <c r="C1400" s="34" t="n"/>
      <c r="D1400" s="34" t="n"/>
      <c r="E1400" s="34" t="n"/>
      <c r="F1400" s="34" t="n"/>
      <c r="G1400" s="34" t="n"/>
      <c r="H1400" s="37" t="n"/>
      <c r="I1400" s="37" t="n"/>
      <c r="J1400" s="34" t="n"/>
      <c r="K1400" s="34" t="n"/>
      <c r="L1400" s="34" t="n"/>
      <c r="M1400" s="39" t="n"/>
      <c r="N1400" s="35" t="n"/>
      <c r="O1400" s="40" t="str">
        <f>IF($A1400="","",MONTH($A1400))</f>
        <v/>
      </c>
      <c r="P1400" s="40" t="str">
        <f>IF($A1400="","",YEAR($A1400))</f>
        <v/>
      </c>
      <c r="Q1400" s="41" t="str">
        <f>IF($A1400="","",DATE(P1400,O1400,1))</f>
        <v/>
      </c>
      <c r="R1400" s="36" t="str">
        <f>IF(OR($A1400="",$N1400=""),"",IF(AND($C1400&lt;&gt;"Transferência",N($I1400)&gt;1),$N1400/$I1400,$N1400))</f>
        <v/>
      </c>
      <c r="S1400" s="41" t="str">
        <f>IF(OR($A1400="",$F1400="",$C1400&lt;&gt;"Despesa"),"",IF(COUNTIF(Cartoes_Nome,$F1400)=0,"",DATE(P1400,O1400+IF(DAY($A1400)&gt;=INDEX(Cartoes_Fech,MATCH($F1400,Cartoes_Nome,0)),1,0),1)))</f>
        <v/>
      </c>
      <c r="T1400" s="42" t="str">
        <f>IF($A1400="","",IF(COUNTIFS(L_Data,$A1400,L_Desc,$B1400,L_Valor,$N1400,L_Tipo,$C1400)&gt;1,"⚠ Possível duplicidade",IF(OR(AND($C1400="Despesa",COUNTIF(CatD_Nome,$D1400)=0),AND($C1400="Receita",COUNTIF(CatR_Nome,$D1400)=0)),"⚠ Categoria não combina com o tipo",IF(OR($N1400="",$C1400=""),"⚠ Falta valor ou tipo",""))))</f>
        <v/>
      </c>
      <c r="U1400" s="40">
        <f>IF($A1400="",0,P1400*12+O1400)</f>
        <v>0</v>
      </c>
      <c r="V1400" s="40">
        <f>IF($A1400="",0,U1400+MAX(0,N($I1400)-MAX(N($H1400),1)))</f>
        <v>0</v>
      </c>
      <c r="W1400" s="40">
        <f>IF(S1400="",0,YEAR(S1400)*12+MONTH(S1400))</f>
        <v>0</v>
      </c>
      <c r="X1400" s="40">
        <f>IF(W1400=0,0,W1400+V1400-U1400)</f>
        <v>0</v>
      </c>
      <c r="Y1400" s="36">
        <f>IF(W1400=0,0,N(R1400)*MAX(0,X1400-MAX(W1400,YEAR(Cfg_Hoje)*12+MONTH(Cfg_Hoje)+IF(DAY(Cfg_Hoje)&gt;=INDEX(Cartoes_Fech,MATCH($F1400,Cartoes_Nome,0)),1,0))+1))</f>
        <v>0</v>
      </c>
      <c r="Z1400" s="40">
        <f>IF($A1400="",0,DAY($A1400))</f>
        <v>0</v>
      </c>
      <c r="AA1400" s="40">
        <f>IF($A1400="",0,WEEKDAY($A1400))</f>
        <v>0</v>
      </c>
      <c r="AB1400" s="36">
        <f>IF(AND($C1400="Despesa",U1400&gt;0,U1400&lt;=Sel_Idx,V1400&gt;=Sel_Idx),N(R1400)+ROW()/1000000000,0)</f>
        <v>0</v>
      </c>
      <c r="AC1400" s="40">
        <f>IF(AND($C1400="Despesa",U1400&gt;0,U1400&lt;=Sel_Idx,V1400&gt;=Sel_Idx),Z1400*10000+ROW(),0)</f>
        <v>0</v>
      </c>
      <c r="AD1400" s="40">
        <f>IF(AC1400=0,0,COUNTIFS(L_CalChave,"&gt;0",L_CalChave,"&lt;"&amp;AC1400)+1)</f>
        <v>0</v>
      </c>
    </row>
    <row r="1401">
      <c r="A1401" s="38" t="n"/>
      <c r="B1401" s="39" t="n"/>
      <c r="C1401" s="34" t="n"/>
      <c r="D1401" s="34" t="n"/>
      <c r="E1401" s="34" t="n"/>
      <c r="F1401" s="34" t="n"/>
      <c r="G1401" s="34" t="n"/>
      <c r="H1401" s="37" t="n"/>
      <c r="I1401" s="37" t="n"/>
      <c r="J1401" s="34" t="n"/>
      <c r="K1401" s="34" t="n"/>
      <c r="L1401" s="34" t="n"/>
      <c r="M1401" s="39" t="n"/>
      <c r="N1401" s="35" t="n"/>
      <c r="O1401" s="40" t="str">
        <f>IF($A1401="","",MONTH($A1401))</f>
        <v/>
      </c>
      <c r="P1401" s="40" t="str">
        <f>IF($A1401="","",YEAR($A1401))</f>
        <v/>
      </c>
      <c r="Q1401" s="41" t="str">
        <f>IF($A1401="","",DATE(P1401,O1401,1))</f>
        <v/>
      </c>
      <c r="R1401" s="36" t="str">
        <f>IF(OR($A1401="",$N1401=""),"",IF(AND($C1401&lt;&gt;"Transferência",N($I1401)&gt;1),$N1401/$I1401,$N1401))</f>
        <v/>
      </c>
      <c r="S1401" s="41" t="str">
        <f>IF(OR($A1401="",$F1401="",$C1401&lt;&gt;"Despesa"),"",IF(COUNTIF(Cartoes_Nome,$F1401)=0,"",DATE(P1401,O1401+IF(DAY($A1401)&gt;=INDEX(Cartoes_Fech,MATCH($F1401,Cartoes_Nome,0)),1,0),1)))</f>
        <v/>
      </c>
      <c r="T1401" s="42" t="str">
        <f>IF($A1401="","",IF(COUNTIFS(L_Data,$A1401,L_Desc,$B1401,L_Valor,$N1401,L_Tipo,$C1401)&gt;1,"⚠ Possível duplicidade",IF(OR(AND($C1401="Despesa",COUNTIF(CatD_Nome,$D1401)=0),AND($C1401="Receita",COUNTIF(CatR_Nome,$D1401)=0)),"⚠ Categoria não combina com o tipo",IF(OR($N1401="",$C1401=""),"⚠ Falta valor ou tipo",""))))</f>
        <v/>
      </c>
      <c r="U1401" s="40">
        <f>IF($A1401="",0,P1401*12+O1401)</f>
        <v>0</v>
      </c>
      <c r="V1401" s="40">
        <f>IF($A1401="",0,U1401+MAX(0,N($I1401)-MAX(N($H1401),1)))</f>
        <v>0</v>
      </c>
      <c r="W1401" s="40">
        <f>IF(S1401="",0,YEAR(S1401)*12+MONTH(S1401))</f>
        <v>0</v>
      </c>
      <c r="X1401" s="40">
        <f>IF(W1401=0,0,W1401+V1401-U1401)</f>
        <v>0</v>
      </c>
      <c r="Y1401" s="36">
        <f>IF(W1401=0,0,N(R1401)*MAX(0,X1401-MAX(W1401,YEAR(Cfg_Hoje)*12+MONTH(Cfg_Hoje)+IF(DAY(Cfg_Hoje)&gt;=INDEX(Cartoes_Fech,MATCH($F1401,Cartoes_Nome,0)),1,0))+1))</f>
        <v>0</v>
      </c>
      <c r="Z1401" s="40">
        <f>IF($A1401="",0,DAY($A1401))</f>
        <v>0</v>
      </c>
      <c r="AA1401" s="40">
        <f>IF($A1401="",0,WEEKDAY($A1401))</f>
        <v>0</v>
      </c>
      <c r="AB1401" s="36">
        <f>IF(AND($C1401="Despesa",U1401&gt;0,U1401&lt;=Sel_Idx,V1401&gt;=Sel_Idx),N(R1401)+ROW()/1000000000,0)</f>
        <v>0</v>
      </c>
      <c r="AC1401" s="40">
        <f>IF(AND($C1401="Despesa",U1401&gt;0,U1401&lt;=Sel_Idx,V1401&gt;=Sel_Idx),Z1401*10000+ROW(),0)</f>
        <v>0</v>
      </c>
      <c r="AD1401" s="40">
        <f>IF(AC1401=0,0,COUNTIFS(L_CalChave,"&gt;0",L_CalChave,"&lt;"&amp;AC1401)+1)</f>
        <v>0</v>
      </c>
    </row>
    <row r="1402">
      <c r="A1402" s="38" t="n"/>
      <c r="B1402" s="39" t="n"/>
      <c r="C1402" s="34" t="n"/>
      <c r="D1402" s="34" t="n"/>
      <c r="E1402" s="34" t="n"/>
      <c r="F1402" s="34" t="n"/>
      <c r="G1402" s="34" t="n"/>
      <c r="H1402" s="37" t="n"/>
      <c r="I1402" s="37" t="n"/>
      <c r="J1402" s="34" t="n"/>
      <c r="K1402" s="34" t="n"/>
      <c r="L1402" s="34" t="n"/>
      <c r="M1402" s="39" t="n"/>
      <c r="N1402" s="35" t="n"/>
      <c r="O1402" s="40" t="str">
        <f>IF($A1402="","",MONTH($A1402))</f>
        <v/>
      </c>
      <c r="P1402" s="40" t="str">
        <f>IF($A1402="","",YEAR($A1402))</f>
        <v/>
      </c>
      <c r="Q1402" s="41" t="str">
        <f>IF($A1402="","",DATE(P1402,O1402,1))</f>
        <v/>
      </c>
      <c r="R1402" s="36" t="str">
        <f>IF(OR($A1402="",$N1402=""),"",IF(AND($C1402&lt;&gt;"Transferência",N($I1402)&gt;1),$N1402/$I1402,$N1402))</f>
        <v/>
      </c>
      <c r="S1402" s="41" t="str">
        <f>IF(OR($A1402="",$F1402="",$C1402&lt;&gt;"Despesa"),"",IF(COUNTIF(Cartoes_Nome,$F1402)=0,"",DATE(P1402,O1402+IF(DAY($A1402)&gt;=INDEX(Cartoes_Fech,MATCH($F1402,Cartoes_Nome,0)),1,0),1)))</f>
        <v/>
      </c>
      <c r="T1402" s="42" t="str">
        <f>IF($A1402="","",IF(COUNTIFS(L_Data,$A1402,L_Desc,$B1402,L_Valor,$N1402,L_Tipo,$C1402)&gt;1,"⚠ Possível duplicidade",IF(OR(AND($C1402="Despesa",COUNTIF(CatD_Nome,$D1402)=0),AND($C1402="Receita",COUNTIF(CatR_Nome,$D1402)=0)),"⚠ Categoria não combina com o tipo",IF(OR($N1402="",$C1402=""),"⚠ Falta valor ou tipo",""))))</f>
        <v/>
      </c>
      <c r="U1402" s="40">
        <f>IF($A1402="",0,P1402*12+O1402)</f>
        <v>0</v>
      </c>
      <c r="V1402" s="40">
        <f>IF($A1402="",0,U1402+MAX(0,N($I1402)-MAX(N($H1402),1)))</f>
        <v>0</v>
      </c>
      <c r="W1402" s="40">
        <f>IF(S1402="",0,YEAR(S1402)*12+MONTH(S1402))</f>
        <v>0</v>
      </c>
      <c r="X1402" s="40">
        <f>IF(W1402=0,0,W1402+V1402-U1402)</f>
        <v>0</v>
      </c>
      <c r="Y1402" s="36">
        <f>IF(W1402=0,0,N(R1402)*MAX(0,X1402-MAX(W1402,YEAR(Cfg_Hoje)*12+MONTH(Cfg_Hoje)+IF(DAY(Cfg_Hoje)&gt;=INDEX(Cartoes_Fech,MATCH($F1402,Cartoes_Nome,0)),1,0))+1))</f>
        <v>0</v>
      </c>
      <c r="Z1402" s="40">
        <f>IF($A1402="",0,DAY($A1402))</f>
        <v>0</v>
      </c>
      <c r="AA1402" s="40">
        <f>IF($A1402="",0,WEEKDAY($A1402))</f>
        <v>0</v>
      </c>
      <c r="AB1402" s="36">
        <f>IF(AND($C1402="Despesa",U1402&gt;0,U1402&lt;=Sel_Idx,V1402&gt;=Sel_Idx),N(R1402)+ROW()/1000000000,0)</f>
        <v>0</v>
      </c>
      <c r="AC1402" s="40">
        <f>IF(AND($C1402="Despesa",U1402&gt;0,U1402&lt;=Sel_Idx,V1402&gt;=Sel_Idx),Z1402*10000+ROW(),0)</f>
        <v>0</v>
      </c>
      <c r="AD1402" s="40">
        <f>IF(AC1402=0,0,COUNTIFS(L_CalChave,"&gt;0",L_CalChave,"&lt;"&amp;AC1402)+1)</f>
        <v>0</v>
      </c>
    </row>
    <row r="1403">
      <c r="A1403" s="38" t="n"/>
      <c r="B1403" s="39" t="n"/>
      <c r="C1403" s="34" t="n"/>
      <c r="D1403" s="34" t="n"/>
      <c r="E1403" s="34" t="n"/>
      <c r="F1403" s="34" t="n"/>
      <c r="G1403" s="34" t="n"/>
      <c r="H1403" s="37" t="n"/>
      <c r="I1403" s="37" t="n"/>
      <c r="J1403" s="34" t="n"/>
      <c r="K1403" s="34" t="n"/>
      <c r="L1403" s="34" t="n"/>
      <c r="M1403" s="39" t="n"/>
      <c r="N1403" s="35" t="n"/>
      <c r="O1403" s="40" t="str">
        <f>IF($A1403="","",MONTH($A1403))</f>
        <v/>
      </c>
      <c r="P1403" s="40" t="str">
        <f>IF($A1403="","",YEAR($A1403))</f>
        <v/>
      </c>
      <c r="Q1403" s="41" t="str">
        <f>IF($A1403="","",DATE(P1403,O1403,1))</f>
        <v/>
      </c>
      <c r="R1403" s="36" t="str">
        <f>IF(OR($A1403="",$N1403=""),"",IF(AND($C1403&lt;&gt;"Transferência",N($I1403)&gt;1),$N1403/$I1403,$N1403))</f>
        <v/>
      </c>
      <c r="S1403" s="41" t="str">
        <f>IF(OR($A1403="",$F1403="",$C1403&lt;&gt;"Despesa"),"",IF(COUNTIF(Cartoes_Nome,$F1403)=0,"",DATE(P1403,O1403+IF(DAY($A1403)&gt;=INDEX(Cartoes_Fech,MATCH($F1403,Cartoes_Nome,0)),1,0),1)))</f>
        <v/>
      </c>
      <c r="T1403" s="42" t="str">
        <f>IF($A1403="","",IF(COUNTIFS(L_Data,$A1403,L_Desc,$B1403,L_Valor,$N1403,L_Tipo,$C1403)&gt;1,"⚠ Possível duplicidade",IF(OR(AND($C1403="Despesa",COUNTIF(CatD_Nome,$D1403)=0),AND($C1403="Receita",COUNTIF(CatR_Nome,$D1403)=0)),"⚠ Categoria não combina com o tipo",IF(OR($N1403="",$C1403=""),"⚠ Falta valor ou tipo",""))))</f>
        <v/>
      </c>
      <c r="U1403" s="40">
        <f>IF($A1403="",0,P1403*12+O1403)</f>
        <v>0</v>
      </c>
      <c r="V1403" s="40">
        <f>IF($A1403="",0,U1403+MAX(0,N($I1403)-MAX(N($H1403),1)))</f>
        <v>0</v>
      </c>
      <c r="W1403" s="40">
        <f>IF(S1403="",0,YEAR(S1403)*12+MONTH(S1403))</f>
        <v>0</v>
      </c>
      <c r="X1403" s="40">
        <f>IF(W1403=0,0,W1403+V1403-U1403)</f>
        <v>0</v>
      </c>
      <c r="Y1403" s="36">
        <f>IF(W1403=0,0,N(R1403)*MAX(0,X1403-MAX(W1403,YEAR(Cfg_Hoje)*12+MONTH(Cfg_Hoje)+IF(DAY(Cfg_Hoje)&gt;=INDEX(Cartoes_Fech,MATCH($F1403,Cartoes_Nome,0)),1,0))+1))</f>
        <v>0</v>
      </c>
      <c r="Z1403" s="40">
        <f>IF($A1403="",0,DAY($A1403))</f>
        <v>0</v>
      </c>
      <c r="AA1403" s="40">
        <f>IF($A1403="",0,WEEKDAY($A1403))</f>
        <v>0</v>
      </c>
      <c r="AB1403" s="36">
        <f>IF(AND($C1403="Despesa",U1403&gt;0,U1403&lt;=Sel_Idx,V1403&gt;=Sel_Idx),N(R1403)+ROW()/1000000000,0)</f>
        <v>0</v>
      </c>
      <c r="AC1403" s="40">
        <f>IF(AND($C1403="Despesa",U1403&gt;0,U1403&lt;=Sel_Idx,V1403&gt;=Sel_Idx),Z1403*10000+ROW(),0)</f>
        <v>0</v>
      </c>
      <c r="AD1403" s="40">
        <f>IF(AC1403=0,0,COUNTIFS(L_CalChave,"&gt;0",L_CalChave,"&lt;"&amp;AC1403)+1)</f>
        <v>0</v>
      </c>
    </row>
    <row r="1404">
      <c r="A1404" s="38" t="n"/>
      <c r="B1404" s="39" t="n"/>
      <c r="C1404" s="34" t="n"/>
      <c r="D1404" s="34" t="n"/>
      <c r="E1404" s="34" t="n"/>
      <c r="F1404" s="34" t="n"/>
      <c r="G1404" s="34" t="n"/>
      <c r="H1404" s="37" t="n"/>
      <c r="I1404" s="37" t="n"/>
      <c r="J1404" s="34" t="n"/>
      <c r="K1404" s="34" t="n"/>
      <c r="L1404" s="34" t="n"/>
      <c r="M1404" s="39" t="n"/>
      <c r="N1404" s="35" t="n"/>
      <c r="O1404" s="40" t="str">
        <f>IF($A1404="","",MONTH($A1404))</f>
        <v/>
      </c>
      <c r="P1404" s="40" t="str">
        <f>IF($A1404="","",YEAR($A1404))</f>
        <v/>
      </c>
      <c r="Q1404" s="41" t="str">
        <f>IF($A1404="","",DATE(P1404,O1404,1))</f>
        <v/>
      </c>
      <c r="R1404" s="36" t="str">
        <f>IF(OR($A1404="",$N1404=""),"",IF(AND($C1404&lt;&gt;"Transferência",N($I1404)&gt;1),$N1404/$I1404,$N1404))</f>
        <v/>
      </c>
      <c r="S1404" s="41" t="str">
        <f>IF(OR($A1404="",$F1404="",$C1404&lt;&gt;"Despesa"),"",IF(COUNTIF(Cartoes_Nome,$F1404)=0,"",DATE(P1404,O1404+IF(DAY($A1404)&gt;=INDEX(Cartoes_Fech,MATCH($F1404,Cartoes_Nome,0)),1,0),1)))</f>
        <v/>
      </c>
      <c r="T1404" s="42" t="str">
        <f>IF($A1404="","",IF(COUNTIFS(L_Data,$A1404,L_Desc,$B1404,L_Valor,$N1404,L_Tipo,$C1404)&gt;1,"⚠ Possível duplicidade",IF(OR(AND($C1404="Despesa",COUNTIF(CatD_Nome,$D1404)=0),AND($C1404="Receita",COUNTIF(CatR_Nome,$D1404)=0)),"⚠ Categoria não combina com o tipo",IF(OR($N1404="",$C1404=""),"⚠ Falta valor ou tipo",""))))</f>
        <v/>
      </c>
      <c r="U1404" s="40">
        <f>IF($A1404="",0,P1404*12+O1404)</f>
        <v>0</v>
      </c>
      <c r="V1404" s="40">
        <f>IF($A1404="",0,U1404+MAX(0,N($I1404)-MAX(N($H1404),1)))</f>
        <v>0</v>
      </c>
      <c r="W1404" s="40">
        <f>IF(S1404="",0,YEAR(S1404)*12+MONTH(S1404))</f>
        <v>0</v>
      </c>
      <c r="X1404" s="40">
        <f>IF(W1404=0,0,W1404+V1404-U1404)</f>
        <v>0</v>
      </c>
      <c r="Y1404" s="36">
        <f>IF(W1404=0,0,N(R1404)*MAX(0,X1404-MAX(W1404,YEAR(Cfg_Hoje)*12+MONTH(Cfg_Hoje)+IF(DAY(Cfg_Hoje)&gt;=INDEX(Cartoes_Fech,MATCH($F1404,Cartoes_Nome,0)),1,0))+1))</f>
        <v>0</v>
      </c>
      <c r="Z1404" s="40">
        <f>IF($A1404="",0,DAY($A1404))</f>
        <v>0</v>
      </c>
      <c r="AA1404" s="40">
        <f>IF($A1404="",0,WEEKDAY($A1404))</f>
        <v>0</v>
      </c>
      <c r="AB1404" s="36">
        <f>IF(AND($C1404="Despesa",U1404&gt;0,U1404&lt;=Sel_Idx,V1404&gt;=Sel_Idx),N(R1404)+ROW()/1000000000,0)</f>
        <v>0</v>
      </c>
      <c r="AC1404" s="40">
        <f>IF(AND($C1404="Despesa",U1404&gt;0,U1404&lt;=Sel_Idx,V1404&gt;=Sel_Idx),Z1404*10000+ROW(),0)</f>
        <v>0</v>
      </c>
      <c r="AD1404" s="40">
        <f>IF(AC1404=0,0,COUNTIFS(L_CalChave,"&gt;0",L_CalChave,"&lt;"&amp;AC1404)+1)</f>
        <v>0</v>
      </c>
    </row>
    <row r="1405">
      <c r="A1405" s="38" t="n"/>
      <c r="B1405" s="39" t="n"/>
      <c r="C1405" s="34" t="n"/>
      <c r="D1405" s="34" t="n"/>
      <c r="E1405" s="34" t="n"/>
      <c r="F1405" s="34" t="n"/>
      <c r="G1405" s="34" t="n"/>
      <c r="H1405" s="37" t="n"/>
      <c r="I1405" s="37" t="n"/>
      <c r="J1405" s="34" t="n"/>
      <c r="K1405" s="34" t="n"/>
      <c r="L1405" s="34" t="n"/>
      <c r="M1405" s="39" t="n"/>
      <c r="N1405" s="35" t="n"/>
      <c r="O1405" s="40" t="str">
        <f>IF($A1405="","",MONTH($A1405))</f>
        <v/>
      </c>
      <c r="P1405" s="40" t="str">
        <f>IF($A1405="","",YEAR($A1405))</f>
        <v/>
      </c>
      <c r="Q1405" s="41" t="str">
        <f>IF($A1405="","",DATE(P1405,O1405,1))</f>
        <v/>
      </c>
      <c r="R1405" s="36" t="str">
        <f>IF(OR($A1405="",$N1405=""),"",IF(AND($C1405&lt;&gt;"Transferência",N($I1405)&gt;1),$N1405/$I1405,$N1405))</f>
        <v/>
      </c>
      <c r="S1405" s="41" t="str">
        <f>IF(OR($A1405="",$F1405="",$C1405&lt;&gt;"Despesa"),"",IF(COUNTIF(Cartoes_Nome,$F1405)=0,"",DATE(P1405,O1405+IF(DAY($A1405)&gt;=INDEX(Cartoes_Fech,MATCH($F1405,Cartoes_Nome,0)),1,0),1)))</f>
        <v/>
      </c>
      <c r="T1405" s="42" t="str">
        <f>IF($A1405="","",IF(COUNTIFS(L_Data,$A1405,L_Desc,$B1405,L_Valor,$N1405,L_Tipo,$C1405)&gt;1,"⚠ Possível duplicidade",IF(OR(AND($C1405="Despesa",COUNTIF(CatD_Nome,$D1405)=0),AND($C1405="Receita",COUNTIF(CatR_Nome,$D1405)=0)),"⚠ Categoria não combina com o tipo",IF(OR($N1405="",$C1405=""),"⚠ Falta valor ou tipo",""))))</f>
        <v/>
      </c>
      <c r="U1405" s="40">
        <f>IF($A1405="",0,P1405*12+O1405)</f>
        <v>0</v>
      </c>
      <c r="V1405" s="40">
        <f>IF($A1405="",0,U1405+MAX(0,N($I1405)-MAX(N($H1405),1)))</f>
        <v>0</v>
      </c>
      <c r="W1405" s="40">
        <f>IF(S1405="",0,YEAR(S1405)*12+MONTH(S1405))</f>
        <v>0</v>
      </c>
      <c r="X1405" s="40">
        <f>IF(W1405=0,0,W1405+V1405-U1405)</f>
        <v>0</v>
      </c>
      <c r="Y1405" s="36">
        <f>IF(W1405=0,0,N(R1405)*MAX(0,X1405-MAX(W1405,YEAR(Cfg_Hoje)*12+MONTH(Cfg_Hoje)+IF(DAY(Cfg_Hoje)&gt;=INDEX(Cartoes_Fech,MATCH($F1405,Cartoes_Nome,0)),1,0))+1))</f>
        <v>0</v>
      </c>
      <c r="Z1405" s="40">
        <f>IF($A1405="",0,DAY($A1405))</f>
        <v>0</v>
      </c>
      <c r="AA1405" s="40">
        <f>IF($A1405="",0,WEEKDAY($A1405))</f>
        <v>0</v>
      </c>
      <c r="AB1405" s="36">
        <f>IF(AND($C1405="Despesa",U1405&gt;0,U1405&lt;=Sel_Idx,V1405&gt;=Sel_Idx),N(R1405)+ROW()/1000000000,0)</f>
        <v>0</v>
      </c>
      <c r="AC1405" s="40">
        <f>IF(AND($C1405="Despesa",U1405&gt;0,U1405&lt;=Sel_Idx,V1405&gt;=Sel_Idx),Z1405*10000+ROW(),0)</f>
        <v>0</v>
      </c>
      <c r="AD1405" s="40">
        <f>IF(AC1405=0,0,COUNTIFS(L_CalChave,"&gt;0",L_CalChave,"&lt;"&amp;AC1405)+1)</f>
        <v>0</v>
      </c>
    </row>
    <row r="1406">
      <c r="A1406" s="38" t="n"/>
      <c r="B1406" s="39" t="n"/>
      <c r="C1406" s="34" t="n"/>
      <c r="D1406" s="34" t="n"/>
      <c r="E1406" s="34" t="n"/>
      <c r="F1406" s="34" t="n"/>
      <c r="G1406" s="34" t="n"/>
      <c r="H1406" s="37" t="n"/>
      <c r="I1406" s="37" t="n"/>
      <c r="J1406" s="34" t="n"/>
      <c r="K1406" s="34" t="n"/>
      <c r="L1406" s="34" t="n"/>
      <c r="M1406" s="39" t="n"/>
      <c r="N1406" s="35" t="n"/>
      <c r="O1406" s="40" t="str">
        <f>IF($A1406="","",MONTH($A1406))</f>
        <v/>
      </c>
      <c r="P1406" s="40" t="str">
        <f>IF($A1406="","",YEAR($A1406))</f>
        <v/>
      </c>
      <c r="Q1406" s="41" t="str">
        <f>IF($A1406="","",DATE(P1406,O1406,1))</f>
        <v/>
      </c>
      <c r="R1406" s="36" t="str">
        <f>IF(OR($A1406="",$N1406=""),"",IF(AND($C1406&lt;&gt;"Transferência",N($I1406)&gt;1),$N1406/$I1406,$N1406))</f>
        <v/>
      </c>
      <c r="S1406" s="41" t="str">
        <f>IF(OR($A1406="",$F1406="",$C1406&lt;&gt;"Despesa"),"",IF(COUNTIF(Cartoes_Nome,$F1406)=0,"",DATE(P1406,O1406+IF(DAY($A1406)&gt;=INDEX(Cartoes_Fech,MATCH($F1406,Cartoes_Nome,0)),1,0),1)))</f>
        <v/>
      </c>
      <c r="T1406" s="42" t="str">
        <f>IF($A1406="","",IF(COUNTIFS(L_Data,$A1406,L_Desc,$B1406,L_Valor,$N1406,L_Tipo,$C1406)&gt;1,"⚠ Possível duplicidade",IF(OR(AND($C1406="Despesa",COUNTIF(CatD_Nome,$D1406)=0),AND($C1406="Receita",COUNTIF(CatR_Nome,$D1406)=0)),"⚠ Categoria não combina com o tipo",IF(OR($N1406="",$C1406=""),"⚠ Falta valor ou tipo",""))))</f>
        <v/>
      </c>
      <c r="U1406" s="40">
        <f>IF($A1406="",0,P1406*12+O1406)</f>
        <v>0</v>
      </c>
      <c r="V1406" s="40">
        <f>IF($A1406="",0,U1406+MAX(0,N($I1406)-MAX(N($H1406),1)))</f>
        <v>0</v>
      </c>
      <c r="W1406" s="40">
        <f>IF(S1406="",0,YEAR(S1406)*12+MONTH(S1406))</f>
        <v>0</v>
      </c>
      <c r="X1406" s="40">
        <f>IF(W1406=0,0,W1406+V1406-U1406)</f>
        <v>0</v>
      </c>
      <c r="Y1406" s="36">
        <f>IF(W1406=0,0,N(R1406)*MAX(0,X1406-MAX(W1406,YEAR(Cfg_Hoje)*12+MONTH(Cfg_Hoje)+IF(DAY(Cfg_Hoje)&gt;=INDEX(Cartoes_Fech,MATCH($F1406,Cartoes_Nome,0)),1,0))+1))</f>
        <v>0</v>
      </c>
      <c r="Z1406" s="40">
        <f>IF($A1406="",0,DAY($A1406))</f>
        <v>0</v>
      </c>
      <c r="AA1406" s="40">
        <f>IF($A1406="",0,WEEKDAY($A1406))</f>
        <v>0</v>
      </c>
      <c r="AB1406" s="36">
        <f>IF(AND($C1406="Despesa",U1406&gt;0,U1406&lt;=Sel_Idx,V1406&gt;=Sel_Idx),N(R1406)+ROW()/1000000000,0)</f>
        <v>0</v>
      </c>
      <c r="AC1406" s="40">
        <f>IF(AND($C1406="Despesa",U1406&gt;0,U1406&lt;=Sel_Idx,V1406&gt;=Sel_Idx),Z1406*10000+ROW(),0)</f>
        <v>0</v>
      </c>
      <c r="AD1406" s="40">
        <f>IF(AC1406=0,0,COUNTIFS(L_CalChave,"&gt;0",L_CalChave,"&lt;"&amp;AC1406)+1)</f>
        <v>0</v>
      </c>
    </row>
    <row r="1407">
      <c r="A1407" s="38" t="n"/>
      <c r="B1407" s="39" t="n"/>
      <c r="C1407" s="34" t="n"/>
      <c r="D1407" s="34" t="n"/>
      <c r="E1407" s="34" t="n"/>
      <c r="F1407" s="34" t="n"/>
      <c r="G1407" s="34" t="n"/>
      <c r="H1407" s="37" t="n"/>
      <c r="I1407" s="37" t="n"/>
      <c r="J1407" s="34" t="n"/>
      <c r="K1407" s="34" t="n"/>
      <c r="L1407" s="34" t="n"/>
      <c r="M1407" s="39" t="n"/>
      <c r="N1407" s="35" t="n"/>
      <c r="O1407" s="40" t="str">
        <f>IF($A1407="","",MONTH($A1407))</f>
        <v/>
      </c>
      <c r="P1407" s="40" t="str">
        <f>IF($A1407="","",YEAR($A1407))</f>
        <v/>
      </c>
      <c r="Q1407" s="41" t="str">
        <f>IF($A1407="","",DATE(P1407,O1407,1))</f>
        <v/>
      </c>
      <c r="R1407" s="36" t="str">
        <f>IF(OR($A1407="",$N1407=""),"",IF(AND($C1407&lt;&gt;"Transferência",N($I1407)&gt;1),$N1407/$I1407,$N1407))</f>
        <v/>
      </c>
      <c r="S1407" s="41" t="str">
        <f>IF(OR($A1407="",$F1407="",$C1407&lt;&gt;"Despesa"),"",IF(COUNTIF(Cartoes_Nome,$F1407)=0,"",DATE(P1407,O1407+IF(DAY($A1407)&gt;=INDEX(Cartoes_Fech,MATCH($F1407,Cartoes_Nome,0)),1,0),1)))</f>
        <v/>
      </c>
      <c r="T1407" s="42" t="str">
        <f>IF($A1407="","",IF(COUNTIFS(L_Data,$A1407,L_Desc,$B1407,L_Valor,$N1407,L_Tipo,$C1407)&gt;1,"⚠ Possível duplicidade",IF(OR(AND($C1407="Despesa",COUNTIF(CatD_Nome,$D1407)=0),AND($C1407="Receita",COUNTIF(CatR_Nome,$D1407)=0)),"⚠ Categoria não combina com o tipo",IF(OR($N1407="",$C1407=""),"⚠ Falta valor ou tipo",""))))</f>
        <v/>
      </c>
      <c r="U1407" s="40">
        <f>IF($A1407="",0,P1407*12+O1407)</f>
        <v>0</v>
      </c>
      <c r="V1407" s="40">
        <f>IF($A1407="",0,U1407+MAX(0,N($I1407)-MAX(N($H1407),1)))</f>
        <v>0</v>
      </c>
      <c r="W1407" s="40">
        <f>IF(S1407="",0,YEAR(S1407)*12+MONTH(S1407))</f>
        <v>0</v>
      </c>
      <c r="X1407" s="40">
        <f>IF(W1407=0,0,W1407+V1407-U1407)</f>
        <v>0</v>
      </c>
      <c r="Y1407" s="36">
        <f>IF(W1407=0,0,N(R1407)*MAX(0,X1407-MAX(W1407,YEAR(Cfg_Hoje)*12+MONTH(Cfg_Hoje)+IF(DAY(Cfg_Hoje)&gt;=INDEX(Cartoes_Fech,MATCH($F1407,Cartoes_Nome,0)),1,0))+1))</f>
        <v>0</v>
      </c>
      <c r="Z1407" s="40">
        <f>IF($A1407="",0,DAY($A1407))</f>
        <v>0</v>
      </c>
      <c r="AA1407" s="40">
        <f>IF($A1407="",0,WEEKDAY($A1407))</f>
        <v>0</v>
      </c>
      <c r="AB1407" s="36">
        <f>IF(AND($C1407="Despesa",U1407&gt;0,U1407&lt;=Sel_Idx,V1407&gt;=Sel_Idx),N(R1407)+ROW()/1000000000,0)</f>
        <v>0</v>
      </c>
      <c r="AC1407" s="40">
        <f>IF(AND($C1407="Despesa",U1407&gt;0,U1407&lt;=Sel_Idx,V1407&gt;=Sel_Idx),Z1407*10000+ROW(),0)</f>
        <v>0</v>
      </c>
      <c r="AD1407" s="40">
        <f>IF(AC1407=0,0,COUNTIFS(L_CalChave,"&gt;0",L_CalChave,"&lt;"&amp;AC1407)+1)</f>
        <v>0</v>
      </c>
    </row>
    <row r="1408">
      <c r="A1408" s="38" t="n"/>
      <c r="B1408" s="39" t="n"/>
      <c r="C1408" s="34" t="n"/>
      <c r="D1408" s="34" t="n"/>
      <c r="E1408" s="34" t="n"/>
      <c r="F1408" s="34" t="n"/>
      <c r="G1408" s="34" t="n"/>
      <c r="H1408" s="37" t="n"/>
      <c r="I1408" s="37" t="n"/>
      <c r="J1408" s="34" t="n"/>
      <c r="K1408" s="34" t="n"/>
      <c r="L1408" s="34" t="n"/>
      <c r="M1408" s="39" t="n"/>
      <c r="N1408" s="35" t="n"/>
      <c r="O1408" s="40" t="str">
        <f>IF($A1408="","",MONTH($A1408))</f>
        <v/>
      </c>
      <c r="P1408" s="40" t="str">
        <f>IF($A1408="","",YEAR($A1408))</f>
        <v/>
      </c>
      <c r="Q1408" s="41" t="str">
        <f>IF($A1408="","",DATE(P1408,O1408,1))</f>
        <v/>
      </c>
      <c r="R1408" s="36" t="str">
        <f>IF(OR($A1408="",$N1408=""),"",IF(AND($C1408&lt;&gt;"Transferência",N($I1408)&gt;1),$N1408/$I1408,$N1408))</f>
        <v/>
      </c>
      <c r="S1408" s="41" t="str">
        <f>IF(OR($A1408="",$F1408="",$C1408&lt;&gt;"Despesa"),"",IF(COUNTIF(Cartoes_Nome,$F1408)=0,"",DATE(P1408,O1408+IF(DAY($A1408)&gt;=INDEX(Cartoes_Fech,MATCH($F1408,Cartoes_Nome,0)),1,0),1)))</f>
        <v/>
      </c>
      <c r="T1408" s="42" t="str">
        <f>IF($A1408="","",IF(COUNTIFS(L_Data,$A1408,L_Desc,$B1408,L_Valor,$N1408,L_Tipo,$C1408)&gt;1,"⚠ Possível duplicidade",IF(OR(AND($C1408="Despesa",COUNTIF(CatD_Nome,$D1408)=0),AND($C1408="Receita",COUNTIF(CatR_Nome,$D1408)=0)),"⚠ Categoria não combina com o tipo",IF(OR($N1408="",$C1408=""),"⚠ Falta valor ou tipo",""))))</f>
        <v/>
      </c>
      <c r="U1408" s="40">
        <f>IF($A1408="",0,P1408*12+O1408)</f>
        <v>0</v>
      </c>
      <c r="V1408" s="40">
        <f>IF($A1408="",0,U1408+MAX(0,N($I1408)-MAX(N($H1408),1)))</f>
        <v>0</v>
      </c>
      <c r="W1408" s="40">
        <f>IF(S1408="",0,YEAR(S1408)*12+MONTH(S1408))</f>
        <v>0</v>
      </c>
      <c r="X1408" s="40">
        <f>IF(W1408=0,0,W1408+V1408-U1408)</f>
        <v>0</v>
      </c>
      <c r="Y1408" s="36">
        <f>IF(W1408=0,0,N(R1408)*MAX(0,X1408-MAX(W1408,YEAR(Cfg_Hoje)*12+MONTH(Cfg_Hoje)+IF(DAY(Cfg_Hoje)&gt;=INDEX(Cartoes_Fech,MATCH($F1408,Cartoes_Nome,0)),1,0))+1))</f>
        <v>0</v>
      </c>
      <c r="Z1408" s="40">
        <f>IF($A1408="",0,DAY($A1408))</f>
        <v>0</v>
      </c>
      <c r="AA1408" s="40">
        <f>IF($A1408="",0,WEEKDAY($A1408))</f>
        <v>0</v>
      </c>
      <c r="AB1408" s="36">
        <f>IF(AND($C1408="Despesa",U1408&gt;0,U1408&lt;=Sel_Idx,V1408&gt;=Sel_Idx),N(R1408)+ROW()/1000000000,0)</f>
        <v>0</v>
      </c>
      <c r="AC1408" s="40">
        <f>IF(AND($C1408="Despesa",U1408&gt;0,U1408&lt;=Sel_Idx,V1408&gt;=Sel_Idx),Z1408*10000+ROW(),0)</f>
        <v>0</v>
      </c>
      <c r="AD1408" s="40">
        <f>IF(AC1408=0,0,COUNTIFS(L_CalChave,"&gt;0",L_CalChave,"&lt;"&amp;AC1408)+1)</f>
        <v>0</v>
      </c>
    </row>
    <row r="1409">
      <c r="A1409" s="38" t="n"/>
      <c r="B1409" s="39" t="n"/>
      <c r="C1409" s="34" t="n"/>
      <c r="D1409" s="34" t="n"/>
      <c r="E1409" s="34" t="n"/>
      <c r="F1409" s="34" t="n"/>
      <c r="G1409" s="34" t="n"/>
      <c r="H1409" s="37" t="n"/>
      <c r="I1409" s="37" t="n"/>
      <c r="J1409" s="34" t="n"/>
      <c r="K1409" s="34" t="n"/>
      <c r="L1409" s="34" t="n"/>
      <c r="M1409" s="39" t="n"/>
      <c r="N1409" s="35" t="n"/>
      <c r="O1409" s="40" t="str">
        <f>IF($A1409="","",MONTH($A1409))</f>
        <v/>
      </c>
      <c r="P1409" s="40" t="str">
        <f>IF($A1409="","",YEAR($A1409))</f>
        <v/>
      </c>
      <c r="Q1409" s="41" t="str">
        <f>IF($A1409="","",DATE(P1409,O1409,1))</f>
        <v/>
      </c>
      <c r="R1409" s="36" t="str">
        <f>IF(OR($A1409="",$N1409=""),"",IF(AND($C1409&lt;&gt;"Transferência",N($I1409)&gt;1),$N1409/$I1409,$N1409))</f>
        <v/>
      </c>
      <c r="S1409" s="41" t="str">
        <f>IF(OR($A1409="",$F1409="",$C1409&lt;&gt;"Despesa"),"",IF(COUNTIF(Cartoes_Nome,$F1409)=0,"",DATE(P1409,O1409+IF(DAY($A1409)&gt;=INDEX(Cartoes_Fech,MATCH($F1409,Cartoes_Nome,0)),1,0),1)))</f>
        <v/>
      </c>
      <c r="T1409" s="42" t="str">
        <f>IF($A1409="","",IF(COUNTIFS(L_Data,$A1409,L_Desc,$B1409,L_Valor,$N1409,L_Tipo,$C1409)&gt;1,"⚠ Possível duplicidade",IF(OR(AND($C1409="Despesa",COUNTIF(CatD_Nome,$D1409)=0),AND($C1409="Receita",COUNTIF(CatR_Nome,$D1409)=0)),"⚠ Categoria não combina com o tipo",IF(OR($N1409="",$C1409=""),"⚠ Falta valor ou tipo",""))))</f>
        <v/>
      </c>
      <c r="U1409" s="40">
        <f>IF($A1409="",0,P1409*12+O1409)</f>
        <v>0</v>
      </c>
      <c r="V1409" s="40">
        <f>IF($A1409="",0,U1409+MAX(0,N($I1409)-MAX(N($H1409),1)))</f>
        <v>0</v>
      </c>
      <c r="W1409" s="40">
        <f>IF(S1409="",0,YEAR(S1409)*12+MONTH(S1409))</f>
        <v>0</v>
      </c>
      <c r="X1409" s="40">
        <f>IF(W1409=0,0,W1409+V1409-U1409)</f>
        <v>0</v>
      </c>
      <c r="Y1409" s="36">
        <f>IF(W1409=0,0,N(R1409)*MAX(0,X1409-MAX(W1409,YEAR(Cfg_Hoje)*12+MONTH(Cfg_Hoje)+IF(DAY(Cfg_Hoje)&gt;=INDEX(Cartoes_Fech,MATCH($F1409,Cartoes_Nome,0)),1,0))+1))</f>
        <v>0</v>
      </c>
      <c r="Z1409" s="40">
        <f>IF($A1409="",0,DAY($A1409))</f>
        <v>0</v>
      </c>
      <c r="AA1409" s="40">
        <f>IF($A1409="",0,WEEKDAY($A1409))</f>
        <v>0</v>
      </c>
      <c r="AB1409" s="36">
        <f>IF(AND($C1409="Despesa",U1409&gt;0,U1409&lt;=Sel_Idx,V1409&gt;=Sel_Idx),N(R1409)+ROW()/1000000000,0)</f>
        <v>0</v>
      </c>
      <c r="AC1409" s="40">
        <f>IF(AND($C1409="Despesa",U1409&gt;0,U1409&lt;=Sel_Idx,V1409&gt;=Sel_Idx),Z1409*10000+ROW(),0)</f>
        <v>0</v>
      </c>
      <c r="AD1409" s="40">
        <f>IF(AC1409=0,0,COUNTIFS(L_CalChave,"&gt;0",L_CalChave,"&lt;"&amp;AC1409)+1)</f>
        <v>0</v>
      </c>
    </row>
    <row r="1410">
      <c r="A1410" s="38" t="n"/>
      <c r="B1410" s="39" t="n"/>
      <c r="C1410" s="34" t="n"/>
      <c r="D1410" s="34" t="n"/>
      <c r="E1410" s="34" t="n"/>
      <c r="F1410" s="34" t="n"/>
      <c r="G1410" s="34" t="n"/>
      <c r="H1410" s="37" t="n"/>
      <c r="I1410" s="37" t="n"/>
      <c r="J1410" s="34" t="n"/>
      <c r="K1410" s="34" t="n"/>
      <c r="L1410" s="34" t="n"/>
      <c r="M1410" s="39" t="n"/>
      <c r="N1410" s="35" t="n"/>
      <c r="O1410" s="40" t="str">
        <f>IF($A1410="","",MONTH($A1410))</f>
        <v/>
      </c>
      <c r="P1410" s="40" t="str">
        <f>IF($A1410="","",YEAR($A1410))</f>
        <v/>
      </c>
      <c r="Q1410" s="41" t="str">
        <f>IF($A1410="","",DATE(P1410,O1410,1))</f>
        <v/>
      </c>
      <c r="R1410" s="36" t="str">
        <f>IF(OR($A1410="",$N1410=""),"",IF(AND($C1410&lt;&gt;"Transferência",N($I1410)&gt;1),$N1410/$I1410,$N1410))</f>
        <v/>
      </c>
      <c r="S1410" s="41" t="str">
        <f>IF(OR($A1410="",$F1410="",$C1410&lt;&gt;"Despesa"),"",IF(COUNTIF(Cartoes_Nome,$F1410)=0,"",DATE(P1410,O1410+IF(DAY($A1410)&gt;=INDEX(Cartoes_Fech,MATCH($F1410,Cartoes_Nome,0)),1,0),1)))</f>
        <v/>
      </c>
      <c r="T1410" s="42" t="str">
        <f>IF($A1410="","",IF(COUNTIFS(L_Data,$A1410,L_Desc,$B1410,L_Valor,$N1410,L_Tipo,$C1410)&gt;1,"⚠ Possível duplicidade",IF(OR(AND($C1410="Despesa",COUNTIF(CatD_Nome,$D1410)=0),AND($C1410="Receita",COUNTIF(CatR_Nome,$D1410)=0)),"⚠ Categoria não combina com o tipo",IF(OR($N1410="",$C1410=""),"⚠ Falta valor ou tipo",""))))</f>
        <v/>
      </c>
      <c r="U1410" s="40">
        <f>IF($A1410="",0,P1410*12+O1410)</f>
        <v>0</v>
      </c>
      <c r="V1410" s="40">
        <f>IF($A1410="",0,U1410+MAX(0,N($I1410)-MAX(N($H1410),1)))</f>
        <v>0</v>
      </c>
      <c r="W1410" s="40">
        <f>IF(S1410="",0,YEAR(S1410)*12+MONTH(S1410))</f>
        <v>0</v>
      </c>
      <c r="X1410" s="40">
        <f>IF(W1410=0,0,W1410+V1410-U1410)</f>
        <v>0</v>
      </c>
      <c r="Y1410" s="36">
        <f>IF(W1410=0,0,N(R1410)*MAX(0,X1410-MAX(W1410,YEAR(Cfg_Hoje)*12+MONTH(Cfg_Hoje)+IF(DAY(Cfg_Hoje)&gt;=INDEX(Cartoes_Fech,MATCH($F1410,Cartoes_Nome,0)),1,0))+1))</f>
        <v>0</v>
      </c>
      <c r="Z1410" s="40">
        <f>IF($A1410="",0,DAY($A1410))</f>
        <v>0</v>
      </c>
      <c r="AA1410" s="40">
        <f>IF($A1410="",0,WEEKDAY($A1410))</f>
        <v>0</v>
      </c>
      <c r="AB1410" s="36">
        <f>IF(AND($C1410="Despesa",U1410&gt;0,U1410&lt;=Sel_Idx,V1410&gt;=Sel_Idx),N(R1410)+ROW()/1000000000,0)</f>
        <v>0</v>
      </c>
      <c r="AC1410" s="40">
        <f>IF(AND($C1410="Despesa",U1410&gt;0,U1410&lt;=Sel_Idx,V1410&gt;=Sel_Idx),Z1410*10000+ROW(),0)</f>
        <v>0</v>
      </c>
      <c r="AD1410" s="40">
        <f>IF(AC1410=0,0,COUNTIFS(L_CalChave,"&gt;0",L_CalChave,"&lt;"&amp;AC1410)+1)</f>
        <v>0</v>
      </c>
    </row>
    <row r="1411">
      <c r="A1411" s="38" t="n"/>
      <c r="B1411" s="39" t="n"/>
      <c r="C1411" s="34" t="n"/>
      <c r="D1411" s="34" t="n"/>
      <c r="E1411" s="34" t="n"/>
      <c r="F1411" s="34" t="n"/>
      <c r="G1411" s="34" t="n"/>
      <c r="H1411" s="37" t="n"/>
      <c r="I1411" s="37" t="n"/>
      <c r="J1411" s="34" t="n"/>
      <c r="K1411" s="34" t="n"/>
      <c r="L1411" s="34" t="n"/>
      <c r="M1411" s="39" t="n"/>
      <c r="N1411" s="35" t="n"/>
      <c r="O1411" s="40" t="str">
        <f>IF($A1411="","",MONTH($A1411))</f>
        <v/>
      </c>
      <c r="P1411" s="40" t="str">
        <f>IF($A1411="","",YEAR($A1411))</f>
        <v/>
      </c>
      <c r="Q1411" s="41" t="str">
        <f>IF($A1411="","",DATE(P1411,O1411,1))</f>
        <v/>
      </c>
      <c r="R1411" s="36" t="str">
        <f>IF(OR($A1411="",$N1411=""),"",IF(AND($C1411&lt;&gt;"Transferência",N($I1411)&gt;1),$N1411/$I1411,$N1411))</f>
        <v/>
      </c>
      <c r="S1411" s="41" t="str">
        <f>IF(OR($A1411="",$F1411="",$C1411&lt;&gt;"Despesa"),"",IF(COUNTIF(Cartoes_Nome,$F1411)=0,"",DATE(P1411,O1411+IF(DAY($A1411)&gt;=INDEX(Cartoes_Fech,MATCH($F1411,Cartoes_Nome,0)),1,0),1)))</f>
        <v/>
      </c>
      <c r="T1411" s="42" t="str">
        <f>IF($A1411="","",IF(COUNTIFS(L_Data,$A1411,L_Desc,$B1411,L_Valor,$N1411,L_Tipo,$C1411)&gt;1,"⚠ Possível duplicidade",IF(OR(AND($C1411="Despesa",COUNTIF(CatD_Nome,$D1411)=0),AND($C1411="Receita",COUNTIF(CatR_Nome,$D1411)=0)),"⚠ Categoria não combina com o tipo",IF(OR($N1411="",$C1411=""),"⚠ Falta valor ou tipo",""))))</f>
        <v/>
      </c>
      <c r="U1411" s="40">
        <f>IF($A1411="",0,P1411*12+O1411)</f>
        <v>0</v>
      </c>
      <c r="V1411" s="40">
        <f>IF($A1411="",0,U1411+MAX(0,N($I1411)-MAX(N($H1411),1)))</f>
        <v>0</v>
      </c>
      <c r="W1411" s="40">
        <f>IF(S1411="",0,YEAR(S1411)*12+MONTH(S1411))</f>
        <v>0</v>
      </c>
      <c r="X1411" s="40">
        <f>IF(W1411=0,0,W1411+V1411-U1411)</f>
        <v>0</v>
      </c>
      <c r="Y1411" s="36">
        <f>IF(W1411=0,0,N(R1411)*MAX(0,X1411-MAX(W1411,YEAR(Cfg_Hoje)*12+MONTH(Cfg_Hoje)+IF(DAY(Cfg_Hoje)&gt;=INDEX(Cartoes_Fech,MATCH($F1411,Cartoes_Nome,0)),1,0))+1))</f>
        <v>0</v>
      </c>
      <c r="Z1411" s="40">
        <f>IF($A1411="",0,DAY($A1411))</f>
        <v>0</v>
      </c>
      <c r="AA1411" s="40">
        <f>IF($A1411="",0,WEEKDAY($A1411))</f>
        <v>0</v>
      </c>
      <c r="AB1411" s="36">
        <f>IF(AND($C1411="Despesa",U1411&gt;0,U1411&lt;=Sel_Idx,V1411&gt;=Sel_Idx),N(R1411)+ROW()/1000000000,0)</f>
        <v>0</v>
      </c>
      <c r="AC1411" s="40">
        <f>IF(AND($C1411="Despesa",U1411&gt;0,U1411&lt;=Sel_Idx,V1411&gt;=Sel_Idx),Z1411*10000+ROW(),0)</f>
        <v>0</v>
      </c>
      <c r="AD1411" s="40">
        <f>IF(AC1411=0,0,COUNTIFS(L_CalChave,"&gt;0",L_CalChave,"&lt;"&amp;AC1411)+1)</f>
        <v>0</v>
      </c>
    </row>
    <row r="1412">
      <c r="A1412" s="38" t="n"/>
      <c r="B1412" s="39" t="n"/>
      <c r="C1412" s="34" t="n"/>
      <c r="D1412" s="34" t="n"/>
      <c r="E1412" s="34" t="n"/>
      <c r="F1412" s="34" t="n"/>
      <c r="G1412" s="34" t="n"/>
      <c r="H1412" s="37" t="n"/>
      <c r="I1412" s="37" t="n"/>
      <c r="J1412" s="34" t="n"/>
      <c r="K1412" s="34" t="n"/>
      <c r="L1412" s="34" t="n"/>
      <c r="M1412" s="39" t="n"/>
      <c r="N1412" s="35" t="n"/>
      <c r="O1412" s="40" t="str">
        <f>IF($A1412="","",MONTH($A1412))</f>
        <v/>
      </c>
      <c r="P1412" s="40" t="str">
        <f>IF($A1412="","",YEAR($A1412))</f>
        <v/>
      </c>
      <c r="Q1412" s="41" t="str">
        <f>IF($A1412="","",DATE(P1412,O1412,1))</f>
        <v/>
      </c>
      <c r="R1412" s="36" t="str">
        <f>IF(OR($A1412="",$N1412=""),"",IF(AND($C1412&lt;&gt;"Transferência",N($I1412)&gt;1),$N1412/$I1412,$N1412))</f>
        <v/>
      </c>
      <c r="S1412" s="41" t="str">
        <f>IF(OR($A1412="",$F1412="",$C1412&lt;&gt;"Despesa"),"",IF(COUNTIF(Cartoes_Nome,$F1412)=0,"",DATE(P1412,O1412+IF(DAY($A1412)&gt;=INDEX(Cartoes_Fech,MATCH($F1412,Cartoes_Nome,0)),1,0),1)))</f>
        <v/>
      </c>
      <c r="T1412" s="42" t="str">
        <f>IF($A1412="","",IF(COUNTIFS(L_Data,$A1412,L_Desc,$B1412,L_Valor,$N1412,L_Tipo,$C1412)&gt;1,"⚠ Possível duplicidade",IF(OR(AND($C1412="Despesa",COUNTIF(CatD_Nome,$D1412)=0),AND($C1412="Receita",COUNTIF(CatR_Nome,$D1412)=0)),"⚠ Categoria não combina com o tipo",IF(OR($N1412="",$C1412=""),"⚠ Falta valor ou tipo",""))))</f>
        <v/>
      </c>
      <c r="U1412" s="40">
        <f>IF($A1412="",0,P1412*12+O1412)</f>
        <v>0</v>
      </c>
      <c r="V1412" s="40">
        <f>IF($A1412="",0,U1412+MAX(0,N($I1412)-MAX(N($H1412),1)))</f>
        <v>0</v>
      </c>
      <c r="W1412" s="40">
        <f>IF(S1412="",0,YEAR(S1412)*12+MONTH(S1412))</f>
        <v>0</v>
      </c>
      <c r="X1412" s="40">
        <f>IF(W1412=0,0,W1412+V1412-U1412)</f>
        <v>0</v>
      </c>
      <c r="Y1412" s="36">
        <f>IF(W1412=0,0,N(R1412)*MAX(0,X1412-MAX(W1412,YEAR(Cfg_Hoje)*12+MONTH(Cfg_Hoje)+IF(DAY(Cfg_Hoje)&gt;=INDEX(Cartoes_Fech,MATCH($F1412,Cartoes_Nome,0)),1,0))+1))</f>
        <v>0</v>
      </c>
      <c r="Z1412" s="40">
        <f>IF($A1412="",0,DAY($A1412))</f>
        <v>0</v>
      </c>
      <c r="AA1412" s="40">
        <f>IF($A1412="",0,WEEKDAY($A1412))</f>
        <v>0</v>
      </c>
      <c r="AB1412" s="36">
        <f>IF(AND($C1412="Despesa",U1412&gt;0,U1412&lt;=Sel_Idx,V1412&gt;=Sel_Idx),N(R1412)+ROW()/1000000000,0)</f>
        <v>0</v>
      </c>
      <c r="AC1412" s="40">
        <f>IF(AND($C1412="Despesa",U1412&gt;0,U1412&lt;=Sel_Idx,V1412&gt;=Sel_Idx),Z1412*10000+ROW(),0)</f>
        <v>0</v>
      </c>
      <c r="AD1412" s="40">
        <f>IF(AC1412=0,0,COUNTIFS(L_CalChave,"&gt;0",L_CalChave,"&lt;"&amp;AC1412)+1)</f>
        <v>0</v>
      </c>
    </row>
    <row r="1413">
      <c r="A1413" s="38" t="n"/>
      <c r="B1413" s="39" t="n"/>
      <c r="C1413" s="34" t="n"/>
      <c r="D1413" s="34" t="n"/>
      <c r="E1413" s="34" t="n"/>
      <c r="F1413" s="34" t="n"/>
      <c r="G1413" s="34" t="n"/>
      <c r="H1413" s="37" t="n"/>
      <c r="I1413" s="37" t="n"/>
      <c r="J1413" s="34" t="n"/>
      <c r="K1413" s="34" t="n"/>
      <c r="L1413" s="34" t="n"/>
      <c r="M1413" s="39" t="n"/>
      <c r="N1413" s="35" t="n"/>
      <c r="O1413" s="40" t="str">
        <f>IF($A1413="","",MONTH($A1413))</f>
        <v/>
      </c>
      <c r="P1413" s="40" t="str">
        <f>IF($A1413="","",YEAR($A1413))</f>
        <v/>
      </c>
      <c r="Q1413" s="41" t="str">
        <f>IF($A1413="","",DATE(P1413,O1413,1))</f>
        <v/>
      </c>
      <c r="R1413" s="36" t="str">
        <f>IF(OR($A1413="",$N1413=""),"",IF(AND($C1413&lt;&gt;"Transferência",N($I1413)&gt;1),$N1413/$I1413,$N1413))</f>
        <v/>
      </c>
      <c r="S1413" s="41" t="str">
        <f>IF(OR($A1413="",$F1413="",$C1413&lt;&gt;"Despesa"),"",IF(COUNTIF(Cartoes_Nome,$F1413)=0,"",DATE(P1413,O1413+IF(DAY($A1413)&gt;=INDEX(Cartoes_Fech,MATCH($F1413,Cartoes_Nome,0)),1,0),1)))</f>
        <v/>
      </c>
      <c r="T1413" s="42" t="str">
        <f>IF($A1413="","",IF(COUNTIFS(L_Data,$A1413,L_Desc,$B1413,L_Valor,$N1413,L_Tipo,$C1413)&gt;1,"⚠ Possível duplicidade",IF(OR(AND($C1413="Despesa",COUNTIF(CatD_Nome,$D1413)=0),AND($C1413="Receita",COUNTIF(CatR_Nome,$D1413)=0)),"⚠ Categoria não combina com o tipo",IF(OR($N1413="",$C1413=""),"⚠ Falta valor ou tipo",""))))</f>
        <v/>
      </c>
      <c r="U1413" s="40">
        <f>IF($A1413="",0,P1413*12+O1413)</f>
        <v>0</v>
      </c>
      <c r="V1413" s="40">
        <f>IF($A1413="",0,U1413+MAX(0,N($I1413)-MAX(N($H1413),1)))</f>
        <v>0</v>
      </c>
      <c r="W1413" s="40">
        <f>IF(S1413="",0,YEAR(S1413)*12+MONTH(S1413))</f>
        <v>0</v>
      </c>
      <c r="X1413" s="40">
        <f>IF(W1413=0,0,W1413+V1413-U1413)</f>
        <v>0</v>
      </c>
      <c r="Y1413" s="36">
        <f>IF(W1413=0,0,N(R1413)*MAX(0,X1413-MAX(W1413,YEAR(Cfg_Hoje)*12+MONTH(Cfg_Hoje)+IF(DAY(Cfg_Hoje)&gt;=INDEX(Cartoes_Fech,MATCH($F1413,Cartoes_Nome,0)),1,0))+1))</f>
        <v>0</v>
      </c>
      <c r="Z1413" s="40">
        <f>IF($A1413="",0,DAY($A1413))</f>
        <v>0</v>
      </c>
      <c r="AA1413" s="40">
        <f>IF($A1413="",0,WEEKDAY($A1413))</f>
        <v>0</v>
      </c>
      <c r="AB1413" s="36">
        <f>IF(AND($C1413="Despesa",U1413&gt;0,U1413&lt;=Sel_Idx,V1413&gt;=Sel_Idx),N(R1413)+ROW()/1000000000,0)</f>
        <v>0</v>
      </c>
      <c r="AC1413" s="40">
        <f>IF(AND($C1413="Despesa",U1413&gt;0,U1413&lt;=Sel_Idx,V1413&gt;=Sel_Idx),Z1413*10000+ROW(),0)</f>
        <v>0</v>
      </c>
      <c r="AD1413" s="40">
        <f>IF(AC1413=0,0,COUNTIFS(L_CalChave,"&gt;0",L_CalChave,"&lt;"&amp;AC1413)+1)</f>
        <v>0</v>
      </c>
    </row>
    <row r="1414">
      <c r="A1414" s="38" t="n"/>
      <c r="B1414" s="39" t="n"/>
      <c r="C1414" s="34" t="n"/>
      <c r="D1414" s="34" t="n"/>
      <c r="E1414" s="34" t="n"/>
      <c r="F1414" s="34" t="n"/>
      <c r="G1414" s="34" t="n"/>
      <c r="H1414" s="37" t="n"/>
      <c r="I1414" s="37" t="n"/>
      <c r="J1414" s="34" t="n"/>
      <c r="K1414" s="34" t="n"/>
      <c r="L1414" s="34" t="n"/>
      <c r="M1414" s="39" t="n"/>
      <c r="N1414" s="35" t="n"/>
      <c r="O1414" s="40" t="str">
        <f>IF($A1414="","",MONTH($A1414))</f>
        <v/>
      </c>
      <c r="P1414" s="40" t="str">
        <f>IF($A1414="","",YEAR($A1414))</f>
        <v/>
      </c>
      <c r="Q1414" s="41" t="str">
        <f>IF($A1414="","",DATE(P1414,O1414,1))</f>
        <v/>
      </c>
      <c r="R1414" s="36" t="str">
        <f>IF(OR($A1414="",$N1414=""),"",IF(AND($C1414&lt;&gt;"Transferência",N($I1414)&gt;1),$N1414/$I1414,$N1414))</f>
        <v/>
      </c>
      <c r="S1414" s="41" t="str">
        <f>IF(OR($A1414="",$F1414="",$C1414&lt;&gt;"Despesa"),"",IF(COUNTIF(Cartoes_Nome,$F1414)=0,"",DATE(P1414,O1414+IF(DAY($A1414)&gt;=INDEX(Cartoes_Fech,MATCH($F1414,Cartoes_Nome,0)),1,0),1)))</f>
        <v/>
      </c>
      <c r="T1414" s="42" t="str">
        <f>IF($A1414="","",IF(COUNTIFS(L_Data,$A1414,L_Desc,$B1414,L_Valor,$N1414,L_Tipo,$C1414)&gt;1,"⚠ Possível duplicidade",IF(OR(AND($C1414="Despesa",COUNTIF(CatD_Nome,$D1414)=0),AND($C1414="Receita",COUNTIF(CatR_Nome,$D1414)=0)),"⚠ Categoria não combina com o tipo",IF(OR($N1414="",$C1414=""),"⚠ Falta valor ou tipo",""))))</f>
        <v/>
      </c>
      <c r="U1414" s="40">
        <f>IF($A1414="",0,P1414*12+O1414)</f>
        <v>0</v>
      </c>
      <c r="V1414" s="40">
        <f>IF($A1414="",0,U1414+MAX(0,N($I1414)-MAX(N($H1414),1)))</f>
        <v>0</v>
      </c>
      <c r="W1414" s="40">
        <f>IF(S1414="",0,YEAR(S1414)*12+MONTH(S1414))</f>
        <v>0</v>
      </c>
      <c r="X1414" s="40">
        <f>IF(W1414=0,0,W1414+V1414-U1414)</f>
        <v>0</v>
      </c>
      <c r="Y1414" s="36">
        <f>IF(W1414=0,0,N(R1414)*MAX(0,X1414-MAX(W1414,YEAR(Cfg_Hoje)*12+MONTH(Cfg_Hoje)+IF(DAY(Cfg_Hoje)&gt;=INDEX(Cartoes_Fech,MATCH($F1414,Cartoes_Nome,0)),1,0))+1))</f>
        <v>0</v>
      </c>
      <c r="Z1414" s="40">
        <f>IF($A1414="",0,DAY($A1414))</f>
        <v>0</v>
      </c>
      <c r="AA1414" s="40">
        <f>IF($A1414="",0,WEEKDAY($A1414))</f>
        <v>0</v>
      </c>
      <c r="AB1414" s="36">
        <f>IF(AND($C1414="Despesa",U1414&gt;0,U1414&lt;=Sel_Idx,V1414&gt;=Sel_Idx),N(R1414)+ROW()/1000000000,0)</f>
        <v>0</v>
      </c>
      <c r="AC1414" s="40">
        <f>IF(AND($C1414="Despesa",U1414&gt;0,U1414&lt;=Sel_Idx,V1414&gt;=Sel_Idx),Z1414*10000+ROW(),0)</f>
        <v>0</v>
      </c>
      <c r="AD1414" s="40">
        <f>IF(AC1414=0,0,COUNTIFS(L_CalChave,"&gt;0",L_CalChave,"&lt;"&amp;AC1414)+1)</f>
        <v>0</v>
      </c>
    </row>
    <row r="1415">
      <c r="A1415" s="38" t="n"/>
      <c r="B1415" s="39" t="n"/>
      <c r="C1415" s="34" t="n"/>
      <c r="D1415" s="34" t="n"/>
      <c r="E1415" s="34" t="n"/>
      <c r="F1415" s="34" t="n"/>
      <c r="G1415" s="34" t="n"/>
      <c r="H1415" s="37" t="n"/>
      <c r="I1415" s="37" t="n"/>
      <c r="J1415" s="34" t="n"/>
      <c r="K1415" s="34" t="n"/>
      <c r="L1415" s="34" t="n"/>
      <c r="M1415" s="39" t="n"/>
      <c r="N1415" s="35" t="n"/>
      <c r="O1415" s="40" t="str">
        <f>IF($A1415="","",MONTH($A1415))</f>
        <v/>
      </c>
      <c r="P1415" s="40" t="str">
        <f>IF($A1415="","",YEAR($A1415))</f>
        <v/>
      </c>
      <c r="Q1415" s="41" t="str">
        <f>IF($A1415="","",DATE(P1415,O1415,1))</f>
        <v/>
      </c>
      <c r="R1415" s="36" t="str">
        <f>IF(OR($A1415="",$N1415=""),"",IF(AND($C1415&lt;&gt;"Transferência",N($I1415)&gt;1),$N1415/$I1415,$N1415))</f>
        <v/>
      </c>
      <c r="S1415" s="41" t="str">
        <f>IF(OR($A1415="",$F1415="",$C1415&lt;&gt;"Despesa"),"",IF(COUNTIF(Cartoes_Nome,$F1415)=0,"",DATE(P1415,O1415+IF(DAY($A1415)&gt;=INDEX(Cartoes_Fech,MATCH($F1415,Cartoes_Nome,0)),1,0),1)))</f>
        <v/>
      </c>
      <c r="T1415" s="42" t="str">
        <f>IF($A1415="","",IF(COUNTIFS(L_Data,$A1415,L_Desc,$B1415,L_Valor,$N1415,L_Tipo,$C1415)&gt;1,"⚠ Possível duplicidade",IF(OR(AND($C1415="Despesa",COUNTIF(CatD_Nome,$D1415)=0),AND($C1415="Receita",COUNTIF(CatR_Nome,$D1415)=0)),"⚠ Categoria não combina com o tipo",IF(OR($N1415="",$C1415=""),"⚠ Falta valor ou tipo",""))))</f>
        <v/>
      </c>
      <c r="U1415" s="40">
        <f>IF($A1415="",0,P1415*12+O1415)</f>
        <v>0</v>
      </c>
      <c r="V1415" s="40">
        <f>IF($A1415="",0,U1415+MAX(0,N($I1415)-MAX(N($H1415),1)))</f>
        <v>0</v>
      </c>
      <c r="W1415" s="40">
        <f>IF(S1415="",0,YEAR(S1415)*12+MONTH(S1415))</f>
        <v>0</v>
      </c>
      <c r="X1415" s="40">
        <f>IF(W1415=0,0,W1415+V1415-U1415)</f>
        <v>0</v>
      </c>
      <c r="Y1415" s="36">
        <f>IF(W1415=0,0,N(R1415)*MAX(0,X1415-MAX(W1415,YEAR(Cfg_Hoje)*12+MONTH(Cfg_Hoje)+IF(DAY(Cfg_Hoje)&gt;=INDEX(Cartoes_Fech,MATCH($F1415,Cartoes_Nome,0)),1,0))+1))</f>
        <v>0</v>
      </c>
      <c r="Z1415" s="40">
        <f>IF($A1415="",0,DAY($A1415))</f>
        <v>0</v>
      </c>
      <c r="AA1415" s="40">
        <f>IF($A1415="",0,WEEKDAY($A1415))</f>
        <v>0</v>
      </c>
      <c r="AB1415" s="36">
        <f>IF(AND($C1415="Despesa",U1415&gt;0,U1415&lt;=Sel_Idx,V1415&gt;=Sel_Idx),N(R1415)+ROW()/1000000000,0)</f>
        <v>0</v>
      </c>
      <c r="AC1415" s="40">
        <f>IF(AND($C1415="Despesa",U1415&gt;0,U1415&lt;=Sel_Idx,V1415&gt;=Sel_Idx),Z1415*10000+ROW(),0)</f>
        <v>0</v>
      </c>
      <c r="AD1415" s="40">
        <f>IF(AC1415=0,0,COUNTIFS(L_CalChave,"&gt;0",L_CalChave,"&lt;"&amp;AC1415)+1)</f>
        <v>0</v>
      </c>
    </row>
    <row r="1416">
      <c r="A1416" s="38" t="n"/>
      <c r="B1416" s="39" t="n"/>
      <c r="C1416" s="34" t="n"/>
      <c r="D1416" s="34" t="n"/>
      <c r="E1416" s="34" t="n"/>
      <c r="F1416" s="34" t="n"/>
      <c r="G1416" s="34" t="n"/>
      <c r="H1416" s="37" t="n"/>
      <c r="I1416" s="37" t="n"/>
      <c r="J1416" s="34" t="n"/>
      <c r="K1416" s="34" t="n"/>
      <c r="L1416" s="34" t="n"/>
      <c r="M1416" s="39" t="n"/>
      <c r="N1416" s="35" t="n"/>
      <c r="O1416" s="40" t="str">
        <f>IF($A1416="","",MONTH($A1416))</f>
        <v/>
      </c>
      <c r="P1416" s="40" t="str">
        <f>IF($A1416="","",YEAR($A1416))</f>
        <v/>
      </c>
      <c r="Q1416" s="41" t="str">
        <f>IF($A1416="","",DATE(P1416,O1416,1))</f>
        <v/>
      </c>
      <c r="R1416" s="36" t="str">
        <f>IF(OR($A1416="",$N1416=""),"",IF(AND($C1416&lt;&gt;"Transferência",N($I1416)&gt;1),$N1416/$I1416,$N1416))</f>
        <v/>
      </c>
      <c r="S1416" s="41" t="str">
        <f>IF(OR($A1416="",$F1416="",$C1416&lt;&gt;"Despesa"),"",IF(COUNTIF(Cartoes_Nome,$F1416)=0,"",DATE(P1416,O1416+IF(DAY($A1416)&gt;=INDEX(Cartoes_Fech,MATCH($F1416,Cartoes_Nome,0)),1,0),1)))</f>
        <v/>
      </c>
      <c r="T1416" s="42" t="str">
        <f>IF($A1416="","",IF(COUNTIFS(L_Data,$A1416,L_Desc,$B1416,L_Valor,$N1416,L_Tipo,$C1416)&gt;1,"⚠ Possível duplicidade",IF(OR(AND($C1416="Despesa",COUNTIF(CatD_Nome,$D1416)=0),AND($C1416="Receita",COUNTIF(CatR_Nome,$D1416)=0)),"⚠ Categoria não combina com o tipo",IF(OR($N1416="",$C1416=""),"⚠ Falta valor ou tipo",""))))</f>
        <v/>
      </c>
      <c r="U1416" s="40">
        <f>IF($A1416="",0,P1416*12+O1416)</f>
        <v>0</v>
      </c>
      <c r="V1416" s="40">
        <f>IF($A1416="",0,U1416+MAX(0,N($I1416)-MAX(N($H1416),1)))</f>
        <v>0</v>
      </c>
      <c r="W1416" s="40">
        <f>IF(S1416="",0,YEAR(S1416)*12+MONTH(S1416))</f>
        <v>0</v>
      </c>
      <c r="X1416" s="40">
        <f>IF(W1416=0,0,W1416+V1416-U1416)</f>
        <v>0</v>
      </c>
      <c r="Y1416" s="36">
        <f>IF(W1416=0,0,N(R1416)*MAX(0,X1416-MAX(W1416,YEAR(Cfg_Hoje)*12+MONTH(Cfg_Hoje)+IF(DAY(Cfg_Hoje)&gt;=INDEX(Cartoes_Fech,MATCH($F1416,Cartoes_Nome,0)),1,0))+1))</f>
        <v>0</v>
      </c>
      <c r="Z1416" s="40">
        <f>IF($A1416="",0,DAY($A1416))</f>
        <v>0</v>
      </c>
      <c r="AA1416" s="40">
        <f>IF($A1416="",0,WEEKDAY($A1416))</f>
        <v>0</v>
      </c>
      <c r="AB1416" s="36">
        <f>IF(AND($C1416="Despesa",U1416&gt;0,U1416&lt;=Sel_Idx,V1416&gt;=Sel_Idx),N(R1416)+ROW()/1000000000,0)</f>
        <v>0</v>
      </c>
      <c r="AC1416" s="40">
        <f>IF(AND($C1416="Despesa",U1416&gt;0,U1416&lt;=Sel_Idx,V1416&gt;=Sel_Idx),Z1416*10000+ROW(),0)</f>
        <v>0</v>
      </c>
      <c r="AD1416" s="40">
        <f>IF(AC1416=0,0,COUNTIFS(L_CalChave,"&gt;0",L_CalChave,"&lt;"&amp;AC1416)+1)</f>
        <v>0</v>
      </c>
    </row>
    <row r="1417">
      <c r="A1417" s="38" t="n"/>
      <c r="B1417" s="39" t="n"/>
      <c r="C1417" s="34" t="n"/>
      <c r="D1417" s="34" t="n"/>
      <c r="E1417" s="34" t="n"/>
      <c r="F1417" s="34" t="n"/>
      <c r="G1417" s="34" t="n"/>
      <c r="H1417" s="37" t="n"/>
      <c r="I1417" s="37" t="n"/>
      <c r="J1417" s="34" t="n"/>
      <c r="K1417" s="34" t="n"/>
      <c r="L1417" s="34" t="n"/>
      <c r="M1417" s="39" t="n"/>
      <c r="N1417" s="35" t="n"/>
      <c r="O1417" s="40" t="str">
        <f>IF($A1417="","",MONTH($A1417))</f>
        <v/>
      </c>
      <c r="P1417" s="40" t="str">
        <f>IF($A1417="","",YEAR($A1417))</f>
        <v/>
      </c>
      <c r="Q1417" s="41" t="str">
        <f>IF($A1417="","",DATE(P1417,O1417,1))</f>
        <v/>
      </c>
      <c r="R1417" s="36" t="str">
        <f>IF(OR($A1417="",$N1417=""),"",IF(AND($C1417&lt;&gt;"Transferência",N($I1417)&gt;1),$N1417/$I1417,$N1417))</f>
        <v/>
      </c>
      <c r="S1417" s="41" t="str">
        <f>IF(OR($A1417="",$F1417="",$C1417&lt;&gt;"Despesa"),"",IF(COUNTIF(Cartoes_Nome,$F1417)=0,"",DATE(P1417,O1417+IF(DAY($A1417)&gt;=INDEX(Cartoes_Fech,MATCH($F1417,Cartoes_Nome,0)),1,0),1)))</f>
        <v/>
      </c>
      <c r="T1417" s="42" t="str">
        <f>IF($A1417="","",IF(COUNTIFS(L_Data,$A1417,L_Desc,$B1417,L_Valor,$N1417,L_Tipo,$C1417)&gt;1,"⚠ Possível duplicidade",IF(OR(AND($C1417="Despesa",COUNTIF(CatD_Nome,$D1417)=0),AND($C1417="Receita",COUNTIF(CatR_Nome,$D1417)=0)),"⚠ Categoria não combina com o tipo",IF(OR($N1417="",$C1417=""),"⚠ Falta valor ou tipo",""))))</f>
        <v/>
      </c>
      <c r="U1417" s="40">
        <f>IF($A1417="",0,P1417*12+O1417)</f>
        <v>0</v>
      </c>
      <c r="V1417" s="40">
        <f>IF($A1417="",0,U1417+MAX(0,N($I1417)-MAX(N($H1417),1)))</f>
        <v>0</v>
      </c>
      <c r="W1417" s="40">
        <f>IF(S1417="",0,YEAR(S1417)*12+MONTH(S1417))</f>
        <v>0</v>
      </c>
      <c r="X1417" s="40">
        <f>IF(W1417=0,0,W1417+V1417-U1417)</f>
        <v>0</v>
      </c>
      <c r="Y1417" s="36">
        <f>IF(W1417=0,0,N(R1417)*MAX(0,X1417-MAX(W1417,YEAR(Cfg_Hoje)*12+MONTH(Cfg_Hoje)+IF(DAY(Cfg_Hoje)&gt;=INDEX(Cartoes_Fech,MATCH($F1417,Cartoes_Nome,0)),1,0))+1))</f>
        <v>0</v>
      </c>
      <c r="Z1417" s="40">
        <f>IF($A1417="",0,DAY($A1417))</f>
        <v>0</v>
      </c>
      <c r="AA1417" s="40">
        <f>IF($A1417="",0,WEEKDAY($A1417))</f>
        <v>0</v>
      </c>
      <c r="AB1417" s="36">
        <f>IF(AND($C1417="Despesa",U1417&gt;0,U1417&lt;=Sel_Idx,V1417&gt;=Sel_Idx),N(R1417)+ROW()/1000000000,0)</f>
        <v>0</v>
      </c>
      <c r="AC1417" s="40">
        <f>IF(AND($C1417="Despesa",U1417&gt;0,U1417&lt;=Sel_Idx,V1417&gt;=Sel_Idx),Z1417*10000+ROW(),0)</f>
        <v>0</v>
      </c>
      <c r="AD1417" s="40">
        <f>IF(AC1417=0,0,COUNTIFS(L_CalChave,"&gt;0",L_CalChave,"&lt;"&amp;AC1417)+1)</f>
        <v>0</v>
      </c>
    </row>
    <row r="1418">
      <c r="A1418" s="38" t="n"/>
      <c r="B1418" s="39" t="n"/>
      <c r="C1418" s="34" t="n"/>
      <c r="D1418" s="34" t="n"/>
      <c r="E1418" s="34" t="n"/>
      <c r="F1418" s="34" t="n"/>
      <c r="G1418" s="34" t="n"/>
      <c r="H1418" s="37" t="n"/>
      <c r="I1418" s="37" t="n"/>
      <c r="J1418" s="34" t="n"/>
      <c r="K1418" s="34" t="n"/>
      <c r="L1418" s="34" t="n"/>
      <c r="M1418" s="39" t="n"/>
      <c r="N1418" s="35" t="n"/>
      <c r="O1418" s="40" t="str">
        <f>IF($A1418="","",MONTH($A1418))</f>
        <v/>
      </c>
      <c r="P1418" s="40" t="str">
        <f>IF($A1418="","",YEAR($A1418))</f>
        <v/>
      </c>
      <c r="Q1418" s="41" t="str">
        <f>IF($A1418="","",DATE(P1418,O1418,1))</f>
        <v/>
      </c>
      <c r="R1418" s="36" t="str">
        <f>IF(OR($A1418="",$N1418=""),"",IF(AND($C1418&lt;&gt;"Transferência",N($I1418)&gt;1),$N1418/$I1418,$N1418))</f>
        <v/>
      </c>
      <c r="S1418" s="41" t="str">
        <f>IF(OR($A1418="",$F1418="",$C1418&lt;&gt;"Despesa"),"",IF(COUNTIF(Cartoes_Nome,$F1418)=0,"",DATE(P1418,O1418+IF(DAY($A1418)&gt;=INDEX(Cartoes_Fech,MATCH($F1418,Cartoes_Nome,0)),1,0),1)))</f>
        <v/>
      </c>
      <c r="T1418" s="42" t="str">
        <f>IF($A1418="","",IF(COUNTIFS(L_Data,$A1418,L_Desc,$B1418,L_Valor,$N1418,L_Tipo,$C1418)&gt;1,"⚠ Possível duplicidade",IF(OR(AND($C1418="Despesa",COUNTIF(CatD_Nome,$D1418)=0),AND($C1418="Receita",COUNTIF(CatR_Nome,$D1418)=0)),"⚠ Categoria não combina com o tipo",IF(OR($N1418="",$C1418=""),"⚠ Falta valor ou tipo",""))))</f>
        <v/>
      </c>
      <c r="U1418" s="40">
        <f>IF($A1418="",0,P1418*12+O1418)</f>
        <v>0</v>
      </c>
      <c r="V1418" s="40">
        <f>IF($A1418="",0,U1418+MAX(0,N($I1418)-MAX(N($H1418),1)))</f>
        <v>0</v>
      </c>
      <c r="W1418" s="40">
        <f>IF(S1418="",0,YEAR(S1418)*12+MONTH(S1418))</f>
        <v>0</v>
      </c>
      <c r="X1418" s="40">
        <f>IF(W1418=0,0,W1418+V1418-U1418)</f>
        <v>0</v>
      </c>
      <c r="Y1418" s="36">
        <f>IF(W1418=0,0,N(R1418)*MAX(0,X1418-MAX(W1418,YEAR(Cfg_Hoje)*12+MONTH(Cfg_Hoje)+IF(DAY(Cfg_Hoje)&gt;=INDEX(Cartoes_Fech,MATCH($F1418,Cartoes_Nome,0)),1,0))+1))</f>
        <v>0</v>
      </c>
      <c r="Z1418" s="40">
        <f>IF($A1418="",0,DAY($A1418))</f>
        <v>0</v>
      </c>
      <c r="AA1418" s="40">
        <f>IF($A1418="",0,WEEKDAY($A1418))</f>
        <v>0</v>
      </c>
      <c r="AB1418" s="36">
        <f>IF(AND($C1418="Despesa",U1418&gt;0,U1418&lt;=Sel_Idx,V1418&gt;=Sel_Idx),N(R1418)+ROW()/1000000000,0)</f>
        <v>0</v>
      </c>
      <c r="AC1418" s="40">
        <f>IF(AND($C1418="Despesa",U1418&gt;0,U1418&lt;=Sel_Idx,V1418&gt;=Sel_Idx),Z1418*10000+ROW(),0)</f>
        <v>0</v>
      </c>
      <c r="AD1418" s="40">
        <f>IF(AC1418=0,0,COUNTIFS(L_CalChave,"&gt;0",L_CalChave,"&lt;"&amp;AC1418)+1)</f>
        <v>0</v>
      </c>
    </row>
    <row r="1419">
      <c r="A1419" s="38" t="n"/>
      <c r="B1419" s="39" t="n"/>
      <c r="C1419" s="34" t="n"/>
      <c r="D1419" s="34" t="n"/>
      <c r="E1419" s="34" t="n"/>
      <c r="F1419" s="34" t="n"/>
      <c r="G1419" s="34" t="n"/>
      <c r="H1419" s="37" t="n"/>
      <c r="I1419" s="37" t="n"/>
      <c r="J1419" s="34" t="n"/>
      <c r="K1419" s="34" t="n"/>
      <c r="L1419" s="34" t="n"/>
      <c r="M1419" s="39" t="n"/>
      <c r="N1419" s="35" t="n"/>
      <c r="O1419" s="40" t="str">
        <f>IF($A1419="","",MONTH($A1419))</f>
        <v/>
      </c>
      <c r="P1419" s="40" t="str">
        <f>IF($A1419="","",YEAR($A1419))</f>
        <v/>
      </c>
      <c r="Q1419" s="41" t="str">
        <f>IF($A1419="","",DATE(P1419,O1419,1))</f>
        <v/>
      </c>
      <c r="R1419" s="36" t="str">
        <f>IF(OR($A1419="",$N1419=""),"",IF(AND($C1419&lt;&gt;"Transferência",N($I1419)&gt;1),$N1419/$I1419,$N1419))</f>
        <v/>
      </c>
      <c r="S1419" s="41" t="str">
        <f>IF(OR($A1419="",$F1419="",$C1419&lt;&gt;"Despesa"),"",IF(COUNTIF(Cartoes_Nome,$F1419)=0,"",DATE(P1419,O1419+IF(DAY($A1419)&gt;=INDEX(Cartoes_Fech,MATCH($F1419,Cartoes_Nome,0)),1,0),1)))</f>
        <v/>
      </c>
      <c r="T1419" s="42" t="str">
        <f>IF($A1419="","",IF(COUNTIFS(L_Data,$A1419,L_Desc,$B1419,L_Valor,$N1419,L_Tipo,$C1419)&gt;1,"⚠ Possível duplicidade",IF(OR(AND($C1419="Despesa",COUNTIF(CatD_Nome,$D1419)=0),AND($C1419="Receita",COUNTIF(CatR_Nome,$D1419)=0)),"⚠ Categoria não combina com o tipo",IF(OR($N1419="",$C1419=""),"⚠ Falta valor ou tipo",""))))</f>
        <v/>
      </c>
      <c r="U1419" s="40">
        <f>IF($A1419="",0,P1419*12+O1419)</f>
        <v>0</v>
      </c>
      <c r="V1419" s="40">
        <f>IF($A1419="",0,U1419+MAX(0,N($I1419)-MAX(N($H1419),1)))</f>
        <v>0</v>
      </c>
      <c r="W1419" s="40">
        <f>IF(S1419="",0,YEAR(S1419)*12+MONTH(S1419))</f>
        <v>0</v>
      </c>
      <c r="X1419" s="40">
        <f>IF(W1419=0,0,W1419+V1419-U1419)</f>
        <v>0</v>
      </c>
      <c r="Y1419" s="36">
        <f>IF(W1419=0,0,N(R1419)*MAX(0,X1419-MAX(W1419,YEAR(Cfg_Hoje)*12+MONTH(Cfg_Hoje)+IF(DAY(Cfg_Hoje)&gt;=INDEX(Cartoes_Fech,MATCH($F1419,Cartoes_Nome,0)),1,0))+1))</f>
        <v>0</v>
      </c>
      <c r="Z1419" s="40">
        <f>IF($A1419="",0,DAY($A1419))</f>
        <v>0</v>
      </c>
      <c r="AA1419" s="40">
        <f>IF($A1419="",0,WEEKDAY($A1419))</f>
        <v>0</v>
      </c>
      <c r="AB1419" s="36">
        <f>IF(AND($C1419="Despesa",U1419&gt;0,U1419&lt;=Sel_Idx,V1419&gt;=Sel_Idx),N(R1419)+ROW()/1000000000,0)</f>
        <v>0</v>
      </c>
      <c r="AC1419" s="40">
        <f>IF(AND($C1419="Despesa",U1419&gt;0,U1419&lt;=Sel_Idx,V1419&gt;=Sel_Idx),Z1419*10000+ROW(),0)</f>
        <v>0</v>
      </c>
      <c r="AD1419" s="40">
        <f>IF(AC1419=0,0,COUNTIFS(L_CalChave,"&gt;0",L_CalChave,"&lt;"&amp;AC1419)+1)</f>
        <v>0</v>
      </c>
    </row>
    <row r="1420">
      <c r="A1420" s="38" t="n"/>
      <c r="B1420" s="39" t="n"/>
      <c r="C1420" s="34" t="n"/>
      <c r="D1420" s="34" t="n"/>
      <c r="E1420" s="34" t="n"/>
      <c r="F1420" s="34" t="n"/>
      <c r="G1420" s="34" t="n"/>
      <c r="H1420" s="37" t="n"/>
      <c r="I1420" s="37" t="n"/>
      <c r="J1420" s="34" t="n"/>
      <c r="K1420" s="34" t="n"/>
      <c r="L1420" s="34" t="n"/>
      <c r="M1420" s="39" t="n"/>
      <c r="N1420" s="35" t="n"/>
      <c r="O1420" s="40" t="str">
        <f>IF($A1420="","",MONTH($A1420))</f>
        <v/>
      </c>
      <c r="P1420" s="40" t="str">
        <f>IF($A1420="","",YEAR($A1420))</f>
        <v/>
      </c>
      <c r="Q1420" s="41" t="str">
        <f>IF($A1420="","",DATE(P1420,O1420,1))</f>
        <v/>
      </c>
      <c r="R1420" s="36" t="str">
        <f>IF(OR($A1420="",$N1420=""),"",IF(AND($C1420&lt;&gt;"Transferência",N($I1420)&gt;1),$N1420/$I1420,$N1420))</f>
        <v/>
      </c>
      <c r="S1420" s="41" t="str">
        <f>IF(OR($A1420="",$F1420="",$C1420&lt;&gt;"Despesa"),"",IF(COUNTIF(Cartoes_Nome,$F1420)=0,"",DATE(P1420,O1420+IF(DAY($A1420)&gt;=INDEX(Cartoes_Fech,MATCH($F1420,Cartoes_Nome,0)),1,0),1)))</f>
        <v/>
      </c>
      <c r="T1420" s="42" t="str">
        <f>IF($A1420="","",IF(COUNTIFS(L_Data,$A1420,L_Desc,$B1420,L_Valor,$N1420,L_Tipo,$C1420)&gt;1,"⚠ Possível duplicidade",IF(OR(AND($C1420="Despesa",COUNTIF(CatD_Nome,$D1420)=0),AND($C1420="Receita",COUNTIF(CatR_Nome,$D1420)=0)),"⚠ Categoria não combina com o tipo",IF(OR($N1420="",$C1420=""),"⚠ Falta valor ou tipo",""))))</f>
        <v/>
      </c>
      <c r="U1420" s="40">
        <f>IF($A1420="",0,P1420*12+O1420)</f>
        <v>0</v>
      </c>
      <c r="V1420" s="40">
        <f>IF($A1420="",0,U1420+MAX(0,N($I1420)-MAX(N($H1420),1)))</f>
        <v>0</v>
      </c>
      <c r="W1420" s="40">
        <f>IF(S1420="",0,YEAR(S1420)*12+MONTH(S1420))</f>
        <v>0</v>
      </c>
      <c r="X1420" s="40">
        <f>IF(W1420=0,0,W1420+V1420-U1420)</f>
        <v>0</v>
      </c>
      <c r="Y1420" s="36">
        <f>IF(W1420=0,0,N(R1420)*MAX(0,X1420-MAX(W1420,YEAR(Cfg_Hoje)*12+MONTH(Cfg_Hoje)+IF(DAY(Cfg_Hoje)&gt;=INDEX(Cartoes_Fech,MATCH($F1420,Cartoes_Nome,0)),1,0))+1))</f>
        <v>0</v>
      </c>
      <c r="Z1420" s="40">
        <f>IF($A1420="",0,DAY($A1420))</f>
        <v>0</v>
      </c>
      <c r="AA1420" s="40">
        <f>IF($A1420="",0,WEEKDAY($A1420))</f>
        <v>0</v>
      </c>
      <c r="AB1420" s="36">
        <f>IF(AND($C1420="Despesa",U1420&gt;0,U1420&lt;=Sel_Idx,V1420&gt;=Sel_Idx),N(R1420)+ROW()/1000000000,0)</f>
        <v>0</v>
      </c>
      <c r="AC1420" s="40">
        <f>IF(AND($C1420="Despesa",U1420&gt;0,U1420&lt;=Sel_Idx,V1420&gt;=Sel_Idx),Z1420*10000+ROW(),0)</f>
        <v>0</v>
      </c>
      <c r="AD1420" s="40">
        <f>IF(AC1420=0,0,COUNTIFS(L_CalChave,"&gt;0",L_CalChave,"&lt;"&amp;AC1420)+1)</f>
        <v>0</v>
      </c>
    </row>
    <row r="1421">
      <c r="A1421" s="38" t="n"/>
      <c r="B1421" s="39" t="n"/>
      <c r="C1421" s="34" t="n"/>
      <c r="D1421" s="34" t="n"/>
      <c r="E1421" s="34" t="n"/>
      <c r="F1421" s="34" t="n"/>
      <c r="G1421" s="34" t="n"/>
      <c r="H1421" s="37" t="n"/>
      <c r="I1421" s="37" t="n"/>
      <c r="J1421" s="34" t="n"/>
      <c r="K1421" s="34" t="n"/>
      <c r="L1421" s="34" t="n"/>
      <c r="M1421" s="39" t="n"/>
      <c r="N1421" s="35" t="n"/>
      <c r="O1421" s="40" t="str">
        <f>IF($A1421="","",MONTH($A1421))</f>
        <v/>
      </c>
      <c r="P1421" s="40" t="str">
        <f>IF($A1421="","",YEAR($A1421))</f>
        <v/>
      </c>
      <c r="Q1421" s="41" t="str">
        <f>IF($A1421="","",DATE(P1421,O1421,1))</f>
        <v/>
      </c>
      <c r="R1421" s="36" t="str">
        <f>IF(OR($A1421="",$N1421=""),"",IF(AND($C1421&lt;&gt;"Transferência",N($I1421)&gt;1),$N1421/$I1421,$N1421))</f>
        <v/>
      </c>
      <c r="S1421" s="41" t="str">
        <f>IF(OR($A1421="",$F1421="",$C1421&lt;&gt;"Despesa"),"",IF(COUNTIF(Cartoes_Nome,$F1421)=0,"",DATE(P1421,O1421+IF(DAY($A1421)&gt;=INDEX(Cartoes_Fech,MATCH($F1421,Cartoes_Nome,0)),1,0),1)))</f>
        <v/>
      </c>
      <c r="T1421" s="42" t="str">
        <f>IF($A1421="","",IF(COUNTIFS(L_Data,$A1421,L_Desc,$B1421,L_Valor,$N1421,L_Tipo,$C1421)&gt;1,"⚠ Possível duplicidade",IF(OR(AND($C1421="Despesa",COUNTIF(CatD_Nome,$D1421)=0),AND($C1421="Receita",COUNTIF(CatR_Nome,$D1421)=0)),"⚠ Categoria não combina com o tipo",IF(OR($N1421="",$C1421=""),"⚠ Falta valor ou tipo",""))))</f>
        <v/>
      </c>
      <c r="U1421" s="40">
        <f>IF($A1421="",0,P1421*12+O1421)</f>
        <v>0</v>
      </c>
      <c r="V1421" s="40">
        <f>IF($A1421="",0,U1421+MAX(0,N($I1421)-MAX(N($H1421),1)))</f>
        <v>0</v>
      </c>
      <c r="W1421" s="40">
        <f>IF(S1421="",0,YEAR(S1421)*12+MONTH(S1421))</f>
        <v>0</v>
      </c>
      <c r="X1421" s="40">
        <f>IF(W1421=0,0,W1421+V1421-U1421)</f>
        <v>0</v>
      </c>
      <c r="Y1421" s="36">
        <f>IF(W1421=0,0,N(R1421)*MAX(0,X1421-MAX(W1421,YEAR(Cfg_Hoje)*12+MONTH(Cfg_Hoje)+IF(DAY(Cfg_Hoje)&gt;=INDEX(Cartoes_Fech,MATCH($F1421,Cartoes_Nome,0)),1,0))+1))</f>
        <v>0</v>
      </c>
      <c r="Z1421" s="40">
        <f>IF($A1421="",0,DAY($A1421))</f>
        <v>0</v>
      </c>
      <c r="AA1421" s="40">
        <f>IF($A1421="",0,WEEKDAY($A1421))</f>
        <v>0</v>
      </c>
      <c r="AB1421" s="36">
        <f>IF(AND($C1421="Despesa",U1421&gt;0,U1421&lt;=Sel_Idx,V1421&gt;=Sel_Idx),N(R1421)+ROW()/1000000000,0)</f>
        <v>0</v>
      </c>
      <c r="AC1421" s="40">
        <f>IF(AND($C1421="Despesa",U1421&gt;0,U1421&lt;=Sel_Idx,V1421&gt;=Sel_Idx),Z1421*10000+ROW(),0)</f>
        <v>0</v>
      </c>
      <c r="AD1421" s="40">
        <f>IF(AC1421=0,0,COUNTIFS(L_CalChave,"&gt;0",L_CalChave,"&lt;"&amp;AC1421)+1)</f>
        <v>0</v>
      </c>
    </row>
    <row r="1422">
      <c r="A1422" s="38" t="n"/>
      <c r="B1422" s="39" t="n"/>
      <c r="C1422" s="34" t="n"/>
      <c r="D1422" s="34" t="n"/>
      <c r="E1422" s="34" t="n"/>
      <c r="F1422" s="34" t="n"/>
      <c r="G1422" s="34" t="n"/>
      <c r="H1422" s="37" t="n"/>
      <c r="I1422" s="37" t="n"/>
      <c r="J1422" s="34" t="n"/>
      <c r="K1422" s="34" t="n"/>
      <c r="L1422" s="34" t="n"/>
      <c r="M1422" s="39" t="n"/>
      <c r="N1422" s="35" t="n"/>
      <c r="O1422" s="40" t="str">
        <f>IF($A1422="","",MONTH($A1422))</f>
        <v/>
      </c>
      <c r="P1422" s="40" t="str">
        <f>IF($A1422="","",YEAR($A1422))</f>
        <v/>
      </c>
      <c r="Q1422" s="41" t="str">
        <f>IF($A1422="","",DATE(P1422,O1422,1))</f>
        <v/>
      </c>
      <c r="R1422" s="36" t="str">
        <f>IF(OR($A1422="",$N1422=""),"",IF(AND($C1422&lt;&gt;"Transferência",N($I1422)&gt;1),$N1422/$I1422,$N1422))</f>
        <v/>
      </c>
      <c r="S1422" s="41" t="str">
        <f>IF(OR($A1422="",$F1422="",$C1422&lt;&gt;"Despesa"),"",IF(COUNTIF(Cartoes_Nome,$F1422)=0,"",DATE(P1422,O1422+IF(DAY($A1422)&gt;=INDEX(Cartoes_Fech,MATCH($F1422,Cartoes_Nome,0)),1,0),1)))</f>
        <v/>
      </c>
      <c r="T1422" s="42" t="str">
        <f>IF($A1422="","",IF(COUNTIFS(L_Data,$A1422,L_Desc,$B1422,L_Valor,$N1422,L_Tipo,$C1422)&gt;1,"⚠ Possível duplicidade",IF(OR(AND($C1422="Despesa",COUNTIF(CatD_Nome,$D1422)=0),AND($C1422="Receita",COUNTIF(CatR_Nome,$D1422)=0)),"⚠ Categoria não combina com o tipo",IF(OR($N1422="",$C1422=""),"⚠ Falta valor ou tipo",""))))</f>
        <v/>
      </c>
      <c r="U1422" s="40">
        <f>IF($A1422="",0,P1422*12+O1422)</f>
        <v>0</v>
      </c>
      <c r="V1422" s="40">
        <f>IF($A1422="",0,U1422+MAX(0,N($I1422)-MAX(N($H1422),1)))</f>
        <v>0</v>
      </c>
      <c r="W1422" s="40">
        <f>IF(S1422="",0,YEAR(S1422)*12+MONTH(S1422))</f>
        <v>0</v>
      </c>
      <c r="X1422" s="40">
        <f>IF(W1422=0,0,W1422+V1422-U1422)</f>
        <v>0</v>
      </c>
      <c r="Y1422" s="36">
        <f>IF(W1422=0,0,N(R1422)*MAX(0,X1422-MAX(W1422,YEAR(Cfg_Hoje)*12+MONTH(Cfg_Hoje)+IF(DAY(Cfg_Hoje)&gt;=INDEX(Cartoes_Fech,MATCH($F1422,Cartoes_Nome,0)),1,0))+1))</f>
        <v>0</v>
      </c>
      <c r="Z1422" s="40">
        <f>IF($A1422="",0,DAY($A1422))</f>
        <v>0</v>
      </c>
      <c r="AA1422" s="40">
        <f>IF($A1422="",0,WEEKDAY($A1422))</f>
        <v>0</v>
      </c>
      <c r="AB1422" s="36">
        <f>IF(AND($C1422="Despesa",U1422&gt;0,U1422&lt;=Sel_Idx,V1422&gt;=Sel_Idx),N(R1422)+ROW()/1000000000,0)</f>
        <v>0</v>
      </c>
      <c r="AC1422" s="40">
        <f>IF(AND($C1422="Despesa",U1422&gt;0,U1422&lt;=Sel_Idx,V1422&gt;=Sel_Idx),Z1422*10000+ROW(),0)</f>
        <v>0</v>
      </c>
      <c r="AD1422" s="40">
        <f>IF(AC1422=0,0,COUNTIFS(L_CalChave,"&gt;0",L_CalChave,"&lt;"&amp;AC1422)+1)</f>
        <v>0</v>
      </c>
    </row>
    <row r="1423">
      <c r="A1423" s="38" t="n"/>
      <c r="B1423" s="39" t="n"/>
      <c r="C1423" s="34" t="n"/>
      <c r="D1423" s="34" t="n"/>
      <c r="E1423" s="34" t="n"/>
      <c r="F1423" s="34" t="n"/>
      <c r="G1423" s="34" t="n"/>
      <c r="H1423" s="37" t="n"/>
      <c r="I1423" s="37" t="n"/>
      <c r="J1423" s="34" t="n"/>
      <c r="K1423" s="34" t="n"/>
      <c r="L1423" s="34" t="n"/>
      <c r="M1423" s="39" t="n"/>
      <c r="N1423" s="35" t="n"/>
      <c r="O1423" s="40" t="str">
        <f>IF($A1423="","",MONTH($A1423))</f>
        <v/>
      </c>
      <c r="P1423" s="40" t="str">
        <f>IF($A1423="","",YEAR($A1423))</f>
        <v/>
      </c>
      <c r="Q1423" s="41" t="str">
        <f>IF($A1423="","",DATE(P1423,O1423,1))</f>
        <v/>
      </c>
      <c r="R1423" s="36" t="str">
        <f>IF(OR($A1423="",$N1423=""),"",IF(AND($C1423&lt;&gt;"Transferência",N($I1423)&gt;1),$N1423/$I1423,$N1423))</f>
        <v/>
      </c>
      <c r="S1423" s="41" t="str">
        <f>IF(OR($A1423="",$F1423="",$C1423&lt;&gt;"Despesa"),"",IF(COUNTIF(Cartoes_Nome,$F1423)=0,"",DATE(P1423,O1423+IF(DAY($A1423)&gt;=INDEX(Cartoes_Fech,MATCH($F1423,Cartoes_Nome,0)),1,0),1)))</f>
        <v/>
      </c>
      <c r="T1423" s="42" t="str">
        <f>IF($A1423="","",IF(COUNTIFS(L_Data,$A1423,L_Desc,$B1423,L_Valor,$N1423,L_Tipo,$C1423)&gt;1,"⚠ Possível duplicidade",IF(OR(AND($C1423="Despesa",COUNTIF(CatD_Nome,$D1423)=0),AND($C1423="Receita",COUNTIF(CatR_Nome,$D1423)=0)),"⚠ Categoria não combina com o tipo",IF(OR($N1423="",$C1423=""),"⚠ Falta valor ou tipo",""))))</f>
        <v/>
      </c>
      <c r="U1423" s="40">
        <f>IF($A1423="",0,P1423*12+O1423)</f>
        <v>0</v>
      </c>
      <c r="V1423" s="40">
        <f>IF($A1423="",0,U1423+MAX(0,N($I1423)-MAX(N($H1423),1)))</f>
        <v>0</v>
      </c>
      <c r="W1423" s="40">
        <f>IF(S1423="",0,YEAR(S1423)*12+MONTH(S1423))</f>
        <v>0</v>
      </c>
      <c r="X1423" s="40">
        <f>IF(W1423=0,0,W1423+V1423-U1423)</f>
        <v>0</v>
      </c>
      <c r="Y1423" s="36">
        <f>IF(W1423=0,0,N(R1423)*MAX(0,X1423-MAX(W1423,YEAR(Cfg_Hoje)*12+MONTH(Cfg_Hoje)+IF(DAY(Cfg_Hoje)&gt;=INDEX(Cartoes_Fech,MATCH($F1423,Cartoes_Nome,0)),1,0))+1))</f>
        <v>0</v>
      </c>
      <c r="Z1423" s="40">
        <f>IF($A1423="",0,DAY($A1423))</f>
        <v>0</v>
      </c>
      <c r="AA1423" s="40">
        <f>IF($A1423="",0,WEEKDAY($A1423))</f>
        <v>0</v>
      </c>
      <c r="AB1423" s="36">
        <f>IF(AND($C1423="Despesa",U1423&gt;0,U1423&lt;=Sel_Idx,V1423&gt;=Sel_Idx),N(R1423)+ROW()/1000000000,0)</f>
        <v>0</v>
      </c>
      <c r="AC1423" s="40">
        <f>IF(AND($C1423="Despesa",U1423&gt;0,U1423&lt;=Sel_Idx,V1423&gt;=Sel_Idx),Z1423*10000+ROW(),0)</f>
        <v>0</v>
      </c>
      <c r="AD1423" s="40">
        <f>IF(AC1423=0,0,COUNTIFS(L_CalChave,"&gt;0",L_CalChave,"&lt;"&amp;AC1423)+1)</f>
        <v>0</v>
      </c>
    </row>
    <row r="1424">
      <c r="A1424" s="38" t="n"/>
      <c r="B1424" s="39" t="n"/>
      <c r="C1424" s="34" t="n"/>
      <c r="D1424" s="34" t="n"/>
      <c r="E1424" s="34" t="n"/>
      <c r="F1424" s="34" t="n"/>
      <c r="G1424" s="34" t="n"/>
      <c r="H1424" s="37" t="n"/>
      <c r="I1424" s="37" t="n"/>
      <c r="J1424" s="34" t="n"/>
      <c r="K1424" s="34" t="n"/>
      <c r="L1424" s="34" t="n"/>
      <c r="M1424" s="39" t="n"/>
      <c r="N1424" s="35" t="n"/>
      <c r="O1424" s="40" t="str">
        <f>IF($A1424="","",MONTH($A1424))</f>
        <v/>
      </c>
      <c r="P1424" s="40" t="str">
        <f>IF($A1424="","",YEAR($A1424))</f>
        <v/>
      </c>
      <c r="Q1424" s="41" t="str">
        <f>IF($A1424="","",DATE(P1424,O1424,1))</f>
        <v/>
      </c>
      <c r="R1424" s="36" t="str">
        <f>IF(OR($A1424="",$N1424=""),"",IF(AND($C1424&lt;&gt;"Transferência",N($I1424)&gt;1),$N1424/$I1424,$N1424))</f>
        <v/>
      </c>
      <c r="S1424" s="41" t="str">
        <f>IF(OR($A1424="",$F1424="",$C1424&lt;&gt;"Despesa"),"",IF(COUNTIF(Cartoes_Nome,$F1424)=0,"",DATE(P1424,O1424+IF(DAY($A1424)&gt;=INDEX(Cartoes_Fech,MATCH($F1424,Cartoes_Nome,0)),1,0),1)))</f>
        <v/>
      </c>
      <c r="T1424" s="42" t="str">
        <f>IF($A1424="","",IF(COUNTIFS(L_Data,$A1424,L_Desc,$B1424,L_Valor,$N1424,L_Tipo,$C1424)&gt;1,"⚠ Possível duplicidade",IF(OR(AND($C1424="Despesa",COUNTIF(CatD_Nome,$D1424)=0),AND($C1424="Receita",COUNTIF(CatR_Nome,$D1424)=0)),"⚠ Categoria não combina com o tipo",IF(OR($N1424="",$C1424=""),"⚠ Falta valor ou tipo",""))))</f>
        <v/>
      </c>
      <c r="U1424" s="40">
        <f>IF($A1424="",0,P1424*12+O1424)</f>
        <v>0</v>
      </c>
      <c r="V1424" s="40">
        <f>IF($A1424="",0,U1424+MAX(0,N($I1424)-MAX(N($H1424),1)))</f>
        <v>0</v>
      </c>
      <c r="W1424" s="40">
        <f>IF(S1424="",0,YEAR(S1424)*12+MONTH(S1424))</f>
        <v>0</v>
      </c>
      <c r="X1424" s="40">
        <f>IF(W1424=0,0,W1424+V1424-U1424)</f>
        <v>0</v>
      </c>
      <c r="Y1424" s="36">
        <f>IF(W1424=0,0,N(R1424)*MAX(0,X1424-MAX(W1424,YEAR(Cfg_Hoje)*12+MONTH(Cfg_Hoje)+IF(DAY(Cfg_Hoje)&gt;=INDEX(Cartoes_Fech,MATCH($F1424,Cartoes_Nome,0)),1,0))+1))</f>
        <v>0</v>
      </c>
      <c r="Z1424" s="40">
        <f>IF($A1424="",0,DAY($A1424))</f>
        <v>0</v>
      </c>
      <c r="AA1424" s="40">
        <f>IF($A1424="",0,WEEKDAY($A1424))</f>
        <v>0</v>
      </c>
      <c r="AB1424" s="36">
        <f>IF(AND($C1424="Despesa",U1424&gt;0,U1424&lt;=Sel_Idx,V1424&gt;=Sel_Idx),N(R1424)+ROW()/1000000000,0)</f>
        <v>0</v>
      </c>
      <c r="AC1424" s="40">
        <f>IF(AND($C1424="Despesa",U1424&gt;0,U1424&lt;=Sel_Idx,V1424&gt;=Sel_Idx),Z1424*10000+ROW(),0)</f>
        <v>0</v>
      </c>
      <c r="AD1424" s="40">
        <f>IF(AC1424=0,0,COUNTIFS(L_CalChave,"&gt;0",L_CalChave,"&lt;"&amp;AC1424)+1)</f>
        <v>0</v>
      </c>
    </row>
    <row r="1425">
      <c r="A1425" s="38" t="n"/>
      <c r="B1425" s="39" t="n"/>
      <c r="C1425" s="34" t="n"/>
      <c r="D1425" s="34" t="n"/>
      <c r="E1425" s="34" t="n"/>
      <c r="F1425" s="34" t="n"/>
      <c r="G1425" s="34" t="n"/>
      <c r="H1425" s="37" t="n"/>
      <c r="I1425" s="37" t="n"/>
      <c r="J1425" s="34" t="n"/>
      <c r="K1425" s="34" t="n"/>
      <c r="L1425" s="34" t="n"/>
      <c r="M1425" s="39" t="n"/>
      <c r="N1425" s="35" t="n"/>
      <c r="O1425" s="40" t="str">
        <f>IF($A1425="","",MONTH($A1425))</f>
        <v/>
      </c>
      <c r="P1425" s="40" t="str">
        <f>IF($A1425="","",YEAR($A1425))</f>
        <v/>
      </c>
      <c r="Q1425" s="41" t="str">
        <f>IF($A1425="","",DATE(P1425,O1425,1))</f>
        <v/>
      </c>
      <c r="R1425" s="36" t="str">
        <f>IF(OR($A1425="",$N1425=""),"",IF(AND($C1425&lt;&gt;"Transferência",N($I1425)&gt;1),$N1425/$I1425,$N1425))</f>
        <v/>
      </c>
      <c r="S1425" s="41" t="str">
        <f>IF(OR($A1425="",$F1425="",$C1425&lt;&gt;"Despesa"),"",IF(COUNTIF(Cartoes_Nome,$F1425)=0,"",DATE(P1425,O1425+IF(DAY($A1425)&gt;=INDEX(Cartoes_Fech,MATCH($F1425,Cartoes_Nome,0)),1,0),1)))</f>
        <v/>
      </c>
      <c r="T1425" s="42" t="str">
        <f>IF($A1425="","",IF(COUNTIFS(L_Data,$A1425,L_Desc,$B1425,L_Valor,$N1425,L_Tipo,$C1425)&gt;1,"⚠ Possível duplicidade",IF(OR(AND($C1425="Despesa",COUNTIF(CatD_Nome,$D1425)=0),AND($C1425="Receita",COUNTIF(CatR_Nome,$D1425)=0)),"⚠ Categoria não combina com o tipo",IF(OR($N1425="",$C1425=""),"⚠ Falta valor ou tipo",""))))</f>
        <v/>
      </c>
      <c r="U1425" s="40">
        <f>IF($A1425="",0,P1425*12+O1425)</f>
        <v>0</v>
      </c>
      <c r="V1425" s="40">
        <f>IF($A1425="",0,U1425+MAX(0,N($I1425)-MAX(N($H1425),1)))</f>
        <v>0</v>
      </c>
      <c r="W1425" s="40">
        <f>IF(S1425="",0,YEAR(S1425)*12+MONTH(S1425))</f>
        <v>0</v>
      </c>
      <c r="X1425" s="40">
        <f>IF(W1425=0,0,W1425+V1425-U1425)</f>
        <v>0</v>
      </c>
      <c r="Y1425" s="36">
        <f>IF(W1425=0,0,N(R1425)*MAX(0,X1425-MAX(W1425,YEAR(Cfg_Hoje)*12+MONTH(Cfg_Hoje)+IF(DAY(Cfg_Hoje)&gt;=INDEX(Cartoes_Fech,MATCH($F1425,Cartoes_Nome,0)),1,0))+1))</f>
        <v>0</v>
      </c>
      <c r="Z1425" s="40">
        <f>IF($A1425="",0,DAY($A1425))</f>
        <v>0</v>
      </c>
      <c r="AA1425" s="40">
        <f>IF($A1425="",0,WEEKDAY($A1425))</f>
        <v>0</v>
      </c>
      <c r="AB1425" s="36">
        <f>IF(AND($C1425="Despesa",U1425&gt;0,U1425&lt;=Sel_Idx,V1425&gt;=Sel_Idx),N(R1425)+ROW()/1000000000,0)</f>
        <v>0</v>
      </c>
      <c r="AC1425" s="40">
        <f>IF(AND($C1425="Despesa",U1425&gt;0,U1425&lt;=Sel_Idx,V1425&gt;=Sel_Idx),Z1425*10000+ROW(),0)</f>
        <v>0</v>
      </c>
      <c r="AD1425" s="40">
        <f>IF(AC1425=0,0,COUNTIFS(L_CalChave,"&gt;0",L_CalChave,"&lt;"&amp;AC1425)+1)</f>
        <v>0</v>
      </c>
    </row>
    <row r="1426">
      <c r="A1426" s="38" t="n"/>
      <c r="B1426" s="39" t="n"/>
      <c r="C1426" s="34" t="n"/>
      <c r="D1426" s="34" t="n"/>
      <c r="E1426" s="34" t="n"/>
      <c r="F1426" s="34" t="n"/>
      <c r="G1426" s="34" t="n"/>
      <c r="H1426" s="37" t="n"/>
      <c r="I1426" s="37" t="n"/>
      <c r="J1426" s="34" t="n"/>
      <c r="K1426" s="34" t="n"/>
      <c r="L1426" s="34" t="n"/>
      <c r="M1426" s="39" t="n"/>
      <c r="N1426" s="35" t="n"/>
      <c r="O1426" s="40" t="str">
        <f>IF($A1426="","",MONTH($A1426))</f>
        <v/>
      </c>
      <c r="P1426" s="40" t="str">
        <f>IF($A1426="","",YEAR($A1426))</f>
        <v/>
      </c>
      <c r="Q1426" s="41" t="str">
        <f>IF($A1426="","",DATE(P1426,O1426,1))</f>
        <v/>
      </c>
      <c r="R1426" s="36" t="str">
        <f>IF(OR($A1426="",$N1426=""),"",IF(AND($C1426&lt;&gt;"Transferência",N($I1426)&gt;1),$N1426/$I1426,$N1426))</f>
        <v/>
      </c>
      <c r="S1426" s="41" t="str">
        <f>IF(OR($A1426="",$F1426="",$C1426&lt;&gt;"Despesa"),"",IF(COUNTIF(Cartoes_Nome,$F1426)=0,"",DATE(P1426,O1426+IF(DAY($A1426)&gt;=INDEX(Cartoes_Fech,MATCH($F1426,Cartoes_Nome,0)),1,0),1)))</f>
        <v/>
      </c>
      <c r="T1426" s="42" t="str">
        <f>IF($A1426="","",IF(COUNTIFS(L_Data,$A1426,L_Desc,$B1426,L_Valor,$N1426,L_Tipo,$C1426)&gt;1,"⚠ Possível duplicidade",IF(OR(AND($C1426="Despesa",COUNTIF(CatD_Nome,$D1426)=0),AND($C1426="Receita",COUNTIF(CatR_Nome,$D1426)=0)),"⚠ Categoria não combina com o tipo",IF(OR($N1426="",$C1426=""),"⚠ Falta valor ou tipo",""))))</f>
        <v/>
      </c>
      <c r="U1426" s="40">
        <f>IF($A1426="",0,P1426*12+O1426)</f>
        <v>0</v>
      </c>
      <c r="V1426" s="40">
        <f>IF($A1426="",0,U1426+MAX(0,N($I1426)-MAX(N($H1426),1)))</f>
        <v>0</v>
      </c>
      <c r="W1426" s="40">
        <f>IF(S1426="",0,YEAR(S1426)*12+MONTH(S1426))</f>
        <v>0</v>
      </c>
      <c r="X1426" s="40">
        <f>IF(W1426=0,0,W1426+V1426-U1426)</f>
        <v>0</v>
      </c>
      <c r="Y1426" s="36">
        <f>IF(W1426=0,0,N(R1426)*MAX(0,X1426-MAX(W1426,YEAR(Cfg_Hoje)*12+MONTH(Cfg_Hoje)+IF(DAY(Cfg_Hoje)&gt;=INDEX(Cartoes_Fech,MATCH($F1426,Cartoes_Nome,0)),1,0))+1))</f>
        <v>0</v>
      </c>
      <c r="Z1426" s="40">
        <f>IF($A1426="",0,DAY($A1426))</f>
        <v>0</v>
      </c>
      <c r="AA1426" s="40">
        <f>IF($A1426="",0,WEEKDAY($A1426))</f>
        <v>0</v>
      </c>
      <c r="AB1426" s="36">
        <f>IF(AND($C1426="Despesa",U1426&gt;0,U1426&lt;=Sel_Idx,V1426&gt;=Sel_Idx),N(R1426)+ROW()/1000000000,0)</f>
        <v>0</v>
      </c>
      <c r="AC1426" s="40">
        <f>IF(AND($C1426="Despesa",U1426&gt;0,U1426&lt;=Sel_Idx,V1426&gt;=Sel_Idx),Z1426*10000+ROW(),0)</f>
        <v>0</v>
      </c>
      <c r="AD1426" s="40">
        <f>IF(AC1426=0,0,COUNTIFS(L_CalChave,"&gt;0",L_CalChave,"&lt;"&amp;AC1426)+1)</f>
        <v>0</v>
      </c>
    </row>
    <row r="1427">
      <c r="A1427" s="38" t="n"/>
      <c r="B1427" s="39" t="n"/>
      <c r="C1427" s="34" t="n"/>
      <c r="D1427" s="34" t="n"/>
      <c r="E1427" s="34" t="n"/>
      <c r="F1427" s="34" t="n"/>
      <c r="G1427" s="34" t="n"/>
      <c r="H1427" s="37" t="n"/>
      <c r="I1427" s="37" t="n"/>
      <c r="J1427" s="34" t="n"/>
      <c r="K1427" s="34" t="n"/>
      <c r="L1427" s="34" t="n"/>
      <c r="M1427" s="39" t="n"/>
      <c r="N1427" s="35" t="n"/>
      <c r="O1427" s="40" t="str">
        <f>IF($A1427="","",MONTH($A1427))</f>
        <v/>
      </c>
      <c r="P1427" s="40" t="str">
        <f>IF($A1427="","",YEAR($A1427))</f>
        <v/>
      </c>
      <c r="Q1427" s="41" t="str">
        <f>IF($A1427="","",DATE(P1427,O1427,1))</f>
        <v/>
      </c>
      <c r="R1427" s="36" t="str">
        <f>IF(OR($A1427="",$N1427=""),"",IF(AND($C1427&lt;&gt;"Transferência",N($I1427)&gt;1),$N1427/$I1427,$N1427))</f>
        <v/>
      </c>
      <c r="S1427" s="41" t="str">
        <f>IF(OR($A1427="",$F1427="",$C1427&lt;&gt;"Despesa"),"",IF(COUNTIF(Cartoes_Nome,$F1427)=0,"",DATE(P1427,O1427+IF(DAY($A1427)&gt;=INDEX(Cartoes_Fech,MATCH($F1427,Cartoes_Nome,0)),1,0),1)))</f>
        <v/>
      </c>
      <c r="T1427" s="42" t="str">
        <f>IF($A1427="","",IF(COUNTIFS(L_Data,$A1427,L_Desc,$B1427,L_Valor,$N1427,L_Tipo,$C1427)&gt;1,"⚠ Possível duplicidade",IF(OR(AND($C1427="Despesa",COUNTIF(CatD_Nome,$D1427)=0),AND($C1427="Receita",COUNTIF(CatR_Nome,$D1427)=0)),"⚠ Categoria não combina com o tipo",IF(OR($N1427="",$C1427=""),"⚠ Falta valor ou tipo",""))))</f>
        <v/>
      </c>
      <c r="U1427" s="40">
        <f>IF($A1427="",0,P1427*12+O1427)</f>
        <v>0</v>
      </c>
      <c r="V1427" s="40">
        <f>IF($A1427="",0,U1427+MAX(0,N($I1427)-MAX(N($H1427),1)))</f>
        <v>0</v>
      </c>
      <c r="W1427" s="40">
        <f>IF(S1427="",0,YEAR(S1427)*12+MONTH(S1427))</f>
        <v>0</v>
      </c>
      <c r="X1427" s="40">
        <f>IF(W1427=0,0,W1427+V1427-U1427)</f>
        <v>0</v>
      </c>
      <c r="Y1427" s="36">
        <f>IF(W1427=0,0,N(R1427)*MAX(0,X1427-MAX(W1427,YEAR(Cfg_Hoje)*12+MONTH(Cfg_Hoje)+IF(DAY(Cfg_Hoje)&gt;=INDEX(Cartoes_Fech,MATCH($F1427,Cartoes_Nome,0)),1,0))+1))</f>
        <v>0</v>
      </c>
      <c r="Z1427" s="40">
        <f>IF($A1427="",0,DAY($A1427))</f>
        <v>0</v>
      </c>
      <c r="AA1427" s="40">
        <f>IF($A1427="",0,WEEKDAY($A1427))</f>
        <v>0</v>
      </c>
      <c r="AB1427" s="36">
        <f>IF(AND($C1427="Despesa",U1427&gt;0,U1427&lt;=Sel_Idx,V1427&gt;=Sel_Idx),N(R1427)+ROW()/1000000000,0)</f>
        <v>0</v>
      </c>
      <c r="AC1427" s="40">
        <f>IF(AND($C1427="Despesa",U1427&gt;0,U1427&lt;=Sel_Idx,V1427&gt;=Sel_Idx),Z1427*10000+ROW(),0)</f>
        <v>0</v>
      </c>
      <c r="AD1427" s="40">
        <f>IF(AC1427=0,0,COUNTIFS(L_CalChave,"&gt;0",L_CalChave,"&lt;"&amp;AC1427)+1)</f>
        <v>0</v>
      </c>
    </row>
    <row r="1428">
      <c r="A1428" s="38" t="n"/>
      <c r="B1428" s="39" t="n"/>
      <c r="C1428" s="34" t="n"/>
      <c r="D1428" s="34" t="n"/>
      <c r="E1428" s="34" t="n"/>
      <c r="F1428" s="34" t="n"/>
      <c r="G1428" s="34" t="n"/>
      <c r="H1428" s="37" t="n"/>
      <c r="I1428" s="37" t="n"/>
      <c r="J1428" s="34" t="n"/>
      <c r="K1428" s="34" t="n"/>
      <c r="L1428" s="34" t="n"/>
      <c r="M1428" s="39" t="n"/>
      <c r="N1428" s="35" t="n"/>
      <c r="O1428" s="40" t="str">
        <f>IF($A1428="","",MONTH($A1428))</f>
        <v/>
      </c>
      <c r="P1428" s="40" t="str">
        <f>IF($A1428="","",YEAR($A1428))</f>
        <v/>
      </c>
      <c r="Q1428" s="41" t="str">
        <f>IF($A1428="","",DATE(P1428,O1428,1))</f>
        <v/>
      </c>
      <c r="R1428" s="36" t="str">
        <f>IF(OR($A1428="",$N1428=""),"",IF(AND($C1428&lt;&gt;"Transferência",N($I1428)&gt;1),$N1428/$I1428,$N1428))</f>
        <v/>
      </c>
      <c r="S1428" s="41" t="str">
        <f>IF(OR($A1428="",$F1428="",$C1428&lt;&gt;"Despesa"),"",IF(COUNTIF(Cartoes_Nome,$F1428)=0,"",DATE(P1428,O1428+IF(DAY($A1428)&gt;=INDEX(Cartoes_Fech,MATCH($F1428,Cartoes_Nome,0)),1,0),1)))</f>
        <v/>
      </c>
      <c r="T1428" s="42" t="str">
        <f>IF($A1428="","",IF(COUNTIFS(L_Data,$A1428,L_Desc,$B1428,L_Valor,$N1428,L_Tipo,$C1428)&gt;1,"⚠ Possível duplicidade",IF(OR(AND($C1428="Despesa",COUNTIF(CatD_Nome,$D1428)=0),AND($C1428="Receita",COUNTIF(CatR_Nome,$D1428)=0)),"⚠ Categoria não combina com o tipo",IF(OR($N1428="",$C1428=""),"⚠ Falta valor ou tipo",""))))</f>
        <v/>
      </c>
      <c r="U1428" s="40">
        <f>IF($A1428="",0,P1428*12+O1428)</f>
        <v>0</v>
      </c>
      <c r="V1428" s="40">
        <f>IF($A1428="",0,U1428+MAX(0,N($I1428)-MAX(N($H1428),1)))</f>
        <v>0</v>
      </c>
      <c r="W1428" s="40">
        <f>IF(S1428="",0,YEAR(S1428)*12+MONTH(S1428))</f>
        <v>0</v>
      </c>
      <c r="X1428" s="40">
        <f>IF(W1428=0,0,W1428+V1428-U1428)</f>
        <v>0</v>
      </c>
      <c r="Y1428" s="36">
        <f>IF(W1428=0,0,N(R1428)*MAX(0,X1428-MAX(W1428,YEAR(Cfg_Hoje)*12+MONTH(Cfg_Hoje)+IF(DAY(Cfg_Hoje)&gt;=INDEX(Cartoes_Fech,MATCH($F1428,Cartoes_Nome,0)),1,0))+1))</f>
        <v>0</v>
      </c>
      <c r="Z1428" s="40">
        <f>IF($A1428="",0,DAY($A1428))</f>
        <v>0</v>
      </c>
      <c r="AA1428" s="40">
        <f>IF($A1428="",0,WEEKDAY($A1428))</f>
        <v>0</v>
      </c>
      <c r="AB1428" s="36">
        <f>IF(AND($C1428="Despesa",U1428&gt;0,U1428&lt;=Sel_Idx,V1428&gt;=Sel_Idx),N(R1428)+ROW()/1000000000,0)</f>
        <v>0</v>
      </c>
      <c r="AC1428" s="40">
        <f>IF(AND($C1428="Despesa",U1428&gt;0,U1428&lt;=Sel_Idx,V1428&gt;=Sel_Idx),Z1428*10000+ROW(),0)</f>
        <v>0</v>
      </c>
      <c r="AD1428" s="40">
        <f>IF(AC1428=0,0,COUNTIFS(L_CalChave,"&gt;0",L_CalChave,"&lt;"&amp;AC1428)+1)</f>
        <v>0</v>
      </c>
    </row>
    <row r="1429">
      <c r="A1429" s="38" t="n"/>
      <c r="B1429" s="39" t="n"/>
      <c r="C1429" s="34" t="n"/>
      <c r="D1429" s="34" t="n"/>
      <c r="E1429" s="34" t="n"/>
      <c r="F1429" s="34" t="n"/>
      <c r="G1429" s="34" t="n"/>
      <c r="H1429" s="37" t="n"/>
      <c r="I1429" s="37" t="n"/>
      <c r="J1429" s="34" t="n"/>
      <c r="K1429" s="34" t="n"/>
      <c r="L1429" s="34" t="n"/>
      <c r="M1429" s="39" t="n"/>
      <c r="N1429" s="35" t="n"/>
      <c r="O1429" s="40" t="str">
        <f>IF($A1429="","",MONTH($A1429))</f>
        <v/>
      </c>
      <c r="P1429" s="40" t="str">
        <f>IF($A1429="","",YEAR($A1429))</f>
        <v/>
      </c>
      <c r="Q1429" s="41" t="str">
        <f>IF($A1429="","",DATE(P1429,O1429,1))</f>
        <v/>
      </c>
      <c r="R1429" s="36" t="str">
        <f>IF(OR($A1429="",$N1429=""),"",IF(AND($C1429&lt;&gt;"Transferência",N($I1429)&gt;1),$N1429/$I1429,$N1429))</f>
        <v/>
      </c>
      <c r="S1429" s="41" t="str">
        <f>IF(OR($A1429="",$F1429="",$C1429&lt;&gt;"Despesa"),"",IF(COUNTIF(Cartoes_Nome,$F1429)=0,"",DATE(P1429,O1429+IF(DAY($A1429)&gt;=INDEX(Cartoes_Fech,MATCH($F1429,Cartoes_Nome,0)),1,0),1)))</f>
        <v/>
      </c>
      <c r="T1429" s="42" t="str">
        <f>IF($A1429="","",IF(COUNTIFS(L_Data,$A1429,L_Desc,$B1429,L_Valor,$N1429,L_Tipo,$C1429)&gt;1,"⚠ Possível duplicidade",IF(OR(AND($C1429="Despesa",COUNTIF(CatD_Nome,$D1429)=0),AND($C1429="Receita",COUNTIF(CatR_Nome,$D1429)=0)),"⚠ Categoria não combina com o tipo",IF(OR($N1429="",$C1429=""),"⚠ Falta valor ou tipo",""))))</f>
        <v/>
      </c>
      <c r="U1429" s="40">
        <f>IF($A1429="",0,P1429*12+O1429)</f>
        <v>0</v>
      </c>
      <c r="V1429" s="40">
        <f>IF($A1429="",0,U1429+MAX(0,N($I1429)-MAX(N($H1429),1)))</f>
        <v>0</v>
      </c>
      <c r="W1429" s="40">
        <f>IF(S1429="",0,YEAR(S1429)*12+MONTH(S1429))</f>
        <v>0</v>
      </c>
      <c r="X1429" s="40">
        <f>IF(W1429=0,0,W1429+V1429-U1429)</f>
        <v>0</v>
      </c>
      <c r="Y1429" s="36">
        <f>IF(W1429=0,0,N(R1429)*MAX(0,X1429-MAX(W1429,YEAR(Cfg_Hoje)*12+MONTH(Cfg_Hoje)+IF(DAY(Cfg_Hoje)&gt;=INDEX(Cartoes_Fech,MATCH($F1429,Cartoes_Nome,0)),1,0))+1))</f>
        <v>0</v>
      </c>
      <c r="Z1429" s="40">
        <f>IF($A1429="",0,DAY($A1429))</f>
        <v>0</v>
      </c>
      <c r="AA1429" s="40">
        <f>IF($A1429="",0,WEEKDAY($A1429))</f>
        <v>0</v>
      </c>
      <c r="AB1429" s="36">
        <f>IF(AND($C1429="Despesa",U1429&gt;0,U1429&lt;=Sel_Idx,V1429&gt;=Sel_Idx),N(R1429)+ROW()/1000000000,0)</f>
        <v>0</v>
      </c>
      <c r="AC1429" s="40">
        <f>IF(AND($C1429="Despesa",U1429&gt;0,U1429&lt;=Sel_Idx,V1429&gt;=Sel_Idx),Z1429*10000+ROW(),0)</f>
        <v>0</v>
      </c>
      <c r="AD1429" s="40">
        <f>IF(AC1429=0,0,COUNTIFS(L_CalChave,"&gt;0",L_CalChave,"&lt;"&amp;AC1429)+1)</f>
        <v>0</v>
      </c>
    </row>
    <row r="1430">
      <c r="A1430" s="38" t="n"/>
      <c r="B1430" s="39" t="n"/>
      <c r="C1430" s="34" t="n"/>
      <c r="D1430" s="34" t="n"/>
      <c r="E1430" s="34" t="n"/>
      <c r="F1430" s="34" t="n"/>
      <c r="G1430" s="34" t="n"/>
      <c r="H1430" s="37" t="n"/>
      <c r="I1430" s="37" t="n"/>
      <c r="J1430" s="34" t="n"/>
      <c r="K1430" s="34" t="n"/>
      <c r="L1430" s="34" t="n"/>
      <c r="M1430" s="39" t="n"/>
      <c r="N1430" s="35" t="n"/>
      <c r="O1430" s="40" t="str">
        <f>IF($A1430="","",MONTH($A1430))</f>
        <v/>
      </c>
      <c r="P1430" s="40" t="str">
        <f>IF($A1430="","",YEAR($A1430))</f>
        <v/>
      </c>
      <c r="Q1430" s="41" t="str">
        <f>IF($A1430="","",DATE(P1430,O1430,1))</f>
        <v/>
      </c>
      <c r="R1430" s="36" t="str">
        <f>IF(OR($A1430="",$N1430=""),"",IF(AND($C1430&lt;&gt;"Transferência",N($I1430)&gt;1),$N1430/$I1430,$N1430))</f>
        <v/>
      </c>
      <c r="S1430" s="41" t="str">
        <f>IF(OR($A1430="",$F1430="",$C1430&lt;&gt;"Despesa"),"",IF(COUNTIF(Cartoes_Nome,$F1430)=0,"",DATE(P1430,O1430+IF(DAY($A1430)&gt;=INDEX(Cartoes_Fech,MATCH($F1430,Cartoes_Nome,0)),1,0),1)))</f>
        <v/>
      </c>
      <c r="T1430" s="42" t="str">
        <f>IF($A1430="","",IF(COUNTIFS(L_Data,$A1430,L_Desc,$B1430,L_Valor,$N1430,L_Tipo,$C1430)&gt;1,"⚠ Possível duplicidade",IF(OR(AND($C1430="Despesa",COUNTIF(CatD_Nome,$D1430)=0),AND($C1430="Receita",COUNTIF(CatR_Nome,$D1430)=0)),"⚠ Categoria não combina com o tipo",IF(OR($N1430="",$C1430=""),"⚠ Falta valor ou tipo",""))))</f>
        <v/>
      </c>
      <c r="U1430" s="40">
        <f>IF($A1430="",0,P1430*12+O1430)</f>
        <v>0</v>
      </c>
      <c r="V1430" s="40">
        <f>IF($A1430="",0,U1430+MAX(0,N($I1430)-MAX(N($H1430),1)))</f>
        <v>0</v>
      </c>
      <c r="W1430" s="40">
        <f>IF(S1430="",0,YEAR(S1430)*12+MONTH(S1430))</f>
        <v>0</v>
      </c>
      <c r="X1430" s="40">
        <f>IF(W1430=0,0,W1430+V1430-U1430)</f>
        <v>0</v>
      </c>
      <c r="Y1430" s="36">
        <f>IF(W1430=0,0,N(R1430)*MAX(0,X1430-MAX(W1430,YEAR(Cfg_Hoje)*12+MONTH(Cfg_Hoje)+IF(DAY(Cfg_Hoje)&gt;=INDEX(Cartoes_Fech,MATCH($F1430,Cartoes_Nome,0)),1,0))+1))</f>
        <v>0</v>
      </c>
      <c r="Z1430" s="40">
        <f>IF($A1430="",0,DAY($A1430))</f>
        <v>0</v>
      </c>
      <c r="AA1430" s="40">
        <f>IF($A1430="",0,WEEKDAY($A1430))</f>
        <v>0</v>
      </c>
      <c r="AB1430" s="36">
        <f>IF(AND($C1430="Despesa",U1430&gt;0,U1430&lt;=Sel_Idx,V1430&gt;=Sel_Idx),N(R1430)+ROW()/1000000000,0)</f>
        <v>0</v>
      </c>
      <c r="AC1430" s="40">
        <f>IF(AND($C1430="Despesa",U1430&gt;0,U1430&lt;=Sel_Idx,V1430&gt;=Sel_Idx),Z1430*10000+ROW(),0)</f>
        <v>0</v>
      </c>
      <c r="AD1430" s="40">
        <f>IF(AC1430=0,0,COUNTIFS(L_CalChave,"&gt;0",L_CalChave,"&lt;"&amp;AC1430)+1)</f>
        <v>0</v>
      </c>
    </row>
    <row r="1431">
      <c r="A1431" s="38" t="n"/>
      <c r="B1431" s="39" t="n"/>
      <c r="C1431" s="34" t="n"/>
      <c r="D1431" s="34" t="n"/>
      <c r="E1431" s="34" t="n"/>
      <c r="F1431" s="34" t="n"/>
      <c r="G1431" s="34" t="n"/>
      <c r="H1431" s="37" t="n"/>
      <c r="I1431" s="37" t="n"/>
      <c r="J1431" s="34" t="n"/>
      <c r="K1431" s="34" t="n"/>
      <c r="L1431" s="34" t="n"/>
      <c r="M1431" s="39" t="n"/>
      <c r="N1431" s="35" t="n"/>
      <c r="O1431" s="40" t="str">
        <f>IF($A1431="","",MONTH($A1431))</f>
        <v/>
      </c>
      <c r="P1431" s="40" t="str">
        <f>IF($A1431="","",YEAR($A1431))</f>
        <v/>
      </c>
      <c r="Q1431" s="41" t="str">
        <f>IF($A1431="","",DATE(P1431,O1431,1))</f>
        <v/>
      </c>
      <c r="R1431" s="36" t="str">
        <f>IF(OR($A1431="",$N1431=""),"",IF(AND($C1431&lt;&gt;"Transferência",N($I1431)&gt;1),$N1431/$I1431,$N1431))</f>
        <v/>
      </c>
      <c r="S1431" s="41" t="str">
        <f>IF(OR($A1431="",$F1431="",$C1431&lt;&gt;"Despesa"),"",IF(COUNTIF(Cartoes_Nome,$F1431)=0,"",DATE(P1431,O1431+IF(DAY($A1431)&gt;=INDEX(Cartoes_Fech,MATCH($F1431,Cartoes_Nome,0)),1,0),1)))</f>
        <v/>
      </c>
      <c r="T1431" s="42" t="str">
        <f>IF($A1431="","",IF(COUNTIFS(L_Data,$A1431,L_Desc,$B1431,L_Valor,$N1431,L_Tipo,$C1431)&gt;1,"⚠ Possível duplicidade",IF(OR(AND($C1431="Despesa",COUNTIF(CatD_Nome,$D1431)=0),AND($C1431="Receita",COUNTIF(CatR_Nome,$D1431)=0)),"⚠ Categoria não combina com o tipo",IF(OR($N1431="",$C1431=""),"⚠ Falta valor ou tipo",""))))</f>
        <v/>
      </c>
      <c r="U1431" s="40">
        <f>IF($A1431="",0,P1431*12+O1431)</f>
        <v>0</v>
      </c>
      <c r="V1431" s="40">
        <f>IF($A1431="",0,U1431+MAX(0,N($I1431)-MAX(N($H1431),1)))</f>
        <v>0</v>
      </c>
      <c r="W1431" s="40">
        <f>IF(S1431="",0,YEAR(S1431)*12+MONTH(S1431))</f>
        <v>0</v>
      </c>
      <c r="X1431" s="40">
        <f>IF(W1431=0,0,W1431+V1431-U1431)</f>
        <v>0</v>
      </c>
      <c r="Y1431" s="36">
        <f>IF(W1431=0,0,N(R1431)*MAX(0,X1431-MAX(W1431,YEAR(Cfg_Hoje)*12+MONTH(Cfg_Hoje)+IF(DAY(Cfg_Hoje)&gt;=INDEX(Cartoes_Fech,MATCH($F1431,Cartoes_Nome,0)),1,0))+1))</f>
        <v>0</v>
      </c>
      <c r="Z1431" s="40">
        <f>IF($A1431="",0,DAY($A1431))</f>
        <v>0</v>
      </c>
      <c r="AA1431" s="40">
        <f>IF($A1431="",0,WEEKDAY($A1431))</f>
        <v>0</v>
      </c>
      <c r="AB1431" s="36">
        <f>IF(AND($C1431="Despesa",U1431&gt;0,U1431&lt;=Sel_Idx,V1431&gt;=Sel_Idx),N(R1431)+ROW()/1000000000,0)</f>
        <v>0</v>
      </c>
      <c r="AC1431" s="40">
        <f>IF(AND($C1431="Despesa",U1431&gt;0,U1431&lt;=Sel_Idx,V1431&gt;=Sel_Idx),Z1431*10000+ROW(),0)</f>
        <v>0</v>
      </c>
      <c r="AD1431" s="40">
        <f>IF(AC1431=0,0,COUNTIFS(L_CalChave,"&gt;0",L_CalChave,"&lt;"&amp;AC1431)+1)</f>
        <v>0</v>
      </c>
    </row>
    <row r="1432">
      <c r="A1432" s="38" t="n"/>
      <c r="B1432" s="39" t="n"/>
      <c r="C1432" s="34" t="n"/>
      <c r="D1432" s="34" t="n"/>
      <c r="E1432" s="34" t="n"/>
      <c r="F1432" s="34" t="n"/>
      <c r="G1432" s="34" t="n"/>
      <c r="H1432" s="37" t="n"/>
      <c r="I1432" s="37" t="n"/>
      <c r="J1432" s="34" t="n"/>
      <c r="K1432" s="34" t="n"/>
      <c r="L1432" s="34" t="n"/>
      <c r="M1432" s="39" t="n"/>
      <c r="N1432" s="35" t="n"/>
      <c r="O1432" s="40" t="str">
        <f>IF($A1432="","",MONTH($A1432))</f>
        <v/>
      </c>
      <c r="P1432" s="40" t="str">
        <f>IF($A1432="","",YEAR($A1432))</f>
        <v/>
      </c>
      <c r="Q1432" s="41" t="str">
        <f>IF($A1432="","",DATE(P1432,O1432,1))</f>
        <v/>
      </c>
      <c r="R1432" s="36" t="str">
        <f>IF(OR($A1432="",$N1432=""),"",IF(AND($C1432&lt;&gt;"Transferência",N($I1432)&gt;1),$N1432/$I1432,$N1432))</f>
        <v/>
      </c>
      <c r="S1432" s="41" t="str">
        <f>IF(OR($A1432="",$F1432="",$C1432&lt;&gt;"Despesa"),"",IF(COUNTIF(Cartoes_Nome,$F1432)=0,"",DATE(P1432,O1432+IF(DAY($A1432)&gt;=INDEX(Cartoes_Fech,MATCH($F1432,Cartoes_Nome,0)),1,0),1)))</f>
        <v/>
      </c>
      <c r="T1432" s="42" t="str">
        <f>IF($A1432="","",IF(COUNTIFS(L_Data,$A1432,L_Desc,$B1432,L_Valor,$N1432,L_Tipo,$C1432)&gt;1,"⚠ Possível duplicidade",IF(OR(AND($C1432="Despesa",COUNTIF(CatD_Nome,$D1432)=0),AND($C1432="Receita",COUNTIF(CatR_Nome,$D1432)=0)),"⚠ Categoria não combina com o tipo",IF(OR($N1432="",$C1432=""),"⚠ Falta valor ou tipo",""))))</f>
        <v/>
      </c>
      <c r="U1432" s="40">
        <f>IF($A1432="",0,P1432*12+O1432)</f>
        <v>0</v>
      </c>
      <c r="V1432" s="40">
        <f>IF($A1432="",0,U1432+MAX(0,N($I1432)-MAX(N($H1432),1)))</f>
        <v>0</v>
      </c>
      <c r="W1432" s="40">
        <f>IF(S1432="",0,YEAR(S1432)*12+MONTH(S1432))</f>
        <v>0</v>
      </c>
      <c r="X1432" s="40">
        <f>IF(W1432=0,0,W1432+V1432-U1432)</f>
        <v>0</v>
      </c>
      <c r="Y1432" s="36">
        <f>IF(W1432=0,0,N(R1432)*MAX(0,X1432-MAX(W1432,YEAR(Cfg_Hoje)*12+MONTH(Cfg_Hoje)+IF(DAY(Cfg_Hoje)&gt;=INDEX(Cartoes_Fech,MATCH($F1432,Cartoes_Nome,0)),1,0))+1))</f>
        <v>0</v>
      </c>
      <c r="Z1432" s="40">
        <f>IF($A1432="",0,DAY($A1432))</f>
        <v>0</v>
      </c>
      <c r="AA1432" s="40">
        <f>IF($A1432="",0,WEEKDAY($A1432))</f>
        <v>0</v>
      </c>
      <c r="AB1432" s="36">
        <f>IF(AND($C1432="Despesa",U1432&gt;0,U1432&lt;=Sel_Idx,V1432&gt;=Sel_Idx),N(R1432)+ROW()/1000000000,0)</f>
        <v>0</v>
      </c>
      <c r="AC1432" s="40">
        <f>IF(AND($C1432="Despesa",U1432&gt;0,U1432&lt;=Sel_Idx,V1432&gt;=Sel_Idx),Z1432*10000+ROW(),0)</f>
        <v>0</v>
      </c>
      <c r="AD1432" s="40">
        <f>IF(AC1432=0,0,COUNTIFS(L_CalChave,"&gt;0",L_CalChave,"&lt;"&amp;AC1432)+1)</f>
        <v>0</v>
      </c>
    </row>
    <row r="1433">
      <c r="A1433" s="38" t="n"/>
      <c r="B1433" s="39" t="n"/>
      <c r="C1433" s="34" t="n"/>
      <c r="D1433" s="34" t="n"/>
      <c r="E1433" s="34" t="n"/>
      <c r="F1433" s="34" t="n"/>
      <c r="G1433" s="34" t="n"/>
      <c r="H1433" s="37" t="n"/>
      <c r="I1433" s="37" t="n"/>
      <c r="J1433" s="34" t="n"/>
      <c r="K1433" s="34" t="n"/>
      <c r="L1433" s="34" t="n"/>
      <c r="M1433" s="39" t="n"/>
      <c r="N1433" s="35" t="n"/>
      <c r="O1433" s="40" t="str">
        <f>IF($A1433="","",MONTH($A1433))</f>
        <v/>
      </c>
      <c r="P1433" s="40" t="str">
        <f>IF($A1433="","",YEAR($A1433))</f>
        <v/>
      </c>
      <c r="Q1433" s="41" t="str">
        <f>IF($A1433="","",DATE(P1433,O1433,1))</f>
        <v/>
      </c>
      <c r="R1433" s="36" t="str">
        <f>IF(OR($A1433="",$N1433=""),"",IF(AND($C1433&lt;&gt;"Transferência",N($I1433)&gt;1),$N1433/$I1433,$N1433))</f>
        <v/>
      </c>
      <c r="S1433" s="41" t="str">
        <f>IF(OR($A1433="",$F1433="",$C1433&lt;&gt;"Despesa"),"",IF(COUNTIF(Cartoes_Nome,$F1433)=0,"",DATE(P1433,O1433+IF(DAY($A1433)&gt;=INDEX(Cartoes_Fech,MATCH($F1433,Cartoes_Nome,0)),1,0),1)))</f>
        <v/>
      </c>
      <c r="T1433" s="42" t="str">
        <f>IF($A1433="","",IF(COUNTIFS(L_Data,$A1433,L_Desc,$B1433,L_Valor,$N1433,L_Tipo,$C1433)&gt;1,"⚠ Possível duplicidade",IF(OR(AND($C1433="Despesa",COUNTIF(CatD_Nome,$D1433)=0),AND($C1433="Receita",COUNTIF(CatR_Nome,$D1433)=0)),"⚠ Categoria não combina com o tipo",IF(OR($N1433="",$C1433=""),"⚠ Falta valor ou tipo",""))))</f>
        <v/>
      </c>
      <c r="U1433" s="40">
        <f>IF($A1433="",0,P1433*12+O1433)</f>
        <v>0</v>
      </c>
      <c r="V1433" s="40">
        <f>IF($A1433="",0,U1433+MAX(0,N($I1433)-MAX(N($H1433),1)))</f>
        <v>0</v>
      </c>
      <c r="W1433" s="40">
        <f>IF(S1433="",0,YEAR(S1433)*12+MONTH(S1433))</f>
        <v>0</v>
      </c>
      <c r="X1433" s="40">
        <f>IF(W1433=0,0,W1433+V1433-U1433)</f>
        <v>0</v>
      </c>
      <c r="Y1433" s="36">
        <f>IF(W1433=0,0,N(R1433)*MAX(0,X1433-MAX(W1433,YEAR(Cfg_Hoje)*12+MONTH(Cfg_Hoje)+IF(DAY(Cfg_Hoje)&gt;=INDEX(Cartoes_Fech,MATCH($F1433,Cartoes_Nome,0)),1,0))+1))</f>
        <v>0</v>
      </c>
      <c r="Z1433" s="40">
        <f>IF($A1433="",0,DAY($A1433))</f>
        <v>0</v>
      </c>
      <c r="AA1433" s="40">
        <f>IF($A1433="",0,WEEKDAY($A1433))</f>
        <v>0</v>
      </c>
      <c r="AB1433" s="36">
        <f>IF(AND($C1433="Despesa",U1433&gt;0,U1433&lt;=Sel_Idx,V1433&gt;=Sel_Idx),N(R1433)+ROW()/1000000000,0)</f>
        <v>0</v>
      </c>
      <c r="AC1433" s="40">
        <f>IF(AND($C1433="Despesa",U1433&gt;0,U1433&lt;=Sel_Idx,V1433&gt;=Sel_Idx),Z1433*10000+ROW(),0)</f>
        <v>0</v>
      </c>
      <c r="AD1433" s="40">
        <f>IF(AC1433=0,0,COUNTIFS(L_CalChave,"&gt;0",L_CalChave,"&lt;"&amp;AC1433)+1)</f>
        <v>0</v>
      </c>
    </row>
    <row r="1434">
      <c r="A1434" s="38" t="n"/>
      <c r="B1434" s="39" t="n"/>
      <c r="C1434" s="34" t="n"/>
      <c r="D1434" s="34" t="n"/>
      <c r="E1434" s="34" t="n"/>
      <c r="F1434" s="34" t="n"/>
      <c r="G1434" s="34" t="n"/>
      <c r="H1434" s="37" t="n"/>
      <c r="I1434" s="37" t="n"/>
      <c r="J1434" s="34" t="n"/>
      <c r="K1434" s="34" t="n"/>
      <c r="L1434" s="34" t="n"/>
      <c r="M1434" s="39" t="n"/>
      <c r="N1434" s="35" t="n"/>
      <c r="O1434" s="40" t="str">
        <f>IF($A1434="","",MONTH($A1434))</f>
        <v/>
      </c>
      <c r="P1434" s="40" t="str">
        <f>IF($A1434="","",YEAR($A1434))</f>
        <v/>
      </c>
      <c r="Q1434" s="41" t="str">
        <f>IF($A1434="","",DATE(P1434,O1434,1))</f>
        <v/>
      </c>
      <c r="R1434" s="36" t="str">
        <f>IF(OR($A1434="",$N1434=""),"",IF(AND($C1434&lt;&gt;"Transferência",N($I1434)&gt;1),$N1434/$I1434,$N1434))</f>
        <v/>
      </c>
      <c r="S1434" s="41" t="str">
        <f>IF(OR($A1434="",$F1434="",$C1434&lt;&gt;"Despesa"),"",IF(COUNTIF(Cartoes_Nome,$F1434)=0,"",DATE(P1434,O1434+IF(DAY($A1434)&gt;=INDEX(Cartoes_Fech,MATCH($F1434,Cartoes_Nome,0)),1,0),1)))</f>
        <v/>
      </c>
      <c r="T1434" s="42" t="str">
        <f>IF($A1434="","",IF(COUNTIFS(L_Data,$A1434,L_Desc,$B1434,L_Valor,$N1434,L_Tipo,$C1434)&gt;1,"⚠ Possível duplicidade",IF(OR(AND($C1434="Despesa",COUNTIF(CatD_Nome,$D1434)=0),AND($C1434="Receita",COUNTIF(CatR_Nome,$D1434)=0)),"⚠ Categoria não combina com o tipo",IF(OR($N1434="",$C1434=""),"⚠ Falta valor ou tipo",""))))</f>
        <v/>
      </c>
      <c r="U1434" s="40">
        <f>IF($A1434="",0,P1434*12+O1434)</f>
        <v>0</v>
      </c>
      <c r="V1434" s="40">
        <f>IF($A1434="",0,U1434+MAX(0,N($I1434)-MAX(N($H1434),1)))</f>
        <v>0</v>
      </c>
      <c r="W1434" s="40">
        <f>IF(S1434="",0,YEAR(S1434)*12+MONTH(S1434))</f>
        <v>0</v>
      </c>
      <c r="X1434" s="40">
        <f>IF(W1434=0,0,W1434+V1434-U1434)</f>
        <v>0</v>
      </c>
      <c r="Y1434" s="36">
        <f>IF(W1434=0,0,N(R1434)*MAX(0,X1434-MAX(W1434,YEAR(Cfg_Hoje)*12+MONTH(Cfg_Hoje)+IF(DAY(Cfg_Hoje)&gt;=INDEX(Cartoes_Fech,MATCH($F1434,Cartoes_Nome,0)),1,0))+1))</f>
        <v>0</v>
      </c>
      <c r="Z1434" s="40">
        <f>IF($A1434="",0,DAY($A1434))</f>
        <v>0</v>
      </c>
      <c r="AA1434" s="40">
        <f>IF($A1434="",0,WEEKDAY($A1434))</f>
        <v>0</v>
      </c>
      <c r="AB1434" s="36">
        <f>IF(AND($C1434="Despesa",U1434&gt;0,U1434&lt;=Sel_Idx,V1434&gt;=Sel_Idx),N(R1434)+ROW()/1000000000,0)</f>
        <v>0</v>
      </c>
      <c r="AC1434" s="40">
        <f>IF(AND($C1434="Despesa",U1434&gt;0,U1434&lt;=Sel_Idx,V1434&gt;=Sel_Idx),Z1434*10000+ROW(),0)</f>
        <v>0</v>
      </c>
      <c r="AD1434" s="40">
        <f>IF(AC1434=0,0,COUNTIFS(L_CalChave,"&gt;0",L_CalChave,"&lt;"&amp;AC1434)+1)</f>
        <v>0</v>
      </c>
    </row>
    <row r="1435">
      <c r="A1435" s="38" t="n"/>
      <c r="B1435" s="39" t="n"/>
      <c r="C1435" s="34" t="n"/>
      <c r="D1435" s="34" t="n"/>
      <c r="E1435" s="34" t="n"/>
      <c r="F1435" s="34" t="n"/>
      <c r="G1435" s="34" t="n"/>
      <c r="H1435" s="37" t="n"/>
      <c r="I1435" s="37" t="n"/>
      <c r="J1435" s="34" t="n"/>
      <c r="K1435" s="34" t="n"/>
      <c r="L1435" s="34" t="n"/>
      <c r="M1435" s="39" t="n"/>
      <c r="N1435" s="35" t="n"/>
      <c r="O1435" s="40" t="str">
        <f>IF($A1435="","",MONTH($A1435))</f>
        <v/>
      </c>
      <c r="P1435" s="40" t="str">
        <f>IF($A1435="","",YEAR($A1435))</f>
        <v/>
      </c>
      <c r="Q1435" s="41" t="str">
        <f>IF($A1435="","",DATE(P1435,O1435,1))</f>
        <v/>
      </c>
      <c r="R1435" s="36" t="str">
        <f>IF(OR($A1435="",$N1435=""),"",IF(AND($C1435&lt;&gt;"Transferência",N($I1435)&gt;1),$N1435/$I1435,$N1435))</f>
        <v/>
      </c>
      <c r="S1435" s="41" t="str">
        <f>IF(OR($A1435="",$F1435="",$C1435&lt;&gt;"Despesa"),"",IF(COUNTIF(Cartoes_Nome,$F1435)=0,"",DATE(P1435,O1435+IF(DAY($A1435)&gt;=INDEX(Cartoes_Fech,MATCH($F1435,Cartoes_Nome,0)),1,0),1)))</f>
        <v/>
      </c>
      <c r="T1435" s="42" t="str">
        <f>IF($A1435="","",IF(COUNTIFS(L_Data,$A1435,L_Desc,$B1435,L_Valor,$N1435,L_Tipo,$C1435)&gt;1,"⚠ Possível duplicidade",IF(OR(AND($C1435="Despesa",COUNTIF(CatD_Nome,$D1435)=0),AND($C1435="Receita",COUNTIF(CatR_Nome,$D1435)=0)),"⚠ Categoria não combina com o tipo",IF(OR($N1435="",$C1435=""),"⚠ Falta valor ou tipo",""))))</f>
        <v/>
      </c>
      <c r="U1435" s="40">
        <f>IF($A1435="",0,P1435*12+O1435)</f>
        <v>0</v>
      </c>
      <c r="V1435" s="40">
        <f>IF($A1435="",0,U1435+MAX(0,N($I1435)-MAX(N($H1435),1)))</f>
        <v>0</v>
      </c>
      <c r="W1435" s="40">
        <f>IF(S1435="",0,YEAR(S1435)*12+MONTH(S1435))</f>
        <v>0</v>
      </c>
      <c r="X1435" s="40">
        <f>IF(W1435=0,0,W1435+V1435-U1435)</f>
        <v>0</v>
      </c>
      <c r="Y1435" s="36">
        <f>IF(W1435=0,0,N(R1435)*MAX(0,X1435-MAX(W1435,YEAR(Cfg_Hoje)*12+MONTH(Cfg_Hoje)+IF(DAY(Cfg_Hoje)&gt;=INDEX(Cartoes_Fech,MATCH($F1435,Cartoes_Nome,0)),1,0))+1))</f>
        <v>0</v>
      </c>
      <c r="Z1435" s="40">
        <f>IF($A1435="",0,DAY($A1435))</f>
        <v>0</v>
      </c>
      <c r="AA1435" s="40">
        <f>IF($A1435="",0,WEEKDAY($A1435))</f>
        <v>0</v>
      </c>
      <c r="AB1435" s="36">
        <f>IF(AND($C1435="Despesa",U1435&gt;0,U1435&lt;=Sel_Idx,V1435&gt;=Sel_Idx),N(R1435)+ROW()/1000000000,0)</f>
        <v>0</v>
      </c>
      <c r="AC1435" s="40">
        <f>IF(AND($C1435="Despesa",U1435&gt;0,U1435&lt;=Sel_Idx,V1435&gt;=Sel_Idx),Z1435*10000+ROW(),0)</f>
        <v>0</v>
      </c>
      <c r="AD1435" s="40">
        <f>IF(AC1435=0,0,COUNTIFS(L_CalChave,"&gt;0",L_CalChave,"&lt;"&amp;AC1435)+1)</f>
        <v>0</v>
      </c>
    </row>
    <row r="1436">
      <c r="A1436" s="38" t="n"/>
      <c r="B1436" s="39" t="n"/>
      <c r="C1436" s="34" t="n"/>
      <c r="D1436" s="34" t="n"/>
      <c r="E1436" s="34" t="n"/>
      <c r="F1436" s="34" t="n"/>
      <c r="G1436" s="34" t="n"/>
      <c r="H1436" s="37" t="n"/>
      <c r="I1436" s="37" t="n"/>
      <c r="J1436" s="34" t="n"/>
      <c r="K1436" s="34" t="n"/>
      <c r="L1436" s="34" t="n"/>
      <c r="M1436" s="39" t="n"/>
      <c r="N1436" s="35" t="n"/>
      <c r="O1436" s="40" t="str">
        <f>IF($A1436="","",MONTH($A1436))</f>
        <v/>
      </c>
      <c r="P1436" s="40" t="str">
        <f>IF($A1436="","",YEAR($A1436))</f>
        <v/>
      </c>
      <c r="Q1436" s="41" t="str">
        <f>IF($A1436="","",DATE(P1436,O1436,1))</f>
        <v/>
      </c>
      <c r="R1436" s="36" t="str">
        <f>IF(OR($A1436="",$N1436=""),"",IF(AND($C1436&lt;&gt;"Transferência",N($I1436)&gt;1),$N1436/$I1436,$N1436))</f>
        <v/>
      </c>
      <c r="S1436" s="41" t="str">
        <f>IF(OR($A1436="",$F1436="",$C1436&lt;&gt;"Despesa"),"",IF(COUNTIF(Cartoes_Nome,$F1436)=0,"",DATE(P1436,O1436+IF(DAY($A1436)&gt;=INDEX(Cartoes_Fech,MATCH($F1436,Cartoes_Nome,0)),1,0),1)))</f>
        <v/>
      </c>
      <c r="T1436" s="42" t="str">
        <f>IF($A1436="","",IF(COUNTIFS(L_Data,$A1436,L_Desc,$B1436,L_Valor,$N1436,L_Tipo,$C1436)&gt;1,"⚠ Possível duplicidade",IF(OR(AND($C1436="Despesa",COUNTIF(CatD_Nome,$D1436)=0),AND($C1436="Receita",COUNTIF(CatR_Nome,$D1436)=0)),"⚠ Categoria não combina com o tipo",IF(OR($N1436="",$C1436=""),"⚠ Falta valor ou tipo",""))))</f>
        <v/>
      </c>
      <c r="U1436" s="40">
        <f>IF($A1436="",0,P1436*12+O1436)</f>
        <v>0</v>
      </c>
      <c r="V1436" s="40">
        <f>IF($A1436="",0,U1436+MAX(0,N($I1436)-MAX(N($H1436),1)))</f>
        <v>0</v>
      </c>
      <c r="W1436" s="40">
        <f>IF(S1436="",0,YEAR(S1436)*12+MONTH(S1436))</f>
        <v>0</v>
      </c>
      <c r="X1436" s="40">
        <f>IF(W1436=0,0,W1436+V1436-U1436)</f>
        <v>0</v>
      </c>
      <c r="Y1436" s="36">
        <f>IF(W1436=0,0,N(R1436)*MAX(0,X1436-MAX(W1436,YEAR(Cfg_Hoje)*12+MONTH(Cfg_Hoje)+IF(DAY(Cfg_Hoje)&gt;=INDEX(Cartoes_Fech,MATCH($F1436,Cartoes_Nome,0)),1,0))+1))</f>
        <v>0</v>
      </c>
      <c r="Z1436" s="40">
        <f>IF($A1436="",0,DAY($A1436))</f>
        <v>0</v>
      </c>
      <c r="AA1436" s="40">
        <f>IF($A1436="",0,WEEKDAY($A1436))</f>
        <v>0</v>
      </c>
      <c r="AB1436" s="36">
        <f>IF(AND($C1436="Despesa",U1436&gt;0,U1436&lt;=Sel_Idx,V1436&gt;=Sel_Idx),N(R1436)+ROW()/1000000000,0)</f>
        <v>0</v>
      </c>
      <c r="AC1436" s="40">
        <f>IF(AND($C1436="Despesa",U1436&gt;0,U1436&lt;=Sel_Idx,V1436&gt;=Sel_Idx),Z1436*10000+ROW(),0)</f>
        <v>0</v>
      </c>
      <c r="AD1436" s="40">
        <f>IF(AC1436=0,0,COUNTIFS(L_CalChave,"&gt;0",L_CalChave,"&lt;"&amp;AC1436)+1)</f>
        <v>0</v>
      </c>
    </row>
    <row r="1437">
      <c r="A1437" s="38" t="n"/>
      <c r="B1437" s="39" t="n"/>
      <c r="C1437" s="34" t="n"/>
      <c r="D1437" s="34" t="n"/>
      <c r="E1437" s="34" t="n"/>
      <c r="F1437" s="34" t="n"/>
      <c r="G1437" s="34" t="n"/>
      <c r="H1437" s="37" t="n"/>
      <c r="I1437" s="37" t="n"/>
      <c r="J1437" s="34" t="n"/>
      <c r="K1437" s="34" t="n"/>
      <c r="L1437" s="34" t="n"/>
      <c r="M1437" s="39" t="n"/>
      <c r="N1437" s="35" t="n"/>
      <c r="O1437" s="40" t="str">
        <f>IF($A1437="","",MONTH($A1437))</f>
        <v/>
      </c>
      <c r="P1437" s="40" t="str">
        <f>IF($A1437="","",YEAR($A1437))</f>
        <v/>
      </c>
      <c r="Q1437" s="41" t="str">
        <f>IF($A1437="","",DATE(P1437,O1437,1))</f>
        <v/>
      </c>
      <c r="R1437" s="36" t="str">
        <f>IF(OR($A1437="",$N1437=""),"",IF(AND($C1437&lt;&gt;"Transferência",N($I1437)&gt;1),$N1437/$I1437,$N1437))</f>
        <v/>
      </c>
      <c r="S1437" s="41" t="str">
        <f>IF(OR($A1437="",$F1437="",$C1437&lt;&gt;"Despesa"),"",IF(COUNTIF(Cartoes_Nome,$F1437)=0,"",DATE(P1437,O1437+IF(DAY($A1437)&gt;=INDEX(Cartoes_Fech,MATCH($F1437,Cartoes_Nome,0)),1,0),1)))</f>
        <v/>
      </c>
      <c r="T1437" s="42" t="str">
        <f>IF($A1437="","",IF(COUNTIFS(L_Data,$A1437,L_Desc,$B1437,L_Valor,$N1437,L_Tipo,$C1437)&gt;1,"⚠ Possível duplicidade",IF(OR(AND($C1437="Despesa",COUNTIF(CatD_Nome,$D1437)=0),AND($C1437="Receita",COUNTIF(CatR_Nome,$D1437)=0)),"⚠ Categoria não combina com o tipo",IF(OR($N1437="",$C1437=""),"⚠ Falta valor ou tipo",""))))</f>
        <v/>
      </c>
      <c r="U1437" s="40">
        <f>IF($A1437="",0,P1437*12+O1437)</f>
        <v>0</v>
      </c>
      <c r="V1437" s="40">
        <f>IF($A1437="",0,U1437+MAX(0,N($I1437)-MAX(N($H1437),1)))</f>
        <v>0</v>
      </c>
      <c r="W1437" s="40">
        <f>IF(S1437="",0,YEAR(S1437)*12+MONTH(S1437))</f>
        <v>0</v>
      </c>
      <c r="X1437" s="40">
        <f>IF(W1437=0,0,W1437+V1437-U1437)</f>
        <v>0</v>
      </c>
      <c r="Y1437" s="36">
        <f>IF(W1437=0,0,N(R1437)*MAX(0,X1437-MAX(W1437,YEAR(Cfg_Hoje)*12+MONTH(Cfg_Hoje)+IF(DAY(Cfg_Hoje)&gt;=INDEX(Cartoes_Fech,MATCH($F1437,Cartoes_Nome,0)),1,0))+1))</f>
        <v>0</v>
      </c>
      <c r="Z1437" s="40">
        <f>IF($A1437="",0,DAY($A1437))</f>
        <v>0</v>
      </c>
      <c r="AA1437" s="40">
        <f>IF($A1437="",0,WEEKDAY($A1437))</f>
        <v>0</v>
      </c>
      <c r="AB1437" s="36">
        <f>IF(AND($C1437="Despesa",U1437&gt;0,U1437&lt;=Sel_Idx,V1437&gt;=Sel_Idx),N(R1437)+ROW()/1000000000,0)</f>
        <v>0</v>
      </c>
      <c r="AC1437" s="40">
        <f>IF(AND($C1437="Despesa",U1437&gt;0,U1437&lt;=Sel_Idx,V1437&gt;=Sel_Idx),Z1437*10000+ROW(),0)</f>
        <v>0</v>
      </c>
      <c r="AD1437" s="40">
        <f>IF(AC1437=0,0,COUNTIFS(L_CalChave,"&gt;0",L_CalChave,"&lt;"&amp;AC1437)+1)</f>
        <v>0</v>
      </c>
    </row>
    <row r="1438">
      <c r="A1438" s="38" t="n"/>
      <c r="B1438" s="39" t="n"/>
      <c r="C1438" s="34" t="n"/>
      <c r="D1438" s="34" t="n"/>
      <c r="E1438" s="34" t="n"/>
      <c r="F1438" s="34" t="n"/>
      <c r="G1438" s="34" t="n"/>
      <c r="H1438" s="37" t="n"/>
      <c r="I1438" s="37" t="n"/>
      <c r="J1438" s="34" t="n"/>
      <c r="K1438" s="34" t="n"/>
      <c r="L1438" s="34" t="n"/>
      <c r="M1438" s="39" t="n"/>
      <c r="N1438" s="35" t="n"/>
      <c r="O1438" s="40" t="str">
        <f>IF($A1438="","",MONTH($A1438))</f>
        <v/>
      </c>
      <c r="P1438" s="40" t="str">
        <f>IF($A1438="","",YEAR($A1438))</f>
        <v/>
      </c>
      <c r="Q1438" s="41" t="str">
        <f>IF($A1438="","",DATE(P1438,O1438,1))</f>
        <v/>
      </c>
      <c r="R1438" s="36" t="str">
        <f>IF(OR($A1438="",$N1438=""),"",IF(AND($C1438&lt;&gt;"Transferência",N($I1438)&gt;1),$N1438/$I1438,$N1438))</f>
        <v/>
      </c>
      <c r="S1438" s="41" t="str">
        <f>IF(OR($A1438="",$F1438="",$C1438&lt;&gt;"Despesa"),"",IF(COUNTIF(Cartoes_Nome,$F1438)=0,"",DATE(P1438,O1438+IF(DAY($A1438)&gt;=INDEX(Cartoes_Fech,MATCH($F1438,Cartoes_Nome,0)),1,0),1)))</f>
        <v/>
      </c>
      <c r="T1438" s="42" t="str">
        <f>IF($A1438="","",IF(COUNTIFS(L_Data,$A1438,L_Desc,$B1438,L_Valor,$N1438,L_Tipo,$C1438)&gt;1,"⚠ Possível duplicidade",IF(OR(AND($C1438="Despesa",COUNTIF(CatD_Nome,$D1438)=0),AND($C1438="Receita",COUNTIF(CatR_Nome,$D1438)=0)),"⚠ Categoria não combina com o tipo",IF(OR($N1438="",$C1438=""),"⚠ Falta valor ou tipo",""))))</f>
        <v/>
      </c>
      <c r="U1438" s="40">
        <f>IF($A1438="",0,P1438*12+O1438)</f>
        <v>0</v>
      </c>
      <c r="V1438" s="40">
        <f>IF($A1438="",0,U1438+MAX(0,N($I1438)-MAX(N($H1438),1)))</f>
        <v>0</v>
      </c>
      <c r="W1438" s="40">
        <f>IF(S1438="",0,YEAR(S1438)*12+MONTH(S1438))</f>
        <v>0</v>
      </c>
      <c r="X1438" s="40">
        <f>IF(W1438=0,0,W1438+V1438-U1438)</f>
        <v>0</v>
      </c>
      <c r="Y1438" s="36">
        <f>IF(W1438=0,0,N(R1438)*MAX(0,X1438-MAX(W1438,YEAR(Cfg_Hoje)*12+MONTH(Cfg_Hoje)+IF(DAY(Cfg_Hoje)&gt;=INDEX(Cartoes_Fech,MATCH($F1438,Cartoes_Nome,0)),1,0))+1))</f>
        <v>0</v>
      </c>
      <c r="Z1438" s="40">
        <f>IF($A1438="",0,DAY($A1438))</f>
        <v>0</v>
      </c>
      <c r="AA1438" s="40">
        <f>IF($A1438="",0,WEEKDAY($A1438))</f>
        <v>0</v>
      </c>
      <c r="AB1438" s="36">
        <f>IF(AND($C1438="Despesa",U1438&gt;0,U1438&lt;=Sel_Idx,V1438&gt;=Sel_Idx),N(R1438)+ROW()/1000000000,0)</f>
        <v>0</v>
      </c>
      <c r="AC1438" s="40">
        <f>IF(AND($C1438="Despesa",U1438&gt;0,U1438&lt;=Sel_Idx,V1438&gt;=Sel_Idx),Z1438*10000+ROW(),0)</f>
        <v>0</v>
      </c>
      <c r="AD1438" s="40">
        <f>IF(AC1438=0,0,COUNTIFS(L_CalChave,"&gt;0",L_CalChave,"&lt;"&amp;AC1438)+1)</f>
        <v>0</v>
      </c>
    </row>
    <row r="1439">
      <c r="A1439" s="38" t="n"/>
      <c r="B1439" s="39" t="n"/>
      <c r="C1439" s="34" t="n"/>
      <c r="D1439" s="34" t="n"/>
      <c r="E1439" s="34" t="n"/>
      <c r="F1439" s="34" t="n"/>
      <c r="G1439" s="34" t="n"/>
      <c r="H1439" s="37" t="n"/>
      <c r="I1439" s="37" t="n"/>
      <c r="J1439" s="34" t="n"/>
      <c r="K1439" s="34" t="n"/>
      <c r="L1439" s="34" t="n"/>
      <c r="M1439" s="39" t="n"/>
      <c r="N1439" s="35" t="n"/>
      <c r="O1439" s="40" t="str">
        <f>IF($A1439="","",MONTH($A1439))</f>
        <v/>
      </c>
      <c r="P1439" s="40" t="str">
        <f>IF($A1439="","",YEAR($A1439))</f>
        <v/>
      </c>
      <c r="Q1439" s="41" t="str">
        <f>IF($A1439="","",DATE(P1439,O1439,1))</f>
        <v/>
      </c>
      <c r="R1439" s="36" t="str">
        <f>IF(OR($A1439="",$N1439=""),"",IF(AND($C1439&lt;&gt;"Transferência",N($I1439)&gt;1),$N1439/$I1439,$N1439))</f>
        <v/>
      </c>
      <c r="S1439" s="41" t="str">
        <f>IF(OR($A1439="",$F1439="",$C1439&lt;&gt;"Despesa"),"",IF(COUNTIF(Cartoes_Nome,$F1439)=0,"",DATE(P1439,O1439+IF(DAY($A1439)&gt;=INDEX(Cartoes_Fech,MATCH($F1439,Cartoes_Nome,0)),1,0),1)))</f>
        <v/>
      </c>
      <c r="T1439" s="42" t="str">
        <f>IF($A1439="","",IF(COUNTIFS(L_Data,$A1439,L_Desc,$B1439,L_Valor,$N1439,L_Tipo,$C1439)&gt;1,"⚠ Possível duplicidade",IF(OR(AND($C1439="Despesa",COUNTIF(CatD_Nome,$D1439)=0),AND($C1439="Receita",COUNTIF(CatR_Nome,$D1439)=0)),"⚠ Categoria não combina com o tipo",IF(OR($N1439="",$C1439=""),"⚠ Falta valor ou tipo",""))))</f>
        <v/>
      </c>
      <c r="U1439" s="40">
        <f>IF($A1439="",0,P1439*12+O1439)</f>
        <v>0</v>
      </c>
      <c r="V1439" s="40">
        <f>IF($A1439="",0,U1439+MAX(0,N($I1439)-MAX(N($H1439),1)))</f>
        <v>0</v>
      </c>
      <c r="W1439" s="40">
        <f>IF(S1439="",0,YEAR(S1439)*12+MONTH(S1439))</f>
        <v>0</v>
      </c>
      <c r="X1439" s="40">
        <f>IF(W1439=0,0,W1439+V1439-U1439)</f>
        <v>0</v>
      </c>
      <c r="Y1439" s="36">
        <f>IF(W1439=0,0,N(R1439)*MAX(0,X1439-MAX(W1439,YEAR(Cfg_Hoje)*12+MONTH(Cfg_Hoje)+IF(DAY(Cfg_Hoje)&gt;=INDEX(Cartoes_Fech,MATCH($F1439,Cartoes_Nome,0)),1,0))+1))</f>
        <v>0</v>
      </c>
      <c r="Z1439" s="40">
        <f>IF($A1439="",0,DAY($A1439))</f>
        <v>0</v>
      </c>
      <c r="AA1439" s="40">
        <f>IF($A1439="",0,WEEKDAY($A1439))</f>
        <v>0</v>
      </c>
      <c r="AB1439" s="36">
        <f>IF(AND($C1439="Despesa",U1439&gt;0,U1439&lt;=Sel_Idx,V1439&gt;=Sel_Idx),N(R1439)+ROW()/1000000000,0)</f>
        <v>0</v>
      </c>
      <c r="AC1439" s="40">
        <f>IF(AND($C1439="Despesa",U1439&gt;0,U1439&lt;=Sel_Idx,V1439&gt;=Sel_Idx),Z1439*10000+ROW(),0)</f>
        <v>0</v>
      </c>
      <c r="AD1439" s="40">
        <f>IF(AC1439=0,0,COUNTIFS(L_CalChave,"&gt;0",L_CalChave,"&lt;"&amp;AC1439)+1)</f>
        <v>0</v>
      </c>
    </row>
    <row r="1440">
      <c r="A1440" s="38" t="n"/>
      <c r="B1440" s="39" t="n"/>
      <c r="C1440" s="34" t="n"/>
      <c r="D1440" s="34" t="n"/>
      <c r="E1440" s="34" t="n"/>
      <c r="F1440" s="34" t="n"/>
      <c r="G1440" s="34" t="n"/>
      <c r="H1440" s="37" t="n"/>
      <c r="I1440" s="37" t="n"/>
      <c r="J1440" s="34" t="n"/>
      <c r="K1440" s="34" t="n"/>
      <c r="L1440" s="34" t="n"/>
      <c r="M1440" s="39" t="n"/>
      <c r="N1440" s="35" t="n"/>
      <c r="O1440" s="40" t="str">
        <f>IF($A1440="","",MONTH($A1440))</f>
        <v/>
      </c>
      <c r="P1440" s="40" t="str">
        <f>IF($A1440="","",YEAR($A1440))</f>
        <v/>
      </c>
      <c r="Q1440" s="41" t="str">
        <f>IF($A1440="","",DATE(P1440,O1440,1))</f>
        <v/>
      </c>
      <c r="R1440" s="36" t="str">
        <f>IF(OR($A1440="",$N1440=""),"",IF(AND($C1440&lt;&gt;"Transferência",N($I1440)&gt;1),$N1440/$I1440,$N1440))</f>
        <v/>
      </c>
      <c r="S1440" s="41" t="str">
        <f>IF(OR($A1440="",$F1440="",$C1440&lt;&gt;"Despesa"),"",IF(COUNTIF(Cartoes_Nome,$F1440)=0,"",DATE(P1440,O1440+IF(DAY($A1440)&gt;=INDEX(Cartoes_Fech,MATCH($F1440,Cartoes_Nome,0)),1,0),1)))</f>
        <v/>
      </c>
      <c r="T1440" s="42" t="str">
        <f>IF($A1440="","",IF(COUNTIFS(L_Data,$A1440,L_Desc,$B1440,L_Valor,$N1440,L_Tipo,$C1440)&gt;1,"⚠ Possível duplicidade",IF(OR(AND($C1440="Despesa",COUNTIF(CatD_Nome,$D1440)=0),AND($C1440="Receita",COUNTIF(CatR_Nome,$D1440)=0)),"⚠ Categoria não combina com o tipo",IF(OR($N1440="",$C1440=""),"⚠ Falta valor ou tipo",""))))</f>
        <v/>
      </c>
      <c r="U1440" s="40">
        <f>IF($A1440="",0,P1440*12+O1440)</f>
        <v>0</v>
      </c>
      <c r="V1440" s="40">
        <f>IF($A1440="",0,U1440+MAX(0,N($I1440)-MAX(N($H1440),1)))</f>
        <v>0</v>
      </c>
      <c r="W1440" s="40">
        <f>IF(S1440="",0,YEAR(S1440)*12+MONTH(S1440))</f>
        <v>0</v>
      </c>
      <c r="X1440" s="40">
        <f>IF(W1440=0,0,W1440+V1440-U1440)</f>
        <v>0</v>
      </c>
      <c r="Y1440" s="36">
        <f>IF(W1440=0,0,N(R1440)*MAX(0,X1440-MAX(W1440,YEAR(Cfg_Hoje)*12+MONTH(Cfg_Hoje)+IF(DAY(Cfg_Hoje)&gt;=INDEX(Cartoes_Fech,MATCH($F1440,Cartoes_Nome,0)),1,0))+1))</f>
        <v>0</v>
      </c>
      <c r="Z1440" s="40">
        <f>IF($A1440="",0,DAY($A1440))</f>
        <v>0</v>
      </c>
      <c r="AA1440" s="40">
        <f>IF($A1440="",0,WEEKDAY($A1440))</f>
        <v>0</v>
      </c>
      <c r="AB1440" s="36">
        <f>IF(AND($C1440="Despesa",U1440&gt;0,U1440&lt;=Sel_Idx,V1440&gt;=Sel_Idx),N(R1440)+ROW()/1000000000,0)</f>
        <v>0</v>
      </c>
      <c r="AC1440" s="40">
        <f>IF(AND($C1440="Despesa",U1440&gt;0,U1440&lt;=Sel_Idx,V1440&gt;=Sel_Idx),Z1440*10000+ROW(),0)</f>
        <v>0</v>
      </c>
      <c r="AD1440" s="40">
        <f>IF(AC1440=0,0,COUNTIFS(L_CalChave,"&gt;0",L_CalChave,"&lt;"&amp;AC1440)+1)</f>
        <v>0</v>
      </c>
    </row>
    <row r="1441">
      <c r="A1441" s="38" t="n"/>
      <c r="B1441" s="39" t="n"/>
      <c r="C1441" s="34" t="n"/>
      <c r="D1441" s="34" t="n"/>
      <c r="E1441" s="34" t="n"/>
      <c r="F1441" s="34" t="n"/>
      <c r="G1441" s="34" t="n"/>
      <c r="H1441" s="37" t="n"/>
      <c r="I1441" s="37" t="n"/>
      <c r="J1441" s="34" t="n"/>
      <c r="K1441" s="34" t="n"/>
      <c r="L1441" s="34" t="n"/>
      <c r="M1441" s="39" t="n"/>
      <c r="N1441" s="35" t="n"/>
      <c r="O1441" s="40" t="str">
        <f>IF($A1441="","",MONTH($A1441))</f>
        <v/>
      </c>
      <c r="P1441" s="40" t="str">
        <f>IF($A1441="","",YEAR($A1441))</f>
        <v/>
      </c>
      <c r="Q1441" s="41" t="str">
        <f>IF($A1441="","",DATE(P1441,O1441,1))</f>
        <v/>
      </c>
      <c r="R1441" s="36" t="str">
        <f>IF(OR($A1441="",$N1441=""),"",IF(AND($C1441&lt;&gt;"Transferência",N($I1441)&gt;1),$N1441/$I1441,$N1441))</f>
        <v/>
      </c>
      <c r="S1441" s="41" t="str">
        <f>IF(OR($A1441="",$F1441="",$C1441&lt;&gt;"Despesa"),"",IF(COUNTIF(Cartoes_Nome,$F1441)=0,"",DATE(P1441,O1441+IF(DAY($A1441)&gt;=INDEX(Cartoes_Fech,MATCH($F1441,Cartoes_Nome,0)),1,0),1)))</f>
        <v/>
      </c>
      <c r="T1441" s="42" t="str">
        <f>IF($A1441="","",IF(COUNTIFS(L_Data,$A1441,L_Desc,$B1441,L_Valor,$N1441,L_Tipo,$C1441)&gt;1,"⚠ Possível duplicidade",IF(OR(AND($C1441="Despesa",COUNTIF(CatD_Nome,$D1441)=0),AND($C1441="Receita",COUNTIF(CatR_Nome,$D1441)=0)),"⚠ Categoria não combina com o tipo",IF(OR($N1441="",$C1441=""),"⚠ Falta valor ou tipo",""))))</f>
        <v/>
      </c>
      <c r="U1441" s="40">
        <f>IF($A1441="",0,P1441*12+O1441)</f>
        <v>0</v>
      </c>
      <c r="V1441" s="40">
        <f>IF($A1441="",0,U1441+MAX(0,N($I1441)-MAX(N($H1441),1)))</f>
        <v>0</v>
      </c>
      <c r="W1441" s="40">
        <f>IF(S1441="",0,YEAR(S1441)*12+MONTH(S1441))</f>
        <v>0</v>
      </c>
      <c r="X1441" s="40">
        <f>IF(W1441=0,0,W1441+V1441-U1441)</f>
        <v>0</v>
      </c>
      <c r="Y1441" s="36">
        <f>IF(W1441=0,0,N(R1441)*MAX(0,X1441-MAX(W1441,YEAR(Cfg_Hoje)*12+MONTH(Cfg_Hoje)+IF(DAY(Cfg_Hoje)&gt;=INDEX(Cartoes_Fech,MATCH($F1441,Cartoes_Nome,0)),1,0))+1))</f>
        <v>0</v>
      </c>
      <c r="Z1441" s="40">
        <f>IF($A1441="",0,DAY($A1441))</f>
        <v>0</v>
      </c>
      <c r="AA1441" s="40">
        <f>IF($A1441="",0,WEEKDAY($A1441))</f>
        <v>0</v>
      </c>
      <c r="AB1441" s="36">
        <f>IF(AND($C1441="Despesa",U1441&gt;0,U1441&lt;=Sel_Idx,V1441&gt;=Sel_Idx),N(R1441)+ROW()/1000000000,0)</f>
        <v>0</v>
      </c>
      <c r="AC1441" s="40">
        <f>IF(AND($C1441="Despesa",U1441&gt;0,U1441&lt;=Sel_Idx,V1441&gt;=Sel_Idx),Z1441*10000+ROW(),0)</f>
        <v>0</v>
      </c>
      <c r="AD1441" s="40">
        <f>IF(AC1441=0,0,COUNTIFS(L_CalChave,"&gt;0",L_CalChave,"&lt;"&amp;AC1441)+1)</f>
        <v>0</v>
      </c>
    </row>
    <row r="1442">
      <c r="A1442" s="38" t="n"/>
      <c r="B1442" s="39" t="n"/>
      <c r="C1442" s="34" t="n"/>
      <c r="D1442" s="34" t="n"/>
      <c r="E1442" s="34" t="n"/>
      <c r="F1442" s="34" t="n"/>
      <c r="G1442" s="34" t="n"/>
      <c r="H1442" s="37" t="n"/>
      <c r="I1442" s="37" t="n"/>
      <c r="J1442" s="34" t="n"/>
      <c r="K1442" s="34" t="n"/>
      <c r="L1442" s="34" t="n"/>
      <c r="M1442" s="39" t="n"/>
      <c r="N1442" s="35" t="n"/>
      <c r="O1442" s="40" t="str">
        <f>IF($A1442="","",MONTH($A1442))</f>
        <v/>
      </c>
      <c r="P1442" s="40" t="str">
        <f>IF($A1442="","",YEAR($A1442))</f>
        <v/>
      </c>
      <c r="Q1442" s="41" t="str">
        <f>IF($A1442="","",DATE(P1442,O1442,1))</f>
        <v/>
      </c>
      <c r="R1442" s="36" t="str">
        <f>IF(OR($A1442="",$N1442=""),"",IF(AND($C1442&lt;&gt;"Transferência",N($I1442)&gt;1),$N1442/$I1442,$N1442))</f>
        <v/>
      </c>
      <c r="S1442" s="41" t="str">
        <f>IF(OR($A1442="",$F1442="",$C1442&lt;&gt;"Despesa"),"",IF(COUNTIF(Cartoes_Nome,$F1442)=0,"",DATE(P1442,O1442+IF(DAY($A1442)&gt;=INDEX(Cartoes_Fech,MATCH($F1442,Cartoes_Nome,0)),1,0),1)))</f>
        <v/>
      </c>
      <c r="T1442" s="42" t="str">
        <f>IF($A1442="","",IF(COUNTIFS(L_Data,$A1442,L_Desc,$B1442,L_Valor,$N1442,L_Tipo,$C1442)&gt;1,"⚠ Possível duplicidade",IF(OR(AND($C1442="Despesa",COUNTIF(CatD_Nome,$D1442)=0),AND($C1442="Receita",COUNTIF(CatR_Nome,$D1442)=0)),"⚠ Categoria não combina com o tipo",IF(OR($N1442="",$C1442=""),"⚠ Falta valor ou tipo",""))))</f>
        <v/>
      </c>
      <c r="U1442" s="40">
        <f>IF($A1442="",0,P1442*12+O1442)</f>
        <v>0</v>
      </c>
      <c r="V1442" s="40">
        <f>IF($A1442="",0,U1442+MAX(0,N($I1442)-MAX(N($H1442),1)))</f>
        <v>0</v>
      </c>
      <c r="W1442" s="40">
        <f>IF(S1442="",0,YEAR(S1442)*12+MONTH(S1442))</f>
        <v>0</v>
      </c>
      <c r="X1442" s="40">
        <f>IF(W1442=0,0,W1442+V1442-U1442)</f>
        <v>0</v>
      </c>
      <c r="Y1442" s="36">
        <f>IF(W1442=0,0,N(R1442)*MAX(0,X1442-MAX(W1442,YEAR(Cfg_Hoje)*12+MONTH(Cfg_Hoje)+IF(DAY(Cfg_Hoje)&gt;=INDEX(Cartoes_Fech,MATCH($F1442,Cartoes_Nome,0)),1,0))+1))</f>
        <v>0</v>
      </c>
      <c r="Z1442" s="40">
        <f>IF($A1442="",0,DAY($A1442))</f>
        <v>0</v>
      </c>
      <c r="AA1442" s="40">
        <f>IF($A1442="",0,WEEKDAY($A1442))</f>
        <v>0</v>
      </c>
      <c r="AB1442" s="36">
        <f>IF(AND($C1442="Despesa",U1442&gt;0,U1442&lt;=Sel_Idx,V1442&gt;=Sel_Idx),N(R1442)+ROW()/1000000000,0)</f>
        <v>0</v>
      </c>
      <c r="AC1442" s="40">
        <f>IF(AND($C1442="Despesa",U1442&gt;0,U1442&lt;=Sel_Idx,V1442&gt;=Sel_Idx),Z1442*10000+ROW(),0)</f>
        <v>0</v>
      </c>
      <c r="AD1442" s="40">
        <f>IF(AC1442=0,0,COUNTIFS(L_CalChave,"&gt;0",L_CalChave,"&lt;"&amp;AC1442)+1)</f>
        <v>0</v>
      </c>
    </row>
    <row r="1443">
      <c r="A1443" s="38" t="n"/>
      <c r="B1443" s="39" t="n"/>
      <c r="C1443" s="34" t="n"/>
      <c r="D1443" s="34" t="n"/>
      <c r="E1443" s="34" t="n"/>
      <c r="F1443" s="34" t="n"/>
      <c r="G1443" s="34" t="n"/>
      <c r="H1443" s="37" t="n"/>
      <c r="I1443" s="37" t="n"/>
      <c r="J1443" s="34" t="n"/>
      <c r="K1443" s="34" t="n"/>
      <c r="L1443" s="34" t="n"/>
      <c r="M1443" s="39" t="n"/>
      <c r="N1443" s="35" t="n"/>
      <c r="O1443" s="40" t="str">
        <f>IF($A1443="","",MONTH($A1443))</f>
        <v/>
      </c>
      <c r="P1443" s="40" t="str">
        <f>IF($A1443="","",YEAR($A1443))</f>
        <v/>
      </c>
      <c r="Q1443" s="41" t="str">
        <f>IF($A1443="","",DATE(P1443,O1443,1))</f>
        <v/>
      </c>
      <c r="R1443" s="36" t="str">
        <f>IF(OR($A1443="",$N1443=""),"",IF(AND($C1443&lt;&gt;"Transferência",N($I1443)&gt;1),$N1443/$I1443,$N1443))</f>
        <v/>
      </c>
      <c r="S1443" s="41" t="str">
        <f>IF(OR($A1443="",$F1443="",$C1443&lt;&gt;"Despesa"),"",IF(COUNTIF(Cartoes_Nome,$F1443)=0,"",DATE(P1443,O1443+IF(DAY($A1443)&gt;=INDEX(Cartoes_Fech,MATCH($F1443,Cartoes_Nome,0)),1,0),1)))</f>
        <v/>
      </c>
      <c r="T1443" s="42" t="str">
        <f>IF($A1443="","",IF(COUNTIFS(L_Data,$A1443,L_Desc,$B1443,L_Valor,$N1443,L_Tipo,$C1443)&gt;1,"⚠ Possível duplicidade",IF(OR(AND($C1443="Despesa",COUNTIF(CatD_Nome,$D1443)=0),AND($C1443="Receita",COUNTIF(CatR_Nome,$D1443)=0)),"⚠ Categoria não combina com o tipo",IF(OR($N1443="",$C1443=""),"⚠ Falta valor ou tipo",""))))</f>
        <v/>
      </c>
      <c r="U1443" s="40">
        <f>IF($A1443="",0,P1443*12+O1443)</f>
        <v>0</v>
      </c>
      <c r="V1443" s="40">
        <f>IF($A1443="",0,U1443+MAX(0,N($I1443)-MAX(N($H1443),1)))</f>
        <v>0</v>
      </c>
      <c r="W1443" s="40">
        <f>IF(S1443="",0,YEAR(S1443)*12+MONTH(S1443))</f>
        <v>0</v>
      </c>
      <c r="X1443" s="40">
        <f>IF(W1443=0,0,W1443+V1443-U1443)</f>
        <v>0</v>
      </c>
      <c r="Y1443" s="36">
        <f>IF(W1443=0,0,N(R1443)*MAX(0,X1443-MAX(W1443,YEAR(Cfg_Hoje)*12+MONTH(Cfg_Hoje)+IF(DAY(Cfg_Hoje)&gt;=INDEX(Cartoes_Fech,MATCH($F1443,Cartoes_Nome,0)),1,0))+1))</f>
        <v>0</v>
      </c>
      <c r="Z1443" s="40">
        <f>IF($A1443="",0,DAY($A1443))</f>
        <v>0</v>
      </c>
      <c r="AA1443" s="40">
        <f>IF($A1443="",0,WEEKDAY($A1443))</f>
        <v>0</v>
      </c>
      <c r="AB1443" s="36">
        <f>IF(AND($C1443="Despesa",U1443&gt;0,U1443&lt;=Sel_Idx,V1443&gt;=Sel_Idx),N(R1443)+ROW()/1000000000,0)</f>
        <v>0</v>
      </c>
      <c r="AC1443" s="40">
        <f>IF(AND($C1443="Despesa",U1443&gt;0,U1443&lt;=Sel_Idx,V1443&gt;=Sel_Idx),Z1443*10000+ROW(),0)</f>
        <v>0</v>
      </c>
      <c r="AD1443" s="40">
        <f>IF(AC1443=0,0,COUNTIFS(L_CalChave,"&gt;0",L_CalChave,"&lt;"&amp;AC1443)+1)</f>
        <v>0</v>
      </c>
    </row>
    <row r="1444">
      <c r="A1444" s="38" t="n"/>
      <c r="B1444" s="39" t="n"/>
      <c r="C1444" s="34" t="n"/>
      <c r="D1444" s="34" t="n"/>
      <c r="E1444" s="34" t="n"/>
      <c r="F1444" s="34" t="n"/>
      <c r="G1444" s="34" t="n"/>
      <c r="H1444" s="37" t="n"/>
      <c r="I1444" s="37" t="n"/>
      <c r="J1444" s="34" t="n"/>
      <c r="K1444" s="34" t="n"/>
      <c r="L1444" s="34" t="n"/>
      <c r="M1444" s="39" t="n"/>
      <c r="N1444" s="35" t="n"/>
      <c r="O1444" s="40" t="str">
        <f>IF($A1444="","",MONTH($A1444))</f>
        <v/>
      </c>
      <c r="P1444" s="40" t="str">
        <f>IF($A1444="","",YEAR($A1444))</f>
        <v/>
      </c>
      <c r="Q1444" s="41" t="str">
        <f>IF($A1444="","",DATE(P1444,O1444,1))</f>
        <v/>
      </c>
      <c r="R1444" s="36" t="str">
        <f>IF(OR($A1444="",$N1444=""),"",IF(AND($C1444&lt;&gt;"Transferência",N($I1444)&gt;1),$N1444/$I1444,$N1444))</f>
        <v/>
      </c>
      <c r="S1444" s="41" t="str">
        <f>IF(OR($A1444="",$F1444="",$C1444&lt;&gt;"Despesa"),"",IF(COUNTIF(Cartoes_Nome,$F1444)=0,"",DATE(P1444,O1444+IF(DAY($A1444)&gt;=INDEX(Cartoes_Fech,MATCH($F1444,Cartoes_Nome,0)),1,0),1)))</f>
        <v/>
      </c>
      <c r="T1444" s="42" t="str">
        <f>IF($A1444="","",IF(COUNTIFS(L_Data,$A1444,L_Desc,$B1444,L_Valor,$N1444,L_Tipo,$C1444)&gt;1,"⚠ Possível duplicidade",IF(OR(AND($C1444="Despesa",COUNTIF(CatD_Nome,$D1444)=0),AND($C1444="Receita",COUNTIF(CatR_Nome,$D1444)=0)),"⚠ Categoria não combina com o tipo",IF(OR($N1444="",$C1444=""),"⚠ Falta valor ou tipo",""))))</f>
        <v/>
      </c>
      <c r="U1444" s="40">
        <f>IF($A1444="",0,P1444*12+O1444)</f>
        <v>0</v>
      </c>
      <c r="V1444" s="40">
        <f>IF($A1444="",0,U1444+MAX(0,N($I1444)-MAX(N($H1444),1)))</f>
        <v>0</v>
      </c>
      <c r="W1444" s="40">
        <f>IF(S1444="",0,YEAR(S1444)*12+MONTH(S1444))</f>
        <v>0</v>
      </c>
      <c r="X1444" s="40">
        <f>IF(W1444=0,0,W1444+V1444-U1444)</f>
        <v>0</v>
      </c>
      <c r="Y1444" s="36">
        <f>IF(W1444=0,0,N(R1444)*MAX(0,X1444-MAX(W1444,YEAR(Cfg_Hoje)*12+MONTH(Cfg_Hoje)+IF(DAY(Cfg_Hoje)&gt;=INDEX(Cartoes_Fech,MATCH($F1444,Cartoes_Nome,0)),1,0))+1))</f>
        <v>0</v>
      </c>
      <c r="Z1444" s="40">
        <f>IF($A1444="",0,DAY($A1444))</f>
        <v>0</v>
      </c>
      <c r="AA1444" s="40">
        <f>IF($A1444="",0,WEEKDAY($A1444))</f>
        <v>0</v>
      </c>
      <c r="AB1444" s="36">
        <f>IF(AND($C1444="Despesa",U1444&gt;0,U1444&lt;=Sel_Idx,V1444&gt;=Sel_Idx),N(R1444)+ROW()/1000000000,0)</f>
        <v>0</v>
      </c>
      <c r="AC1444" s="40">
        <f>IF(AND($C1444="Despesa",U1444&gt;0,U1444&lt;=Sel_Idx,V1444&gt;=Sel_Idx),Z1444*10000+ROW(),0)</f>
        <v>0</v>
      </c>
      <c r="AD1444" s="40">
        <f>IF(AC1444=0,0,COUNTIFS(L_CalChave,"&gt;0",L_CalChave,"&lt;"&amp;AC1444)+1)</f>
        <v>0</v>
      </c>
    </row>
    <row r="1445">
      <c r="A1445" s="38" t="n"/>
      <c r="B1445" s="39" t="n"/>
      <c r="C1445" s="34" t="n"/>
      <c r="D1445" s="34" t="n"/>
      <c r="E1445" s="34" t="n"/>
      <c r="F1445" s="34" t="n"/>
      <c r="G1445" s="34" t="n"/>
      <c r="H1445" s="37" t="n"/>
      <c r="I1445" s="37" t="n"/>
      <c r="J1445" s="34" t="n"/>
      <c r="K1445" s="34" t="n"/>
      <c r="L1445" s="34" t="n"/>
      <c r="M1445" s="39" t="n"/>
      <c r="N1445" s="35" t="n"/>
      <c r="O1445" s="40" t="str">
        <f>IF($A1445="","",MONTH($A1445))</f>
        <v/>
      </c>
      <c r="P1445" s="40" t="str">
        <f>IF($A1445="","",YEAR($A1445))</f>
        <v/>
      </c>
      <c r="Q1445" s="41" t="str">
        <f>IF($A1445="","",DATE(P1445,O1445,1))</f>
        <v/>
      </c>
      <c r="R1445" s="36" t="str">
        <f>IF(OR($A1445="",$N1445=""),"",IF(AND($C1445&lt;&gt;"Transferência",N($I1445)&gt;1),$N1445/$I1445,$N1445))</f>
        <v/>
      </c>
      <c r="S1445" s="41" t="str">
        <f>IF(OR($A1445="",$F1445="",$C1445&lt;&gt;"Despesa"),"",IF(COUNTIF(Cartoes_Nome,$F1445)=0,"",DATE(P1445,O1445+IF(DAY($A1445)&gt;=INDEX(Cartoes_Fech,MATCH($F1445,Cartoes_Nome,0)),1,0),1)))</f>
        <v/>
      </c>
      <c r="T1445" s="42" t="str">
        <f>IF($A1445="","",IF(COUNTIFS(L_Data,$A1445,L_Desc,$B1445,L_Valor,$N1445,L_Tipo,$C1445)&gt;1,"⚠ Possível duplicidade",IF(OR(AND($C1445="Despesa",COUNTIF(CatD_Nome,$D1445)=0),AND($C1445="Receita",COUNTIF(CatR_Nome,$D1445)=0)),"⚠ Categoria não combina com o tipo",IF(OR($N1445="",$C1445=""),"⚠ Falta valor ou tipo",""))))</f>
        <v/>
      </c>
      <c r="U1445" s="40">
        <f>IF($A1445="",0,P1445*12+O1445)</f>
        <v>0</v>
      </c>
      <c r="V1445" s="40">
        <f>IF($A1445="",0,U1445+MAX(0,N($I1445)-MAX(N($H1445),1)))</f>
        <v>0</v>
      </c>
      <c r="W1445" s="40">
        <f>IF(S1445="",0,YEAR(S1445)*12+MONTH(S1445))</f>
        <v>0</v>
      </c>
      <c r="X1445" s="40">
        <f>IF(W1445=0,0,W1445+V1445-U1445)</f>
        <v>0</v>
      </c>
      <c r="Y1445" s="36">
        <f>IF(W1445=0,0,N(R1445)*MAX(0,X1445-MAX(W1445,YEAR(Cfg_Hoje)*12+MONTH(Cfg_Hoje)+IF(DAY(Cfg_Hoje)&gt;=INDEX(Cartoes_Fech,MATCH($F1445,Cartoes_Nome,0)),1,0))+1))</f>
        <v>0</v>
      </c>
      <c r="Z1445" s="40">
        <f>IF($A1445="",0,DAY($A1445))</f>
        <v>0</v>
      </c>
      <c r="AA1445" s="40">
        <f>IF($A1445="",0,WEEKDAY($A1445))</f>
        <v>0</v>
      </c>
      <c r="AB1445" s="36">
        <f>IF(AND($C1445="Despesa",U1445&gt;0,U1445&lt;=Sel_Idx,V1445&gt;=Sel_Idx),N(R1445)+ROW()/1000000000,0)</f>
        <v>0</v>
      </c>
      <c r="AC1445" s="40">
        <f>IF(AND($C1445="Despesa",U1445&gt;0,U1445&lt;=Sel_Idx,V1445&gt;=Sel_Idx),Z1445*10000+ROW(),0)</f>
        <v>0</v>
      </c>
      <c r="AD1445" s="40">
        <f>IF(AC1445=0,0,COUNTIFS(L_CalChave,"&gt;0",L_CalChave,"&lt;"&amp;AC1445)+1)</f>
        <v>0</v>
      </c>
    </row>
    <row r="1446">
      <c r="A1446" s="38" t="n"/>
      <c r="B1446" s="39" t="n"/>
      <c r="C1446" s="34" t="n"/>
      <c r="D1446" s="34" t="n"/>
      <c r="E1446" s="34" t="n"/>
      <c r="F1446" s="34" t="n"/>
      <c r="G1446" s="34" t="n"/>
      <c r="H1446" s="37" t="n"/>
      <c r="I1446" s="37" t="n"/>
      <c r="J1446" s="34" t="n"/>
      <c r="K1446" s="34" t="n"/>
      <c r="L1446" s="34" t="n"/>
      <c r="M1446" s="39" t="n"/>
      <c r="N1446" s="35" t="n"/>
      <c r="O1446" s="40" t="str">
        <f>IF($A1446="","",MONTH($A1446))</f>
        <v/>
      </c>
      <c r="P1446" s="40" t="str">
        <f>IF($A1446="","",YEAR($A1446))</f>
        <v/>
      </c>
      <c r="Q1446" s="41" t="str">
        <f>IF($A1446="","",DATE(P1446,O1446,1))</f>
        <v/>
      </c>
      <c r="R1446" s="36" t="str">
        <f>IF(OR($A1446="",$N1446=""),"",IF(AND($C1446&lt;&gt;"Transferência",N($I1446)&gt;1),$N1446/$I1446,$N1446))</f>
        <v/>
      </c>
      <c r="S1446" s="41" t="str">
        <f>IF(OR($A1446="",$F1446="",$C1446&lt;&gt;"Despesa"),"",IF(COUNTIF(Cartoes_Nome,$F1446)=0,"",DATE(P1446,O1446+IF(DAY($A1446)&gt;=INDEX(Cartoes_Fech,MATCH($F1446,Cartoes_Nome,0)),1,0),1)))</f>
        <v/>
      </c>
      <c r="T1446" s="42" t="str">
        <f>IF($A1446="","",IF(COUNTIFS(L_Data,$A1446,L_Desc,$B1446,L_Valor,$N1446,L_Tipo,$C1446)&gt;1,"⚠ Possível duplicidade",IF(OR(AND($C1446="Despesa",COUNTIF(CatD_Nome,$D1446)=0),AND($C1446="Receita",COUNTIF(CatR_Nome,$D1446)=0)),"⚠ Categoria não combina com o tipo",IF(OR($N1446="",$C1446=""),"⚠ Falta valor ou tipo",""))))</f>
        <v/>
      </c>
      <c r="U1446" s="40">
        <f>IF($A1446="",0,P1446*12+O1446)</f>
        <v>0</v>
      </c>
      <c r="V1446" s="40">
        <f>IF($A1446="",0,U1446+MAX(0,N($I1446)-MAX(N($H1446),1)))</f>
        <v>0</v>
      </c>
      <c r="W1446" s="40">
        <f>IF(S1446="",0,YEAR(S1446)*12+MONTH(S1446))</f>
        <v>0</v>
      </c>
      <c r="X1446" s="40">
        <f>IF(W1446=0,0,W1446+V1446-U1446)</f>
        <v>0</v>
      </c>
      <c r="Y1446" s="36">
        <f>IF(W1446=0,0,N(R1446)*MAX(0,X1446-MAX(W1446,YEAR(Cfg_Hoje)*12+MONTH(Cfg_Hoje)+IF(DAY(Cfg_Hoje)&gt;=INDEX(Cartoes_Fech,MATCH($F1446,Cartoes_Nome,0)),1,0))+1))</f>
        <v>0</v>
      </c>
      <c r="Z1446" s="40">
        <f>IF($A1446="",0,DAY($A1446))</f>
        <v>0</v>
      </c>
      <c r="AA1446" s="40">
        <f>IF($A1446="",0,WEEKDAY($A1446))</f>
        <v>0</v>
      </c>
      <c r="AB1446" s="36">
        <f>IF(AND($C1446="Despesa",U1446&gt;0,U1446&lt;=Sel_Idx,V1446&gt;=Sel_Idx),N(R1446)+ROW()/1000000000,0)</f>
        <v>0</v>
      </c>
      <c r="AC1446" s="40">
        <f>IF(AND($C1446="Despesa",U1446&gt;0,U1446&lt;=Sel_Idx,V1446&gt;=Sel_Idx),Z1446*10000+ROW(),0)</f>
        <v>0</v>
      </c>
      <c r="AD1446" s="40">
        <f>IF(AC1446=0,0,COUNTIFS(L_CalChave,"&gt;0",L_CalChave,"&lt;"&amp;AC1446)+1)</f>
        <v>0</v>
      </c>
    </row>
    <row r="1447">
      <c r="A1447" s="38" t="n"/>
      <c r="B1447" s="39" t="n"/>
      <c r="C1447" s="34" t="n"/>
      <c r="D1447" s="34" t="n"/>
      <c r="E1447" s="34" t="n"/>
      <c r="F1447" s="34" t="n"/>
      <c r="G1447" s="34" t="n"/>
      <c r="H1447" s="37" t="n"/>
      <c r="I1447" s="37" t="n"/>
      <c r="J1447" s="34" t="n"/>
      <c r="K1447" s="34" t="n"/>
      <c r="L1447" s="34" t="n"/>
      <c r="M1447" s="39" t="n"/>
      <c r="N1447" s="35" t="n"/>
      <c r="O1447" s="40" t="str">
        <f>IF($A1447="","",MONTH($A1447))</f>
        <v/>
      </c>
      <c r="P1447" s="40" t="str">
        <f>IF($A1447="","",YEAR($A1447))</f>
        <v/>
      </c>
      <c r="Q1447" s="41" t="str">
        <f>IF($A1447="","",DATE(P1447,O1447,1))</f>
        <v/>
      </c>
      <c r="R1447" s="36" t="str">
        <f>IF(OR($A1447="",$N1447=""),"",IF(AND($C1447&lt;&gt;"Transferência",N($I1447)&gt;1),$N1447/$I1447,$N1447))</f>
        <v/>
      </c>
      <c r="S1447" s="41" t="str">
        <f>IF(OR($A1447="",$F1447="",$C1447&lt;&gt;"Despesa"),"",IF(COUNTIF(Cartoes_Nome,$F1447)=0,"",DATE(P1447,O1447+IF(DAY($A1447)&gt;=INDEX(Cartoes_Fech,MATCH($F1447,Cartoes_Nome,0)),1,0),1)))</f>
        <v/>
      </c>
      <c r="T1447" s="42" t="str">
        <f>IF($A1447="","",IF(COUNTIFS(L_Data,$A1447,L_Desc,$B1447,L_Valor,$N1447,L_Tipo,$C1447)&gt;1,"⚠ Possível duplicidade",IF(OR(AND($C1447="Despesa",COUNTIF(CatD_Nome,$D1447)=0),AND($C1447="Receita",COUNTIF(CatR_Nome,$D1447)=0)),"⚠ Categoria não combina com o tipo",IF(OR($N1447="",$C1447=""),"⚠ Falta valor ou tipo",""))))</f>
        <v/>
      </c>
      <c r="U1447" s="40">
        <f>IF($A1447="",0,P1447*12+O1447)</f>
        <v>0</v>
      </c>
      <c r="V1447" s="40">
        <f>IF($A1447="",0,U1447+MAX(0,N($I1447)-MAX(N($H1447),1)))</f>
        <v>0</v>
      </c>
      <c r="W1447" s="40">
        <f>IF(S1447="",0,YEAR(S1447)*12+MONTH(S1447))</f>
        <v>0</v>
      </c>
      <c r="X1447" s="40">
        <f>IF(W1447=0,0,W1447+V1447-U1447)</f>
        <v>0</v>
      </c>
      <c r="Y1447" s="36">
        <f>IF(W1447=0,0,N(R1447)*MAX(0,X1447-MAX(W1447,YEAR(Cfg_Hoje)*12+MONTH(Cfg_Hoje)+IF(DAY(Cfg_Hoje)&gt;=INDEX(Cartoes_Fech,MATCH($F1447,Cartoes_Nome,0)),1,0))+1))</f>
        <v>0</v>
      </c>
      <c r="Z1447" s="40">
        <f>IF($A1447="",0,DAY($A1447))</f>
        <v>0</v>
      </c>
      <c r="AA1447" s="40">
        <f>IF($A1447="",0,WEEKDAY($A1447))</f>
        <v>0</v>
      </c>
      <c r="AB1447" s="36">
        <f>IF(AND($C1447="Despesa",U1447&gt;0,U1447&lt;=Sel_Idx,V1447&gt;=Sel_Idx),N(R1447)+ROW()/1000000000,0)</f>
        <v>0</v>
      </c>
      <c r="AC1447" s="40">
        <f>IF(AND($C1447="Despesa",U1447&gt;0,U1447&lt;=Sel_Idx,V1447&gt;=Sel_Idx),Z1447*10000+ROW(),0)</f>
        <v>0</v>
      </c>
      <c r="AD1447" s="40">
        <f>IF(AC1447=0,0,COUNTIFS(L_CalChave,"&gt;0",L_CalChave,"&lt;"&amp;AC1447)+1)</f>
        <v>0</v>
      </c>
    </row>
    <row r="1448">
      <c r="A1448" s="38" t="n"/>
      <c r="B1448" s="39" t="n"/>
      <c r="C1448" s="34" t="n"/>
      <c r="D1448" s="34" t="n"/>
      <c r="E1448" s="34" t="n"/>
      <c r="F1448" s="34" t="n"/>
      <c r="G1448" s="34" t="n"/>
      <c r="H1448" s="37" t="n"/>
      <c r="I1448" s="37" t="n"/>
      <c r="J1448" s="34" t="n"/>
      <c r="K1448" s="34" t="n"/>
      <c r="L1448" s="34" t="n"/>
      <c r="M1448" s="39" t="n"/>
      <c r="N1448" s="35" t="n"/>
      <c r="O1448" s="40" t="str">
        <f>IF($A1448="","",MONTH($A1448))</f>
        <v/>
      </c>
      <c r="P1448" s="40" t="str">
        <f>IF($A1448="","",YEAR($A1448))</f>
        <v/>
      </c>
      <c r="Q1448" s="41" t="str">
        <f>IF($A1448="","",DATE(P1448,O1448,1))</f>
        <v/>
      </c>
      <c r="R1448" s="36" t="str">
        <f>IF(OR($A1448="",$N1448=""),"",IF(AND($C1448&lt;&gt;"Transferência",N($I1448)&gt;1),$N1448/$I1448,$N1448))</f>
        <v/>
      </c>
      <c r="S1448" s="41" t="str">
        <f>IF(OR($A1448="",$F1448="",$C1448&lt;&gt;"Despesa"),"",IF(COUNTIF(Cartoes_Nome,$F1448)=0,"",DATE(P1448,O1448+IF(DAY($A1448)&gt;=INDEX(Cartoes_Fech,MATCH($F1448,Cartoes_Nome,0)),1,0),1)))</f>
        <v/>
      </c>
      <c r="T1448" s="42" t="str">
        <f>IF($A1448="","",IF(COUNTIFS(L_Data,$A1448,L_Desc,$B1448,L_Valor,$N1448,L_Tipo,$C1448)&gt;1,"⚠ Possível duplicidade",IF(OR(AND($C1448="Despesa",COUNTIF(CatD_Nome,$D1448)=0),AND($C1448="Receita",COUNTIF(CatR_Nome,$D1448)=0)),"⚠ Categoria não combina com o tipo",IF(OR($N1448="",$C1448=""),"⚠ Falta valor ou tipo",""))))</f>
        <v/>
      </c>
      <c r="U1448" s="40">
        <f>IF($A1448="",0,P1448*12+O1448)</f>
        <v>0</v>
      </c>
      <c r="V1448" s="40">
        <f>IF($A1448="",0,U1448+MAX(0,N($I1448)-MAX(N($H1448),1)))</f>
        <v>0</v>
      </c>
      <c r="W1448" s="40">
        <f>IF(S1448="",0,YEAR(S1448)*12+MONTH(S1448))</f>
        <v>0</v>
      </c>
      <c r="X1448" s="40">
        <f>IF(W1448=0,0,W1448+V1448-U1448)</f>
        <v>0</v>
      </c>
      <c r="Y1448" s="36">
        <f>IF(W1448=0,0,N(R1448)*MAX(0,X1448-MAX(W1448,YEAR(Cfg_Hoje)*12+MONTH(Cfg_Hoje)+IF(DAY(Cfg_Hoje)&gt;=INDEX(Cartoes_Fech,MATCH($F1448,Cartoes_Nome,0)),1,0))+1))</f>
        <v>0</v>
      </c>
      <c r="Z1448" s="40">
        <f>IF($A1448="",0,DAY($A1448))</f>
        <v>0</v>
      </c>
      <c r="AA1448" s="40">
        <f>IF($A1448="",0,WEEKDAY($A1448))</f>
        <v>0</v>
      </c>
      <c r="AB1448" s="36">
        <f>IF(AND($C1448="Despesa",U1448&gt;0,U1448&lt;=Sel_Idx,V1448&gt;=Sel_Idx),N(R1448)+ROW()/1000000000,0)</f>
        <v>0</v>
      </c>
      <c r="AC1448" s="40">
        <f>IF(AND($C1448="Despesa",U1448&gt;0,U1448&lt;=Sel_Idx,V1448&gt;=Sel_Idx),Z1448*10000+ROW(),0)</f>
        <v>0</v>
      </c>
      <c r="AD1448" s="40">
        <f>IF(AC1448=0,0,COUNTIFS(L_CalChave,"&gt;0",L_CalChave,"&lt;"&amp;AC1448)+1)</f>
        <v>0</v>
      </c>
    </row>
    <row r="1449">
      <c r="A1449" s="38" t="n"/>
      <c r="B1449" s="39" t="n"/>
      <c r="C1449" s="34" t="n"/>
      <c r="D1449" s="34" t="n"/>
      <c r="E1449" s="34" t="n"/>
      <c r="F1449" s="34" t="n"/>
      <c r="G1449" s="34" t="n"/>
      <c r="H1449" s="37" t="n"/>
      <c r="I1449" s="37" t="n"/>
      <c r="J1449" s="34" t="n"/>
      <c r="K1449" s="34" t="n"/>
      <c r="L1449" s="34" t="n"/>
      <c r="M1449" s="39" t="n"/>
      <c r="N1449" s="35" t="n"/>
      <c r="O1449" s="40" t="str">
        <f>IF($A1449="","",MONTH($A1449))</f>
        <v/>
      </c>
      <c r="P1449" s="40" t="str">
        <f>IF($A1449="","",YEAR($A1449))</f>
        <v/>
      </c>
      <c r="Q1449" s="41" t="str">
        <f>IF($A1449="","",DATE(P1449,O1449,1))</f>
        <v/>
      </c>
      <c r="R1449" s="36" t="str">
        <f>IF(OR($A1449="",$N1449=""),"",IF(AND($C1449&lt;&gt;"Transferência",N($I1449)&gt;1),$N1449/$I1449,$N1449))</f>
        <v/>
      </c>
      <c r="S1449" s="41" t="str">
        <f>IF(OR($A1449="",$F1449="",$C1449&lt;&gt;"Despesa"),"",IF(COUNTIF(Cartoes_Nome,$F1449)=0,"",DATE(P1449,O1449+IF(DAY($A1449)&gt;=INDEX(Cartoes_Fech,MATCH($F1449,Cartoes_Nome,0)),1,0),1)))</f>
        <v/>
      </c>
      <c r="T1449" s="42" t="str">
        <f>IF($A1449="","",IF(COUNTIFS(L_Data,$A1449,L_Desc,$B1449,L_Valor,$N1449,L_Tipo,$C1449)&gt;1,"⚠ Possível duplicidade",IF(OR(AND($C1449="Despesa",COUNTIF(CatD_Nome,$D1449)=0),AND($C1449="Receita",COUNTIF(CatR_Nome,$D1449)=0)),"⚠ Categoria não combina com o tipo",IF(OR($N1449="",$C1449=""),"⚠ Falta valor ou tipo",""))))</f>
        <v/>
      </c>
      <c r="U1449" s="40">
        <f>IF($A1449="",0,P1449*12+O1449)</f>
        <v>0</v>
      </c>
      <c r="V1449" s="40">
        <f>IF($A1449="",0,U1449+MAX(0,N($I1449)-MAX(N($H1449),1)))</f>
        <v>0</v>
      </c>
      <c r="W1449" s="40">
        <f>IF(S1449="",0,YEAR(S1449)*12+MONTH(S1449))</f>
        <v>0</v>
      </c>
      <c r="X1449" s="40">
        <f>IF(W1449=0,0,W1449+V1449-U1449)</f>
        <v>0</v>
      </c>
      <c r="Y1449" s="36">
        <f>IF(W1449=0,0,N(R1449)*MAX(0,X1449-MAX(W1449,YEAR(Cfg_Hoje)*12+MONTH(Cfg_Hoje)+IF(DAY(Cfg_Hoje)&gt;=INDEX(Cartoes_Fech,MATCH($F1449,Cartoes_Nome,0)),1,0))+1))</f>
        <v>0</v>
      </c>
      <c r="Z1449" s="40">
        <f>IF($A1449="",0,DAY($A1449))</f>
        <v>0</v>
      </c>
      <c r="AA1449" s="40">
        <f>IF($A1449="",0,WEEKDAY($A1449))</f>
        <v>0</v>
      </c>
      <c r="AB1449" s="36">
        <f>IF(AND($C1449="Despesa",U1449&gt;0,U1449&lt;=Sel_Idx,V1449&gt;=Sel_Idx),N(R1449)+ROW()/1000000000,0)</f>
        <v>0</v>
      </c>
      <c r="AC1449" s="40">
        <f>IF(AND($C1449="Despesa",U1449&gt;0,U1449&lt;=Sel_Idx,V1449&gt;=Sel_Idx),Z1449*10000+ROW(),0)</f>
        <v>0</v>
      </c>
      <c r="AD1449" s="40">
        <f>IF(AC1449=0,0,COUNTIFS(L_CalChave,"&gt;0",L_CalChave,"&lt;"&amp;AC1449)+1)</f>
        <v>0</v>
      </c>
    </row>
    <row r="1450">
      <c r="A1450" s="38" t="n"/>
      <c r="B1450" s="39" t="n"/>
      <c r="C1450" s="34" t="n"/>
      <c r="D1450" s="34" t="n"/>
      <c r="E1450" s="34" t="n"/>
      <c r="F1450" s="34" t="n"/>
      <c r="G1450" s="34" t="n"/>
      <c r="H1450" s="37" t="n"/>
      <c r="I1450" s="37" t="n"/>
      <c r="J1450" s="34" t="n"/>
      <c r="K1450" s="34" t="n"/>
      <c r="L1450" s="34" t="n"/>
      <c r="M1450" s="39" t="n"/>
      <c r="N1450" s="35" t="n"/>
      <c r="O1450" s="40" t="str">
        <f>IF($A1450="","",MONTH($A1450))</f>
        <v/>
      </c>
      <c r="P1450" s="40" t="str">
        <f>IF($A1450="","",YEAR($A1450))</f>
        <v/>
      </c>
      <c r="Q1450" s="41" t="str">
        <f>IF($A1450="","",DATE(P1450,O1450,1))</f>
        <v/>
      </c>
      <c r="R1450" s="36" t="str">
        <f>IF(OR($A1450="",$N1450=""),"",IF(AND($C1450&lt;&gt;"Transferência",N($I1450)&gt;1),$N1450/$I1450,$N1450))</f>
        <v/>
      </c>
      <c r="S1450" s="41" t="str">
        <f>IF(OR($A1450="",$F1450="",$C1450&lt;&gt;"Despesa"),"",IF(COUNTIF(Cartoes_Nome,$F1450)=0,"",DATE(P1450,O1450+IF(DAY($A1450)&gt;=INDEX(Cartoes_Fech,MATCH($F1450,Cartoes_Nome,0)),1,0),1)))</f>
        <v/>
      </c>
      <c r="T1450" s="42" t="str">
        <f>IF($A1450="","",IF(COUNTIFS(L_Data,$A1450,L_Desc,$B1450,L_Valor,$N1450,L_Tipo,$C1450)&gt;1,"⚠ Possível duplicidade",IF(OR(AND($C1450="Despesa",COUNTIF(CatD_Nome,$D1450)=0),AND($C1450="Receita",COUNTIF(CatR_Nome,$D1450)=0)),"⚠ Categoria não combina com o tipo",IF(OR($N1450="",$C1450=""),"⚠ Falta valor ou tipo",""))))</f>
        <v/>
      </c>
      <c r="U1450" s="40">
        <f>IF($A1450="",0,P1450*12+O1450)</f>
        <v>0</v>
      </c>
      <c r="V1450" s="40">
        <f>IF($A1450="",0,U1450+MAX(0,N($I1450)-MAX(N($H1450),1)))</f>
        <v>0</v>
      </c>
      <c r="W1450" s="40">
        <f>IF(S1450="",0,YEAR(S1450)*12+MONTH(S1450))</f>
        <v>0</v>
      </c>
      <c r="X1450" s="40">
        <f>IF(W1450=0,0,W1450+V1450-U1450)</f>
        <v>0</v>
      </c>
      <c r="Y1450" s="36">
        <f>IF(W1450=0,0,N(R1450)*MAX(0,X1450-MAX(W1450,YEAR(Cfg_Hoje)*12+MONTH(Cfg_Hoje)+IF(DAY(Cfg_Hoje)&gt;=INDEX(Cartoes_Fech,MATCH($F1450,Cartoes_Nome,0)),1,0))+1))</f>
        <v>0</v>
      </c>
      <c r="Z1450" s="40">
        <f>IF($A1450="",0,DAY($A1450))</f>
        <v>0</v>
      </c>
      <c r="AA1450" s="40">
        <f>IF($A1450="",0,WEEKDAY($A1450))</f>
        <v>0</v>
      </c>
      <c r="AB1450" s="36">
        <f>IF(AND($C1450="Despesa",U1450&gt;0,U1450&lt;=Sel_Idx,V1450&gt;=Sel_Idx),N(R1450)+ROW()/1000000000,0)</f>
        <v>0</v>
      </c>
      <c r="AC1450" s="40">
        <f>IF(AND($C1450="Despesa",U1450&gt;0,U1450&lt;=Sel_Idx,V1450&gt;=Sel_Idx),Z1450*10000+ROW(),0)</f>
        <v>0</v>
      </c>
      <c r="AD1450" s="40">
        <f>IF(AC1450=0,0,COUNTIFS(L_CalChave,"&gt;0",L_CalChave,"&lt;"&amp;AC1450)+1)</f>
        <v>0</v>
      </c>
    </row>
    <row r="1451">
      <c r="A1451" s="38" t="n"/>
      <c r="B1451" s="39" t="n"/>
      <c r="C1451" s="34" t="n"/>
      <c r="D1451" s="34" t="n"/>
      <c r="E1451" s="34" t="n"/>
      <c r="F1451" s="34" t="n"/>
      <c r="G1451" s="34" t="n"/>
      <c r="H1451" s="37" t="n"/>
      <c r="I1451" s="37" t="n"/>
      <c r="J1451" s="34" t="n"/>
      <c r="K1451" s="34" t="n"/>
      <c r="L1451" s="34" t="n"/>
      <c r="M1451" s="39" t="n"/>
      <c r="N1451" s="35" t="n"/>
      <c r="O1451" s="40" t="str">
        <f>IF($A1451="","",MONTH($A1451))</f>
        <v/>
      </c>
      <c r="P1451" s="40" t="str">
        <f>IF($A1451="","",YEAR($A1451))</f>
        <v/>
      </c>
      <c r="Q1451" s="41" t="str">
        <f>IF($A1451="","",DATE(P1451,O1451,1))</f>
        <v/>
      </c>
      <c r="R1451" s="36" t="str">
        <f>IF(OR($A1451="",$N1451=""),"",IF(AND($C1451&lt;&gt;"Transferência",N($I1451)&gt;1),$N1451/$I1451,$N1451))</f>
        <v/>
      </c>
      <c r="S1451" s="41" t="str">
        <f>IF(OR($A1451="",$F1451="",$C1451&lt;&gt;"Despesa"),"",IF(COUNTIF(Cartoes_Nome,$F1451)=0,"",DATE(P1451,O1451+IF(DAY($A1451)&gt;=INDEX(Cartoes_Fech,MATCH($F1451,Cartoes_Nome,0)),1,0),1)))</f>
        <v/>
      </c>
      <c r="T1451" s="42" t="str">
        <f>IF($A1451="","",IF(COUNTIFS(L_Data,$A1451,L_Desc,$B1451,L_Valor,$N1451,L_Tipo,$C1451)&gt;1,"⚠ Possível duplicidade",IF(OR(AND($C1451="Despesa",COUNTIF(CatD_Nome,$D1451)=0),AND($C1451="Receita",COUNTIF(CatR_Nome,$D1451)=0)),"⚠ Categoria não combina com o tipo",IF(OR($N1451="",$C1451=""),"⚠ Falta valor ou tipo",""))))</f>
        <v/>
      </c>
      <c r="U1451" s="40">
        <f>IF($A1451="",0,P1451*12+O1451)</f>
        <v>0</v>
      </c>
      <c r="V1451" s="40">
        <f>IF($A1451="",0,U1451+MAX(0,N($I1451)-MAX(N($H1451),1)))</f>
        <v>0</v>
      </c>
      <c r="W1451" s="40">
        <f>IF(S1451="",0,YEAR(S1451)*12+MONTH(S1451))</f>
        <v>0</v>
      </c>
      <c r="X1451" s="40">
        <f>IF(W1451=0,0,W1451+V1451-U1451)</f>
        <v>0</v>
      </c>
      <c r="Y1451" s="36">
        <f>IF(W1451=0,0,N(R1451)*MAX(0,X1451-MAX(W1451,YEAR(Cfg_Hoje)*12+MONTH(Cfg_Hoje)+IF(DAY(Cfg_Hoje)&gt;=INDEX(Cartoes_Fech,MATCH($F1451,Cartoes_Nome,0)),1,0))+1))</f>
        <v>0</v>
      </c>
      <c r="Z1451" s="40">
        <f>IF($A1451="",0,DAY($A1451))</f>
        <v>0</v>
      </c>
      <c r="AA1451" s="40">
        <f>IF($A1451="",0,WEEKDAY($A1451))</f>
        <v>0</v>
      </c>
      <c r="AB1451" s="36">
        <f>IF(AND($C1451="Despesa",U1451&gt;0,U1451&lt;=Sel_Idx,V1451&gt;=Sel_Idx),N(R1451)+ROW()/1000000000,0)</f>
        <v>0</v>
      </c>
      <c r="AC1451" s="40">
        <f>IF(AND($C1451="Despesa",U1451&gt;0,U1451&lt;=Sel_Idx,V1451&gt;=Sel_Idx),Z1451*10000+ROW(),0)</f>
        <v>0</v>
      </c>
      <c r="AD1451" s="40">
        <f>IF(AC1451=0,0,COUNTIFS(L_CalChave,"&gt;0",L_CalChave,"&lt;"&amp;AC1451)+1)</f>
        <v>0</v>
      </c>
    </row>
    <row r="1452">
      <c r="A1452" s="38" t="n"/>
      <c r="B1452" s="39" t="n"/>
      <c r="C1452" s="34" t="n"/>
      <c r="D1452" s="34" t="n"/>
      <c r="E1452" s="34" t="n"/>
      <c r="F1452" s="34" t="n"/>
      <c r="G1452" s="34" t="n"/>
      <c r="H1452" s="37" t="n"/>
      <c r="I1452" s="37" t="n"/>
      <c r="J1452" s="34" t="n"/>
      <c r="K1452" s="34" t="n"/>
      <c r="L1452" s="34" t="n"/>
      <c r="M1452" s="39" t="n"/>
      <c r="N1452" s="35" t="n"/>
      <c r="O1452" s="40" t="str">
        <f>IF($A1452="","",MONTH($A1452))</f>
        <v/>
      </c>
      <c r="P1452" s="40" t="str">
        <f>IF($A1452="","",YEAR($A1452))</f>
        <v/>
      </c>
      <c r="Q1452" s="41" t="str">
        <f>IF($A1452="","",DATE(P1452,O1452,1))</f>
        <v/>
      </c>
      <c r="R1452" s="36" t="str">
        <f>IF(OR($A1452="",$N1452=""),"",IF(AND($C1452&lt;&gt;"Transferência",N($I1452)&gt;1),$N1452/$I1452,$N1452))</f>
        <v/>
      </c>
      <c r="S1452" s="41" t="str">
        <f>IF(OR($A1452="",$F1452="",$C1452&lt;&gt;"Despesa"),"",IF(COUNTIF(Cartoes_Nome,$F1452)=0,"",DATE(P1452,O1452+IF(DAY($A1452)&gt;=INDEX(Cartoes_Fech,MATCH($F1452,Cartoes_Nome,0)),1,0),1)))</f>
        <v/>
      </c>
      <c r="T1452" s="42" t="str">
        <f>IF($A1452="","",IF(COUNTIFS(L_Data,$A1452,L_Desc,$B1452,L_Valor,$N1452,L_Tipo,$C1452)&gt;1,"⚠ Possível duplicidade",IF(OR(AND($C1452="Despesa",COUNTIF(CatD_Nome,$D1452)=0),AND($C1452="Receita",COUNTIF(CatR_Nome,$D1452)=0)),"⚠ Categoria não combina com o tipo",IF(OR($N1452="",$C1452=""),"⚠ Falta valor ou tipo",""))))</f>
        <v/>
      </c>
      <c r="U1452" s="40">
        <f>IF($A1452="",0,P1452*12+O1452)</f>
        <v>0</v>
      </c>
      <c r="V1452" s="40">
        <f>IF($A1452="",0,U1452+MAX(0,N($I1452)-MAX(N($H1452),1)))</f>
        <v>0</v>
      </c>
      <c r="W1452" s="40">
        <f>IF(S1452="",0,YEAR(S1452)*12+MONTH(S1452))</f>
        <v>0</v>
      </c>
      <c r="X1452" s="40">
        <f>IF(W1452=0,0,W1452+V1452-U1452)</f>
        <v>0</v>
      </c>
      <c r="Y1452" s="36">
        <f>IF(W1452=0,0,N(R1452)*MAX(0,X1452-MAX(W1452,YEAR(Cfg_Hoje)*12+MONTH(Cfg_Hoje)+IF(DAY(Cfg_Hoje)&gt;=INDEX(Cartoes_Fech,MATCH($F1452,Cartoes_Nome,0)),1,0))+1))</f>
        <v>0</v>
      </c>
      <c r="Z1452" s="40">
        <f>IF($A1452="",0,DAY($A1452))</f>
        <v>0</v>
      </c>
      <c r="AA1452" s="40">
        <f>IF($A1452="",0,WEEKDAY($A1452))</f>
        <v>0</v>
      </c>
      <c r="AB1452" s="36">
        <f>IF(AND($C1452="Despesa",U1452&gt;0,U1452&lt;=Sel_Idx,V1452&gt;=Sel_Idx),N(R1452)+ROW()/1000000000,0)</f>
        <v>0</v>
      </c>
      <c r="AC1452" s="40">
        <f>IF(AND($C1452="Despesa",U1452&gt;0,U1452&lt;=Sel_Idx,V1452&gt;=Sel_Idx),Z1452*10000+ROW(),0)</f>
        <v>0</v>
      </c>
      <c r="AD1452" s="40">
        <f>IF(AC1452=0,0,COUNTIFS(L_CalChave,"&gt;0",L_CalChave,"&lt;"&amp;AC1452)+1)</f>
        <v>0</v>
      </c>
    </row>
    <row r="1453">
      <c r="A1453" s="38" t="n"/>
      <c r="B1453" s="39" t="n"/>
      <c r="C1453" s="34" t="n"/>
      <c r="D1453" s="34" t="n"/>
      <c r="E1453" s="34" t="n"/>
      <c r="F1453" s="34" t="n"/>
      <c r="G1453" s="34" t="n"/>
      <c r="H1453" s="37" t="n"/>
      <c r="I1453" s="37" t="n"/>
      <c r="J1453" s="34" t="n"/>
      <c r="K1453" s="34" t="n"/>
      <c r="L1453" s="34" t="n"/>
      <c r="M1453" s="39" t="n"/>
      <c r="N1453" s="35" t="n"/>
      <c r="O1453" s="40" t="str">
        <f>IF($A1453="","",MONTH($A1453))</f>
        <v/>
      </c>
      <c r="P1453" s="40" t="str">
        <f>IF($A1453="","",YEAR($A1453))</f>
        <v/>
      </c>
      <c r="Q1453" s="41" t="str">
        <f>IF($A1453="","",DATE(P1453,O1453,1))</f>
        <v/>
      </c>
      <c r="R1453" s="36" t="str">
        <f>IF(OR($A1453="",$N1453=""),"",IF(AND($C1453&lt;&gt;"Transferência",N($I1453)&gt;1),$N1453/$I1453,$N1453))</f>
        <v/>
      </c>
      <c r="S1453" s="41" t="str">
        <f>IF(OR($A1453="",$F1453="",$C1453&lt;&gt;"Despesa"),"",IF(COUNTIF(Cartoes_Nome,$F1453)=0,"",DATE(P1453,O1453+IF(DAY($A1453)&gt;=INDEX(Cartoes_Fech,MATCH($F1453,Cartoes_Nome,0)),1,0),1)))</f>
        <v/>
      </c>
      <c r="T1453" s="42" t="str">
        <f>IF($A1453="","",IF(COUNTIFS(L_Data,$A1453,L_Desc,$B1453,L_Valor,$N1453,L_Tipo,$C1453)&gt;1,"⚠ Possível duplicidade",IF(OR(AND($C1453="Despesa",COUNTIF(CatD_Nome,$D1453)=0),AND($C1453="Receita",COUNTIF(CatR_Nome,$D1453)=0)),"⚠ Categoria não combina com o tipo",IF(OR($N1453="",$C1453=""),"⚠ Falta valor ou tipo",""))))</f>
        <v/>
      </c>
      <c r="U1453" s="40">
        <f>IF($A1453="",0,P1453*12+O1453)</f>
        <v>0</v>
      </c>
      <c r="V1453" s="40">
        <f>IF($A1453="",0,U1453+MAX(0,N($I1453)-MAX(N($H1453),1)))</f>
        <v>0</v>
      </c>
      <c r="W1453" s="40">
        <f>IF(S1453="",0,YEAR(S1453)*12+MONTH(S1453))</f>
        <v>0</v>
      </c>
      <c r="X1453" s="40">
        <f>IF(W1453=0,0,W1453+V1453-U1453)</f>
        <v>0</v>
      </c>
      <c r="Y1453" s="36">
        <f>IF(W1453=0,0,N(R1453)*MAX(0,X1453-MAX(W1453,YEAR(Cfg_Hoje)*12+MONTH(Cfg_Hoje)+IF(DAY(Cfg_Hoje)&gt;=INDEX(Cartoes_Fech,MATCH($F1453,Cartoes_Nome,0)),1,0))+1))</f>
        <v>0</v>
      </c>
      <c r="Z1453" s="40">
        <f>IF($A1453="",0,DAY($A1453))</f>
        <v>0</v>
      </c>
      <c r="AA1453" s="40">
        <f>IF($A1453="",0,WEEKDAY($A1453))</f>
        <v>0</v>
      </c>
      <c r="AB1453" s="36">
        <f>IF(AND($C1453="Despesa",U1453&gt;0,U1453&lt;=Sel_Idx,V1453&gt;=Sel_Idx),N(R1453)+ROW()/1000000000,0)</f>
        <v>0</v>
      </c>
      <c r="AC1453" s="40">
        <f>IF(AND($C1453="Despesa",U1453&gt;0,U1453&lt;=Sel_Idx,V1453&gt;=Sel_Idx),Z1453*10000+ROW(),0)</f>
        <v>0</v>
      </c>
      <c r="AD1453" s="40">
        <f>IF(AC1453=0,0,COUNTIFS(L_CalChave,"&gt;0",L_CalChave,"&lt;"&amp;AC1453)+1)</f>
        <v>0</v>
      </c>
    </row>
    <row r="1454">
      <c r="A1454" s="38" t="n"/>
      <c r="B1454" s="39" t="n"/>
      <c r="C1454" s="34" t="n"/>
      <c r="D1454" s="34" t="n"/>
      <c r="E1454" s="34" t="n"/>
      <c r="F1454" s="34" t="n"/>
      <c r="G1454" s="34" t="n"/>
      <c r="H1454" s="37" t="n"/>
      <c r="I1454" s="37" t="n"/>
      <c r="J1454" s="34" t="n"/>
      <c r="K1454" s="34" t="n"/>
      <c r="L1454" s="34" t="n"/>
      <c r="M1454" s="39" t="n"/>
      <c r="N1454" s="35" t="n"/>
      <c r="O1454" s="40" t="str">
        <f>IF($A1454="","",MONTH($A1454))</f>
        <v/>
      </c>
      <c r="P1454" s="40" t="str">
        <f>IF($A1454="","",YEAR($A1454))</f>
        <v/>
      </c>
      <c r="Q1454" s="41" t="str">
        <f>IF($A1454="","",DATE(P1454,O1454,1))</f>
        <v/>
      </c>
      <c r="R1454" s="36" t="str">
        <f>IF(OR($A1454="",$N1454=""),"",IF(AND($C1454&lt;&gt;"Transferência",N($I1454)&gt;1),$N1454/$I1454,$N1454))</f>
        <v/>
      </c>
      <c r="S1454" s="41" t="str">
        <f>IF(OR($A1454="",$F1454="",$C1454&lt;&gt;"Despesa"),"",IF(COUNTIF(Cartoes_Nome,$F1454)=0,"",DATE(P1454,O1454+IF(DAY($A1454)&gt;=INDEX(Cartoes_Fech,MATCH($F1454,Cartoes_Nome,0)),1,0),1)))</f>
        <v/>
      </c>
      <c r="T1454" s="42" t="str">
        <f>IF($A1454="","",IF(COUNTIFS(L_Data,$A1454,L_Desc,$B1454,L_Valor,$N1454,L_Tipo,$C1454)&gt;1,"⚠ Possível duplicidade",IF(OR(AND($C1454="Despesa",COUNTIF(CatD_Nome,$D1454)=0),AND($C1454="Receita",COUNTIF(CatR_Nome,$D1454)=0)),"⚠ Categoria não combina com o tipo",IF(OR($N1454="",$C1454=""),"⚠ Falta valor ou tipo",""))))</f>
        <v/>
      </c>
      <c r="U1454" s="40">
        <f>IF($A1454="",0,P1454*12+O1454)</f>
        <v>0</v>
      </c>
      <c r="V1454" s="40">
        <f>IF($A1454="",0,U1454+MAX(0,N($I1454)-MAX(N($H1454),1)))</f>
        <v>0</v>
      </c>
      <c r="W1454" s="40">
        <f>IF(S1454="",0,YEAR(S1454)*12+MONTH(S1454))</f>
        <v>0</v>
      </c>
      <c r="X1454" s="40">
        <f>IF(W1454=0,0,W1454+V1454-U1454)</f>
        <v>0</v>
      </c>
      <c r="Y1454" s="36">
        <f>IF(W1454=0,0,N(R1454)*MAX(0,X1454-MAX(W1454,YEAR(Cfg_Hoje)*12+MONTH(Cfg_Hoje)+IF(DAY(Cfg_Hoje)&gt;=INDEX(Cartoes_Fech,MATCH($F1454,Cartoes_Nome,0)),1,0))+1))</f>
        <v>0</v>
      </c>
      <c r="Z1454" s="40">
        <f>IF($A1454="",0,DAY($A1454))</f>
        <v>0</v>
      </c>
      <c r="AA1454" s="40">
        <f>IF($A1454="",0,WEEKDAY($A1454))</f>
        <v>0</v>
      </c>
      <c r="AB1454" s="36">
        <f>IF(AND($C1454="Despesa",U1454&gt;0,U1454&lt;=Sel_Idx,V1454&gt;=Sel_Idx),N(R1454)+ROW()/1000000000,0)</f>
        <v>0</v>
      </c>
      <c r="AC1454" s="40">
        <f>IF(AND($C1454="Despesa",U1454&gt;0,U1454&lt;=Sel_Idx,V1454&gt;=Sel_Idx),Z1454*10000+ROW(),0)</f>
        <v>0</v>
      </c>
      <c r="AD1454" s="40">
        <f>IF(AC1454=0,0,COUNTIFS(L_CalChave,"&gt;0",L_CalChave,"&lt;"&amp;AC1454)+1)</f>
        <v>0</v>
      </c>
    </row>
    <row r="1455">
      <c r="A1455" s="38" t="n"/>
      <c r="B1455" s="39" t="n"/>
      <c r="C1455" s="34" t="n"/>
      <c r="D1455" s="34" t="n"/>
      <c r="E1455" s="34" t="n"/>
      <c r="F1455" s="34" t="n"/>
      <c r="G1455" s="34" t="n"/>
      <c r="H1455" s="37" t="n"/>
      <c r="I1455" s="37" t="n"/>
      <c r="J1455" s="34" t="n"/>
      <c r="K1455" s="34" t="n"/>
      <c r="L1455" s="34" t="n"/>
      <c r="M1455" s="39" t="n"/>
      <c r="N1455" s="35" t="n"/>
      <c r="O1455" s="40" t="str">
        <f>IF($A1455="","",MONTH($A1455))</f>
        <v/>
      </c>
      <c r="P1455" s="40" t="str">
        <f>IF($A1455="","",YEAR($A1455))</f>
        <v/>
      </c>
      <c r="Q1455" s="41" t="str">
        <f>IF($A1455="","",DATE(P1455,O1455,1))</f>
        <v/>
      </c>
      <c r="R1455" s="36" t="str">
        <f>IF(OR($A1455="",$N1455=""),"",IF(AND($C1455&lt;&gt;"Transferência",N($I1455)&gt;1),$N1455/$I1455,$N1455))</f>
        <v/>
      </c>
      <c r="S1455" s="41" t="str">
        <f>IF(OR($A1455="",$F1455="",$C1455&lt;&gt;"Despesa"),"",IF(COUNTIF(Cartoes_Nome,$F1455)=0,"",DATE(P1455,O1455+IF(DAY($A1455)&gt;=INDEX(Cartoes_Fech,MATCH($F1455,Cartoes_Nome,0)),1,0),1)))</f>
        <v/>
      </c>
      <c r="T1455" s="42" t="str">
        <f>IF($A1455="","",IF(COUNTIFS(L_Data,$A1455,L_Desc,$B1455,L_Valor,$N1455,L_Tipo,$C1455)&gt;1,"⚠ Possível duplicidade",IF(OR(AND($C1455="Despesa",COUNTIF(CatD_Nome,$D1455)=0),AND($C1455="Receita",COUNTIF(CatR_Nome,$D1455)=0)),"⚠ Categoria não combina com o tipo",IF(OR($N1455="",$C1455=""),"⚠ Falta valor ou tipo",""))))</f>
        <v/>
      </c>
      <c r="U1455" s="40">
        <f>IF($A1455="",0,P1455*12+O1455)</f>
        <v>0</v>
      </c>
      <c r="V1455" s="40">
        <f>IF($A1455="",0,U1455+MAX(0,N($I1455)-MAX(N($H1455),1)))</f>
        <v>0</v>
      </c>
      <c r="W1455" s="40">
        <f>IF(S1455="",0,YEAR(S1455)*12+MONTH(S1455))</f>
        <v>0</v>
      </c>
      <c r="X1455" s="40">
        <f>IF(W1455=0,0,W1455+V1455-U1455)</f>
        <v>0</v>
      </c>
      <c r="Y1455" s="36">
        <f>IF(W1455=0,0,N(R1455)*MAX(0,X1455-MAX(W1455,YEAR(Cfg_Hoje)*12+MONTH(Cfg_Hoje)+IF(DAY(Cfg_Hoje)&gt;=INDEX(Cartoes_Fech,MATCH($F1455,Cartoes_Nome,0)),1,0))+1))</f>
        <v>0</v>
      </c>
      <c r="Z1455" s="40">
        <f>IF($A1455="",0,DAY($A1455))</f>
        <v>0</v>
      </c>
      <c r="AA1455" s="40">
        <f>IF($A1455="",0,WEEKDAY($A1455))</f>
        <v>0</v>
      </c>
      <c r="AB1455" s="36">
        <f>IF(AND($C1455="Despesa",U1455&gt;0,U1455&lt;=Sel_Idx,V1455&gt;=Sel_Idx),N(R1455)+ROW()/1000000000,0)</f>
        <v>0</v>
      </c>
      <c r="AC1455" s="40">
        <f>IF(AND($C1455="Despesa",U1455&gt;0,U1455&lt;=Sel_Idx,V1455&gt;=Sel_Idx),Z1455*10000+ROW(),0)</f>
        <v>0</v>
      </c>
      <c r="AD1455" s="40">
        <f>IF(AC1455=0,0,COUNTIFS(L_CalChave,"&gt;0",L_CalChave,"&lt;"&amp;AC1455)+1)</f>
        <v>0</v>
      </c>
    </row>
    <row r="1456">
      <c r="A1456" s="38" t="n"/>
      <c r="B1456" s="39" t="n"/>
      <c r="C1456" s="34" t="n"/>
      <c r="D1456" s="34" t="n"/>
      <c r="E1456" s="34" t="n"/>
      <c r="F1456" s="34" t="n"/>
      <c r="G1456" s="34" t="n"/>
      <c r="H1456" s="37" t="n"/>
      <c r="I1456" s="37" t="n"/>
      <c r="J1456" s="34" t="n"/>
      <c r="K1456" s="34" t="n"/>
      <c r="L1456" s="34" t="n"/>
      <c r="M1456" s="39" t="n"/>
      <c r="N1456" s="35" t="n"/>
      <c r="O1456" s="40" t="str">
        <f>IF($A1456="","",MONTH($A1456))</f>
        <v/>
      </c>
      <c r="P1456" s="40" t="str">
        <f>IF($A1456="","",YEAR($A1456))</f>
        <v/>
      </c>
      <c r="Q1456" s="41" t="str">
        <f>IF($A1456="","",DATE(P1456,O1456,1))</f>
        <v/>
      </c>
      <c r="R1456" s="36" t="str">
        <f>IF(OR($A1456="",$N1456=""),"",IF(AND($C1456&lt;&gt;"Transferência",N($I1456)&gt;1),$N1456/$I1456,$N1456))</f>
        <v/>
      </c>
      <c r="S1456" s="41" t="str">
        <f>IF(OR($A1456="",$F1456="",$C1456&lt;&gt;"Despesa"),"",IF(COUNTIF(Cartoes_Nome,$F1456)=0,"",DATE(P1456,O1456+IF(DAY($A1456)&gt;=INDEX(Cartoes_Fech,MATCH($F1456,Cartoes_Nome,0)),1,0),1)))</f>
        <v/>
      </c>
      <c r="T1456" s="42" t="str">
        <f>IF($A1456="","",IF(COUNTIFS(L_Data,$A1456,L_Desc,$B1456,L_Valor,$N1456,L_Tipo,$C1456)&gt;1,"⚠ Possível duplicidade",IF(OR(AND($C1456="Despesa",COUNTIF(CatD_Nome,$D1456)=0),AND($C1456="Receita",COUNTIF(CatR_Nome,$D1456)=0)),"⚠ Categoria não combina com o tipo",IF(OR($N1456="",$C1456=""),"⚠ Falta valor ou tipo",""))))</f>
        <v/>
      </c>
      <c r="U1456" s="40">
        <f>IF($A1456="",0,P1456*12+O1456)</f>
        <v>0</v>
      </c>
      <c r="V1456" s="40">
        <f>IF($A1456="",0,U1456+MAX(0,N($I1456)-MAX(N($H1456),1)))</f>
        <v>0</v>
      </c>
      <c r="W1456" s="40">
        <f>IF(S1456="",0,YEAR(S1456)*12+MONTH(S1456))</f>
        <v>0</v>
      </c>
      <c r="X1456" s="40">
        <f>IF(W1456=0,0,W1456+V1456-U1456)</f>
        <v>0</v>
      </c>
      <c r="Y1456" s="36">
        <f>IF(W1456=0,0,N(R1456)*MAX(0,X1456-MAX(W1456,YEAR(Cfg_Hoje)*12+MONTH(Cfg_Hoje)+IF(DAY(Cfg_Hoje)&gt;=INDEX(Cartoes_Fech,MATCH($F1456,Cartoes_Nome,0)),1,0))+1))</f>
        <v>0</v>
      </c>
      <c r="Z1456" s="40">
        <f>IF($A1456="",0,DAY($A1456))</f>
        <v>0</v>
      </c>
      <c r="AA1456" s="40">
        <f>IF($A1456="",0,WEEKDAY($A1456))</f>
        <v>0</v>
      </c>
      <c r="AB1456" s="36">
        <f>IF(AND($C1456="Despesa",U1456&gt;0,U1456&lt;=Sel_Idx,V1456&gt;=Sel_Idx),N(R1456)+ROW()/1000000000,0)</f>
        <v>0</v>
      </c>
      <c r="AC1456" s="40">
        <f>IF(AND($C1456="Despesa",U1456&gt;0,U1456&lt;=Sel_Idx,V1456&gt;=Sel_Idx),Z1456*10000+ROW(),0)</f>
        <v>0</v>
      </c>
      <c r="AD1456" s="40">
        <f>IF(AC1456=0,0,COUNTIFS(L_CalChave,"&gt;0",L_CalChave,"&lt;"&amp;AC1456)+1)</f>
        <v>0</v>
      </c>
    </row>
    <row r="1457">
      <c r="A1457" s="38" t="n"/>
      <c r="B1457" s="39" t="n"/>
      <c r="C1457" s="34" t="n"/>
      <c r="D1457" s="34" t="n"/>
      <c r="E1457" s="34" t="n"/>
      <c r="F1457" s="34" t="n"/>
      <c r="G1457" s="34" t="n"/>
      <c r="H1457" s="37" t="n"/>
      <c r="I1457" s="37" t="n"/>
      <c r="J1457" s="34" t="n"/>
      <c r="K1457" s="34" t="n"/>
      <c r="L1457" s="34" t="n"/>
      <c r="M1457" s="39" t="n"/>
      <c r="N1457" s="35" t="n"/>
      <c r="O1457" s="40" t="str">
        <f>IF($A1457="","",MONTH($A1457))</f>
        <v/>
      </c>
      <c r="P1457" s="40" t="str">
        <f>IF($A1457="","",YEAR($A1457))</f>
        <v/>
      </c>
      <c r="Q1457" s="41" t="str">
        <f>IF($A1457="","",DATE(P1457,O1457,1))</f>
        <v/>
      </c>
      <c r="R1457" s="36" t="str">
        <f>IF(OR($A1457="",$N1457=""),"",IF(AND($C1457&lt;&gt;"Transferência",N($I1457)&gt;1),$N1457/$I1457,$N1457))</f>
        <v/>
      </c>
      <c r="S1457" s="41" t="str">
        <f>IF(OR($A1457="",$F1457="",$C1457&lt;&gt;"Despesa"),"",IF(COUNTIF(Cartoes_Nome,$F1457)=0,"",DATE(P1457,O1457+IF(DAY($A1457)&gt;=INDEX(Cartoes_Fech,MATCH($F1457,Cartoes_Nome,0)),1,0),1)))</f>
        <v/>
      </c>
      <c r="T1457" s="42" t="str">
        <f>IF($A1457="","",IF(COUNTIFS(L_Data,$A1457,L_Desc,$B1457,L_Valor,$N1457,L_Tipo,$C1457)&gt;1,"⚠ Possível duplicidade",IF(OR(AND($C1457="Despesa",COUNTIF(CatD_Nome,$D1457)=0),AND($C1457="Receita",COUNTIF(CatR_Nome,$D1457)=0)),"⚠ Categoria não combina com o tipo",IF(OR($N1457="",$C1457=""),"⚠ Falta valor ou tipo",""))))</f>
        <v/>
      </c>
      <c r="U1457" s="40">
        <f>IF($A1457="",0,P1457*12+O1457)</f>
        <v>0</v>
      </c>
      <c r="V1457" s="40">
        <f>IF($A1457="",0,U1457+MAX(0,N($I1457)-MAX(N($H1457),1)))</f>
        <v>0</v>
      </c>
      <c r="W1457" s="40">
        <f>IF(S1457="",0,YEAR(S1457)*12+MONTH(S1457))</f>
        <v>0</v>
      </c>
      <c r="X1457" s="40">
        <f>IF(W1457=0,0,W1457+V1457-U1457)</f>
        <v>0</v>
      </c>
      <c r="Y1457" s="36">
        <f>IF(W1457=0,0,N(R1457)*MAX(0,X1457-MAX(W1457,YEAR(Cfg_Hoje)*12+MONTH(Cfg_Hoje)+IF(DAY(Cfg_Hoje)&gt;=INDEX(Cartoes_Fech,MATCH($F1457,Cartoes_Nome,0)),1,0))+1))</f>
        <v>0</v>
      </c>
      <c r="Z1457" s="40">
        <f>IF($A1457="",0,DAY($A1457))</f>
        <v>0</v>
      </c>
      <c r="AA1457" s="40">
        <f>IF($A1457="",0,WEEKDAY($A1457))</f>
        <v>0</v>
      </c>
      <c r="AB1457" s="36">
        <f>IF(AND($C1457="Despesa",U1457&gt;0,U1457&lt;=Sel_Idx,V1457&gt;=Sel_Idx),N(R1457)+ROW()/1000000000,0)</f>
        <v>0</v>
      </c>
      <c r="AC1457" s="40">
        <f>IF(AND($C1457="Despesa",U1457&gt;0,U1457&lt;=Sel_Idx,V1457&gt;=Sel_Idx),Z1457*10000+ROW(),0)</f>
        <v>0</v>
      </c>
      <c r="AD1457" s="40">
        <f>IF(AC1457=0,0,COUNTIFS(L_CalChave,"&gt;0",L_CalChave,"&lt;"&amp;AC1457)+1)</f>
        <v>0</v>
      </c>
    </row>
    <row r="1458">
      <c r="A1458" s="38" t="n"/>
      <c r="B1458" s="39" t="n"/>
      <c r="C1458" s="34" t="n"/>
      <c r="D1458" s="34" t="n"/>
      <c r="E1458" s="34" t="n"/>
      <c r="F1458" s="34" t="n"/>
      <c r="G1458" s="34" t="n"/>
      <c r="H1458" s="37" t="n"/>
      <c r="I1458" s="37" t="n"/>
      <c r="J1458" s="34" t="n"/>
      <c r="K1458" s="34" t="n"/>
      <c r="L1458" s="34" t="n"/>
      <c r="M1458" s="39" t="n"/>
      <c r="N1458" s="35" t="n"/>
      <c r="O1458" s="40" t="str">
        <f>IF($A1458="","",MONTH($A1458))</f>
        <v/>
      </c>
      <c r="P1458" s="40" t="str">
        <f>IF($A1458="","",YEAR($A1458))</f>
        <v/>
      </c>
      <c r="Q1458" s="41" t="str">
        <f>IF($A1458="","",DATE(P1458,O1458,1))</f>
        <v/>
      </c>
      <c r="R1458" s="36" t="str">
        <f>IF(OR($A1458="",$N1458=""),"",IF(AND($C1458&lt;&gt;"Transferência",N($I1458)&gt;1),$N1458/$I1458,$N1458))</f>
        <v/>
      </c>
      <c r="S1458" s="41" t="str">
        <f>IF(OR($A1458="",$F1458="",$C1458&lt;&gt;"Despesa"),"",IF(COUNTIF(Cartoes_Nome,$F1458)=0,"",DATE(P1458,O1458+IF(DAY($A1458)&gt;=INDEX(Cartoes_Fech,MATCH($F1458,Cartoes_Nome,0)),1,0),1)))</f>
        <v/>
      </c>
      <c r="T1458" s="42" t="str">
        <f>IF($A1458="","",IF(COUNTIFS(L_Data,$A1458,L_Desc,$B1458,L_Valor,$N1458,L_Tipo,$C1458)&gt;1,"⚠ Possível duplicidade",IF(OR(AND($C1458="Despesa",COUNTIF(CatD_Nome,$D1458)=0),AND($C1458="Receita",COUNTIF(CatR_Nome,$D1458)=0)),"⚠ Categoria não combina com o tipo",IF(OR($N1458="",$C1458=""),"⚠ Falta valor ou tipo",""))))</f>
        <v/>
      </c>
      <c r="U1458" s="40">
        <f>IF($A1458="",0,P1458*12+O1458)</f>
        <v>0</v>
      </c>
      <c r="V1458" s="40">
        <f>IF($A1458="",0,U1458+MAX(0,N($I1458)-MAX(N($H1458),1)))</f>
        <v>0</v>
      </c>
      <c r="W1458" s="40">
        <f>IF(S1458="",0,YEAR(S1458)*12+MONTH(S1458))</f>
        <v>0</v>
      </c>
      <c r="X1458" s="40">
        <f>IF(W1458=0,0,W1458+V1458-U1458)</f>
        <v>0</v>
      </c>
      <c r="Y1458" s="36">
        <f>IF(W1458=0,0,N(R1458)*MAX(0,X1458-MAX(W1458,YEAR(Cfg_Hoje)*12+MONTH(Cfg_Hoje)+IF(DAY(Cfg_Hoje)&gt;=INDEX(Cartoes_Fech,MATCH($F1458,Cartoes_Nome,0)),1,0))+1))</f>
        <v>0</v>
      </c>
      <c r="Z1458" s="40">
        <f>IF($A1458="",0,DAY($A1458))</f>
        <v>0</v>
      </c>
      <c r="AA1458" s="40">
        <f>IF($A1458="",0,WEEKDAY($A1458))</f>
        <v>0</v>
      </c>
      <c r="AB1458" s="36">
        <f>IF(AND($C1458="Despesa",U1458&gt;0,U1458&lt;=Sel_Idx,V1458&gt;=Sel_Idx),N(R1458)+ROW()/1000000000,0)</f>
        <v>0</v>
      </c>
      <c r="AC1458" s="40">
        <f>IF(AND($C1458="Despesa",U1458&gt;0,U1458&lt;=Sel_Idx,V1458&gt;=Sel_Idx),Z1458*10000+ROW(),0)</f>
        <v>0</v>
      </c>
      <c r="AD1458" s="40">
        <f>IF(AC1458=0,0,COUNTIFS(L_CalChave,"&gt;0",L_CalChave,"&lt;"&amp;AC1458)+1)</f>
        <v>0</v>
      </c>
    </row>
    <row r="1459">
      <c r="A1459" s="38" t="n"/>
      <c r="B1459" s="39" t="n"/>
      <c r="C1459" s="34" t="n"/>
      <c r="D1459" s="34" t="n"/>
      <c r="E1459" s="34" t="n"/>
      <c r="F1459" s="34" t="n"/>
      <c r="G1459" s="34" t="n"/>
      <c r="H1459" s="37" t="n"/>
      <c r="I1459" s="37" t="n"/>
      <c r="J1459" s="34" t="n"/>
      <c r="K1459" s="34" t="n"/>
      <c r="L1459" s="34" t="n"/>
      <c r="M1459" s="39" t="n"/>
      <c r="N1459" s="35" t="n"/>
      <c r="O1459" s="40" t="str">
        <f>IF($A1459="","",MONTH($A1459))</f>
        <v/>
      </c>
      <c r="P1459" s="40" t="str">
        <f>IF($A1459="","",YEAR($A1459))</f>
        <v/>
      </c>
      <c r="Q1459" s="41" t="str">
        <f>IF($A1459="","",DATE(P1459,O1459,1))</f>
        <v/>
      </c>
      <c r="R1459" s="36" t="str">
        <f>IF(OR($A1459="",$N1459=""),"",IF(AND($C1459&lt;&gt;"Transferência",N($I1459)&gt;1),$N1459/$I1459,$N1459))</f>
        <v/>
      </c>
      <c r="S1459" s="41" t="str">
        <f>IF(OR($A1459="",$F1459="",$C1459&lt;&gt;"Despesa"),"",IF(COUNTIF(Cartoes_Nome,$F1459)=0,"",DATE(P1459,O1459+IF(DAY($A1459)&gt;=INDEX(Cartoes_Fech,MATCH($F1459,Cartoes_Nome,0)),1,0),1)))</f>
        <v/>
      </c>
      <c r="T1459" s="42" t="str">
        <f>IF($A1459="","",IF(COUNTIFS(L_Data,$A1459,L_Desc,$B1459,L_Valor,$N1459,L_Tipo,$C1459)&gt;1,"⚠ Possível duplicidade",IF(OR(AND($C1459="Despesa",COUNTIF(CatD_Nome,$D1459)=0),AND($C1459="Receita",COUNTIF(CatR_Nome,$D1459)=0)),"⚠ Categoria não combina com o tipo",IF(OR($N1459="",$C1459=""),"⚠ Falta valor ou tipo",""))))</f>
        <v/>
      </c>
      <c r="U1459" s="40">
        <f>IF($A1459="",0,P1459*12+O1459)</f>
        <v>0</v>
      </c>
      <c r="V1459" s="40">
        <f>IF($A1459="",0,U1459+MAX(0,N($I1459)-MAX(N($H1459),1)))</f>
        <v>0</v>
      </c>
      <c r="W1459" s="40">
        <f>IF(S1459="",0,YEAR(S1459)*12+MONTH(S1459))</f>
        <v>0</v>
      </c>
      <c r="X1459" s="40">
        <f>IF(W1459=0,0,W1459+V1459-U1459)</f>
        <v>0</v>
      </c>
      <c r="Y1459" s="36">
        <f>IF(W1459=0,0,N(R1459)*MAX(0,X1459-MAX(W1459,YEAR(Cfg_Hoje)*12+MONTH(Cfg_Hoje)+IF(DAY(Cfg_Hoje)&gt;=INDEX(Cartoes_Fech,MATCH($F1459,Cartoes_Nome,0)),1,0))+1))</f>
        <v>0</v>
      </c>
      <c r="Z1459" s="40">
        <f>IF($A1459="",0,DAY($A1459))</f>
        <v>0</v>
      </c>
      <c r="AA1459" s="40">
        <f>IF($A1459="",0,WEEKDAY($A1459))</f>
        <v>0</v>
      </c>
      <c r="AB1459" s="36">
        <f>IF(AND($C1459="Despesa",U1459&gt;0,U1459&lt;=Sel_Idx,V1459&gt;=Sel_Idx),N(R1459)+ROW()/1000000000,0)</f>
        <v>0</v>
      </c>
      <c r="AC1459" s="40">
        <f>IF(AND($C1459="Despesa",U1459&gt;0,U1459&lt;=Sel_Idx,V1459&gt;=Sel_Idx),Z1459*10000+ROW(),0)</f>
        <v>0</v>
      </c>
      <c r="AD1459" s="40">
        <f>IF(AC1459=0,0,COUNTIFS(L_CalChave,"&gt;0",L_CalChave,"&lt;"&amp;AC1459)+1)</f>
        <v>0</v>
      </c>
    </row>
    <row r="1460">
      <c r="A1460" s="38" t="n"/>
      <c r="B1460" s="39" t="n"/>
      <c r="C1460" s="34" t="n"/>
      <c r="D1460" s="34" t="n"/>
      <c r="E1460" s="34" t="n"/>
      <c r="F1460" s="34" t="n"/>
      <c r="G1460" s="34" t="n"/>
      <c r="H1460" s="37" t="n"/>
      <c r="I1460" s="37" t="n"/>
      <c r="J1460" s="34" t="n"/>
      <c r="K1460" s="34" t="n"/>
      <c r="L1460" s="34" t="n"/>
      <c r="M1460" s="39" t="n"/>
      <c r="N1460" s="35" t="n"/>
      <c r="O1460" s="40" t="str">
        <f>IF($A1460="","",MONTH($A1460))</f>
        <v/>
      </c>
      <c r="P1460" s="40" t="str">
        <f>IF($A1460="","",YEAR($A1460))</f>
        <v/>
      </c>
      <c r="Q1460" s="41" t="str">
        <f>IF($A1460="","",DATE(P1460,O1460,1))</f>
        <v/>
      </c>
      <c r="R1460" s="36" t="str">
        <f>IF(OR($A1460="",$N1460=""),"",IF(AND($C1460&lt;&gt;"Transferência",N($I1460)&gt;1),$N1460/$I1460,$N1460))</f>
        <v/>
      </c>
      <c r="S1460" s="41" t="str">
        <f>IF(OR($A1460="",$F1460="",$C1460&lt;&gt;"Despesa"),"",IF(COUNTIF(Cartoes_Nome,$F1460)=0,"",DATE(P1460,O1460+IF(DAY($A1460)&gt;=INDEX(Cartoes_Fech,MATCH($F1460,Cartoes_Nome,0)),1,0),1)))</f>
        <v/>
      </c>
      <c r="T1460" s="42" t="str">
        <f>IF($A1460="","",IF(COUNTIFS(L_Data,$A1460,L_Desc,$B1460,L_Valor,$N1460,L_Tipo,$C1460)&gt;1,"⚠ Possível duplicidade",IF(OR(AND($C1460="Despesa",COUNTIF(CatD_Nome,$D1460)=0),AND($C1460="Receita",COUNTIF(CatR_Nome,$D1460)=0)),"⚠ Categoria não combina com o tipo",IF(OR($N1460="",$C1460=""),"⚠ Falta valor ou tipo",""))))</f>
        <v/>
      </c>
      <c r="U1460" s="40">
        <f>IF($A1460="",0,P1460*12+O1460)</f>
        <v>0</v>
      </c>
      <c r="V1460" s="40">
        <f>IF($A1460="",0,U1460+MAX(0,N($I1460)-MAX(N($H1460),1)))</f>
        <v>0</v>
      </c>
      <c r="W1460" s="40">
        <f>IF(S1460="",0,YEAR(S1460)*12+MONTH(S1460))</f>
        <v>0</v>
      </c>
      <c r="X1460" s="40">
        <f>IF(W1460=0,0,W1460+V1460-U1460)</f>
        <v>0</v>
      </c>
      <c r="Y1460" s="36">
        <f>IF(W1460=0,0,N(R1460)*MAX(0,X1460-MAX(W1460,YEAR(Cfg_Hoje)*12+MONTH(Cfg_Hoje)+IF(DAY(Cfg_Hoje)&gt;=INDEX(Cartoes_Fech,MATCH($F1460,Cartoes_Nome,0)),1,0))+1))</f>
        <v>0</v>
      </c>
      <c r="Z1460" s="40">
        <f>IF($A1460="",0,DAY($A1460))</f>
        <v>0</v>
      </c>
      <c r="AA1460" s="40">
        <f>IF($A1460="",0,WEEKDAY($A1460))</f>
        <v>0</v>
      </c>
      <c r="AB1460" s="36">
        <f>IF(AND($C1460="Despesa",U1460&gt;0,U1460&lt;=Sel_Idx,V1460&gt;=Sel_Idx),N(R1460)+ROW()/1000000000,0)</f>
        <v>0</v>
      </c>
      <c r="AC1460" s="40">
        <f>IF(AND($C1460="Despesa",U1460&gt;0,U1460&lt;=Sel_Idx,V1460&gt;=Sel_Idx),Z1460*10000+ROW(),0)</f>
        <v>0</v>
      </c>
      <c r="AD1460" s="40">
        <f>IF(AC1460=0,0,COUNTIFS(L_CalChave,"&gt;0",L_CalChave,"&lt;"&amp;AC1460)+1)</f>
        <v>0</v>
      </c>
    </row>
    <row r="1461">
      <c r="A1461" s="38" t="n"/>
      <c r="B1461" s="39" t="n"/>
      <c r="C1461" s="34" t="n"/>
      <c r="D1461" s="34" t="n"/>
      <c r="E1461" s="34" t="n"/>
      <c r="F1461" s="34" t="n"/>
      <c r="G1461" s="34" t="n"/>
      <c r="H1461" s="37" t="n"/>
      <c r="I1461" s="37" t="n"/>
      <c r="J1461" s="34" t="n"/>
      <c r="K1461" s="34" t="n"/>
      <c r="L1461" s="34" t="n"/>
      <c r="M1461" s="39" t="n"/>
      <c r="N1461" s="35" t="n"/>
      <c r="O1461" s="40" t="str">
        <f>IF($A1461="","",MONTH($A1461))</f>
        <v/>
      </c>
      <c r="P1461" s="40" t="str">
        <f>IF($A1461="","",YEAR($A1461))</f>
        <v/>
      </c>
      <c r="Q1461" s="41" t="str">
        <f>IF($A1461="","",DATE(P1461,O1461,1))</f>
        <v/>
      </c>
      <c r="R1461" s="36" t="str">
        <f>IF(OR($A1461="",$N1461=""),"",IF(AND($C1461&lt;&gt;"Transferência",N($I1461)&gt;1),$N1461/$I1461,$N1461))</f>
        <v/>
      </c>
      <c r="S1461" s="41" t="str">
        <f>IF(OR($A1461="",$F1461="",$C1461&lt;&gt;"Despesa"),"",IF(COUNTIF(Cartoes_Nome,$F1461)=0,"",DATE(P1461,O1461+IF(DAY($A1461)&gt;=INDEX(Cartoes_Fech,MATCH($F1461,Cartoes_Nome,0)),1,0),1)))</f>
        <v/>
      </c>
      <c r="T1461" s="42" t="str">
        <f>IF($A1461="","",IF(COUNTIFS(L_Data,$A1461,L_Desc,$B1461,L_Valor,$N1461,L_Tipo,$C1461)&gt;1,"⚠ Possível duplicidade",IF(OR(AND($C1461="Despesa",COUNTIF(CatD_Nome,$D1461)=0),AND($C1461="Receita",COUNTIF(CatR_Nome,$D1461)=0)),"⚠ Categoria não combina com o tipo",IF(OR($N1461="",$C1461=""),"⚠ Falta valor ou tipo",""))))</f>
        <v/>
      </c>
      <c r="U1461" s="40">
        <f>IF($A1461="",0,P1461*12+O1461)</f>
        <v>0</v>
      </c>
      <c r="V1461" s="40">
        <f>IF($A1461="",0,U1461+MAX(0,N($I1461)-MAX(N($H1461),1)))</f>
        <v>0</v>
      </c>
      <c r="W1461" s="40">
        <f>IF(S1461="",0,YEAR(S1461)*12+MONTH(S1461))</f>
        <v>0</v>
      </c>
      <c r="X1461" s="40">
        <f>IF(W1461=0,0,W1461+V1461-U1461)</f>
        <v>0</v>
      </c>
      <c r="Y1461" s="36">
        <f>IF(W1461=0,0,N(R1461)*MAX(0,X1461-MAX(W1461,YEAR(Cfg_Hoje)*12+MONTH(Cfg_Hoje)+IF(DAY(Cfg_Hoje)&gt;=INDEX(Cartoes_Fech,MATCH($F1461,Cartoes_Nome,0)),1,0))+1))</f>
        <v>0</v>
      </c>
      <c r="Z1461" s="40">
        <f>IF($A1461="",0,DAY($A1461))</f>
        <v>0</v>
      </c>
      <c r="AA1461" s="40">
        <f>IF($A1461="",0,WEEKDAY($A1461))</f>
        <v>0</v>
      </c>
      <c r="AB1461" s="36">
        <f>IF(AND($C1461="Despesa",U1461&gt;0,U1461&lt;=Sel_Idx,V1461&gt;=Sel_Idx),N(R1461)+ROW()/1000000000,0)</f>
        <v>0</v>
      </c>
      <c r="AC1461" s="40">
        <f>IF(AND($C1461="Despesa",U1461&gt;0,U1461&lt;=Sel_Idx,V1461&gt;=Sel_Idx),Z1461*10000+ROW(),0)</f>
        <v>0</v>
      </c>
      <c r="AD1461" s="40">
        <f>IF(AC1461=0,0,COUNTIFS(L_CalChave,"&gt;0",L_CalChave,"&lt;"&amp;AC1461)+1)</f>
        <v>0</v>
      </c>
    </row>
    <row r="1462">
      <c r="A1462" s="38" t="n"/>
      <c r="B1462" s="39" t="n"/>
      <c r="C1462" s="34" t="n"/>
      <c r="D1462" s="34" t="n"/>
      <c r="E1462" s="34" t="n"/>
      <c r="F1462" s="34" t="n"/>
      <c r="G1462" s="34" t="n"/>
      <c r="H1462" s="37" t="n"/>
      <c r="I1462" s="37" t="n"/>
      <c r="J1462" s="34" t="n"/>
      <c r="K1462" s="34" t="n"/>
      <c r="L1462" s="34" t="n"/>
      <c r="M1462" s="39" t="n"/>
      <c r="N1462" s="35" t="n"/>
      <c r="O1462" s="40" t="str">
        <f>IF($A1462="","",MONTH($A1462))</f>
        <v/>
      </c>
      <c r="P1462" s="40" t="str">
        <f>IF($A1462="","",YEAR($A1462))</f>
        <v/>
      </c>
      <c r="Q1462" s="41" t="str">
        <f>IF($A1462="","",DATE(P1462,O1462,1))</f>
        <v/>
      </c>
      <c r="R1462" s="36" t="str">
        <f>IF(OR($A1462="",$N1462=""),"",IF(AND($C1462&lt;&gt;"Transferência",N($I1462)&gt;1),$N1462/$I1462,$N1462))</f>
        <v/>
      </c>
      <c r="S1462" s="41" t="str">
        <f>IF(OR($A1462="",$F1462="",$C1462&lt;&gt;"Despesa"),"",IF(COUNTIF(Cartoes_Nome,$F1462)=0,"",DATE(P1462,O1462+IF(DAY($A1462)&gt;=INDEX(Cartoes_Fech,MATCH($F1462,Cartoes_Nome,0)),1,0),1)))</f>
        <v/>
      </c>
      <c r="T1462" s="42" t="str">
        <f>IF($A1462="","",IF(COUNTIFS(L_Data,$A1462,L_Desc,$B1462,L_Valor,$N1462,L_Tipo,$C1462)&gt;1,"⚠ Possível duplicidade",IF(OR(AND($C1462="Despesa",COUNTIF(CatD_Nome,$D1462)=0),AND($C1462="Receita",COUNTIF(CatR_Nome,$D1462)=0)),"⚠ Categoria não combina com o tipo",IF(OR($N1462="",$C1462=""),"⚠ Falta valor ou tipo",""))))</f>
        <v/>
      </c>
      <c r="U1462" s="40">
        <f>IF($A1462="",0,P1462*12+O1462)</f>
        <v>0</v>
      </c>
      <c r="V1462" s="40">
        <f>IF($A1462="",0,U1462+MAX(0,N($I1462)-MAX(N($H1462),1)))</f>
        <v>0</v>
      </c>
      <c r="W1462" s="40">
        <f>IF(S1462="",0,YEAR(S1462)*12+MONTH(S1462))</f>
        <v>0</v>
      </c>
      <c r="X1462" s="40">
        <f>IF(W1462=0,0,W1462+V1462-U1462)</f>
        <v>0</v>
      </c>
      <c r="Y1462" s="36">
        <f>IF(W1462=0,0,N(R1462)*MAX(0,X1462-MAX(W1462,YEAR(Cfg_Hoje)*12+MONTH(Cfg_Hoje)+IF(DAY(Cfg_Hoje)&gt;=INDEX(Cartoes_Fech,MATCH($F1462,Cartoes_Nome,0)),1,0))+1))</f>
        <v>0</v>
      </c>
      <c r="Z1462" s="40">
        <f>IF($A1462="",0,DAY($A1462))</f>
        <v>0</v>
      </c>
      <c r="AA1462" s="40">
        <f>IF($A1462="",0,WEEKDAY($A1462))</f>
        <v>0</v>
      </c>
      <c r="AB1462" s="36">
        <f>IF(AND($C1462="Despesa",U1462&gt;0,U1462&lt;=Sel_Idx,V1462&gt;=Sel_Idx),N(R1462)+ROW()/1000000000,0)</f>
        <v>0</v>
      </c>
      <c r="AC1462" s="40">
        <f>IF(AND($C1462="Despesa",U1462&gt;0,U1462&lt;=Sel_Idx,V1462&gt;=Sel_Idx),Z1462*10000+ROW(),0)</f>
        <v>0</v>
      </c>
      <c r="AD1462" s="40">
        <f>IF(AC1462=0,0,COUNTIFS(L_CalChave,"&gt;0",L_CalChave,"&lt;"&amp;AC1462)+1)</f>
        <v>0</v>
      </c>
    </row>
    <row r="1463">
      <c r="A1463" s="38" t="n"/>
      <c r="B1463" s="39" t="n"/>
      <c r="C1463" s="34" t="n"/>
      <c r="D1463" s="34" t="n"/>
      <c r="E1463" s="34" t="n"/>
      <c r="F1463" s="34" t="n"/>
      <c r="G1463" s="34" t="n"/>
      <c r="H1463" s="37" t="n"/>
      <c r="I1463" s="37" t="n"/>
      <c r="J1463" s="34" t="n"/>
      <c r="K1463" s="34" t="n"/>
      <c r="L1463" s="34" t="n"/>
      <c r="M1463" s="39" t="n"/>
      <c r="N1463" s="35" t="n"/>
      <c r="O1463" s="40" t="str">
        <f>IF($A1463="","",MONTH($A1463))</f>
        <v/>
      </c>
      <c r="P1463" s="40" t="str">
        <f>IF($A1463="","",YEAR($A1463))</f>
        <v/>
      </c>
      <c r="Q1463" s="41" t="str">
        <f>IF($A1463="","",DATE(P1463,O1463,1))</f>
        <v/>
      </c>
      <c r="R1463" s="36" t="str">
        <f>IF(OR($A1463="",$N1463=""),"",IF(AND($C1463&lt;&gt;"Transferência",N($I1463)&gt;1),$N1463/$I1463,$N1463))</f>
        <v/>
      </c>
      <c r="S1463" s="41" t="str">
        <f>IF(OR($A1463="",$F1463="",$C1463&lt;&gt;"Despesa"),"",IF(COUNTIF(Cartoes_Nome,$F1463)=0,"",DATE(P1463,O1463+IF(DAY($A1463)&gt;=INDEX(Cartoes_Fech,MATCH($F1463,Cartoes_Nome,0)),1,0),1)))</f>
        <v/>
      </c>
      <c r="T1463" s="42" t="str">
        <f>IF($A1463="","",IF(COUNTIFS(L_Data,$A1463,L_Desc,$B1463,L_Valor,$N1463,L_Tipo,$C1463)&gt;1,"⚠ Possível duplicidade",IF(OR(AND($C1463="Despesa",COUNTIF(CatD_Nome,$D1463)=0),AND($C1463="Receita",COUNTIF(CatR_Nome,$D1463)=0)),"⚠ Categoria não combina com o tipo",IF(OR($N1463="",$C1463=""),"⚠ Falta valor ou tipo",""))))</f>
        <v/>
      </c>
      <c r="U1463" s="40">
        <f>IF($A1463="",0,P1463*12+O1463)</f>
        <v>0</v>
      </c>
      <c r="V1463" s="40">
        <f>IF($A1463="",0,U1463+MAX(0,N($I1463)-MAX(N($H1463),1)))</f>
        <v>0</v>
      </c>
      <c r="W1463" s="40">
        <f>IF(S1463="",0,YEAR(S1463)*12+MONTH(S1463))</f>
        <v>0</v>
      </c>
      <c r="X1463" s="40">
        <f>IF(W1463=0,0,W1463+V1463-U1463)</f>
        <v>0</v>
      </c>
      <c r="Y1463" s="36">
        <f>IF(W1463=0,0,N(R1463)*MAX(0,X1463-MAX(W1463,YEAR(Cfg_Hoje)*12+MONTH(Cfg_Hoje)+IF(DAY(Cfg_Hoje)&gt;=INDEX(Cartoes_Fech,MATCH($F1463,Cartoes_Nome,0)),1,0))+1))</f>
        <v>0</v>
      </c>
      <c r="Z1463" s="40">
        <f>IF($A1463="",0,DAY($A1463))</f>
        <v>0</v>
      </c>
      <c r="AA1463" s="40">
        <f>IF($A1463="",0,WEEKDAY($A1463))</f>
        <v>0</v>
      </c>
      <c r="AB1463" s="36">
        <f>IF(AND($C1463="Despesa",U1463&gt;0,U1463&lt;=Sel_Idx,V1463&gt;=Sel_Idx),N(R1463)+ROW()/1000000000,0)</f>
        <v>0</v>
      </c>
      <c r="AC1463" s="40">
        <f>IF(AND($C1463="Despesa",U1463&gt;0,U1463&lt;=Sel_Idx,V1463&gt;=Sel_Idx),Z1463*10000+ROW(),0)</f>
        <v>0</v>
      </c>
      <c r="AD1463" s="40">
        <f>IF(AC1463=0,0,COUNTIFS(L_CalChave,"&gt;0",L_CalChave,"&lt;"&amp;AC1463)+1)</f>
        <v>0</v>
      </c>
    </row>
    <row r="1464">
      <c r="A1464" s="38" t="n"/>
      <c r="B1464" s="39" t="n"/>
      <c r="C1464" s="34" t="n"/>
      <c r="D1464" s="34" t="n"/>
      <c r="E1464" s="34" t="n"/>
      <c r="F1464" s="34" t="n"/>
      <c r="G1464" s="34" t="n"/>
      <c r="H1464" s="37" t="n"/>
      <c r="I1464" s="37" t="n"/>
      <c r="J1464" s="34" t="n"/>
      <c r="K1464" s="34" t="n"/>
      <c r="L1464" s="34" t="n"/>
      <c r="M1464" s="39" t="n"/>
      <c r="N1464" s="35" t="n"/>
      <c r="O1464" s="40" t="str">
        <f>IF($A1464="","",MONTH($A1464))</f>
        <v/>
      </c>
      <c r="P1464" s="40" t="str">
        <f>IF($A1464="","",YEAR($A1464))</f>
        <v/>
      </c>
      <c r="Q1464" s="41" t="str">
        <f>IF($A1464="","",DATE(P1464,O1464,1))</f>
        <v/>
      </c>
      <c r="R1464" s="36" t="str">
        <f>IF(OR($A1464="",$N1464=""),"",IF(AND($C1464&lt;&gt;"Transferência",N($I1464)&gt;1),$N1464/$I1464,$N1464))</f>
        <v/>
      </c>
      <c r="S1464" s="41" t="str">
        <f>IF(OR($A1464="",$F1464="",$C1464&lt;&gt;"Despesa"),"",IF(COUNTIF(Cartoes_Nome,$F1464)=0,"",DATE(P1464,O1464+IF(DAY($A1464)&gt;=INDEX(Cartoes_Fech,MATCH($F1464,Cartoes_Nome,0)),1,0),1)))</f>
        <v/>
      </c>
      <c r="T1464" s="42" t="str">
        <f>IF($A1464="","",IF(COUNTIFS(L_Data,$A1464,L_Desc,$B1464,L_Valor,$N1464,L_Tipo,$C1464)&gt;1,"⚠ Possível duplicidade",IF(OR(AND($C1464="Despesa",COUNTIF(CatD_Nome,$D1464)=0),AND($C1464="Receita",COUNTIF(CatR_Nome,$D1464)=0)),"⚠ Categoria não combina com o tipo",IF(OR($N1464="",$C1464=""),"⚠ Falta valor ou tipo",""))))</f>
        <v/>
      </c>
      <c r="U1464" s="40">
        <f>IF($A1464="",0,P1464*12+O1464)</f>
        <v>0</v>
      </c>
      <c r="V1464" s="40">
        <f>IF($A1464="",0,U1464+MAX(0,N($I1464)-MAX(N($H1464),1)))</f>
        <v>0</v>
      </c>
      <c r="W1464" s="40">
        <f>IF(S1464="",0,YEAR(S1464)*12+MONTH(S1464))</f>
        <v>0</v>
      </c>
      <c r="X1464" s="40">
        <f>IF(W1464=0,0,W1464+V1464-U1464)</f>
        <v>0</v>
      </c>
      <c r="Y1464" s="36">
        <f>IF(W1464=0,0,N(R1464)*MAX(0,X1464-MAX(W1464,YEAR(Cfg_Hoje)*12+MONTH(Cfg_Hoje)+IF(DAY(Cfg_Hoje)&gt;=INDEX(Cartoes_Fech,MATCH($F1464,Cartoes_Nome,0)),1,0))+1))</f>
        <v>0</v>
      </c>
      <c r="Z1464" s="40">
        <f>IF($A1464="",0,DAY($A1464))</f>
        <v>0</v>
      </c>
      <c r="AA1464" s="40">
        <f>IF($A1464="",0,WEEKDAY($A1464))</f>
        <v>0</v>
      </c>
      <c r="AB1464" s="36">
        <f>IF(AND($C1464="Despesa",U1464&gt;0,U1464&lt;=Sel_Idx,V1464&gt;=Sel_Idx),N(R1464)+ROW()/1000000000,0)</f>
        <v>0</v>
      </c>
      <c r="AC1464" s="40">
        <f>IF(AND($C1464="Despesa",U1464&gt;0,U1464&lt;=Sel_Idx,V1464&gt;=Sel_Idx),Z1464*10000+ROW(),0)</f>
        <v>0</v>
      </c>
      <c r="AD1464" s="40">
        <f>IF(AC1464=0,0,COUNTIFS(L_CalChave,"&gt;0",L_CalChave,"&lt;"&amp;AC1464)+1)</f>
        <v>0</v>
      </c>
    </row>
    <row r="1465">
      <c r="A1465" s="38" t="n"/>
      <c r="B1465" s="39" t="n"/>
      <c r="C1465" s="34" t="n"/>
      <c r="D1465" s="34" t="n"/>
      <c r="E1465" s="34" t="n"/>
      <c r="F1465" s="34" t="n"/>
      <c r="G1465" s="34" t="n"/>
      <c r="H1465" s="37" t="n"/>
      <c r="I1465" s="37" t="n"/>
      <c r="J1465" s="34" t="n"/>
      <c r="K1465" s="34" t="n"/>
      <c r="L1465" s="34" t="n"/>
      <c r="M1465" s="39" t="n"/>
      <c r="N1465" s="35" t="n"/>
      <c r="O1465" s="40" t="str">
        <f>IF($A1465="","",MONTH($A1465))</f>
        <v/>
      </c>
      <c r="P1465" s="40" t="str">
        <f>IF($A1465="","",YEAR($A1465))</f>
        <v/>
      </c>
      <c r="Q1465" s="41" t="str">
        <f>IF($A1465="","",DATE(P1465,O1465,1))</f>
        <v/>
      </c>
      <c r="R1465" s="36" t="str">
        <f>IF(OR($A1465="",$N1465=""),"",IF(AND($C1465&lt;&gt;"Transferência",N($I1465)&gt;1),$N1465/$I1465,$N1465))</f>
        <v/>
      </c>
      <c r="S1465" s="41" t="str">
        <f>IF(OR($A1465="",$F1465="",$C1465&lt;&gt;"Despesa"),"",IF(COUNTIF(Cartoes_Nome,$F1465)=0,"",DATE(P1465,O1465+IF(DAY($A1465)&gt;=INDEX(Cartoes_Fech,MATCH($F1465,Cartoes_Nome,0)),1,0),1)))</f>
        <v/>
      </c>
      <c r="T1465" s="42" t="str">
        <f>IF($A1465="","",IF(COUNTIFS(L_Data,$A1465,L_Desc,$B1465,L_Valor,$N1465,L_Tipo,$C1465)&gt;1,"⚠ Possível duplicidade",IF(OR(AND($C1465="Despesa",COUNTIF(CatD_Nome,$D1465)=0),AND($C1465="Receita",COUNTIF(CatR_Nome,$D1465)=0)),"⚠ Categoria não combina com o tipo",IF(OR($N1465="",$C1465=""),"⚠ Falta valor ou tipo",""))))</f>
        <v/>
      </c>
      <c r="U1465" s="40">
        <f>IF($A1465="",0,P1465*12+O1465)</f>
        <v>0</v>
      </c>
      <c r="V1465" s="40">
        <f>IF($A1465="",0,U1465+MAX(0,N($I1465)-MAX(N($H1465),1)))</f>
        <v>0</v>
      </c>
      <c r="W1465" s="40">
        <f>IF(S1465="",0,YEAR(S1465)*12+MONTH(S1465))</f>
        <v>0</v>
      </c>
      <c r="X1465" s="40">
        <f>IF(W1465=0,0,W1465+V1465-U1465)</f>
        <v>0</v>
      </c>
      <c r="Y1465" s="36">
        <f>IF(W1465=0,0,N(R1465)*MAX(0,X1465-MAX(W1465,YEAR(Cfg_Hoje)*12+MONTH(Cfg_Hoje)+IF(DAY(Cfg_Hoje)&gt;=INDEX(Cartoes_Fech,MATCH($F1465,Cartoes_Nome,0)),1,0))+1))</f>
        <v>0</v>
      </c>
      <c r="Z1465" s="40">
        <f>IF($A1465="",0,DAY($A1465))</f>
        <v>0</v>
      </c>
      <c r="AA1465" s="40">
        <f>IF($A1465="",0,WEEKDAY($A1465))</f>
        <v>0</v>
      </c>
      <c r="AB1465" s="36">
        <f>IF(AND($C1465="Despesa",U1465&gt;0,U1465&lt;=Sel_Idx,V1465&gt;=Sel_Idx),N(R1465)+ROW()/1000000000,0)</f>
        <v>0</v>
      </c>
      <c r="AC1465" s="40">
        <f>IF(AND($C1465="Despesa",U1465&gt;0,U1465&lt;=Sel_Idx,V1465&gt;=Sel_Idx),Z1465*10000+ROW(),0)</f>
        <v>0</v>
      </c>
      <c r="AD1465" s="40">
        <f>IF(AC1465=0,0,COUNTIFS(L_CalChave,"&gt;0",L_CalChave,"&lt;"&amp;AC1465)+1)</f>
        <v>0</v>
      </c>
    </row>
    <row r="1466">
      <c r="A1466" s="38" t="n"/>
      <c r="B1466" s="39" t="n"/>
      <c r="C1466" s="34" t="n"/>
      <c r="D1466" s="34" t="n"/>
      <c r="E1466" s="34" t="n"/>
      <c r="F1466" s="34" t="n"/>
      <c r="G1466" s="34" t="n"/>
      <c r="H1466" s="37" t="n"/>
      <c r="I1466" s="37" t="n"/>
      <c r="J1466" s="34" t="n"/>
      <c r="K1466" s="34" t="n"/>
      <c r="L1466" s="34" t="n"/>
      <c r="M1466" s="39" t="n"/>
      <c r="N1466" s="35" t="n"/>
      <c r="O1466" s="40" t="str">
        <f>IF($A1466="","",MONTH($A1466))</f>
        <v/>
      </c>
      <c r="P1466" s="40" t="str">
        <f>IF($A1466="","",YEAR($A1466))</f>
        <v/>
      </c>
      <c r="Q1466" s="41" t="str">
        <f>IF($A1466="","",DATE(P1466,O1466,1))</f>
        <v/>
      </c>
      <c r="R1466" s="36" t="str">
        <f>IF(OR($A1466="",$N1466=""),"",IF(AND($C1466&lt;&gt;"Transferência",N($I1466)&gt;1),$N1466/$I1466,$N1466))</f>
        <v/>
      </c>
      <c r="S1466" s="41" t="str">
        <f>IF(OR($A1466="",$F1466="",$C1466&lt;&gt;"Despesa"),"",IF(COUNTIF(Cartoes_Nome,$F1466)=0,"",DATE(P1466,O1466+IF(DAY($A1466)&gt;=INDEX(Cartoes_Fech,MATCH($F1466,Cartoes_Nome,0)),1,0),1)))</f>
        <v/>
      </c>
      <c r="T1466" s="42" t="str">
        <f>IF($A1466="","",IF(COUNTIFS(L_Data,$A1466,L_Desc,$B1466,L_Valor,$N1466,L_Tipo,$C1466)&gt;1,"⚠ Possível duplicidade",IF(OR(AND($C1466="Despesa",COUNTIF(CatD_Nome,$D1466)=0),AND($C1466="Receita",COUNTIF(CatR_Nome,$D1466)=0)),"⚠ Categoria não combina com o tipo",IF(OR($N1466="",$C1466=""),"⚠ Falta valor ou tipo",""))))</f>
        <v/>
      </c>
      <c r="U1466" s="40">
        <f>IF($A1466="",0,P1466*12+O1466)</f>
        <v>0</v>
      </c>
      <c r="V1466" s="40">
        <f>IF($A1466="",0,U1466+MAX(0,N($I1466)-MAX(N($H1466),1)))</f>
        <v>0</v>
      </c>
      <c r="W1466" s="40">
        <f>IF(S1466="",0,YEAR(S1466)*12+MONTH(S1466))</f>
        <v>0</v>
      </c>
      <c r="X1466" s="40">
        <f>IF(W1466=0,0,W1466+V1466-U1466)</f>
        <v>0</v>
      </c>
      <c r="Y1466" s="36">
        <f>IF(W1466=0,0,N(R1466)*MAX(0,X1466-MAX(W1466,YEAR(Cfg_Hoje)*12+MONTH(Cfg_Hoje)+IF(DAY(Cfg_Hoje)&gt;=INDEX(Cartoes_Fech,MATCH($F1466,Cartoes_Nome,0)),1,0))+1))</f>
        <v>0</v>
      </c>
      <c r="Z1466" s="40">
        <f>IF($A1466="",0,DAY($A1466))</f>
        <v>0</v>
      </c>
      <c r="AA1466" s="40">
        <f>IF($A1466="",0,WEEKDAY($A1466))</f>
        <v>0</v>
      </c>
      <c r="AB1466" s="36">
        <f>IF(AND($C1466="Despesa",U1466&gt;0,U1466&lt;=Sel_Idx,V1466&gt;=Sel_Idx),N(R1466)+ROW()/1000000000,0)</f>
        <v>0</v>
      </c>
      <c r="AC1466" s="40">
        <f>IF(AND($C1466="Despesa",U1466&gt;0,U1466&lt;=Sel_Idx,V1466&gt;=Sel_Idx),Z1466*10000+ROW(),0)</f>
        <v>0</v>
      </c>
      <c r="AD1466" s="40">
        <f>IF(AC1466=0,0,COUNTIFS(L_CalChave,"&gt;0",L_CalChave,"&lt;"&amp;AC1466)+1)</f>
        <v>0</v>
      </c>
    </row>
    <row r="1467">
      <c r="A1467" s="38" t="n"/>
      <c r="B1467" s="39" t="n"/>
      <c r="C1467" s="34" t="n"/>
      <c r="D1467" s="34" t="n"/>
      <c r="E1467" s="34" t="n"/>
      <c r="F1467" s="34" t="n"/>
      <c r="G1467" s="34" t="n"/>
      <c r="H1467" s="37" t="n"/>
      <c r="I1467" s="37" t="n"/>
      <c r="J1467" s="34" t="n"/>
      <c r="K1467" s="34" t="n"/>
      <c r="L1467" s="34" t="n"/>
      <c r="M1467" s="39" t="n"/>
      <c r="N1467" s="35" t="n"/>
      <c r="O1467" s="40" t="str">
        <f>IF($A1467="","",MONTH($A1467))</f>
        <v/>
      </c>
      <c r="P1467" s="40" t="str">
        <f>IF($A1467="","",YEAR($A1467))</f>
        <v/>
      </c>
      <c r="Q1467" s="41" t="str">
        <f>IF($A1467="","",DATE(P1467,O1467,1))</f>
        <v/>
      </c>
      <c r="R1467" s="36" t="str">
        <f>IF(OR($A1467="",$N1467=""),"",IF(AND($C1467&lt;&gt;"Transferência",N($I1467)&gt;1),$N1467/$I1467,$N1467))</f>
        <v/>
      </c>
      <c r="S1467" s="41" t="str">
        <f>IF(OR($A1467="",$F1467="",$C1467&lt;&gt;"Despesa"),"",IF(COUNTIF(Cartoes_Nome,$F1467)=0,"",DATE(P1467,O1467+IF(DAY($A1467)&gt;=INDEX(Cartoes_Fech,MATCH($F1467,Cartoes_Nome,0)),1,0),1)))</f>
        <v/>
      </c>
      <c r="T1467" s="42" t="str">
        <f>IF($A1467="","",IF(COUNTIFS(L_Data,$A1467,L_Desc,$B1467,L_Valor,$N1467,L_Tipo,$C1467)&gt;1,"⚠ Possível duplicidade",IF(OR(AND($C1467="Despesa",COUNTIF(CatD_Nome,$D1467)=0),AND($C1467="Receita",COUNTIF(CatR_Nome,$D1467)=0)),"⚠ Categoria não combina com o tipo",IF(OR($N1467="",$C1467=""),"⚠ Falta valor ou tipo",""))))</f>
        <v/>
      </c>
      <c r="U1467" s="40">
        <f>IF($A1467="",0,P1467*12+O1467)</f>
        <v>0</v>
      </c>
      <c r="V1467" s="40">
        <f>IF($A1467="",0,U1467+MAX(0,N($I1467)-MAX(N($H1467),1)))</f>
        <v>0</v>
      </c>
      <c r="W1467" s="40">
        <f>IF(S1467="",0,YEAR(S1467)*12+MONTH(S1467))</f>
        <v>0</v>
      </c>
      <c r="X1467" s="40">
        <f>IF(W1467=0,0,W1467+V1467-U1467)</f>
        <v>0</v>
      </c>
      <c r="Y1467" s="36">
        <f>IF(W1467=0,0,N(R1467)*MAX(0,X1467-MAX(W1467,YEAR(Cfg_Hoje)*12+MONTH(Cfg_Hoje)+IF(DAY(Cfg_Hoje)&gt;=INDEX(Cartoes_Fech,MATCH($F1467,Cartoes_Nome,0)),1,0))+1))</f>
        <v>0</v>
      </c>
      <c r="Z1467" s="40">
        <f>IF($A1467="",0,DAY($A1467))</f>
        <v>0</v>
      </c>
      <c r="AA1467" s="40">
        <f>IF($A1467="",0,WEEKDAY($A1467))</f>
        <v>0</v>
      </c>
      <c r="AB1467" s="36">
        <f>IF(AND($C1467="Despesa",U1467&gt;0,U1467&lt;=Sel_Idx,V1467&gt;=Sel_Idx),N(R1467)+ROW()/1000000000,0)</f>
        <v>0</v>
      </c>
      <c r="AC1467" s="40">
        <f>IF(AND($C1467="Despesa",U1467&gt;0,U1467&lt;=Sel_Idx,V1467&gt;=Sel_Idx),Z1467*10000+ROW(),0)</f>
        <v>0</v>
      </c>
      <c r="AD1467" s="40">
        <f>IF(AC1467=0,0,COUNTIFS(L_CalChave,"&gt;0",L_CalChave,"&lt;"&amp;AC1467)+1)</f>
        <v>0</v>
      </c>
    </row>
    <row r="1468">
      <c r="A1468" s="38" t="n"/>
      <c r="B1468" s="39" t="n"/>
      <c r="C1468" s="34" t="n"/>
      <c r="D1468" s="34" t="n"/>
      <c r="E1468" s="34" t="n"/>
      <c r="F1468" s="34" t="n"/>
      <c r="G1468" s="34" t="n"/>
      <c r="H1468" s="37" t="n"/>
      <c r="I1468" s="37" t="n"/>
      <c r="J1468" s="34" t="n"/>
      <c r="K1468" s="34" t="n"/>
      <c r="L1468" s="34" t="n"/>
      <c r="M1468" s="39" t="n"/>
      <c r="N1468" s="35" t="n"/>
      <c r="O1468" s="40" t="str">
        <f>IF($A1468="","",MONTH($A1468))</f>
        <v/>
      </c>
      <c r="P1468" s="40" t="str">
        <f>IF($A1468="","",YEAR($A1468))</f>
        <v/>
      </c>
      <c r="Q1468" s="41" t="str">
        <f>IF($A1468="","",DATE(P1468,O1468,1))</f>
        <v/>
      </c>
      <c r="R1468" s="36" t="str">
        <f>IF(OR($A1468="",$N1468=""),"",IF(AND($C1468&lt;&gt;"Transferência",N($I1468)&gt;1),$N1468/$I1468,$N1468))</f>
        <v/>
      </c>
      <c r="S1468" s="41" t="str">
        <f>IF(OR($A1468="",$F1468="",$C1468&lt;&gt;"Despesa"),"",IF(COUNTIF(Cartoes_Nome,$F1468)=0,"",DATE(P1468,O1468+IF(DAY($A1468)&gt;=INDEX(Cartoes_Fech,MATCH($F1468,Cartoes_Nome,0)),1,0),1)))</f>
        <v/>
      </c>
      <c r="T1468" s="42" t="str">
        <f>IF($A1468="","",IF(COUNTIFS(L_Data,$A1468,L_Desc,$B1468,L_Valor,$N1468,L_Tipo,$C1468)&gt;1,"⚠ Possível duplicidade",IF(OR(AND($C1468="Despesa",COUNTIF(CatD_Nome,$D1468)=0),AND($C1468="Receita",COUNTIF(CatR_Nome,$D1468)=0)),"⚠ Categoria não combina com o tipo",IF(OR($N1468="",$C1468=""),"⚠ Falta valor ou tipo",""))))</f>
        <v/>
      </c>
      <c r="U1468" s="40">
        <f>IF($A1468="",0,P1468*12+O1468)</f>
        <v>0</v>
      </c>
      <c r="V1468" s="40">
        <f>IF($A1468="",0,U1468+MAX(0,N($I1468)-MAX(N($H1468),1)))</f>
        <v>0</v>
      </c>
      <c r="W1468" s="40">
        <f>IF(S1468="",0,YEAR(S1468)*12+MONTH(S1468))</f>
        <v>0</v>
      </c>
      <c r="X1468" s="40">
        <f>IF(W1468=0,0,W1468+V1468-U1468)</f>
        <v>0</v>
      </c>
      <c r="Y1468" s="36">
        <f>IF(W1468=0,0,N(R1468)*MAX(0,X1468-MAX(W1468,YEAR(Cfg_Hoje)*12+MONTH(Cfg_Hoje)+IF(DAY(Cfg_Hoje)&gt;=INDEX(Cartoes_Fech,MATCH($F1468,Cartoes_Nome,0)),1,0))+1))</f>
        <v>0</v>
      </c>
      <c r="Z1468" s="40">
        <f>IF($A1468="",0,DAY($A1468))</f>
        <v>0</v>
      </c>
      <c r="AA1468" s="40">
        <f>IF($A1468="",0,WEEKDAY($A1468))</f>
        <v>0</v>
      </c>
      <c r="AB1468" s="36">
        <f>IF(AND($C1468="Despesa",U1468&gt;0,U1468&lt;=Sel_Idx,V1468&gt;=Sel_Idx),N(R1468)+ROW()/1000000000,0)</f>
        <v>0</v>
      </c>
      <c r="AC1468" s="40">
        <f>IF(AND($C1468="Despesa",U1468&gt;0,U1468&lt;=Sel_Idx,V1468&gt;=Sel_Idx),Z1468*10000+ROW(),0)</f>
        <v>0</v>
      </c>
      <c r="AD1468" s="40">
        <f>IF(AC1468=0,0,COUNTIFS(L_CalChave,"&gt;0",L_CalChave,"&lt;"&amp;AC1468)+1)</f>
        <v>0</v>
      </c>
    </row>
    <row r="1469">
      <c r="A1469" s="38" t="n"/>
      <c r="B1469" s="39" t="n"/>
      <c r="C1469" s="34" t="n"/>
      <c r="D1469" s="34" t="n"/>
      <c r="E1469" s="34" t="n"/>
      <c r="F1469" s="34" t="n"/>
      <c r="G1469" s="34" t="n"/>
      <c r="H1469" s="37" t="n"/>
      <c r="I1469" s="37" t="n"/>
      <c r="J1469" s="34" t="n"/>
      <c r="K1469" s="34" t="n"/>
      <c r="L1469" s="34" t="n"/>
      <c r="M1469" s="39" t="n"/>
      <c r="N1469" s="35" t="n"/>
      <c r="O1469" s="40" t="str">
        <f>IF($A1469="","",MONTH($A1469))</f>
        <v/>
      </c>
      <c r="P1469" s="40" t="str">
        <f>IF($A1469="","",YEAR($A1469))</f>
        <v/>
      </c>
      <c r="Q1469" s="41" t="str">
        <f>IF($A1469="","",DATE(P1469,O1469,1))</f>
        <v/>
      </c>
      <c r="R1469" s="36" t="str">
        <f>IF(OR($A1469="",$N1469=""),"",IF(AND($C1469&lt;&gt;"Transferência",N($I1469)&gt;1),$N1469/$I1469,$N1469))</f>
        <v/>
      </c>
      <c r="S1469" s="41" t="str">
        <f>IF(OR($A1469="",$F1469="",$C1469&lt;&gt;"Despesa"),"",IF(COUNTIF(Cartoes_Nome,$F1469)=0,"",DATE(P1469,O1469+IF(DAY($A1469)&gt;=INDEX(Cartoes_Fech,MATCH($F1469,Cartoes_Nome,0)),1,0),1)))</f>
        <v/>
      </c>
      <c r="T1469" s="42" t="str">
        <f>IF($A1469="","",IF(COUNTIFS(L_Data,$A1469,L_Desc,$B1469,L_Valor,$N1469,L_Tipo,$C1469)&gt;1,"⚠ Possível duplicidade",IF(OR(AND($C1469="Despesa",COUNTIF(CatD_Nome,$D1469)=0),AND($C1469="Receita",COUNTIF(CatR_Nome,$D1469)=0)),"⚠ Categoria não combina com o tipo",IF(OR($N1469="",$C1469=""),"⚠ Falta valor ou tipo",""))))</f>
        <v/>
      </c>
      <c r="U1469" s="40">
        <f>IF($A1469="",0,P1469*12+O1469)</f>
        <v>0</v>
      </c>
      <c r="V1469" s="40">
        <f>IF($A1469="",0,U1469+MAX(0,N($I1469)-MAX(N($H1469),1)))</f>
        <v>0</v>
      </c>
      <c r="W1469" s="40">
        <f>IF(S1469="",0,YEAR(S1469)*12+MONTH(S1469))</f>
        <v>0</v>
      </c>
      <c r="X1469" s="40">
        <f>IF(W1469=0,0,W1469+V1469-U1469)</f>
        <v>0</v>
      </c>
      <c r="Y1469" s="36">
        <f>IF(W1469=0,0,N(R1469)*MAX(0,X1469-MAX(W1469,YEAR(Cfg_Hoje)*12+MONTH(Cfg_Hoje)+IF(DAY(Cfg_Hoje)&gt;=INDEX(Cartoes_Fech,MATCH($F1469,Cartoes_Nome,0)),1,0))+1))</f>
        <v>0</v>
      </c>
      <c r="Z1469" s="40">
        <f>IF($A1469="",0,DAY($A1469))</f>
        <v>0</v>
      </c>
      <c r="AA1469" s="40">
        <f>IF($A1469="",0,WEEKDAY($A1469))</f>
        <v>0</v>
      </c>
      <c r="AB1469" s="36">
        <f>IF(AND($C1469="Despesa",U1469&gt;0,U1469&lt;=Sel_Idx,V1469&gt;=Sel_Idx),N(R1469)+ROW()/1000000000,0)</f>
        <v>0</v>
      </c>
      <c r="AC1469" s="40">
        <f>IF(AND($C1469="Despesa",U1469&gt;0,U1469&lt;=Sel_Idx,V1469&gt;=Sel_Idx),Z1469*10000+ROW(),0)</f>
        <v>0</v>
      </c>
      <c r="AD1469" s="40">
        <f>IF(AC1469=0,0,COUNTIFS(L_CalChave,"&gt;0",L_CalChave,"&lt;"&amp;AC1469)+1)</f>
        <v>0</v>
      </c>
    </row>
    <row r="1470">
      <c r="A1470" s="38" t="n"/>
      <c r="B1470" s="39" t="n"/>
      <c r="C1470" s="34" t="n"/>
      <c r="D1470" s="34" t="n"/>
      <c r="E1470" s="34" t="n"/>
      <c r="F1470" s="34" t="n"/>
      <c r="G1470" s="34" t="n"/>
      <c r="H1470" s="37" t="n"/>
      <c r="I1470" s="37" t="n"/>
      <c r="J1470" s="34" t="n"/>
      <c r="K1470" s="34" t="n"/>
      <c r="L1470" s="34" t="n"/>
      <c r="M1470" s="39" t="n"/>
      <c r="N1470" s="35" t="n"/>
      <c r="O1470" s="40" t="str">
        <f>IF($A1470="","",MONTH($A1470))</f>
        <v/>
      </c>
      <c r="P1470" s="40" t="str">
        <f>IF($A1470="","",YEAR($A1470))</f>
        <v/>
      </c>
      <c r="Q1470" s="41" t="str">
        <f>IF($A1470="","",DATE(P1470,O1470,1))</f>
        <v/>
      </c>
      <c r="R1470" s="36" t="str">
        <f>IF(OR($A1470="",$N1470=""),"",IF(AND($C1470&lt;&gt;"Transferência",N($I1470)&gt;1),$N1470/$I1470,$N1470))</f>
        <v/>
      </c>
      <c r="S1470" s="41" t="str">
        <f>IF(OR($A1470="",$F1470="",$C1470&lt;&gt;"Despesa"),"",IF(COUNTIF(Cartoes_Nome,$F1470)=0,"",DATE(P1470,O1470+IF(DAY($A1470)&gt;=INDEX(Cartoes_Fech,MATCH($F1470,Cartoes_Nome,0)),1,0),1)))</f>
        <v/>
      </c>
      <c r="T1470" s="42" t="str">
        <f>IF($A1470="","",IF(COUNTIFS(L_Data,$A1470,L_Desc,$B1470,L_Valor,$N1470,L_Tipo,$C1470)&gt;1,"⚠ Possível duplicidade",IF(OR(AND($C1470="Despesa",COUNTIF(CatD_Nome,$D1470)=0),AND($C1470="Receita",COUNTIF(CatR_Nome,$D1470)=0)),"⚠ Categoria não combina com o tipo",IF(OR($N1470="",$C1470=""),"⚠ Falta valor ou tipo",""))))</f>
        <v/>
      </c>
      <c r="U1470" s="40">
        <f>IF($A1470="",0,P1470*12+O1470)</f>
        <v>0</v>
      </c>
      <c r="V1470" s="40">
        <f>IF($A1470="",0,U1470+MAX(0,N($I1470)-MAX(N($H1470),1)))</f>
        <v>0</v>
      </c>
      <c r="W1470" s="40">
        <f>IF(S1470="",0,YEAR(S1470)*12+MONTH(S1470))</f>
        <v>0</v>
      </c>
      <c r="X1470" s="40">
        <f>IF(W1470=0,0,W1470+V1470-U1470)</f>
        <v>0</v>
      </c>
      <c r="Y1470" s="36">
        <f>IF(W1470=0,0,N(R1470)*MAX(0,X1470-MAX(W1470,YEAR(Cfg_Hoje)*12+MONTH(Cfg_Hoje)+IF(DAY(Cfg_Hoje)&gt;=INDEX(Cartoes_Fech,MATCH($F1470,Cartoes_Nome,0)),1,0))+1))</f>
        <v>0</v>
      </c>
      <c r="Z1470" s="40">
        <f>IF($A1470="",0,DAY($A1470))</f>
        <v>0</v>
      </c>
      <c r="AA1470" s="40">
        <f>IF($A1470="",0,WEEKDAY($A1470))</f>
        <v>0</v>
      </c>
      <c r="AB1470" s="36">
        <f>IF(AND($C1470="Despesa",U1470&gt;0,U1470&lt;=Sel_Idx,V1470&gt;=Sel_Idx),N(R1470)+ROW()/1000000000,0)</f>
        <v>0</v>
      </c>
      <c r="AC1470" s="40">
        <f>IF(AND($C1470="Despesa",U1470&gt;0,U1470&lt;=Sel_Idx,V1470&gt;=Sel_Idx),Z1470*10000+ROW(),0)</f>
        <v>0</v>
      </c>
      <c r="AD1470" s="40">
        <f>IF(AC1470=0,0,COUNTIFS(L_CalChave,"&gt;0",L_CalChave,"&lt;"&amp;AC1470)+1)</f>
        <v>0</v>
      </c>
    </row>
    <row r="1471">
      <c r="A1471" s="38" t="n"/>
      <c r="B1471" s="39" t="n"/>
      <c r="C1471" s="34" t="n"/>
      <c r="D1471" s="34" t="n"/>
      <c r="E1471" s="34" t="n"/>
      <c r="F1471" s="34" t="n"/>
      <c r="G1471" s="34" t="n"/>
      <c r="H1471" s="37" t="n"/>
      <c r="I1471" s="37" t="n"/>
      <c r="J1471" s="34" t="n"/>
      <c r="K1471" s="34" t="n"/>
      <c r="L1471" s="34" t="n"/>
      <c r="M1471" s="39" t="n"/>
      <c r="N1471" s="35" t="n"/>
      <c r="O1471" s="40" t="str">
        <f>IF($A1471="","",MONTH($A1471))</f>
        <v/>
      </c>
      <c r="P1471" s="40" t="str">
        <f>IF($A1471="","",YEAR($A1471))</f>
        <v/>
      </c>
      <c r="Q1471" s="41" t="str">
        <f>IF($A1471="","",DATE(P1471,O1471,1))</f>
        <v/>
      </c>
      <c r="R1471" s="36" t="str">
        <f>IF(OR($A1471="",$N1471=""),"",IF(AND($C1471&lt;&gt;"Transferência",N($I1471)&gt;1),$N1471/$I1471,$N1471))</f>
        <v/>
      </c>
      <c r="S1471" s="41" t="str">
        <f>IF(OR($A1471="",$F1471="",$C1471&lt;&gt;"Despesa"),"",IF(COUNTIF(Cartoes_Nome,$F1471)=0,"",DATE(P1471,O1471+IF(DAY($A1471)&gt;=INDEX(Cartoes_Fech,MATCH($F1471,Cartoes_Nome,0)),1,0),1)))</f>
        <v/>
      </c>
      <c r="T1471" s="42" t="str">
        <f>IF($A1471="","",IF(COUNTIFS(L_Data,$A1471,L_Desc,$B1471,L_Valor,$N1471,L_Tipo,$C1471)&gt;1,"⚠ Possível duplicidade",IF(OR(AND($C1471="Despesa",COUNTIF(CatD_Nome,$D1471)=0),AND($C1471="Receita",COUNTIF(CatR_Nome,$D1471)=0)),"⚠ Categoria não combina com o tipo",IF(OR($N1471="",$C1471=""),"⚠ Falta valor ou tipo",""))))</f>
        <v/>
      </c>
      <c r="U1471" s="40">
        <f>IF($A1471="",0,P1471*12+O1471)</f>
        <v>0</v>
      </c>
      <c r="V1471" s="40">
        <f>IF($A1471="",0,U1471+MAX(0,N($I1471)-MAX(N($H1471),1)))</f>
        <v>0</v>
      </c>
      <c r="W1471" s="40">
        <f>IF(S1471="",0,YEAR(S1471)*12+MONTH(S1471))</f>
        <v>0</v>
      </c>
      <c r="X1471" s="40">
        <f>IF(W1471=0,0,W1471+V1471-U1471)</f>
        <v>0</v>
      </c>
      <c r="Y1471" s="36">
        <f>IF(W1471=0,0,N(R1471)*MAX(0,X1471-MAX(W1471,YEAR(Cfg_Hoje)*12+MONTH(Cfg_Hoje)+IF(DAY(Cfg_Hoje)&gt;=INDEX(Cartoes_Fech,MATCH($F1471,Cartoes_Nome,0)),1,0))+1))</f>
        <v>0</v>
      </c>
      <c r="Z1471" s="40">
        <f>IF($A1471="",0,DAY($A1471))</f>
        <v>0</v>
      </c>
      <c r="AA1471" s="40">
        <f>IF($A1471="",0,WEEKDAY($A1471))</f>
        <v>0</v>
      </c>
      <c r="AB1471" s="36">
        <f>IF(AND($C1471="Despesa",U1471&gt;0,U1471&lt;=Sel_Idx,V1471&gt;=Sel_Idx),N(R1471)+ROW()/1000000000,0)</f>
        <v>0</v>
      </c>
      <c r="AC1471" s="40">
        <f>IF(AND($C1471="Despesa",U1471&gt;0,U1471&lt;=Sel_Idx,V1471&gt;=Sel_Idx),Z1471*10000+ROW(),0)</f>
        <v>0</v>
      </c>
      <c r="AD1471" s="40">
        <f>IF(AC1471=0,0,COUNTIFS(L_CalChave,"&gt;0",L_CalChave,"&lt;"&amp;AC1471)+1)</f>
        <v>0</v>
      </c>
    </row>
    <row r="1472">
      <c r="A1472" s="38" t="n"/>
      <c r="B1472" s="39" t="n"/>
      <c r="C1472" s="34" t="n"/>
      <c r="D1472" s="34" t="n"/>
      <c r="E1472" s="34" t="n"/>
      <c r="F1472" s="34" t="n"/>
      <c r="G1472" s="34" t="n"/>
      <c r="H1472" s="37" t="n"/>
      <c r="I1472" s="37" t="n"/>
      <c r="J1472" s="34" t="n"/>
      <c r="K1472" s="34" t="n"/>
      <c r="L1472" s="34" t="n"/>
      <c r="M1472" s="39" t="n"/>
      <c r="N1472" s="35" t="n"/>
      <c r="O1472" s="40" t="str">
        <f>IF($A1472="","",MONTH($A1472))</f>
        <v/>
      </c>
      <c r="P1472" s="40" t="str">
        <f>IF($A1472="","",YEAR($A1472))</f>
        <v/>
      </c>
      <c r="Q1472" s="41" t="str">
        <f>IF($A1472="","",DATE(P1472,O1472,1))</f>
        <v/>
      </c>
      <c r="R1472" s="36" t="str">
        <f>IF(OR($A1472="",$N1472=""),"",IF(AND($C1472&lt;&gt;"Transferência",N($I1472)&gt;1),$N1472/$I1472,$N1472))</f>
        <v/>
      </c>
      <c r="S1472" s="41" t="str">
        <f>IF(OR($A1472="",$F1472="",$C1472&lt;&gt;"Despesa"),"",IF(COUNTIF(Cartoes_Nome,$F1472)=0,"",DATE(P1472,O1472+IF(DAY($A1472)&gt;=INDEX(Cartoes_Fech,MATCH($F1472,Cartoes_Nome,0)),1,0),1)))</f>
        <v/>
      </c>
      <c r="T1472" s="42" t="str">
        <f>IF($A1472="","",IF(COUNTIFS(L_Data,$A1472,L_Desc,$B1472,L_Valor,$N1472,L_Tipo,$C1472)&gt;1,"⚠ Possível duplicidade",IF(OR(AND($C1472="Despesa",COUNTIF(CatD_Nome,$D1472)=0),AND($C1472="Receita",COUNTIF(CatR_Nome,$D1472)=0)),"⚠ Categoria não combina com o tipo",IF(OR($N1472="",$C1472=""),"⚠ Falta valor ou tipo",""))))</f>
        <v/>
      </c>
      <c r="U1472" s="40">
        <f>IF($A1472="",0,P1472*12+O1472)</f>
        <v>0</v>
      </c>
      <c r="V1472" s="40">
        <f>IF($A1472="",0,U1472+MAX(0,N($I1472)-MAX(N($H1472),1)))</f>
        <v>0</v>
      </c>
      <c r="W1472" s="40">
        <f>IF(S1472="",0,YEAR(S1472)*12+MONTH(S1472))</f>
        <v>0</v>
      </c>
      <c r="X1472" s="40">
        <f>IF(W1472=0,0,W1472+V1472-U1472)</f>
        <v>0</v>
      </c>
      <c r="Y1472" s="36">
        <f>IF(W1472=0,0,N(R1472)*MAX(0,X1472-MAX(W1472,YEAR(Cfg_Hoje)*12+MONTH(Cfg_Hoje)+IF(DAY(Cfg_Hoje)&gt;=INDEX(Cartoes_Fech,MATCH($F1472,Cartoes_Nome,0)),1,0))+1))</f>
        <v>0</v>
      </c>
      <c r="Z1472" s="40">
        <f>IF($A1472="",0,DAY($A1472))</f>
        <v>0</v>
      </c>
      <c r="AA1472" s="40">
        <f>IF($A1472="",0,WEEKDAY($A1472))</f>
        <v>0</v>
      </c>
      <c r="AB1472" s="36">
        <f>IF(AND($C1472="Despesa",U1472&gt;0,U1472&lt;=Sel_Idx,V1472&gt;=Sel_Idx),N(R1472)+ROW()/1000000000,0)</f>
        <v>0</v>
      </c>
      <c r="AC1472" s="40">
        <f>IF(AND($C1472="Despesa",U1472&gt;0,U1472&lt;=Sel_Idx,V1472&gt;=Sel_Idx),Z1472*10000+ROW(),0)</f>
        <v>0</v>
      </c>
      <c r="AD1472" s="40">
        <f>IF(AC1472=0,0,COUNTIFS(L_CalChave,"&gt;0",L_CalChave,"&lt;"&amp;AC1472)+1)</f>
        <v>0</v>
      </c>
    </row>
    <row r="1473">
      <c r="A1473" s="38" t="n"/>
      <c r="B1473" s="39" t="n"/>
      <c r="C1473" s="34" t="n"/>
      <c r="D1473" s="34" t="n"/>
      <c r="E1473" s="34" t="n"/>
      <c r="F1473" s="34" t="n"/>
      <c r="G1473" s="34" t="n"/>
      <c r="H1473" s="37" t="n"/>
      <c r="I1473" s="37" t="n"/>
      <c r="J1473" s="34" t="n"/>
      <c r="K1473" s="34" t="n"/>
      <c r="L1473" s="34" t="n"/>
      <c r="M1473" s="39" t="n"/>
      <c r="N1473" s="35" t="n"/>
      <c r="O1473" s="40" t="str">
        <f>IF($A1473="","",MONTH($A1473))</f>
        <v/>
      </c>
      <c r="P1473" s="40" t="str">
        <f>IF($A1473="","",YEAR($A1473))</f>
        <v/>
      </c>
      <c r="Q1473" s="41" t="str">
        <f>IF($A1473="","",DATE(P1473,O1473,1))</f>
        <v/>
      </c>
      <c r="R1473" s="36" t="str">
        <f>IF(OR($A1473="",$N1473=""),"",IF(AND($C1473&lt;&gt;"Transferência",N($I1473)&gt;1),$N1473/$I1473,$N1473))</f>
        <v/>
      </c>
      <c r="S1473" s="41" t="str">
        <f>IF(OR($A1473="",$F1473="",$C1473&lt;&gt;"Despesa"),"",IF(COUNTIF(Cartoes_Nome,$F1473)=0,"",DATE(P1473,O1473+IF(DAY($A1473)&gt;=INDEX(Cartoes_Fech,MATCH($F1473,Cartoes_Nome,0)),1,0),1)))</f>
        <v/>
      </c>
      <c r="T1473" s="42" t="str">
        <f>IF($A1473="","",IF(COUNTIFS(L_Data,$A1473,L_Desc,$B1473,L_Valor,$N1473,L_Tipo,$C1473)&gt;1,"⚠ Possível duplicidade",IF(OR(AND($C1473="Despesa",COUNTIF(CatD_Nome,$D1473)=0),AND($C1473="Receita",COUNTIF(CatR_Nome,$D1473)=0)),"⚠ Categoria não combina com o tipo",IF(OR($N1473="",$C1473=""),"⚠ Falta valor ou tipo",""))))</f>
        <v/>
      </c>
      <c r="U1473" s="40">
        <f>IF($A1473="",0,P1473*12+O1473)</f>
        <v>0</v>
      </c>
      <c r="V1473" s="40">
        <f>IF($A1473="",0,U1473+MAX(0,N($I1473)-MAX(N($H1473),1)))</f>
        <v>0</v>
      </c>
      <c r="W1473" s="40">
        <f>IF(S1473="",0,YEAR(S1473)*12+MONTH(S1473))</f>
        <v>0</v>
      </c>
      <c r="X1473" s="40">
        <f>IF(W1473=0,0,W1473+V1473-U1473)</f>
        <v>0</v>
      </c>
      <c r="Y1473" s="36">
        <f>IF(W1473=0,0,N(R1473)*MAX(0,X1473-MAX(W1473,YEAR(Cfg_Hoje)*12+MONTH(Cfg_Hoje)+IF(DAY(Cfg_Hoje)&gt;=INDEX(Cartoes_Fech,MATCH($F1473,Cartoes_Nome,0)),1,0))+1))</f>
        <v>0</v>
      </c>
      <c r="Z1473" s="40">
        <f>IF($A1473="",0,DAY($A1473))</f>
        <v>0</v>
      </c>
      <c r="AA1473" s="40">
        <f>IF($A1473="",0,WEEKDAY($A1473))</f>
        <v>0</v>
      </c>
      <c r="AB1473" s="36">
        <f>IF(AND($C1473="Despesa",U1473&gt;0,U1473&lt;=Sel_Idx,V1473&gt;=Sel_Idx),N(R1473)+ROW()/1000000000,0)</f>
        <v>0</v>
      </c>
      <c r="AC1473" s="40">
        <f>IF(AND($C1473="Despesa",U1473&gt;0,U1473&lt;=Sel_Idx,V1473&gt;=Sel_Idx),Z1473*10000+ROW(),0)</f>
        <v>0</v>
      </c>
      <c r="AD1473" s="40">
        <f>IF(AC1473=0,0,COUNTIFS(L_CalChave,"&gt;0",L_CalChave,"&lt;"&amp;AC1473)+1)</f>
        <v>0</v>
      </c>
    </row>
    <row r="1474">
      <c r="A1474" s="38" t="n"/>
      <c r="B1474" s="39" t="n"/>
      <c r="C1474" s="34" t="n"/>
      <c r="D1474" s="34" t="n"/>
      <c r="E1474" s="34" t="n"/>
      <c r="F1474" s="34" t="n"/>
      <c r="G1474" s="34" t="n"/>
      <c r="H1474" s="37" t="n"/>
      <c r="I1474" s="37" t="n"/>
      <c r="J1474" s="34" t="n"/>
      <c r="K1474" s="34" t="n"/>
      <c r="L1474" s="34" t="n"/>
      <c r="M1474" s="39" t="n"/>
      <c r="N1474" s="35" t="n"/>
      <c r="O1474" s="40" t="str">
        <f>IF($A1474="","",MONTH($A1474))</f>
        <v/>
      </c>
      <c r="P1474" s="40" t="str">
        <f>IF($A1474="","",YEAR($A1474))</f>
        <v/>
      </c>
      <c r="Q1474" s="41" t="str">
        <f>IF($A1474="","",DATE(P1474,O1474,1))</f>
        <v/>
      </c>
      <c r="R1474" s="36" t="str">
        <f>IF(OR($A1474="",$N1474=""),"",IF(AND($C1474&lt;&gt;"Transferência",N($I1474)&gt;1),$N1474/$I1474,$N1474))</f>
        <v/>
      </c>
      <c r="S1474" s="41" t="str">
        <f>IF(OR($A1474="",$F1474="",$C1474&lt;&gt;"Despesa"),"",IF(COUNTIF(Cartoes_Nome,$F1474)=0,"",DATE(P1474,O1474+IF(DAY($A1474)&gt;=INDEX(Cartoes_Fech,MATCH($F1474,Cartoes_Nome,0)),1,0),1)))</f>
        <v/>
      </c>
      <c r="T1474" s="42" t="str">
        <f>IF($A1474="","",IF(COUNTIFS(L_Data,$A1474,L_Desc,$B1474,L_Valor,$N1474,L_Tipo,$C1474)&gt;1,"⚠ Possível duplicidade",IF(OR(AND($C1474="Despesa",COUNTIF(CatD_Nome,$D1474)=0),AND($C1474="Receita",COUNTIF(CatR_Nome,$D1474)=0)),"⚠ Categoria não combina com o tipo",IF(OR($N1474="",$C1474=""),"⚠ Falta valor ou tipo",""))))</f>
        <v/>
      </c>
      <c r="U1474" s="40">
        <f>IF($A1474="",0,P1474*12+O1474)</f>
        <v>0</v>
      </c>
      <c r="V1474" s="40">
        <f>IF($A1474="",0,U1474+MAX(0,N($I1474)-MAX(N($H1474),1)))</f>
        <v>0</v>
      </c>
      <c r="W1474" s="40">
        <f>IF(S1474="",0,YEAR(S1474)*12+MONTH(S1474))</f>
        <v>0</v>
      </c>
      <c r="X1474" s="40">
        <f>IF(W1474=0,0,W1474+V1474-U1474)</f>
        <v>0</v>
      </c>
      <c r="Y1474" s="36">
        <f>IF(W1474=0,0,N(R1474)*MAX(0,X1474-MAX(W1474,YEAR(Cfg_Hoje)*12+MONTH(Cfg_Hoje)+IF(DAY(Cfg_Hoje)&gt;=INDEX(Cartoes_Fech,MATCH($F1474,Cartoes_Nome,0)),1,0))+1))</f>
        <v>0</v>
      </c>
      <c r="Z1474" s="40">
        <f>IF($A1474="",0,DAY($A1474))</f>
        <v>0</v>
      </c>
      <c r="AA1474" s="40">
        <f>IF($A1474="",0,WEEKDAY($A1474))</f>
        <v>0</v>
      </c>
      <c r="AB1474" s="36">
        <f>IF(AND($C1474="Despesa",U1474&gt;0,U1474&lt;=Sel_Idx,V1474&gt;=Sel_Idx),N(R1474)+ROW()/1000000000,0)</f>
        <v>0</v>
      </c>
      <c r="AC1474" s="40">
        <f>IF(AND($C1474="Despesa",U1474&gt;0,U1474&lt;=Sel_Idx,V1474&gt;=Sel_Idx),Z1474*10000+ROW(),0)</f>
        <v>0</v>
      </c>
      <c r="AD1474" s="40">
        <f>IF(AC1474=0,0,COUNTIFS(L_CalChave,"&gt;0",L_CalChave,"&lt;"&amp;AC1474)+1)</f>
        <v>0</v>
      </c>
    </row>
    <row r="1475">
      <c r="A1475" s="38" t="n"/>
      <c r="B1475" s="39" t="n"/>
      <c r="C1475" s="34" t="n"/>
      <c r="D1475" s="34" t="n"/>
      <c r="E1475" s="34" t="n"/>
      <c r="F1475" s="34" t="n"/>
      <c r="G1475" s="34" t="n"/>
      <c r="H1475" s="37" t="n"/>
      <c r="I1475" s="37" t="n"/>
      <c r="J1475" s="34" t="n"/>
      <c r="K1475" s="34" t="n"/>
      <c r="L1475" s="34" t="n"/>
      <c r="M1475" s="39" t="n"/>
      <c r="N1475" s="35" t="n"/>
      <c r="O1475" s="40" t="str">
        <f>IF($A1475="","",MONTH($A1475))</f>
        <v/>
      </c>
      <c r="P1475" s="40" t="str">
        <f>IF($A1475="","",YEAR($A1475))</f>
        <v/>
      </c>
      <c r="Q1475" s="41" t="str">
        <f>IF($A1475="","",DATE(P1475,O1475,1))</f>
        <v/>
      </c>
      <c r="R1475" s="36" t="str">
        <f>IF(OR($A1475="",$N1475=""),"",IF(AND($C1475&lt;&gt;"Transferência",N($I1475)&gt;1),$N1475/$I1475,$N1475))</f>
        <v/>
      </c>
      <c r="S1475" s="41" t="str">
        <f>IF(OR($A1475="",$F1475="",$C1475&lt;&gt;"Despesa"),"",IF(COUNTIF(Cartoes_Nome,$F1475)=0,"",DATE(P1475,O1475+IF(DAY($A1475)&gt;=INDEX(Cartoes_Fech,MATCH($F1475,Cartoes_Nome,0)),1,0),1)))</f>
        <v/>
      </c>
      <c r="T1475" s="42" t="str">
        <f>IF($A1475="","",IF(COUNTIFS(L_Data,$A1475,L_Desc,$B1475,L_Valor,$N1475,L_Tipo,$C1475)&gt;1,"⚠ Possível duplicidade",IF(OR(AND($C1475="Despesa",COUNTIF(CatD_Nome,$D1475)=0),AND($C1475="Receita",COUNTIF(CatR_Nome,$D1475)=0)),"⚠ Categoria não combina com o tipo",IF(OR($N1475="",$C1475=""),"⚠ Falta valor ou tipo",""))))</f>
        <v/>
      </c>
      <c r="U1475" s="40">
        <f>IF($A1475="",0,P1475*12+O1475)</f>
        <v>0</v>
      </c>
      <c r="V1475" s="40">
        <f>IF($A1475="",0,U1475+MAX(0,N($I1475)-MAX(N($H1475),1)))</f>
        <v>0</v>
      </c>
      <c r="W1475" s="40">
        <f>IF(S1475="",0,YEAR(S1475)*12+MONTH(S1475))</f>
        <v>0</v>
      </c>
      <c r="X1475" s="40">
        <f>IF(W1475=0,0,W1475+V1475-U1475)</f>
        <v>0</v>
      </c>
      <c r="Y1475" s="36">
        <f>IF(W1475=0,0,N(R1475)*MAX(0,X1475-MAX(W1475,YEAR(Cfg_Hoje)*12+MONTH(Cfg_Hoje)+IF(DAY(Cfg_Hoje)&gt;=INDEX(Cartoes_Fech,MATCH($F1475,Cartoes_Nome,0)),1,0))+1))</f>
        <v>0</v>
      </c>
      <c r="Z1475" s="40">
        <f>IF($A1475="",0,DAY($A1475))</f>
        <v>0</v>
      </c>
      <c r="AA1475" s="40">
        <f>IF($A1475="",0,WEEKDAY($A1475))</f>
        <v>0</v>
      </c>
      <c r="AB1475" s="36">
        <f>IF(AND($C1475="Despesa",U1475&gt;0,U1475&lt;=Sel_Idx,V1475&gt;=Sel_Idx),N(R1475)+ROW()/1000000000,0)</f>
        <v>0</v>
      </c>
      <c r="AC1475" s="40">
        <f>IF(AND($C1475="Despesa",U1475&gt;0,U1475&lt;=Sel_Idx,V1475&gt;=Sel_Idx),Z1475*10000+ROW(),0)</f>
        <v>0</v>
      </c>
      <c r="AD1475" s="40">
        <f>IF(AC1475=0,0,COUNTIFS(L_CalChave,"&gt;0",L_CalChave,"&lt;"&amp;AC1475)+1)</f>
        <v>0</v>
      </c>
    </row>
    <row r="1476">
      <c r="A1476" s="38" t="n"/>
      <c r="B1476" s="39" t="n"/>
      <c r="C1476" s="34" t="n"/>
      <c r="D1476" s="34" t="n"/>
      <c r="E1476" s="34" t="n"/>
      <c r="F1476" s="34" t="n"/>
      <c r="G1476" s="34" t="n"/>
      <c r="H1476" s="37" t="n"/>
      <c r="I1476" s="37" t="n"/>
      <c r="J1476" s="34" t="n"/>
      <c r="K1476" s="34" t="n"/>
      <c r="L1476" s="34" t="n"/>
      <c r="M1476" s="39" t="n"/>
      <c r="N1476" s="35" t="n"/>
      <c r="O1476" s="40" t="str">
        <f>IF($A1476="","",MONTH($A1476))</f>
        <v/>
      </c>
      <c r="P1476" s="40" t="str">
        <f>IF($A1476="","",YEAR($A1476))</f>
        <v/>
      </c>
      <c r="Q1476" s="41" t="str">
        <f>IF($A1476="","",DATE(P1476,O1476,1))</f>
        <v/>
      </c>
      <c r="R1476" s="36" t="str">
        <f>IF(OR($A1476="",$N1476=""),"",IF(AND($C1476&lt;&gt;"Transferência",N($I1476)&gt;1),$N1476/$I1476,$N1476))</f>
        <v/>
      </c>
      <c r="S1476" s="41" t="str">
        <f>IF(OR($A1476="",$F1476="",$C1476&lt;&gt;"Despesa"),"",IF(COUNTIF(Cartoes_Nome,$F1476)=0,"",DATE(P1476,O1476+IF(DAY($A1476)&gt;=INDEX(Cartoes_Fech,MATCH($F1476,Cartoes_Nome,0)),1,0),1)))</f>
        <v/>
      </c>
      <c r="T1476" s="42" t="str">
        <f>IF($A1476="","",IF(COUNTIFS(L_Data,$A1476,L_Desc,$B1476,L_Valor,$N1476,L_Tipo,$C1476)&gt;1,"⚠ Possível duplicidade",IF(OR(AND($C1476="Despesa",COUNTIF(CatD_Nome,$D1476)=0),AND($C1476="Receita",COUNTIF(CatR_Nome,$D1476)=0)),"⚠ Categoria não combina com o tipo",IF(OR($N1476="",$C1476=""),"⚠ Falta valor ou tipo",""))))</f>
        <v/>
      </c>
      <c r="U1476" s="40">
        <f>IF($A1476="",0,P1476*12+O1476)</f>
        <v>0</v>
      </c>
      <c r="V1476" s="40">
        <f>IF($A1476="",0,U1476+MAX(0,N($I1476)-MAX(N($H1476),1)))</f>
        <v>0</v>
      </c>
      <c r="W1476" s="40">
        <f>IF(S1476="",0,YEAR(S1476)*12+MONTH(S1476))</f>
        <v>0</v>
      </c>
      <c r="X1476" s="40">
        <f>IF(W1476=0,0,W1476+V1476-U1476)</f>
        <v>0</v>
      </c>
      <c r="Y1476" s="36">
        <f>IF(W1476=0,0,N(R1476)*MAX(0,X1476-MAX(W1476,YEAR(Cfg_Hoje)*12+MONTH(Cfg_Hoje)+IF(DAY(Cfg_Hoje)&gt;=INDEX(Cartoes_Fech,MATCH($F1476,Cartoes_Nome,0)),1,0))+1))</f>
        <v>0</v>
      </c>
      <c r="Z1476" s="40">
        <f>IF($A1476="",0,DAY($A1476))</f>
        <v>0</v>
      </c>
      <c r="AA1476" s="40">
        <f>IF($A1476="",0,WEEKDAY($A1476))</f>
        <v>0</v>
      </c>
      <c r="AB1476" s="36">
        <f>IF(AND($C1476="Despesa",U1476&gt;0,U1476&lt;=Sel_Idx,V1476&gt;=Sel_Idx),N(R1476)+ROW()/1000000000,0)</f>
        <v>0</v>
      </c>
      <c r="AC1476" s="40">
        <f>IF(AND($C1476="Despesa",U1476&gt;0,U1476&lt;=Sel_Idx,V1476&gt;=Sel_Idx),Z1476*10000+ROW(),0)</f>
        <v>0</v>
      </c>
      <c r="AD1476" s="40">
        <f>IF(AC1476=0,0,COUNTIFS(L_CalChave,"&gt;0",L_CalChave,"&lt;"&amp;AC1476)+1)</f>
        <v>0</v>
      </c>
    </row>
    <row r="1477">
      <c r="A1477" s="38" t="n"/>
      <c r="B1477" s="39" t="n"/>
      <c r="C1477" s="34" t="n"/>
      <c r="D1477" s="34" t="n"/>
      <c r="E1477" s="34" t="n"/>
      <c r="F1477" s="34" t="n"/>
      <c r="G1477" s="34" t="n"/>
      <c r="H1477" s="37" t="n"/>
      <c r="I1477" s="37" t="n"/>
      <c r="J1477" s="34" t="n"/>
      <c r="K1477" s="34" t="n"/>
      <c r="L1477" s="34" t="n"/>
      <c r="M1477" s="39" t="n"/>
      <c r="N1477" s="35" t="n"/>
      <c r="O1477" s="40" t="str">
        <f>IF($A1477="","",MONTH($A1477))</f>
        <v/>
      </c>
      <c r="P1477" s="40" t="str">
        <f>IF($A1477="","",YEAR($A1477))</f>
        <v/>
      </c>
      <c r="Q1477" s="41" t="str">
        <f>IF($A1477="","",DATE(P1477,O1477,1))</f>
        <v/>
      </c>
      <c r="R1477" s="36" t="str">
        <f>IF(OR($A1477="",$N1477=""),"",IF(AND($C1477&lt;&gt;"Transferência",N($I1477)&gt;1),$N1477/$I1477,$N1477))</f>
        <v/>
      </c>
      <c r="S1477" s="41" t="str">
        <f>IF(OR($A1477="",$F1477="",$C1477&lt;&gt;"Despesa"),"",IF(COUNTIF(Cartoes_Nome,$F1477)=0,"",DATE(P1477,O1477+IF(DAY($A1477)&gt;=INDEX(Cartoes_Fech,MATCH($F1477,Cartoes_Nome,0)),1,0),1)))</f>
        <v/>
      </c>
      <c r="T1477" s="42" t="str">
        <f>IF($A1477="","",IF(COUNTIFS(L_Data,$A1477,L_Desc,$B1477,L_Valor,$N1477,L_Tipo,$C1477)&gt;1,"⚠ Possível duplicidade",IF(OR(AND($C1477="Despesa",COUNTIF(CatD_Nome,$D1477)=0),AND($C1477="Receita",COUNTIF(CatR_Nome,$D1477)=0)),"⚠ Categoria não combina com o tipo",IF(OR($N1477="",$C1477=""),"⚠ Falta valor ou tipo",""))))</f>
        <v/>
      </c>
      <c r="U1477" s="40">
        <f>IF($A1477="",0,P1477*12+O1477)</f>
        <v>0</v>
      </c>
      <c r="V1477" s="40">
        <f>IF($A1477="",0,U1477+MAX(0,N($I1477)-MAX(N($H1477),1)))</f>
        <v>0</v>
      </c>
      <c r="W1477" s="40">
        <f>IF(S1477="",0,YEAR(S1477)*12+MONTH(S1477))</f>
        <v>0</v>
      </c>
      <c r="X1477" s="40">
        <f>IF(W1477=0,0,W1477+V1477-U1477)</f>
        <v>0</v>
      </c>
      <c r="Y1477" s="36">
        <f>IF(W1477=0,0,N(R1477)*MAX(0,X1477-MAX(W1477,YEAR(Cfg_Hoje)*12+MONTH(Cfg_Hoje)+IF(DAY(Cfg_Hoje)&gt;=INDEX(Cartoes_Fech,MATCH($F1477,Cartoes_Nome,0)),1,0))+1))</f>
        <v>0</v>
      </c>
      <c r="Z1477" s="40">
        <f>IF($A1477="",0,DAY($A1477))</f>
        <v>0</v>
      </c>
      <c r="AA1477" s="40">
        <f>IF($A1477="",0,WEEKDAY($A1477))</f>
        <v>0</v>
      </c>
      <c r="AB1477" s="36">
        <f>IF(AND($C1477="Despesa",U1477&gt;0,U1477&lt;=Sel_Idx,V1477&gt;=Sel_Idx),N(R1477)+ROW()/1000000000,0)</f>
        <v>0</v>
      </c>
      <c r="AC1477" s="40">
        <f>IF(AND($C1477="Despesa",U1477&gt;0,U1477&lt;=Sel_Idx,V1477&gt;=Sel_Idx),Z1477*10000+ROW(),0)</f>
        <v>0</v>
      </c>
      <c r="AD1477" s="40">
        <f>IF(AC1477=0,0,COUNTIFS(L_CalChave,"&gt;0",L_CalChave,"&lt;"&amp;AC1477)+1)</f>
        <v>0</v>
      </c>
    </row>
    <row r="1478">
      <c r="A1478" s="38" t="n"/>
      <c r="B1478" s="39" t="n"/>
      <c r="C1478" s="34" t="n"/>
      <c r="D1478" s="34" t="n"/>
      <c r="E1478" s="34" t="n"/>
      <c r="F1478" s="34" t="n"/>
      <c r="G1478" s="34" t="n"/>
      <c r="H1478" s="37" t="n"/>
      <c r="I1478" s="37" t="n"/>
      <c r="J1478" s="34" t="n"/>
      <c r="K1478" s="34" t="n"/>
      <c r="L1478" s="34" t="n"/>
      <c r="M1478" s="39" t="n"/>
      <c r="N1478" s="35" t="n"/>
      <c r="O1478" s="40" t="str">
        <f>IF($A1478="","",MONTH($A1478))</f>
        <v/>
      </c>
      <c r="P1478" s="40" t="str">
        <f>IF($A1478="","",YEAR($A1478))</f>
        <v/>
      </c>
      <c r="Q1478" s="41" t="str">
        <f>IF($A1478="","",DATE(P1478,O1478,1))</f>
        <v/>
      </c>
      <c r="R1478" s="36" t="str">
        <f>IF(OR($A1478="",$N1478=""),"",IF(AND($C1478&lt;&gt;"Transferência",N($I1478)&gt;1),$N1478/$I1478,$N1478))</f>
        <v/>
      </c>
      <c r="S1478" s="41" t="str">
        <f>IF(OR($A1478="",$F1478="",$C1478&lt;&gt;"Despesa"),"",IF(COUNTIF(Cartoes_Nome,$F1478)=0,"",DATE(P1478,O1478+IF(DAY($A1478)&gt;=INDEX(Cartoes_Fech,MATCH($F1478,Cartoes_Nome,0)),1,0),1)))</f>
        <v/>
      </c>
      <c r="T1478" s="42" t="str">
        <f>IF($A1478="","",IF(COUNTIFS(L_Data,$A1478,L_Desc,$B1478,L_Valor,$N1478,L_Tipo,$C1478)&gt;1,"⚠ Possível duplicidade",IF(OR(AND($C1478="Despesa",COUNTIF(CatD_Nome,$D1478)=0),AND($C1478="Receita",COUNTIF(CatR_Nome,$D1478)=0)),"⚠ Categoria não combina com o tipo",IF(OR($N1478="",$C1478=""),"⚠ Falta valor ou tipo",""))))</f>
        <v/>
      </c>
      <c r="U1478" s="40">
        <f>IF($A1478="",0,P1478*12+O1478)</f>
        <v>0</v>
      </c>
      <c r="V1478" s="40">
        <f>IF($A1478="",0,U1478+MAX(0,N($I1478)-MAX(N($H1478),1)))</f>
        <v>0</v>
      </c>
      <c r="W1478" s="40">
        <f>IF(S1478="",0,YEAR(S1478)*12+MONTH(S1478))</f>
        <v>0</v>
      </c>
      <c r="X1478" s="40">
        <f>IF(W1478=0,0,W1478+V1478-U1478)</f>
        <v>0</v>
      </c>
      <c r="Y1478" s="36">
        <f>IF(W1478=0,0,N(R1478)*MAX(0,X1478-MAX(W1478,YEAR(Cfg_Hoje)*12+MONTH(Cfg_Hoje)+IF(DAY(Cfg_Hoje)&gt;=INDEX(Cartoes_Fech,MATCH($F1478,Cartoes_Nome,0)),1,0))+1))</f>
        <v>0</v>
      </c>
      <c r="Z1478" s="40">
        <f>IF($A1478="",0,DAY($A1478))</f>
        <v>0</v>
      </c>
      <c r="AA1478" s="40">
        <f>IF($A1478="",0,WEEKDAY($A1478))</f>
        <v>0</v>
      </c>
      <c r="AB1478" s="36">
        <f>IF(AND($C1478="Despesa",U1478&gt;0,U1478&lt;=Sel_Idx,V1478&gt;=Sel_Idx),N(R1478)+ROW()/1000000000,0)</f>
        <v>0</v>
      </c>
      <c r="AC1478" s="40">
        <f>IF(AND($C1478="Despesa",U1478&gt;0,U1478&lt;=Sel_Idx,V1478&gt;=Sel_Idx),Z1478*10000+ROW(),0)</f>
        <v>0</v>
      </c>
      <c r="AD1478" s="40">
        <f>IF(AC1478=0,0,COUNTIFS(L_CalChave,"&gt;0",L_CalChave,"&lt;"&amp;AC1478)+1)</f>
        <v>0</v>
      </c>
    </row>
    <row r="1479">
      <c r="A1479" s="38" t="n"/>
      <c r="B1479" s="39" t="n"/>
      <c r="C1479" s="34" t="n"/>
      <c r="D1479" s="34" t="n"/>
      <c r="E1479" s="34" t="n"/>
      <c r="F1479" s="34" t="n"/>
      <c r="G1479" s="34" t="n"/>
      <c r="H1479" s="37" t="n"/>
      <c r="I1479" s="37" t="n"/>
      <c r="J1479" s="34" t="n"/>
      <c r="K1479" s="34" t="n"/>
      <c r="L1479" s="34" t="n"/>
      <c r="M1479" s="39" t="n"/>
      <c r="N1479" s="35" t="n"/>
      <c r="O1479" s="40" t="str">
        <f>IF($A1479="","",MONTH($A1479))</f>
        <v/>
      </c>
      <c r="P1479" s="40" t="str">
        <f>IF($A1479="","",YEAR($A1479))</f>
        <v/>
      </c>
      <c r="Q1479" s="41" t="str">
        <f>IF($A1479="","",DATE(P1479,O1479,1))</f>
        <v/>
      </c>
      <c r="R1479" s="36" t="str">
        <f>IF(OR($A1479="",$N1479=""),"",IF(AND($C1479&lt;&gt;"Transferência",N($I1479)&gt;1),$N1479/$I1479,$N1479))</f>
        <v/>
      </c>
      <c r="S1479" s="41" t="str">
        <f>IF(OR($A1479="",$F1479="",$C1479&lt;&gt;"Despesa"),"",IF(COUNTIF(Cartoes_Nome,$F1479)=0,"",DATE(P1479,O1479+IF(DAY($A1479)&gt;=INDEX(Cartoes_Fech,MATCH($F1479,Cartoes_Nome,0)),1,0),1)))</f>
        <v/>
      </c>
      <c r="T1479" s="42" t="str">
        <f>IF($A1479="","",IF(COUNTIFS(L_Data,$A1479,L_Desc,$B1479,L_Valor,$N1479,L_Tipo,$C1479)&gt;1,"⚠ Possível duplicidade",IF(OR(AND($C1479="Despesa",COUNTIF(CatD_Nome,$D1479)=0),AND($C1479="Receita",COUNTIF(CatR_Nome,$D1479)=0)),"⚠ Categoria não combina com o tipo",IF(OR($N1479="",$C1479=""),"⚠ Falta valor ou tipo",""))))</f>
        <v/>
      </c>
      <c r="U1479" s="40">
        <f>IF($A1479="",0,P1479*12+O1479)</f>
        <v>0</v>
      </c>
      <c r="V1479" s="40">
        <f>IF($A1479="",0,U1479+MAX(0,N($I1479)-MAX(N($H1479),1)))</f>
        <v>0</v>
      </c>
      <c r="W1479" s="40">
        <f>IF(S1479="",0,YEAR(S1479)*12+MONTH(S1479))</f>
        <v>0</v>
      </c>
      <c r="X1479" s="40">
        <f>IF(W1479=0,0,W1479+V1479-U1479)</f>
        <v>0</v>
      </c>
      <c r="Y1479" s="36">
        <f>IF(W1479=0,0,N(R1479)*MAX(0,X1479-MAX(W1479,YEAR(Cfg_Hoje)*12+MONTH(Cfg_Hoje)+IF(DAY(Cfg_Hoje)&gt;=INDEX(Cartoes_Fech,MATCH($F1479,Cartoes_Nome,0)),1,0))+1))</f>
        <v>0</v>
      </c>
      <c r="Z1479" s="40">
        <f>IF($A1479="",0,DAY($A1479))</f>
        <v>0</v>
      </c>
      <c r="AA1479" s="40">
        <f>IF($A1479="",0,WEEKDAY($A1479))</f>
        <v>0</v>
      </c>
      <c r="AB1479" s="36">
        <f>IF(AND($C1479="Despesa",U1479&gt;0,U1479&lt;=Sel_Idx,V1479&gt;=Sel_Idx),N(R1479)+ROW()/1000000000,0)</f>
        <v>0</v>
      </c>
      <c r="AC1479" s="40">
        <f>IF(AND($C1479="Despesa",U1479&gt;0,U1479&lt;=Sel_Idx,V1479&gt;=Sel_Idx),Z1479*10000+ROW(),0)</f>
        <v>0</v>
      </c>
      <c r="AD1479" s="40">
        <f>IF(AC1479=0,0,COUNTIFS(L_CalChave,"&gt;0",L_CalChave,"&lt;"&amp;AC1479)+1)</f>
        <v>0</v>
      </c>
    </row>
    <row r="1480">
      <c r="A1480" s="38" t="n"/>
      <c r="B1480" s="39" t="n"/>
      <c r="C1480" s="34" t="n"/>
      <c r="D1480" s="34" t="n"/>
      <c r="E1480" s="34" t="n"/>
      <c r="F1480" s="34" t="n"/>
      <c r="G1480" s="34" t="n"/>
      <c r="H1480" s="37" t="n"/>
      <c r="I1480" s="37" t="n"/>
      <c r="J1480" s="34" t="n"/>
      <c r="K1480" s="34" t="n"/>
      <c r="L1480" s="34" t="n"/>
      <c r="M1480" s="39" t="n"/>
      <c r="N1480" s="35" t="n"/>
      <c r="O1480" s="40" t="str">
        <f>IF($A1480="","",MONTH($A1480))</f>
        <v/>
      </c>
      <c r="P1480" s="40" t="str">
        <f>IF($A1480="","",YEAR($A1480))</f>
        <v/>
      </c>
      <c r="Q1480" s="41" t="str">
        <f>IF($A1480="","",DATE(P1480,O1480,1))</f>
        <v/>
      </c>
      <c r="R1480" s="36" t="str">
        <f>IF(OR($A1480="",$N1480=""),"",IF(AND($C1480&lt;&gt;"Transferência",N($I1480)&gt;1),$N1480/$I1480,$N1480))</f>
        <v/>
      </c>
      <c r="S1480" s="41" t="str">
        <f>IF(OR($A1480="",$F1480="",$C1480&lt;&gt;"Despesa"),"",IF(COUNTIF(Cartoes_Nome,$F1480)=0,"",DATE(P1480,O1480+IF(DAY($A1480)&gt;=INDEX(Cartoes_Fech,MATCH($F1480,Cartoes_Nome,0)),1,0),1)))</f>
        <v/>
      </c>
      <c r="T1480" s="42" t="str">
        <f>IF($A1480="","",IF(COUNTIFS(L_Data,$A1480,L_Desc,$B1480,L_Valor,$N1480,L_Tipo,$C1480)&gt;1,"⚠ Possível duplicidade",IF(OR(AND($C1480="Despesa",COUNTIF(CatD_Nome,$D1480)=0),AND($C1480="Receita",COUNTIF(CatR_Nome,$D1480)=0)),"⚠ Categoria não combina com o tipo",IF(OR($N1480="",$C1480=""),"⚠ Falta valor ou tipo",""))))</f>
        <v/>
      </c>
      <c r="U1480" s="40">
        <f>IF($A1480="",0,P1480*12+O1480)</f>
        <v>0</v>
      </c>
      <c r="V1480" s="40">
        <f>IF($A1480="",0,U1480+MAX(0,N($I1480)-MAX(N($H1480),1)))</f>
        <v>0</v>
      </c>
      <c r="W1480" s="40">
        <f>IF(S1480="",0,YEAR(S1480)*12+MONTH(S1480))</f>
        <v>0</v>
      </c>
      <c r="X1480" s="40">
        <f>IF(W1480=0,0,W1480+V1480-U1480)</f>
        <v>0</v>
      </c>
      <c r="Y1480" s="36">
        <f>IF(W1480=0,0,N(R1480)*MAX(0,X1480-MAX(W1480,YEAR(Cfg_Hoje)*12+MONTH(Cfg_Hoje)+IF(DAY(Cfg_Hoje)&gt;=INDEX(Cartoes_Fech,MATCH($F1480,Cartoes_Nome,0)),1,0))+1))</f>
        <v>0</v>
      </c>
      <c r="Z1480" s="40">
        <f>IF($A1480="",0,DAY($A1480))</f>
        <v>0</v>
      </c>
      <c r="AA1480" s="40">
        <f>IF($A1480="",0,WEEKDAY($A1480))</f>
        <v>0</v>
      </c>
      <c r="AB1480" s="36">
        <f>IF(AND($C1480="Despesa",U1480&gt;0,U1480&lt;=Sel_Idx,V1480&gt;=Sel_Idx),N(R1480)+ROW()/1000000000,0)</f>
        <v>0</v>
      </c>
      <c r="AC1480" s="40">
        <f>IF(AND($C1480="Despesa",U1480&gt;0,U1480&lt;=Sel_Idx,V1480&gt;=Sel_Idx),Z1480*10000+ROW(),0)</f>
        <v>0</v>
      </c>
      <c r="AD1480" s="40">
        <f>IF(AC1480=0,0,COUNTIFS(L_CalChave,"&gt;0",L_CalChave,"&lt;"&amp;AC1480)+1)</f>
        <v>0</v>
      </c>
    </row>
    <row r="1481">
      <c r="A1481" s="38" t="n"/>
      <c r="B1481" s="39" t="n"/>
      <c r="C1481" s="34" t="n"/>
      <c r="D1481" s="34" t="n"/>
      <c r="E1481" s="34" t="n"/>
      <c r="F1481" s="34" t="n"/>
      <c r="G1481" s="34" t="n"/>
      <c r="H1481" s="37" t="n"/>
      <c r="I1481" s="37" t="n"/>
      <c r="J1481" s="34" t="n"/>
      <c r="K1481" s="34" t="n"/>
      <c r="L1481" s="34" t="n"/>
      <c r="M1481" s="39" t="n"/>
      <c r="N1481" s="35" t="n"/>
      <c r="O1481" s="40" t="str">
        <f>IF($A1481="","",MONTH($A1481))</f>
        <v/>
      </c>
      <c r="P1481" s="40" t="str">
        <f>IF($A1481="","",YEAR($A1481))</f>
        <v/>
      </c>
      <c r="Q1481" s="41" t="str">
        <f>IF($A1481="","",DATE(P1481,O1481,1))</f>
        <v/>
      </c>
      <c r="R1481" s="36" t="str">
        <f>IF(OR($A1481="",$N1481=""),"",IF(AND($C1481&lt;&gt;"Transferência",N($I1481)&gt;1),$N1481/$I1481,$N1481))</f>
        <v/>
      </c>
      <c r="S1481" s="41" t="str">
        <f>IF(OR($A1481="",$F1481="",$C1481&lt;&gt;"Despesa"),"",IF(COUNTIF(Cartoes_Nome,$F1481)=0,"",DATE(P1481,O1481+IF(DAY($A1481)&gt;=INDEX(Cartoes_Fech,MATCH($F1481,Cartoes_Nome,0)),1,0),1)))</f>
        <v/>
      </c>
      <c r="T1481" s="42" t="str">
        <f>IF($A1481="","",IF(COUNTIFS(L_Data,$A1481,L_Desc,$B1481,L_Valor,$N1481,L_Tipo,$C1481)&gt;1,"⚠ Possível duplicidade",IF(OR(AND($C1481="Despesa",COUNTIF(CatD_Nome,$D1481)=0),AND($C1481="Receita",COUNTIF(CatR_Nome,$D1481)=0)),"⚠ Categoria não combina com o tipo",IF(OR($N1481="",$C1481=""),"⚠ Falta valor ou tipo",""))))</f>
        <v/>
      </c>
      <c r="U1481" s="40">
        <f>IF($A1481="",0,P1481*12+O1481)</f>
        <v>0</v>
      </c>
      <c r="V1481" s="40">
        <f>IF($A1481="",0,U1481+MAX(0,N($I1481)-MAX(N($H1481),1)))</f>
        <v>0</v>
      </c>
      <c r="W1481" s="40">
        <f>IF(S1481="",0,YEAR(S1481)*12+MONTH(S1481))</f>
        <v>0</v>
      </c>
      <c r="X1481" s="40">
        <f>IF(W1481=0,0,W1481+V1481-U1481)</f>
        <v>0</v>
      </c>
      <c r="Y1481" s="36">
        <f>IF(W1481=0,0,N(R1481)*MAX(0,X1481-MAX(W1481,YEAR(Cfg_Hoje)*12+MONTH(Cfg_Hoje)+IF(DAY(Cfg_Hoje)&gt;=INDEX(Cartoes_Fech,MATCH($F1481,Cartoes_Nome,0)),1,0))+1))</f>
        <v>0</v>
      </c>
      <c r="Z1481" s="40">
        <f>IF($A1481="",0,DAY($A1481))</f>
        <v>0</v>
      </c>
      <c r="AA1481" s="40">
        <f>IF($A1481="",0,WEEKDAY($A1481))</f>
        <v>0</v>
      </c>
      <c r="AB1481" s="36">
        <f>IF(AND($C1481="Despesa",U1481&gt;0,U1481&lt;=Sel_Idx,V1481&gt;=Sel_Idx),N(R1481)+ROW()/1000000000,0)</f>
        <v>0</v>
      </c>
      <c r="AC1481" s="40">
        <f>IF(AND($C1481="Despesa",U1481&gt;0,U1481&lt;=Sel_Idx,V1481&gt;=Sel_Idx),Z1481*10000+ROW(),0)</f>
        <v>0</v>
      </c>
      <c r="AD1481" s="40">
        <f>IF(AC1481=0,0,COUNTIFS(L_CalChave,"&gt;0",L_CalChave,"&lt;"&amp;AC1481)+1)</f>
        <v>0</v>
      </c>
    </row>
    <row r="1482">
      <c r="A1482" s="38" t="n"/>
      <c r="B1482" s="39" t="n"/>
      <c r="C1482" s="34" t="n"/>
      <c r="D1482" s="34" t="n"/>
      <c r="E1482" s="34" t="n"/>
      <c r="F1482" s="34" t="n"/>
      <c r="G1482" s="34" t="n"/>
      <c r="H1482" s="37" t="n"/>
      <c r="I1482" s="37" t="n"/>
      <c r="J1482" s="34" t="n"/>
      <c r="K1482" s="34" t="n"/>
      <c r="L1482" s="34" t="n"/>
      <c r="M1482" s="39" t="n"/>
      <c r="N1482" s="35" t="n"/>
      <c r="O1482" s="40" t="str">
        <f>IF($A1482="","",MONTH($A1482))</f>
        <v/>
      </c>
      <c r="P1482" s="40" t="str">
        <f>IF($A1482="","",YEAR($A1482))</f>
        <v/>
      </c>
      <c r="Q1482" s="41" t="str">
        <f>IF($A1482="","",DATE(P1482,O1482,1))</f>
        <v/>
      </c>
      <c r="R1482" s="36" t="str">
        <f>IF(OR($A1482="",$N1482=""),"",IF(AND($C1482&lt;&gt;"Transferência",N($I1482)&gt;1),$N1482/$I1482,$N1482))</f>
        <v/>
      </c>
      <c r="S1482" s="41" t="str">
        <f>IF(OR($A1482="",$F1482="",$C1482&lt;&gt;"Despesa"),"",IF(COUNTIF(Cartoes_Nome,$F1482)=0,"",DATE(P1482,O1482+IF(DAY($A1482)&gt;=INDEX(Cartoes_Fech,MATCH($F1482,Cartoes_Nome,0)),1,0),1)))</f>
        <v/>
      </c>
      <c r="T1482" s="42" t="str">
        <f>IF($A1482="","",IF(COUNTIFS(L_Data,$A1482,L_Desc,$B1482,L_Valor,$N1482,L_Tipo,$C1482)&gt;1,"⚠ Possível duplicidade",IF(OR(AND($C1482="Despesa",COUNTIF(CatD_Nome,$D1482)=0),AND($C1482="Receita",COUNTIF(CatR_Nome,$D1482)=0)),"⚠ Categoria não combina com o tipo",IF(OR($N1482="",$C1482=""),"⚠ Falta valor ou tipo",""))))</f>
        <v/>
      </c>
      <c r="U1482" s="40">
        <f>IF($A1482="",0,P1482*12+O1482)</f>
        <v>0</v>
      </c>
      <c r="V1482" s="40">
        <f>IF($A1482="",0,U1482+MAX(0,N($I1482)-MAX(N($H1482),1)))</f>
        <v>0</v>
      </c>
      <c r="W1482" s="40">
        <f>IF(S1482="",0,YEAR(S1482)*12+MONTH(S1482))</f>
        <v>0</v>
      </c>
      <c r="X1482" s="40">
        <f>IF(W1482=0,0,W1482+V1482-U1482)</f>
        <v>0</v>
      </c>
      <c r="Y1482" s="36">
        <f>IF(W1482=0,0,N(R1482)*MAX(0,X1482-MAX(W1482,YEAR(Cfg_Hoje)*12+MONTH(Cfg_Hoje)+IF(DAY(Cfg_Hoje)&gt;=INDEX(Cartoes_Fech,MATCH($F1482,Cartoes_Nome,0)),1,0))+1))</f>
        <v>0</v>
      </c>
      <c r="Z1482" s="40">
        <f>IF($A1482="",0,DAY($A1482))</f>
        <v>0</v>
      </c>
      <c r="AA1482" s="40">
        <f>IF($A1482="",0,WEEKDAY($A1482))</f>
        <v>0</v>
      </c>
      <c r="AB1482" s="36">
        <f>IF(AND($C1482="Despesa",U1482&gt;0,U1482&lt;=Sel_Idx,V1482&gt;=Sel_Idx),N(R1482)+ROW()/1000000000,0)</f>
        <v>0</v>
      </c>
      <c r="AC1482" s="40">
        <f>IF(AND($C1482="Despesa",U1482&gt;0,U1482&lt;=Sel_Idx,V1482&gt;=Sel_Idx),Z1482*10000+ROW(),0)</f>
        <v>0</v>
      </c>
      <c r="AD1482" s="40">
        <f>IF(AC1482=0,0,COUNTIFS(L_CalChave,"&gt;0",L_CalChave,"&lt;"&amp;AC1482)+1)</f>
        <v>0</v>
      </c>
    </row>
    <row r="1483">
      <c r="A1483" s="38" t="n"/>
      <c r="B1483" s="39" t="n"/>
      <c r="C1483" s="34" t="n"/>
      <c r="D1483" s="34" t="n"/>
      <c r="E1483" s="34" t="n"/>
      <c r="F1483" s="34" t="n"/>
      <c r="G1483" s="34" t="n"/>
      <c r="H1483" s="37" t="n"/>
      <c r="I1483" s="37" t="n"/>
      <c r="J1483" s="34" t="n"/>
      <c r="K1483" s="34" t="n"/>
      <c r="L1483" s="34" t="n"/>
      <c r="M1483" s="39" t="n"/>
      <c r="N1483" s="35" t="n"/>
      <c r="O1483" s="40" t="str">
        <f>IF($A1483="","",MONTH($A1483))</f>
        <v/>
      </c>
      <c r="P1483" s="40" t="str">
        <f>IF($A1483="","",YEAR($A1483))</f>
        <v/>
      </c>
      <c r="Q1483" s="41" t="str">
        <f>IF($A1483="","",DATE(P1483,O1483,1))</f>
        <v/>
      </c>
      <c r="R1483" s="36" t="str">
        <f>IF(OR($A1483="",$N1483=""),"",IF(AND($C1483&lt;&gt;"Transferência",N($I1483)&gt;1),$N1483/$I1483,$N1483))</f>
        <v/>
      </c>
      <c r="S1483" s="41" t="str">
        <f>IF(OR($A1483="",$F1483="",$C1483&lt;&gt;"Despesa"),"",IF(COUNTIF(Cartoes_Nome,$F1483)=0,"",DATE(P1483,O1483+IF(DAY($A1483)&gt;=INDEX(Cartoes_Fech,MATCH($F1483,Cartoes_Nome,0)),1,0),1)))</f>
        <v/>
      </c>
      <c r="T1483" s="42" t="str">
        <f>IF($A1483="","",IF(COUNTIFS(L_Data,$A1483,L_Desc,$B1483,L_Valor,$N1483,L_Tipo,$C1483)&gt;1,"⚠ Possível duplicidade",IF(OR(AND($C1483="Despesa",COUNTIF(CatD_Nome,$D1483)=0),AND($C1483="Receita",COUNTIF(CatR_Nome,$D1483)=0)),"⚠ Categoria não combina com o tipo",IF(OR($N1483="",$C1483=""),"⚠ Falta valor ou tipo",""))))</f>
        <v/>
      </c>
      <c r="U1483" s="40">
        <f>IF($A1483="",0,P1483*12+O1483)</f>
        <v>0</v>
      </c>
      <c r="V1483" s="40">
        <f>IF($A1483="",0,U1483+MAX(0,N($I1483)-MAX(N($H1483),1)))</f>
        <v>0</v>
      </c>
      <c r="W1483" s="40">
        <f>IF(S1483="",0,YEAR(S1483)*12+MONTH(S1483))</f>
        <v>0</v>
      </c>
      <c r="X1483" s="40">
        <f>IF(W1483=0,0,W1483+V1483-U1483)</f>
        <v>0</v>
      </c>
      <c r="Y1483" s="36">
        <f>IF(W1483=0,0,N(R1483)*MAX(0,X1483-MAX(W1483,YEAR(Cfg_Hoje)*12+MONTH(Cfg_Hoje)+IF(DAY(Cfg_Hoje)&gt;=INDEX(Cartoes_Fech,MATCH($F1483,Cartoes_Nome,0)),1,0))+1))</f>
        <v>0</v>
      </c>
      <c r="Z1483" s="40">
        <f>IF($A1483="",0,DAY($A1483))</f>
        <v>0</v>
      </c>
      <c r="AA1483" s="40">
        <f>IF($A1483="",0,WEEKDAY($A1483))</f>
        <v>0</v>
      </c>
      <c r="AB1483" s="36">
        <f>IF(AND($C1483="Despesa",U1483&gt;0,U1483&lt;=Sel_Idx,V1483&gt;=Sel_Idx),N(R1483)+ROW()/1000000000,0)</f>
        <v>0</v>
      </c>
      <c r="AC1483" s="40">
        <f>IF(AND($C1483="Despesa",U1483&gt;0,U1483&lt;=Sel_Idx,V1483&gt;=Sel_Idx),Z1483*10000+ROW(),0)</f>
        <v>0</v>
      </c>
      <c r="AD1483" s="40">
        <f>IF(AC1483=0,0,COUNTIFS(L_CalChave,"&gt;0",L_CalChave,"&lt;"&amp;AC1483)+1)</f>
        <v>0</v>
      </c>
    </row>
    <row r="1484">
      <c r="A1484" s="38" t="n"/>
      <c r="B1484" s="39" t="n"/>
      <c r="C1484" s="34" t="n"/>
      <c r="D1484" s="34" t="n"/>
      <c r="E1484" s="34" t="n"/>
      <c r="F1484" s="34" t="n"/>
      <c r="G1484" s="34" t="n"/>
      <c r="H1484" s="37" t="n"/>
      <c r="I1484" s="37" t="n"/>
      <c r="J1484" s="34" t="n"/>
      <c r="K1484" s="34" t="n"/>
      <c r="L1484" s="34" t="n"/>
      <c r="M1484" s="39" t="n"/>
      <c r="N1484" s="35" t="n"/>
      <c r="O1484" s="40" t="str">
        <f>IF($A1484="","",MONTH($A1484))</f>
        <v/>
      </c>
      <c r="P1484" s="40" t="str">
        <f>IF($A1484="","",YEAR($A1484))</f>
        <v/>
      </c>
      <c r="Q1484" s="41" t="str">
        <f>IF($A1484="","",DATE(P1484,O1484,1))</f>
        <v/>
      </c>
      <c r="R1484" s="36" t="str">
        <f>IF(OR($A1484="",$N1484=""),"",IF(AND($C1484&lt;&gt;"Transferência",N($I1484)&gt;1),$N1484/$I1484,$N1484))</f>
        <v/>
      </c>
      <c r="S1484" s="41" t="str">
        <f>IF(OR($A1484="",$F1484="",$C1484&lt;&gt;"Despesa"),"",IF(COUNTIF(Cartoes_Nome,$F1484)=0,"",DATE(P1484,O1484+IF(DAY($A1484)&gt;=INDEX(Cartoes_Fech,MATCH($F1484,Cartoes_Nome,0)),1,0),1)))</f>
        <v/>
      </c>
      <c r="T1484" s="42" t="str">
        <f>IF($A1484="","",IF(COUNTIFS(L_Data,$A1484,L_Desc,$B1484,L_Valor,$N1484,L_Tipo,$C1484)&gt;1,"⚠ Possível duplicidade",IF(OR(AND($C1484="Despesa",COUNTIF(CatD_Nome,$D1484)=0),AND($C1484="Receita",COUNTIF(CatR_Nome,$D1484)=0)),"⚠ Categoria não combina com o tipo",IF(OR($N1484="",$C1484=""),"⚠ Falta valor ou tipo",""))))</f>
        <v/>
      </c>
      <c r="U1484" s="40">
        <f>IF($A1484="",0,P1484*12+O1484)</f>
        <v>0</v>
      </c>
      <c r="V1484" s="40">
        <f>IF($A1484="",0,U1484+MAX(0,N($I1484)-MAX(N($H1484),1)))</f>
        <v>0</v>
      </c>
      <c r="W1484" s="40">
        <f>IF(S1484="",0,YEAR(S1484)*12+MONTH(S1484))</f>
        <v>0</v>
      </c>
      <c r="X1484" s="40">
        <f>IF(W1484=0,0,W1484+V1484-U1484)</f>
        <v>0</v>
      </c>
      <c r="Y1484" s="36">
        <f>IF(W1484=0,0,N(R1484)*MAX(0,X1484-MAX(W1484,YEAR(Cfg_Hoje)*12+MONTH(Cfg_Hoje)+IF(DAY(Cfg_Hoje)&gt;=INDEX(Cartoes_Fech,MATCH($F1484,Cartoes_Nome,0)),1,0))+1))</f>
        <v>0</v>
      </c>
      <c r="Z1484" s="40">
        <f>IF($A1484="",0,DAY($A1484))</f>
        <v>0</v>
      </c>
      <c r="AA1484" s="40">
        <f>IF($A1484="",0,WEEKDAY($A1484))</f>
        <v>0</v>
      </c>
      <c r="AB1484" s="36">
        <f>IF(AND($C1484="Despesa",U1484&gt;0,U1484&lt;=Sel_Idx,V1484&gt;=Sel_Idx),N(R1484)+ROW()/1000000000,0)</f>
        <v>0</v>
      </c>
      <c r="AC1484" s="40">
        <f>IF(AND($C1484="Despesa",U1484&gt;0,U1484&lt;=Sel_Idx,V1484&gt;=Sel_Idx),Z1484*10000+ROW(),0)</f>
        <v>0</v>
      </c>
      <c r="AD1484" s="40">
        <f>IF(AC1484=0,0,COUNTIFS(L_CalChave,"&gt;0",L_CalChave,"&lt;"&amp;AC1484)+1)</f>
        <v>0</v>
      </c>
    </row>
    <row r="1485">
      <c r="A1485" s="38" t="n"/>
      <c r="B1485" s="39" t="n"/>
      <c r="C1485" s="34" t="n"/>
      <c r="D1485" s="34" t="n"/>
      <c r="E1485" s="34" t="n"/>
      <c r="F1485" s="34" t="n"/>
      <c r="G1485" s="34" t="n"/>
      <c r="H1485" s="37" t="n"/>
      <c r="I1485" s="37" t="n"/>
      <c r="J1485" s="34" t="n"/>
      <c r="K1485" s="34" t="n"/>
      <c r="L1485" s="34" t="n"/>
      <c r="M1485" s="39" t="n"/>
      <c r="N1485" s="35" t="n"/>
      <c r="O1485" s="40" t="str">
        <f>IF($A1485="","",MONTH($A1485))</f>
        <v/>
      </c>
      <c r="P1485" s="40" t="str">
        <f>IF($A1485="","",YEAR($A1485))</f>
        <v/>
      </c>
      <c r="Q1485" s="41" t="str">
        <f>IF($A1485="","",DATE(P1485,O1485,1))</f>
        <v/>
      </c>
      <c r="R1485" s="36" t="str">
        <f>IF(OR($A1485="",$N1485=""),"",IF(AND($C1485&lt;&gt;"Transferência",N($I1485)&gt;1),$N1485/$I1485,$N1485))</f>
        <v/>
      </c>
      <c r="S1485" s="41" t="str">
        <f>IF(OR($A1485="",$F1485="",$C1485&lt;&gt;"Despesa"),"",IF(COUNTIF(Cartoes_Nome,$F1485)=0,"",DATE(P1485,O1485+IF(DAY($A1485)&gt;=INDEX(Cartoes_Fech,MATCH($F1485,Cartoes_Nome,0)),1,0),1)))</f>
        <v/>
      </c>
      <c r="T1485" s="42" t="str">
        <f>IF($A1485="","",IF(COUNTIFS(L_Data,$A1485,L_Desc,$B1485,L_Valor,$N1485,L_Tipo,$C1485)&gt;1,"⚠ Possível duplicidade",IF(OR(AND($C1485="Despesa",COUNTIF(CatD_Nome,$D1485)=0),AND($C1485="Receita",COUNTIF(CatR_Nome,$D1485)=0)),"⚠ Categoria não combina com o tipo",IF(OR($N1485="",$C1485=""),"⚠ Falta valor ou tipo",""))))</f>
        <v/>
      </c>
      <c r="U1485" s="40">
        <f>IF($A1485="",0,P1485*12+O1485)</f>
        <v>0</v>
      </c>
      <c r="V1485" s="40">
        <f>IF($A1485="",0,U1485+MAX(0,N($I1485)-MAX(N($H1485),1)))</f>
        <v>0</v>
      </c>
      <c r="W1485" s="40">
        <f>IF(S1485="",0,YEAR(S1485)*12+MONTH(S1485))</f>
        <v>0</v>
      </c>
      <c r="X1485" s="40">
        <f>IF(W1485=0,0,W1485+V1485-U1485)</f>
        <v>0</v>
      </c>
      <c r="Y1485" s="36">
        <f>IF(W1485=0,0,N(R1485)*MAX(0,X1485-MAX(W1485,YEAR(Cfg_Hoje)*12+MONTH(Cfg_Hoje)+IF(DAY(Cfg_Hoje)&gt;=INDEX(Cartoes_Fech,MATCH($F1485,Cartoes_Nome,0)),1,0))+1))</f>
        <v>0</v>
      </c>
      <c r="Z1485" s="40">
        <f>IF($A1485="",0,DAY($A1485))</f>
        <v>0</v>
      </c>
      <c r="AA1485" s="40">
        <f>IF($A1485="",0,WEEKDAY($A1485))</f>
        <v>0</v>
      </c>
      <c r="AB1485" s="36">
        <f>IF(AND($C1485="Despesa",U1485&gt;0,U1485&lt;=Sel_Idx,V1485&gt;=Sel_Idx),N(R1485)+ROW()/1000000000,0)</f>
        <v>0</v>
      </c>
      <c r="AC1485" s="40">
        <f>IF(AND($C1485="Despesa",U1485&gt;0,U1485&lt;=Sel_Idx,V1485&gt;=Sel_Idx),Z1485*10000+ROW(),0)</f>
        <v>0</v>
      </c>
      <c r="AD1485" s="40">
        <f>IF(AC1485=0,0,COUNTIFS(L_CalChave,"&gt;0",L_CalChave,"&lt;"&amp;AC1485)+1)</f>
        <v>0</v>
      </c>
    </row>
    <row r="1486">
      <c r="A1486" s="38" t="n"/>
      <c r="B1486" s="39" t="n"/>
      <c r="C1486" s="34" t="n"/>
      <c r="D1486" s="34" t="n"/>
      <c r="E1486" s="34" t="n"/>
      <c r="F1486" s="34" t="n"/>
      <c r="G1486" s="34" t="n"/>
      <c r="H1486" s="37" t="n"/>
      <c r="I1486" s="37" t="n"/>
      <c r="J1486" s="34" t="n"/>
      <c r="K1486" s="34" t="n"/>
      <c r="L1486" s="34" t="n"/>
      <c r="M1486" s="39" t="n"/>
      <c r="N1486" s="35" t="n"/>
      <c r="O1486" s="40" t="str">
        <f>IF($A1486="","",MONTH($A1486))</f>
        <v/>
      </c>
      <c r="P1486" s="40" t="str">
        <f>IF($A1486="","",YEAR($A1486))</f>
        <v/>
      </c>
      <c r="Q1486" s="41" t="str">
        <f>IF($A1486="","",DATE(P1486,O1486,1))</f>
        <v/>
      </c>
      <c r="R1486" s="36" t="str">
        <f>IF(OR($A1486="",$N1486=""),"",IF(AND($C1486&lt;&gt;"Transferência",N($I1486)&gt;1),$N1486/$I1486,$N1486))</f>
        <v/>
      </c>
      <c r="S1486" s="41" t="str">
        <f>IF(OR($A1486="",$F1486="",$C1486&lt;&gt;"Despesa"),"",IF(COUNTIF(Cartoes_Nome,$F1486)=0,"",DATE(P1486,O1486+IF(DAY($A1486)&gt;=INDEX(Cartoes_Fech,MATCH($F1486,Cartoes_Nome,0)),1,0),1)))</f>
        <v/>
      </c>
      <c r="T1486" s="42" t="str">
        <f>IF($A1486="","",IF(COUNTIFS(L_Data,$A1486,L_Desc,$B1486,L_Valor,$N1486,L_Tipo,$C1486)&gt;1,"⚠ Possível duplicidade",IF(OR(AND($C1486="Despesa",COUNTIF(CatD_Nome,$D1486)=0),AND($C1486="Receita",COUNTIF(CatR_Nome,$D1486)=0)),"⚠ Categoria não combina com o tipo",IF(OR($N1486="",$C1486=""),"⚠ Falta valor ou tipo",""))))</f>
        <v/>
      </c>
      <c r="U1486" s="40">
        <f>IF($A1486="",0,P1486*12+O1486)</f>
        <v>0</v>
      </c>
      <c r="V1486" s="40">
        <f>IF($A1486="",0,U1486+MAX(0,N($I1486)-MAX(N($H1486),1)))</f>
        <v>0</v>
      </c>
      <c r="W1486" s="40">
        <f>IF(S1486="",0,YEAR(S1486)*12+MONTH(S1486))</f>
        <v>0</v>
      </c>
      <c r="X1486" s="40">
        <f>IF(W1486=0,0,W1486+V1486-U1486)</f>
        <v>0</v>
      </c>
      <c r="Y1486" s="36">
        <f>IF(W1486=0,0,N(R1486)*MAX(0,X1486-MAX(W1486,YEAR(Cfg_Hoje)*12+MONTH(Cfg_Hoje)+IF(DAY(Cfg_Hoje)&gt;=INDEX(Cartoes_Fech,MATCH($F1486,Cartoes_Nome,0)),1,0))+1))</f>
        <v>0</v>
      </c>
      <c r="Z1486" s="40">
        <f>IF($A1486="",0,DAY($A1486))</f>
        <v>0</v>
      </c>
      <c r="AA1486" s="40">
        <f>IF($A1486="",0,WEEKDAY($A1486))</f>
        <v>0</v>
      </c>
      <c r="AB1486" s="36">
        <f>IF(AND($C1486="Despesa",U1486&gt;0,U1486&lt;=Sel_Idx,V1486&gt;=Sel_Idx),N(R1486)+ROW()/1000000000,0)</f>
        <v>0</v>
      </c>
      <c r="AC1486" s="40">
        <f>IF(AND($C1486="Despesa",U1486&gt;0,U1486&lt;=Sel_Idx,V1486&gt;=Sel_Idx),Z1486*10000+ROW(),0)</f>
        <v>0</v>
      </c>
      <c r="AD1486" s="40">
        <f>IF(AC1486=0,0,COUNTIFS(L_CalChave,"&gt;0",L_CalChave,"&lt;"&amp;AC1486)+1)</f>
        <v>0</v>
      </c>
    </row>
    <row r="1487">
      <c r="A1487" s="38" t="n"/>
      <c r="B1487" s="39" t="n"/>
      <c r="C1487" s="34" t="n"/>
      <c r="D1487" s="34" t="n"/>
      <c r="E1487" s="34" t="n"/>
      <c r="F1487" s="34" t="n"/>
      <c r="G1487" s="34" t="n"/>
      <c r="H1487" s="37" t="n"/>
      <c r="I1487" s="37" t="n"/>
      <c r="J1487" s="34" t="n"/>
      <c r="K1487" s="34" t="n"/>
      <c r="L1487" s="34" t="n"/>
      <c r="M1487" s="39" t="n"/>
      <c r="N1487" s="35" t="n"/>
      <c r="O1487" s="40" t="str">
        <f>IF($A1487="","",MONTH($A1487))</f>
        <v/>
      </c>
      <c r="P1487" s="40" t="str">
        <f>IF($A1487="","",YEAR($A1487))</f>
        <v/>
      </c>
      <c r="Q1487" s="41" t="str">
        <f>IF($A1487="","",DATE(P1487,O1487,1))</f>
        <v/>
      </c>
      <c r="R1487" s="36" t="str">
        <f>IF(OR($A1487="",$N1487=""),"",IF(AND($C1487&lt;&gt;"Transferência",N($I1487)&gt;1),$N1487/$I1487,$N1487))</f>
        <v/>
      </c>
      <c r="S1487" s="41" t="str">
        <f>IF(OR($A1487="",$F1487="",$C1487&lt;&gt;"Despesa"),"",IF(COUNTIF(Cartoes_Nome,$F1487)=0,"",DATE(P1487,O1487+IF(DAY($A1487)&gt;=INDEX(Cartoes_Fech,MATCH($F1487,Cartoes_Nome,0)),1,0),1)))</f>
        <v/>
      </c>
      <c r="T1487" s="42" t="str">
        <f>IF($A1487="","",IF(COUNTIFS(L_Data,$A1487,L_Desc,$B1487,L_Valor,$N1487,L_Tipo,$C1487)&gt;1,"⚠ Possível duplicidade",IF(OR(AND($C1487="Despesa",COUNTIF(CatD_Nome,$D1487)=0),AND($C1487="Receita",COUNTIF(CatR_Nome,$D1487)=0)),"⚠ Categoria não combina com o tipo",IF(OR($N1487="",$C1487=""),"⚠ Falta valor ou tipo",""))))</f>
        <v/>
      </c>
      <c r="U1487" s="40">
        <f>IF($A1487="",0,P1487*12+O1487)</f>
        <v>0</v>
      </c>
      <c r="V1487" s="40">
        <f>IF($A1487="",0,U1487+MAX(0,N($I1487)-MAX(N($H1487),1)))</f>
        <v>0</v>
      </c>
      <c r="W1487" s="40">
        <f>IF(S1487="",0,YEAR(S1487)*12+MONTH(S1487))</f>
        <v>0</v>
      </c>
      <c r="X1487" s="40">
        <f>IF(W1487=0,0,W1487+V1487-U1487)</f>
        <v>0</v>
      </c>
      <c r="Y1487" s="36">
        <f>IF(W1487=0,0,N(R1487)*MAX(0,X1487-MAX(W1487,YEAR(Cfg_Hoje)*12+MONTH(Cfg_Hoje)+IF(DAY(Cfg_Hoje)&gt;=INDEX(Cartoes_Fech,MATCH($F1487,Cartoes_Nome,0)),1,0))+1))</f>
        <v>0</v>
      </c>
      <c r="Z1487" s="40">
        <f>IF($A1487="",0,DAY($A1487))</f>
        <v>0</v>
      </c>
      <c r="AA1487" s="40">
        <f>IF($A1487="",0,WEEKDAY($A1487))</f>
        <v>0</v>
      </c>
      <c r="AB1487" s="36">
        <f>IF(AND($C1487="Despesa",U1487&gt;0,U1487&lt;=Sel_Idx,V1487&gt;=Sel_Idx),N(R1487)+ROW()/1000000000,0)</f>
        <v>0</v>
      </c>
      <c r="AC1487" s="40">
        <f>IF(AND($C1487="Despesa",U1487&gt;0,U1487&lt;=Sel_Idx,V1487&gt;=Sel_Idx),Z1487*10000+ROW(),0)</f>
        <v>0</v>
      </c>
      <c r="AD1487" s="40">
        <f>IF(AC1487=0,0,COUNTIFS(L_CalChave,"&gt;0",L_CalChave,"&lt;"&amp;AC1487)+1)</f>
        <v>0</v>
      </c>
    </row>
    <row r="1488">
      <c r="A1488" s="38" t="n"/>
      <c r="B1488" s="39" t="n"/>
      <c r="C1488" s="34" t="n"/>
      <c r="D1488" s="34" t="n"/>
      <c r="E1488" s="34" t="n"/>
      <c r="F1488" s="34" t="n"/>
      <c r="G1488" s="34" t="n"/>
      <c r="H1488" s="37" t="n"/>
      <c r="I1488" s="37" t="n"/>
      <c r="J1488" s="34" t="n"/>
      <c r="K1488" s="34" t="n"/>
      <c r="L1488" s="34" t="n"/>
      <c r="M1488" s="39" t="n"/>
      <c r="N1488" s="35" t="n"/>
      <c r="O1488" s="40" t="str">
        <f>IF($A1488="","",MONTH($A1488))</f>
        <v/>
      </c>
      <c r="P1488" s="40" t="str">
        <f>IF($A1488="","",YEAR($A1488))</f>
        <v/>
      </c>
      <c r="Q1488" s="41" t="str">
        <f>IF($A1488="","",DATE(P1488,O1488,1))</f>
        <v/>
      </c>
      <c r="R1488" s="36" t="str">
        <f>IF(OR($A1488="",$N1488=""),"",IF(AND($C1488&lt;&gt;"Transferência",N($I1488)&gt;1),$N1488/$I1488,$N1488))</f>
        <v/>
      </c>
      <c r="S1488" s="41" t="str">
        <f>IF(OR($A1488="",$F1488="",$C1488&lt;&gt;"Despesa"),"",IF(COUNTIF(Cartoes_Nome,$F1488)=0,"",DATE(P1488,O1488+IF(DAY($A1488)&gt;=INDEX(Cartoes_Fech,MATCH($F1488,Cartoes_Nome,0)),1,0),1)))</f>
        <v/>
      </c>
      <c r="T1488" s="42" t="str">
        <f>IF($A1488="","",IF(COUNTIFS(L_Data,$A1488,L_Desc,$B1488,L_Valor,$N1488,L_Tipo,$C1488)&gt;1,"⚠ Possível duplicidade",IF(OR(AND($C1488="Despesa",COUNTIF(CatD_Nome,$D1488)=0),AND($C1488="Receita",COUNTIF(CatR_Nome,$D1488)=0)),"⚠ Categoria não combina com o tipo",IF(OR($N1488="",$C1488=""),"⚠ Falta valor ou tipo",""))))</f>
        <v/>
      </c>
      <c r="U1488" s="40">
        <f>IF($A1488="",0,P1488*12+O1488)</f>
        <v>0</v>
      </c>
      <c r="V1488" s="40">
        <f>IF($A1488="",0,U1488+MAX(0,N($I1488)-MAX(N($H1488),1)))</f>
        <v>0</v>
      </c>
      <c r="W1488" s="40">
        <f>IF(S1488="",0,YEAR(S1488)*12+MONTH(S1488))</f>
        <v>0</v>
      </c>
      <c r="X1488" s="40">
        <f>IF(W1488=0,0,W1488+V1488-U1488)</f>
        <v>0</v>
      </c>
      <c r="Y1488" s="36">
        <f>IF(W1488=0,0,N(R1488)*MAX(0,X1488-MAX(W1488,YEAR(Cfg_Hoje)*12+MONTH(Cfg_Hoje)+IF(DAY(Cfg_Hoje)&gt;=INDEX(Cartoes_Fech,MATCH($F1488,Cartoes_Nome,0)),1,0))+1))</f>
        <v>0</v>
      </c>
      <c r="Z1488" s="40">
        <f>IF($A1488="",0,DAY($A1488))</f>
        <v>0</v>
      </c>
      <c r="AA1488" s="40">
        <f>IF($A1488="",0,WEEKDAY($A1488))</f>
        <v>0</v>
      </c>
      <c r="AB1488" s="36">
        <f>IF(AND($C1488="Despesa",U1488&gt;0,U1488&lt;=Sel_Idx,V1488&gt;=Sel_Idx),N(R1488)+ROW()/1000000000,0)</f>
        <v>0</v>
      </c>
      <c r="AC1488" s="40">
        <f>IF(AND($C1488="Despesa",U1488&gt;0,U1488&lt;=Sel_Idx,V1488&gt;=Sel_Idx),Z1488*10000+ROW(),0)</f>
        <v>0</v>
      </c>
      <c r="AD1488" s="40">
        <f>IF(AC1488=0,0,COUNTIFS(L_CalChave,"&gt;0",L_CalChave,"&lt;"&amp;AC1488)+1)</f>
        <v>0</v>
      </c>
    </row>
    <row r="1489">
      <c r="A1489" s="38" t="n"/>
      <c r="B1489" s="39" t="n"/>
      <c r="C1489" s="34" t="n"/>
      <c r="D1489" s="34" t="n"/>
      <c r="E1489" s="34" t="n"/>
      <c r="F1489" s="34" t="n"/>
      <c r="G1489" s="34" t="n"/>
      <c r="H1489" s="37" t="n"/>
      <c r="I1489" s="37" t="n"/>
      <c r="J1489" s="34" t="n"/>
      <c r="K1489" s="34" t="n"/>
      <c r="L1489" s="34" t="n"/>
      <c r="M1489" s="39" t="n"/>
      <c r="N1489" s="35" t="n"/>
      <c r="O1489" s="40" t="str">
        <f>IF($A1489="","",MONTH($A1489))</f>
        <v/>
      </c>
      <c r="P1489" s="40" t="str">
        <f>IF($A1489="","",YEAR($A1489))</f>
        <v/>
      </c>
      <c r="Q1489" s="41" t="str">
        <f>IF($A1489="","",DATE(P1489,O1489,1))</f>
        <v/>
      </c>
      <c r="R1489" s="36" t="str">
        <f>IF(OR($A1489="",$N1489=""),"",IF(AND($C1489&lt;&gt;"Transferência",N($I1489)&gt;1),$N1489/$I1489,$N1489))</f>
        <v/>
      </c>
      <c r="S1489" s="41" t="str">
        <f>IF(OR($A1489="",$F1489="",$C1489&lt;&gt;"Despesa"),"",IF(COUNTIF(Cartoes_Nome,$F1489)=0,"",DATE(P1489,O1489+IF(DAY($A1489)&gt;=INDEX(Cartoes_Fech,MATCH($F1489,Cartoes_Nome,0)),1,0),1)))</f>
        <v/>
      </c>
      <c r="T1489" s="42" t="str">
        <f>IF($A1489="","",IF(COUNTIFS(L_Data,$A1489,L_Desc,$B1489,L_Valor,$N1489,L_Tipo,$C1489)&gt;1,"⚠ Possível duplicidade",IF(OR(AND($C1489="Despesa",COUNTIF(CatD_Nome,$D1489)=0),AND($C1489="Receita",COUNTIF(CatR_Nome,$D1489)=0)),"⚠ Categoria não combina com o tipo",IF(OR($N1489="",$C1489=""),"⚠ Falta valor ou tipo",""))))</f>
        <v/>
      </c>
      <c r="U1489" s="40">
        <f>IF($A1489="",0,P1489*12+O1489)</f>
        <v>0</v>
      </c>
      <c r="V1489" s="40">
        <f>IF($A1489="",0,U1489+MAX(0,N($I1489)-MAX(N($H1489),1)))</f>
        <v>0</v>
      </c>
      <c r="W1489" s="40">
        <f>IF(S1489="",0,YEAR(S1489)*12+MONTH(S1489))</f>
        <v>0</v>
      </c>
      <c r="X1489" s="40">
        <f>IF(W1489=0,0,W1489+V1489-U1489)</f>
        <v>0</v>
      </c>
      <c r="Y1489" s="36">
        <f>IF(W1489=0,0,N(R1489)*MAX(0,X1489-MAX(W1489,YEAR(Cfg_Hoje)*12+MONTH(Cfg_Hoje)+IF(DAY(Cfg_Hoje)&gt;=INDEX(Cartoes_Fech,MATCH($F1489,Cartoes_Nome,0)),1,0))+1))</f>
        <v>0</v>
      </c>
      <c r="Z1489" s="40">
        <f>IF($A1489="",0,DAY($A1489))</f>
        <v>0</v>
      </c>
      <c r="AA1489" s="40">
        <f>IF($A1489="",0,WEEKDAY($A1489))</f>
        <v>0</v>
      </c>
      <c r="AB1489" s="36">
        <f>IF(AND($C1489="Despesa",U1489&gt;0,U1489&lt;=Sel_Idx,V1489&gt;=Sel_Idx),N(R1489)+ROW()/1000000000,0)</f>
        <v>0</v>
      </c>
      <c r="AC1489" s="40">
        <f>IF(AND($C1489="Despesa",U1489&gt;0,U1489&lt;=Sel_Idx,V1489&gt;=Sel_Idx),Z1489*10000+ROW(),0)</f>
        <v>0</v>
      </c>
      <c r="AD1489" s="40">
        <f>IF(AC1489=0,0,COUNTIFS(L_CalChave,"&gt;0",L_CalChave,"&lt;"&amp;AC1489)+1)</f>
        <v>0</v>
      </c>
    </row>
    <row r="1490">
      <c r="A1490" s="38" t="n"/>
      <c r="B1490" s="39" t="n"/>
      <c r="C1490" s="34" t="n"/>
      <c r="D1490" s="34" t="n"/>
      <c r="E1490" s="34" t="n"/>
      <c r="F1490" s="34" t="n"/>
      <c r="G1490" s="34" t="n"/>
      <c r="H1490" s="37" t="n"/>
      <c r="I1490" s="37" t="n"/>
      <c r="J1490" s="34" t="n"/>
      <c r="K1490" s="34" t="n"/>
      <c r="L1490" s="34" t="n"/>
      <c r="M1490" s="39" t="n"/>
      <c r="N1490" s="35" t="n"/>
      <c r="O1490" s="40" t="str">
        <f>IF($A1490="","",MONTH($A1490))</f>
        <v/>
      </c>
      <c r="P1490" s="40" t="str">
        <f>IF($A1490="","",YEAR($A1490))</f>
        <v/>
      </c>
      <c r="Q1490" s="41" t="str">
        <f>IF($A1490="","",DATE(P1490,O1490,1))</f>
        <v/>
      </c>
      <c r="R1490" s="36" t="str">
        <f>IF(OR($A1490="",$N1490=""),"",IF(AND($C1490&lt;&gt;"Transferência",N($I1490)&gt;1),$N1490/$I1490,$N1490))</f>
        <v/>
      </c>
      <c r="S1490" s="41" t="str">
        <f>IF(OR($A1490="",$F1490="",$C1490&lt;&gt;"Despesa"),"",IF(COUNTIF(Cartoes_Nome,$F1490)=0,"",DATE(P1490,O1490+IF(DAY($A1490)&gt;=INDEX(Cartoes_Fech,MATCH($F1490,Cartoes_Nome,0)),1,0),1)))</f>
        <v/>
      </c>
      <c r="T1490" s="42" t="str">
        <f>IF($A1490="","",IF(COUNTIFS(L_Data,$A1490,L_Desc,$B1490,L_Valor,$N1490,L_Tipo,$C1490)&gt;1,"⚠ Possível duplicidade",IF(OR(AND($C1490="Despesa",COUNTIF(CatD_Nome,$D1490)=0),AND($C1490="Receita",COUNTIF(CatR_Nome,$D1490)=0)),"⚠ Categoria não combina com o tipo",IF(OR($N1490="",$C1490=""),"⚠ Falta valor ou tipo",""))))</f>
        <v/>
      </c>
      <c r="U1490" s="40">
        <f>IF($A1490="",0,P1490*12+O1490)</f>
        <v>0</v>
      </c>
      <c r="V1490" s="40">
        <f>IF($A1490="",0,U1490+MAX(0,N($I1490)-MAX(N($H1490),1)))</f>
        <v>0</v>
      </c>
      <c r="W1490" s="40">
        <f>IF(S1490="",0,YEAR(S1490)*12+MONTH(S1490))</f>
        <v>0</v>
      </c>
      <c r="X1490" s="40">
        <f>IF(W1490=0,0,W1490+V1490-U1490)</f>
        <v>0</v>
      </c>
      <c r="Y1490" s="36">
        <f>IF(W1490=0,0,N(R1490)*MAX(0,X1490-MAX(W1490,YEAR(Cfg_Hoje)*12+MONTH(Cfg_Hoje)+IF(DAY(Cfg_Hoje)&gt;=INDEX(Cartoes_Fech,MATCH($F1490,Cartoes_Nome,0)),1,0))+1))</f>
        <v>0</v>
      </c>
      <c r="Z1490" s="40">
        <f>IF($A1490="",0,DAY($A1490))</f>
        <v>0</v>
      </c>
      <c r="AA1490" s="40">
        <f>IF($A1490="",0,WEEKDAY($A1490))</f>
        <v>0</v>
      </c>
      <c r="AB1490" s="36">
        <f>IF(AND($C1490="Despesa",U1490&gt;0,U1490&lt;=Sel_Idx,V1490&gt;=Sel_Idx),N(R1490)+ROW()/1000000000,0)</f>
        <v>0</v>
      </c>
      <c r="AC1490" s="40">
        <f>IF(AND($C1490="Despesa",U1490&gt;0,U1490&lt;=Sel_Idx,V1490&gt;=Sel_Idx),Z1490*10000+ROW(),0)</f>
        <v>0</v>
      </c>
      <c r="AD1490" s="40">
        <f>IF(AC1490=0,0,COUNTIFS(L_CalChave,"&gt;0",L_CalChave,"&lt;"&amp;AC1490)+1)</f>
        <v>0</v>
      </c>
    </row>
    <row r="1491">
      <c r="A1491" s="38" t="n"/>
      <c r="B1491" s="39" t="n"/>
      <c r="C1491" s="34" t="n"/>
      <c r="D1491" s="34" t="n"/>
      <c r="E1491" s="34" t="n"/>
      <c r="F1491" s="34" t="n"/>
      <c r="G1491" s="34" t="n"/>
      <c r="H1491" s="37" t="n"/>
      <c r="I1491" s="37" t="n"/>
      <c r="J1491" s="34" t="n"/>
      <c r="K1491" s="34" t="n"/>
      <c r="L1491" s="34" t="n"/>
      <c r="M1491" s="39" t="n"/>
      <c r="N1491" s="35" t="n"/>
      <c r="O1491" s="40" t="str">
        <f>IF($A1491="","",MONTH($A1491))</f>
        <v/>
      </c>
      <c r="P1491" s="40" t="str">
        <f>IF($A1491="","",YEAR($A1491))</f>
        <v/>
      </c>
      <c r="Q1491" s="41" t="str">
        <f>IF($A1491="","",DATE(P1491,O1491,1))</f>
        <v/>
      </c>
      <c r="R1491" s="36" t="str">
        <f>IF(OR($A1491="",$N1491=""),"",IF(AND($C1491&lt;&gt;"Transferência",N($I1491)&gt;1),$N1491/$I1491,$N1491))</f>
        <v/>
      </c>
      <c r="S1491" s="41" t="str">
        <f>IF(OR($A1491="",$F1491="",$C1491&lt;&gt;"Despesa"),"",IF(COUNTIF(Cartoes_Nome,$F1491)=0,"",DATE(P1491,O1491+IF(DAY($A1491)&gt;=INDEX(Cartoes_Fech,MATCH($F1491,Cartoes_Nome,0)),1,0),1)))</f>
        <v/>
      </c>
      <c r="T1491" s="42" t="str">
        <f>IF($A1491="","",IF(COUNTIFS(L_Data,$A1491,L_Desc,$B1491,L_Valor,$N1491,L_Tipo,$C1491)&gt;1,"⚠ Possível duplicidade",IF(OR(AND($C1491="Despesa",COUNTIF(CatD_Nome,$D1491)=0),AND($C1491="Receita",COUNTIF(CatR_Nome,$D1491)=0)),"⚠ Categoria não combina com o tipo",IF(OR($N1491="",$C1491=""),"⚠ Falta valor ou tipo",""))))</f>
        <v/>
      </c>
      <c r="U1491" s="40">
        <f>IF($A1491="",0,P1491*12+O1491)</f>
        <v>0</v>
      </c>
      <c r="V1491" s="40">
        <f>IF($A1491="",0,U1491+MAX(0,N($I1491)-MAX(N($H1491),1)))</f>
        <v>0</v>
      </c>
      <c r="W1491" s="40">
        <f>IF(S1491="",0,YEAR(S1491)*12+MONTH(S1491))</f>
        <v>0</v>
      </c>
      <c r="X1491" s="40">
        <f>IF(W1491=0,0,W1491+V1491-U1491)</f>
        <v>0</v>
      </c>
      <c r="Y1491" s="36">
        <f>IF(W1491=0,0,N(R1491)*MAX(0,X1491-MAX(W1491,YEAR(Cfg_Hoje)*12+MONTH(Cfg_Hoje)+IF(DAY(Cfg_Hoje)&gt;=INDEX(Cartoes_Fech,MATCH($F1491,Cartoes_Nome,0)),1,0))+1))</f>
        <v>0</v>
      </c>
      <c r="Z1491" s="40">
        <f>IF($A1491="",0,DAY($A1491))</f>
        <v>0</v>
      </c>
      <c r="AA1491" s="40">
        <f>IF($A1491="",0,WEEKDAY($A1491))</f>
        <v>0</v>
      </c>
      <c r="AB1491" s="36">
        <f>IF(AND($C1491="Despesa",U1491&gt;0,U1491&lt;=Sel_Idx,V1491&gt;=Sel_Idx),N(R1491)+ROW()/1000000000,0)</f>
        <v>0</v>
      </c>
      <c r="AC1491" s="40">
        <f>IF(AND($C1491="Despesa",U1491&gt;0,U1491&lt;=Sel_Idx,V1491&gt;=Sel_Idx),Z1491*10000+ROW(),0)</f>
        <v>0</v>
      </c>
      <c r="AD1491" s="40">
        <f>IF(AC1491=0,0,COUNTIFS(L_CalChave,"&gt;0",L_CalChave,"&lt;"&amp;AC1491)+1)</f>
        <v>0</v>
      </c>
    </row>
    <row r="1492">
      <c r="A1492" s="38" t="n"/>
      <c r="B1492" s="39" t="n"/>
      <c r="C1492" s="34" t="n"/>
      <c r="D1492" s="34" t="n"/>
      <c r="E1492" s="34" t="n"/>
      <c r="F1492" s="34" t="n"/>
      <c r="G1492" s="34" t="n"/>
      <c r="H1492" s="37" t="n"/>
      <c r="I1492" s="37" t="n"/>
      <c r="J1492" s="34" t="n"/>
      <c r="K1492" s="34" t="n"/>
      <c r="L1492" s="34" t="n"/>
      <c r="M1492" s="39" t="n"/>
      <c r="N1492" s="35" t="n"/>
      <c r="O1492" s="40" t="str">
        <f>IF($A1492="","",MONTH($A1492))</f>
        <v/>
      </c>
      <c r="P1492" s="40" t="str">
        <f>IF($A1492="","",YEAR($A1492))</f>
        <v/>
      </c>
      <c r="Q1492" s="41" t="str">
        <f>IF($A1492="","",DATE(P1492,O1492,1))</f>
        <v/>
      </c>
      <c r="R1492" s="36" t="str">
        <f>IF(OR($A1492="",$N1492=""),"",IF(AND($C1492&lt;&gt;"Transferência",N($I1492)&gt;1),$N1492/$I1492,$N1492))</f>
        <v/>
      </c>
      <c r="S1492" s="41" t="str">
        <f>IF(OR($A1492="",$F1492="",$C1492&lt;&gt;"Despesa"),"",IF(COUNTIF(Cartoes_Nome,$F1492)=0,"",DATE(P1492,O1492+IF(DAY($A1492)&gt;=INDEX(Cartoes_Fech,MATCH($F1492,Cartoes_Nome,0)),1,0),1)))</f>
        <v/>
      </c>
      <c r="T1492" s="42" t="str">
        <f>IF($A1492="","",IF(COUNTIFS(L_Data,$A1492,L_Desc,$B1492,L_Valor,$N1492,L_Tipo,$C1492)&gt;1,"⚠ Possível duplicidade",IF(OR(AND($C1492="Despesa",COUNTIF(CatD_Nome,$D1492)=0),AND($C1492="Receita",COUNTIF(CatR_Nome,$D1492)=0)),"⚠ Categoria não combina com o tipo",IF(OR($N1492="",$C1492=""),"⚠ Falta valor ou tipo",""))))</f>
        <v/>
      </c>
      <c r="U1492" s="40">
        <f>IF($A1492="",0,P1492*12+O1492)</f>
        <v>0</v>
      </c>
      <c r="V1492" s="40">
        <f>IF($A1492="",0,U1492+MAX(0,N($I1492)-MAX(N($H1492),1)))</f>
        <v>0</v>
      </c>
      <c r="W1492" s="40">
        <f>IF(S1492="",0,YEAR(S1492)*12+MONTH(S1492))</f>
        <v>0</v>
      </c>
      <c r="X1492" s="40">
        <f>IF(W1492=0,0,W1492+V1492-U1492)</f>
        <v>0</v>
      </c>
      <c r="Y1492" s="36">
        <f>IF(W1492=0,0,N(R1492)*MAX(0,X1492-MAX(W1492,YEAR(Cfg_Hoje)*12+MONTH(Cfg_Hoje)+IF(DAY(Cfg_Hoje)&gt;=INDEX(Cartoes_Fech,MATCH($F1492,Cartoes_Nome,0)),1,0))+1))</f>
        <v>0</v>
      </c>
      <c r="Z1492" s="40">
        <f>IF($A1492="",0,DAY($A1492))</f>
        <v>0</v>
      </c>
      <c r="AA1492" s="40">
        <f>IF($A1492="",0,WEEKDAY($A1492))</f>
        <v>0</v>
      </c>
      <c r="AB1492" s="36">
        <f>IF(AND($C1492="Despesa",U1492&gt;0,U1492&lt;=Sel_Idx,V1492&gt;=Sel_Idx),N(R1492)+ROW()/1000000000,0)</f>
        <v>0</v>
      </c>
      <c r="AC1492" s="40">
        <f>IF(AND($C1492="Despesa",U1492&gt;0,U1492&lt;=Sel_Idx,V1492&gt;=Sel_Idx),Z1492*10000+ROW(),0)</f>
        <v>0</v>
      </c>
      <c r="AD1492" s="40">
        <f>IF(AC1492=0,0,COUNTIFS(L_CalChave,"&gt;0",L_CalChave,"&lt;"&amp;AC1492)+1)</f>
        <v>0</v>
      </c>
    </row>
    <row r="1493">
      <c r="A1493" s="38" t="n"/>
      <c r="B1493" s="39" t="n"/>
      <c r="C1493" s="34" t="n"/>
      <c r="D1493" s="34" t="n"/>
      <c r="E1493" s="34" t="n"/>
      <c r="F1493" s="34" t="n"/>
      <c r="G1493" s="34" t="n"/>
      <c r="H1493" s="37" t="n"/>
      <c r="I1493" s="37" t="n"/>
      <c r="J1493" s="34" t="n"/>
      <c r="K1493" s="34" t="n"/>
      <c r="L1493" s="34" t="n"/>
      <c r="M1493" s="39" t="n"/>
      <c r="N1493" s="35" t="n"/>
      <c r="O1493" s="40" t="str">
        <f>IF($A1493="","",MONTH($A1493))</f>
        <v/>
      </c>
      <c r="P1493" s="40" t="str">
        <f>IF($A1493="","",YEAR($A1493))</f>
        <v/>
      </c>
      <c r="Q1493" s="41" t="str">
        <f>IF($A1493="","",DATE(P1493,O1493,1))</f>
        <v/>
      </c>
      <c r="R1493" s="36" t="str">
        <f>IF(OR($A1493="",$N1493=""),"",IF(AND($C1493&lt;&gt;"Transferência",N($I1493)&gt;1),$N1493/$I1493,$N1493))</f>
        <v/>
      </c>
      <c r="S1493" s="41" t="str">
        <f>IF(OR($A1493="",$F1493="",$C1493&lt;&gt;"Despesa"),"",IF(COUNTIF(Cartoes_Nome,$F1493)=0,"",DATE(P1493,O1493+IF(DAY($A1493)&gt;=INDEX(Cartoes_Fech,MATCH($F1493,Cartoes_Nome,0)),1,0),1)))</f>
        <v/>
      </c>
      <c r="T1493" s="42" t="str">
        <f>IF($A1493="","",IF(COUNTIFS(L_Data,$A1493,L_Desc,$B1493,L_Valor,$N1493,L_Tipo,$C1493)&gt;1,"⚠ Possível duplicidade",IF(OR(AND($C1493="Despesa",COUNTIF(CatD_Nome,$D1493)=0),AND($C1493="Receita",COUNTIF(CatR_Nome,$D1493)=0)),"⚠ Categoria não combina com o tipo",IF(OR($N1493="",$C1493=""),"⚠ Falta valor ou tipo",""))))</f>
        <v/>
      </c>
      <c r="U1493" s="40">
        <f>IF($A1493="",0,P1493*12+O1493)</f>
        <v>0</v>
      </c>
      <c r="V1493" s="40">
        <f>IF($A1493="",0,U1493+MAX(0,N($I1493)-MAX(N($H1493),1)))</f>
        <v>0</v>
      </c>
      <c r="W1493" s="40">
        <f>IF(S1493="",0,YEAR(S1493)*12+MONTH(S1493))</f>
        <v>0</v>
      </c>
      <c r="X1493" s="40">
        <f>IF(W1493=0,0,W1493+V1493-U1493)</f>
        <v>0</v>
      </c>
      <c r="Y1493" s="36">
        <f>IF(W1493=0,0,N(R1493)*MAX(0,X1493-MAX(W1493,YEAR(Cfg_Hoje)*12+MONTH(Cfg_Hoje)+IF(DAY(Cfg_Hoje)&gt;=INDEX(Cartoes_Fech,MATCH($F1493,Cartoes_Nome,0)),1,0))+1))</f>
        <v>0</v>
      </c>
      <c r="Z1493" s="40">
        <f>IF($A1493="",0,DAY($A1493))</f>
        <v>0</v>
      </c>
      <c r="AA1493" s="40">
        <f>IF($A1493="",0,WEEKDAY($A1493))</f>
        <v>0</v>
      </c>
      <c r="AB1493" s="36">
        <f>IF(AND($C1493="Despesa",U1493&gt;0,U1493&lt;=Sel_Idx,V1493&gt;=Sel_Idx),N(R1493)+ROW()/1000000000,0)</f>
        <v>0</v>
      </c>
      <c r="AC1493" s="40">
        <f>IF(AND($C1493="Despesa",U1493&gt;0,U1493&lt;=Sel_Idx,V1493&gt;=Sel_Idx),Z1493*10000+ROW(),0)</f>
        <v>0</v>
      </c>
      <c r="AD1493" s="40">
        <f>IF(AC1493=0,0,COUNTIFS(L_CalChave,"&gt;0",L_CalChave,"&lt;"&amp;AC1493)+1)</f>
        <v>0</v>
      </c>
    </row>
    <row r="1494">
      <c r="A1494" s="38" t="n"/>
      <c r="B1494" s="39" t="n"/>
      <c r="C1494" s="34" t="n"/>
      <c r="D1494" s="34" t="n"/>
      <c r="E1494" s="34" t="n"/>
      <c r="F1494" s="34" t="n"/>
      <c r="G1494" s="34" t="n"/>
      <c r="H1494" s="37" t="n"/>
      <c r="I1494" s="37" t="n"/>
      <c r="J1494" s="34" t="n"/>
      <c r="K1494" s="34" t="n"/>
      <c r="L1494" s="34" t="n"/>
      <c r="M1494" s="39" t="n"/>
      <c r="N1494" s="35" t="n"/>
      <c r="O1494" s="40" t="str">
        <f>IF($A1494="","",MONTH($A1494))</f>
        <v/>
      </c>
      <c r="P1494" s="40" t="str">
        <f>IF($A1494="","",YEAR($A1494))</f>
        <v/>
      </c>
      <c r="Q1494" s="41" t="str">
        <f>IF($A1494="","",DATE(P1494,O1494,1))</f>
        <v/>
      </c>
      <c r="R1494" s="36" t="str">
        <f>IF(OR($A1494="",$N1494=""),"",IF(AND($C1494&lt;&gt;"Transferência",N($I1494)&gt;1),$N1494/$I1494,$N1494))</f>
        <v/>
      </c>
      <c r="S1494" s="41" t="str">
        <f>IF(OR($A1494="",$F1494="",$C1494&lt;&gt;"Despesa"),"",IF(COUNTIF(Cartoes_Nome,$F1494)=0,"",DATE(P1494,O1494+IF(DAY($A1494)&gt;=INDEX(Cartoes_Fech,MATCH($F1494,Cartoes_Nome,0)),1,0),1)))</f>
        <v/>
      </c>
      <c r="T1494" s="42" t="str">
        <f>IF($A1494="","",IF(COUNTIFS(L_Data,$A1494,L_Desc,$B1494,L_Valor,$N1494,L_Tipo,$C1494)&gt;1,"⚠ Possível duplicidade",IF(OR(AND($C1494="Despesa",COUNTIF(CatD_Nome,$D1494)=0),AND($C1494="Receita",COUNTIF(CatR_Nome,$D1494)=0)),"⚠ Categoria não combina com o tipo",IF(OR($N1494="",$C1494=""),"⚠ Falta valor ou tipo",""))))</f>
        <v/>
      </c>
      <c r="U1494" s="40">
        <f>IF($A1494="",0,P1494*12+O1494)</f>
        <v>0</v>
      </c>
      <c r="V1494" s="40">
        <f>IF($A1494="",0,U1494+MAX(0,N($I1494)-MAX(N($H1494),1)))</f>
        <v>0</v>
      </c>
      <c r="W1494" s="40">
        <f>IF(S1494="",0,YEAR(S1494)*12+MONTH(S1494))</f>
        <v>0</v>
      </c>
      <c r="X1494" s="40">
        <f>IF(W1494=0,0,W1494+V1494-U1494)</f>
        <v>0</v>
      </c>
      <c r="Y1494" s="36">
        <f>IF(W1494=0,0,N(R1494)*MAX(0,X1494-MAX(W1494,YEAR(Cfg_Hoje)*12+MONTH(Cfg_Hoje)+IF(DAY(Cfg_Hoje)&gt;=INDEX(Cartoes_Fech,MATCH($F1494,Cartoes_Nome,0)),1,0))+1))</f>
        <v>0</v>
      </c>
      <c r="Z1494" s="40">
        <f>IF($A1494="",0,DAY($A1494))</f>
        <v>0</v>
      </c>
      <c r="AA1494" s="40">
        <f>IF($A1494="",0,WEEKDAY($A1494))</f>
        <v>0</v>
      </c>
      <c r="AB1494" s="36">
        <f>IF(AND($C1494="Despesa",U1494&gt;0,U1494&lt;=Sel_Idx,V1494&gt;=Sel_Idx),N(R1494)+ROW()/1000000000,0)</f>
        <v>0</v>
      </c>
      <c r="AC1494" s="40">
        <f>IF(AND($C1494="Despesa",U1494&gt;0,U1494&lt;=Sel_Idx,V1494&gt;=Sel_Idx),Z1494*10000+ROW(),0)</f>
        <v>0</v>
      </c>
      <c r="AD1494" s="40">
        <f>IF(AC1494=0,0,COUNTIFS(L_CalChave,"&gt;0",L_CalChave,"&lt;"&amp;AC1494)+1)</f>
        <v>0</v>
      </c>
    </row>
    <row r="1495">
      <c r="A1495" s="38" t="n"/>
      <c r="B1495" s="39" t="n"/>
      <c r="C1495" s="34" t="n"/>
      <c r="D1495" s="34" t="n"/>
      <c r="E1495" s="34" t="n"/>
      <c r="F1495" s="34" t="n"/>
      <c r="G1495" s="34" t="n"/>
      <c r="H1495" s="37" t="n"/>
      <c r="I1495" s="37" t="n"/>
      <c r="J1495" s="34" t="n"/>
      <c r="K1495" s="34" t="n"/>
      <c r="L1495" s="34" t="n"/>
      <c r="M1495" s="39" t="n"/>
      <c r="N1495" s="35" t="n"/>
      <c r="O1495" s="40" t="str">
        <f>IF($A1495="","",MONTH($A1495))</f>
        <v/>
      </c>
      <c r="P1495" s="40" t="str">
        <f>IF($A1495="","",YEAR($A1495))</f>
        <v/>
      </c>
      <c r="Q1495" s="41" t="str">
        <f>IF($A1495="","",DATE(P1495,O1495,1))</f>
        <v/>
      </c>
      <c r="R1495" s="36" t="str">
        <f>IF(OR($A1495="",$N1495=""),"",IF(AND($C1495&lt;&gt;"Transferência",N($I1495)&gt;1),$N1495/$I1495,$N1495))</f>
        <v/>
      </c>
      <c r="S1495" s="41" t="str">
        <f>IF(OR($A1495="",$F1495="",$C1495&lt;&gt;"Despesa"),"",IF(COUNTIF(Cartoes_Nome,$F1495)=0,"",DATE(P1495,O1495+IF(DAY($A1495)&gt;=INDEX(Cartoes_Fech,MATCH($F1495,Cartoes_Nome,0)),1,0),1)))</f>
        <v/>
      </c>
      <c r="T1495" s="42" t="str">
        <f>IF($A1495="","",IF(COUNTIFS(L_Data,$A1495,L_Desc,$B1495,L_Valor,$N1495,L_Tipo,$C1495)&gt;1,"⚠ Possível duplicidade",IF(OR(AND($C1495="Despesa",COUNTIF(CatD_Nome,$D1495)=0),AND($C1495="Receita",COUNTIF(CatR_Nome,$D1495)=0)),"⚠ Categoria não combina com o tipo",IF(OR($N1495="",$C1495=""),"⚠ Falta valor ou tipo",""))))</f>
        <v/>
      </c>
      <c r="U1495" s="40">
        <f>IF($A1495="",0,P1495*12+O1495)</f>
        <v>0</v>
      </c>
      <c r="V1495" s="40">
        <f>IF($A1495="",0,U1495+MAX(0,N($I1495)-MAX(N($H1495),1)))</f>
        <v>0</v>
      </c>
      <c r="W1495" s="40">
        <f>IF(S1495="",0,YEAR(S1495)*12+MONTH(S1495))</f>
        <v>0</v>
      </c>
      <c r="X1495" s="40">
        <f>IF(W1495=0,0,W1495+V1495-U1495)</f>
        <v>0</v>
      </c>
      <c r="Y1495" s="36">
        <f>IF(W1495=0,0,N(R1495)*MAX(0,X1495-MAX(W1495,YEAR(Cfg_Hoje)*12+MONTH(Cfg_Hoje)+IF(DAY(Cfg_Hoje)&gt;=INDEX(Cartoes_Fech,MATCH($F1495,Cartoes_Nome,0)),1,0))+1))</f>
        <v>0</v>
      </c>
      <c r="Z1495" s="40">
        <f>IF($A1495="",0,DAY($A1495))</f>
        <v>0</v>
      </c>
      <c r="AA1495" s="40">
        <f>IF($A1495="",0,WEEKDAY($A1495))</f>
        <v>0</v>
      </c>
      <c r="AB1495" s="36">
        <f>IF(AND($C1495="Despesa",U1495&gt;0,U1495&lt;=Sel_Idx,V1495&gt;=Sel_Idx),N(R1495)+ROW()/1000000000,0)</f>
        <v>0</v>
      </c>
      <c r="AC1495" s="40">
        <f>IF(AND($C1495="Despesa",U1495&gt;0,U1495&lt;=Sel_Idx,V1495&gt;=Sel_Idx),Z1495*10000+ROW(),0)</f>
        <v>0</v>
      </c>
      <c r="AD1495" s="40">
        <f>IF(AC1495=0,0,COUNTIFS(L_CalChave,"&gt;0",L_CalChave,"&lt;"&amp;AC1495)+1)</f>
        <v>0</v>
      </c>
    </row>
    <row r="1496">
      <c r="A1496" s="38" t="n"/>
      <c r="B1496" s="39" t="n"/>
      <c r="C1496" s="34" t="n"/>
      <c r="D1496" s="34" t="n"/>
      <c r="E1496" s="34" t="n"/>
      <c r="F1496" s="34" t="n"/>
      <c r="G1496" s="34" t="n"/>
      <c r="H1496" s="37" t="n"/>
      <c r="I1496" s="37" t="n"/>
      <c r="J1496" s="34" t="n"/>
      <c r="K1496" s="34" t="n"/>
      <c r="L1496" s="34" t="n"/>
      <c r="M1496" s="39" t="n"/>
      <c r="N1496" s="35" t="n"/>
      <c r="O1496" s="40" t="str">
        <f>IF($A1496="","",MONTH($A1496))</f>
        <v/>
      </c>
      <c r="P1496" s="40" t="str">
        <f>IF($A1496="","",YEAR($A1496))</f>
        <v/>
      </c>
      <c r="Q1496" s="41" t="str">
        <f>IF($A1496="","",DATE(P1496,O1496,1))</f>
        <v/>
      </c>
      <c r="R1496" s="36" t="str">
        <f>IF(OR($A1496="",$N1496=""),"",IF(AND($C1496&lt;&gt;"Transferência",N($I1496)&gt;1),$N1496/$I1496,$N1496))</f>
        <v/>
      </c>
      <c r="S1496" s="41" t="str">
        <f>IF(OR($A1496="",$F1496="",$C1496&lt;&gt;"Despesa"),"",IF(COUNTIF(Cartoes_Nome,$F1496)=0,"",DATE(P1496,O1496+IF(DAY($A1496)&gt;=INDEX(Cartoes_Fech,MATCH($F1496,Cartoes_Nome,0)),1,0),1)))</f>
        <v/>
      </c>
      <c r="T1496" s="42" t="str">
        <f>IF($A1496="","",IF(COUNTIFS(L_Data,$A1496,L_Desc,$B1496,L_Valor,$N1496,L_Tipo,$C1496)&gt;1,"⚠ Possível duplicidade",IF(OR(AND($C1496="Despesa",COUNTIF(CatD_Nome,$D1496)=0),AND($C1496="Receita",COUNTIF(CatR_Nome,$D1496)=0)),"⚠ Categoria não combina com o tipo",IF(OR($N1496="",$C1496=""),"⚠ Falta valor ou tipo",""))))</f>
        <v/>
      </c>
      <c r="U1496" s="40">
        <f>IF($A1496="",0,P1496*12+O1496)</f>
        <v>0</v>
      </c>
      <c r="V1496" s="40">
        <f>IF($A1496="",0,U1496+MAX(0,N($I1496)-MAX(N($H1496),1)))</f>
        <v>0</v>
      </c>
      <c r="W1496" s="40">
        <f>IF(S1496="",0,YEAR(S1496)*12+MONTH(S1496))</f>
        <v>0</v>
      </c>
      <c r="X1496" s="40">
        <f>IF(W1496=0,0,W1496+V1496-U1496)</f>
        <v>0</v>
      </c>
      <c r="Y1496" s="36">
        <f>IF(W1496=0,0,N(R1496)*MAX(0,X1496-MAX(W1496,YEAR(Cfg_Hoje)*12+MONTH(Cfg_Hoje)+IF(DAY(Cfg_Hoje)&gt;=INDEX(Cartoes_Fech,MATCH($F1496,Cartoes_Nome,0)),1,0))+1))</f>
        <v>0</v>
      </c>
      <c r="Z1496" s="40">
        <f>IF($A1496="",0,DAY($A1496))</f>
        <v>0</v>
      </c>
      <c r="AA1496" s="40">
        <f>IF($A1496="",0,WEEKDAY($A1496))</f>
        <v>0</v>
      </c>
      <c r="AB1496" s="36">
        <f>IF(AND($C1496="Despesa",U1496&gt;0,U1496&lt;=Sel_Idx,V1496&gt;=Sel_Idx),N(R1496)+ROW()/1000000000,0)</f>
        <v>0</v>
      </c>
      <c r="AC1496" s="40">
        <f>IF(AND($C1496="Despesa",U1496&gt;0,U1496&lt;=Sel_Idx,V1496&gt;=Sel_Idx),Z1496*10000+ROW(),0)</f>
        <v>0</v>
      </c>
      <c r="AD1496" s="40">
        <f>IF(AC1496=0,0,COUNTIFS(L_CalChave,"&gt;0",L_CalChave,"&lt;"&amp;AC1496)+1)</f>
        <v>0</v>
      </c>
    </row>
    <row r="1497">
      <c r="A1497" s="38" t="n"/>
      <c r="B1497" s="39" t="n"/>
      <c r="C1497" s="34" t="n"/>
      <c r="D1497" s="34" t="n"/>
      <c r="E1497" s="34" t="n"/>
      <c r="F1497" s="34" t="n"/>
      <c r="G1497" s="34" t="n"/>
      <c r="H1497" s="37" t="n"/>
      <c r="I1497" s="37" t="n"/>
      <c r="J1497" s="34" t="n"/>
      <c r="K1497" s="34" t="n"/>
      <c r="L1497" s="34" t="n"/>
      <c r="M1497" s="39" t="n"/>
      <c r="N1497" s="35" t="n"/>
      <c r="O1497" s="40" t="str">
        <f>IF($A1497="","",MONTH($A1497))</f>
        <v/>
      </c>
      <c r="P1497" s="40" t="str">
        <f>IF($A1497="","",YEAR($A1497))</f>
        <v/>
      </c>
      <c r="Q1497" s="41" t="str">
        <f>IF($A1497="","",DATE(P1497,O1497,1))</f>
        <v/>
      </c>
      <c r="R1497" s="36" t="str">
        <f>IF(OR($A1497="",$N1497=""),"",IF(AND($C1497&lt;&gt;"Transferência",N($I1497)&gt;1),$N1497/$I1497,$N1497))</f>
        <v/>
      </c>
      <c r="S1497" s="41" t="str">
        <f>IF(OR($A1497="",$F1497="",$C1497&lt;&gt;"Despesa"),"",IF(COUNTIF(Cartoes_Nome,$F1497)=0,"",DATE(P1497,O1497+IF(DAY($A1497)&gt;=INDEX(Cartoes_Fech,MATCH($F1497,Cartoes_Nome,0)),1,0),1)))</f>
        <v/>
      </c>
      <c r="T1497" s="42" t="str">
        <f>IF($A1497="","",IF(COUNTIFS(L_Data,$A1497,L_Desc,$B1497,L_Valor,$N1497,L_Tipo,$C1497)&gt;1,"⚠ Possível duplicidade",IF(OR(AND($C1497="Despesa",COUNTIF(CatD_Nome,$D1497)=0),AND($C1497="Receita",COUNTIF(CatR_Nome,$D1497)=0)),"⚠ Categoria não combina com o tipo",IF(OR($N1497="",$C1497=""),"⚠ Falta valor ou tipo",""))))</f>
        <v/>
      </c>
      <c r="U1497" s="40">
        <f>IF($A1497="",0,P1497*12+O1497)</f>
        <v>0</v>
      </c>
      <c r="V1497" s="40">
        <f>IF($A1497="",0,U1497+MAX(0,N($I1497)-MAX(N($H1497),1)))</f>
        <v>0</v>
      </c>
      <c r="W1497" s="40">
        <f>IF(S1497="",0,YEAR(S1497)*12+MONTH(S1497))</f>
        <v>0</v>
      </c>
      <c r="X1497" s="40">
        <f>IF(W1497=0,0,W1497+V1497-U1497)</f>
        <v>0</v>
      </c>
      <c r="Y1497" s="36">
        <f>IF(W1497=0,0,N(R1497)*MAX(0,X1497-MAX(W1497,YEAR(Cfg_Hoje)*12+MONTH(Cfg_Hoje)+IF(DAY(Cfg_Hoje)&gt;=INDEX(Cartoes_Fech,MATCH($F1497,Cartoes_Nome,0)),1,0))+1))</f>
        <v>0</v>
      </c>
      <c r="Z1497" s="40">
        <f>IF($A1497="",0,DAY($A1497))</f>
        <v>0</v>
      </c>
      <c r="AA1497" s="40">
        <f>IF($A1497="",0,WEEKDAY($A1497))</f>
        <v>0</v>
      </c>
      <c r="AB1497" s="36">
        <f>IF(AND($C1497="Despesa",U1497&gt;0,U1497&lt;=Sel_Idx,V1497&gt;=Sel_Idx),N(R1497)+ROW()/1000000000,0)</f>
        <v>0</v>
      </c>
      <c r="AC1497" s="40">
        <f>IF(AND($C1497="Despesa",U1497&gt;0,U1497&lt;=Sel_Idx,V1497&gt;=Sel_Idx),Z1497*10000+ROW(),0)</f>
        <v>0</v>
      </c>
      <c r="AD1497" s="40">
        <f>IF(AC1497=0,0,COUNTIFS(L_CalChave,"&gt;0",L_CalChave,"&lt;"&amp;AC1497)+1)</f>
        <v>0</v>
      </c>
    </row>
    <row r="1498">
      <c r="A1498" s="38" t="n"/>
      <c r="B1498" s="39" t="n"/>
      <c r="C1498" s="34" t="n"/>
      <c r="D1498" s="34" t="n"/>
      <c r="E1498" s="34" t="n"/>
      <c r="F1498" s="34" t="n"/>
      <c r="G1498" s="34" t="n"/>
      <c r="H1498" s="37" t="n"/>
      <c r="I1498" s="37" t="n"/>
      <c r="J1498" s="34" t="n"/>
      <c r="K1498" s="34" t="n"/>
      <c r="L1498" s="34" t="n"/>
      <c r="M1498" s="39" t="n"/>
      <c r="N1498" s="35" t="n"/>
      <c r="O1498" s="40" t="str">
        <f>IF($A1498="","",MONTH($A1498))</f>
        <v/>
      </c>
      <c r="P1498" s="40" t="str">
        <f>IF($A1498="","",YEAR($A1498))</f>
        <v/>
      </c>
      <c r="Q1498" s="41" t="str">
        <f>IF($A1498="","",DATE(P1498,O1498,1))</f>
        <v/>
      </c>
      <c r="R1498" s="36" t="str">
        <f>IF(OR($A1498="",$N1498=""),"",IF(AND($C1498&lt;&gt;"Transferência",N($I1498)&gt;1),$N1498/$I1498,$N1498))</f>
        <v/>
      </c>
      <c r="S1498" s="41" t="str">
        <f>IF(OR($A1498="",$F1498="",$C1498&lt;&gt;"Despesa"),"",IF(COUNTIF(Cartoes_Nome,$F1498)=0,"",DATE(P1498,O1498+IF(DAY($A1498)&gt;=INDEX(Cartoes_Fech,MATCH($F1498,Cartoes_Nome,0)),1,0),1)))</f>
        <v/>
      </c>
      <c r="T1498" s="42" t="str">
        <f>IF($A1498="","",IF(COUNTIFS(L_Data,$A1498,L_Desc,$B1498,L_Valor,$N1498,L_Tipo,$C1498)&gt;1,"⚠ Possível duplicidade",IF(OR(AND($C1498="Despesa",COUNTIF(CatD_Nome,$D1498)=0),AND($C1498="Receita",COUNTIF(CatR_Nome,$D1498)=0)),"⚠ Categoria não combina com o tipo",IF(OR($N1498="",$C1498=""),"⚠ Falta valor ou tipo",""))))</f>
        <v/>
      </c>
      <c r="U1498" s="40">
        <f>IF($A1498="",0,P1498*12+O1498)</f>
        <v>0</v>
      </c>
      <c r="V1498" s="40">
        <f>IF($A1498="",0,U1498+MAX(0,N($I1498)-MAX(N($H1498),1)))</f>
        <v>0</v>
      </c>
      <c r="W1498" s="40">
        <f>IF(S1498="",0,YEAR(S1498)*12+MONTH(S1498))</f>
        <v>0</v>
      </c>
      <c r="X1498" s="40">
        <f>IF(W1498=0,0,W1498+V1498-U1498)</f>
        <v>0</v>
      </c>
      <c r="Y1498" s="36">
        <f>IF(W1498=0,0,N(R1498)*MAX(0,X1498-MAX(W1498,YEAR(Cfg_Hoje)*12+MONTH(Cfg_Hoje)+IF(DAY(Cfg_Hoje)&gt;=INDEX(Cartoes_Fech,MATCH($F1498,Cartoes_Nome,0)),1,0))+1))</f>
        <v>0</v>
      </c>
      <c r="Z1498" s="40">
        <f>IF($A1498="",0,DAY($A1498))</f>
        <v>0</v>
      </c>
      <c r="AA1498" s="40">
        <f>IF($A1498="",0,WEEKDAY($A1498))</f>
        <v>0</v>
      </c>
      <c r="AB1498" s="36">
        <f>IF(AND($C1498="Despesa",U1498&gt;0,U1498&lt;=Sel_Idx,V1498&gt;=Sel_Idx),N(R1498)+ROW()/1000000000,0)</f>
        <v>0</v>
      </c>
      <c r="AC1498" s="40">
        <f>IF(AND($C1498="Despesa",U1498&gt;0,U1498&lt;=Sel_Idx,V1498&gt;=Sel_Idx),Z1498*10000+ROW(),0)</f>
        <v>0</v>
      </c>
      <c r="AD1498" s="40">
        <f>IF(AC1498=0,0,COUNTIFS(L_CalChave,"&gt;0",L_CalChave,"&lt;"&amp;AC1498)+1)</f>
        <v>0</v>
      </c>
    </row>
    <row r="1499">
      <c r="A1499" s="38" t="n"/>
      <c r="B1499" s="39" t="n"/>
      <c r="C1499" s="34" t="n"/>
      <c r="D1499" s="34" t="n"/>
      <c r="E1499" s="34" t="n"/>
      <c r="F1499" s="34" t="n"/>
      <c r="G1499" s="34" t="n"/>
      <c r="H1499" s="37" t="n"/>
      <c r="I1499" s="37" t="n"/>
      <c r="J1499" s="34" t="n"/>
      <c r="K1499" s="34" t="n"/>
      <c r="L1499" s="34" t="n"/>
      <c r="M1499" s="39" t="n"/>
      <c r="N1499" s="35" t="n"/>
      <c r="O1499" s="40" t="str">
        <f>IF($A1499="","",MONTH($A1499))</f>
        <v/>
      </c>
      <c r="P1499" s="40" t="str">
        <f>IF($A1499="","",YEAR($A1499))</f>
        <v/>
      </c>
      <c r="Q1499" s="41" t="str">
        <f>IF($A1499="","",DATE(P1499,O1499,1))</f>
        <v/>
      </c>
      <c r="R1499" s="36" t="str">
        <f>IF(OR($A1499="",$N1499=""),"",IF(AND($C1499&lt;&gt;"Transferência",N($I1499)&gt;1),$N1499/$I1499,$N1499))</f>
        <v/>
      </c>
      <c r="S1499" s="41" t="str">
        <f>IF(OR($A1499="",$F1499="",$C1499&lt;&gt;"Despesa"),"",IF(COUNTIF(Cartoes_Nome,$F1499)=0,"",DATE(P1499,O1499+IF(DAY($A1499)&gt;=INDEX(Cartoes_Fech,MATCH($F1499,Cartoes_Nome,0)),1,0),1)))</f>
        <v/>
      </c>
      <c r="T1499" s="42" t="str">
        <f>IF($A1499="","",IF(COUNTIFS(L_Data,$A1499,L_Desc,$B1499,L_Valor,$N1499,L_Tipo,$C1499)&gt;1,"⚠ Possível duplicidade",IF(OR(AND($C1499="Despesa",COUNTIF(CatD_Nome,$D1499)=0),AND($C1499="Receita",COUNTIF(CatR_Nome,$D1499)=0)),"⚠ Categoria não combina com o tipo",IF(OR($N1499="",$C1499=""),"⚠ Falta valor ou tipo",""))))</f>
        <v/>
      </c>
      <c r="U1499" s="40">
        <f>IF($A1499="",0,P1499*12+O1499)</f>
        <v>0</v>
      </c>
      <c r="V1499" s="40">
        <f>IF($A1499="",0,U1499+MAX(0,N($I1499)-MAX(N($H1499),1)))</f>
        <v>0</v>
      </c>
      <c r="W1499" s="40">
        <f>IF(S1499="",0,YEAR(S1499)*12+MONTH(S1499))</f>
        <v>0</v>
      </c>
      <c r="X1499" s="40">
        <f>IF(W1499=0,0,W1499+V1499-U1499)</f>
        <v>0</v>
      </c>
      <c r="Y1499" s="36">
        <f>IF(W1499=0,0,N(R1499)*MAX(0,X1499-MAX(W1499,YEAR(Cfg_Hoje)*12+MONTH(Cfg_Hoje)+IF(DAY(Cfg_Hoje)&gt;=INDEX(Cartoes_Fech,MATCH($F1499,Cartoes_Nome,0)),1,0))+1))</f>
        <v>0</v>
      </c>
      <c r="Z1499" s="40">
        <f>IF($A1499="",0,DAY($A1499))</f>
        <v>0</v>
      </c>
      <c r="AA1499" s="40">
        <f>IF($A1499="",0,WEEKDAY($A1499))</f>
        <v>0</v>
      </c>
      <c r="AB1499" s="36">
        <f>IF(AND($C1499="Despesa",U1499&gt;0,U1499&lt;=Sel_Idx,V1499&gt;=Sel_Idx),N(R1499)+ROW()/1000000000,0)</f>
        <v>0</v>
      </c>
      <c r="AC1499" s="40">
        <f>IF(AND($C1499="Despesa",U1499&gt;0,U1499&lt;=Sel_Idx,V1499&gt;=Sel_Idx),Z1499*10000+ROW(),0)</f>
        <v>0</v>
      </c>
      <c r="AD1499" s="40">
        <f>IF(AC1499=0,0,COUNTIFS(L_CalChave,"&gt;0",L_CalChave,"&lt;"&amp;AC1499)+1)</f>
        <v>0</v>
      </c>
    </row>
    <row r="1500">
      <c r="A1500" s="38" t="n"/>
      <c r="B1500" s="39" t="n"/>
      <c r="C1500" s="34" t="n"/>
      <c r="D1500" s="34" t="n"/>
      <c r="E1500" s="34" t="n"/>
      <c r="F1500" s="34" t="n"/>
      <c r="G1500" s="34" t="n"/>
      <c r="H1500" s="37" t="n"/>
      <c r="I1500" s="37" t="n"/>
      <c r="J1500" s="34" t="n"/>
      <c r="K1500" s="34" t="n"/>
      <c r="L1500" s="34" t="n"/>
      <c r="M1500" s="39" t="n"/>
      <c r="N1500" s="35" t="n"/>
      <c r="O1500" s="40" t="str">
        <f>IF($A1500="","",MONTH($A1500))</f>
        <v/>
      </c>
      <c r="P1500" s="40" t="str">
        <f>IF($A1500="","",YEAR($A1500))</f>
        <v/>
      </c>
      <c r="Q1500" s="41" t="str">
        <f>IF($A1500="","",DATE(P1500,O1500,1))</f>
        <v/>
      </c>
      <c r="R1500" s="36" t="str">
        <f>IF(OR($A1500="",$N1500=""),"",IF(AND($C1500&lt;&gt;"Transferência",N($I1500)&gt;1),$N1500/$I1500,$N1500))</f>
        <v/>
      </c>
      <c r="S1500" s="41" t="str">
        <f>IF(OR($A1500="",$F1500="",$C1500&lt;&gt;"Despesa"),"",IF(COUNTIF(Cartoes_Nome,$F1500)=0,"",DATE(P1500,O1500+IF(DAY($A1500)&gt;=INDEX(Cartoes_Fech,MATCH($F1500,Cartoes_Nome,0)),1,0),1)))</f>
        <v/>
      </c>
      <c r="T1500" s="42" t="str">
        <f>IF($A1500="","",IF(COUNTIFS(L_Data,$A1500,L_Desc,$B1500,L_Valor,$N1500,L_Tipo,$C1500)&gt;1,"⚠ Possível duplicidade",IF(OR(AND($C1500="Despesa",COUNTIF(CatD_Nome,$D1500)=0),AND($C1500="Receita",COUNTIF(CatR_Nome,$D1500)=0)),"⚠ Categoria não combina com o tipo",IF(OR($N1500="",$C1500=""),"⚠ Falta valor ou tipo",""))))</f>
        <v/>
      </c>
      <c r="U1500" s="40">
        <f>IF($A1500="",0,P1500*12+O1500)</f>
        <v>0</v>
      </c>
      <c r="V1500" s="40">
        <f>IF($A1500="",0,U1500+MAX(0,N($I1500)-MAX(N($H1500),1)))</f>
        <v>0</v>
      </c>
      <c r="W1500" s="40">
        <f>IF(S1500="",0,YEAR(S1500)*12+MONTH(S1500))</f>
        <v>0</v>
      </c>
      <c r="X1500" s="40">
        <f>IF(W1500=0,0,W1500+V1500-U1500)</f>
        <v>0</v>
      </c>
      <c r="Y1500" s="36">
        <f>IF(W1500=0,0,N(R1500)*MAX(0,X1500-MAX(W1500,YEAR(Cfg_Hoje)*12+MONTH(Cfg_Hoje)+IF(DAY(Cfg_Hoje)&gt;=INDEX(Cartoes_Fech,MATCH($F1500,Cartoes_Nome,0)),1,0))+1))</f>
        <v>0</v>
      </c>
      <c r="Z1500" s="40">
        <f>IF($A1500="",0,DAY($A1500))</f>
        <v>0</v>
      </c>
      <c r="AA1500" s="40">
        <f>IF($A1500="",0,WEEKDAY($A1500))</f>
        <v>0</v>
      </c>
      <c r="AB1500" s="36">
        <f>IF(AND($C1500="Despesa",U1500&gt;0,U1500&lt;=Sel_Idx,V1500&gt;=Sel_Idx),N(R1500)+ROW()/1000000000,0)</f>
        <v>0</v>
      </c>
      <c r="AC1500" s="40">
        <f>IF(AND($C1500="Despesa",U1500&gt;0,U1500&lt;=Sel_Idx,V1500&gt;=Sel_Idx),Z1500*10000+ROW(),0)</f>
        <v>0</v>
      </c>
      <c r="AD1500" s="40">
        <f>IF(AC1500=0,0,COUNTIFS(L_CalChave,"&gt;0",L_CalChave,"&lt;"&amp;AC1500)+1)</f>
        <v>0</v>
      </c>
    </row>
    <row r="1501">
      <c r="A1501" s="38" t="n"/>
      <c r="B1501" s="39" t="n"/>
      <c r="C1501" s="34" t="n"/>
      <c r="D1501" s="34" t="n"/>
      <c r="E1501" s="34" t="n"/>
      <c r="F1501" s="34" t="n"/>
      <c r="G1501" s="34" t="n"/>
      <c r="H1501" s="37" t="n"/>
      <c r="I1501" s="37" t="n"/>
      <c r="J1501" s="34" t="n"/>
      <c r="K1501" s="34" t="n"/>
      <c r="L1501" s="34" t="n"/>
      <c r="M1501" s="39" t="n"/>
      <c r="N1501" s="35" t="n"/>
      <c r="O1501" s="40" t="str">
        <f>IF($A1501="","",MONTH($A1501))</f>
        <v/>
      </c>
      <c r="P1501" s="40" t="str">
        <f>IF($A1501="","",YEAR($A1501))</f>
        <v/>
      </c>
      <c r="Q1501" s="41" t="str">
        <f>IF($A1501="","",DATE(P1501,O1501,1))</f>
        <v/>
      </c>
      <c r="R1501" s="36" t="str">
        <f>IF(OR($A1501="",$N1501=""),"",IF(AND($C1501&lt;&gt;"Transferência",N($I1501)&gt;1),$N1501/$I1501,$N1501))</f>
        <v/>
      </c>
      <c r="S1501" s="41" t="str">
        <f>IF(OR($A1501="",$F1501="",$C1501&lt;&gt;"Despesa"),"",IF(COUNTIF(Cartoes_Nome,$F1501)=0,"",DATE(P1501,O1501+IF(DAY($A1501)&gt;=INDEX(Cartoes_Fech,MATCH($F1501,Cartoes_Nome,0)),1,0),1)))</f>
        <v/>
      </c>
      <c r="T1501" s="42" t="str">
        <f>IF($A1501="","",IF(COUNTIFS(L_Data,$A1501,L_Desc,$B1501,L_Valor,$N1501,L_Tipo,$C1501)&gt;1,"⚠ Possível duplicidade",IF(OR(AND($C1501="Despesa",COUNTIF(CatD_Nome,$D1501)=0),AND($C1501="Receita",COUNTIF(CatR_Nome,$D1501)=0)),"⚠ Categoria não combina com o tipo",IF(OR($N1501="",$C1501=""),"⚠ Falta valor ou tipo",""))))</f>
        <v/>
      </c>
      <c r="U1501" s="40">
        <f>IF($A1501="",0,P1501*12+O1501)</f>
        <v>0</v>
      </c>
      <c r="V1501" s="40">
        <f>IF($A1501="",0,U1501+MAX(0,N($I1501)-MAX(N($H1501),1)))</f>
        <v>0</v>
      </c>
      <c r="W1501" s="40">
        <f>IF(S1501="",0,YEAR(S1501)*12+MONTH(S1501))</f>
        <v>0</v>
      </c>
      <c r="X1501" s="40">
        <f>IF(W1501=0,0,W1501+V1501-U1501)</f>
        <v>0</v>
      </c>
      <c r="Y1501" s="36">
        <f>IF(W1501=0,0,N(R1501)*MAX(0,X1501-MAX(W1501,YEAR(Cfg_Hoje)*12+MONTH(Cfg_Hoje)+IF(DAY(Cfg_Hoje)&gt;=INDEX(Cartoes_Fech,MATCH($F1501,Cartoes_Nome,0)),1,0))+1))</f>
        <v>0</v>
      </c>
      <c r="Z1501" s="40">
        <f>IF($A1501="",0,DAY($A1501))</f>
        <v>0</v>
      </c>
      <c r="AA1501" s="40">
        <f>IF($A1501="",0,WEEKDAY($A1501))</f>
        <v>0</v>
      </c>
      <c r="AB1501" s="36">
        <f>IF(AND($C1501="Despesa",U1501&gt;0,U1501&lt;=Sel_Idx,V1501&gt;=Sel_Idx),N(R1501)+ROW()/1000000000,0)</f>
        <v>0</v>
      </c>
      <c r="AC1501" s="40">
        <f>IF(AND($C1501="Despesa",U1501&gt;0,U1501&lt;=Sel_Idx,V1501&gt;=Sel_Idx),Z1501*10000+ROW(),0)</f>
        <v>0</v>
      </c>
      <c r="AD1501" s="40">
        <f>IF(AC1501=0,0,COUNTIFS(L_CalChave,"&gt;0",L_CalChave,"&lt;"&amp;AC1501)+1)</f>
        <v>0</v>
      </c>
    </row>
    <row r="1502">
      <c r="A1502" s="38" t="n"/>
      <c r="B1502" s="39" t="n"/>
      <c r="C1502" s="34" t="n"/>
      <c r="D1502" s="34" t="n"/>
      <c r="E1502" s="34" t="n"/>
      <c r="F1502" s="34" t="n"/>
      <c r="G1502" s="34" t="n"/>
      <c r="H1502" s="37" t="n"/>
      <c r="I1502" s="37" t="n"/>
      <c r="J1502" s="34" t="n"/>
      <c r="K1502" s="34" t="n"/>
      <c r="L1502" s="34" t="n"/>
      <c r="M1502" s="39" t="n"/>
      <c r="N1502" s="35" t="n"/>
      <c r="O1502" s="40" t="str">
        <f>IF($A1502="","",MONTH($A1502))</f>
        <v/>
      </c>
      <c r="P1502" s="40" t="str">
        <f>IF($A1502="","",YEAR($A1502))</f>
        <v/>
      </c>
      <c r="Q1502" s="41" t="str">
        <f>IF($A1502="","",DATE(P1502,O1502,1))</f>
        <v/>
      </c>
      <c r="R1502" s="36" t="str">
        <f>IF(OR($A1502="",$N1502=""),"",IF(AND($C1502&lt;&gt;"Transferência",N($I1502)&gt;1),$N1502/$I1502,$N1502))</f>
        <v/>
      </c>
      <c r="S1502" s="41" t="str">
        <f>IF(OR($A1502="",$F1502="",$C1502&lt;&gt;"Despesa"),"",IF(COUNTIF(Cartoes_Nome,$F1502)=0,"",DATE(P1502,O1502+IF(DAY($A1502)&gt;=INDEX(Cartoes_Fech,MATCH($F1502,Cartoes_Nome,0)),1,0),1)))</f>
        <v/>
      </c>
      <c r="T1502" s="42" t="str">
        <f>IF($A1502="","",IF(COUNTIFS(L_Data,$A1502,L_Desc,$B1502,L_Valor,$N1502,L_Tipo,$C1502)&gt;1,"⚠ Possível duplicidade",IF(OR(AND($C1502="Despesa",COUNTIF(CatD_Nome,$D1502)=0),AND($C1502="Receita",COUNTIF(CatR_Nome,$D1502)=0)),"⚠ Categoria não combina com o tipo",IF(OR($N1502="",$C1502=""),"⚠ Falta valor ou tipo",""))))</f>
        <v/>
      </c>
      <c r="U1502" s="40">
        <f>IF($A1502="",0,P1502*12+O1502)</f>
        <v>0</v>
      </c>
      <c r="V1502" s="40">
        <f>IF($A1502="",0,U1502+MAX(0,N($I1502)-MAX(N($H1502),1)))</f>
        <v>0</v>
      </c>
      <c r="W1502" s="40">
        <f>IF(S1502="",0,YEAR(S1502)*12+MONTH(S1502))</f>
        <v>0</v>
      </c>
      <c r="X1502" s="40">
        <f>IF(W1502=0,0,W1502+V1502-U1502)</f>
        <v>0</v>
      </c>
      <c r="Y1502" s="36">
        <f>IF(W1502=0,0,N(R1502)*MAX(0,X1502-MAX(W1502,YEAR(Cfg_Hoje)*12+MONTH(Cfg_Hoje)+IF(DAY(Cfg_Hoje)&gt;=INDEX(Cartoes_Fech,MATCH($F1502,Cartoes_Nome,0)),1,0))+1))</f>
        <v>0</v>
      </c>
      <c r="Z1502" s="40">
        <f>IF($A1502="",0,DAY($A1502))</f>
        <v>0</v>
      </c>
      <c r="AA1502" s="40">
        <f>IF($A1502="",0,WEEKDAY($A1502))</f>
        <v>0</v>
      </c>
      <c r="AB1502" s="36">
        <f>IF(AND($C1502="Despesa",U1502&gt;0,U1502&lt;=Sel_Idx,V1502&gt;=Sel_Idx),N(R1502)+ROW()/1000000000,0)</f>
        <v>0</v>
      </c>
      <c r="AC1502" s="40">
        <f>IF(AND($C1502="Despesa",U1502&gt;0,U1502&lt;=Sel_Idx,V1502&gt;=Sel_Idx),Z1502*10000+ROW(),0)</f>
        <v>0</v>
      </c>
      <c r="AD1502" s="40">
        <f>IF(AC1502=0,0,COUNTIFS(L_CalChave,"&gt;0",L_CalChave,"&lt;"&amp;AC1502)+1)</f>
        <v>0</v>
      </c>
    </row>
    <row r="1503">
      <c r="A1503" s="38" t="n"/>
      <c r="B1503" s="39" t="n"/>
      <c r="C1503" s="34" t="n"/>
      <c r="D1503" s="34" t="n"/>
      <c r="E1503" s="34" t="n"/>
      <c r="F1503" s="34" t="n"/>
      <c r="G1503" s="34" t="n"/>
      <c r="H1503" s="37" t="n"/>
      <c r="I1503" s="37" t="n"/>
      <c r="J1503" s="34" t="n"/>
      <c r="K1503" s="34" t="n"/>
      <c r="L1503" s="34" t="n"/>
      <c r="M1503" s="39" t="n"/>
      <c r="N1503" s="35" t="n"/>
      <c r="O1503" s="40" t="str">
        <f>IF($A1503="","",MONTH($A1503))</f>
        <v/>
      </c>
      <c r="P1503" s="40" t="str">
        <f>IF($A1503="","",YEAR($A1503))</f>
        <v/>
      </c>
      <c r="Q1503" s="41" t="str">
        <f>IF($A1503="","",DATE(P1503,O1503,1))</f>
        <v/>
      </c>
      <c r="R1503" s="36" t="str">
        <f>IF(OR($A1503="",$N1503=""),"",IF(AND($C1503&lt;&gt;"Transferência",N($I1503)&gt;1),$N1503/$I1503,$N1503))</f>
        <v/>
      </c>
      <c r="S1503" s="41" t="str">
        <f>IF(OR($A1503="",$F1503="",$C1503&lt;&gt;"Despesa"),"",IF(COUNTIF(Cartoes_Nome,$F1503)=0,"",DATE(P1503,O1503+IF(DAY($A1503)&gt;=INDEX(Cartoes_Fech,MATCH($F1503,Cartoes_Nome,0)),1,0),1)))</f>
        <v/>
      </c>
      <c r="T1503" s="42" t="str">
        <f>IF($A1503="","",IF(COUNTIFS(L_Data,$A1503,L_Desc,$B1503,L_Valor,$N1503,L_Tipo,$C1503)&gt;1,"⚠ Possível duplicidade",IF(OR(AND($C1503="Despesa",COUNTIF(CatD_Nome,$D1503)=0),AND($C1503="Receita",COUNTIF(CatR_Nome,$D1503)=0)),"⚠ Categoria não combina com o tipo",IF(OR($N1503="",$C1503=""),"⚠ Falta valor ou tipo",""))))</f>
        <v/>
      </c>
      <c r="U1503" s="40">
        <f>IF($A1503="",0,P1503*12+O1503)</f>
        <v>0</v>
      </c>
      <c r="V1503" s="40">
        <f>IF($A1503="",0,U1503+MAX(0,N($I1503)-MAX(N($H1503),1)))</f>
        <v>0</v>
      </c>
      <c r="W1503" s="40">
        <f>IF(S1503="",0,YEAR(S1503)*12+MONTH(S1503))</f>
        <v>0</v>
      </c>
      <c r="X1503" s="40">
        <f>IF(W1503=0,0,W1503+V1503-U1503)</f>
        <v>0</v>
      </c>
      <c r="Y1503" s="36">
        <f>IF(W1503=0,0,N(R1503)*MAX(0,X1503-MAX(W1503,YEAR(Cfg_Hoje)*12+MONTH(Cfg_Hoje)+IF(DAY(Cfg_Hoje)&gt;=INDEX(Cartoes_Fech,MATCH($F1503,Cartoes_Nome,0)),1,0))+1))</f>
        <v>0</v>
      </c>
      <c r="Z1503" s="40">
        <f>IF($A1503="",0,DAY($A1503))</f>
        <v>0</v>
      </c>
      <c r="AA1503" s="40">
        <f>IF($A1503="",0,WEEKDAY($A1503))</f>
        <v>0</v>
      </c>
      <c r="AB1503" s="36">
        <f>IF(AND($C1503="Despesa",U1503&gt;0,U1503&lt;=Sel_Idx,V1503&gt;=Sel_Idx),N(R1503)+ROW()/1000000000,0)</f>
        <v>0</v>
      </c>
      <c r="AC1503" s="40">
        <f>IF(AND($C1503="Despesa",U1503&gt;0,U1503&lt;=Sel_Idx,V1503&gt;=Sel_Idx),Z1503*10000+ROW(),0)</f>
        <v>0</v>
      </c>
      <c r="AD1503" s="40">
        <f>IF(AC1503=0,0,COUNTIFS(L_CalChave,"&gt;0",L_CalChave,"&lt;"&amp;AC1503)+1)</f>
        <v>0</v>
      </c>
    </row>
    <row r="1504">
      <c r="A1504" s="38" t="n"/>
      <c r="B1504" s="39" t="n"/>
      <c r="C1504" s="34" t="n"/>
      <c r="D1504" s="34" t="n"/>
      <c r="E1504" s="34" t="n"/>
      <c r="F1504" s="34" t="n"/>
      <c r="G1504" s="34" t="n"/>
      <c r="H1504" s="37" t="n"/>
      <c r="I1504" s="37" t="n"/>
      <c r="J1504" s="34" t="n"/>
      <c r="K1504" s="34" t="n"/>
      <c r="L1504" s="34" t="n"/>
      <c r="M1504" s="39" t="n"/>
      <c r="N1504" s="35" t="n"/>
      <c r="O1504" s="40" t="str">
        <f>IF($A1504="","",MONTH($A1504))</f>
        <v/>
      </c>
      <c r="P1504" s="40" t="str">
        <f>IF($A1504="","",YEAR($A1504))</f>
        <v/>
      </c>
      <c r="Q1504" s="41" t="str">
        <f>IF($A1504="","",DATE(P1504,O1504,1))</f>
        <v/>
      </c>
      <c r="R1504" s="36" t="str">
        <f>IF(OR($A1504="",$N1504=""),"",IF(AND($C1504&lt;&gt;"Transferência",N($I1504)&gt;1),$N1504/$I1504,$N1504))</f>
        <v/>
      </c>
      <c r="S1504" s="41" t="str">
        <f>IF(OR($A1504="",$F1504="",$C1504&lt;&gt;"Despesa"),"",IF(COUNTIF(Cartoes_Nome,$F1504)=0,"",DATE(P1504,O1504+IF(DAY($A1504)&gt;=INDEX(Cartoes_Fech,MATCH($F1504,Cartoes_Nome,0)),1,0),1)))</f>
        <v/>
      </c>
      <c r="T1504" s="42" t="str">
        <f>IF($A1504="","",IF(COUNTIFS(L_Data,$A1504,L_Desc,$B1504,L_Valor,$N1504,L_Tipo,$C1504)&gt;1,"⚠ Possível duplicidade",IF(OR(AND($C1504="Despesa",COUNTIF(CatD_Nome,$D1504)=0),AND($C1504="Receita",COUNTIF(CatR_Nome,$D1504)=0)),"⚠ Categoria não combina com o tipo",IF(OR($N1504="",$C1504=""),"⚠ Falta valor ou tipo",""))))</f>
        <v/>
      </c>
      <c r="U1504" s="40">
        <f>IF($A1504="",0,P1504*12+O1504)</f>
        <v>0</v>
      </c>
      <c r="V1504" s="40">
        <f>IF($A1504="",0,U1504+MAX(0,N($I1504)-MAX(N($H1504),1)))</f>
        <v>0</v>
      </c>
      <c r="W1504" s="40">
        <f>IF(S1504="",0,YEAR(S1504)*12+MONTH(S1504))</f>
        <v>0</v>
      </c>
      <c r="X1504" s="40">
        <f>IF(W1504=0,0,W1504+V1504-U1504)</f>
        <v>0</v>
      </c>
      <c r="Y1504" s="36">
        <f>IF(W1504=0,0,N(R1504)*MAX(0,X1504-MAX(W1504,YEAR(Cfg_Hoje)*12+MONTH(Cfg_Hoje)+IF(DAY(Cfg_Hoje)&gt;=INDEX(Cartoes_Fech,MATCH($F1504,Cartoes_Nome,0)),1,0))+1))</f>
        <v>0</v>
      </c>
      <c r="Z1504" s="40">
        <f>IF($A1504="",0,DAY($A1504))</f>
        <v>0</v>
      </c>
      <c r="AA1504" s="40">
        <f>IF($A1504="",0,WEEKDAY($A1504))</f>
        <v>0</v>
      </c>
      <c r="AB1504" s="36">
        <f>IF(AND($C1504="Despesa",U1504&gt;0,U1504&lt;=Sel_Idx,V1504&gt;=Sel_Idx),N(R1504)+ROW()/1000000000,0)</f>
        <v>0</v>
      </c>
      <c r="AC1504" s="40">
        <f>IF(AND($C1504="Despesa",U1504&gt;0,U1504&lt;=Sel_Idx,V1504&gt;=Sel_Idx),Z1504*10000+ROW(),0)</f>
        <v>0</v>
      </c>
      <c r="AD1504" s="40">
        <f>IF(AC1504=0,0,COUNTIFS(L_CalChave,"&gt;0",L_CalChave,"&lt;"&amp;AC1504)+1)</f>
        <v>0</v>
      </c>
    </row>
    <row r="1505">
      <c r="A1505" s="38" t="n"/>
      <c r="B1505" s="39" t="n"/>
      <c r="C1505" s="34" t="n"/>
      <c r="D1505" s="34" t="n"/>
      <c r="E1505" s="34" t="n"/>
      <c r="F1505" s="34" t="n"/>
      <c r="G1505" s="34" t="n"/>
      <c r="H1505" s="37" t="n"/>
      <c r="I1505" s="37" t="n"/>
      <c r="J1505" s="34" t="n"/>
      <c r="K1505" s="34" t="n"/>
      <c r="L1505" s="34" t="n"/>
      <c r="M1505" s="39" t="n"/>
      <c r="N1505" s="35" t="n"/>
      <c r="O1505" s="40" t="str">
        <f>IF($A1505="","",MONTH($A1505))</f>
        <v/>
      </c>
      <c r="P1505" s="40" t="str">
        <f>IF($A1505="","",YEAR($A1505))</f>
        <v/>
      </c>
      <c r="Q1505" s="41" t="str">
        <f>IF($A1505="","",DATE(P1505,O1505,1))</f>
        <v/>
      </c>
      <c r="R1505" s="36" t="str">
        <f>IF(OR($A1505="",$N1505=""),"",IF(AND($C1505&lt;&gt;"Transferência",N($I1505)&gt;1),$N1505/$I1505,$N1505))</f>
        <v/>
      </c>
      <c r="S1505" s="41" t="str">
        <f>IF(OR($A1505="",$F1505="",$C1505&lt;&gt;"Despesa"),"",IF(COUNTIF(Cartoes_Nome,$F1505)=0,"",DATE(P1505,O1505+IF(DAY($A1505)&gt;=INDEX(Cartoes_Fech,MATCH($F1505,Cartoes_Nome,0)),1,0),1)))</f>
        <v/>
      </c>
      <c r="T1505" s="42" t="str">
        <f>IF($A1505="","",IF(COUNTIFS(L_Data,$A1505,L_Desc,$B1505,L_Valor,$N1505,L_Tipo,$C1505)&gt;1,"⚠ Possível duplicidade",IF(OR(AND($C1505="Despesa",COUNTIF(CatD_Nome,$D1505)=0),AND($C1505="Receita",COUNTIF(CatR_Nome,$D1505)=0)),"⚠ Categoria não combina com o tipo",IF(OR($N1505="",$C1505=""),"⚠ Falta valor ou tipo",""))))</f>
        <v/>
      </c>
      <c r="U1505" s="40">
        <f>IF($A1505="",0,P1505*12+O1505)</f>
        <v>0</v>
      </c>
      <c r="V1505" s="40">
        <f>IF($A1505="",0,U1505+MAX(0,N($I1505)-MAX(N($H1505),1)))</f>
        <v>0</v>
      </c>
      <c r="W1505" s="40">
        <f>IF(S1505="",0,YEAR(S1505)*12+MONTH(S1505))</f>
        <v>0</v>
      </c>
      <c r="X1505" s="40">
        <f>IF(W1505=0,0,W1505+V1505-U1505)</f>
        <v>0</v>
      </c>
      <c r="Y1505" s="36">
        <f>IF(W1505=0,0,N(R1505)*MAX(0,X1505-MAX(W1505,YEAR(Cfg_Hoje)*12+MONTH(Cfg_Hoje)+IF(DAY(Cfg_Hoje)&gt;=INDEX(Cartoes_Fech,MATCH($F1505,Cartoes_Nome,0)),1,0))+1))</f>
        <v>0</v>
      </c>
      <c r="Z1505" s="40">
        <f>IF($A1505="",0,DAY($A1505))</f>
        <v>0</v>
      </c>
      <c r="AA1505" s="40">
        <f>IF($A1505="",0,WEEKDAY($A1505))</f>
        <v>0</v>
      </c>
      <c r="AB1505" s="36">
        <f>IF(AND($C1505="Despesa",U1505&gt;0,U1505&lt;=Sel_Idx,V1505&gt;=Sel_Idx),N(R1505)+ROW()/1000000000,0)</f>
        <v>0</v>
      </c>
      <c r="AC1505" s="40">
        <f>IF(AND($C1505="Despesa",U1505&gt;0,U1505&lt;=Sel_Idx,V1505&gt;=Sel_Idx),Z1505*10000+ROW(),0)</f>
        <v>0</v>
      </c>
      <c r="AD1505" s="40">
        <f>IF(AC1505=0,0,COUNTIFS(L_CalChave,"&gt;0",L_CalChave,"&lt;"&amp;AC1505)+1)</f>
        <v>0</v>
      </c>
    </row>
    <row r="1506">
      <c r="A1506" s="38" t="n"/>
      <c r="B1506" s="39" t="n"/>
      <c r="C1506" s="34" t="n"/>
      <c r="D1506" s="34" t="n"/>
      <c r="E1506" s="34" t="n"/>
      <c r="F1506" s="34" t="n"/>
      <c r="G1506" s="34" t="n"/>
      <c r="H1506" s="37" t="n"/>
      <c r="I1506" s="37" t="n"/>
      <c r="J1506" s="34" t="n"/>
      <c r="K1506" s="34" t="n"/>
      <c r="L1506" s="34" t="n"/>
      <c r="M1506" s="39" t="n"/>
      <c r="N1506" s="35" t="n"/>
      <c r="O1506" s="40" t="str">
        <f>IF($A1506="","",MONTH($A1506))</f>
        <v/>
      </c>
      <c r="P1506" s="40" t="str">
        <f>IF($A1506="","",YEAR($A1506))</f>
        <v/>
      </c>
      <c r="Q1506" s="41" t="str">
        <f>IF($A1506="","",DATE(P1506,O1506,1))</f>
        <v/>
      </c>
      <c r="R1506" s="36" t="str">
        <f>IF(OR($A1506="",$N1506=""),"",IF(AND($C1506&lt;&gt;"Transferência",N($I1506)&gt;1),$N1506/$I1506,$N1506))</f>
        <v/>
      </c>
      <c r="S1506" s="41" t="str">
        <f>IF(OR($A1506="",$F1506="",$C1506&lt;&gt;"Despesa"),"",IF(COUNTIF(Cartoes_Nome,$F1506)=0,"",DATE(P1506,O1506+IF(DAY($A1506)&gt;=INDEX(Cartoes_Fech,MATCH($F1506,Cartoes_Nome,0)),1,0),1)))</f>
        <v/>
      </c>
      <c r="T1506" s="42" t="str">
        <f>IF($A1506="","",IF(COUNTIFS(L_Data,$A1506,L_Desc,$B1506,L_Valor,$N1506,L_Tipo,$C1506)&gt;1,"⚠ Possível duplicidade",IF(OR(AND($C1506="Despesa",COUNTIF(CatD_Nome,$D1506)=0),AND($C1506="Receita",COUNTIF(CatR_Nome,$D1506)=0)),"⚠ Categoria não combina com o tipo",IF(OR($N1506="",$C1506=""),"⚠ Falta valor ou tipo",""))))</f>
        <v/>
      </c>
      <c r="U1506" s="40">
        <f>IF($A1506="",0,P1506*12+O1506)</f>
        <v>0</v>
      </c>
      <c r="V1506" s="40">
        <f>IF($A1506="",0,U1506+MAX(0,N($I1506)-MAX(N($H1506),1)))</f>
        <v>0</v>
      </c>
      <c r="W1506" s="40">
        <f>IF(S1506="",0,YEAR(S1506)*12+MONTH(S1506))</f>
        <v>0</v>
      </c>
      <c r="X1506" s="40">
        <f>IF(W1506=0,0,W1506+V1506-U1506)</f>
        <v>0</v>
      </c>
      <c r="Y1506" s="36">
        <f>IF(W1506=0,0,N(R1506)*MAX(0,X1506-MAX(W1506,YEAR(Cfg_Hoje)*12+MONTH(Cfg_Hoje)+IF(DAY(Cfg_Hoje)&gt;=INDEX(Cartoes_Fech,MATCH($F1506,Cartoes_Nome,0)),1,0))+1))</f>
        <v>0</v>
      </c>
      <c r="Z1506" s="40">
        <f>IF($A1506="",0,DAY($A1506))</f>
        <v>0</v>
      </c>
      <c r="AA1506" s="40">
        <f>IF($A1506="",0,WEEKDAY($A1506))</f>
        <v>0</v>
      </c>
      <c r="AB1506" s="36">
        <f>IF(AND($C1506="Despesa",U1506&gt;0,U1506&lt;=Sel_Idx,V1506&gt;=Sel_Idx),N(R1506)+ROW()/1000000000,0)</f>
        <v>0</v>
      </c>
      <c r="AC1506" s="40">
        <f>IF(AND($C1506="Despesa",U1506&gt;0,U1506&lt;=Sel_Idx,V1506&gt;=Sel_Idx),Z1506*10000+ROW(),0)</f>
        <v>0</v>
      </c>
      <c r="AD1506" s="40">
        <f>IF(AC1506=0,0,COUNTIFS(L_CalChave,"&gt;0",L_CalChave,"&lt;"&amp;AC1506)+1)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B2:O2"/>
  </mergeCells>
  <conditionalFormatting sqref="J7:J1506">
    <cfRule type="expression" priority="1" dxfId="1" stopIfTrue="0">
      <formula>$J7="Pago"</formula>
    </cfRule>
    <cfRule type="expression" priority="2" dxfId="0" stopIfTrue="0">
      <formula>$J7="Pendente"</formula>
    </cfRule>
    <cfRule type="expression" priority="3" dxfId="3" stopIfTrue="0">
      <formula>$J7="Agendado"</formula>
    </cfRule>
  </conditionalFormatting>
  <conditionalFormatting sqref="C7:C1506">
    <cfRule type="expression" priority="4" dxfId="4" stopIfTrue="0">
      <formula>$C7="Receita"</formula>
    </cfRule>
    <cfRule type="expression" priority="5" dxfId="5" stopIfTrue="0">
      <formula>$C7="Despesa"</formula>
    </cfRule>
    <cfRule type="expression" priority="6" dxfId="6" stopIfTrue="0">
      <formula>$C7="Investimento"</formula>
    </cfRule>
  </conditionalFormatting>
  <conditionalFormatting sqref="T7:T1506">
    <cfRule type="expression" priority="7" dxfId="7" stopIfTrue="0">
      <formula>LEFT($T7,1)="⚠"</formula>
    </cfRule>
  </conditionalFormatting>
  <conditionalFormatting sqref="N7:N1506">
    <cfRule type="expression" priority="8" dxfId="8" stopIfTrue="0">
      <formula>$C7="Receita"</formula>
    </cfRule>
    <cfRule type="expression" priority="9" dxfId="9" stopIfTrue="0">
      <formula>$C7="Despesa"</formula>
    </cfRule>
  </conditionalFormatting>
  <dataValidations count="11">
    <dataValidation sqref="A7:A1506" showDropDown="0" showInputMessage="0" showErrorMessage="1" allowBlank="1" errorTitle="Valor inválido" error="Digite uma data válida (dd/mm/aaaa)." type="date" operator="greaterThanOrEqual">
      <formula1>36526</formula1>
    </dataValidation>
    <dataValidation sqref="C7:C1506" showDropDown="0" showInputMessage="0" showErrorMessage="1" allowBlank="1" errorTitle="Valor inválido" error="Escolha um valor da lista." type="list">
      <formula1>=Lista_Tipos</formula1>
    </dataValidation>
    <dataValidation sqref="D7:D1506" showDropDown="0" showInputMessage="0" showErrorMessage="1" allowBlank="1" errorTitle="Valor inválido" error="Escolha um valor da lista." type="list">
      <formula1>=Lista_Categorias</formula1>
    </dataValidation>
    <dataValidation sqref="E7:E1506" showDropDown="0" showInputMessage="0" showErrorMessage="1" allowBlank="1" errorTitle="Valor inválido" error="Escolha um valor da lista." type="list">
      <formula1>=Lista_Subcats</formula1>
    </dataValidation>
    <dataValidation sqref="F7:F1506" showDropDown="0" showInputMessage="0" showErrorMessage="1" allowBlank="1" errorTitle="Valor inválido" error="Escolha um valor da lista." type="list">
      <formula1>=Lista_ContaCartao</formula1>
    </dataValidation>
    <dataValidation sqref="G7:G1506" showDropDown="0" showInputMessage="0" showErrorMessage="1" allowBlank="1" errorTitle="Valor inválido" error="Escolha um valor da lista." type="list">
      <formula1>=Lista_Formas</formula1>
    </dataValidation>
    <dataValidation sqref="J7:J1506" showDropDown="0" showInputMessage="0" showErrorMessage="1" allowBlank="1" errorTitle="Valor inválido" error="Escolha um valor da lista." type="list">
      <formula1>=Lista_Status</formula1>
    </dataValidation>
    <dataValidation sqref="K7:K1506" showDropDown="0" showInputMessage="0" showErrorMessage="1" allowBlank="1" errorTitle="Valor inválido" error="Escolha um valor da lista." type="list">
      <formula1>=Lista_Tags</formula1>
    </dataValidation>
    <dataValidation sqref="L7:L1506" showDropDown="0" showInputMessage="0" showErrorMessage="1" allowBlank="1" errorTitle="Valor inválido" error="Escolha um valor da lista." type="list">
      <formula1>=Lista_MetasNomes</formula1>
    </dataValidation>
    <dataValidation sqref="H7:H1506" showDropDown="0" showInputMessage="0" showErrorMessage="1" allowBlank="1" errorTitle="Valor inválido" error="Informe um número inteiro (1, 2, 3...)." type="whole" operator="greaterThanOrEqual">
      <formula1>1</formula1>
    </dataValidation>
    <dataValidation sqref="I7:I1506" showDropDown="0" showInputMessage="0" showErrorMessage="1" allowBlank="1" errorTitle="Valor inválido" error="Informe um número inteiro (1, 2, 3...)." type="whole" operator="greaterThanOrEqual">
      <formula1>1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Q46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22" customWidth="1" min="4" max="4"/>
    <col width="24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9" customWidth="1" min="11" max="11"/>
    <col hidden="1" width="9" customWidth="1" min="12" max="12"/>
    <col hidden="1" width="9" customWidth="1" min="13" max="13"/>
    <col hidden="1" width="8" customWidth="1" min="14" max="14"/>
    <col width="14" customWidth="1" min="15" max="15"/>
    <col hidden="1" width="9" customWidth="1" min="16" max="16"/>
    <col hidden="1" width="9" customWidth="1" min="17" max="17"/>
  </cols>
  <sheetData>
    <row r="1" ht="30" customHeight="1">
      <c r="B1" s="1" t="inlineStr">
        <is>
          <t>RECORRENTES</t>
        </is>
      </c>
    </row>
    <row r="2" ht="32" customHeight="1">
      <c r="B2" s="2" t="inlineStr">
        <is>
          <t>Cadastre salário, aluguel, assinaturas e outros itens que se repetem. Eles entram automaticamente nas PROJEÇÕES dos meses futuros (não precisa lançar mês a mês no futuro). Não cadastre o mesmo item aqui e em LANÇAMENTOS futuros.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K)</t>
        </is>
      </c>
    </row>
    <row r="6" ht="30" customHeight="1">
      <c r="B6" s="7" t="inlineStr">
        <is>
          <t>Descrição</t>
        </is>
      </c>
      <c r="C6" s="7" t="inlineStr">
        <is>
          <t>Tipo</t>
        </is>
      </c>
      <c r="D6" s="7" t="inlineStr">
        <is>
          <t>Categoria</t>
        </is>
      </c>
      <c r="E6" s="7" t="inlineStr">
        <is>
          <t>Conta ou Cartão</t>
        </is>
      </c>
      <c r="F6" s="7" t="inlineStr">
        <is>
          <t>Valor (R$)</t>
        </is>
      </c>
      <c r="G6" s="7" t="inlineStr">
        <is>
          <t>Frequência</t>
        </is>
      </c>
      <c r="H6" s="7" t="inlineStr">
        <is>
          <t>Dia do mês</t>
        </is>
      </c>
      <c r="I6" s="7" t="inlineStr">
        <is>
          <t>Início</t>
        </is>
      </c>
      <c r="J6" s="7" t="inlineStr">
        <is>
          <t>Fim (opcional)</t>
        </is>
      </c>
      <c r="K6" s="7" t="inlineStr">
        <is>
          <t>Ativo?</t>
        </is>
      </c>
      <c r="L6" s="7" t="inlineStr">
        <is>
          <t>Idx início</t>
        </is>
      </c>
      <c r="M6" s="7" t="inlineStr">
        <is>
          <t>Idx fim</t>
        </is>
      </c>
      <c r="N6" s="7" t="inlineStr">
        <is>
          <t>Mês de ref.</t>
        </is>
      </c>
      <c r="O6" s="7" t="inlineStr">
        <is>
          <t>Valor anual</t>
        </is>
      </c>
      <c r="P6" s="7" t="inlineStr">
        <is>
          <t>É assinatura?</t>
        </is>
      </c>
      <c r="Q6" s="7" t="inlineStr">
        <is>
          <t>Ordem assinatura</t>
        </is>
      </c>
    </row>
    <row r="7">
      <c r="B7" s="34" t="inlineStr">
        <is>
          <t>Salário</t>
        </is>
      </c>
      <c r="C7" s="34" t="inlineStr">
        <is>
          <t>Receita</t>
        </is>
      </c>
      <c r="D7" s="34" t="inlineStr">
        <is>
          <t>Salário</t>
        </is>
      </c>
      <c r="E7" s="34" t="inlineStr">
        <is>
          <t>Conta Corrente Banco Azul</t>
        </is>
      </c>
      <c r="F7" s="35" t="n">
        <v>10800</v>
      </c>
      <c r="G7" s="34" t="inlineStr">
        <is>
          <t>Mensal</t>
        </is>
      </c>
      <c r="H7" s="37" t="n">
        <v>5</v>
      </c>
      <c r="I7" s="38" t="n">
        <v>46023</v>
      </c>
      <c r="J7" s="38" t="n"/>
      <c r="K7" s="34" t="inlineStr">
        <is>
          <t>Sim</t>
        </is>
      </c>
      <c r="L7" s="14">
        <f>IF(OR($B7="",NOT(ISNUMBER($I7))),0,YEAR($I7)*12+MONTH($I7))</f>
        <v>24313</v>
      </c>
      <c r="M7" s="14">
        <f>IF(L7=0,0,IF(ISNUMBER($J7),YEAR($J7)*12+MONTH($J7),999999))</f>
        <v>999999</v>
      </c>
      <c r="N7" s="14">
        <f>IF(L7=0,0,MONTH($I7))</f>
        <v>1</v>
      </c>
      <c r="O7" s="43">
        <f>IF(L7=0,0,IF($G7="Anual",N($F7),N($F7)*12))</f>
        <v>129600</v>
      </c>
      <c r="P7" s="14">
        <f>IF(AND($C7="Despesa",$D7="Assinaturas",$K7="Sim",L7&gt;0),1,0)</f>
        <v>0</v>
      </c>
      <c r="Q7" s="14">
        <f>IF(P7=1,SUM(P$7:P7),0)</f>
        <v>0</v>
      </c>
    </row>
    <row r="8">
      <c r="B8" s="34" t="inlineStr">
        <is>
          <t>Aluguel recebido</t>
        </is>
      </c>
      <c r="C8" s="34" t="inlineStr">
        <is>
          <t>Receita</t>
        </is>
      </c>
      <c r="D8" s="34" t="inlineStr">
        <is>
          <t>Aluguel recebido</t>
        </is>
      </c>
      <c r="E8" s="34" t="inlineStr">
        <is>
          <t>Conta Corrente Banco Azul</t>
        </is>
      </c>
      <c r="F8" s="35" t="n">
        <v>1900</v>
      </c>
      <c r="G8" s="34" t="inlineStr">
        <is>
          <t>Mensal</t>
        </is>
      </c>
      <c r="H8" s="37" t="n">
        <v>10</v>
      </c>
      <c r="I8" s="38" t="n">
        <v>46023</v>
      </c>
      <c r="J8" s="38" t="n"/>
      <c r="K8" s="34" t="inlineStr">
        <is>
          <t>Sim</t>
        </is>
      </c>
      <c r="L8" s="14">
        <f>IF(OR($B8="",NOT(ISNUMBER($I8))),0,YEAR($I8)*12+MONTH($I8))</f>
        <v>24313</v>
      </c>
      <c r="M8" s="14">
        <f>IF(L8=0,0,IF(ISNUMBER($J8),YEAR($J8)*12+MONTH($J8),999999))</f>
        <v>999999</v>
      </c>
      <c r="N8" s="14">
        <f>IF(L8=0,0,MONTH($I8))</f>
        <v>1</v>
      </c>
      <c r="O8" s="43">
        <f>IF(L8=0,0,IF($G8="Anual",N($F8),N($F8)*12))</f>
        <v>22800</v>
      </c>
      <c r="P8" s="14">
        <f>IF(AND($C8="Despesa",$D8="Assinaturas",$K8="Sim",L8&gt;0),1,0)</f>
        <v>0</v>
      </c>
      <c r="Q8" s="14">
        <f>IF(P8=1,SUM(P$7:P8),0)</f>
        <v>0</v>
      </c>
    </row>
    <row r="9">
      <c r="B9" s="34" t="inlineStr">
        <is>
          <t>Aluguel residencial</t>
        </is>
      </c>
      <c r="C9" s="34" t="inlineStr">
        <is>
          <t>Despesa</t>
        </is>
      </c>
      <c r="D9" s="34" t="inlineStr">
        <is>
          <t>Moradia</t>
        </is>
      </c>
      <c r="E9" s="34" t="inlineStr">
        <is>
          <t>Conta Corrente Banco Azul</t>
        </is>
      </c>
      <c r="F9" s="35" t="n">
        <v>2400</v>
      </c>
      <c r="G9" s="34" t="inlineStr">
        <is>
          <t>Mensal</t>
        </is>
      </c>
      <c r="H9" s="37" t="n">
        <v>10</v>
      </c>
      <c r="I9" s="38" t="n">
        <v>46023</v>
      </c>
      <c r="J9" s="38" t="n"/>
      <c r="K9" s="34" t="inlineStr">
        <is>
          <t>Sim</t>
        </is>
      </c>
      <c r="L9" s="14">
        <f>IF(OR($B9="",NOT(ISNUMBER($I9))),0,YEAR($I9)*12+MONTH($I9))</f>
        <v>24313</v>
      </c>
      <c r="M9" s="14">
        <f>IF(L9=0,0,IF(ISNUMBER($J9),YEAR($J9)*12+MONTH($J9),999999))</f>
        <v>999999</v>
      </c>
      <c r="N9" s="14">
        <f>IF(L9=0,0,MONTH($I9))</f>
        <v>1</v>
      </c>
      <c r="O9" s="43">
        <f>IF(L9=0,0,IF($G9="Anual",N($F9),N($F9)*12))</f>
        <v>28800</v>
      </c>
      <c r="P9" s="14">
        <f>IF(AND($C9="Despesa",$D9="Assinaturas",$K9="Sim",L9&gt;0),1,0)</f>
        <v>0</v>
      </c>
      <c r="Q9" s="14">
        <f>IF(P9=1,SUM(P$7:P9),0)</f>
        <v>0</v>
      </c>
    </row>
    <row r="10">
      <c r="B10" s="34" t="inlineStr">
        <is>
          <t>Condomínio</t>
        </is>
      </c>
      <c r="C10" s="34" t="inlineStr">
        <is>
          <t>Despesa</t>
        </is>
      </c>
      <c r="D10" s="34" t="inlineStr">
        <is>
          <t>Moradia</t>
        </is>
      </c>
      <c r="E10" s="34" t="inlineStr">
        <is>
          <t>Conta Corrente Banco Azul</t>
        </is>
      </c>
      <c r="F10" s="35" t="n">
        <v>650</v>
      </c>
      <c r="G10" s="34" t="inlineStr">
        <is>
          <t>Mensal</t>
        </is>
      </c>
      <c r="H10" s="37" t="n">
        <v>10</v>
      </c>
      <c r="I10" s="38" t="n">
        <v>46023</v>
      </c>
      <c r="J10" s="38" t="n"/>
      <c r="K10" s="34" t="inlineStr">
        <is>
          <t>Sim</t>
        </is>
      </c>
      <c r="L10" s="14">
        <f>IF(OR($B10="",NOT(ISNUMBER($I10))),0,YEAR($I10)*12+MONTH($I10))</f>
        <v>24313</v>
      </c>
      <c r="M10" s="14">
        <f>IF(L10=0,0,IF(ISNUMBER($J10),YEAR($J10)*12+MONTH($J10),999999))</f>
        <v>999999</v>
      </c>
      <c r="N10" s="14">
        <f>IF(L10=0,0,MONTH($I10))</f>
        <v>1</v>
      </c>
      <c r="O10" s="43">
        <f>IF(L10=0,0,IF($G10="Anual",N($F10),N($F10)*12))</f>
        <v>7800</v>
      </c>
      <c r="P10" s="14">
        <f>IF(AND($C10="Despesa",$D10="Assinaturas",$K10="Sim",L10&gt;0),1,0)</f>
        <v>0</v>
      </c>
      <c r="Q10" s="14">
        <f>IF(P10=1,SUM(P$7:P10),0)</f>
        <v>0</v>
      </c>
    </row>
    <row r="11">
      <c r="B11" s="34" t="inlineStr">
        <is>
          <t>Energia + água</t>
        </is>
      </c>
      <c r="C11" s="34" t="inlineStr">
        <is>
          <t>Despesa</t>
        </is>
      </c>
      <c r="D11" s="34" t="inlineStr">
        <is>
          <t>Moradia</t>
        </is>
      </c>
      <c r="E11" s="34" t="inlineStr">
        <is>
          <t>Conta Corrente Banco Azul</t>
        </is>
      </c>
      <c r="F11" s="35" t="n">
        <v>260</v>
      </c>
      <c r="G11" s="34" t="inlineStr">
        <is>
          <t>Mensal</t>
        </is>
      </c>
      <c r="H11" s="37" t="n">
        <v>15</v>
      </c>
      <c r="I11" s="38" t="n">
        <v>46023</v>
      </c>
      <c r="J11" s="38" t="n"/>
      <c r="K11" s="34" t="inlineStr">
        <is>
          <t>Sim</t>
        </is>
      </c>
      <c r="L11" s="14">
        <f>IF(OR($B11="",NOT(ISNUMBER($I11))),0,YEAR($I11)*12+MONTH($I11))</f>
        <v>24313</v>
      </c>
      <c r="M11" s="14">
        <f>IF(L11=0,0,IF(ISNUMBER($J11),YEAR($J11)*12+MONTH($J11),999999))</f>
        <v>999999</v>
      </c>
      <c r="N11" s="14">
        <f>IF(L11=0,0,MONTH($I11))</f>
        <v>1</v>
      </c>
      <c r="O11" s="43">
        <f>IF(L11=0,0,IF($G11="Anual",N($F11),N($F11)*12))</f>
        <v>3120</v>
      </c>
      <c r="P11" s="14">
        <f>IF(AND($C11="Despesa",$D11="Assinaturas",$K11="Sim",L11&gt;0),1,0)</f>
        <v>0</v>
      </c>
      <c r="Q11" s="14">
        <f>IF(P11=1,SUM(P$7:P11),0)</f>
        <v>0</v>
      </c>
    </row>
    <row r="12">
      <c r="B12" s="34" t="inlineStr">
        <is>
          <t>Internet fibra</t>
        </is>
      </c>
      <c r="C12" s="34" t="inlineStr">
        <is>
          <t>Despesa</t>
        </is>
      </c>
      <c r="D12" s="34" t="inlineStr">
        <is>
          <t>Moradia</t>
        </is>
      </c>
      <c r="E12" s="34" t="inlineStr">
        <is>
          <t>Conta Corrente Banco Azul</t>
        </is>
      </c>
      <c r="F12" s="35" t="n">
        <v>129.9</v>
      </c>
      <c r="G12" s="34" t="inlineStr">
        <is>
          <t>Mensal</t>
        </is>
      </c>
      <c r="H12" s="37" t="n">
        <v>20</v>
      </c>
      <c r="I12" s="38" t="n">
        <v>46023</v>
      </c>
      <c r="J12" s="38" t="n"/>
      <c r="K12" s="34" t="inlineStr">
        <is>
          <t>Sim</t>
        </is>
      </c>
      <c r="L12" s="14">
        <f>IF(OR($B12="",NOT(ISNUMBER($I12))),0,YEAR($I12)*12+MONTH($I12))</f>
        <v>24313</v>
      </c>
      <c r="M12" s="14">
        <f>IF(L12=0,0,IF(ISNUMBER($J12),YEAR($J12)*12+MONTH($J12),999999))</f>
        <v>999999</v>
      </c>
      <c r="N12" s="14">
        <f>IF(L12=0,0,MONTH($I12))</f>
        <v>1</v>
      </c>
      <c r="O12" s="43">
        <f>IF(L12=0,0,IF($G12="Anual",N($F12),N($F12)*12))</f>
        <v>1558.8</v>
      </c>
      <c r="P12" s="14">
        <f>IF(AND($C12="Despesa",$D12="Assinaturas",$K12="Sim",L12&gt;0),1,0)</f>
        <v>0</v>
      </c>
      <c r="Q12" s="14">
        <f>IF(P12=1,SUM(P$7:P12),0)</f>
        <v>0</v>
      </c>
    </row>
    <row r="13">
      <c r="B13" s="34" t="inlineStr">
        <is>
          <t>Plano de saúde</t>
        </is>
      </c>
      <c r="C13" s="34" t="inlineStr">
        <is>
          <t>Despesa</t>
        </is>
      </c>
      <c r="D13" s="34" t="inlineStr">
        <is>
          <t>Saúde</t>
        </is>
      </c>
      <c r="E13" s="34" t="inlineStr">
        <is>
          <t>Conta Corrente Banco Azul</t>
        </is>
      </c>
      <c r="F13" s="35" t="n">
        <v>780</v>
      </c>
      <c r="G13" s="34" t="inlineStr">
        <is>
          <t>Mensal</t>
        </is>
      </c>
      <c r="H13" s="37" t="n">
        <v>5</v>
      </c>
      <c r="I13" s="38" t="n">
        <v>46023</v>
      </c>
      <c r="J13" s="38" t="n"/>
      <c r="K13" s="34" t="inlineStr">
        <is>
          <t>Sim</t>
        </is>
      </c>
      <c r="L13" s="14">
        <f>IF(OR($B13="",NOT(ISNUMBER($I13))),0,YEAR($I13)*12+MONTH($I13))</f>
        <v>24313</v>
      </c>
      <c r="M13" s="14">
        <f>IF(L13=0,0,IF(ISNUMBER($J13),YEAR($J13)*12+MONTH($J13),999999))</f>
        <v>999999</v>
      </c>
      <c r="N13" s="14">
        <f>IF(L13=0,0,MONTH($I13))</f>
        <v>1</v>
      </c>
      <c r="O13" s="43">
        <f>IF(L13=0,0,IF($G13="Anual",N($F13),N($F13)*12))</f>
        <v>9360</v>
      </c>
      <c r="P13" s="14">
        <f>IF(AND($C13="Despesa",$D13="Assinaturas",$K13="Sim",L13&gt;0),1,0)</f>
        <v>0</v>
      </c>
      <c r="Q13" s="14">
        <f>IF(P13=1,SUM(P$7:P13),0)</f>
        <v>0</v>
      </c>
    </row>
    <row r="14">
      <c r="B14" s="34" t="inlineStr">
        <is>
          <t>Curso de inglês</t>
        </is>
      </c>
      <c r="C14" s="34" t="inlineStr">
        <is>
          <t>Despesa</t>
        </is>
      </c>
      <c r="D14" s="34" t="inlineStr">
        <is>
          <t>Educação</t>
        </is>
      </c>
      <c r="E14" s="34" t="inlineStr">
        <is>
          <t>Conta Corrente Banco Azul</t>
        </is>
      </c>
      <c r="F14" s="35" t="n">
        <v>390</v>
      </c>
      <c r="G14" s="34" t="inlineStr">
        <is>
          <t>Mensal</t>
        </is>
      </c>
      <c r="H14" s="37" t="n">
        <v>8</v>
      </c>
      <c r="I14" s="38" t="n">
        <v>46023</v>
      </c>
      <c r="J14" s="38" t="n">
        <v>46387</v>
      </c>
      <c r="K14" s="34" t="inlineStr">
        <is>
          <t>Sim</t>
        </is>
      </c>
      <c r="L14" s="14">
        <f>IF(OR($B14="",NOT(ISNUMBER($I14))),0,YEAR($I14)*12+MONTH($I14))</f>
        <v>24313</v>
      </c>
      <c r="M14" s="14">
        <f>IF(L14=0,0,IF(ISNUMBER($J14),YEAR($J14)*12+MONTH($J14),999999))</f>
        <v>24324</v>
      </c>
      <c r="N14" s="14">
        <f>IF(L14=0,0,MONTH($I14))</f>
        <v>1</v>
      </c>
      <c r="O14" s="43">
        <f>IF(L14=0,0,IF($G14="Anual",N($F14),N($F14)*12))</f>
        <v>4680</v>
      </c>
      <c r="P14" s="14">
        <f>IF(AND($C14="Despesa",$D14="Assinaturas",$K14="Sim",L14&gt;0),1,0)</f>
        <v>0</v>
      </c>
      <c r="Q14" s="14">
        <f>IF(P14=1,SUM(P$7:P14),0)</f>
        <v>0</v>
      </c>
    </row>
    <row r="15">
      <c r="B15" s="34" t="inlineStr">
        <is>
          <t>Streaming de vídeo</t>
        </is>
      </c>
      <c r="C15" s="34" t="inlineStr">
        <is>
          <t>Despesa</t>
        </is>
      </c>
      <c r="D15" s="34" t="inlineStr">
        <is>
          <t>Assinaturas</t>
        </is>
      </c>
      <c r="E15" s="34" t="inlineStr">
        <is>
          <t>Cartão Roxinho</t>
        </is>
      </c>
      <c r="F15" s="35" t="n">
        <v>55.9</v>
      </c>
      <c r="G15" s="34" t="inlineStr">
        <is>
          <t>Mensal</t>
        </is>
      </c>
      <c r="H15" s="37" t="n">
        <v>12</v>
      </c>
      <c r="I15" s="38" t="n">
        <v>46023</v>
      </c>
      <c r="J15" s="38" t="n"/>
      <c r="K15" s="34" t="inlineStr">
        <is>
          <t>Sim</t>
        </is>
      </c>
      <c r="L15" s="14">
        <f>IF(OR($B15="",NOT(ISNUMBER($I15))),0,YEAR($I15)*12+MONTH($I15))</f>
        <v>24313</v>
      </c>
      <c r="M15" s="14">
        <f>IF(L15=0,0,IF(ISNUMBER($J15),YEAR($J15)*12+MONTH($J15),999999))</f>
        <v>999999</v>
      </c>
      <c r="N15" s="14">
        <f>IF(L15=0,0,MONTH($I15))</f>
        <v>1</v>
      </c>
      <c r="O15" s="43">
        <f>IF(L15=0,0,IF($G15="Anual",N($F15),N($F15)*12))</f>
        <v>670.8</v>
      </c>
      <c r="P15" s="14">
        <f>IF(AND($C15="Despesa",$D15="Assinaturas",$K15="Sim",L15&gt;0),1,0)</f>
        <v>1</v>
      </c>
      <c r="Q15" s="14">
        <f>IF(P15=1,SUM(P$7:P15),0)</f>
        <v>1</v>
      </c>
    </row>
    <row r="16">
      <c r="B16" s="34" t="inlineStr">
        <is>
          <t>Streaming de música</t>
        </is>
      </c>
      <c r="C16" s="34" t="inlineStr">
        <is>
          <t>Despesa</t>
        </is>
      </c>
      <c r="D16" s="34" t="inlineStr">
        <is>
          <t>Assinaturas</t>
        </is>
      </c>
      <c r="E16" s="34" t="inlineStr">
        <is>
          <t>Cartão Roxinho</t>
        </is>
      </c>
      <c r="F16" s="35" t="n">
        <v>21.9</v>
      </c>
      <c r="G16" s="34" t="inlineStr">
        <is>
          <t>Mensal</t>
        </is>
      </c>
      <c r="H16" s="37" t="n">
        <v>12</v>
      </c>
      <c r="I16" s="38" t="n">
        <v>46023</v>
      </c>
      <c r="J16" s="38" t="n"/>
      <c r="K16" s="34" t="inlineStr">
        <is>
          <t>Sim</t>
        </is>
      </c>
      <c r="L16" s="14">
        <f>IF(OR($B16="",NOT(ISNUMBER($I16))),0,YEAR($I16)*12+MONTH($I16))</f>
        <v>24313</v>
      </c>
      <c r="M16" s="14">
        <f>IF(L16=0,0,IF(ISNUMBER($J16),YEAR($J16)*12+MONTH($J16),999999))</f>
        <v>999999</v>
      </c>
      <c r="N16" s="14">
        <f>IF(L16=0,0,MONTH($I16))</f>
        <v>1</v>
      </c>
      <c r="O16" s="43">
        <f>IF(L16=0,0,IF($G16="Anual",N($F16),N($F16)*12))</f>
        <v>262.8</v>
      </c>
      <c r="P16" s="14">
        <f>IF(AND($C16="Despesa",$D16="Assinaturas",$K16="Sim",L16&gt;0),1,0)</f>
        <v>1</v>
      </c>
      <c r="Q16" s="14">
        <f>IF(P16=1,SUM(P$7:P16),0)</f>
        <v>2</v>
      </c>
    </row>
    <row r="17">
      <c r="B17" s="34" t="inlineStr">
        <is>
          <t>Armazenamento em nuvem</t>
        </is>
      </c>
      <c r="C17" s="34" t="inlineStr">
        <is>
          <t>Despesa</t>
        </is>
      </c>
      <c r="D17" s="34" t="inlineStr">
        <is>
          <t>Assinaturas</t>
        </is>
      </c>
      <c r="E17" s="34" t="inlineStr">
        <is>
          <t>Cartão Azul Gold</t>
        </is>
      </c>
      <c r="F17" s="35" t="n">
        <v>14.9</v>
      </c>
      <c r="G17" s="34" t="inlineStr">
        <is>
          <t>Mensal</t>
        </is>
      </c>
      <c r="H17" s="37" t="n">
        <v>14</v>
      </c>
      <c r="I17" s="38" t="n">
        <v>46023</v>
      </c>
      <c r="J17" s="38" t="n"/>
      <c r="K17" s="34" t="inlineStr">
        <is>
          <t>Sim</t>
        </is>
      </c>
      <c r="L17" s="14">
        <f>IF(OR($B17="",NOT(ISNUMBER($I17))),0,YEAR($I17)*12+MONTH($I17))</f>
        <v>24313</v>
      </c>
      <c r="M17" s="14">
        <f>IF(L17=0,0,IF(ISNUMBER($J17),YEAR($J17)*12+MONTH($J17),999999))</f>
        <v>999999</v>
      </c>
      <c r="N17" s="14">
        <f>IF(L17=0,0,MONTH($I17))</f>
        <v>1</v>
      </c>
      <c r="O17" s="43">
        <f>IF(L17=0,0,IF($G17="Anual",N($F17),N($F17)*12))</f>
        <v>178.8</v>
      </c>
      <c r="P17" s="14">
        <f>IF(AND($C17="Despesa",$D17="Assinaturas",$K17="Sim",L17&gt;0),1,0)</f>
        <v>1</v>
      </c>
      <c r="Q17" s="14">
        <f>IF(P17=1,SUM(P$7:P17),0)</f>
        <v>3</v>
      </c>
    </row>
    <row r="18">
      <c r="B18" s="34" t="inlineStr">
        <is>
          <t>Academia</t>
        </is>
      </c>
      <c r="C18" s="34" t="inlineStr">
        <is>
          <t>Despesa</t>
        </is>
      </c>
      <c r="D18" s="34" t="inlineStr">
        <is>
          <t>Assinaturas</t>
        </is>
      </c>
      <c r="E18" s="34" t="inlineStr">
        <is>
          <t>Conta Corrente Banco Azul</t>
        </is>
      </c>
      <c r="F18" s="35" t="n">
        <v>129</v>
      </c>
      <c r="G18" s="34" t="inlineStr">
        <is>
          <t>Mensal</t>
        </is>
      </c>
      <c r="H18" s="37" t="n">
        <v>3</v>
      </c>
      <c r="I18" s="38" t="n">
        <v>46023</v>
      </c>
      <c r="J18" s="38" t="n"/>
      <c r="K18" s="34" t="inlineStr">
        <is>
          <t>Sim</t>
        </is>
      </c>
      <c r="L18" s="14">
        <f>IF(OR($B18="",NOT(ISNUMBER($I18))),0,YEAR($I18)*12+MONTH($I18))</f>
        <v>24313</v>
      </c>
      <c r="M18" s="14">
        <f>IF(L18=0,0,IF(ISNUMBER($J18),YEAR($J18)*12+MONTH($J18),999999))</f>
        <v>999999</v>
      </c>
      <c r="N18" s="14">
        <f>IF(L18=0,0,MONTH($I18))</f>
        <v>1</v>
      </c>
      <c r="O18" s="43">
        <f>IF(L18=0,0,IF($G18="Anual",N($F18),N($F18)*12))</f>
        <v>1548</v>
      </c>
      <c r="P18" s="14">
        <f>IF(AND($C18="Despesa",$D18="Assinaturas",$K18="Sim",L18&gt;0),1,0)</f>
        <v>1</v>
      </c>
      <c r="Q18" s="14">
        <f>IF(P18=1,SUM(P$7:P18),0)</f>
        <v>4</v>
      </c>
    </row>
    <row r="19">
      <c r="B19" s="34" t="inlineStr">
        <is>
          <t>Financiamento do carro</t>
        </is>
      </c>
      <c r="C19" s="34" t="inlineStr">
        <is>
          <t>Despesa</t>
        </is>
      </c>
      <c r="D19" s="34" t="inlineStr">
        <is>
          <t>Dívidas e Financiamentos</t>
        </is>
      </c>
      <c r="E19" s="34" t="inlineStr">
        <is>
          <t>Conta Corrente Banco Azul</t>
        </is>
      </c>
      <c r="F19" s="35" t="n">
        <v>1150</v>
      </c>
      <c r="G19" s="34" t="inlineStr">
        <is>
          <t>Mensal</t>
        </is>
      </c>
      <c r="H19" s="37" t="n">
        <v>20</v>
      </c>
      <c r="I19" s="38" t="n">
        <v>46023</v>
      </c>
      <c r="J19" s="38" t="n">
        <v>47208</v>
      </c>
      <c r="K19" s="34" t="inlineStr">
        <is>
          <t>Sim</t>
        </is>
      </c>
      <c r="L19" s="14">
        <f>IF(OR($B19="",NOT(ISNUMBER($I19))),0,YEAR($I19)*12+MONTH($I19))</f>
        <v>24313</v>
      </c>
      <c r="M19" s="14">
        <f>IF(L19=0,0,IF(ISNUMBER($J19),YEAR($J19)*12+MONTH($J19),999999))</f>
        <v>24351</v>
      </c>
      <c r="N19" s="14">
        <f>IF(L19=0,0,MONTH($I19))</f>
        <v>1</v>
      </c>
      <c r="O19" s="43">
        <f>IF(L19=0,0,IF($G19="Anual",N($F19),N($F19)*12))</f>
        <v>13800</v>
      </c>
      <c r="P19" s="14">
        <f>IF(AND($C19="Despesa",$D19="Assinaturas",$K19="Sim",L19&gt;0),1,0)</f>
        <v>0</v>
      </c>
      <c r="Q19" s="14">
        <f>IF(P19=1,SUM(P$7:P19),0)</f>
        <v>0</v>
      </c>
    </row>
    <row r="20">
      <c r="B20" s="34" t="inlineStr">
        <is>
          <t>Empréstimo pessoal</t>
        </is>
      </c>
      <c r="C20" s="34" t="inlineStr">
        <is>
          <t>Despesa</t>
        </is>
      </c>
      <c r="D20" s="34" t="inlineStr">
        <is>
          <t>Dívidas e Financiamentos</t>
        </is>
      </c>
      <c r="E20" s="34" t="inlineStr">
        <is>
          <t>Conta Corrente Banco Azul</t>
        </is>
      </c>
      <c r="F20" s="35" t="n">
        <v>580</v>
      </c>
      <c r="G20" s="34" t="inlineStr">
        <is>
          <t>Mensal</t>
        </is>
      </c>
      <c r="H20" s="37" t="n">
        <v>22</v>
      </c>
      <c r="I20" s="38" t="n">
        <v>46023</v>
      </c>
      <c r="J20" s="38" t="n">
        <v>46660</v>
      </c>
      <c r="K20" s="34" t="inlineStr">
        <is>
          <t>Sim</t>
        </is>
      </c>
      <c r="L20" s="14">
        <f>IF(OR($B20="",NOT(ISNUMBER($I20))),0,YEAR($I20)*12+MONTH($I20))</f>
        <v>24313</v>
      </c>
      <c r="M20" s="14">
        <f>IF(L20=0,0,IF(ISNUMBER($J20),YEAR($J20)*12+MONTH($J20),999999))</f>
        <v>24333</v>
      </c>
      <c r="N20" s="14">
        <f>IF(L20=0,0,MONTH($I20))</f>
        <v>1</v>
      </c>
      <c r="O20" s="43">
        <f>IF(L20=0,0,IF($G20="Anual",N($F20),N($F20)*12))</f>
        <v>6960</v>
      </c>
      <c r="P20" s="14">
        <f>IF(AND($C20="Despesa",$D20="Assinaturas",$K20="Sim",L20&gt;0),1,0)</f>
        <v>0</v>
      </c>
      <c r="Q20" s="14">
        <f>IF(P20=1,SUM(P$7:P20),0)</f>
        <v>0</v>
      </c>
    </row>
    <row r="21">
      <c r="B21" s="34" t="inlineStr">
        <is>
          <t>Aporte mensal - reserva</t>
        </is>
      </c>
      <c r="C21" s="34" t="inlineStr">
        <is>
          <t>Investimento</t>
        </is>
      </c>
      <c r="D21" s="34" t="inlineStr">
        <is>
          <t>Investimento</t>
        </is>
      </c>
      <c r="E21" s="34" t="inlineStr">
        <is>
          <t>Conta Corrente Banco Azul</t>
        </is>
      </c>
      <c r="F21" s="35" t="n">
        <v>2050</v>
      </c>
      <c r="G21" s="34" t="inlineStr">
        <is>
          <t>Mensal</t>
        </is>
      </c>
      <c r="H21" s="37" t="n">
        <v>6</v>
      </c>
      <c r="I21" s="38" t="n">
        <v>46023</v>
      </c>
      <c r="J21" s="38" t="n"/>
      <c r="K21" s="34" t="inlineStr">
        <is>
          <t>Sim</t>
        </is>
      </c>
      <c r="L21" s="14">
        <f>IF(OR($B21="",NOT(ISNUMBER($I21))),0,YEAR($I21)*12+MONTH($I21))</f>
        <v>24313</v>
      </c>
      <c r="M21" s="14">
        <f>IF(L21=0,0,IF(ISNUMBER($J21),YEAR($J21)*12+MONTH($J21),999999))</f>
        <v>999999</v>
      </c>
      <c r="N21" s="14">
        <f>IF(L21=0,0,MONTH($I21))</f>
        <v>1</v>
      </c>
      <c r="O21" s="43">
        <f>IF(L21=0,0,IF($G21="Anual",N($F21),N($F21)*12))</f>
        <v>24600</v>
      </c>
      <c r="P21" s="14">
        <f>IF(AND($C21="Despesa",$D21="Assinaturas",$K21="Sim",L21&gt;0),1,0)</f>
        <v>0</v>
      </c>
      <c r="Q21" s="14">
        <f>IF(P21=1,SUM(P$7:P21),0)</f>
        <v>0</v>
      </c>
    </row>
    <row r="22">
      <c r="B22" s="34" t="inlineStr">
        <is>
          <t>13º salário</t>
        </is>
      </c>
      <c r="C22" s="34" t="inlineStr">
        <is>
          <t>Receita</t>
        </is>
      </c>
      <c r="D22" s="34" t="inlineStr">
        <is>
          <t>13º/Férias/PLR</t>
        </is>
      </c>
      <c r="E22" s="34" t="inlineStr">
        <is>
          <t>Conta Corrente Banco Azul</t>
        </is>
      </c>
      <c r="F22" s="35" t="n">
        <v>10800</v>
      </c>
      <c r="G22" s="34" t="inlineStr">
        <is>
          <t>Anual</t>
        </is>
      </c>
      <c r="H22" s="37" t="n">
        <v>20</v>
      </c>
      <c r="I22" s="38" t="n">
        <v>46376</v>
      </c>
      <c r="J22" s="38" t="n"/>
      <c r="K22" s="34" t="inlineStr">
        <is>
          <t>Sim</t>
        </is>
      </c>
      <c r="L22" s="14">
        <f>IF(OR($B22="",NOT(ISNUMBER($I22))),0,YEAR($I22)*12+MONTH($I22))</f>
        <v>24324</v>
      </c>
      <c r="M22" s="14">
        <f>IF(L22=0,0,IF(ISNUMBER($J22),YEAR($J22)*12+MONTH($J22),999999))</f>
        <v>999999</v>
      </c>
      <c r="N22" s="14">
        <f>IF(L22=0,0,MONTH($I22))</f>
        <v>12</v>
      </c>
      <c r="O22" s="43">
        <f>IF(L22=0,0,IF($G22="Anual",N($F22),N($F22)*12))</f>
        <v>10800</v>
      </c>
      <c r="P22" s="14">
        <f>IF(AND($C22="Despesa",$D22="Assinaturas",$K22="Sim",L22&gt;0),1,0)</f>
        <v>0</v>
      </c>
      <c r="Q22" s="14">
        <f>IF(P22=1,SUM(P$7:P22),0)</f>
        <v>0</v>
      </c>
    </row>
    <row r="23">
      <c r="B23" s="34" t="inlineStr">
        <is>
          <t>IPVA</t>
        </is>
      </c>
      <c r="C23" s="34" t="inlineStr">
        <is>
          <t>Despesa</t>
        </is>
      </c>
      <c r="D23" s="34" t="inlineStr">
        <is>
          <t>Impostos e Taxas</t>
        </is>
      </c>
      <c r="E23" s="34" t="inlineStr">
        <is>
          <t>Conta Corrente Banco Azul</t>
        </is>
      </c>
      <c r="F23" s="35" t="n">
        <v>2100</v>
      </c>
      <c r="G23" s="34" t="inlineStr">
        <is>
          <t>Anual</t>
        </is>
      </c>
      <c r="H23" s="37" t="n">
        <v>15</v>
      </c>
      <c r="I23" s="38" t="n">
        <v>46402</v>
      </c>
      <c r="J23" s="38" t="n"/>
      <c r="K23" s="34" t="inlineStr">
        <is>
          <t>Sim</t>
        </is>
      </c>
      <c r="L23" s="14">
        <f>IF(OR($B23="",NOT(ISNUMBER($I23))),0,YEAR($I23)*12+MONTH($I23))</f>
        <v>24325</v>
      </c>
      <c r="M23" s="14">
        <f>IF(L23=0,0,IF(ISNUMBER($J23),YEAR($J23)*12+MONTH($J23),999999))</f>
        <v>999999</v>
      </c>
      <c r="N23" s="14">
        <f>IF(L23=0,0,MONTH($I23))</f>
        <v>1</v>
      </c>
      <c r="O23" s="43">
        <f>IF(L23=0,0,IF($G23="Anual",N($F23),N($F23)*12))</f>
        <v>2100</v>
      </c>
      <c r="P23" s="14">
        <f>IF(AND($C23="Despesa",$D23="Assinaturas",$K23="Sim",L23&gt;0),1,0)</f>
        <v>0</v>
      </c>
      <c r="Q23" s="14">
        <f>IF(P23=1,SUM(P$7:P23),0)</f>
        <v>0</v>
      </c>
    </row>
    <row r="24">
      <c r="B24" s="34" t="inlineStr">
        <is>
          <t>Seguro do carro</t>
        </is>
      </c>
      <c r="C24" s="34" t="inlineStr">
        <is>
          <t>Despesa</t>
        </is>
      </c>
      <c r="D24" s="34" t="inlineStr">
        <is>
          <t>Transporte</t>
        </is>
      </c>
      <c r="E24" s="34" t="inlineStr">
        <is>
          <t>Conta Corrente Banco Azul</t>
        </is>
      </c>
      <c r="F24" s="35" t="n">
        <v>2700</v>
      </c>
      <c r="G24" s="34" t="inlineStr">
        <is>
          <t>Anual</t>
        </is>
      </c>
      <c r="H24" s="37" t="n">
        <v>18</v>
      </c>
      <c r="I24" s="38" t="n">
        <v>46313</v>
      </c>
      <c r="J24" s="38" t="n"/>
      <c r="K24" s="34" t="inlineStr">
        <is>
          <t>Sim</t>
        </is>
      </c>
      <c r="L24" s="14">
        <f>IF(OR($B24="",NOT(ISNUMBER($I24))),0,YEAR($I24)*12+MONTH($I24))</f>
        <v>24322</v>
      </c>
      <c r="M24" s="14">
        <f>IF(L24=0,0,IF(ISNUMBER($J24),YEAR($J24)*12+MONTH($J24),999999))</f>
        <v>999999</v>
      </c>
      <c r="N24" s="14">
        <f>IF(L24=0,0,MONTH($I24))</f>
        <v>10</v>
      </c>
      <c r="O24" s="43">
        <f>IF(L24=0,0,IF($G24="Anual",N($F24),N($F24)*12))</f>
        <v>2700</v>
      </c>
      <c r="P24" s="14">
        <f>IF(AND($C24="Despesa",$D24="Assinaturas",$K24="Sim",L24&gt;0),1,0)</f>
        <v>0</v>
      </c>
      <c r="Q24" s="14">
        <f>IF(P24=1,SUM(P$7:P24),0)</f>
        <v>0</v>
      </c>
    </row>
    <row r="25">
      <c r="B25" s="34" t="n"/>
      <c r="C25" s="34" t="n"/>
      <c r="D25" s="34" t="n"/>
      <c r="E25" s="34" t="n"/>
      <c r="F25" s="35" t="n"/>
      <c r="G25" s="34" t="n"/>
      <c r="H25" s="37" t="n"/>
      <c r="I25" s="38" t="n"/>
      <c r="J25" s="38" t="n"/>
      <c r="K25" s="34" t="n"/>
      <c r="L25" s="14">
        <f>IF(OR($B25="",NOT(ISNUMBER($I25))),0,YEAR($I25)*12+MONTH($I25))</f>
        <v>0</v>
      </c>
      <c r="M25" s="14">
        <f>IF(L25=0,0,IF(ISNUMBER($J25),YEAR($J25)*12+MONTH($J25),999999))</f>
        <v>0</v>
      </c>
      <c r="N25" s="14">
        <f>IF(L25=0,0,MONTH($I25))</f>
        <v>0</v>
      </c>
      <c r="O25" s="43">
        <f>IF(L25=0,0,IF($G25="Anual",N($F25),N($F25)*12))</f>
        <v>0</v>
      </c>
      <c r="P25" s="14">
        <f>IF(AND($C25="Despesa",$D25="Assinaturas",$K25="Sim",L25&gt;0),1,0)</f>
        <v>0</v>
      </c>
      <c r="Q25" s="14">
        <f>IF(P25=1,SUM(P$7:P25),0)</f>
        <v>0</v>
      </c>
    </row>
    <row r="26">
      <c r="B26" s="34" t="n"/>
      <c r="C26" s="34" t="n"/>
      <c r="D26" s="34" t="n"/>
      <c r="E26" s="34" t="n"/>
      <c r="F26" s="35" t="n"/>
      <c r="G26" s="34" t="n"/>
      <c r="H26" s="37" t="n"/>
      <c r="I26" s="38" t="n"/>
      <c r="J26" s="38" t="n"/>
      <c r="K26" s="34" t="n"/>
      <c r="L26" s="14">
        <f>IF(OR($B26="",NOT(ISNUMBER($I26))),0,YEAR($I26)*12+MONTH($I26))</f>
        <v>0</v>
      </c>
      <c r="M26" s="14">
        <f>IF(L26=0,0,IF(ISNUMBER($J26),YEAR($J26)*12+MONTH($J26),999999))</f>
        <v>0</v>
      </c>
      <c r="N26" s="14">
        <f>IF(L26=0,0,MONTH($I26))</f>
        <v>0</v>
      </c>
      <c r="O26" s="43">
        <f>IF(L26=0,0,IF($G26="Anual",N($F26),N($F26)*12))</f>
        <v>0</v>
      </c>
      <c r="P26" s="14">
        <f>IF(AND($C26="Despesa",$D26="Assinaturas",$K26="Sim",L26&gt;0),1,0)</f>
        <v>0</v>
      </c>
      <c r="Q26" s="14">
        <f>IF(P26=1,SUM(P$7:P26),0)</f>
        <v>0</v>
      </c>
    </row>
    <row r="27">
      <c r="B27" s="34" t="n"/>
      <c r="C27" s="34" t="n"/>
      <c r="D27" s="34" t="n"/>
      <c r="E27" s="34" t="n"/>
      <c r="F27" s="35" t="n"/>
      <c r="G27" s="34" t="n"/>
      <c r="H27" s="37" t="n"/>
      <c r="I27" s="38" t="n"/>
      <c r="J27" s="38" t="n"/>
      <c r="K27" s="34" t="n"/>
      <c r="L27" s="14">
        <f>IF(OR($B27="",NOT(ISNUMBER($I27))),0,YEAR($I27)*12+MONTH($I27))</f>
        <v>0</v>
      </c>
      <c r="M27" s="14">
        <f>IF(L27=0,0,IF(ISNUMBER($J27),YEAR($J27)*12+MONTH($J27),999999))</f>
        <v>0</v>
      </c>
      <c r="N27" s="14">
        <f>IF(L27=0,0,MONTH($I27))</f>
        <v>0</v>
      </c>
      <c r="O27" s="43">
        <f>IF(L27=0,0,IF($G27="Anual",N($F27),N($F27)*12))</f>
        <v>0</v>
      </c>
      <c r="P27" s="14">
        <f>IF(AND($C27="Despesa",$D27="Assinaturas",$K27="Sim",L27&gt;0),1,0)</f>
        <v>0</v>
      </c>
      <c r="Q27" s="14">
        <f>IF(P27=1,SUM(P$7:P27),0)</f>
        <v>0</v>
      </c>
    </row>
    <row r="28">
      <c r="B28" s="34" t="n"/>
      <c r="C28" s="34" t="n"/>
      <c r="D28" s="34" t="n"/>
      <c r="E28" s="34" t="n"/>
      <c r="F28" s="35" t="n"/>
      <c r="G28" s="34" t="n"/>
      <c r="H28" s="37" t="n"/>
      <c r="I28" s="38" t="n"/>
      <c r="J28" s="38" t="n"/>
      <c r="K28" s="34" t="n"/>
      <c r="L28" s="14">
        <f>IF(OR($B28="",NOT(ISNUMBER($I28))),0,YEAR($I28)*12+MONTH($I28))</f>
        <v>0</v>
      </c>
      <c r="M28" s="14">
        <f>IF(L28=0,0,IF(ISNUMBER($J28),YEAR($J28)*12+MONTH($J28),999999))</f>
        <v>0</v>
      </c>
      <c r="N28" s="14">
        <f>IF(L28=0,0,MONTH($I28))</f>
        <v>0</v>
      </c>
      <c r="O28" s="43">
        <f>IF(L28=0,0,IF($G28="Anual",N($F28),N($F28)*12))</f>
        <v>0</v>
      </c>
      <c r="P28" s="14">
        <f>IF(AND($C28="Despesa",$D28="Assinaturas",$K28="Sim",L28&gt;0),1,0)</f>
        <v>0</v>
      </c>
      <c r="Q28" s="14">
        <f>IF(P28=1,SUM(P$7:P28),0)</f>
        <v>0</v>
      </c>
    </row>
    <row r="29">
      <c r="B29" s="34" t="n"/>
      <c r="C29" s="34" t="n"/>
      <c r="D29" s="34" t="n"/>
      <c r="E29" s="34" t="n"/>
      <c r="F29" s="35" t="n"/>
      <c r="G29" s="34" t="n"/>
      <c r="H29" s="37" t="n"/>
      <c r="I29" s="38" t="n"/>
      <c r="J29" s="38" t="n"/>
      <c r="K29" s="34" t="n"/>
      <c r="L29" s="14">
        <f>IF(OR($B29="",NOT(ISNUMBER($I29))),0,YEAR($I29)*12+MONTH($I29))</f>
        <v>0</v>
      </c>
      <c r="M29" s="14">
        <f>IF(L29=0,0,IF(ISNUMBER($J29),YEAR($J29)*12+MONTH($J29),999999))</f>
        <v>0</v>
      </c>
      <c r="N29" s="14">
        <f>IF(L29=0,0,MONTH($I29))</f>
        <v>0</v>
      </c>
      <c r="O29" s="43">
        <f>IF(L29=0,0,IF($G29="Anual",N($F29),N($F29)*12))</f>
        <v>0</v>
      </c>
      <c r="P29" s="14">
        <f>IF(AND($C29="Despesa",$D29="Assinaturas",$K29="Sim",L29&gt;0),1,0)</f>
        <v>0</v>
      </c>
      <c r="Q29" s="14">
        <f>IF(P29=1,SUM(P$7:P29),0)</f>
        <v>0</v>
      </c>
    </row>
    <row r="30">
      <c r="B30" s="34" t="n"/>
      <c r="C30" s="34" t="n"/>
      <c r="D30" s="34" t="n"/>
      <c r="E30" s="34" t="n"/>
      <c r="F30" s="35" t="n"/>
      <c r="G30" s="34" t="n"/>
      <c r="H30" s="37" t="n"/>
      <c r="I30" s="38" t="n"/>
      <c r="J30" s="38" t="n"/>
      <c r="K30" s="34" t="n"/>
      <c r="L30" s="14">
        <f>IF(OR($B30="",NOT(ISNUMBER($I30))),0,YEAR($I30)*12+MONTH($I30))</f>
        <v>0</v>
      </c>
      <c r="M30" s="14">
        <f>IF(L30=0,0,IF(ISNUMBER($J30),YEAR($J30)*12+MONTH($J30),999999))</f>
        <v>0</v>
      </c>
      <c r="N30" s="14">
        <f>IF(L30=0,0,MONTH($I30))</f>
        <v>0</v>
      </c>
      <c r="O30" s="43">
        <f>IF(L30=0,0,IF($G30="Anual",N($F30),N($F30)*12))</f>
        <v>0</v>
      </c>
      <c r="P30" s="14">
        <f>IF(AND($C30="Despesa",$D30="Assinaturas",$K30="Sim",L30&gt;0),1,0)</f>
        <v>0</v>
      </c>
      <c r="Q30" s="14">
        <f>IF(P30=1,SUM(P$7:P30),0)</f>
        <v>0</v>
      </c>
    </row>
    <row r="31">
      <c r="B31" s="34" t="n"/>
      <c r="C31" s="34" t="n"/>
      <c r="D31" s="34" t="n"/>
      <c r="E31" s="34" t="n"/>
      <c r="F31" s="35" t="n"/>
      <c r="G31" s="34" t="n"/>
      <c r="H31" s="37" t="n"/>
      <c r="I31" s="38" t="n"/>
      <c r="J31" s="38" t="n"/>
      <c r="K31" s="34" t="n"/>
      <c r="L31" s="14">
        <f>IF(OR($B31="",NOT(ISNUMBER($I31))),0,YEAR($I31)*12+MONTH($I31))</f>
        <v>0</v>
      </c>
      <c r="M31" s="14">
        <f>IF(L31=0,0,IF(ISNUMBER($J31),YEAR($J31)*12+MONTH($J31),999999))</f>
        <v>0</v>
      </c>
      <c r="N31" s="14">
        <f>IF(L31=0,0,MONTH($I31))</f>
        <v>0</v>
      </c>
      <c r="O31" s="43">
        <f>IF(L31=0,0,IF($G31="Anual",N($F31),N($F31)*12))</f>
        <v>0</v>
      </c>
      <c r="P31" s="14">
        <f>IF(AND($C31="Despesa",$D31="Assinaturas",$K31="Sim",L31&gt;0),1,0)</f>
        <v>0</v>
      </c>
      <c r="Q31" s="14">
        <f>IF(P31=1,SUM(P$7:P31),0)</f>
        <v>0</v>
      </c>
    </row>
    <row r="32">
      <c r="B32" s="34" t="n"/>
      <c r="C32" s="34" t="n"/>
      <c r="D32" s="34" t="n"/>
      <c r="E32" s="34" t="n"/>
      <c r="F32" s="35" t="n"/>
      <c r="G32" s="34" t="n"/>
      <c r="H32" s="37" t="n"/>
      <c r="I32" s="38" t="n"/>
      <c r="J32" s="38" t="n"/>
      <c r="K32" s="34" t="n"/>
      <c r="L32" s="14">
        <f>IF(OR($B32="",NOT(ISNUMBER($I32))),0,YEAR($I32)*12+MONTH($I32))</f>
        <v>0</v>
      </c>
      <c r="M32" s="14">
        <f>IF(L32=0,0,IF(ISNUMBER($J32),YEAR($J32)*12+MONTH($J32),999999))</f>
        <v>0</v>
      </c>
      <c r="N32" s="14">
        <f>IF(L32=0,0,MONTH($I32))</f>
        <v>0</v>
      </c>
      <c r="O32" s="43">
        <f>IF(L32=0,0,IF($G32="Anual",N($F32),N($F32)*12))</f>
        <v>0</v>
      </c>
      <c r="P32" s="14">
        <f>IF(AND($C32="Despesa",$D32="Assinaturas",$K32="Sim",L32&gt;0),1,0)</f>
        <v>0</v>
      </c>
      <c r="Q32" s="14">
        <f>IF(P32=1,SUM(P$7:P32),0)</f>
        <v>0</v>
      </c>
    </row>
    <row r="33">
      <c r="B33" s="34" t="n"/>
      <c r="C33" s="34" t="n"/>
      <c r="D33" s="34" t="n"/>
      <c r="E33" s="34" t="n"/>
      <c r="F33" s="35" t="n"/>
      <c r="G33" s="34" t="n"/>
      <c r="H33" s="37" t="n"/>
      <c r="I33" s="38" t="n"/>
      <c r="J33" s="38" t="n"/>
      <c r="K33" s="34" t="n"/>
      <c r="L33" s="14">
        <f>IF(OR($B33="",NOT(ISNUMBER($I33))),0,YEAR($I33)*12+MONTH($I33))</f>
        <v>0</v>
      </c>
      <c r="M33" s="14">
        <f>IF(L33=0,0,IF(ISNUMBER($J33),YEAR($J33)*12+MONTH($J33),999999))</f>
        <v>0</v>
      </c>
      <c r="N33" s="14">
        <f>IF(L33=0,0,MONTH($I33))</f>
        <v>0</v>
      </c>
      <c r="O33" s="43">
        <f>IF(L33=0,0,IF($G33="Anual",N($F33),N($F33)*12))</f>
        <v>0</v>
      </c>
      <c r="P33" s="14">
        <f>IF(AND($C33="Despesa",$D33="Assinaturas",$K33="Sim",L33&gt;0),1,0)</f>
        <v>0</v>
      </c>
      <c r="Q33" s="14">
        <f>IF(P33=1,SUM(P$7:P33),0)</f>
        <v>0</v>
      </c>
    </row>
    <row r="34">
      <c r="B34" s="34" t="n"/>
      <c r="C34" s="34" t="n"/>
      <c r="D34" s="34" t="n"/>
      <c r="E34" s="34" t="n"/>
      <c r="F34" s="35" t="n"/>
      <c r="G34" s="34" t="n"/>
      <c r="H34" s="37" t="n"/>
      <c r="I34" s="38" t="n"/>
      <c r="J34" s="38" t="n"/>
      <c r="K34" s="34" t="n"/>
      <c r="L34" s="14">
        <f>IF(OR($B34="",NOT(ISNUMBER($I34))),0,YEAR($I34)*12+MONTH($I34))</f>
        <v>0</v>
      </c>
      <c r="M34" s="14">
        <f>IF(L34=0,0,IF(ISNUMBER($J34),YEAR($J34)*12+MONTH($J34),999999))</f>
        <v>0</v>
      </c>
      <c r="N34" s="14">
        <f>IF(L34=0,0,MONTH($I34))</f>
        <v>0</v>
      </c>
      <c r="O34" s="43">
        <f>IF(L34=0,0,IF($G34="Anual",N($F34),N($F34)*12))</f>
        <v>0</v>
      </c>
      <c r="P34" s="14">
        <f>IF(AND($C34="Despesa",$D34="Assinaturas",$K34="Sim",L34&gt;0),1,0)</f>
        <v>0</v>
      </c>
      <c r="Q34" s="14">
        <f>IF(P34=1,SUM(P$7:P34),0)</f>
        <v>0</v>
      </c>
    </row>
    <row r="35">
      <c r="B35" s="34" t="n"/>
      <c r="C35" s="34" t="n"/>
      <c r="D35" s="34" t="n"/>
      <c r="E35" s="34" t="n"/>
      <c r="F35" s="35" t="n"/>
      <c r="G35" s="34" t="n"/>
      <c r="H35" s="37" t="n"/>
      <c r="I35" s="38" t="n"/>
      <c r="J35" s="38" t="n"/>
      <c r="K35" s="34" t="n"/>
      <c r="L35" s="14">
        <f>IF(OR($B35="",NOT(ISNUMBER($I35))),0,YEAR($I35)*12+MONTH($I35))</f>
        <v>0</v>
      </c>
      <c r="M35" s="14">
        <f>IF(L35=0,0,IF(ISNUMBER($J35),YEAR($J35)*12+MONTH($J35),999999))</f>
        <v>0</v>
      </c>
      <c r="N35" s="14">
        <f>IF(L35=0,0,MONTH($I35))</f>
        <v>0</v>
      </c>
      <c r="O35" s="43">
        <f>IF(L35=0,0,IF($G35="Anual",N($F35),N($F35)*12))</f>
        <v>0</v>
      </c>
      <c r="P35" s="14">
        <f>IF(AND($C35="Despesa",$D35="Assinaturas",$K35="Sim",L35&gt;0),1,0)</f>
        <v>0</v>
      </c>
      <c r="Q35" s="14">
        <f>IF(P35=1,SUM(P$7:P35),0)</f>
        <v>0</v>
      </c>
    </row>
    <row r="36">
      <c r="B36" s="34" t="n"/>
      <c r="C36" s="34" t="n"/>
      <c r="D36" s="34" t="n"/>
      <c r="E36" s="34" t="n"/>
      <c r="F36" s="35" t="n"/>
      <c r="G36" s="34" t="n"/>
      <c r="H36" s="37" t="n"/>
      <c r="I36" s="38" t="n"/>
      <c r="J36" s="38" t="n"/>
      <c r="K36" s="34" t="n"/>
      <c r="L36" s="14">
        <f>IF(OR($B36="",NOT(ISNUMBER($I36))),0,YEAR($I36)*12+MONTH($I36))</f>
        <v>0</v>
      </c>
      <c r="M36" s="14">
        <f>IF(L36=0,0,IF(ISNUMBER($J36),YEAR($J36)*12+MONTH($J36),999999))</f>
        <v>0</v>
      </c>
      <c r="N36" s="14">
        <f>IF(L36=0,0,MONTH($I36))</f>
        <v>0</v>
      </c>
      <c r="O36" s="43">
        <f>IF(L36=0,0,IF($G36="Anual",N($F36),N($F36)*12))</f>
        <v>0</v>
      </c>
      <c r="P36" s="14">
        <f>IF(AND($C36="Despesa",$D36="Assinaturas",$K36="Sim",L36&gt;0),1,0)</f>
        <v>0</v>
      </c>
      <c r="Q36" s="14">
        <f>IF(P36=1,SUM(P$7:P36),0)</f>
        <v>0</v>
      </c>
    </row>
    <row r="37">
      <c r="B37" s="34" t="n"/>
      <c r="C37" s="34" t="n"/>
      <c r="D37" s="34" t="n"/>
      <c r="E37" s="34" t="n"/>
      <c r="F37" s="35" t="n"/>
      <c r="G37" s="34" t="n"/>
      <c r="H37" s="37" t="n"/>
      <c r="I37" s="38" t="n"/>
      <c r="J37" s="38" t="n"/>
      <c r="K37" s="34" t="n"/>
      <c r="L37" s="14">
        <f>IF(OR($B37="",NOT(ISNUMBER($I37))),0,YEAR($I37)*12+MONTH($I37))</f>
        <v>0</v>
      </c>
      <c r="M37" s="14">
        <f>IF(L37=0,0,IF(ISNUMBER($J37),YEAR($J37)*12+MONTH($J37),999999))</f>
        <v>0</v>
      </c>
      <c r="N37" s="14">
        <f>IF(L37=0,0,MONTH($I37))</f>
        <v>0</v>
      </c>
      <c r="O37" s="43">
        <f>IF(L37=0,0,IF($G37="Anual",N($F37),N($F37)*12))</f>
        <v>0</v>
      </c>
      <c r="P37" s="14">
        <f>IF(AND($C37="Despesa",$D37="Assinaturas",$K37="Sim",L37&gt;0),1,0)</f>
        <v>0</v>
      </c>
      <c r="Q37" s="14">
        <f>IF(P37=1,SUM(P$7:P37),0)</f>
        <v>0</v>
      </c>
    </row>
    <row r="38">
      <c r="B38" s="34" t="n"/>
      <c r="C38" s="34" t="n"/>
      <c r="D38" s="34" t="n"/>
      <c r="E38" s="34" t="n"/>
      <c r="F38" s="35" t="n"/>
      <c r="G38" s="34" t="n"/>
      <c r="H38" s="37" t="n"/>
      <c r="I38" s="38" t="n"/>
      <c r="J38" s="38" t="n"/>
      <c r="K38" s="34" t="n"/>
      <c r="L38" s="14">
        <f>IF(OR($B38="",NOT(ISNUMBER($I38))),0,YEAR($I38)*12+MONTH($I38))</f>
        <v>0</v>
      </c>
      <c r="M38" s="14">
        <f>IF(L38=0,0,IF(ISNUMBER($J38),YEAR($J38)*12+MONTH($J38),999999))</f>
        <v>0</v>
      </c>
      <c r="N38" s="14">
        <f>IF(L38=0,0,MONTH($I38))</f>
        <v>0</v>
      </c>
      <c r="O38" s="43">
        <f>IF(L38=0,0,IF($G38="Anual",N($F38),N($F38)*12))</f>
        <v>0</v>
      </c>
      <c r="P38" s="14">
        <f>IF(AND($C38="Despesa",$D38="Assinaturas",$K38="Sim",L38&gt;0),1,0)</f>
        <v>0</v>
      </c>
      <c r="Q38" s="14">
        <f>IF(P38=1,SUM(P$7:P38),0)</f>
        <v>0</v>
      </c>
    </row>
    <row r="39">
      <c r="B39" s="34" t="n"/>
      <c r="C39" s="34" t="n"/>
      <c r="D39" s="34" t="n"/>
      <c r="E39" s="34" t="n"/>
      <c r="F39" s="35" t="n"/>
      <c r="G39" s="34" t="n"/>
      <c r="H39" s="37" t="n"/>
      <c r="I39" s="38" t="n"/>
      <c r="J39" s="38" t="n"/>
      <c r="K39" s="34" t="n"/>
      <c r="L39" s="14">
        <f>IF(OR($B39="",NOT(ISNUMBER($I39))),0,YEAR($I39)*12+MONTH($I39))</f>
        <v>0</v>
      </c>
      <c r="M39" s="14">
        <f>IF(L39=0,0,IF(ISNUMBER($J39),YEAR($J39)*12+MONTH($J39),999999))</f>
        <v>0</v>
      </c>
      <c r="N39" s="14">
        <f>IF(L39=0,0,MONTH($I39))</f>
        <v>0</v>
      </c>
      <c r="O39" s="43">
        <f>IF(L39=0,0,IF($G39="Anual",N($F39),N($F39)*12))</f>
        <v>0</v>
      </c>
      <c r="P39" s="14">
        <f>IF(AND($C39="Despesa",$D39="Assinaturas",$K39="Sim",L39&gt;0),1,0)</f>
        <v>0</v>
      </c>
      <c r="Q39" s="14">
        <f>IF(P39=1,SUM(P$7:P39),0)</f>
        <v>0</v>
      </c>
    </row>
    <row r="40">
      <c r="B40" s="34" t="n"/>
      <c r="C40" s="34" t="n"/>
      <c r="D40" s="34" t="n"/>
      <c r="E40" s="34" t="n"/>
      <c r="F40" s="35" t="n"/>
      <c r="G40" s="34" t="n"/>
      <c r="H40" s="37" t="n"/>
      <c r="I40" s="38" t="n"/>
      <c r="J40" s="38" t="n"/>
      <c r="K40" s="34" t="n"/>
      <c r="L40" s="14">
        <f>IF(OR($B40="",NOT(ISNUMBER($I40))),0,YEAR($I40)*12+MONTH($I40))</f>
        <v>0</v>
      </c>
      <c r="M40" s="14">
        <f>IF(L40=0,0,IF(ISNUMBER($J40),YEAR($J40)*12+MONTH($J40),999999))</f>
        <v>0</v>
      </c>
      <c r="N40" s="14">
        <f>IF(L40=0,0,MONTH($I40))</f>
        <v>0</v>
      </c>
      <c r="O40" s="43">
        <f>IF(L40=0,0,IF($G40="Anual",N($F40),N($F40)*12))</f>
        <v>0</v>
      </c>
      <c r="P40" s="14">
        <f>IF(AND($C40="Despesa",$D40="Assinaturas",$K40="Sim",L40&gt;0),1,0)</f>
        <v>0</v>
      </c>
      <c r="Q40" s="14">
        <f>IF(P40=1,SUM(P$7:P40),0)</f>
        <v>0</v>
      </c>
    </row>
    <row r="41">
      <c r="B41" s="34" t="n"/>
      <c r="C41" s="34" t="n"/>
      <c r="D41" s="34" t="n"/>
      <c r="E41" s="34" t="n"/>
      <c r="F41" s="35" t="n"/>
      <c r="G41" s="34" t="n"/>
      <c r="H41" s="37" t="n"/>
      <c r="I41" s="38" t="n"/>
      <c r="J41" s="38" t="n"/>
      <c r="K41" s="34" t="n"/>
      <c r="L41" s="14">
        <f>IF(OR($B41="",NOT(ISNUMBER($I41))),0,YEAR($I41)*12+MONTH($I41))</f>
        <v>0</v>
      </c>
      <c r="M41" s="14">
        <f>IF(L41=0,0,IF(ISNUMBER($J41),YEAR($J41)*12+MONTH($J41),999999))</f>
        <v>0</v>
      </c>
      <c r="N41" s="14">
        <f>IF(L41=0,0,MONTH($I41))</f>
        <v>0</v>
      </c>
      <c r="O41" s="43">
        <f>IF(L41=0,0,IF($G41="Anual",N($F41),N($F41)*12))</f>
        <v>0</v>
      </c>
      <c r="P41" s="14">
        <f>IF(AND($C41="Despesa",$D41="Assinaturas",$K41="Sim",L41&gt;0),1,0)</f>
        <v>0</v>
      </c>
      <c r="Q41" s="14">
        <f>IF(P41=1,SUM(P$7:P41),0)</f>
        <v>0</v>
      </c>
    </row>
    <row r="42">
      <c r="B42" s="34" t="n"/>
      <c r="C42" s="34" t="n"/>
      <c r="D42" s="34" t="n"/>
      <c r="E42" s="34" t="n"/>
      <c r="F42" s="35" t="n"/>
      <c r="G42" s="34" t="n"/>
      <c r="H42" s="37" t="n"/>
      <c r="I42" s="38" t="n"/>
      <c r="J42" s="38" t="n"/>
      <c r="K42" s="34" t="n"/>
      <c r="L42" s="14">
        <f>IF(OR($B42="",NOT(ISNUMBER($I42))),0,YEAR($I42)*12+MONTH($I42))</f>
        <v>0</v>
      </c>
      <c r="M42" s="14">
        <f>IF(L42=0,0,IF(ISNUMBER($J42),YEAR($J42)*12+MONTH($J42),999999))</f>
        <v>0</v>
      </c>
      <c r="N42" s="14">
        <f>IF(L42=0,0,MONTH($I42))</f>
        <v>0</v>
      </c>
      <c r="O42" s="43">
        <f>IF(L42=0,0,IF($G42="Anual",N($F42),N($F42)*12))</f>
        <v>0</v>
      </c>
      <c r="P42" s="14">
        <f>IF(AND($C42="Despesa",$D42="Assinaturas",$K42="Sim",L42&gt;0),1,0)</f>
        <v>0</v>
      </c>
      <c r="Q42" s="14">
        <f>IF(P42=1,SUM(P$7:P42),0)</f>
        <v>0</v>
      </c>
    </row>
    <row r="43">
      <c r="B43" s="34" t="n"/>
      <c r="C43" s="34" t="n"/>
      <c r="D43" s="34" t="n"/>
      <c r="E43" s="34" t="n"/>
      <c r="F43" s="35" t="n"/>
      <c r="G43" s="34" t="n"/>
      <c r="H43" s="37" t="n"/>
      <c r="I43" s="38" t="n"/>
      <c r="J43" s="38" t="n"/>
      <c r="K43" s="34" t="n"/>
      <c r="L43" s="14">
        <f>IF(OR($B43="",NOT(ISNUMBER($I43))),0,YEAR($I43)*12+MONTH($I43))</f>
        <v>0</v>
      </c>
      <c r="M43" s="14">
        <f>IF(L43=0,0,IF(ISNUMBER($J43),YEAR($J43)*12+MONTH($J43),999999))</f>
        <v>0</v>
      </c>
      <c r="N43" s="14">
        <f>IF(L43=0,0,MONTH($I43))</f>
        <v>0</v>
      </c>
      <c r="O43" s="43">
        <f>IF(L43=0,0,IF($G43="Anual",N($F43),N($F43)*12))</f>
        <v>0</v>
      </c>
      <c r="P43" s="14">
        <f>IF(AND($C43="Despesa",$D43="Assinaturas",$K43="Sim",L43&gt;0),1,0)</f>
        <v>0</v>
      </c>
      <c r="Q43" s="14">
        <f>IF(P43=1,SUM(P$7:P43),0)</f>
        <v>0</v>
      </c>
    </row>
    <row r="44">
      <c r="B44" s="34" t="n"/>
      <c r="C44" s="34" t="n"/>
      <c r="D44" s="34" t="n"/>
      <c r="E44" s="34" t="n"/>
      <c r="F44" s="35" t="n"/>
      <c r="G44" s="34" t="n"/>
      <c r="H44" s="37" t="n"/>
      <c r="I44" s="38" t="n"/>
      <c r="J44" s="38" t="n"/>
      <c r="K44" s="34" t="n"/>
      <c r="L44" s="14">
        <f>IF(OR($B44="",NOT(ISNUMBER($I44))),0,YEAR($I44)*12+MONTH($I44))</f>
        <v>0</v>
      </c>
      <c r="M44" s="14">
        <f>IF(L44=0,0,IF(ISNUMBER($J44),YEAR($J44)*12+MONTH($J44),999999))</f>
        <v>0</v>
      </c>
      <c r="N44" s="14">
        <f>IF(L44=0,0,MONTH($I44))</f>
        <v>0</v>
      </c>
      <c r="O44" s="43">
        <f>IF(L44=0,0,IF($G44="Anual",N($F44),N($F44)*12))</f>
        <v>0</v>
      </c>
      <c r="P44" s="14">
        <f>IF(AND($C44="Despesa",$D44="Assinaturas",$K44="Sim",L44&gt;0),1,0)</f>
        <v>0</v>
      </c>
      <c r="Q44" s="14">
        <f>IF(P44=1,SUM(P$7:P44),0)</f>
        <v>0</v>
      </c>
    </row>
    <row r="45">
      <c r="B45" s="34" t="n"/>
      <c r="C45" s="34" t="n"/>
      <c r="D45" s="34" t="n"/>
      <c r="E45" s="34" t="n"/>
      <c r="F45" s="35" t="n"/>
      <c r="G45" s="34" t="n"/>
      <c r="H45" s="37" t="n"/>
      <c r="I45" s="38" t="n"/>
      <c r="J45" s="38" t="n"/>
      <c r="K45" s="34" t="n"/>
      <c r="L45" s="14">
        <f>IF(OR($B45="",NOT(ISNUMBER($I45))),0,YEAR($I45)*12+MONTH($I45))</f>
        <v>0</v>
      </c>
      <c r="M45" s="14">
        <f>IF(L45=0,0,IF(ISNUMBER($J45),YEAR($J45)*12+MONTH($J45),999999))</f>
        <v>0</v>
      </c>
      <c r="N45" s="14">
        <f>IF(L45=0,0,MONTH($I45))</f>
        <v>0</v>
      </c>
      <c r="O45" s="43">
        <f>IF(L45=0,0,IF($G45="Anual",N($F45),N($F45)*12))</f>
        <v>0</v>
      </c>
      <c r="P45" s="14">
        <f>IF(AND($C45="Despesa",$D45="Assinaturas",$K45="Sim",L45&gt;0),1,0)</f>
        <v>0</v>
      </c>
      <c r="Q45" s="14">
        <f>IF(P45=1,SUM(P$7:P45),0)</f>
        <v>0</v>
      </c>
    </row>
    <row r="46">
      <c r="B46" s="34" t="n"/>
      <c r="C46" s="34" t="n"/>
      <c r="D46" s="34" t="n"/>
      <c r="E46" s="34" t="n"/>
      <c r="F46" s="35" t="n"/>
      <c r="G46" s="34" t="n"/>
      <c r="H46" s="37" t="n"/>
      <c r="I46" s="38" t="n"/>
      <c r="J46" s="38" t="n"/>
      <c r="K46" s="34" t="n"/>
      <c r="L46" s="14">
        <f>IF(OR($B46="",NOT(ISNUMBER($I46))),0,YEAR($I46)*12+MONTH($I46))</f>
        <v>0</v>
      </c>
      <c r="M46" s="14">
        <f>IF(L46=0,0,IF(ISNUMBER($J46),YEAR($J46)*12+MONTH($J46),999999))</f>
        <v>0</v>
      </c>
      <c r="N46" s="14">
        <f>IF(L46=0,0,MONTH($I46))</f>
        <v>0</v>
      </c>
      <c r="O46" s="43">
        <f>IF(L46=0,0,IF($G46="Anual",N($F46),N($F46)*12))</f>
        <v>0</v>
      </c>
      <c r="P46" s="14">
        <f>IF(AND($C46="Despesa",$D46="Assinaturas",$K46="Sim",L46&gt;0),1,0)</f>
        <v>0</v>
      </c>
      <c r="Q46" s="14">
        <f>IF(P46=1,SUM(P$7:P46),0)</f>
        <v>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B2:L2"/>
  </mergeCells>
  <conditionalFormatting sqref="K7:K46">
    <cfRule type="expression" priority="1" dxfId="10" stopIfTrue="0">
      <formula>$K7="Não"</formula>
    </cfRule>
  </conditionalFormatting>
  <dataValidations count="6">
    <dataValidation sqref="C7:C46" showDropDown="0" showInputMessage="0" showErrorMessage="1" allowBlank="1" errorTitle="Valor inválido" error="Escolha um valor da lista." type="list">
      <formula1>=Lista_TipoRec</formula1>
    </dataValidation>
    <dataValidation sqref="D7:D46" showDropDown="0" showInputMessage="0" showErrorMessage="1" allowBlank="1" errorTitle="Valor inválido" error="Escolha um valor da lista." type="list">
      <formula1>=Lista_Categorias</formula1>
    </dataValidation>
    <dataValidation sqref="E7:E46" showDropDown="0" showInputMessage="0" showErrorMessage="1" allowBlank="1" errorTitle="Valor inválido" error="Escolha um valor da lista." type="list">
      <formula1>=Lista_ContaCartao</formula1>
    </dataValidation>
    <dataValidation sqref="G7:G46" showDropDown="0" showInputMessage="0" showErrorMessage="1" allowBlank="1" errorTitle="Valor inválido" error="Escolha um valor da lista." type="list">
      <formula1>=Lista_Freq</formula1>
    </dataValidation>
    <dataValidation sqref="K7:K46" showDropDown="0" showInputMessage="0" showErrorMessage="1" allowBlank="1" errorTitle="Valor inválido" error="Escolha um valor da lista." type="list">
      <formula1>=Lista_SimNao</formula1>
    </dataValidation>
    <dataValidation sqref="H7:H46" showDropDown="0" showInputMessage="0" showErrorMessage="1" allowBlank="1" errorTitle="Valor inválido" error="Dia de 1 a 31." type="whole" operator="between">
      <formula1>1</formula1>
      <formula2>31</formula2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B3A6B"/>
    <outlinePr summaryBelow="1" summaryRight="1"/>
    <pageSetUpPr fitToPage="0"/>
  </sheetPr>
  <dimension ref="B1:L53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14.5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</cols>
  <sheetData>
    <row r="1" ht="30" customHeight="1">
      <c r="B1" s="1" t="inlineStr">
        <is>
          <t>DASHBOARD</t>
        </is>
      </c>
    </row>
    <row r="2" ht="32" customHeight="1">
      <c r="B2" s="2" t="inlineStr">
        <is>
          <t>Visão geral do mês. Escolha o mês e o ano abaixo (células azuis) e tudo se atualiza. Para digitar dados, use a aba LANÇAMENTOS.</t>
        </is>
      </c>
    </row>
    <row r="3" ht="18" customHeight="1">
      <c r="B3" s="3" t="inlineStr">
        <is>
          <t>Começar aqui</t>
        </is>
      </c>
      <c r="C3" s="4" t="inlineStr">
        <is>
          <t>Configurações</t>
        </is>
      </c>
      <c r="D3" s="4" t="inlineStr">
        <is>
          <t>Lançamentos</t>
        </is>
      </c>
      <c r="E3" s="4" t="inlineStr">
        <is>
          <t>Recorrentes</t>
        </is>
      </c>
      <c r="F3" s="4" t="inlineStr">
        <is>
          <t>Orçamento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44" t="inlineStr">
        <is>
          <t>Mês:</t>
        </is>
      </c>
      <c r="C6" s="45" t="inlineStr">
        <is>
          <t>Setembro</t>
        </is>
      </c>
      <c r="D6" s="44" t="inlineStr">
        <is>
          <t>Ano:</t>
        </is>
      </c>
      <c r="E6" s="46" t="n">
        <v>2026</v>
      </c>
      <c r="F6" s="26" t="inlineStr">
        <is>
          <t>⬅ digite aqui (vazio = mês atual de CONFIGURAÇÕES)</t>
        </is>
      </c>
    </row>
    <row r="7">
      <c r="B7" s="47" t="str">
        <f>"Olá"&amp;IF(Cfg_Nome&lt;&gt;"",", "&amp;Cfg_Nome,"")&amp;"! Período: "&amp;Sel_Label&amp;IF(COUNTIF(L_Obs,"EXEMPLO*")&gt;0,"   ·   ⚠ DADOS DE EXEMPLO ATIVOS (veja COMEÇAR AQUI para limpar)","")</f>
        <v>Olá, Fulano de Tal (EXEMPLO)! Período: Setembro/2026   ·   ⚠ DADOS DE EXEMPLO ATIVOS (veja COMEÇAR AQUI para limpar)</v>
      </c>
    </row>
    <row r="9">
      <c r="B9" s="6" t="inlineStr">
        <is>
          <t>Indicadores do mês</t>
        </is>
      </c>
    </row>
    <row r="10">
      <c r="B10" s="48" t="inlineStr">
        <is>
          <t>RECEITAS</t>
        </is>
      </c>
      <c r="C10" s="49" t="n"/>
      <c r="D10" s="50" t="inlineStr">
        <is>
          <t>DESPESAS</t>
        </is>
      </c>
      <c r="E10" s="51" t="n"/>
      <c r="F10" s="48" t="inlineStr">
        <is>
          <t>SALDO DO MÊS</t>
        </is>
      </c>
      <c r="G10" s="49" t="n"/>
      <c r="H10" s="52" t="inlineStr">
        <is>
          <t>TAXA DE POUPANÇA</t>
        </is>
      </c>
      <c r="I10" s="53" t="n"/>
      <c r="J10" s="50" t="inlineStr">
        <is>
          <t>GASTO MÉDIO DIÁRIO</t>
        </is>
      </c>
      <c r="K10" s="51" t="n"/>
    </row>
    <row r="11" ht="30" customHeight="1">
      <c r="B11" s="54">
        <f>K_Rec</f>
        <v>12783.87</v>
      </c>
      <c r="C11" s="55" t="n"/>
      <c r="D11" s="56">
        <f>K_Desp</f>
        <v>12384.29</v>
      </c>
      <c r="E11" s="55" t="n"/>
      <c r="F11" s="54">
        <f>K_Saldo</f>
        <v>399.58</v>
      </c>
      <c r="G11" s="55" t="n"/>
      <c r="H11" s="57">
        <f>K_Poup</f>
        <v>0.0312565756691831</v>
      </c>
      <c r="I11" s="55" t="n"/>
      <c r="J11" s="56">
        <f>K_GastoDia</f>
        <v>412.809666666667</v>
      </c>
      <c r="K11" s="55" t="n"/>
    </row>
    <row r="12">
      <c r="B12" s="58" t="str">
        <f>IF(K_RecAnt=0,"sem mês anterior",IF(K_Rec&gt;=K_RecAnt,"▲ ","▼ ")&amp;FIXED(ABS((K_Rec-K_RecAnt)/ABS(K_RecAnt))*100,1)&amp;"% vs mês anterior")</f>
        <v>▼ 15.8% vs mês anterior</v>
      </c>
      <c r="C12" s="59" t="n"/>
      <c r="D12" s="58" t="str">
        <f>IF(K_DespAnt=0,"sem mês anterior",IF(K_Desp&gt;=K_DespAnt,"▲ ","▼ ")&amp;FIXED(ABS((K_Desp-K_DespAnt)/ABS(K_DespAnt))*100,1)&amp;"% vs mês anterior")</f>
        <v>▲ 6.2% vs mês anterior</v>
      </c>
      <c r="E12" s="59" t="n"/>
      <c r="F12" s="58" t="str">
        <f>"Receitas − despesas"</f>
        <v>Receitas − despesas</v>
      </c>
      <c r="G12" s="59" t="n"/>
      <c r="H12" s="58" t="str">
        <f>"Meta: "&amp;ROUND(K_PoupMeta*100,0)&amp;"%"</f>
        <v>Meta: 20%</v>
      </c>
      <c r="I12" s="59" t="n"/>
      <c r="J12" s="58" t="str">
        <f>"Despesas ÷ dias do período"</f>
        <v>Despesas ÷ dias do período</v>
      </c>
      <c r="K12" s="59" t="n"/>
    </row>
    <row r="14">
      <c r="B14" s="52" t="inlineStr">
        <is>
          <t>PATRIMÔNIO LÍQUIDO</t>
        </is>
      </c>
      <c r="C14" s="53" t="n"/>
      <c r="D14" s="50" t="inlineStr">
        <is>
          <t>TOTAL DE DÍVIDAS</t>
        </is>
      </c>
      <c r="E14" s="51" t="n"/>
      <c r="F14" s="60" t="inlineStr">
        <is>
          <t>RESERVA DE EMERGÊNCIA</t>
        </is>
      </c>
      <c r="G14" s="61" t="n"/>
      <c r="H14" s="52" t="inlineStr">
        <is>
          <t>DIAS DE CAIXA RESTANTES</t>
        </is>
      </c>
      <c r="I14" s="53" t="n"/>
      <c r="J14" s="60" t="inlineStr">
        <is>
          <t>META DO MÊS (APORTE)</t>
        </is>
      </c>
      <c r="K14" s="61" t="n"/>
    </row>
    <row r="15" ht="30" customHeight="1">
      <c r="B15" s="62">
        <f>Pat_Liquido</f>
        <v>698823.29</v>
      </c>
      <c r="C15" s="55" t="n"/>
      <c r="D15" s="56">
        <f>Div_Total</f>
        <v>37100</v>
      </c>
      <c r="E15" s="55" t="n"/>
      <c r="F15" s="63">
        <f>K_ReservaPct</f>
        <v>0.711748105532385</v>
      </c>
      <c r="G15" s="55" t="n"/>
      <c r="H15" s="64">
        <f>K_DiasCaixa</f>
        <v>99.5599021017757</v>
      </c>
      <c r="I15" s="55" t="n"/>
      <c r="J15" s="63">
        <f>K_AportePct</f>
        <v>0.976190476190476</v>
      </c>
      <c r="K15" s="55" t="n"/>
    </row>
    <row r="16">
      <c r="B16" s="58" t="str">
        <f>"Ativos R$ "&amp;FIXED(Pat_Ativos,0)&amp;" · Passivos R$ "&amp;FIXED(Pat_Passivos,0)</f>
        <v>Ativos R$ 742,253 · Passivos R$ 43,430</v>
      </c>
      <c r="C16" s="59" t="n"/>
      <c r="D16" s="58" t="str">
        <f>"Parcelas = "&amp;ROUND(Div_PctParc*100,1)&amp;"% da renda"</f>
        <v>Parcelas = 17.1% da renda</v>
      </c>
      <c r="E16" s="59" t="n"/>
      <c r="F16" s="58" t="str">
        <f>FIXED(K_ReservaMeses,1)&amp;" de "&amp;K_MesesAlvo&amp;" meses cobertos"</f>
        <v>4.3 de 6 meses cobertos</v>
      </c>
      <c r="G16" s="59" t="n"/>
      <c r="H16" s="58" t="str">
        <f>"Saldo em contas R$ "&amp;FIXED(K_SaldoContas,0)</f>
        <v>Saldo em contas R$ 41,099</v>
      </c>
      <c r="I16" s="59" t="n"/>
      <c r="J16" s="58" t="str">
        <f>"Guardado R$ "&amp;FIXED(K_Apo,0)&amp;" de R$ "&amp;FIXED(K_AporteMeta,0)</f>
        <v>Guardado R$ 2,050 de R$ 2,100</v>
      </c>
      <c r="K16" s="59" t="n"/>
    </row>
    <row r="18">
      <c r="B18" s="6" t="inlineStr">
        <is>
          <t>Saúde financeira</t>
        </is>
      </c>
      <c r="F18" s="7" t="inlineStr">
        <is>
          <t>Componente</t>
        </is>
      </c>
      <c r="G18" s="24" t="n"/>
      <c r="H18" s="25" t="n"/>
      <c r="I18" s="7" t="inlineStr">
        <is>
          <t>Pontos</t>
        </is>
      </c>
      <c r="J18" s="7" t="inlineStr">
        <is>
          <t>Máx.</t>
        </is>
      </c>
      <c r="K18" s="7" t="inlineStr">
        <is>
          <t>Situação</t>
        </is>
      </c>
    </row>
    <row r="19">
      <c r="B19" s="65">
        <f>IF(K_Rec+K_Desp=0,"—",H_Nota)</f>
        <v>66</v>
      </c>
      <c r="C19" s="66" t="n"/>
      <c r="D19" s="67" t="str">
        <f>"Nota de 0 a 100"</f>
        <v>Nota de 0 a 100</v>
      </c>
      <c r="E19" s="66" t="n"/>
      <c r="F19" s="14" t="inlineStr">
        <is>
          <t>Taxa de poupança</t>
        </is>
      </c>
      <c r="I19" s="68">
        <f>H_Poup</f>
        <v>3.12565756691831</v>
      </c>
      <c r="J19" s="69" t="n">
        <v>20</v>
      </c>
      <c r="K19" s="13" t="str">
        <f>IF(I19&gt;=14,"🟢",IF(I19&gt;=8,"🟡","🔴"))</f>
        <v>🔴</v>
      </c>
    </row>
    <row r="20">
      <c r="B20" s="66" t="n"/>
      <c r="C20" s="66" t="n"/>
      <c r="D20" s="70" t="str">
        <f>IF(NOT(ISNUMBER(B19)),"Aguardando lançamentos",IF(H_Nota&gt;=70,"🟢 SAUDÁVEL",IF(H_Nota&gt;=40,"🟡 ATENÇÃO","🔴 CRÍTICO")))</f>
        <v>🟡 ATENÇÃO</v>
      </c>
      <c r="E20" s="66" t="n"/>
      <c r="F20" s="14" t="inlineStr">
        <is>
          <t>Endividamento sobre a renda</t>
        </is>
      </c>
      <c r="I20" s="68">
        <f>H_Div</f>
        <v>15.2604166666667</v>
      </c>
      <c r="J20" s="69" t="n">
        <v>20</v>
      </c>
      <c r="K20" s="13" t="str">
        <f>IF(I20&gt;=14,"🟢",IF(I20&gt;=8,"🟡","🔴"))</f>
        <v>🟢</v>
      </c>
    </row>
    <row r="21">
      <c r="B21" s="66" t="n"/>
      <c r="C21" s="66" t="n"/>
      <c r="D21" s="66" t="n"/>
      <c r="E21" s="66" t="n"/>
      <c r="F21" s="14" t="inlineStr">
        <is>
          <t>Reserva de emergência</t>
        </is>
      </c>
      <c r="I21" s="68">
        <f>H_Res</f>
        <v>14.2349621106477</v>
      </c>
      <c r="J21" s="69" t="n">
        <v>20</v>
      </c>
      <c r="K21" s="13" t="str">
        <f>IF(I21&gt;=14,"🟢",IF(I21&gt;=8,"🟡","🔴"))</f>
        <v>🟢</v>
      </c>
    </row>
    <row r="22">
      <c r="B22" s="66" t="n"/>
      <c r="C22" s="66" t="n"/>
      <c r="D22" s="66" t="n"/>
      <c r="E22" s="66" t="n"/>
      <c r="F22" s="14" t="inlineStr">
        <is>
          <t>Gastos dentro do orçamento</t>
        </is>
      </c>
      <c r="I22" s="68">
        <f>H_Orc</f>
        <v>13.8461538461538</v>
      </c>
      <c r="J22" s="69" t="n">
        <v>20</v>
      </c>
      <c r="K22" s="13" t="str">
        <f>IF(I22&gt;=14,"🟢",IF(I22&gt;=8,"🟡","🔴"))</f>
        <v>🟡</v>
      </c>
    </row>
    <row r="23">
      <c r="F23" s="14" t="inlineStr">
        <is>
          <t>Regularidade de aportes</t>
        </is>
      </c>
      <c r="I23" s="68">
        <f>H_Apo</f>
        <v>20</v>
      </c>
      <c r="J23" s="69" t="n">
        <v>20</v>
      </c>
      <c r="K23" s="13" t="str">
        <f>IF(I23&gt;=14,"🟢",IF(I23&gt;=8,"🟡","🔴"))</f>
        <v>🟢</v>
      </c>
    </row>
    <row r="25">
      <c r="B25" s="6" t="inlineStr">
        <is>
          <t>Alertas automáticos</t>
        </is>
      </c>
    </row>
    <row r="26">
      <c r="B26" s="71" t="str">
        <f>IF(1=1,IF(Alert_Total=0,"✔ Nenhum alerta no momento. Tudo em ordem!",IFERROR(INDEX(Alert_Msg,MATCH(1,Alert_Cnt,0)),"")),IFERROR(INDEX(Alert_Msg,MATCH(1,Alert_Cnt,0)),""))</f>
        <v>🟡 Reserva cobre apenas 4.3 meses (meta: 6).</v>
      </c>
    </row>
    <row r="27">
      <c r="B27" s="71" t="str">
        <f>IF(2=1,IF(Alert_Total=0,"✔ Nenhum alerta no momento. Tudo em ordem!",IFERROR(INDEX(Alert_Msg,MATCH(1,Alert_Cnt,0)),"")),IFERROR(INDEX(Alert_Msg,MATCH(2,Alert_Cnt,0)),""))</f>
        <v>🔴 Meta Viagem Europa está atrasada: faltam R$ 933 por mês para recuperar.</v>
      </c>
    </row>
    <row r="28">
      <c r="B28" s="71" t="str">
        <f>IF(3=1,IF(Alert_Total=0,"✔ Nenhum alerta no momento. Tudo em ordem!",IFERROR(INDEX(Alert_Msg,MATCH(1,Alert_Cnt,0)),"")),IFERROR(INDEX(Alert_Msg,MATCH(3,Alert_Cnt,0)),""))</f>
        <v>🔴 Meta Entrada do apartamento está atrasada: faltam R$ 339 por mês para recuperar.</v>
      </c>
    </row>
    <row r="29">
      <c r="B29" s="71" t="str">
        <f>IF(4=1,IF(Alert_Total=0,"✔ Nenhum alerta no momento. Tudo em ordem!",IFERROR(INDEX(Alert_Msg,MATCH(1,Alert_Cnt,0)),"")),IFERROR(INDEX(Alert_Msg,MATCH(4,Alert_Cnt,0)),""))</f>
        <v>🔴 Orçamento de Moradia estourado: 102% usado.</v>
      </c>
    </row>
    <row r="30">
      <c r="B30" s="71" t="str">
        <f>IF(5=1,IF(Alert_Total=0,"✔ Nenhum alerta no momento. Tudo em ordem!",IFERROR(INDEX(Alert_Msg,MATCH(1,Alert_Cnt,0)),"")),IFERROR(INDEX(Alert_Msg,MATCH(5,Alert_Cnt,0)),""))</f>
        <v>🟡 Você já usou 97% do orçamento de Alimentação.</v>
      </c>
    </row>
    <row r="31">
      <c r="B31" s="71" t="str">
        <f>IF(6=1,IF(Alert_Total=0,"✔ Nenhum alerta no momento. Tudo em ordem!",IFERROR(INDEX(Alert_Msg,MATCH(1,Alert_Cnt,0)),"")),IFERROR(INDEX(Alert_Msg,MATCH(6,Alert_Cnt,0)),""))</f>
        <v>🔴 Orçamento de Saúde estourado: 106% usado.</v>
      </c>
    </row>
    <row r="32">
      <c r="B32" s="71" t="str">
        <f>IF(7=1,IF(Alert_Total=0,"✔ Nenhum alerta no momento. Tudo em ordem!",IFERROR(INDEX(Alert_Msg,MATCH(1,Alert_Cnt,0)),"")),IFERROR(INDEX(Alert_Msg,MATCH(7,Alert_Cnt,0)),""))</f>
        <v>🔴 Orçamento de Lazer estourado: 236% usado.</v>
      </c>
    </row>
    <row r="33">
      <c r="B33" s="71" t="str">
        <f>IF(8=1,IF(Alert_Total=0,"✔ Nenhum alerta no momento. Tudo em ordem!",IFERROR(INDEX(Alert_Msg,MATCH(1,Alert_Cnt,0)),"")),IFERROR(INDEX(Alert_Msg,MATCH(8,Alert_Cnt,0)),""))</f>
        <v>🟡 Você já usou 100% do orçamento de Dívidas e Financiamentos.</v>
      </c>
    </row>
    <row r="34">
      <c r="B34" s="28" t="str">
        <f>"Mostrando "&amp;MIN(8,Alert_Total)&amp;" de "&amp;Alert_Total&amp;" alerta(s)."</f>
        <v>Mostrando 8 de 12 alerta(s).</v>
      </c>
    </row>
    <row r="36">
      <c r="B36" s="6" t="inlineStr">
        <is>
          <t>Comparativos</t>
        </is>
      </c>
    </row>
    <row r="37">
      <c r="B37" s="7" t="inlineStr">
        <is>
          <t>Indicador</t>
        </is>
      </c>
      <c r="C37" s="7" t="n"/>
      <c r="D37" s="7" t="inlineStr">
        <is>
          <t>Mês atual</t>
        </is>
      </c>
      <c r="E37" s="7" t="inlineStr">
        <is>
          <t>Mês anterior</t>
        </is>
      </c>
      <c r="F37" s="7" t="inlineStr">
        <is>
          <t>Variação</t>
        </is>
      </c>
      <c r="G37" s="7" t="inlineStr">
        <is>
          <t>Ano anterior</t>
        </is>
      </c>
      <c r="H37" s="7" t="inlineStr">
        <is>
          <t>Variação</t>
        </is>
      </c>
    </row>
    <row r="38">
      <c r="B38" s="9" t="inlineStr">
        <is>
          <t>Receitas</t>
        </is>
      </c>
      <c r="C38" s="14" t="n"/>
      <c r="D38" s="36">
        <f>K_Rec</f>
        <v>12783.87</v>
      </c>
      <c r="E38" s="36">
        <f>K_RecAnt</f>
        <v>15182.06</v>
      </c>
      <c r="F38" s="72" t="str">
        <f>IF(E38=0,"—",IF(D38&gt;=E38,"▲ ","▼ ")&amp;FIXED(ABS((D38-E38)/ABS(E38))*100,1)&amp;"%")</f>
        <v>▼ 15.8%</v>
      </c>
      <c r="G38" s="36">
        <f>K_RecAA</f>
        <v>12764.17</v>
      </c>
      <c r="H38" s="72" t="str">
        <f>IF(G38=0,"—",IF(D38&gt;=G38,"▲ ","▼ ")&amp;FIXED(ABS((D38-G38)/ABS(G38))*100,1)&amp;"%")</f>
        <v>▲ 0.2%</v>
      </c>
    </row>
    <row r="39">
      <c r="B39" s="9" t="inlineStr">
        <is>
          <t>Despesas</t>
        </is>
      </c>
      <c r="C39" s="14" t="n"/>
      <c r="D39" s="36">
        <f>K_Desp</f>
        <v>12384.29</v>
      </c>
      <c r="E39" s="36">
        <f>K_DespAnt</f>
        <v>11666.2</v>
      </c>
      <c r="F39" s="72" t="str">
        <f>IF(E39=0,"—",IF(D39&gt;=E39,"▲ ","▼ ")&amp;FIXED(ABS((D39-E39)/ABS(E39))*100,1)&amp;"%")</f>
        <v>▲ 6.2%</v>
      </c>
      <c r="G39" s="36">
        <f>K_DespAA</f>
        <v>10133.11</v>
      </c>
      <c r="H39" s="72" t="str">
        <f>IF(G39=0,"—",IF(D39&gt;=G39,"▲ ","▼ ")&amp;FIXED(ABS((D39-G39)/ABS(G39))*100,1)&amp;"%")</f>
        <v>▲ 22.2%</v>
      </c>
    </row>
    <row r="40">
      <c r="B40" s="9" t="inlineStr">
        <is>
          <t>Saldo do mês</t>
        </is>
      </c>
      <c r="C40" s="14" t="n"/>
      <c r="D40" s="36">
        <f>K_Saldo</f>
        <v>399.58</v>
      </c>
      <c r="E40" s="36">
        <f>K_SaldoAnt</f>
        <v>3515.86</v>
      </c>
      <c r="F40" s="72" t="str">
        <f>IF(E40=0,"—",IF(D40&gt;=E40,"▲ ","▼ ")&amp;FIXED(ABS((D40-E40)/ABS(E40))*100,1)&amp;"%")</f>
        <v>▼ 88.6%</v>
      </c>
      <c r="G40" s="36">
        <f>K_SaldoAA</f>
        <v>2631.06</v>
      </c>
      <c r="H40" s="72" t="str">
        <f>IF(G40=0,"—",IF(D40&gt;=G40,"▲ ","▼ ")&amp;FIXED(ABS((D40-G40)/ABS(G40))*100,1)&amp;"%")</f>
        <v>▼ 84.8%</v>
      </c>
    </row>
    <row r="41">
      <c r="B41" s="9" t="inlineStr">
        <is>
          <t>Aportes</t>
        </is>
      </c>
      <c r="C41" s="14" t="n"/>
      <c r="D41" s="36">
        <f>K_Apo</f>
        <v>2050</v>
      </c>
      <c r="E41" s="36">
        <f>K_ApoAnt</f>
        <v>2050</v>
      </c>
      <c r="F41" s="72" t="str">
        <f>IF(E41=0,"—",IF(D41&gt;=E41,"▲ ","▼ ")&amp;FIXED(ABS((D41-E41)/ABS(E41))*100,1)&amp;"%")</f>
        <v>▲ 0.0%</v>
      </c>
      <c r="G41" s="36">
        <f>K_ApoAA</f>
        <v>1500</v>
      </c>
      <c r="H41" s="72" t="str">
        <f>IF(G41=0,"—",IF(D41&gt;=G41,"▲ ","▼ ")&amp;FIXED(ABS((D41-G41)/ABS(G41))*100,1)&amp;"%")</f>
        <v>▲ 36.7%</v>
      </c>
    </row>
    <row r="42">
      <c r="B42" s="9" t="inlineStr">
        <is>
          <t>Taxa de poupança</t>
        </is>
      </c>
      <c r="C42" s="14" t="n"/>
      <c r="D42" s="73">
        <f>K_Poup</f>
        <v>0.0312565756691831</v>
      </c>
      <c r="E42" s="73">
        <f>K_PoupAnt</f>
        <v>0.231579904176377</v>
      </c>
      <c r="F42" s="72" t="str">
        <f>IF(AND(E42=0,D42=0),"—",IF(D42&gt;=E42,"▲ ","▼ ")&amp;FIXED(ABS(D42-E42)*100,1)&amp;" p.p.")</f>
        <v>▼ 20.0 p.p.</v>
      </c>
      <c r="G42" s="73">
        <f>K_PoupAA</f>
        <v>0.206128561434077</v>
      </c>
      <c r="H42" s="72" t="str">
        <f>IF(AND(G42=0,D42=0),"—",IF(D42&gt;=G42,"▲ ","▼ ")&amp;FIXED(ABS(D42-G42)*100,1)&amp;" p.p.")</f>
        <v>▼ 17.5 p.p.</v>
      </c>
    </row>
    <row r="44">
      <c r="B44" s="6" t="inlineStr">
        <is>
          <t>Minhas metas (5 principais em andamento)</t>
        </is>
      </c>
    </row>
    <row r="45">
      <c r="B45" s="7" t="inlineStr">
        <is>
          <t>Meta</t>
        </is>
      </c>
      <c r="C45" s="24" t="n"/>
      <c r="D45" s="25" t="n"/>
      <c r="E45" s="7" t="inlineStr">
        <is>
          <t>Progresso</t>
        </is>
      </c>
      <c r="F45" s="24" t="n"/>
      <c r="G45" s="25" t="n"/>
      <c r="H45" s="7" t="inlineStr">
        <is>
          <t>% concluído</t>
        </is>
      </c>
      <c r="I45" s="7" t="inlineStr">
        <is>
          <t>Status</t>
        </is>
      </c>
      <c r="J45" s="7" t="inlineStr">
        <is>
          <t>Falta</t>
        </is>
      </c>
      <c r="K45" s="25" t="n"/>
    </row>
    <row r="46">
      <c r="B46" s="9" t="str">
        <f>IF($L46=0,"",INDEX(Meta_Nome,$L46))</f>
        <v>Quitar empréstimo pessoal</v>
      </c>
      <c r="E46" s="74" t="str">
        <f>IF($L46=0,"",INDEX(Meta_Barra,$L46))</f>
        <v>█████████████░░░░░░░</v>
      </c>
      <c r="H46" s="75">
        <f>IF($L46=0,"",INDEX(Meta_Pct,$L46))</f>
        <v>0.639344262295082</v>
      </c>
      <c r="I46" s="72" t="str">
        <f>IF($L46=0,"",INDEX(Meta_Status,$L46))</f>
        <v>Atenção</v>
      </c>
      <c r="J46" s="43">
        <f>IF($L46=0,"",INDEX(Meta_Falta,$L46))</f>
        <v>2200</v>
      </c>
      <c r="L46" s="76">
        <f>IFERROR(MATCH(1,Prio_Ordem,0),0)</f>
        <v>5</v>
      </c>
    </row>
    <row r="47">
      <c r="B47" s="9" t="str">
        <f>IF($L47=0,"",INDEX(Meta_Nome,$L47))</f>
        <v>Reserva de emergência</v>
      </c>
      <c r="E47" s="74" t="str">
        <f>IF($L47=0,"",INDEX(Meta_Barra,$L47))</f>
        <v>████████████████░░░░</v>
      </c>
      <c r="H47" s="75">
        <f>IF($L47=0,"",INDEX(Meta_Pct,$L47))</f>
        <v>0.818333333333333</v>
      </c>
      <c r="I47" s="72" t="str">
        <f>IF($L47=0,"",INDEX(Meta_Status,$L47))</f>
        <v>Atenção</v>
      </c>
      <c r="J47" s="43">
        <f>IF($L47=0,"",INDEX(Meta_Falta,$L47))</f>
        <v>10900</v>
      </c>
      <c r="L47" s="76">
        <f>IFERROR(MATCH(2,Prio_Ordem,0),0)</f>
        <v>1</v>
      </c>
    </row>
    <row r="48">
      <c r="B48" s="9" t="str">
        <f>IF($L48=0,"",INDEX(Meta_Nome,$L48))</f>
        <v>Entrada do apartamento</v>
      </c>
      <c r="E48" s="74" t="str">
        <f>IF($L48=0,"",INDEX(Meta_Barra,$L48))</f>
        <v>█████░░░░░░░░░░░░░░░</v>
      </c>
      <c r="H48" s="75">
        <f>IF($L48=0,"",INDEX(Meta_Pct,$L48))</f>
        <v>0.27</v>
      </c>
      <c r="I48" s="72" t="str">
        <f>IF($L48=0,"",INDEX(Meta_Status,$L48))</f>
        <v>Atrasada</v>
      </c>
      <c r="J48" s="43">
        <f>IF($L48=0,"",INDEX(Meta_Falta,$L48))</f>
        <v>36500</v>
      </c>
      <c r="L48" s="76">
        <f>IFERROR(MATCH(3,Prio_Ordem,0),0)</f>
        <v>4</v>
      </c>
    </row>
    <row r="49">
      <c r="B49" s="9" t="str">
        <f>IF($L49=0,"",INDEX(Meta_Nome,$L49))</f>
        <v>Viagem Europa</v>
      </c>
      <c r="E49" s="74" t="str">
        <f>IF($L49=0,"",INDEX(Meta_Barra,$L49))</f>
        <v>████████░░░░░░░░░░░░</v>
      </c>
      <c r="H49" s="75">
        <f>IF($L49=0,"",INDEX(Meta_Pct,$L49))</f>
        <v>0.383333333333333</v>
      </c>
      <c r="I49" s="72" t="str">
        <f>IF($L49=0,"",INDEX(Meta_Status,$L49))</f>
        <v>Atrasada</v>
      </c>
      <c r="J49" s="43">
        <f>IF($L49=0,"",INDEX(Meta_Falta,$L49))</f>
        <v>11100</v>
      </c>
      <c r="L49" s="76">
        <f>IFERROR(MATCH(4,Prio_Ordem,0),0)</f>
        <v>2</v>
      </c>
    </row>
    <row r="50">
      <c r="B50" s="9" t="str">
        <f>IF($L50=0,"",INDEX(Meta_Nome,$L50))</f>
        <v>Troca de carro</v>
      </c>
      <c r="E50" s="74" t="str">
        <f>IF($L50=0,"",INDEX(Meta_Barra,$L50))</f>
        <v>███████████░░░░░░░░░</v>
      </c>
      <c r="H50" s="75">
        <f>IF($L50=0,"",INDEX(Meta_Pct,$L50))</f>
        <v>0.573333333333333</v>
      </c>
      <c r="I50" s="72" t="str">
        <f>IF($L50=0,"",INDEX(Meta_Status,$L50))</f>
        <v>Atenção</v>
      </c>
      <c r="J50" s="43">
        <f>IF($L50=0,"",INDEX(Meta_Falta,$L50))</f>
        <v>6400</v>
      </c>
      <c r="L50" s="76">
        <f>IFERROR(MATCH(5,Prio_Ordem,0),0)</f>
        <v>3</v>
      </c>
    </row>
    <row r="51">
      <c r="B51" s="28" t="inlineStr">
        <is>
          <t>Veja detalhes, ritmo e planejador em METAS E OBJETIVOS.</t>
        </is>
      </c>
    </row>
    <row r="53">
      <c r="B53" s="6" t="inlineStr">
        <is>
          <t>Gráficos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73">
    <mergeCell ref="F20:H20"/>
    <mergeCell ref="F11:G11"/>
    <mergeCell ref="B16:C16"/>
    <mergeCell ref="D10:E10"/>
    <mergeCell ref="D20:E22"/>
    <mergeCell ref="F18:H18"/>
    <mergeCell ref="F10:G10"/>
    <mergeCell ref="F16:G16"/>
    <mergeCell ref="H10:I10"/>
    <mergeCell ref="J14:K14"/>
    <mergeCell ref="D19:E19"/>
    <mergeCell ref="J10:K10"/>
    <mergeCell ref="B30:K30"/>
    <mergeCell ref="B19:C22"/>
    <mergeCell ref="J48:K48"/>
    <mergeCell ref="B33:K33"/>
    <mergeCell ref="B12:C12"/>
    <mergeCell ref="F23:H23"/>
    <mergeCell ref="B39:C39"/>
    <mergeCell ref="E46:G46"/>
    <mergeCell ref="F12:G12"/>
    <mergeCell ref="F22:H22"/>
    <mergeCell ref="B32:K32"/>
    <mergeCell ref="B11:C11"/>
    <mergeCell ref="F15:G15"/>
    <mergeCell ref="B26:K26"/>
    <mergeCell ref="D11:E11"/>
    <mergeCell ref="E45:G45"/>
    <mergeCell ref="J15:K15"/>
    <mergeCell ref="B49:D49"/>
    <mergeCell ref="B42:C42"/>
    <mergeCell ref="E49:G49"/>
    <mergeCell ref="B7:K7"/>
    <mergeCell ref="B14:C14"/>
    <mergeCell ref="J49:K49"/>
    <mergeCell ref="J45:K45"/>
    <mergeCell ref="H11:I11"/>
    <mergeCell ref="D16:E16"/>
    <mergeCell ref="B31:K31"/>
    <mergeCell ref="J11:K11"/>
    <mergeCell ref="B38:C38"/>
    <mergeCell ref="H16:I16"/>
    <mergeCell ref="B45:D45"/>
    <mergeCell ref="J16:K16"/>
    <mergeCell ref="B27:K27"/>
    <mergeCell ref="B37:C37"/>
    <mergeCell ref="B10:C10"/>
    <mergeCell ref="E47:G47"/>
    <mergeCell ref="B50:D50"/>
    <mergeCell ref="E50:G50"/>
    <mergeCell ref="B2:K2"/>
    <mergeCell ref="B40:C40"/>
    <mergeCell ref="J47:K47"/>
    <mergeCell ref="B47:D47"/>
    <mergeCell ref="D12:E12"/>
    <mergeCell ref="H12:I12"/>
    <mergeCell ref="J12:K12"/>
    <mergeCell ref="B15:C15"/>
    <mergeCell ref="F19:H19"/>
    <mergeCell ref="D15:E15"/>
    <mergeCell ref="B46:D46"/>
    <mergeCell ref="J46:K46"/>
    <mergeCell ref="J50:K50"/>
    <mergeCell ref="H15:I15"/>
    <mergeCell ref="E48:G48"/>
    <mergeCell ref="D14:E14"/>
    <mergeCell ref="B29:K29"/>
    <mergeCell ref="F14:G14"/>
    <mergeCell ref="H14:I14"/>
    <mergeCell ref="B41:C41"/>
    <mergeCell ref="F21:H21"/>
    <mergeCell ref="B28:K28"/>
    <mergeCell ref="B48:D48"/>
  </mergeCells>
  <conditionalFormatting sqref="B7">
    <cfRule type="expression" priority="1" dxfId="0" stopIfTrue="0">
      <formula>ISNUMBER(SEARCH("EXEMPLO",B7))</formula>
    </cfRule>
  </conditionalFormatting>
  <conditionalFormatting sqref="F11">
    <cfRule type="expression" priority="2" dxfId="5" stopIfTrue="0">
      <formula>F11&lt;0</formula>
    </cfRule>
  </conditionalFormatting>
  <conditionalFormatting sqref="H11">
    <cfRule type="expression" priority="3" dxfId="11" stopIfTrue="0">
      <formula>H11&lt;K_PoupMeta</formula>
    </cfRule>
    <cfRule type="expression" priority="4" dxfId="5" stopIfTrue="0">
      <formula>H11&lt;0</formula>
    </cfRule>
  </conditionalFormatting>
  <conditionalFormatting sqref="B15">
    <cfRule type="expression" priority="5" dxfId="5" stopIfTrue="0">
      <formula>B15&lt;0</formula>
    </cfRule>
  </conditionalFormatting>
  <conditionalFormatting sqref="F15">
    <cfRule type="expression" priority="6" dxfId="5" stopIfTrue="0">
      <formula>F15&lt;0.5</formula>
    </cfRule>
    <cfRule type="expression" priority="7" dxfId="11" stopIfTrue="0">
      <formula>F15&lt;1</formula>
    </cfRule>
  </conditionalFormatting>
  <conditionalFormatting sqref="H15">
    <cfRule type="expression" priority="8" dxfId="5" stopIfTrue="0">
      <formula>H15&lt;30</formula>
    </cfRule>
    <cfRule type="expression" priority="9" dxfId="11" stopIfTrue="0">
      <formula>H15&lt;60</formula>
    </cfRule>
  </conditionalFormatting>
  <conditionalFormatting sqref="J15">
    <cfRule type="expression" priority="10" dxfId="5" stopIfTrue="0">
      <formula>J15&lt;0.7</formula>
    </cfRule>
    <cfRule type="expression" priority="11" dxfId="11" stopIfTrue="0">
      <formula>J15&lt;1</formula>
    </cfRule>
    <cfRule type="expression" priority="12" dxfId="4" stopIfTrue="0">
      <formula>J15&gt;=1</formula>
    </cfRule>
  </conditionalFormatting>
  <conditionalFormatting sqref="B19:E22">
    <cfRule type="expression" priority="13" dxfId="1" stopIfTrue="0">
      <formula>AND(ISNUMBER($B$19),$B$19&gt;=70)</formula>
    </cfRule>
    <cfRule type="expression" priority="14" dxfId="0" stopIfTrue="0">
      <formula>AND(ISNUMBER($B$19),$B$19&gt;=40,$B$19&lt;70)</formula>
    </cfRule>
    <cfRule type="expression" priority="15" dxfId="7" stopIfTrue="0">
      <formula>AND(ISNUMBER($B$19),$B$19&lt;40)</formula>
    </cfRule>
  </conditionalFormatting>
  <conditionalFormatting sqref="I19">
    <cfRule type="expression" priority="16" dxfId="1" stopIfTrue="0">
      <formula>I19&gt;=14</formula>
    </cfRule>
    <cfRule type="expression" priority="17" dxfId="0" stopIfTrue="0">
      <formula>AND(I19&gt;=8,I19&lt;14)</formula>
    </cfRule>
    <cfRule type="expression" priority="18" dxfId="7" stopIfTrue="0">
      <formula>I19&lt;8</formula>
    </cfRule>
  </conditionalFormatting>
  <conditionalFormatting sqref="I20">
    <cfRule type="expression" priority="19" dxfId="1" stopIfTrue="0">
      <formula>I20&gt;=14</formula>
    </cfRule>
    <cfRule type="expression" priority="20" dxfId="0" stopIfTrue="0">
      <formula>AND(I20&gt;=8,I20&lt;14)</formula>
    </cfRule>
    <cfRule type="expression" priority="21" dxfId="7" stopIfTrue="0">
      <formula>I20&lt;8</formula>
    </cfRule>
  </conditionalFormatting>
  <conditionalFormatting sqref="I21">
    <cfRule type="expression" priority="22" dxfId="1" stopIfTrue="0">
      <formula>I21&gt;=14</formula>
    </cfRule>
    <cfRule type="expression" priority="23" dxfId="0" stopIfTrue="0">
      <formula>AND(I21&gt;=8,I21&lt;14)</formula>
    </cfRule>
    <cfRule type="expression" priority="24" dxfId="7" stopIfTrue="0">
      <formula>I21&lt;8</formula>
    </cfRule>
  </conditionalFormatting>
  <conditionalFormatting sqref="I22">
    <cfRule type="expression" priority="25" dxfId="1" stopIfTrue="0">
      <formula>I22&gt;=14</formula>
    </cfRule>
    <cfRule type="expression" priority="26" dxfId="0" stopIfTrue="0">
      <formula>AND(I22&gt;=8,I22&lt;14)</formula>
    </cfRule>
    <cfRule type="expression" priority="27" dxfId="7" stopIfTrue="0">
      <formula>I22&lt;8</formula>
    </cfRule>
  </conditionalFormatting>
  <conditionalFormatting sqref="I23">
    <cfRule type="expression" priority="28" dxfId="1" stopIfTrue="0">
      <formula>I23&gt;=14</formula>
    </cfRule>
    <cfRule type="expression" priority="29" dxfId="0" stopIfTrue="0">
      <formula>AND(I23&gt;=8,I23&lt;14)</formula>
    </cfRule>
    <cfRule type="expression" priority="30" dxfId="7" stopIfTrue="0">
      <formula>I23&lt;8</formula>
    </cfRule>
  </conditionalFormatting>
  <conditionalFormatting sqref="B26:K26">
    <cfRule type="expression" priority="31" dxfId="7" stopIfTrue="0">
      <formula>LEFT($B26,2)="🔴"</formula>
    </cfRule>
    <cfRule type="expression" priority="32" dxfId="0" stopIfTrue="0">
      <formula>LEFT($B26,2)="🟡"</formula>
    </cfRule>
    <cfRule type="expression" priority="33" dxfId="1" stopIfTrue="0">
      <formula>LEFT($B26,1)="✔"</formula>
    </cfRule>
    <cfRule type="expression" priority="34" dxfId="12" stopIfTrue="0">
      <formula>$B26=""</formula>
    </cfRule>
  </conditionalFormatting>
  <conditionalFormatting sqref="B27:K27">
    <cfRule type="expression" priority="35" dxfId="7" stopIfTrue="0">
      <formula>LEFT($B27,2)="🔴"</formula>
    </cfRule>
    <cfRule type="expression" priority="36" dxfId="0" stopIfTrue="0">
      <formula>LEFT($B27,2)="🟡"</formula>
    </cfRule>
    <cfRule type="expression" priority="37" dxfId="1" stopIfTrue="0">
      <formula>LEFT($B27,1)="✔"</formula>
    </cfRule>
    <cfRule type="expression" priority="38" dxfId="12" stopIfTrue="0">
      <formula>$B27=""</formula>
    </cfRule>
  </conditionalFormatting>
  <conditionalFormatting sqref="B28:K28">
    <cfRule type="expression" priority="39" dxfId="7" stopIfTrue="0">
      <formula>LEFT($B28,2)="🔴"</formula>
    </cfRule>
    <cfRule type="expression" priority="40" dxfId="0" stopIfTrue="0">
      <formula>LEFT($B28,2)="🟡"</formula>
    </cfRule>
    <cfRule type="expression" priority="41" dxfId="1" stopIfTrue="0">
      <formula>LEFT($B28,1)="✔"</formula>
    </cfRule>
    <cfRule type="expression" priority="42" dxfId="12" stopIfTrue="0">
      <formula>$B28=""</formula>
    </cfRule>
  </conditionalFormatting>
  <conditionalFormatting sqref="B29:K29">
    <cfRule type="expression" priority="43" dxfId="7" stopIfTrue="0">
      <formula>LEFT($B29,2)="🔴"</formula>
    </cfRule>
    <cfRule type="expression" priority="44" dxfId="0" stopIfTrue="0">
      <formula>LEFT($B29,2)="🟡"</formula>
    </cfRule>
    <cfRule type="expression" priority="45" dxfId="1" stopIfTrue="0">
      <formula>LEFT($B29,1)="✔"</formula>
    </cfRule>
    <cfRule type="expression" priority="46" dxfId="12" stopIfTrue="0">
      <formula>$B29=""</formula>
    </cfRule>
  </conditionalFormatting>
  <conditionalFormatting sqref="B30:K30">
    <cfRule type="expression" priority="47" dxfId="7" stopIfTrue="0">
      <formula>LEFT($B30,2)="🔴"</formula>
    </cfRule>
    <cfRule type="expression" priority="48" dxfId="0" stopIfTrue="0">
      <formula>LEFT($B30,2)="🟡"</formula>
    </cfRule>
    <cfRule type="expression" priority="49" dxfId="1" stopIfTrue="0">
      <formula>LEFT($B30,1)="✔"</formula>
    </cfRule>
    <cfRule type="expression" priority="50" dxfId="12" stopIfTrue="0">
      <formula>$B30=""</formula>
    </cfRule>
  </conditionalFormatting>
  <conditionalFormatting sqref="B31:K31">
    <cfRule type="expression" priority="51" dxfId="7" stopIfTrue="0">
      <formula>LEFT($B31,2)="🔴"</formula>
    </cfRule>
    <cfRule type="expression" priority="52" dxfId="0" stopIfTrue="0">
      <formula>LEFT($B31,2)="🟡"</formula>
    </cfRule>
    <cfRule type="expression" priority="53" dxfId="1" stopIfTrue="0">
      <formula>LEFT($B31,1)="✔"</formula>
    </cfRule>
    <cfRule type="expression" priority="54" dxfId="12" stopIfTrue="0">
      <formula>$B31=""</formula>
    </cfRule>
  </conditionalFormatting>
  <conditionalFormatting sqref="B32:K32">
    <cfRule type="expression" priority="55" dxfId="7" stopIfTrue="0">
      <formula>LEFT($B32,2)="🔴"</formula>
    </cfRule>
    <cfRule type="expression" priority="56" dxfId="0" stopIfTrue="0">
      <formula>LEFT($B32,2)="🟡"</formula>
    </cfRule>
    <cfRule type="expression" priority="57" dxfId="1" stopIfTrue="0">
      <formula>LEFT($B32,1)="✔"</formula>
    </cfRule>
    <cfRule type="expression" priority="58" dxfId="12" stopIfTrue="0">
      <formula>$B32=""</formula>
    </cfRule>
  </conditionalFormatting>
  <conditionalFormatting sqref="B33:K33">
    <cfRule type="expression" priority="59" dxfId="7" stopIfTrue="0">
      <formula>LEFT($B33,2)="🔴"</formula>
    </cfRule>
    <cfRule type="expression" priority="60" dxfId="0" stopIfTrue="0">
      <formula>LEFT($B33,2)="🟡"</formula>
    </cfRule>
    <cfRule type="expression" priority="61" dxfId="1" stopIfTrue="0">
      <formula>LEFT($B33,1)="✔"</formula>
    </cfRule>
    <cfRule type="expression" priority="62" dxfId="12" stopIfTrue="0">
      <formula>$B33=""</formula>
    </cfRule>
  </conditionalFormatting>
  <conditionalFormatting sqref="F38">
    <cfRule type="expression" priority="63" dxfId="4" stopIfTrue="0">
      <formula>LEFT(F38,1)="▲"</formula>
    </cfRule>
    <cfRule type="expression" priority="64" dxfId="5" stopIfTrue="0">
      <formula>LEFT(F38,1)="▼"</formula>
    </cfRule>
  </conditionalFormatting>
  <conditionalFormatting sqref="H38">
    <cfRule type="expression" priority="65" dxfId="4" stopIfTrue="0">
      <formula>LEFT(H38,1)="▲"</formula>
    </cfRule>
    <cfRule type="expression" priority="66" dxfId="5" stopIfTrue="0">
      <formula>LEFT(H38,1)="▼"</formula>
    </cfRule>
  </conditionalFormatting>
  <conditionalFormatting sqref="F39">
    <cfRule type="expression" priority="67" dxfId="5" stopIfTrue="0">
      <formula>LEFT(F39,1)="▲"</formula>
    </cfRule>
    <cfRule type="expression" priority="68" dxfId="4" stopIfTrue="0">
      <formula>LEFT(F39,1)="▼"</formula>
    </cfRule>
  </conditionalFormatting>
  <conditionalFormatting sqref="H39">
    <cfRule type="expression" priority="69" dxfId="5" stopIfTrue="0">
      <formula>LEFT(H39,1)="▲"</formula>
    </cfRule>
    <cfRule type="expression" priority="70" dxfId="4" stopIfTrue="0">
      <formula>LEFT(H39,1)="▼"</formula>
    </cfRule>
  </conditionalFormatting>
  <conditionalFormatting sqref="F40">
    <cfRule type="expression" priority="71" dxfId="4" stopIfTrue="0">
      <formula>LEFT(F40,1)="▲"</formula>
    </cfRule>
    <cfRule type="expression" priority="72" dxfId="5" stopIfTrue="0">
      <formula>LEFT(F40,1)="▼"</formula>
    </cfRule>
  </conditionalFormatting>
  <conditionalFormatting sqref="H40">
    <cfRule type="expression" priority="73" dxfId="4" stopIfTrue="0">
      <formula>LEFT(H40,1)="▲"</formula>
    </cfRule>
    <cfRule type="expression" priority="74" dxfId="5" stopIfTrue="0">
      <formula>LEFT(H40,1)="▼"</formula>
    </cfRule>
  </conditionalFormatting>
  <conditionalFormatting sqref="F41">
    <cfRule type="expression" priority="75" dxfId="4" stopIfTrue="0">
      <formula>LEFT(F41,1)="▲"</formula>
    </cfRule>
    <cfRule type="expression" priority="76" dxfId="5" stopIfTrue="0">
      <formula>LEFT(F41,1)="▼"</formula>
    </cfRule>
  </conditionalFormatting>
  <conditionalFormatting sqref="H41">
    <cfRule type="expression" priority="77" dxfId="4" stopIfTrue="0">
      <formula>LEFT(H41,1)="▲"</formula>
    </cfRule>
    <cfRule type="expression" priority="78" dxfId="5" stopIfTrue="0">
      <formula>LEFT(H41,1)="▼"</formula>
    </cfRule>
  </conditionalFormatting>
  <conditionalFormatting sqref="F42">
    <cfRule type="expression" priority="79" dxfId="4" stopIfTrue="0">
      <formula>LEFT(F42,1)="▲"</formula>
    </cfRule>
    <cfRule type="expression" priority="80" dxfId="5" stopIfTrue="0">
      <formula>LEFT(F42,1)="▼"</formula>
    </cfRule>
  </conditionalFormatting>
  <conditionalFormatting sqref="H42">
    <cfRule type="expression" priority="81" dxfId="4" stopIfTrue="0">
      <formula>LEFT(H42,1)="▲"</formula>
    </cfRule>
    <cfRule type="expression" priority="82" dxfId="5" stopIfTrue="0">
      <formula>LEFT(H42,1)="▼"</formula>
    </cfRule>
  </conditionalFormatting>
  <conditionalFormatting sqref="I46">
    <cfRule type="expression" priority="83" dxfId="13" stopIfTrue="0">
      <formula>$I46="Concluída"</formula>
    </cfRule>
    <cfRule type="expression" priority="85" dxfId="14" stopIfTrue="0">
      <formula>$I46="No prazo"</formula>
    </cfRule>
    <cfRule type="expression" priority="87" dxfId="15" stopIfTrue="0">
      <formula>$I46="Atenção"</formula>
    </cfRule>
    <cfRule type="expression" priority="89" dxfId="16" stopIfTrue="0">
      <formula>$I46="Atrasada"</formula>
    </cfRule>
  </conditionalFormatting>
  <conditionalFormatting sqref="E46">
    <cfRule type="expression" priority="84" dxfId="8" stopIfTrue="0">
      <formula>$I46="Concluída"</formula>
    </cfRule>
    <cfRule type="expression" priority="86" dxfId="17" stopIfTrue="0">
      <formula>$I46="No prazo"</formula>
    </cfRule>
    <cfRule type="expression" priority="88" dxfId="18" stopIfTrue="0">
      <formula>$I46="Atenção"</formula>
    </cfRule>
    <cfRule type="expression" priority="90" dxfId="9" stopIfTrue="0">
      <formula>$I46="Atrasada"</formula>
    </cfRule>
  </conditionalFormatting>
  <conditionalFormatting sqref="I47">
    <cfRule type="expression" priority="91" dxfId="13" stopIfTrue="0">
      <formula>$I47="Concluída"</formula>
    </cfRule>
    <cfRule type="expression" priority="93" dxfId="14" stopIfTrue="0">
      <formula>$I47="No prazo"</formula>
    </cfRule>
    <cfRule type="expression" priority="95" dxfId="15" stopIfTrue="0">
      <formula>$I47="Atenção"</formula>
    </cfRule>
    <cfRule type="expression" priority="97" dxfId="16" stopIfTrue="0">
      <formula>$I47="Atrasada"</formula>
    </cfRule>
  </conditionalFormatting>
  <conditionalFormatting sqref="E47">
    <cfRule type="expression" priority="92" dxfId="8" stopIfTrue="0">
      <formula>$I47="Concluída"</formula>
    </cfRule>
    <cfRule type="expression" priority="94" dxfId="17" stopIfTrue="0">
      <formula>$I47="No prazo"</formula>
    </cfRule>
    <cfRule type="expression" priority="96" dxfId="18" stopIfTrue="0">
      <formula>$I47="Atenção"</formula>
    </cfRule>
    <cfRule type="expression" priority="98" dxfId="9" stopIfTrue="0">
      <formula>$I47="Atrasada"</formula>
    </cfRule>
  </conditionalFormatting>
  <conditionalFormatting sqref="I48">
    <cfRule type="expression" priority="99" dxfId="13" stopIfTrue="0">
      <formula>$I48="Concluída"</formula>
    </cfRule>
    <cfRule type="expression" priority="101" dxfId="14" stopIfTrue="0">
      <formula>$I48="No prazo"</formula>
    </cfRule>
    <cfRule type="expression" priority="103" dxfId="15" stopIfTrue="0">
      <formula>$I48="Atenção"</formula>
    </cfRule>
    <cfRule type="expression" priority="105" dxfId="16" stopIfTrue="0">
      <formula>$I48="Atrasada"</formula>
    </cfRule>
  </conditionalFormatting>
  <conditionalFormatting sqref="E48">
    <cfRule type="expression" priority="100" dxfId="8" stopIfTrue="0">
      <formula>$I48="Concluída"</formula>
    </cfRule>
    <cfRule type="expression" priority="102" dxfId="17" stopIfTrue="0">
      <formula>$I48="No prazo"</formula>
    </cfRule>
    <cfRule type="expression" priority="104" dxfId="18" stopIfTrue="0">
      <formula>$I48="Atenção"</formula>
    </cfRule>
    <cfRule type="expression" priority="106" dxfId="9" stopIfTrue="0">
      <formula>$I48="Atrasada"</formula>
    </cfRule>
  </conditionalFormatting>
  <conditionalFormatting sqref="I49">
    <cfRule type="expression" priority="107" dxfId="13" stopIfTrue="0">
      <formula>$I49="Concluída"</formula>
    </cfRule>
    <cfRule type="expression" priority="109" dxfId="14" stopIfTrue="0">
      <formula>$I49="No prazo"</formula>
    </cfRule>
    <cfRule type="expression" priority="111" dxfId="15" stopIfTrue="0">
      <formula>$I49="Atenção"</formula>
    </cfRule>
    <cfRule type="expression" priority="113" dxfId="16" stopIfTrue="0">
      <formula>$I49="Atrasada"</formula>
    </cfRule>
  </conditionalFormatting>
  <conditionalFormatting sqref="E49">
    <cfRule type="expression" priority="108" dxfId="8" stopIfTrue="0">
      <formula>$I49="Concluída"</formula>
    </cfRule>
    <cfRule type="expression" priority="110" dxfId="17" stopIfTrue="0">
      <formula>$I49="No prazo"</formula>
    </cfRule>
    <cfRule type="expression" priority="112" dxfId="18" stopIfTrue="0">
      <formula>$I49="Atenção"</formula>
    </cfRule>
    <cfRule type="expression" priority="114" dxfId="9" stopIfTrue="0">
      <formula>$I49="Atrasada"</formula>
    </cfRule>
  </conditionalFormatting>
  <conditionalFormatting sqref="I50">
    <cfRule type="expression" priority="115" dxfId="13" stopIfTrue="0">
      <formula>$I50="Concluída"</formula>
    </cfRule>
    <cfRule type="expression" priority="117" dxfId="14" stopIfTrue="0">
      <formula>$I50="No prazo"</formula>
    </cfRule>
    <cfRule type="expression" priority="119" dxfId="15" stopIfTrue="0">
      <formula>$I50="Atenção"</formula>
    </cfRule>
    <cfRule type="expression" priority="121" dxfId="16" stopIfTrue="0">
      <formula>$I50="Atrasada"</formula>
    </cfRule>
  </conditionalFormatting>
  <conditionalFormatting sqref="E50">
    <cfRule type="expression" priority="116" dxfId="8" stopIfTrue="0">
      <formula>$I50="Concluída"</formula>
    </cfRule>
    <cfRule type="expression" priority="118" dxfId="17" stopIfTrue="0">
      <formula>$I50="No prazo"</formula>
    </cfRule>
    <cfRule type="expression" priority="120" dxfId="18" stopIfTrue="0">
      <formula>$I50="Atenção"</formula>
    </cfRule>
    <cfRule type="expression" priority="122" dxfId="9" stopIfTrue="0">
      <formula>$I50="Atrasada"</formula>
    </cfRule>
  </conditionalFormatting>
  <dataValidations count="2">
    <dataValidation sqref="C6" showDropDown="0" showInputMessage="0" showErrorMessage="1" allowBlank="1" errorTitle="Valor inválido" error="Escolha um valor da lista." type="list">
      <formula1>=Lista_Meses</formula1>
    </dataValidation>
    <dataValidation sqref="E6" showDropDown="0" showInputMessage="0" showErrorMessage="1" allowBlank="1" errorTitle="Valor inválido" error="Escolha um valor da lista." type="list">
      <formula1>=Lista_Anos</formula1>
    </dataValidation>
  </dataValidations>
  <hyperlinks>
    <hyperlink ref="B3" location="'COMEÇAR AQUI'!A1" display="Começar aqui"/>
    <hyperlink ref="C3" location="'CONFIGURAÇÕES'!A1" display="Configurações"/>
    <hyperlink ref="D3" location="'LANÇAMENTOS'!A1" display="Lançamentos"/>
    <hyperlink ref="E3" location="'RECORRENTES'!A1" display="Recorrentes"/>
    <hyperlink ref="F3" location="'ORÇAMENTO'!A1" display="Orçamento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scale="68" fitToHeight="0" fitToWidth="1"/>
  <rowBreaks count="2" manualBreakCount="2">
    <brk id="43" min="0" max="16383" man="1"/>
    <brk id="87" min="0" max="16383" man="1"/>
  </rowBreaks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B1:P86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5" customWidth="1" min="11" max="11"/>
    <col width="13.5" customWidth="1" min="12" max="12"/>
    <col width="13.5" customWidth="1" min="13" max="13"/>
    <col width="13.5" customWidth="1" min="14" max="14"/>
    <col width="15" customWidth="1" min="15" max="15"/>
  </cols>
  <sheetData>
    <row r="1" ht="30" customHeight="1">
      <c r="B1" s="1" t="inlineStr">
        <is>
          <t>ORÇAMENTO</t>
        </is>
      </c>
    </row>
    <row r="2" ht="32" customHeight="1">
      <c r="B2" s="2" t="inlineStr">
        <is>
          <t>Planeje por categoria e por mês (células azuis) e compare com o realizado vindo de LANÇAMENTOS. Verde até 80%, amarelo de 80 a 100%, vermelho acima de 100%. O mês analisado é o escolhido no DASHBOARD.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Fluxo de caixa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Mês analisado:</t>
        </is>
      </c>
      <c r="C5" s="9" t="str">
        <f>Sel_Label</f>
        <v>Setembro/2026</v>
      </c>
      <c r="D5" s="25" t="n"/>
      <c r="F5" s="5" t="inlineStr">
        <is>
          <t>Orçamento base zero:</t>
        </is>
      </c>
      <c r="H5" s="72" t="str">
        <f>IF(Cfg_BaseZero="Sim","SIM","Não")</f>
        <v>Não</v>
      </c>
      <c r="I5" s="28" t="inlineStr">
        <is>
          <t>Para copiar o orçamento do mês anterior: selecione a coluna do mês anterior (células azuis), Ctrl+C, clique no mês desejado e Ctrl+V.</t>
        </is>
      </c>
    </row>
    <row r="7">
      <c r="B7" s="6" t="inlineStr">
        <is>
          <t>1. Planejamento mensal  ⬇ digite aqui (valores planejados por categoria)</t>
        </is>
      </c>
    </row>
    <row r="8">
      <c r="B8" s="7" t="inlineStr">
        <is>
          <t>Categoria</t>
        </is>
      </c>
      <c r="C8" s="7" t="inlineStr">
        <is>
          <t>Jan</t>
        </is>
      </c>
      <c r="D8" s="7" t="inlineStr">
        <is>
          <t>Fev</t>
        </is>
      </c>
      <c r="E8" s="7" t="inlineStr">
        <is>
          <t>Mar</t>
        </is>
      </c>
      <c r="F8" s="7" t="inlineStr">
        <is>
          <t>Abr</t>
        </is>
      </c>
      <c r="G8" s="7" t="inlineStr">
        <is>
          <t>Mai</t>
        </is>
      </c>
      <c r="H8" s="7" t="inlineStr">
        <is>
          <t>Jun</t>
        </is>
      </c>
      <c r="I8" s="7" t="inlineStr">
        <is>
          <t>Jul</t>
        </is>
      </c>
      <c r="J8" s="7" t="inlineStr">
        <is>
          <t>Ago</t>
        </is>
      </c>
      <c r="K8" s="7" t="inlineStr">
        <is>
          <t>Set</t>
        </is>
      </c>
      <c r="L8" s="7" t="inlineStr">
        <is>
          <t>Out</t>
        </is>
      </c>
      <c r="M8" s="7" t="inlineStr">
        <is>
          <t>Nov</t>
        </is>
      </c>
      <c r="N8" s="7" t="inlineStr">
        <is>
          <t>Dez</t>
        </is>
      </c>
      <c r="O8" s="7" t="inlineStr">
        <is>
          <t>Total no ano</t>
        </is>
      </c>
    </row>
    <row r="9">
      <c r="B9" s="77" t="inlineStr">
        <is>
          <t>RECEITAS</t>
        </is>
      </c>
    </row>
    <row r="10">
      <c r="B10" s="14" t="str">
        <f>IF(INDEX(CatR_Nome,1)="","",INDEX(CatR_Nome,1))</f>
        <v>Salário</v>
      </c>
      <c r="C10" s="78" t="n">
        <v>10800</v>
      </c>
      <c r="D10" s="78" t="n">
        <v>10800</v>
      </c>
      <c r="E10" s="78" t="n">
        <v>10800</v>
      </c>
      <c r="F10" s="78" t="n">
        <v>10800</v>
      </c>
      <c r="G10" s="78" t="n">
        <v>10800</v>
      </c>
      <c r="H10" s="78" t="n">
        <v>10800</v>
      </c>
      <c r="I10" s="78" t="n">
        <v>10800</v>
      </c>
      <c r="J10" s="78" t="n">
        <v>10800</v>
      </c>
      <c r="K10" s="78" t="n">
        <v>10800</v>
      </c>
      <c r="L10" s="78" t="n">
        <v>10800</v>
      </c>
      <c r="M10" s="78" t="n">
        <v>10800</v>
      </c>
      <c r="N10" s="78" t="n">
        <v>10800</v>
      </c>
      <c r="O10" s="43">
        <f>SUM(C10:N10)</f>
        <v>129600</v>
      </c>
    </row>
    <row r="11">
      <c r="B11" s="14" t="str">
        <f>IF(INDEX(CatR_Nome,2)="","",INDEX(CatR_Nome,2))</f>
        <v>13º/Férias/PLR</v>
      </c>
      <c r="C11" s="78" t="n">
        <v>0</v>
      </c>
      <c r="D11" s="78" t="n">
        <v>0</v>
      </c>
      <c r="E11" s="78" t="n">
        <v>0</v>
      </c>
      <c r="F11" s="78" t="n">
        <v>0</v>
      </c>
      <c r="G11" s="78" t="n">
        <v>0</v>
      </c>
      <c r="H11" s="78" t="n">
        <v>0</v>
      </c>
      <c r="I11" s="78" t="n">
        <v>0</v>
      </c>
      <c r="J11" s="78" t="n">
        <v>0</v>
      </c>
      <c r="K11" s="78" t="n">
        <v>0</v>
      </c>
      <c r="L11" s="78" t="n">
        <v>0</v>
      </c>
      <c r="M11" s="78" t="n">
        <v>0</v>
      </c>
      <c r="N11" s="78" t="n">
        <v>10800</v>
      </c>
      <c r="O11" s="43">
        <f>SUM(C11:N11)</f>
        <v>10800</v>
      </c>
    </row>
    <row r="12">
      <c r="B12" s="14" t="str">
        <f>IF(INDEX(CatR_Nome,3)="","",INDEX(CatR_Nome,3))</f>
        <v>Freelance/Extra</v>
      </c>
      <c r="C12" s="78" t="n">
        <v>1000</v>
      </c>
      <c r="D12" s="78" t="n">
        <v>1000</v>
      </c>
      <c r="E12" s="78" t="n">
        <v>1000</v>
      </c>
      <c r="F12" s="78" t="n">
        <v>1000</v>
      </c>
      <c r="G12" s="78" t="n">
        <v>1000</v>
      </c>
      <c r="H12" s="78" t="n">
        <v>1000</v>
      </c>
      <c r="I12" s="78" t="n">
        <v>1000</v>
      </c>
      <c r="J12" s="78" t="n">
        <v>1000</v>
      </c>
      <c r="K12" s="78" t="n">
        <v>1000</v>
      </c>
      <c r="L12" s="78" t="n">
        <v>1000</v>
      </c>
      <c r="M12" s="78" t="n">
        <v>1000</v>
      </c>
      <c r="N12" s="78" t="n">
        <v>1000</v>
      </c>
      <c r="O12" s="43">
        <f>SUM(C12:N12)</f>
        <v>12000</v>
      </c>
    </row>
    <row r="13">
      <c r="B13" s="14" t="str">
        <f>IF(INDEX(CatR_Nome,4)="","",INDEX(CatR_Nome,4))</f>
        <v>Aluguel recebido</v>
      </c>
      <c r="C13" s="78" t="n">
        <v>1900</v>
      </c>
      <c r="D13" s="78" t="n">
        <v>1900</v>
      </c>
      <c r="E13" s="78" t="n">
        <v>1900</v>
      </c>
      <c r="F13" s="78" t="n">
        <v>1900</v>
      </c>
      <c r="G13" s="78" t="n">
        <v>1900</v>
      </c>
      <c r="H13" s="78" t="n">
        <v>1900</v>
      </c>
      <c r="I13" s="78" t="n">
        <v>1900</v>
      </c>
      <c r="J13" s="78" t="n">
        <v>1900</v>
      </c>
      <c r="K13" s="78" t="n">
        <v>1900</v>
      </c>
      <c r="L13" s="78" t="n">
        <v>1900</v>
      </c>
      <c r="M13" s="78" t="n">
        <v>1900</v>
      </c>
      <c r="N13" s="78" t="n">
        <v>1900</v>
      </c>
      <c r="O13" s="43">
        <f>SUM(C13:N13)</f>
        <v>22800</v>
      </c>
    </row>
    <row r="14">
      <c r="B14" s="14" t="str">
        <f>IF(INDEX(CatR_Nome,5)="","",INDEX(CatR_Nome,5))</f>
        <v>Rendimentos</v>
      </c>
      <c r="C14" s="78" t="n">
        <v>80</v>
      </c>
      <c r="D14" s="78" t="n">
        <v>80</v>
      </c>
      <c r="E14" s="78" t="n">
        <v>80</v>
      </c>
      <c r="F14" s="78" t="n">
        <v>80</v>
      </c>
      <c r="G14" s="78" t="n">
        <v>80</v>
      </c>
      <c r="H14" s="78" t="n">
        <v>80</v>
      </c>
      <c r="I14" s="78" t="n">
        <v>80</v>
      </c>
      <c r="J14" s="78" t="n">
        <v>80</v>
      </c>
      <c r="K14" s="78" t="n">
        <v>80</v>
      </c>
      <c r="L14" s="78" t="n">
        <v>80</v>
      </c>
      <c r="M14" s="78" t="n">
        <v>80</v>
      </c>
      <c r="N14" s="78" t="n">
        <v>80</v>
      </c>
      <c r="O14" s="43">
        <f>SUM(C14:N14)</f>
        <v>960</v>
      </c>
    </row>
    <row r="15">
      <c r="B15" s="14" t="str">
        <f>IF(INDEX(CatR_Nome,6)="","",INDEX(CatR_Nome,6))</f>
        <v>Reembolsos</v>
      </c>
      <c r="C15" s="78" t="n">
        <v>0</v>
      </c>
      <c r="D15" s="78" t="n">
        <v>0</v>
      </c>
      <c r="E15" s="78" t="n">
        <v>0</v>
      </c>
      <c r="F15" s="78" t="n">
        <v>0</v>
      </c>
      <c r="G15" s="78" t="n">
        <v>0</v>
      </c>
      <c r="H15" s="78" t="n">
        <v>0</v>
      </c>
      <c r="I15" s="78" t="n">
        <v>0</v>
      </c>
      <c r="J15" s="78" t="n">
        <v>0</v>
      </c>
      <c r="K15" s="78" t="n">
        <v>0</v>
      </c>
      <c r="L15" s="78" t="n">
        <v>0</v>
      </c>
      <c r="M15" s="78" t="n">
        <v>0</v>
      </c>
      <c r="N15" s="78" t="n">
        <v>0</v>
      </c>
      <c r="O15" s="43">
        <f>SUM(C15:N15)</f>
        <v>0</v>
      </c>
    </row>
    <row r="16">
      <c r="B16" s="14" t="str">
        <f>IF(INDEX(CatR_Nome,7)="","",INDEX(CatR_Nome,7))</f>
        <v>Outros</v>
      </c>
      <c r="C16" s="78" t="n">
        <v>0</v>
      </c>
      <c r="D16" s="78" t="n">
        <v>0</v>
      </c>
      <c r="E16" s="78" t="n">
        <v>0</v>
      </c>
      <c r="F16" s="78" t="n">
        <v>0</v>
      </c>
      <c r="G16" s="78" t="n">
        <v>0</v>
      </c>
      <c r="H16" s="78" t="n">
        <v>0</v>
      </c>
      <c r="I16" s="78" t="n">
        <v>0</v>
      </c>
      <c r="J16" s="78" t="n">
        <v>0</v>
      </c>
      <c r="K16" s="78" t="n">
        <v>0</v>
      </c>
      <c r="L16" s="78" t="n">
        <v>0</v>
      </c>
      <c r="M16" s="78" t="n">
        <v>0</v>
      </c>
      <c r="N16" s="78" t="n">
        <v>0</v>
      </c>
      <c r="O16" s="43">
        <f>SUM(C16:N16)</f>
        <v>0</v>
      </c>
    </row>
    <row r="17">
      <c r="B17" s="14" t="str">
        <f>IF(INDEX(CatR_Nome,8)="","",INDEX(CatR_Nome,8))</f>
        <v/>
      </c>
      <c r="C17" s="78" t="n"/>
      <c r="D17" s="78" t="n"/>
      <c r="E17" s="78" t="n"/>
      <c r="F17" s="78" t="n"/>
      <c r="G17" s="78" t="n"/>
      <c r="H17" s="78" t="n"/>
      <c r="I17" s="78" t="n"/>
      <c r="J17" s="78" t="n"/>
      <c r="K17" s="78" t="n"/>
      <c r="L17" s="78" t="n"/>
      <c r="M17" s="78" t="n"/>
      <c r="N17" s="78" t="n"/>
      <c r="O17" s="43">
        <f>SUM(C17:N17)</f>
        <v>0</v>
      </c>
    </row>
    <row r="18">
      <c r="B18" s="14" t="str">
        <f>IF(INDEX(CatR_Nome,9)="","",INDEX(CatR_Nome,9))</f>
        <v/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43">
        <f>SUM(C18:N18)</f>
        <v>0</v>
      </c>
    </row>
    <row r="19">
      <c r="B19" s="9" t="inlineStr">
        <is>
          <t>Total de receitas planejadas</t>
        </is>
      </c>
      <c r="C19" s="79">
        <f>SUM(C10:C18)</f>
        <v>13780</v>
      </c>
      <c r="D19" s="79">
        <f>SUM(D10:D18)</f>
        <v>13780</v>
      </c>
      <c r="E19" s="79">
        <f>SUM(E10:E18)</f>
        <v>13780</v>
      </c>
      <c r="F19" s="79">
        <f>SUM(F10:F18)</f>
        <v>13780</v>
      </c>
      <c r="G19" s="79">
        <f>SUM(G10:G18)</f>
        <v>13780</v>
      </c>
      <c r="H19" s="79">
        <f>SUM(H10:H18)</f>
        <v>13780</v>
      </c>
      <c r="I19" s="79">
        <f>SUM(I10:I18)</f>
        <v>13780</v>
      </c>
      <c r="J19" s="79">
        <f>SUM(J10:J18)</f>
        <v>13780</v>
      </c>
      <c r="K19" s="79">
        <f>SUM(K10:K18)</f>
        <v>13780</v>
      </c>
      <c r="L19" s="79">
        <f>SUM(L10:L18)</f>
        <v>13780</v>
      </c>
      <c r="M19" s="79">
        <f>SUM(M10:M18)</f>
        <v>13780</v>
      </c>
      <c r="N19" s="79">
        <f>SUM(N10:N18)</f>
        <v>24580</v>
      </c>
      <c r="O19" s="79">
        <f>SUM(O10:O18)</f>
        <v>176160</v>
      </c>
    </row>
    <row r="20">
      <c r="B20" s="80" t="inlineStr">
        <is>
          <t>DESPESAS</t>
        </is>
      </c>
    </row>
    <row r="21">
      <c r="B21" s="14" t="str">
        <f>IF(INDEX(CatD_Nome,1)="","",INDEX(CatD_Nome,1))</f>
        <v>Moradia</v>
      </c>
      <c r="C21" s="78" t="n">
        <v>3600</v>
      </c>
      <c r="D21" s="78" t="n">
        <v>3600</v>
      </c>
      <c r="E21" s="78" t="n">
        <v>3600</v>
      </c>
      <c r="F21" s="78" t="n">
        <v>3600</v>
      </c>
      <c r="G21" s="78" t="n">
        <v>3600</v>
      </c>
      <c r="H21" s="78" t="n">
        <v>3600</v>
      </c>
      <c r="I21" s="78" t="n">
        <v>3600</v>
      </c>
      <c r="J21" s="78" t="n">
        <v>3600</v>
      </c>
      <c r="K21" s="78" t="n">
        <v>3600</v>
      </c>
      <c r="L21" s="78" t="n">
        <v>3600</v>
      </c>
      <c r="M21" s="78" t="n">
        <v>3600</v>
      </c>
      <c r="N21" s="78" t="n">
        <v>3600</v>
      </c>
      <c r="O21" s="43">
        <f>SUM(C21:N21)</f>
        <v>43200</v>
      </c>
    </row>
    <row r="22">
      <c r="B22" s="14" t="str">
        <f>IF(INDEX(CatD_Nome,2)="","",INDEX(CatD_Nome,2))</f>
        <v>Alimentação</v>
      </c>
      <c r="C22" s="78" t="n">
        <v>1800</v>
      </c>
      <c r="D22" s="78" t="n">
        <v>1800</v>
      </c>
      <c r="E22" s="78" t="n">
        <v>1800</v>
      </c>
      <c r="F22" s="78" t="n">
        <v>1800</v>
      </c>
      <c r="G22" s="78" t="n">
        <v>1800</v>
      </c>
      <c r="H22" s="78" t="n">
        <v>1800</v>
      </c>
      <c r="I22" s="78" t="n">
        <v>1800</v>
      </c>
      <c r="J22" s="78" t="n">
        <v>1800</v>
      </c>
      <c r="K22" s="78" t="n">
        <v>1800</v>
      </c>
      <c r="L22" s="78" t="n">
        <v>1800</v>
      </c>
      <c r="M22" s="78" t="n">
        <v>1800</v>
      </c>
      <c r="N22" s="78" t="n">
        <v>1800</v>
      </c>
      <c r="O22" s="43">
        <f>SUM(C22:N22)</f>
        <v>21600</v>
      </c>
    </row>
    <row r="23">
      <c r="B23" s="14" t="str">
        <f>IF(INDEX(CatD_Nome,3)="","",INDEX(CatD_Nome,3))</f>
        <v>Transporte</v>
      </c>
      <c r="C23" s="78" t="n">
        <v>900</v>
      </c>
      <c r="D23" s="78" t="n">
        <v>900</v>
      </c>
      <c r="E23" s="78" t="n">
        <v>900</v>
      </c>
      <c r="F23" s="78" t="n">
        <v>900</v>
      </c>
      <c r="G23" s="78" t="n">
        <v>900</v>
      </c>
      <c r="H23" s="78" t="n">
        <v>900</v>
      </c>
      <c r="I23" s="78" t="n">
        <v>900</v>
      </c>
      <c r="J23" s="78" t="n">
        <v>900</v>
      </c>
      <c r="K23" s="78" t="n">
        <v>900</v>
      </c>
      <c r="L23" s="78" t="n">
        <v>900</v>
      </c>
      <c r="M23" s="78" t="n">
        <v>900</v>
      </c>
      <c r="N23" s="78" t="n">
        <v>900</v>
      </c>
      <c r="O23" s="43">
        <f>SUM(C23:N23)</f>
        <v>10800</v>
      </c>
    </row>
    <row r="24">
      <c r="B24" s="14" t="str">
        <f>IF(INDEX(CatD_Nome,4)="","",INDEX(CatD_Nome,4))</f>
        <v>Saúde</v>
      </c>
      <c r="C24" s="78" t="n">
        <v>1100</v>
      </c>
      <c r="D24" s="78" t="n">
        <v>1100</v>
      </c>
      <c r="E24" s="78" t="n">
        <v>1100</v>
      </c>
      <c r="F24" s="78" t="n">
        <v>1100</v>
      </c>
      <c r="G24" s="78" t="n">
        <v>1100</v>
      </c>
      <c r="H24" s="78" t="n">
        <v>1100</v>
      </c>
      <c r="I24" s="78" t="n">
        <v>1100</v>
      </c>
      <c r="J24" s="78" t="n">
        <v>1100</v>
      </c>
      <c r="K24" s="78" t="n">
        <v>1100</v>
      </c>
      <c r="L24" s="78" t="n">
        <v>1100</v>
      </c>
      <c r="M24" s="78" t="n">
        <v>1100</v>
      </c>
      <c r="N24" s="78" t="n">
        <v>1100</v>
      </c>
      <c r="O24" s="43">
        <f>SUM(C24:N24)</f>
        <v>13200</v>
      </c>
    </row>
    <row r="25">
      <c r="B25" s="14" t="str">
        <f>IF(INDEX(CatD_Nome,5)="","",INDEX(CatD_Nome,5))</f>
        <v>Educação</v>
      </c>
      <c r="C25" s="78" t="n">
        <v>450</v>
      </c>
      <c r="D25" s="78" t="n">
        <v>450</v>
      </c>
      <c r="E25" s="78" t="n">
        <v>450</v>
      </c>
      <c r="F25" s="78" t="n">
        <v>450</v>
      </c>
      <c r="G25" s="78" t="n">
        <v>450</v>
      </c>
      <c r="H25" s="78" t="n">
        <v>450</v>
      </c>
      <c r="I25" s="78" t="n">
        <v>450</v>
      </c>
      <c r="J25" s="78" t="n">
        <v>450</v>
      </c>
      <c r="K25" s="78" t="n">
        <v>450</v>
      </c>
      <c r="L25" s="78" t="n">
        <v>450</v>
      </c>
      <c r="M25" s="78" t="n">
        <v>450</v>
      </c>
      <c r="N25" s="78" t="n">
        <v>450</v>
      </c>
      <c r="O25" s="43">
        <f>SUM(C25:N25)</f>
        <v>5400</v>
      </c>
    </row>
    <row r="26">
      <c r="B26" s="14" t="str">
        <f>IF(INDEX(CatD_Nome,6)="","",INDEX(CatD_Nome,6))</f>
        <v>Lazer</v>
      </c>
      <c r="C26" s="78" t="n">
        <v>700</v>
      </c>
      <c r="D26" s="78" t="n">
        <v>700</v>
      </c>
      <c r="E26" s="78" t="n">
        <v>700</v>
      </c>
      <c r="F26" s="78" t="n">
        <v>700</v>
      </c>
      <c r="G26" s="78" t="n">
        <v>700</v>
      </c>
      <c r="H26" s="78" t="n">
        <v>700</v>
      </c>
      <c r="I26" s="78" t="n">
        <v>700</v>
      </c>
      <c r="J26" s="78" t="n">
        <v>700</v>
      </c>
      <c r="K26" s="78" t="n">
        <v>700</v>
      </c>
      <c r="L26" s="78" t="n">
        <v>700</v>
      </c>
      <c r="M26" s="78" t="n">
        <v>700</v>
      </c>
      <c r="N26" s="78" t="n">
        <v>700</v>
      </c>
      <c r="O26" s="43">
        <f>SUM(C26:N26)</f>
        <v>8400</v>
      </c>
    </row>
    <row r="27">
      <c r="B27" s="14" t="str">
        <f>IF(INDEX(CatD_Nome,7)="","",INDEX(CatD_Nome,7))</f>
        <v>Assinaturas</v>
      </c>
      <c r="C27" s="78" t="n">
        <v>300</v>
      </c>
      <c r="D27" s="78" t="n">
        <v>300</v>
      </c>
      <c r="E27" s="78" t="n">
        <v>300</v>
      </c>
      <c r="F27" s="78" t="n">
        <v>300</v>
      </c>
      <c r="G27" s="78" t="n">
        <v>300</v>
      </c>
      <c r="H27" s="78" t="n">
        <v>300</v>
      </c>
      <c r="I27" s="78" t="n">
        <v>300</v>
      </c>
      <c r="J27" s="78" t="n">
        <v>300</v>
      </c>
      <c r="K27" s="78" t="n">
        <v>300</v>
      </c>
      <c r="L27" s="78" t="n">
        <v>300</v>
      </c>
      <c r="M27" s="78" t="n">
        <v>300</v>
      </c>
      <c r="N27" s="78" t="n">
        <v>300</v>
      </c>
      <c r="O27" s="43">
        <f>SUM(C27:N27)</f>
        <v>3600</v>
      </c>
    </row>
    <row r="28">
      <c r="B28" s="14" t="str">
        <f>IF(INDEX(CatD_Nome,8)="","",INDEX(CatD_Nome,8))</f>
        <v>Vestuário</v>
      </c>
      <c r="C28" s="78" t="n">
        <v>400</v>
      </c>
      <c r="D28" s="78" t="n">
        <v>400</v>
      </c>
      <c r="E28" s="78" t="n">
        <v>400</v>
      </c>
      <c r="F28" s="78" t="n">
        <v>400</v>
      </c>
      <c r="G28" s="78" t="n">
        <v>400</v>
      </c>
      <c r="H28" s="78" t="n">
        <v>400</v>
      </c>
      <c r="I28" s="78" t="n">
        <v>400</v>
      </c>
      <c r="J28" s="78" t="n">
        <v>400</v>
      </c>
      <c r="K28" s="78" t="n">
        <v>400</v>
      </c>
      <c r="L28" s="78" t="n">
        <v>400</v>
      </c>
      <c r="M28" s="78" t="n">
        <v>400</v>
      </c>
      <c r="N28" s="78" t="n">
        <v>400</v>
      </c>
      <c r="O28" s="43">
        <f>SUM(C28:N28)</f>
        <v>4800</v>
      </c>
    </row>
    <row r="29">
      <c r="B29" s="14" t="str">
        <f>IF(INDEX(CatD_Nome,9)="","",INDEX(CatD_Nome,9))</f>
        <v>Dívidas e Financiamentos</v>
      </c>
      <c r="C29" s="78" t="n">
        <v>2200</v>
      </c>
      <c r="D29" s="78" t="n">
        <v>2200</v>
      </c>
      <c r="E29" s="78" t="n">
        <v>2200</v>
      </c>
      <c r="F29" s="78" t="n">
        <v>2200</v>
      </c>
      <c r="G29" s="78" t="n">
        <v>2200</v>
      </c>
      <c r="H29" s="78" t="n">
        <v>2200</v>
      </c>
      <c r="I29" s="78" t="n">
        <v>2200</v>
      </c>
      <c r="J29" s="78" t="n">
        <v>2200</v>
      </c>
      <c r="K29" s="78" t="n">
        <v>2200</v>
      </c>
      <c r="L29" s="78" t="n">
        <v>2200</v>
      </c>
      <c r="M29" s="78" t="n">
        <v>2200</v>
      </c>
      <c r="N29" s="78" t="n">
        <v>2200</v>
      </c>
      <c r="O29" s="43">
        <f>SUM(C29:N29)</f>
        <v>26400</v>
      </c>
    </row>
    <row r="30">
      <c r="B30" s="14" t="str">
        <f>IF(INDEX(CatD_Nome,10)="","",INDEX(CatD_Nome,10))</f>
        <v>Impostos e Taxas</v>
      </c>
      <c r="C30" s="78" t="n">
        <v>250</v>
      </c>
      <c r="D30" s="78" t="n">
        <v>250</v>
      </c>
      <c r="E30" s="78" t="n">
        <v>250</v>
      </c>
      <c r="F30" s="78" t="n">
        <v>250</v>
      </c>
      <c r="G30" s="78" t="n">
        <v>250</v>
      </c>
      <c r="H30" s="78" t="n">
        <v>250</v>
      </c>
      <c r="I30" s="78" t="n">
        <v>250</v>
      </c>
      <c r="J30" s="78" t="n">
        <v>250</v>
      </c>
      <c r="K30" s="78" t="n">
        <v>250</v>
      </c>
      <c r="L30" s="78" t="n">
        <v>250</v>
      </c>
      <c r="M30" s="78" t="n">
        <v>250</v>
      </c>
      <c r="N30" s="78" t="n">
        <v>250</v>
      </c>
      <c r="O30" s="43">
        <f>SUM(C30:N30)</f>
        <v>3000</v>
      </c>
    </row>
    <row r="31">
      <c r="B31" s="14" t="str">
        <f>IF(INDEX(CatD_Nome,11)="","",INDEX(CatD_Nome,11))</f>
        <v>Família/Pets</v>
      </c>
      <c r="C31" s="78" t="n">
        <v>450</v>
      </c>
      <c r="D31" s="78" t="n">
        <v>450</v>
      </c>
      <c r="E31" s="78" t="n">
        <v>450</v>
      </c>
      <c r="F31" s="78" t="n">
        <v>450</v>
      </c>
      <c r="G31" s="78" t="n">
        <v>450</v>
      </c>
      <c r="H31" s="78" t="n">
        <v>450</v>
      </c>
      <c r="I31" s="78" t="n">
        <v>450</v>
      </c>
      <c r="J31" s="78" t="n">
        <v>450</v>
      </c>
      <c r="K31" s="78" t="n">
        <v>450</v>
      </c>
      <c r="L31" s="78" t="n">
        <v>450</v>
      </c>
      <c r="M31" s="78" t="n">
        <v>450</v>
      </c>
      <c r="N31" s="78" t="n">
        <v>450</v>
      </c>
      <c r="O31" s="43">
        <f>SUM(C31:N31)</f>
        <v>5400</v>
      </c>
    </row>
    <row r="32">
      <c r="B32" s="14" t="str">
        <f>IF(INDEX(CatD_Nome,12)="","",INDEX(CatD_Nome,12))</f>
        <v>Doações</v>
      </c>
      <c r="C32" s="78" t="n">
        <v>150</v>
      </c>
      <c r="D32" s="78" t="n">
        <v>150</v>
      </c>
      <c r="E32" s="78" t="n">
        <v>150</v>
      </c>
      <c r="F32" s="78" t="n">
        <v>150</v>
      </c>
      <c r="G32" s="78" t="n">
        <v>150</v>
      </c>
      <c r="H32" s="78" t="n">
        <v>150</v>
      </c>
      <c r="I32" s="78" t="n">
        <v>150</v>
      </c>
      <c r="J32" s="78" t="n">
        <v>150</v>
      </c>
      <c r="K32" s="78" t="n">
        <v>150</v>
      </c>
      <c r="L32" s="78" t="n">
        <v>150</v>
      </c>
      <c r="M32" s="78" t="n">
        <v>150</v>
      </c>
      <c r="N32" s="78" t="n">
        <v>150</v>
      </c>
      <c r="O32" s="43">
        <f>SUM(C32:N32)</f>
        <v>1800</v>
      </c>
    </row>
    <row r="33">
      <c r="B33" s="14" t="str">
        <f>IF(INDEX(CatD_Nome,13)="","",INDEX(CatD_Nome,13))</f>
        <v>Outros</v>
      </c>
      <c r="C33" s="78" t="n">
        <v>300</v>
      </c>
      <c r="D33" s="78" t="n">
        <v>300</v>
      </c>
      <c r="E33" s="78" t="n">
        <v>300</v>
      </c>
      <c r="F33" s="78" t="n">
        <v>300</v>
      </c>
      <c r="G33" s="78" t="n">
        <v>300</v>
      </c>
      <c r="H33" s="78" t="n">
        <v>300</v>
      </c>
      <c r="I33" s="78" t="n">
        <v>300</v>
      </c>
      <c r="J33" s="78" t="n">
        <v>300</v>
      </c>
      <c r="K33" s="78" t="n">
        <v>300</v>
      </c>
      <c r="L33" s="78" t="n">
        <v>300</v>
      </c>
      <c r="M33" s="78" t="n">
        <v>300</v>
      </c>
      <c r="N33" s="78" t="n">
        <v>300</v>
      </c>
      <c r="O33" s="43">
        <f>SUM(C33:N33)</f>
        <v>3600</v>
      </c>
    </row>
    <row r="34">
      <c r="B34" s="14" t="str">
        <f>IF(INDEX(CatD_Nome,14)="","",INDEX(CatD_Nome,14))</f>
        <v/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43">
        <f>SUM(C34:N34)</f>
        <v>0</v>
      </c>
    </row>
    <row r="35">
      <c r="B35" s="14" t="str">
        <f>IF(INDEX(CatD_Nome,15)="","",INDEX(CatD_Nome,15))</f>
        <v/>
      </c>
      <c r="C35" s="78" t="n"/>
      <c r="D35" s="78" t="n"/>
      <c r="E35" s="78" t="n"/>
      <c r="F35" s="78" t="n"/>
      <c r="G35" s="78" t="n"/>
      <c r="H35" s="78" t="n"/>
      <c r="I35" s="78" t="n"/>
      <c r="J35" s="78" t="n"/>
      <c r="K35" s="78" t="n"/>
      <c r="L35" s="78" t="n"/>
      <c r="M35" s="78" t="n"/>
      <c r="N35" s="78" t="n"/>
      <c r="O35" s="43">
        <f>SUM(C35:N35)</f>
        <v>0</v>
      </c>
    </row>
    <row r="36">
      <c r="B36" s="14" t="str">
        <f>IF(INDEX(CatD_Nome,16)="","",INDEX(CatD_Nome,16))</f>
        <v/>
      </c>
      <c r="C36" s="78" t="n"/>
      <c r="D36" s="78" t="n"/>
      <c r="E36" s="78" t="n"/>
      <c r="F36" s="78" t="n"/>
      <c r="G36" s="78" t="n"/>
      <c r="H36" s="78" t="n"/>
      <c r="I36" s="78" t="n"/>
      <c r="J36" s="78" t="n"/>
      <c r="K36" s="78" t="n"/>
      <c r="L36" s="78" t="n"/>
      <c r="M36" s="78" t="n"/>
      <c r="N36" s="78" t="n"/>
      <c r="O36" s="43">
        <f>SUM(C36:N36)</f>
        <v>0</v>
      </c>
    </row>
    <row r="37">
      <c r="B37" s="14" t="str">
        <f>IF(INDEX(CatD_Nome,17)="","",INDEX(CatD_Nome,17))</f>
        <v/>
      </c>
      <c r="C37" s="78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43">
        <f>SUM(C37:N37)</f>
        <v>0</v>
      </c>
    </row>
    <row r="38">
      <c r="B38" s="14" t="str">
        <f>IF(INDEX(CatD_Nome,18)="","",INDEX(CatD_Nome,18))</f>
        <v/>
      </c>
      <c r="C38" s="78" t="n"/>
      <c r="D38" s="78" t="n"/>
      <c r="E38" s="78" t="n"/>
      <c r="F38" s="78" t="n"/>
      <c r="G38" s="78" t="n"/>
      <c r="H38" s="78" t="n"/>
      <c r="I38" s="78" t="n"/>
      <c r="J38" s="78" t="n"/>
      <c r="K38" s="78" t="n"/>
      <c r="L38" s="78" t="n"/>
      <c r="M38" s="78" t="n"/>
      <c r="N38" s="78" t="n"/>
      <c r="O38" s="43">
        <f>SUM(C38:N38)</f>
        <v>0</v>
      </c>
    </row>
    <row r="39">
      <c r="B39" s="9" t="inlineStr">
        <is>
          <t>Total de despesas planejadas</t>
        </is>
      </c>
      <c r="C39" s="79">
        <f>SUM(C21:C38)</f>
        <v>12600</v>
      </c>
      <c r="D39" s="79">
        <f>SUM(D21:D38)</f>
        <v>12600</v>
      </c>
      <c r="E39" s="79">
        <f>SUM(E21:E38)</f>
        <v>12600</v>
      </c>
      <c r="F39" s="79">
        <f>SUM(F21:F38)</f>
        <v>12600</v>
      </c>
      <c r="G39" s="79">
        <f>SUM(G21:G38)</f>
        <v>12600</v>
      </c>
      <c r="H39" s="79">
        <f>SUM(H21:H38)</f>
        <v>12600</v>
      </c>
      <c r="I39" s="79">
        <f>SUM(I21:I38)</f>
        <v>12600</v>
      </c>
      <c r="J39" s="79">
        <f>SUM(J21:J38)</f>
        <v>12600</v>
      </c>
      <c r="K39" s="79">
        <f>SUM(K21:K38)</f>
        <v>12600</v>
      </c>
      <c r="L39" s="79">
        <f>SUM(L21:L38)</f>
        <v>12600</v>
      </c>
      <c r="M39" s="79">
        <f>SUM(M21:M38)</f>
        <v>12600</v>
      </c>
      <c r="N39" s="79">
        <f>SUM(N21:N38)</f>
        <v>12600</v>
      </c>
      <c r="O39" s="79">
        <f>SUM(O21:O38)</f>
        <v>151200</v>
      </c>
    </row>
    <row r="40">
      <c r="B40" s="9" t="inlineStr">
        <is>
          <t>Sobra planejada</t>
        </is>
      </c>
      <c r="C40" s="81">
        <f>C19-C39</f>
        <v>1180</v>
      </c>
      <c r="D40" s="81">
        <f>D19-D39</f>
        <v>1180</v>
      </c>
      <c r="E40" s="81">
        <f>E19-E39</f>
        <v>1180</v>
      </c>
      <c r="F40" s="81">
        <f>F19-F39</f>
        <v>1180</v>
      </c>
      <c r="G40" s="81">
        <f>G19-G39</f>
        <v>1180</v>
      </c>
      <c r="H40" s="81">
        <f>H19-H39</f>
        <v>1180</v>
      </c>
      <c r="I40" s="81">
        <f>I19-I39</f>
        <v>1180</v>
      </c>
      <c r="J40" s="81">
        <f>J19-J39</f>
        <v>1180</v>
      </c>
      <c r="K40" s="81">
        <f>K19-K39</f>
        <v>1180</v>
      </c>
      <c r="L40" s="81">
        <f>L19-L39</f>
        <v>1180</v>
      </c>
      <c r="M40" s="81">
        <f>M19-M39</f>
        <v>1180</v>
      </c>
      <c r="N40" s="81">
        <f>N19-N39</f>
        <v>11980</v>
      </c>
      <c r="O40" s="81">
        <f>O19-O39</f>
        <v>24960</v>
      </c>
    </row>
    <row r="41">
      <c r="B41" s="14" t="inlineStr">
        <is>
          <t>Situação (base zero)</t>
        </is>
      </c>
      <c r="C41" s="82" t="str">
        <f>IF(Cfg_BaseZero&lt;&gt;"Sim","",IF(ROUND(C40,2)=0,"✔ zerado",IF(C40&gt;0,"alocar "&amp;FIXED(C40,0),"estourou")))</f>
        <v/>
      </c>
      <c r="D41" s="82" t="str">
        <f>IF(Cfg_BaseZero&lt;&gt;"Sim","",IF(ROUND(D40,2)=0,"✔ zerado",IF(D40&gt;0,"alocar "&amp;FIXED(D40,0),"estourou")))</f>
        <v/>
      </c>
      <c r="E41" s="82" t="str">
        <f>IF(Cfg_BaseZero&lt;&gt;"Sim","",IF(ROUND(E40,2)=0,"✔ zerado",IF(E40&gt;0,"alocar "&amp;FIXED(E40,0),"estourou")))</f>
        <v/>
      </c>
      <c r="F41" s="82" t="str">
        <f>IF(Cfg_BaseZero&lt;&gt;"Sim","",IF(ROUND(F40,2)=0,"✔ zerado",IF(F40&gt;0,"alocar "&amp;FIXED(F40,0),"estourou")))</f>
        <v/>
      </c>
      <c r="G41" s="82" t="str">
        <f>IF(Cfg_BaseZero&lt;&gt;"Sim","",IF(ROUND(G40,2)=0,"✔ zerado",IF(G40&gt;0,"alocar "&amp;FIXED(G40,0),"estourou")))</f>
        <v/>
      </c>
      <c r="H41" s="82" t="str">
        <f>IF(Cfg_BaseZero&lt;&gt;"Sim","",IF(ROUND(H40,2)=0,"✔ zerado",IF(H40&gt;0,"alocar "&amp;FIXED(H40,0),"estourou")))</f>
        <v/>
      </c>
      <c r="I41" s="82" t="str">
        <f>IF(Cfg_BaseZero&lt;&gt;"Sim","",IF(ROUND(I40,2)=0,"✔ zerado",IF(I40&gt;0,"alocar "&amp;FIXED(I40,0),"estourou")))</f>
        <v/>
      </c>
      <c r="J41" s="82" t="str">
        <f>IF(Cfg_BaseZero&lt;&gt;"Sim","",IF(ROUND(J40,2)=0,"✔ zerado",IF(J40&gt;0,"alocar "&amp;FIXED(J40,0),"estourou")))</f>
        <v/>
      </c>
      <c r="K41" s="82" t="str">
        <f>IF(Cfg_BaseZero&lt;&gt;"Sim","",IF(ROUND(K40,2)=0,"✔ zerado",IF(K40&gt;0,"alocar "&amp;FIXED(K40,0),"estourou")))</f>
        <v/>
      </c>
      <c r="L41" s="82" t="str">
        <f>IF(Cfg_BaseZero&lt;&gt;"Sim","",IF(ROUND(L40,2)=0,"✔ zerado",IF(L40&gt;0,"alocar "&amp;FIXED(L40,0),"estourou")))</f>
        <v/>
      </c>
      <c r="M41" s="82" t="str">
        <f>IF(Cfg_BaseZero&lt;&gt;"Sim","",IF(ROUND(M40,2)=0,"✔ zerado",IF(M40&gt;0,"alocar "&amp;FIXED(M40,0),"estourou")))</f>
        <v/>
      </c>
      <c r="N41" s="82" t="str">
        <f>IF(Cfg_BaseZero&lt;&gt;"Sim","",IF(ROUND(N40,2)=0,"✔ zerado",IF(N40&gt;0,"alocar "&amp;FIXED(N40,0),"estourou")))</f>
        <v/>
      </c>
    </row>
    <row r="44">
      <c r="B44" s="6" t="inlineStr">
        <is>
          <t>2. Planejado x realizado no mês analisado</t>
        </is>
      </c>
    </row>
    <row r="45" ht="46" customHeight="1">
      <c r="B45" s="7" t="inlineStr">
        <is>
          <t>Categoria</t>
        </is>
      </c>
      <c r="C45" s="7" t="inlineStr">
        <is>
          <t>Planejado</t>
        </is>
      </c>
      <c r="D45" s="7" t="inlineStr">
        <is>
          <t>Realizado</t>
        </is>
      </c>
      <c r="E45" s="7" t="inlineStr">
        <is>
          <t>Diferença (plan. − real.)</t>
        </is>
      </c>
      <c r="F45" s="7" t="inlineStr">
        <is>
          <t>% usado</t>
        </is>
      </c>
      <c r="G45" s="7" t="inlineStr">
        <is>
          <t>Média dos 3 meses anteriores</t>
        </is>
      </c>
      <c r="H45" s="7" t="inlineStr">
        <is>
          <t>Sugestão de orçamento</t>
        </is>
      </c>
      <c r="I45" s="7" t="inlineStr">
        <is>
          <t>Mês anterior</t>
        </is>
      </c>
      <c r="J45" s="7" t="inlineStr">
        <is>
          <t>Mesmo mês, ano anterior</t>
        </is>
      </c>
      <c r="K45" s="7" t="inlineStr">
        <is>
          <t>Situação</t>
        </is>
      </c>
    </row>
    <row r="46">
      <c r="B46" s="77" t="inlineStr">
        <is>
          <t>RECEITAS</t>
        </is>
      </c>
    </row>
    <row r="47">
      <c r="B47" s="14" t="str">
        <f>B10</f>
        <v>Salário</v>
      </c>
      <c r="C47" s="43">
        <f>IF($B47="",0,INDEX($C10:$N10,Sel_Mes))</f>
        <v>10800</v>
      </c>
      <c r="D47" s="43">
        <f>IF($B47="",0,SUMIFS(L_VParc,L_Tipo,"Receita",L_Cat,$B47,L_IIni,"&lt;="&amp;(Sel_Idx),L_IFim,"&gt;="&amp;(Sel_Idx)))</f>
        <v>10800</v>
      </c>
      <c r="E47" s="43">
        <f>D47-C47</f>
        <v>0</v>
      </c>
      <c r="F47" s="73">
        <f>IF(C47=0,0,D47/C47)</f>
        <v>1</v>
      </c>
      <c r="G47" s="43">
        <f>IF($B47="",0,(SUMIFS(L_VParc,L_Tipo,"Receita",L_Cat,$B47,L_IIni,"&lt;="&amp;(Sel_Idx-1),L_IFim,"&gt;="&amp;(Sel_Idx-1))+SUMIFS(L_VParc,L_Tipo,"Receita",L_Cat,$B47,L_IIni,"&lt;="&amp;(Sel_Idx-2),L_IFim,"&gt;="&amp;(Sel_Idx-2))+SUMIFS(L_VParc,L_Tipo,"Receita",L_Cat,$B47,L_IIni,"&lt;="&amp;(Sel_Idx-3),L_IFim,"&gt;="&amp;(Sel_Idx-3)))/3)</f>
        <v>10800</v>
      </c>
      <c r="H47" s="43">
        <f>IF(G47=0,0,ROUNDUP(G47/10,0)*10)</f>
        <v>10800</v>
      </c>
      <c r="I47" s="43">
        <f>IF($B47="",0,SUMIFS(L_VParc,L_Tipo,"Receita",L_Cat,$B47,L_IIni,"&lt;="&amp;(Sel_Idx-1),L_IFim,"&gt;="&amp;(Sel_Idx-1)))</f>
        <v>10800</v>
      </c>
      <c r="J47" s="43">
        <f>IF($B47="",0,SUMIFS(L_VParc,L_Tipo,"Receita",L_Cat,$B47,L_IIni,"&lt;="&amp;(Sel_Idx-12),L_IFim,"&gt;="&amp;(Sel_Idx-12)))</f>
        <v>10800</v>
      </c>
      <c r="K47" s="13" t="str">
        <f>IF($B47="","",IF(C47=0,IF(D47&gt;0,"Sem meta","—"),IF(F47&gt;=1,"Meta atingida",IF(F47&gt;=0.8,"Quase lá","Abaixo"))))</f>
        <v>Meta atingida</v>
      </c>
    </row>
    <row r="48">
      <c r="B48" s="14" t="str">
        <f>B11</f>
        <v>13º/Férias/PLR</v>
      </c>
      <c r="C48" s="43">
        <f>IF($B48="",0,INDEX($C11:$N11,Sel_Mes))</f>
        <v>0</v>
      </c>
      <c r="D48" s="43">
        <f>IF($B48="",0,SUMIFS(L_VParc,L_Tipo,"Receita",L_Cat,$B48,L_IIni,"&lt;="&amp;(Sel_Idx),L_IFim,"&gt;="&amp;(Sel_Idx)))</f>
        <v>0</v>
      </c>
      <c r="E48" s="43">
        <f>D48-C48</f>
        <v>0</v>
      </c>
      <c r="F48" s="73">
        <f>IF(C48=0,0,D48/C48)</f>
        <v>0</v>
      </c>
      <c r="G48" s="43">
        <f>IF($B48="",0,(SUMIFS(L_VParc,L_Tipo,"Receita",L_Cat,$B48,L_IIni,"&lt;="&amp;(Sel_Idx-1),L_IFim,"&gt;="&amp;(Sel_Idx-1))+SUMIFS(L_VParc,L_Tipo,"Receita",L_Cat,$B48,L_IIni,"&lt;="&amp;(Sel_Idx-2),L_IFim,"&gt;="&amp;(Sel_Idx-2))+SUMIFS(L_VParc,L_Tipo,"Receita",L_Cat,$B48,L_IIni,"&lt;="&amp;(Sel_Idx-3),L_IFim,"&gt;="&amp;(Sel_Idx-3)))/3)</f>
        <v>0</v>
      </c>
      <c r="H48" s="43">
        <f>IF(G48=0,0,ROUNDUP(G48/10,0)*10)</f>
        <v>0</v>
      </c>
      <c r="I48" s="43">
        <f>IF($B48="",0,SUMIFS(L_VParc,L_Tipo,"Receita",L_Cat,$B48,L_IIni,"&lt;="&amp;(Sel_Idx-1),L_IFim,"&gt;="&amp;(Sel_Idx-1)))</f>
        <v>0</v>
      </c>
      <c r="J48" s="43">
        <f>IF($B48="",0,SUMIFS(L_VParc,L_Tipo,"Receita",L_Cat,$B48,L_IIni,"&lt;="&amp;(Sel_Idx-12),L_IFim,"&gt;="&amp;(Sel_Idx-12)))</f>
        <v>0</v>
      </c>
      <c r="K48" s="13" t="str">
        <f>IF($B48="","",IF(C48=0,IF(D48&gt;0,"Sem meta","—"),IF(F48&gt;=1,"Meta atingida",IF(F48&gt;=0.8,"Quase lá","Abaixo"))))</f>
        <v>—</v>
      </c>
    </row>
    <row r="49">
      <c r="B49" s="14" t="str">
        <f>B12</f>
        <v>Freelance/Extra</v>
      </c>
      <c r="C49" s="43">
        <f>IF($B49="",0,INDEX($C12:$N12,Sel_Mes))</f>
        <v>1000</v>
      </c>
      <c r="D49" s="43">
        <f>IF($B49="",0,SUMIFS(L_VParc,L_Tipo,"Receita",L_Cat,$B49,L_IIni,"&lt;="&amp;(Sel_Idx),L_IFim,"&gt;="&amp;(Sel_Idx)))</f>
        <v>0</v>
      </c>
      <c r="E49" s="43">
        <f>D49-C49</f>
        <v>-1000</v>
      </c>
      <c r="F49" s="73">
        <f>IF(C49=0,0,D49/C49)</f>
        <v>0</v>
      </c>
      <c r="G49" s="43">
        <f>IF($B49="",0,(SUMIFS(L_VParc,L_Tipo,"Receita",L_Cat,$B49,L_IIni,"&lt;="&amp;(Sel_Idx-1),L_IFim,"&gt;="&amp;(Sel_Idx-1))+SUMIFS(L_VParc,L_Tipo,"Receita",L_Cat,$B49,L_IIni,"&lt;="&amp;(Sel_Idx-2),L_IFim,"&gt;="&amp;(Sel_Idx-2))+SUMIFS(L_VParc,L_Tipo,"Receita",L_Cat,$B49,L_IIni,"&lt;="&amp;(Sel_Idx-3),L_IFim,"&gt;="&amp;(Sel_Idx-3)))/3)</f>
        <v>1600</v>
      </c>
      <c r="H49" s="43">
        <f>IF(G49=0,0,ROUNDUP(G49/10,0)*10)</f>
        <v>1600</v>
      </c>
      <c r="I49" s="43">
        <f>IF($B49="",0,SUMIFS(L_VParc,L_Tipo,"Receita",L_Cat,$B49,L_IIni,"&lt;="&amp;(Sel_Idx-1),L_IFim,"&gt;="&amp;(Sel_Idx-1)))</f>
        <v>2400</v>
      </c>
      <c r="J49" s="43">
        <f>IF($B49="",0,SUMIFS(L_VParc,L_Tipo,"Receita",L_Cat,$B49,L_IIni,"&lt;="&amp;(Sel_Idx-12),L_IFim,"&gt;="&amp;(Sel_Idx-12)))</f>
        <v>0</v>
      </c>
      <c r="K49" s="13" t="str">
        <f>IF($B49="","",IF(C49=0,IF(D49&gt;0,"Sem meta","—"),IF(F49&gt;=1,"Meta atingida",IF(F49&gt;=0.8,"Quase lá","Abaixo"))))</f>
        <v>Abaixo</v>
      </c>
    </row>
    <row r="50">
      <c r="B50" s="14" t="str">
        <f>B13</f>
        <v>Aluguel recebido</v>
      </c>
      <c r="C50" s="43">
        <f>IF($B50="",0,INDEX($C13:$N13,Sel_Mes))</f>
        <v>1900</v>
      </c>
      <c r="D50" s="43">
        <f>IF($B50="",0,SUMIFS(L_VParc,L_Tipo,"Receita",L_Cat,$B50,L_IIni,"&lt;="&amp;(Sel_Idx),L_IFim,"&gt;="&amp;(Sel_Idx)))</f>
        <v>1900</v>
      </c>
      <c r="E50" s="43">
        <f>D50-C50</f>
        <v>0</v>
      </c>
      <c r="F50" s="73">
        <f>IF(C50=0,0,D50/C50)</f>
        <v>1</v>
      </c>
      <c r="G50" s="43">
        <f>IF($B50="",0,(SUMIFS(L_VParc,L_Tipo,"Receita",L_Cat,$B50,L_IIni,"&lt;="&amp;(Sel_Idx-1),L_IFim,"&gt;="&amp;(Sel_Idx-1))+SUMIFS(L_VParc,L_Tipo,"Receita",L_Cat,$B50,L_IIni,"&lt;="&amp;(Sel_Idx-2),L_IFim,"&gt;="&amp;(Sel_Idx-2))+SUMIFS(L_VParc,L_Tipo,"Receita",L_Cat,$B50,L_IIni,"&lt;="&amp;(Sel_Idx-3),L_IFim,"&gt;="&amp;(Sel_Idx-3)))/3)</f>
        <v>1900</v>
      </c>
      <c r="H50" s="43">
        <f>IF(G50=0,0,ROUNDUP(G50/10,0)*10)</f>
        <v>1900</v>
      </c>
      <c r="I50" s="43">
        <f>IF($B50="",0,SUMIFS(L_VParc,L_Tipo,"Receita",L_Cat,$B50,L_IIni,"&lt;="&amp;(Sel_Idx-1),L_IFim,"&gt;="&amp;(Sel_Idx-1)))</f>
        <v>1900</v>
      </c>
      <c r="J50" s="43">
        <f>IF($B50="",0,SUMIFS(L_VParc,L_Tipo,"Receita",L_Cat,$B50,L_IIni,"&lt;="&amp;(Sel_Idx-12),L_IFim,"&gt;="&amp;(Sel_Idx-12)))</f>
        <v>1900</v>
      </c>
      <c r="K50" s="13" t="str">
        <f>IF($B50="","",IF(C50=0,IF(D50&gt;0,"Sem meta","—"),IF(F50&gt;=1,"Meta atingida",IF(F50&gt;=0.8,"Quase lá","Abaixo"))))</f>
        <v>Meta atingida</v>
      </c>
    </row>
    <row r="51">
      <c r="B51" s="14" t="str">
        <f>B14</f>
        <v>Rendimentos</v>
      </c>
      <c r="C51" s="43">
        <f>IF($B51="",0,INDEX($C14:$N14,Sel_Mes))</f>
        <v>80</v>
      </c>
      <c r="D51" s="43">
        <f>IF($B51="",0,SUMIFS(L_VParc,L_Tipo,"Receita",L_Cat,$B51,L_IIni,"&lt;="&amp;(Sel_Idx),L_IFim,"&gt;="&amp;(Sel_Idx)))</f>
        <v>83.87</v>
      </c>
      <c r="E51" s="43">
        <f>D51-C51</f>
        <v>3.87</v>
      </c>
      <c r="F51" s="73">
        <f>IF(C51=0,0,D51/C51)</f>
        <v>1.048375</v>
      </c>
      <c r="G51" s="43">
        <f>IF($B51="",0,(SUMIFS(L_VParc,L_Tipo,"Receita",L_Cat,$B51,L_IIni,"&lt;="&amp;(Sel_Idx-1),L_IFim,"&gt;="&amp;(Sel_Idx-1))+SUMIFS(L_VParc,L_Tipo,"Receita",L_Cat,$B51,L_IIni,"&lt;="&amp;(Sel_Idx-2),L_IFim,"&gt;="&amp;(Sel_Idx-2))+SUMIFS(L_VParc,L_Tipo,"Receita",L_Cat,$B51,L_IIni,"&lt;="&amp;(Sel_Idx-3),L_IFim,"&gt;="&amp;(Sel_Idx-3)))/3)</f>
        <v>76.61</v>
      </c>
      <c r="H51" s="43">
        <f>IF(G51=0,0,ROUNDUP(G51/10,0)*10)</f>
        <v>80</v>
      </c>
      <c r="I51" s="43">
        <f>IF($B51="",0,SUMIFS(L_VParc,L_Tipo,"Receita",L_Cat,$B51,L_IIni,"&lt;="&amp;(Sel_Idx-1),L_IFim,"&gt;="&amp;(Sel_Idx-1)))</f>
        <v>82.06</v>
      </c>
      <c r="J51" s="43">
        <f>IF($B51="",0,SUMIFS(L_VParc,L_Tipo,"Receita",L_Cat,$B51,L_IIni,"&lt;="&amp;(Sel_Idx-12),L_IFim,"&gt;="&amp;(Sel_Idx-12)))</f>
        <v>64.17</v>
      </c>
      <c r="K51" s="13" t="str">
        <f>IF($B51="","",IF(C51=0,IF(D51&gt;0,"Sem meta","—"),IF(F51&gt;=1,"Meta atingida",IF(F51&gt;=0.8,"Quase lá","Abaixo"))))</f>
        <v>Meta atingida</v>
      </c>
    </row>
    <row r="52">
      <c r="B52" s="14" t="str">
        <f>B15</f>
        <v>Reembolsos</v>
      </c>
      <c r="C52" s="43">
        <f>IF($B52="",0,INDEX($C15:$N15,Sel_Mes))</f>
        <v>0</v>
      </c>
      <c r="D52" s="43">
        <f>IF($B52="",0,SUMIFS(L_VParc,L_Tipo,"Receita",L_Cat,$B52,L_IIni,"&lt;="&amp;(Sel_Idx),L_IFim,"&gt;="&amp;(Sel_Idx)))</f>
        <v>0</v>
      </c>
      <c r="E52" s="43">
        <f>D52-C52</f>
        <v>0</v>
      </c>
      <c r="F52" s="73">
        <f>IF(C52=0,0,D52/C52)</f>
        <v>0</v>
      </c>
      <c r="G52" s="43">
        <f>IF($B52="",0,(SUMIFS(L_VParc,L_Tipo,"Receita",L_Cat,$B52,L_IIni,"&lt;="&amp;(Sel_Idx-1),L_IFim,"&gt;="&amp;(Sel_Idx-1))+SUMIFS(L_VParc,L_Tipo,"Receita",L_Cat,$B52,L_IIni,"&lt;="&amp;(Sel_Idx-2),L_IFim,"&gt;="&amp;(Sel_Idx-2))+SUMIFS(L_VParc,L_Tipo,"Receita",L_Cat,$B52,L_IIni,"&lt;="&amp;(Sel_Idx-3),L_IFim,"&gt;="&amp;(Sel_Idx-3)))/3)</f>
        <v>0</v>
      </c>
      <c r="H52" s="43">
        <f>IF(G52=0,0,ROUNDUP(G52/10,0)*10)</f>
        <v>0</v>
      </c>
      <c r="I52" s="43">
        <f>IF($B52="",0,SUMIFS(L_VParc,L_Tipo,"Receita",L_Cat,$B52,L_IIni,"&lt;="&amp;(Sel_Idx-1),L_IFim,"&gt;="&amp;(Sel_Idx-1)))</f>
        <v>0</v>
      </c>
      <c r="J52" s="43">
        <f>IF($B52="",0,SUMIFS(L_VParc,L_Tipo,"Receita",L_Cat,$B52,L_IIni,"&lt;="&amp;(Sel_Idx-12),L_IFim,"&gt;="&amp;(Sel_Idx-12)))</f>
        <v>0</v>
      </c>
      <c r="K52" s="13" t="str">
        <f>IF($B52="","",IF(C52=0,IF(D52&gt;0,"Sem meta","—"),IF(F52&gt;=1,"Meta atingida",IF(F52&gt;=0.8,"Quase lá","Abaixo"))))</f>
        <v>—</v>
      </c>
    </row>
    <row r="53">
      <c r="B53" s="14" t="str">
        <f>B16</f>
        <v>Outros</v>
      </c>
      <c r="C53" s="43">
        <f>IF($B53="",0,INDEX($C16:$N16,Sel_Mes))</f>
        <v>0</v>
      </c>
      <c r="D53" s="43">
        <f>IF($B53="",0,SUMIFS(L_VParc,L_Tipo,"Receita",L_Cat,$B53,L_IIni,"&lt;="&amp;(Sel_Idx),L_IFim,"&gt;="&amp;(Sel_Idx)))</f>
        <v>0</v>
      </c>
      <c r="E53" s="43">
        <f>D53-C53</f>
        <v>0</v>
      </c>
      <c r="F53" s="73">
        <f>IF(C53=0,0,D53/C53)</f>
        <v>0</v>
      </c>
      <c r="G53" s="43">
        <f>IF($B53="",0,(SUMIFS(L_VParc,L_Tipo,"Receita",L_Cat,$B53,L_IIni,"&lt;="&amp;(Sel_Idx-1),L_IFim,"&gt;="&amp;(Sel_Idx-1))+SUMIFS(L_VParc,L_Tipo,"Receita",L_Cat,$B53,L_IIni,"&lt;="&amp;(Sel_Idx-2),L_IFim,"&gt;="&amp;(Sel_Idx-2))+SUMIFS(L_VParc,L_Tipo,"Receita",L_Cat,$B53,L_IIni,"&lt;="&amp;(Sel_Idx-3),L_IFim,"&gt;="&amp;(Sel_Idx-3)))/3)</f>
        <v>0</v>
      </c>
      <c r="H53" s="43">
        <f>IF(G53=0,0,ROUNDUP(G53/10,0)*10)</f>
        <v>0</v>
      </c>
      <c r="I53" s="43">
        <f>IF($B53="",0,SUMIFS(L_VParc,L_Tipo,"Receita",L_Cat,$B53,L_IIni,"&lt;="&amp;(Sel_Idx-1),L_IFim,"&gt;="&amp;(Sel_Idx-1)))</f>
        <v>0</v>
      </c>
      <c r="J53" s="43">
        <f>IF($B53="",0,SUMIFS(L_VParc,L_Tipo,"Receita",L_Cat,$B53,L_IIni,"&lt;="&amp;(Sel_Idx-12),L_IFim,"&gt;="&amp;(Sel_Idx-12)))</f>
        <v>0</v>
      </c>
      <c r="K53" s="13" t="str">
        <f>IF($B53="","",IF(C53=0,IF(D53&gt;0,"Sem meta","—"),IF(F53&gt;=1,"Meta atingida",IF(F53&gt;=0.8,"Quase lá","Abaixo"))))</f>
        <v>—</v>
      </c>
    </row>
    <row r="54">
      <c r="B54" s="14" t="str">
        <f>B17</f>
        <v/>
      </c>
      <c r="C54" s="43">
        <f>IF($B54="",0,INDEX($C17:$N17,Sel_Mes))</f>
        <v>0</v>
      </c>
      <c r="D54" s="43">
        <f>IF($B54="",0,SUMIFS(L_VParc,L_Tipo,"Receita",L_Cat,$B54,L_IIni,"&lt;="&amp;(Sel_Idx),L_IFim,"&gt;="&amp;(Sel_Idx)))</f>
        <v>0</v>
      </c>
      <c r="E54" s="43">
        <f>D54-C54</f>
        <v>0</v>
      </c>
      <c r="F54" s="73">
        <f>IF(C54=0,0,D54/C54)</f>
        <v>0</v>
      </c>
      <c r="G54" s="43">
        <f>IF($B54="",0,(SUMIFS(L_VParc,L_Tipo,"Receita",L_Cat,$B54,L_IIni,"&lt;="&amp;(Sel_Idx-1),L_IFim,"&gt;="&amp;(Sel_Idx-1))+SUMIFS(L_VParc,L_Tipo,"Receita",L_Cat,$B54,L_IIni,"&lt;="&amp;(Sel_Idx-2),L_IFim,"&gt;="&amp;(Sel_Idx-2))+SUMIFS(L_VParc,L_Tipo,"Receita",L_Cat,$B54,L_IIni,"&lt;="&amp;(Sel_Idx-3),L_IFim,"&gt;="&amp;(Sel_Idx-3)))/3)</f>
        <v>0</v>
      </c>
      <c r="H54" s="43">
        <f>IF(G54=0,0,ROUNDUP(G54/10,0)*10)</f>
        <v>0</v>
      </c>
      <c r="I54" s="43">
        <f>IF($B54="",0,SUMIFS(L_VParc,L_Tipo,"Receita",L_Cat,$B54,L_IIni,"&lt;="&amp;(Sel_Idx-1),L_IFim,"&gt;="&amp;(Sel_Idx-1)))</f>
        <v>0</v>
      </c>
      <c r="J54" s="43">
        <f>IF($B54="",0,SUMIFS(L_VParc,L_Tipo,"Receita",L_Cat,$B54,L_IIni,"&lt;="&amp;(Sel_Idx-12),L_IFim,"&gt;="&amp;(Sel_Idx-12)))</f>
        <v>0</v>
      </c>
      <c r="K54" s="13" t="str">
        <f>IF($B54="","",IF(C54=0,IF(D54&gt;0,"Sem meta","—"),IF(F54&gt;=1,"Meta atingida",IF(F54&gt;=0.8,"Quase lá","Abaixo"))))</f>
        <v/>
      </c>
    </row>
    <row r="55">
      <c r="B55" s="14" t="str">
        <f>B18</f>
        <v/>
      </c>
      <c r="C55" s="43">
        <f>IF($B55="",0,INDEX($C18:$N18,Sel_Mes))</f>
        <v>0</v>
      </c>
      <c r="D55" s="43">
        <f>IF($B55="",0,SUMIFS(L_VParc,L_Tipo,"Receita",L_Cat,$B55,L_IIni,"&lt;="&amp;(Sel_Idx),L_IFim,"&gt;="&amp;(Sel_Idx)))</f>
        <v>0</v>
      </c>
      <c r="E55" s="43">
        <f>D55-C55</f>
        <v>0</v>
      </c>
      <c r="F55" s="73">
        <f>IF(C55=0,0,D55/C55)</f>
        <v>0</v>
      </c>
      <c r="G55" s="43">
        <f>IF($B55="",0,(SUMIFS(L_VParc,L_Tipo,"Receita",L_Cat,$B55,L_IIni,"&lt;="&amp;(Sel_Idx-1),L_IFim,"&gt;="&amp;(Sel_Idx-1))+SUMIFS(L_VParc,L_Tipo,"Receita",L_Cat,$B55,L_IIni,"&lt;="&amp;(Sel_Idx-2),L_IFim,"&gt;="&amp;(Sel_Idx-2))+SUMIFS(L_VParc,L_Tipo,"Receita",L_Cat,$B55,L_IIni,"&lt;="&amp;(Sel_Idx-3),L_IFim,"&gt;="&amp;(Sel_Idx-3)))/3)</f>
        <v>0</v>
      </c>
      <c r="H55" s="43">
        <f>IF(G55=0,0,ROUNDUP(G55/10,0)*10)</f>
        <v>0</v>
      </c>
      <c r="I55" s="43">
        <f>IF($B55="",0,SUMIFS(L_VParc,L_Tipo,"Receita",L_Cat,$B55,L_IIni,"&lt;="&amp;(Sel_Idx-1),L_IFim,"&gt;="&amp;(Sel_Idx-1)))</f>
        <v>0</v>
      </c>
      <c r="J55" s="43">
        <f>IF($B55="",0,SUMIFS(L_VParc,L_Tipo,"Receita",L_Cat,$B55,L_IIni,"&lt;="&amp;(Sel_Idx-12),L_IFim,"&gt;="&amp;(Sel_Idx-12)))</f>
        <v>0</v>
      </c>
      <c r="K55" s="13" t="str">
        <f>IF($B55="","",IF(C55=0,IF(D55&gt;0,"Sem meta","—"),IF(F55&gt;=1,"Meta atingida",IF(F55&gt;=0.8,"Quase lá","Abaixo"))))</f>
        <v/>
      </c>
    </row>
    <row r="56">
      <c r="B56" s="9" t="inlineStr">
        <is>
          <t>Total</t>
        </is>
      </c>
      <c r="C56" s="79">
        <f>SUM(C47:C55)</f>
        <v>13780</v>
      </c>
      <c r="D56" s="79">
        <f>SUM(D47:D55)</f>
        <v>12783.87</v>
      </c>
      <c r="E56" s="79">
        <f>SUM(E47:E55)</f>
        <v>-996.13</v>
      </c>
      <c r="F56" s="83">
        <f>IF(C56=0,0,D56/C56)</f>
        <v>0.927711901306241</v>
      </c>
      <c r="G56" s="79">
        <f>SUM(G47:G55)</f>
        <v>14376.61</v>
      </c>
      <c r="H56" s="79">
        <f>SUM(H47:H55)</f>
        <v>14380</v>
      </c>
      <c r="I56" s="79">
        <f>SUM(I47:I55)</f>
        <v>15182.06</v>
      </c>
      <c r="J56" s="79">
        <f>SUM(J47:J55)</f>
        <v>12764.17</v>
      </c>
      <c r="K56" s="14" t="n"/>
    </row>
    <row r="58">
      <c r="B58" s="80" t="inlineStr">
        <is>
          <t>DESPESAS</t>
        </is>
      </c>
    </row>
    <row r="59">
      <c r="B59" s="14" t="str">
        <f>B21</f>
        <v>Moradia</v>
      </c>
      <c r="C59" s="43">
        <f>IF($B59="",0,INDEX($C21:$N21,Sel_Mes))</f>
        <v>3600</v>
      </c>
      <c r="D59" s="43">
        <f>IF($B59="",0,SUMIFS(L_VParc,L_Tipo,"Despesa",L_Cat,$B59,L_IIni,"&lt;="&amp;(Sel_Idx),L_IFim,"&gt;="&amp;(Sel_Idx)))</f>
        <v>3670.77</v>
      </c>
      <c r="E59" s="43">
        <f>C59-D59</f>
        <v>-70.77</v>
      </c>
      <c r="F59" s="73">
        <f>IF(C59=0,0,D59/C59)</f>
        <v>1.01965833333333</v>
      </c>
      <c r="G59" s="43">
        <f>IF($B59="",0,(SUMIFS(L_VParc,L_Tipo,"Despesa",L_Cat,$B59,L_IIni,"&lt;="&amp;(Sel_Idx-1),L_IFim,"&gt;="&amp;(Sel_Idx-1))+SUMIFS(L_VParc,L_Tipo,"Despesa",L_Cat,$B59,L_IIni,"&lt;="&amp;(Sel_Idx-2),L_IFim,"&gt;="&amp;(Sel_Idx-2))+SUMIFS(L_VParc,L_Tipo,"Despesa",L_Cat,$B59,L_IIni,"&lt;="&amp;(Sel_Idx-3),L_IFim,"&gt;="&amp;(Sel_Idx-3)))/3)</f>
        <v>3554.84333333333</v>
      </c>
      <c r="H59" s="43">
        <f>IF(G59=0,0,ROUNDUP(G59/10,0)*10)</f>
        <v>3560</v>
      </c>
      <c r="I59" s="43">
        <f>IF($B59="",0,SUMIFS(L_VParc,L_Tipo,"Despesa",L_Cat,$B59,L_IIni,"&lt;="&amp;(Sel_Idx-1),L_IFim,"&gt;="&amp;(Sel_Idx-1)))</f>
        <v>3624.71</v>
      </c>
      <c r="J59" s="43">
        <f>IF($B59="",0,SUMIFS(L_VParc,L_Tipo,"Despesa",L_Cat,$B59,L_IIni,"&lt;="&amp;(Sel_Idx-12),L_IFim,"&gt;="&amp;(Sel_Idx-12)))</f>
        <v>3455.6</v>
      </c>
      <c r="K59" s="13" t="str">
        <f>IF($B59="","",IF(C59=0,IF(D59&gt;0,"Sem orçamento","—"),IF(F59&gt;1,"Estourou",IF(F59&gt;=0.8,"Atenção","Dentro"))))</f>
        <v>Estourou</v>
      </c>
    </row>
    <row r="60">
      <c r="B60" s="14" t="str">
        <f>B22</f>
        <v>Alimentação</v>
      </c>
      <c r="C60" s="43">
        <f>IF($B60="",0,INDEX($C22:$N22,Sel_Mes))</f>
        <v>1800</v>
      </c>
      <c r="D60" s="43">
        <f>IF($B60="",0,SUMIFS(L_VParc,L_Tipo,"Despesa",L_Cat,$B60,L_IIni,"&lt;="&amp;(Sel_Idx),L_IFim,"&gt;="&amp;(Sel_Idx)))</f>
        <v>1748.55</v>
      </c>
      <c r="E60" s="43">
        <f>C60-D60</f>
        <v>51.45</v>
      </c>
      <c r="F60" s="73">
        <f>IF(C60=0,0,D60/C60)</f>
        <v>0.971416666666667</v>
      </c>
      <c r="G60" s="43">
        <f>IF($B60="",0,(SUMIFS(L_VParc,L_Tipo,"Despesa",L_Cat,$B60,L_IIni,"&lt;="&amp;(Sel_Idx-1),L_IFim,"&gt;="&amp;(Sel_Idx-1))+SUMIFS(L_VParc,L_Tipo,"Despesa",L_Cat,$B60,L_IIni,"&lt;="&amp;(Sel_Idx-2),L_IFim,"&gt;="&amp;(Sel_Idx-2))+SUMIFS(L_VParc,L_Tipo,"Despesa",L_Cat,$B60,L_IIni,"&lt;="&amp;(Sel_Idx-3),L_IFim,"&gt;="&amp;(Sel_Idx-3)))/3)</f>
        <v>1463.45</v>
      </c>
      <c r="H60" s="43">
        <f>IF(G60=0,0,ROUNDUP(G60/10,0)*10)</f>
        <v>1470</v>
      </c>
      <c r="I60" s="43">
        <f>IF($B60="",0,SUMIFS(L_VParc,L_Tipo,"Despesa",L_Cat,$B60,L_IIni,"&lt;="&amp;(Sel_Idx-1),L_IFim,"&gt;="&amp;(Sel_Idx-1)))</f>
        <v>1616.56</v>
      </c>
      <c r="J60" s="43">
        <f>IF($B60="",0,SUMIFS(L_VParc,L_Tipo,"Despesa",L_Cat,$B60,L_IIni,"&lt;="&amp;(Sel_Idx-12),L_IFim,"&gt;="&amp;(Sel_Idx-12)))</f>
        <v>1561.47</v>
      </c>
      <c r="K60" s="13" t="str">
        <f>IF($B60="","",IF(C60=0,IF(D60&gt;0,"Sem orçamento","—"),IF(F60&gt;1,"Estourou",IF(F60&gt;=0.8,"Atenção","Dentro"))))</f>
        <v>Atenção</v>
      </c>
    </row>
    <row r="61">
      <c r="B61" s="14" t="str">
        <f>B23</f>
        <v>Transporte</v>
      </c>
      <c r="C61" s="43">
        <f>IF($B61="",0,INDEX($C23:$N23,Sel_Mes))</f>
        <v>900</v>
      </c>
      <c r="D61" s="43">
        <f>IF($B61="",0,SUMIFS(L_VParc,L_Tipo,"Despesa",L_Cat,$B61,L_IIni,"&lt;="&amp;(Sel_Idx),L_IFim,"&gt;="&amp;(Sel_Idx)))</f>
        <v>482.6</v>
      </c>
      <c r="E61" s="43">
        <f>C61-D61</f>
        <v>417.4</v>
      </c>
      <c r="F61" s="73">
        <f>IF(C61=0,0,D61/C61)</f>
        <v>0.536222222222222</v>
      </c>
      <c r="G61" s="43">
        <f>IF($B61="",0,(SUMIFS(L_VParc,L_Tipo,"Despesa",L_Cat,$B61,L_IIni,"&lt;="&amp;(Sel_Idx-1),L_IFim,"&gt;="&amp;(Sel_Idx-1))+SUMIFS(L_VParc,L_Tipo,"Despesa",L_Cat,$B61,L_IIni,"&lt;="&amp;(Sel_Idx-2),L_IFim,"&gt;="&amp;(Sel_Idx-2))+SUMIFS(L_VParc,L_Tipo,"Despesa",L_Cat,$B61,L_IIni,"&lt;="&amp;(Sel_Idx-3),L_IFim,"&gt;="&amp;(Sel_Idx-3)))/3)</f>
        <v>441.92</v>
      </c>
      <c r="H61" s="43">
        <f>IF(G61=0,0,ROUNDUP(G61/10,0)*10)</f>
        <v>450</v>
      </c>
      <c r="I61" s="43">
        <f>IF($B61="",0,SUMIFS(L_VParc,L_Tipo,"Despesa",L_Cat,$B61,L_IIni,"&lt;="&amp;(Sel_Idx-1),L_IFim,"&gt;="&amp;(Sel_Idx-1)))</f>
        <v>438.06</v>
      </c>
      <c r="J61" s="43">
        <f>IF($B61="",0,SUMIFS(L_VParc,L_Tipo,"Despesa",L_Cat,$B61,L_IIni,"&lt;="&amp;(Sel_Idx-12),L_IFim,"&gt;="&amp;(Sel_Idx-12)))</f>
        <v>480.81</v>
      </c>
      <c r="K61" s="13" t="str">
        <f>IF($B61="","",IF(C61=0,IF(D61&gt;0,"Sem orçamento","—"),IF(F61&gt;1,"Estourou",IF(F61&gt;=0.8,"Atenção","Dentro"))))</f>
        <v>Dentro</v>
      </c>
    </row>
    <row r="62">
      <c r="B62" s="14" t="str">
        <f>B24</f>
        <v>Saúde</v>
      </c>
      <c r="C62" s="43">
        <f>IF($B62="",0,INDEX($C24:$N24,Sel_Mes))</f>
        <v>1100</v>
      </c>
      <c r="D62" s="43">
        <f>IF($B62="",0,SUMIFS(L_VParc,L_Tipo,"Despesa",L_Cat,$B62,L_IIni,"&lt;="&amp;(Sel_Idx),L_IFim,"&gt;="&amp;(Sel_Idx)))</f>
        <v>1169.25</v>
      </c>
      <c r="E62" s="43">
        <f>C62-D62</f>
        <v>-69.25</v>
      </c>
      <c r="F62" s="73">
        <f>IF(C62=0,0,D62/C62)</f>
        <v>1.06295454545455</v>
      </c>
      <c r="G62" s="43">
        <f>IF($B62="",0,(SUMIFS(L_VParc,L_Tipo,"Despesa",L_Cat,$B62,L_IIni,"&lt;="&amp;(Sel_Idx-1),L_IFim,"&gt;="&amp;(Sel_Idx-1))+SUMIFS(L_VParc,L_Tipo,"Despesa",L_Cat,$B62,L_IIni,"&lt;="&amp;(Sel_Idx-2),L_IFim,"&gt;="&amp;(Sel_Idx-2))+SUMIFS(L_VParc,L_Tipo,"Despesa",L_Cat,$B62,L_IIni,"&lt;="&amp;(Sel_Idx-3),L_IFim,"&gt;="&amp;(Sel_Idx-3)))/3)</f>
        <v>998.723333333333</v>
      </c>
      <c r="H62" s="43">
        <f>IF(G62=0,0,ROUNDUP(G62/10,0)*10)</f>
        <v>1000</v>
      </c>
      <c r="I62" s="43">
        <f>IF($B62="",0,SUMIFS(L_VParc,L_Tipo,"Despesa",L_Cat,$B62,L_IIni,"&lt;="&amp;(Sel_Idx-1),L_IFim,"&gt;="&amp;(Sel_Idx-1)))</f>
        <v>853</v>
      </c>
      <c r="J62" s="43">
        <f>IF($B62="",0,SUMIFS(L_VParc,L_Tipo,"Despesa",L_Cat,$B62,L_IIni,"&lt;="&amp;(Sel_Idx-12),L_IFim,"&gt;="&amp;(Sel_Idx-12)))</f>
        <v>1118.32</v>
      </c>
      <c r="K62" s="13" t="str">
        <f>IF($B62="","",IF(C62=0,IF(D62&gt;0,"Sem orçamento","—"),IF(F62&gt;1,"Estourou",IF(F62&gt;=0.8,"Atenção","Dentro"))))</f>
        <v>Estourou</v>
      </c>
    </row>
    <row r="63">
      <c r="B63" s="14" t="str">
        <f>B25</f>
        <v>Educação</v>
      </c>
      <c r="C63" s="43">
        <f>IF($B63="",0,INDEX($C25:$N25,Sel_Mes))</f>
        <v>450</v>
      </c>
      <c r="D63" s="43">
        <f>IF($B63="",0,SUMIFS(L_VParc,L_Tipo,"Despesa",L_Cat,$B63,L_IIni,"&lt;="&amp;(Sel_Idx),L_IFim,"&gt;="&amp;(Sel_Idx)))</f>
        <v>390</v>
      </c>
      <c r="E63" s="43">
        <f>C63-D63</f>
        <v>60</v>
      </c>
      <c r="F63" s="73">
        <f>IF(C63=0,0,D63/C63)</f>
        <v>0.866666666666667</v>
      </c>
      <c r="G63" s="43">
        <f>IF($B63="",0,(SUMIFS(L_VParc,L_Tipo,"Despesa",L_Cat,$B63,L_IIni,"&lt;="&amp;(Sel_Idx-1),L_IFim,"&gt;="&amp;(Sel_Idx-1))+SUMIFS(L_VParc,L_Tipo,"Despesa",L_Cat,$B63,L_IIni,"&lt;="&amp;(Sel_Idx-2),L_IFim,"&gt;="&amp;(Sel_Idx-2))+SUMIFS(L_VParc,L_Tipo,"Despesa",L_Cat,$B63,L_IIni,"&lt;="&amp;(Sel_Idx-3),L_IFim,"&gt;="&amp;(Sel_Idx-3)))/3)</f>
        <v>390</v>
      </c>
      <c r="H63" s="43">
        <f>IF(G63=0,0,ROUNDUP(G63/10,0)*10)</f>
        <v>390</v>
      </c>
      <c r="I63" s="43">
        <f>IF($B63="",0,SUMIFS(L_VParc,L_Tipo,"Despesa",L_Cat,$B63,L_IIni,"&lt;="&amp;(Sel_Idx-1),L_IFim,"&gt;="&amp;(Sel_Idx-1)))</f>
        <v>390</v>
      </c>
      <c r="J63" s="43">
        <f>IF($B63="",0,SUMIFS(L_VParc,L_Tipo,"Despesa",L_Cat,$B63,L_IIni,"&lt;="&amp;(Sel_Idx-12),L_IFim,"&gt;="&amp;(Sel_Idx-12)))</f>
        <v>390</v>
      </c>
      <c r="K63" s="13" t="str">
        <f>IF($B63="","",IF(C63=0,IF(D63&gt;0,"Sem orçamento","—"),IF(F63&gt;1,"Estourou",IF(F63&gt;=0.8,"Atenção","Dentro"))))</f>
        <v>Atenção</v>
      </c>
    </row>
    <row r="64">
      <c r="B64" s="14" t="str">
        <f>B26</f>
        <v>Lazer</v>
      </c>
      <c r="C64" s="43">
        <f>IF($B64="",0,INDEX($C26:$N26,Sel_Mes))</f>
        <v>700</v>
      </c>
      <c r="D64" s="43">
        <f>IF($B64="",0,SUMIFS(L_VParc,L_Tipo,"Despesa",L_Cat,$B64,L_IIni,"&lt;="&amp;(Sel_Idx),L_IFim,"&gt;="&amp;(Sel_Idx)))</f>
        <v>1651.19</v>
      </c>
      <c r="E64" s="43">
        <f>C64-D64</f>
        <v>-951.19</v>
      </c>
      <c r="F64" s="73">
        <f>IF(C64=0,0,D64/C64)</f>
        <v>2.35884285714286</v>
      </c>
      <c r="G64" s="43">
        <f>IF($B64="",0,(SUMIFS(L_VParc,L_Tipo,"Despesa",L_Cat,$B64,L_IIni,"&lt;="&amp;(Sel_Idx-1),L_IFim,"&gt;="&amp;(Sel_Idx-1))+SUMIFS(L_VParc,L_Tipo,"Despesa",L_Cat,$B64,L_IIni,"&lt;="&amp;(Sel_Idx-2),L_IFim,"&gt;="&amp;(Sel_Idx-2))+SUMIFS(L_VParc,L_Tipo,"Despesa",L_Cat,$B64,L_IIni,"&lt;="&amp;(Sel_Idx-3),L_IFim,"&gt;="&amp;(Sel_Idx-3)))/3)</f>
        <v>345.723333333333</v>
      </c>
      <c r="H64" s="43">
        <f>IF(G64=0,0,ROUNDUP(G64/10,0)*10)</f>
        <v>350</v>
      </c>
      <c r="I64" s="43">
        <f>IF($B64="",0,SUMIFS(L_VParc,L_Tipo,"Despesa",L_Cat,$B64,L_IIni,"&lt;="&amp;(Sel_Idx-1),L_IFim,"&gt;="&amp;(Sel_Idx-1)))</f>
        <v>633.95</v>
      </c>
      <c r="J64" s="43">
        <f>IF($B64="",0,SUMIFS(L_VParc,L_Tipo,"Despesa",L_Cat,$B64,L_IIni,"&lt;="&amp;(Sel_Idx-12),L_IFim,"&gt;="&amp;(Sel_Idx-12)))</f>
        <v>242</v>
      </c>
      <c r="K64" s="13" t="str">
        <f>IF($B64="","",IF(C64=0,IF(D64&gt;0,"Sem orçamento","—"),IF(F64&gt;1,"Estourou",IF(F64&gt;=0.8,"Atenção","Dentro"))))</f>
        <v>Estourou</v>
      </c>
    </row>
    <row r="65">
      <c r="B65" s="14" t="str">
        <f>B27</f>
        <v>Assinaturas</v>
      </c>
      <c r="C65" s="43">
        <f>IF($B65="",0,INDEX($C27:$N27,Sel_Mes))</f>
        <v>300</v>
      </c>
      <c r="D65" s="43">
        <f>IF($B65="",0,SUMIFS(L_VParc,L_Tipo,"Despesa",L_Cat,$B65,L_IIni,"&lt;="&amp;(Sel_Idx),L_IFim,"&gt;="&amp;(Sel_Idx)))</f>
        <v>221.7</v>
      </c>
      <c r="E65" s="43">
        <f>C65-D65</f>
        <v>78.3</v>
      </c>
      <c r="F65" s="73">
        <f>IF(C65=0,0,D65/C65)</f>
        <v>0.739</v>
      </c>
      <c r="G65" s="43">
        <f>IF($B65="",0,(SUMIFS(L_VParc,L_Tipo,"Despesa",L_Cat,$B65,L_IIni,"&lt;="&amp;(Sel_Idx-1),L_IFim,"&gt;="&amp;(Sel_Idx-1))+SUMIFS(L_VParc,L_Tipo,"Despesa",L_Cat,$B65,L_IIni,"&lt;="&amp;(Sel_Idx-2),L_IFim,"&gt;="&amp;(Sel_Idx-2))+SUMIFS(L_VParc,L_Tipo,"Despesa",L_Cat,$B65,L_IIni,"&lt;="&amp;(Sel_Idx-3),L_IFim,"&gt;="&amp;(Sel_Idx-3)))/3)</f>
        <v>221.7</v>
      </c>
      <c r="H65" s="43">
        <f>IF(G65=0,0,ROUNDUP(G65/10,0)*10)</f>
        <v>230</v>
      </c>
      <c r="I65" s="43">
        <f>IF($B65="",0,SUMIFS(L_VParc,L_Tipo,"Despesa",L_Cat,$B65,L_IIni,"&lt;="&amp;(Sel_Idx-1),L_IFim,"&gt;="&amp;(Sel_Idx-1)))</f>
        <v>221.7</v>
      </c>
      <c r="J65" s="43">
        <f>IF($B65="",0,SUMIFS(L_VParc,L_Tipo,"Despesa",L_Cat,$B65,L_IIni,"&lt;="&amp;(Sel_Idx-12),L_IFim,"&gt;="&amp;(Sel_Idx-12)))</f>
        <v>221.7</v>
      </c>
      <c r="K65" s="13" t="str">
        <f>IF($B65="","",IF(C65=0,IF(D65&gt;0,"Sem orçamento","—"),IF(F65&gt;1,"Estourou",IF(F65&gt;=0.8,"Atenção","Dentro"))))</f>
        <v>Dentro</v>
      </c>
    </row>
    <row r="66">
      <c r="B66" s="14" t="str">
        <f>B28</f>
        <v>Vestuário</v>
      </c>
      <c r="C66" s="43">
        <f>IF($B66="",0,INDEX($C28:$N28,Sel_Mes))</f>
        <v>400</v>
      </c>
      <c r="D66" s="43">
        <f>IF($B66="",0,SUMIFS(L_VParc,L_Tipo,"Despesa",L_Cat,$B66,L_IIni,"&lt;="&amp;(Sel_Idx),L_IFim,"&gt;="&amp;(Sel_Idx)))</f>
        <v>0</v>
      </c>
      <c r="E66" s="43">
        <f>C66-D66</f>
        <v>400</v>
      </c>
      <c r="F66" s="73">
        <f>IF(C66=0,0,D66/C66)</f>
        <v>0</v>
      </c>
      <c r="G66" s="43">
        <f>IF($B66="",0,(SUMIFS(L_VParc,L_Tipo,"Despesa",L_Cat,$B66,L_IIni,"&lt;="&amp;(Sel_Idx-1),L_IFim,"&gt;="&amp;(Sel_Idx-1))+SUMIFS(L_VParc,L_Tipo,"Despesa",L_Cat,$B66,L_IIni,"&lt;="&amp;(Sel_Idx-2),L_IFim,"&gt;="&amp;(Sel_Idx-2))+SUMIFS(L_VParc,L_Tipo,"Despesa",L_Cat,$B66,L_IIni,"&lt;="&amp;(Sel_Idx-3),L_IFim,"&gt;="&amp;(Sel_Idx-3)))/3)</f>
        <v>218.296666666667</v>
      </c>
      <c r="H66" s="43">
        <f>IF(G66=0,0,ROUNDUP(G66/10,0)*10)</f>
        <v>220</v>
      </c>
      <c r="I66" s="43">
        <f>IF($B66="",0,SUMIFS(L_VParc,L_Tipo,"Despesa",L_Cat,$B66,L_IIni,"&lt;="&amp;(Sel_Idx-1),L_IFim,"&gt;="&amp;(Sel_Idx-1)))</f>
        <v>408.88</v>
      </c>
      <c r="J66" s="43">
        <f>IF($B66="",0,SUMIFS(L_VParc,L_Tipo,"Despesa",L_Cat,$B66,L_IIni,"&lt;="&amp;(Sel_Idx-12),L_IFim,"&gt;="&amp;(Sel_Idx-12)))</f>
        <v>0</v>
      </c>
      <c r="K66" s="13" t="str">
        <f>IF($B66="","",IF(C66=0,IF(D66&gt;0,"Sem orçamento","—"),IF(F66&gt;1,"Estourou",IF(F66&gt;=0.8,"Atenção","Dentro"))))</f>
        <v>Dentro</v>
      </c>
    </row>
    <row r="67">
      <c r="B67" s="14" t="str">
        <f>B29</f>
        <v>Dívidas e Financiamentos</v>
      </c>
      <c r="C67" s="43">
        <f>IF($B67="",0,INDEX($C29:$N29,Sel_Mes))</f>
        <v>2200</v>
      </c>
      <c r="D67" s="43">
        <f>IF($B67="",0,SUMIFS(L_VParc,L_Tipo,"Despesa",L_Cat,$B67,L_IIni,"&lt;="&amp;(Sel_Idx),L_IFim,"&gt;="&amp;(Sel_Idx)))</f>
        <v>2190</v>
      </c>
      <c r="E67" s="43">
        <f>C67-D67</f>
        <v>10</v>
      </c>
      <c r="F67" s="73">
        <f>IF(C67=0,0,D67/C67)</f>
        <v>0.995454545454546</v>
      </c>
      <c r="G67" s="43">
        <f>IF($B67="",0,(SUMIFS(L_VParc,L_Tipo,"Despesa",L_Cat,$B67,L_IIni,"&lt;="&amp;(Sel_Idx-1),L_IFim,"&gt;="&amp;(Sel_Idx-1))+SUMIFS(L_VParc,L_Tipo,"Despesa",L_Cat,$B67,L_IIni,"&lt;="&amp;(Sel_Idx-2),L_IFim,"&gt;="&amp;(Sel_Idx-2))+SUMIFS(L_VParc,L_Tipo,"Despesa",L_Cat,$B67,L_IIni,"&lt;="&amp;(Sel_Idx-3),L_IFim,"&gt;="&amp;(Sel_Idx-3)))/3)</f>
        <v>2190</v>
      </c>
      <c r="H67" s="43">
        <f>IF(G67=0,0,ROUNDUP(G67/10,0)*10)</f>
        <v>2190</v>
      </c>
      <c r="I67" s="43">
        <f>IF($B67="",0,SUMIFS(L_VParc,L_Tipo,"Despesa",L_Cat,$B67,L_IIni,"&lt;="&amp;(Sel_Idx-1),L_IFim,"&gt;="&amp;(Sel_Idx-1)))</f>
        <v>2190</v>
      </c>
      <c r="J67" s="43">
        <f>IF($B67="",0,SUMIFS(L_VParc,L_Tipo,"Despesa",L_Cat,$B67,L_IIni,"&lt;="&amp;(Sel_Idx-12),L_IFim,"&gt;="&amp;(Sel_Idx-12)))</f>
        <v>2190</v>
      </c>
      <c r="K67" s="13" t="str">
        <f>IF($B67="","",IF(C67=0,IF(D67&gt;0,"Sem orçamento","—"),IF(F67&gt;1,"Estourou",IF(F67&gt;=0.8,"Atenção","Dentro"))))</f>
        <v>Atenção</v>
      </c>
    </row>
    <row r="68">
      <c r="B68" s="14" t="str">
        <f>B30</f>
        <v>Impostos e Taxas</v>
      </c>
      <c r="C68" s="43">
        <f>IF($B68="",0,INDEX($C30:$N30,Sel_Mes))</f>
        <v>250</v>
      </c>
      <c r="D68" s="43">
        <f>IF($B68="",0,SUMIFS(L_VParc,L_Tipo,"Despesa",L_Cat,$B68,L_IIni,"&lt;="&amp;(Sel_Idx),L_IFim,"&gt;="&amp;(Sel_Idx)))</f>
        <v>180</v>
      </c>
      <c r="E68" s="43">
        <f>C68-D68</f>
        <v>70</v>
      </c>
      <c r="F68" s="73">
        <f>IF(C68=0,0,D68/C68)</f>
        <v>0.72</v>
      </c>
      <c r="G68" s="43">
        <f>IF($B68="",0,(SUMIFS(L_VParc,L_Tipo,"Despesa",L_Cat,$B68,L_IIni,"&lt;="&amp;(Sel_Idx-1),L_IFim,"&gt;="&amp;(Sel_Idx-1))+SUMIFS(L_VParc,L_Tipo,"Despesa",L_Cat,$B68,L_IIni,"&lt;="&amp;(Sel_Idx-2),L_IFim,"&gt;="&amp;(Sel_Idx-2))+SUMIFS(L_VParc,L_Tipo,"Despesa",L_Cat,$B68,L_IIni,"&lt;="&amp;(Sel_Idx-3),L_IFim,"&gt;="&amp;(Sel_Idx-3)))/3)</f>
        <v>180</v>
      </c>
      <c r="H68" s="43">
        <f>IF(G68=0,0,ROUNDUP(G68/10,0)*10)</f>
        <v>180</v>
      </c>
      <c r="I68" s="43">
        <f>IF($B68="",0,SUMIFS(L_VParc,L_Tipo,"Despesa",L_Cat,$B68,L_IIni,"&lt;="&amp;(Sel_Idx-1),L_IFim,"&gt;="&amp;(Sel_Idx-1)))</f>
        <v>180</v>
      </c>
      <c r="J68" s="43">
        <f>IF($B68="",0,SUMIFS(L_VParc,L_Tipo,"Despesa",L_Cat,$B68,L_IIni,"&lt;="&amp;(Sel_Idx-12),L_IFim,"&gt;="&amp;(Sel_Idx-12)))</f>
        <v>0</v>
      </c>
      <c r="K68" s="13" t="str">
        <f>IF($B68="","",IF(C68=0,IF(D68&gt;0,"Sem orçamento","—"),IF(F68&gt;1,"Estourou",IF(F68&gt;=0.8,"Atenção","Dentro"))))</f>
        <v>Dentro</v>
      </c>
    </row>
    <row r="69">
      <c r="B69" s="14" t="str">
        <f>B31</f>
        <v>Família/Pets</v>
      </c>
      <c r="C69" s="43">
        <f>IF($B69="",0,INDEX($C31:$N31,Sel_Mes))</f>
        <v>450</v>
      </c>
      <c r="D69" s="43">
        <f>IF($B69="",0,SUMIFS(L_VParc,L_Tipo,"Despesa",L_Cat,$B69,L_IIni,"&lt;="&amp;(Sel_Idx),L_IFim,"&gt;="&amp;(Sel_Idx)))</f>
        <v>207.96</v>
      </c>
      <c r="E69" s="43">
        <f>C69-D69</f>
        <v>242.04</v>
      </c>
      <c r="F69" s="73">
        <f>IF(C69=0,0,D69/C69)</f>
        <v>0.462133333333333</v>
      </c>
      <c r="G69" s="43">
        <f>IF($B69="",0,(SUMIFS(L_VParc,L_Tipo,"Despesa",L_Cat,$B69,L_IIni,"&lt;="&amp;(Sel_Idx-1),L_IFim,"&gt;="&amp;(Sel_Idx-1))+SUMIFS(L_VParc,L_Tipo,"Despesa",L_Cat,$B69,L_IIni,"&lt;="&amp;(Sel_Idx-2),L_IFim,"&gt;="&amp;(Sel_Idx-2))+SUMIFS(L_VParc,L_Tipo,"Despesa",L_Cat,$B69,L_IIni,"&lt;="&amp;(Sel_Idx-3),L_IFim,"&gt;="&amp;(Sel_Idx-3)))/3)</f>
        <v>332.19</v>
      </c>
      <c r="H69" s="43">
        <f>IF(G69=0,0,ROUNDUP(G69/10,0)*10)</f>
        <v>340</v>
      </c>
      <c r="I69" s="43">
        <f>IF($B69="",0,SUMIFS(L_VParc,L_Tipo,"Despesa",L_Cat,$B69,L_IIni,"&lt;="&amp;(Sel_Idx-1),L_IFim,"&gt;="&amp;(Sel_Idx-1)))</f>
        <v>553.55</v>
      </c>
      <c r="J69" s="43">
        <f>IF($B69="",0,SUMIFS(L_VParc,L_Tipo,"Despesa",L_Cat,$B69,L_IIni,"&lt;="&amp;(Sel_Idx-12),L_IFim,"&gt;="&amp;(Sel_Idx-12)))</f>
        <v>243.46</v>
      </c>
      <c r="K69" s="13" t="str">
        <f>IF($B69="","",IF(C69=0,IF(D69&gt;0,"Sem orçamento","—"),IF(F69&gt;1,"Estourou",IF(F69&gt;=0.8,"Atenção","Dentro"))))</f>
        <v>Dentro</v>
      </c>
    </row>
    <row r="70">
      <c r="B70" s="14" t="str">
        <f>B32</f>
        <v>Doações</v>
      </c>
      <c r="C70" s="43">
        <f>IF($B70="",0,INDEX($C32:$N32,Sel_Mes))</f>
        <v>150</v>
      </c>
      <c r="D70" s="43">
        <f>IF($B70="",0,SUMIFS(L_VParc,L_Tipo,"Despesa",L_Cat,$B70,L_IIni,"&lt;="&amp;(Sel_Idx),L_IFim,"&gt;="&amp;(Sel_Idx)))</f>
        <v>100</v>
      </c>
      <c r="E70" s="43">
        <f>C70-D70</f>
        <v>50</v>
      </c>
      <c r="F70" s="73">
        <f>IF(C70=0,0,D70/C70)</f>
        <v>0.666666666666667</v>
      </c>
      <c r="G70" s="43">
        <f>IF($B70="",0,(SUMIFS(L_VParc,L_Tipo,"Despesa",L_Cat,$B70,L_IIni,"&lt;="&amp;(Sel_Idx-1),L_IFim,"&gt;="&amp;(Sel_Idx-1))+SUMIFS(L_VParc,L_Tipo,"Despesa",L_Cat,$B70,L_IIni,"&lt;="&amp;(Sel_Idx-2),L_IFim,"&gt;="&amp;(Sel_Idx-2))+SUMIFS(L_VParc,L_Tipo,"Despesa",L_Cat,$B70,L_IIni,"&lt;="&amp;(Sel_Idx-3),L_IFim,"&gt;="&amp;(Sel_Idx-3)))/3)</f>
        <v>100</v>
      </c>
      <c r="H70" s="43">
        <f>IF(G70=0,0,ROUNDUP(G70/10,0)*10)</f>
        <v>100</v>
      </c>
      <c r="I70" s="43">
        <f>IF($B70="",0,SUMIFS(L_VParc,L_Tipo,"Despesa",L_Cat,$B70,L_IIni,"&lt;="&amp;(Sel_Idx-1),L_IFim,"&gt;="&amp;(Sel_Idx-1)))</f>
        <v>100</v>
      </c>
      <c r="J70" s="43">
        <f>IF($B70="",0,SUMIFS(L_VParc,L_Tipo,"Despesa",L_Cat,$B70,L_IIni,"&lt;="&amp;(Sel_Idx-12),L_IFim,"&gt;="&amp;(Sel_Idx-12)))</f>
        <v>100</v>
      </c>
      <c r="K70" s="13" t="str">
        <f>IF($B70="","",IF(C70=0,IF(D70&gt;0,"Sem orçamento","—"),IF(F70&gt;1,"Estourou",IF(F70&gt;=0.8,"Atenção","Dentro"))))</f>
        <v>Dentro</v>
      </c>
    </row>
    <row r="71">
      <c r="B71" s="14" t="str">
        <f>B33</f>
        <v>Outros</v>
      </c>
      <c r="C71" s="43">
        <f>IF($B71="",0,INDEX($C33:$N33,Sel_Mes))</f>
        <v>300</v>
      </c>
      <c r="D71" s="43">
        <f>IF($B71="",0,SUMIFS(L_VParc,L_Tipo,"Despesa",L_Cat,$B71,L_IIni,"&lt;="&amp;(Sel_Idx),L_IFim,"&gt;="&amp;(Sel_Idx)))</f>
        <v>372.27</v>
      </c>
      <c r="E71" s="43">
        <f>C71-D71</f>
        <v>-72.27</v>
      </c>
      <c r="F71" s="73">
        <f>IF(C71=0,0,D71/C71)</f>
        <v>1.2409</v>
      </c>
      <c r="G71" s="43">
        <f>IF($B71="",0,(SUMIFS(L_VParc,L_Tipo,"Despesa",L_Cat,$B71,L_IIni,"&lt;="&amp;(Sel_Idx-1),L_IFim,"&gt;="&amp;(Sel_Idx-1))+SUMIFS(L_VParc,L_Tipo,"Despesa",L_Cat,$B71,L_IIni,"&lt;="&amp;(Sel_Idx-2),L_IFim,"&gt;="&amp;(Sel_Idx-2))+SUMIFS(L_VParc,L_Tipo,"Despesa",L_Cat,$B71,L_IIni,"&lt;="&amp;(Sel_Idx-3),L_IFim,"&gt;="&amp;(Sel_Idx-3)))/3)</f>
        <v>520.12</v>
      </c>
      <c r="H71" s="43">
        <f>IF(G71=0,0,ROUNDUP(G71/10,0)*10)</f>
        <v>530</v>
      </c>
      <c r="I71" s="43">
        <f>IF($B71="",0,SUMIFS(L_VParc,L_Tipo,"Despesa",L_Cat,$B71,L_IIni,"&lt;="&amp;(Sel_Idx-1),L_IFim,"&gt;="&amp;(Sel_Idx-1)))</f>
        <v>455.79</v>
      </c>
      <c r="J71" s="43">
        <f>IF($B71="",0,SUMIFS(L_VParc,L_Tipo,"Despesa",L_Cat,$B71,L_IIni,"&lt;="&amp;(Sel_Idx-12),L_IFim,"&gt;="&amp;(Sel_Idx-12)))</f>
        <v>129.75</v>
      </c>
      <c r="K71" s="13" t="str">
        <f>IF($B71="","",IF(C71=0,IF(D71&gt;0,"Sem orçamento","—"),IF(F71&gt;1,"Estourou",IF(F71&gt;=0.8,"Atenção","Dentro"))))</f>
        <v>Estourou</v>
      </c>
    </row>
    <row r="72">
      <c r="B72" s="14" t="str">
        <f>B34</f>
        <v/>
      </c>
      <c r="C72" s="43">
        <f>IF($B72="",0,INDEX($C34:$N34,Sel_Mes))</f>
        <v>0</v>
      </c>
      <c r="D72" s="43">
        <f>IF($B72="",0,SUMIFS(L_VParc,L_Tipo,"Despesa",L_Cat,$B72,L_IIni,"&lt;="&amp;(Sel_Idx),L_IFim,"&gt;="&amp;(Sel_Idx)))</f>
        <v>0</v>
      </c>
      <c r="E72" s="43">
        <f>C72-D72</f>
        <v>0</v>
      </c>
      <c r="F72" s="73">
        <f>IF(C72=0,0,D72/C72)</f>
        <v>0</v>
      </c>
      <c r="G72" s="43">
        <f>IF($B72="",0,(SUMIFS(L_VParc,L_Tipo,"Despesa",L_Cat,$B72,L_IIni,"&lt;="&amp;(Sel_Idx-1),L_IFim,"&gt;="&amp;(Sel_Idx-1))+SUMIFS(L_VParc,L_Tipo,"Despesa",L_Cat,$B72,L_IIni,"&lt;="&amp;(Sel_Idx-2),L_IFim,"&gt;="&amp;(Sel_Idx-2))+SUMIFS(L_VParc,L_Tipo,"Despesa",L_Cat,$B72,L_IIni,"&lt;="&amp;(Sel_Idx-3),L_IFim,"&gt;="&amp;(Sel_Idx-3)))/3)</f>
        <v>0</v>
      </c>
      <c r="H72" s="43">
        <f>IF(G72=0,0,ROUNDUP(G72/10,0)*10)</f>
        <v>0</v>
      </c>
      <c r="I72" s="43">
        <f>IF($B72="",0,SUMIFS(L_VParc,L_Tipo,"Despesa",L_Cat,$B72,L_IIni,"&lt;="&amp;(Sel_Idx-1),L_IFim,"&gt;="&amp;(Sel_Idx-1)))</f>
        <v>0</v>
      </c>
      <c r="J72" s="43">
        <f>IF($B72="",0,SUMIFS(L_VParc,L_Tipo,"Despesa",L_Cat,$B72,L_IIni,"&lt;="&amp;(Sel_Idx-12),L_IFim,"&gt;="&amp;(Sel_Idx-12)))</f>
        <v>0</v>
      </c>
      <c r="K72" s="13" t="str">
        <f>IF($B72="","",IF(C72=0,IF(D72&gt;0,"Sem orçamento","—"),IF(F72&gt;1,"Estourou",IF(F72&gt;=0.8,"Atenção","Dentro"))))</f>
        <v/>
      </c>
    </row>
    <row r="73">
      <c r="B73" s="14" t="str">
        <f>B35</f>
        <v/>
      </c>
      <c r="C73" s="43">
        <f>IF($B73="",0,INDEX($C35:$N35,Sel_Mes))</f>
        <v>0</v>
      </c>
      <c r="D73" s="43">
        <f>IF($B73="",0,SUMIFS(L_VParc,L_Tipo,"Despesa",L_Cat,$B73,L_IIni,"&lt;="&amp;(Sel_Idx),L_IFim,"&gt;="&amp;(Sel_Idx)))</f>
        <v>0</v>
      </c>
      <c r="E73" s="43">
        <f>C73-D73</f>
        <v>0</v>
      </c>
      <c r="F73" s="73">
        <f>IF(C73=0,0,D73/C73)</f>
        <v>0</v>
      </c>
      <c r="G73" s="43">
        <f>IF($B73="",0,(SUMIFS(L_VParc,L_Tipo,"Despesa",L_Cat,$B73,L_IIni,"&lt;="&amp;(Sel_Idx-1),L_IFim,"&gt;="&amp;(Sel_Idx-1))+SUMIFS(L_VParc,L_Tipo,"Despesa",L_Cat,$B73,L_IIni,"&lt;="&amp;(Sel_Idx-2),L_IFim,"&gt;="&amp;(Sel_Idx-2))+SUMIFS(L_VParc,L_Tipo,"Despesa",L_Cat,$B73,L_IIni,"&lt;="&amp;(Sel_Idx-3),L_IFim,"&gt;="&amp;(Sel_Idx-3)))/3)</f>
        <v>0</v>
      </c>
      <c r="H73" s="43">
        <f>IF(G73=0,0,ROUNDUP(G73/10,0)*10)</f>
        <v>0</v>
      </c>
      <c r="I73" s="43">
        <f>IF($B73="",0,SUMIFS(L_VParc,L_Tipo,"Despesa",L_Cat,$B73,L_IIni,"&lt;="&amp;(Sel_Idx-1),L_IFim,"&gt;="&amp;(Sel_Idx-1)))</f>
        <v>0</v>
      </c>
      <c r="J73" s="43">
        <f>IF($B73="",0,SUMIFS(L_VParc,L_Tipo,"Despesa",L_Cat,$B73,L_IIni,"&lt;="&amp;(Sel_Idx-12),L_IFim,"&gt;="&amp;(Sel_Idx-12)))</f>
        <v>0</v>
      </c>
      <c r="K73" s="13" t="str">
        <f>IF($B73="","",IF(C73=0,IF(D73&gt;0,"Sem orçamento","—"),IF(F73&gt;1,"Estourou",IF(F73&gt;=0.8,"Atenção","Dentro"))))</f>
        <v/>
      </c>
    </row>
    <row r="74">
      <c r="B74" s="14" t="str">
        <f>B36</f>
        <v/>
      </c>
      <c r="C74" s="43">
        <f>IF($B74="",0,INDEX($C36:$N36,Sel_Mes))</f>
        <v>0</v>
      </c>
      <c r="D74" s="43">
        <f>IF($B74="",0,SUMIFS(L_VParc,L_Tipo,"Despesa",L_Cat,$B74,L_IIni,"&lt;="&amp;(Sel_Idx),L_IFim,"&gt;="&amp;(Sel_Idx)))</f>
        <v>0</v>
      </c>
      <c r="E74" s="43">
        <f>C74-D74</f>
        <v>0</v>
      </c>
      <c r="F74" s="73">
        <f>IF(C74=0,0,D74/C74)</f>
        <v>0</v>
      </c>
      <c r="G74" s="43">
        <f>IF($B74="",0,(SUMIFS(L_VParc,L_Tipo,"Despesa",L_Cat,$B74,L_IIni,"&lt;="&amp;(Sel_Idx-1),L_IFim,"&gt;="&amp;(Sel_Idx-1))+SUMIFS(L_VParc,L_Tipo,"Despesa",L_Cat,$B74,L_IIni,"&lt;="&amp;(Sel_Idx-2),L_IFim,"&gt;="&amp;(Sel_Idx-2))+SUMIFS(L_VParc,L_Tipo,"Despesa",L_Cat,$B74,L_IIni,"&lt;="&amp;(Sel_Idx-3),L_IFim,"&gt;="&amp;(Sel_Idx-3)))/3)</f>
        <v>0</v>
      </c>
      <c r="H74" s="43">
        <f>IF(G74=0,0,ROUNDUP(G74/10,0)*10)</f>
        <v>0</v>
      </c>
      <c r="I74" s="43">
        <f>IF($B74="",0,SUMIFS(L_VParc,L_Tipo,"Despesa",L_Cat,$B74,L_IIni,"&lt;="&amp;(Sel_Idx-1),L_IFim,"&gt;="&amp;(Sel_Idx-1)))</f>
        <v>0</v>
      </c>
      <c r="J74" s="43">
        <f>IF($B74="",0,SUMIFS(L_VParc,L_Tipo,"Despesa",L_Cat,$B74,L_IIni,"&lt;="&amp;(Sel_Idx-12),L_IFim,"&gt;="&amp;(Sel_Idx-12)))</f>
        <v>0</v>
      </c>
      <c r="K74" s="13" t="str">
        <f>IF($B74="","",IF(C74=0,IF(D74&gt;0,"Sem orçamento","—"),IF(F74&gt;1,"Estourou",IF(F74&gt;=0.8,"Atenção","Dentro"))))</f>
        <v/>
      </c>
    </row>
    <row r="75">
      <c r="B75" s="14" t="str">
        <f>B37</f>
        <v/>
      </c>
      <c r="C75" s="43">
        <f>IF($B75="",0,INDEX($C37:$N37,Sel_Mes))</f>
        <v>0</v>
      </c>
      <c r="D75" s="43">
        <f>IF($B75="",0,SUMIFS(L_VParc,L_Tipo,"Despesa",L_Cat,$B75,L_IIni,"&lt;="&amp;(Sel_Idx),L_IFim,"&gt;="&amp;(Sel_Idx)))</f>
        <v>0</v>
      </c>
      <c r="E75" s="43">
        <f>C75-D75</f>
        <v>0</v>
      </c>
      <c r="F75" s="73">
        <f>IF(C75=0,0,D75/C75)</f>
        <v>0</v>
      </c>
      <c r="G75" s="43">
        <f>IF($B75="",0,(SUMIFS(L_VParc,L_Tipo,"Despesa",L_Cat,$B75,L_IIni,"&lt;="&amp;(Sel_Idx-1),L_IFim,"&gt;="&amp;(Sel_Idx-1))+SUMIFS(L_VParc,L_Tipo,"Despesa",L_Cat,$B75,L_IIni,"&lt;="&amp;(Sel_Idx-2),L_IFim,"&gt;="&amp;(Sel_Idx-2))+SUMIFS(L_VParc,L_Tipo,"Despesa",L_Cat,$B75,L_IIni,"&lt;="&amp;(Sel_Idx-3),L_IFim,"&gt;="&amp;(Sel_Idx-3)))/3)</f>
        <v>0</v>
      </c>
      <c r="H75" s="43">
        <f>IF(G75=0,0,ROUNDUP(G75/10,0)*10)</f>
        <v>0</v>
      </c>
      <c r="I75" s="43">
        <f>IF($B75="",0,SUMIFS(L_VParc,L_Tipo,"Despesa",L_Cat,$B75,L_IIni,"&lt;="&amp;(Sel_Idx-1),L_IFim,"&gt;="&amp;(Sel_Idx-1)))</f>
        <v>0</v>
      </c>
      <c r="J75" s="43">
        <f>IF($B75="",0,SUMIFS(L_VParc,L_Tipo,"Despesa",L_Cat,$B75,L_IIni,"&lt;="&amp;(Sel_Idx-12),L_IFim,"&gt;="&amp;(Sel_Idx-12)))</f>
        <v>0</v>
      </c>
      <c r="K75" s="13" t="str">
        <f>IF($B75="","",IF(C75=0,IF(D75&gt;0,"Sem orçamento","—"),IF(F75&gt;1,"Estourou",IF(F75&gt;=0.8,"Atenção","Dentro"))))</f>
        <v/>
      </c>
    </row>
    <row r="76">
      <c r="B76" s="14" t="str">
        <f>B38</f>
        <v/>
      </c>
      <c r="C76" s="43">
        <f>IF($B76="",0,INDEX($C38:$N38,Sel_Mes))</f>
        <v>0</v>
      </c>
      <c r="D76" s="43">
        <f>IF($B76="",0,SUMIFS(L_VParc,L_Tipo,"Despesa",L_Cat,$B76,L_IIni,"&lt;="&amp;(Sel_Idx),L_IFim,"&gt;="&amp;(Sel_Idx)))</f>
        <v>0</v>
      </c>
      <c r="E76" s="43">
        <f>C76-D76</f>
        <v>0</v>
      </c>
      <c r="F76" s="73">
        <f>IF(C76=0,0,D76/C76)</f>
        <v>0</v>
      </c>
      <c r="G76" s="43">
        <f>IF($B76="",0,(SUMIFS(L_VParc,L_Tipo,"Despesa",L_Cat,$B76,L_IIni,"&lt;="&amp;(Sel_Idx-1),L_IFim,"&gt;="&amp;(Sel_Idx-1))+SUMIFS(L_VParc,L_Tipo,"Despesa",L_Cat,$B76,L_IIni,"&lt;="&amp;(Sel_Idx-2),L_IFim,"&gt;="&amp;(Sel_Idx-2))+SUMIFS(L_VParc,L_Tipo,"Despesa",L_Cat,$B76,L_IIni,"&lt;="&amp;(Sel_Idx-3),L_IFim,"&gt;="&amp;(Sel_Idx-3)))/3)</f>
        <v>0</v>
      </c>
      <c r="H76" s="43">
        <f>IF(G76=0,0,ROUNDUP(G76/10,0)*10)</f>
        <v>0</v>
      </c>
      <c r="I76" s="43">
        <f>IF($B76="",0,SUMIFS(L_VParc,L_Tipo,"Despesa",L_Cat,$B76,L_IIni,"&lt;="&amp;(Sel_Idx-1),L_IFim,"&gt;="&amp;(Sel_Idx-1)))</f>
        <v>0</v>
      </c>
      <c r="J76" s="43">
        <f>IF($B76="",0,SUMIFS(L_VParc,L_Tipo,"Despesa",L_Cat,$B76,L_IIni,"&lt;="&amp;(Sel_Idx-12),L_IFim,"&gt;="&amp;(Sel_Idx-12)))</f>
        <v>0</v>
      </c>
      <c r="K76" s="13" t="str">
        <f>IF($B76="","",IF(C76=0,IF(D76&gt;0,"Sem orçamento","—"),IF(F76&gt;1,"Estourou",IF(F76&gt;=0.8,"Atenção","Dentro"))))</f>
        <v/>
      </c>
    </row>
    <row r="77">
      <c r="B77" s="9" t="inlineStr">
        <is>
          <t>Total</t>
        </is>
      </c>
      <c r="C77" s="79">
        <f>SUM(C59:C76)</f>
        <v>12600</v>
      </c>
      <c r="D77" s="79">
        <f>SUM(D59:D76)</f>
        <v>12384.29</v>
      </c>
      <c r="E77" s="79">
        <f>SUM(E59:E76)</f>
        <v>215.71</v>
      </c>
      <c r="F77" s="83">
        <f>IF(C77=0,0,D77/C77)</f>
        <v>0.982880158730159</v>
      </c>
      <c r="G77" s="79">
        <f>SUM(G59:G76)</f>
        <v>10956.9666666667</v>
      </c>
      <c r="H77" s="79">
        <f>SUM(H59:H76)</f>
        <v>11010</v>
      </c>
      <c r="I77" s="79">
        <f>SUM(I59:I76)</f>
        <v>11666.2</v>
      </c>
      <c r="J77" s="79">
        <f>SUM(J59:J76)</f>
        <v>10133.11</v>
      </c>
      <c r="K77" s="14" t="n"/>
    </row>
    <row r="80">
      <c r="B80" s="6" t="inlineStr">
        <is>
          <t>3. Regra 50/30/20 no mês analisado (sobre a receita realizada)</t>
        </is>
      </c>
    </row>
    <row r="81">
      <c r="B81" s="7" t="inlineStr">
        <is>
          <t>Grupo</t>
        </is>
      </c>
      <c r="C81" s="7" t="inlineStr">
        <is>
          <t>Ideal %</t>
        </is>
      </c>
      <c r="D81" s="7" t="inlineStr">
        <is>
          <t>Ideal R$</t>
        </is>
      </c>
      <c r="E81" s="7" t="inlineStr">
        <is>
          <t>Real R$</t>
        </is>
      </c>
      <c r="F81" s="7" t="inlineStr">
        <is>
          <t>Real %</t>
        </is>
      </c>
      <c r="G81" s="7" t="inlineStr">
        <is>
          <t>Diferença (p.p.)</t>
        </is>
      </c>
      <c r="H81" s="7" t="inlineStr">
        <is>
          <t>Situação</t>
        </is>
      </c>
    </row>
    <row r="82">
      <c r="B82" s="14" t="inlineStr">
        <is>
          <t>Necessidades</t>
        </is>
      </c>
      <c r="C82" s="73" t="n">
        <v>0.5</v>
      </c>
      <c r="D82" s="43">
        <f>C82*K_Rec</f>
        <v>6391.935</v>
      </c>
      <c r="E82" s="43">
        <f>SUMIF(CatD_Regra,B82,Orc_Real)</f>
        <v>10039.13</v>
      </c>
      <c r="F82" s="73">
        <f>IFERROR(E82/K_Rec,0)</f>
        <v>0.785296627703504</v>
      </c>
      <c r="G82" s="84">
        <f>(F82-C82)*100</f>
        <v>28.5296627703504</v>
      </c>
      <c r="H82" s="13" t="str">
        <f>IF(K_Rec=0,"—",IF(F82&lt;=C82,"✔ Ok","Acima do ideal"))</f>
        <v>Acima do ideal</v>
      </c>
    </row>
    <row r="83">
      <c r="B83" s="14" t="inlineStr">
        <is>
          <t>Desejos</t>
        </is>
      </c>
      <c r="C83" s="73" t="n">
        <v>0.3</v>
      </c>
      <c r="D83" s="43">
        <f>C83*K_Rec</f>
        <v>3835.161</v>
      </c>
      <c r="E83" s="43">
        <f>SUMIF(CatD_Regra,B83,Orc_Real)</f>
        <v>2345.16</v>
      </c>
      <c r="F83" s="73">
        <f>IFERROR(E83/K_Rec,0)</f>
        <v>0.183446796627312</v>
      </c>
      <c r="G83" s="84">
        <f>(F83-C83)*100</f>
        <v>-11.6553203372688</v>
      </c>
      <c r="H83" s="13" t="str">
        <f>IF(K_Rec=0,"—",IF(F83&lt;=C83,"✔ Ok","Acima do ideal"))</f>
        <v>✔ Ok</v>
      </c>
    </row>
    <row r="84">
      <c r="B84" s="14" t="inlineStr">
        <is>
          <t>Poupança</t>
        </is>
      </c>
      <c r="C84" s="73" t="n">
        <v>0.2</v>
      </c>
      <c r="D84" s="43">
        <f>C84*K_Rec</f>
        <v>2556.774</v>
      </c>
      <c r="E84" s="36">
        <f>K_Rec-E82-E83</f>
        <v>399.580000000002</v>
      </c>
      <c r="F84" s="73">
        <f>IFERROR(E84/K_Rec,0)</f>
        <v>0.0312565756691833</v>
      </c>
      <c r="G84" s="84">
        <f>(F84-C84)*100</f>
        <v>-16.8743424330817</v>
      </c>
      <c r="H84" s="13" t="str">
        <f>IF(K_Rec=0,"—",IF(F84&gt;=C84,"✔ Ok","Abaixo do ideal"))</f>
        <v>Abaixo do ideal</v>
      </c>
    </row>
    <row r="86">
      <c r="B86" s="28" t="inlineStr">
        <is>
          <t>Necessidades = moradia, saúde, alimentação... · Desejos = lazer, assinaturas... · Poupança = o que sobra (receitas − necessidades − desejos). A regra de cada categoria é definida em CONFIGURAÇÕES.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">
    <mergeCell ref="C5:D5"/>
    <mergeCell ref="F5:G5"/>
    <mergeCell ref="B2:P2"/>
  </mergeCells>
  <conditionalFormatting sqref="C40:O40">
    <cfRule type="expression" priority="1" dxfId="7" stopIfTrue="0">
      <formula>C40&lt;0</formula>
    </cfRule>
    <cfRule type="expression" priority="2" dxfId="4" stopIfTrue="0">
      <formula>C40&gt;=0</formula>
    </cfRule>
  </conditionalFormatting>
  <conditionalFormatting sqref="B10:O10">
    <cfRule type="expression" priority="3" dxfId="12" stopIfTrue="0">
      <formula>$B10=""</formula>
    </cfRule>
  </conditionalFormatting>
  <conditionalFormatting sqref="B11:O11">
    <cfRule type="expression" priority="4" dxfId="12" stopIfTrue="0">
      <formula>$B11=""</formula>
    </cfRule>
  </conditionalFormatting>
  <conditionalFormatting sqref="B12:O12">
    <cfRule type="expression" priority="5" dxfId="12" stopIfTrue="0">
      <formula>$B12=""</formula>
    </cfRule>
  </conditionalFormatting>
  <conditionalFormatting sqref="B13:O13">
    <cfRule type="expression" priority="6" dxfId="12" stopIfTrue="0">
      <formula>$B13=""</formula>
    </cfRule>
  </conditionalFormatting>
  <conditionalFormatting sqref="B14:O14">
    <cfRule type="expression" priority="7" dxfId="12" stopIfTrue="0">
      <formula>$B14=""</formula>
    </cfRule>
  </conditionalFormatting>
  <conditionalFormatting sqref="B15:O15">
    <cfRule type="expression" priority="8" dxfId="12" stopIfTrue="0">
      <formula>$B15=""</formula>
    </cfRule>
  </conditionalFormatting>
  <conditionalFormatting sqref="B16:O16">
    <cfRule type="expression" priority="9" dxfId="12" stopIfTrue="0">
      <formula>$B16=""</formula>
    </cfRule>
  </conditionalFormatting>
  <conditionalFormatting sqref="B17:O17">
    <cfRule type="expression" priority="10" dxfId="12" stopIfTrue="0">
      <formula>$B17=""</formula>
    </cfRule>
  </conditionalFormatting>
  <conditionalFormatting sqref="B18:O18">
    <cfRule type="expression" priority="11" dxfId="12" stopIfTrue="0">
      <formula>$B18=""</formula>
    </cfRule>
  </conditionalFormatting>
  <conditionalFormatting sqref="B21:O21">
    <cfRule type="expression" priority="12" dxfId="12" stopIfTrue="0">
      <formula>$B21=""</formula>
    </cfRule>
  </conditionalFormatting>
  <conditionalFormatting sqref="B22:O22">
    <cfRule type="expression" priority="13" dxfId="12" stopIfTrue="0">
      <formula>$B22=""</formula>
    </cfRule>
  </conditionalFormatting>
  <conditionalFormatting sqref="B23:O23">
    <cfRule type="expression" priority="14" dxfId="12" stopIfTrue="0">
      <formula>$B23=""</formula>
    </cfRule>
  </conditionalFormatting>
  <conditionalFormatting sqref="B24:O24">
    <cfRule type="expression" priority="15" dxfId="12" stopIfTrue="0">
      <formula>$B24=""</formula>
    </cfRule>
  </conditionalFormatting>
  <conditionalFormatting sqref="B25:O25">
    <cfRule type="expression" priority="16" dxfId="12" stopIfTrue="0">
      <formula>$B25=""</formula>
    </cfRule>
  </conditionalFormatting>
  <conditionalFormatting sqref="B26:O26">
    <cfRule type="expression" priority="17" dxfId="12" stopIfTrue="0">
      <formula>$B26=""</formula>
    </cfRule>
  </conditionalFormatting>
  <conditionalFormatting sqref="B27:O27">
    <cfRule type="expression" priority="18" dxfId="12" stopIfTrue="0">
      <formula>$B27=""</formula>
    </cfRule>
  </conditionalFormatting>
  <conditionalFormatting sqref="B28:O28">
    <cfRule type="expression" priority="19" dxfId="12" stopIfTrue="0">
      <formula>$B28=""</formula>
    </cfRule>
  </conditionalFormatting>
  <conditionalFormatting sqref="B29:O29">
    <cfRule type="expression" priority="20" dxfId="12" stopIfTrue="0">
      <formula>$B29=""</formula>
    </cfRule>
  </conditionalFormatting>
  <conditionalFormatting sqref="B30:O30">
    <cfRule type="expression" priority="21" dxfId="12" stopIfTrue="0">
      <formula>$B30=""</formula>
    </cfRule>
  </conditionalFormatting>
  <conditionalFormatting sqref="B31:O31">
    <cfRule type="expression" priority="22" dxfId="12" stopIfTrue="0">
      <formula>$B31=""</formula>
    </cfRule>
  </conditionalFormatting>
  <conditionalFormatting sqref="B32:O32">
    <cfRule type="expression" priority="23" dxfId="12" stopIfTrue="0">
      <formula>$B32=""</formula>
    </cfRule>
  </conditionalFormatting>
  <conditionalFormatting sqref="B33:O33">
    <cfRule type="expression" priority="24" dxfId="12" stopIfTrue="0">
      <formula>$B33=""</formula>
    </cfRule>
  </conditionalFormatting>
  <conditionalFormatting sqref="B34:O34">
    <cfRule type="expression" priority="25" dxfId="12" stopIfTrue="0">
      <formula>$B34=""</formula>
    </cfRule>
  </conditionalFormatting>
  <conditionalFormatting sqref="B35:O35">
    <cfRule type="expression" priority="26" dxfId="12" stopIfTrue="0">
      <formula>$B35=""</formula>
    </cfRule>
  </conditionalFormatting>
  <conditionalFormatting sqref="B36:O36">
    <cfRule type="expression" priority="27" dxfId="12" stopIfTrue="0">
      <formula>$B36=""</formula>
    </cfRule>
  </conditionalFormatting>
  <conditionalFormatting sqref="B37:O37">
    <cfRule type="expression" priority="28" dxfId="12" stopIfTrue="0">
      <formula>$B37=""</formula>
    </cfRule>
  </conditionalFormatting>
  <conditionalFormatting sqref="B38:O38">
    <cfRule type="expression" priority="29" dxfId="12" stopIfTrue="0">
      <formula>$B38=""</formula>
    </cfRule>
  </conditionalFormatting>
  <conditionalFormatting sqref="B47:K47">
    <cfRule type="expression" priority="30" dxfId="12" stopIfTrue="0">
      <formula>$B47=""</formula>
    </cfRule>
  </conditionalFormatting>
  <conditionalFormatting sqref="B48:K48">
    <cfRule type="expression" priority="31" dxfId="12" stopIfTrue="0">
      <formula>$B48=""</formula>
    </cfRule>
  </conditionalFormatting>
  <conditionalFormatting sqref="B49:K49">
    <cfRule type="expression" priority="32" dxfId="12" stopIfTrue="0">
      <formula>$B49=""</formula>
    </cfRule>
  </conditionalFormatting>
  <conditionalFormatting sqref="B50:K50">
    <cfRule type="expression" priority="33" dxfId="12" stopIfTrue="0">
      <formula>$B50=""</formula>
    </cfRule>
  </conditionalFormatting>
  <conditionalFormatting sqref="B51:K51">
    <cfRule type="expression" priority="34" dxfId="12" stopIfTrue="0">
      <formula>$B51=""</formula>
    </cfRule>
  </conditionalFormatting>
  <conditionalFormatting sqref="B52:K52">
    <cfRule type="expression" priority="35" dxfId="12" stopIfTrue="0">
      <formula>$B52=""</formula>
    </cfRule>
  </conditionalFormatting>
  <conditionalFormatting sqref="B53:K53">
    <cfRule type="expression" priority="36" dxfId="12" stopIfTrue="0">
      <formula>$B53=""</formula>
    </cfRule>
  </conditionalFormatting>
  <conditionalFormatting sqref="B54:K54">
    <cfRule type="expression" priority="37" dxfId="12" stopIfTrue="0">
      <formula>$B54=""</formula>
    </cfRule>
  </conditionalFormatting>
  <conditionalFormatting sqref="B55:K55">
    <cfRule type="expression" priority="38" dxfId="12" stopIfTrue="0">
      <formula>$B55=""</formula>
    </cfRule>
  </conditionalFormatting>
  <conditionalFormatting sqref="F47:F55">
    <cfRule type="expression" priority="39" dxfId="1" stopIfTrue="0">
      <formula>AND($B47&lt;&gt;"",$C47&gt;0,F47&gt;=1)</formula>
    </cfRule>
    <cfRule type="expression" priority="40" dxfId="0" stopIfTrue="0">
      <formula>AND($B47&lt;&gt;"",$C47&gt;0,F47&gt;=0.8,F47&lt;1)</formula>
    </cfRule>
    <cfRule type="expression" priority="41" dxfId="7" stopIfTrue="0">
      <formula>AND($B47&lt;&gt;"",$C47&gt;0,F47&lt;0.8)</formula>
    </cfRule>
  </conditionalFormatting>
  <conditionalFormatting sqref="B59:K59">
    <cfRule type="expression" priority="42" dxfId="12" stopIfTrue="0">
      <formula>$B59=""</formula>
    </cfRule>
  </conditionalFormatting>
  <conditionalFormatting sqref="B60:K60">
    <cfRule type="expression" priority="43" dxfId="12" stopIfTrue="0">
      <formula>$B60=""</formula>
    </cfRule>
  </conditionalFormatting>
  <conditionalFormatting sqref="B61:K61">
    <cfRule type="expression" priority="44" dxfId="12" stopIfTrue="0">
      <formula>$B61=""</formula>
    </cfRule>
  </conditionalFormatting>
  <conditionalFormatting sqref="B62:K62">
    <cfRule type="expression" priority="45" dxfId="12" stopIfTrue="0">
      <formula>$B62=""</formula>
    </cfRule>
  </conditionalFormatting>
  <conditionalFormatting sqref="B63:K63">
    <cfRule type="expression" priority="46" dxfId="12" stopIfTrue="0">
      <formula>$B63=""</formula>
    </cfRule>
  </conditionalFormatting>
  <conditionalFormatting sqref="B64:K64">
    <cfRule type="expression" priority="47" dxfId="12" stopIfTrue="0">
      <formula>$B64=""</formula>
    </cfRule>
  </conditionalFormatting>
  <conditionalFormatting sqref="B65:K65">
    <cfRule type="expression" priority="48" dxfId="12" stopIfTrue="0">
      <formula>$B65=""</formula>
    </cfRule>
  </conditionalFormatting>
  <conditionalFormatting sqref="B66:K66">
    <cfRule type="expression" priority="49" dxfId="12" stopIfTrue="0">
      <formula>$B66=""</formula>
    </cfRule>
  </conditionalFormatting>
  <conditionalFormatting sqref="B67:K67">
    <cfRule type="expression" priority="50" dxfId="12" stopIfTrue="0">
      <formula>$B67=""</formula>
    </cfRule>
  </conditionalFormatting>
  <conditionalFormatting sqref="B68:K68">
    <cfRule type="expression" priority="51" dxfId="12" stopIfTrue="0">
      <formula>$B68=""</formula>
    </cfRule>
  </conditionalFormatting>
  <conditionalFormatting sqref="B69:K69">
    <cfRule type="expression" priority="52" dxfId="12" stopIfTrue="0">
      <formula>$B69=""</formula>
    </cfRule>
  </conditionalFormatting>
  <conditionalFormatting sqref="B70:K70">
    <cfRule type="expression" priority="53" dxfId="12" stopIfTrue="0">
      <formula>$B70=""</formula>
    </cfRule>
  </conditionalFormatting>
  <conditionalFormatting sqref="B71:K71">
    <cfRule type="expression" priority="54" dxfId="12" stopIfTrue="0">
      <formula>$B71=""</formula>
    </cfRule>
  </conditionalFormatting>
  <conditionalFormatting sqref="B72:K72">
    <cfRule type="expression" priority="55" dxfId="12" stopIfTrue="0">
      <formula>$B72=""</formula>
    </cfRule>
  </conditionalFormatting>
  <conditionalFormatting sqref="B73:K73">
    <cfRule type="expression" priority="56" dxfId="12" stopIfTrue="0">
      <formula>$B73=""</formula>
    </cfRule>
  </conditionalFormatting>
  <conditionalFormatting sqref="B74:K74">
    <cfRule type="expression" priority="57" dxfId="12" stopIfTrue="0">
      <formula>$B74=""</formula>
    </cfRule>
  </conditionalFormatting>
  <conditionalFormatting sqref="B75:K75">
    <cfRule type="expression" priority="58" dxfId="12" stopIfTrue="0">
      <formula>$B75=""</formula>
    </cfRule>
  </conditionalFormatting>
  <conditionalFormatting sqref="B76:K76">
    <cfRule type="expression" priority="59" dxfId="12" stopIfTrue="0">
      <formula>$B76=""</formula>
    </cfRule>
  </conditionalFormatting>
  <conditionalFormatting sqref="F59:F77">
    <cfRule type="expression" priority="60" dxfId="1" stopIfTrue="0">
      <formula>AND($C59&gt;0,F59&lt;0.8)</formula>
    </cfRule>
    <cfRule type="expression" priority="61" dxfId="0" stopIfTrue="0">
      <formula>AND($C59&gt;0,F59&gt;=0.8,F59&lt;=1)</formula>
    </cfRule>
    <cfRule type="expression" priority="62" dxfId="7" stopIfTrue="0">
      <formula>AND($C59&gt;0,F59&gt;1)</formula>
    </cfRule>
  </conditionalFormatting>
  <conditionalFormatting sqref="K59:K76">
    <cfRule type="expression" priority="63" dxfId="4" stopIfTrue="0">
      <formula>K59="Dentro"</formula>
    </cfRule>
    <cfRule type="expression" priority="64" dxfId="19" stopIfTrue="0">
      <formula>K59="Atenção"</formula>
    </cfRule>
    <cfRule type="expression" priority="65" dxfId="5" stopIfTrue="0">
      <formula>OR(K59="Estourou",K59="Sem orçamento")</formula>
    </cfRule>
  </conditionalFormatting>
  <conditionalFormatting sqref="E59:E77">
    <cfRule type="expression" priority="66" dxfId="5" stopIfTrue="0">
      <formula>E59&lt;0</formula>
    </cfRule>
  </conditionalFormatting>
  <conditionalFormatting sqref="K47:K55">
    <cfRule type="expression" priority="67" dxfId="4" stopIfTrue="0">
      <formula>K47="Meta atingida"</formula>
    </cfRule>
  </conditionalFormatting>
  <conditionalFormatting sqref="H82:H84">
    <cfRule type="expression" priority="68" dxfId="4" stopIfTrue="0">
      <formula>LEFT(H82,1)="✔"</formula>
    </cfRule>
    <cfRule type="expression" priority="69" dxfId="5" stopIfTrue="0">
      <formula>OR(H82="Abaixo do ideal",H82="Acima do ideal")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FLUXO DE CAIXA'!A1" display="Fluxo de caixa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tabColor rgb="002E9E5B"/>
    <outlinePr summaryBelow="1" summaryRight="1"/>
    <pageSetUpPr fitToPage="1"/>
  </sheetPr>
  <dimension ref="B1:T61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13.5" customWidth="1" min="14" max="14"/>
    <col width="15" customWidth="1" min="15" max="15"/>
    <col width="14" customWidth="1" min="16" max="16"/>
    <col width="14" customWidth="1" min="17" max="17"/>
    <col width="14" customWidth="1" min="18" max="18"/>
    <col width="10" customWidth="1" min="19" max="19"/>
  </cols>
  <sheetData>
    <row r="1" ht="30" customHeight="1">
      <c r="B1" s="1" t="inlineStr">
        <is>
          <t>FLUXO DE CAIXA</t>
        </is>
      </c>
    </row>
    <row r="2" ht="32" customHeight="1">
      <c r="B2" s="2" t="inlineStr">
        <is>
          <t>Matriz de 12 meses do ano selecionado no DASHBOARD: receitas e despesas por categoria, saldo, média, maior e menor mês, realizado x previsto e sazonalidade. Tudo calculado, nada a digitar.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Projeções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Ano:</t>
        </is>
      </c>
      <c r="C5" s="85">
        <f>Sel_Ano</f>
        <v>2026</v>
      </c>
    </row>
    <row r="7" hidden="1">
      <c r="C7" s="40">
        <f>Sel_Ano*12+1</f>
        <v>24313</v>
      </c>
      <c r="D7" s="40">
        <f>Sel_Ano*12+2</f>
        <v>24314</v>
      </c>
      <c r="E7" s="40">
        <f>Sel_Ano*12+3</f>
        <v>24315</v>
      </c>
      <c r="F7" s="40">
        <f>Sel_Ano*12+4</f>
        <v>24316</v>
      </c>
      <c r="G7" s="40">
        <f>Sel_Ano*12+5</f>
        <v>24317</v>
      </c>
      <c r="H7" s="40">
        <f>Sel_Ano*12+6</f>
        <v>24318</v>
      </c>
      <c r="I7" s="40">
        <f>Sel_Ano*12+7</f>
        <v>24319</v>
      </c>
      <c r="J7" s="40">
        <f>Sel_Ano*12+8</f>
        <v>24320</v>
      </c>
      <c r="K7" s="40">
        <f>Sel_Ano*12+9</f>
        <v>24321</v>
      </c>
      <c r="L7" s="40">
        <f>Sel_Ano*12+10</f>
        <v>24322</v>
      </c>
      <c r="M7" s="40">
        <f>Sel_Ano*12+11</f>
        <v>24323</v>
      </c>
      <c r="N7" s="40">
        <f>Sel_Ano*12+12</f>
        <v>24324</v>
      </c>
    </row>
    <row r="8">
      <c r="B8" s="7" t="inlineStr">
        <is>
          <t>Categoria</t>
        </is>
      </c>
      <c r="C8" s="7" t="inlineStr">
        <is>
          <t>Jan</t>
        </is>
      </c>
      <c r="D8" s="7" t="inlineStr">
        <is>
          <t>Fev</t>
        </is>
      </c>
      <c r="E8" s="7" t="inlineStr">
        <is>
          <t>Mar</t>
        </is>
      </c>
      <c r="F8" s="7" t="inlineStr">
        <is>
          <t>Abr</t>
        </is>
      </c>
      <c r="G8" s="7" t="inlineStr">
        <is>
          <t>Mai</t>
        </is>
      </c>
      <c r="H8" s="7" t="inlineStr">
        <is>
          <t>Jun</t>
        </is>
      </c>
      <c r="I8" s="7" t="inlineStr">
        <is>
          <t>Jul</t>
        </is>
      </c>
      <c r="J8" s="7" t="inlineStr">
        <is>
          <t>Ago</t>
        </is>
      </c>
      <c r="K8" s="7" t="inlineStr">
        <is>
          <t>Set</t>
        </is>
      </c>
      <c r="L8" s="7" t="inlineStr">
        <is>
          <t>Out</t>
        </is>
      </c>
      <c r="M8" s="7" t="inlineStr">
        <is>
          <t>Nov</t>
        </is>
      </c>
      <c r="N8" s="7" t="inlineStr">
        <is>
          <t>Dez</t>
        </is>
      </c>
      <c r="O8" s="7" t="inlineStr">
        <is>
          <t>Total</t>
        </is>
      </c>
      <c r="P8" s="7" t="inlineStr">
        <is>
          <t>Média mensal</t>
        </is>
      </c>
      <c r="Q8" s="7" t="inlineStr">
        <is>
          <t>Maior mês</t>
        </is>
      </c>
      <c r="R8" s="7" t="inlineStr">
        <is>
          <t>Menor mês</t>
        </is>
      </c>
      <c r="S8" s="7" t="inlineStr">
        <is>
          <t>Mês do maior</t>
        </is>
      </c>
    </row>
    <row r="9">
      <c r="B9" s="77" t="inlineStr">
        <is>
          <t>RECEITAS</t>
        </is>
      </c>
    </row>
    <row r="10">
      <c r="B10" s="14" t="str">
        <f>IF(INDEX(CatR_Nome,1)="","",INDEX(CatR_Nome,1))</f>
        <v>Salário</v>
      </c>
      <c r="C10" s="43">
        <f>IF($B10="",0,SUMIFS(L_VParc,L_Tipo,"Receita",L_Cat,$B10,L_IIni,"&lt;="&amp;(C$7),L_IFim,"&gt;="&amp;(C$7)))</f>
        <v>10800</v>
      </c>
      <c r="D10" s="43">
        <f>IF($B10="",0,SUMIFS(L_VParc,L_Tipo,"Receita",L_Cat,$B10,L_IIni,"&lt;="&amp;(D$7),L_IFim,"&gt;="&amp;(D$7)))</f>
        <v>10800</v>
      </c>
      <c r="E10" s="43">
        <f>IF($B10="",0,SUMIFS(L_VParc,L_Tipo,"Receita",L_Cat,$B10,L_IIni,"&lt;="&amp;(E$7),L_IFim,"&gt;="&amp;(E$7)))</f>
        <v>10800</v>
      </c>
      <c r="F10" s="43">
        <f>IF($B10="",0,SUMIFS(L_VParc,L_Tipo,"Receita",L_Cat,$B10,L_IIni,"&lt;="&amp;(F$7),L_IFim,"&gt;="&amp;(F$7)))</f>
        <v>10800</v>
      </c>
      <c r="G10" s="43">
        <f>IF($B10="",0,SUMIFS(L_VParc,L_Tipo,"Receita",L_Cat,$B10,L_IIni,"&lt;="&amp;(G$7),L_IFim,"&gt;="&amp;(G$7)))</f>
        <v>10800</v>
      </c>
      <c r="H10" s="43">
        <f>IF($B10="",0,SUMIFS(L_VParc,L_Tipo,"Receita",L_Cat,$B10,L_IIni,"&lt;="&amp;(H$7),L_IFim,"&gt;="&amp;(H$7)))</f>
        <v>10800</v>
      </c>
      <c r="I10" s="43">
        <f>IF($B10="",0,SUMIFS(L_VParc,L_Tipo,"Receita",L_Cat,$B10,L_IIni,"&lt;="&amp;(I$7),L_IFim,"&gt;="&amp;(I$7)))</f>
        <v>10800</v>
      </c>
      <c r="J10" s="43">
        <f>IF($B10="",0,SUMIFS(L_VParc,L_Tipo,"Receita",L_Cat,$B10,L_IIni,"&lt;="&amp;(J$7),L_IFim,"&gt;="&amp;(J$7)))</f>
        <v>10800</v>
      </c>
      <c r="K10" s="43">
        <f>IF($B10="",0,SUMIFS(L_VParc,L_Tipo,"Receita",L_Cat,$B10,L_IIni,"&lt;="&amp;(K$7),L_IFim,"&gt;="&amp;(K$7)))</f>
        <v>10800</v>
      </c>
      <c r="L10" s="43">
        <f>IF($B10="",0,SUMIFS(L_VParc,L_Tipo,"Receita",L_Cat,$B10,L_IIni,"&lt;="&amp;(L$7),L_IFim,"&gt;="&amp;(L$7)))</f>
        <v>10800</v>
      </c>
      <c r="M10" s="43">
        <f>IF($B10="",0,SUMIFS(L_VParc,L_Tipo,"Receita",L_Cat,$B10,L_IIni,"&lt;="&amp;(M$7),L_IFim,"&gt;="&amp;(M$7)))</f>
        <v>0</v>
      </c>
      <c r="N10" s="43">
        <f>IF($B10="",0,SUMIFS(L_VParc,L_Tipo,"Receita",L_Cat,$B10,L_IIni,"&lt;="&amp;(N$7),L_IFim,"&gt;="&amp;(N$7)))</f>
        <v>0</v>
      </c>
      <c r="O10" s="43">
        <f>SUM(C10:N10)</f>
        <v>108000</v>
      </c>
      <c r="P10" s="43">
        <f>IFERROR(SUMIF(C10:N10,"&lt;&gt;0")/COUNTIF(C10:N10,"&lt;&gt;0"),0)</f>
        <v>10800</v>
      </c>
      <c r="Q10" s="43">
        <f>MAX(C10:N10)</f>
        <v>10800</v>
      </c>
      <c r="R10" s="43">
        <f>IFERROR(SMALL(C10:N10,COUNTIF(C10:N10,0)+1),0)</f>
        <v>10800</v>
      </c>
      <c r="S10" s="13" t="str">
        <f>IF(Q10=0,"",INDEX(Lista_MesesAb,MATCH(Q10,C10:N10,0)))</f>
        <v>Jan</v>
      </c>
    </row>
    <row r="11">
      <c r="B11" s="14" t="str">
        <f>IF(INDEX(CatR_Nome,2)="","",INDEX(CatR_Nome,2))</f>
        <v>13º/Férias/PLR</v>
      </c>
      <c r="C11" s="43">
        <f>IF($B11="",0,SUMIFS(L_VParc,L_Tipo,"Receita",L_Cat,$B11,L_IIni,"&lt;="&amp;(C$7),L_IFim,"&gt;="&amp;(C$7)))</f>
        <v>0</v>
      </c>
      <c r="D11" s="43">
        <f>IF($B11="",0,SUMIFS(L_VParc,L_Tipo,"Receita",L_Cat,$B11,L_IIni,"&lt;="&amp;(D$7),L_IFim,"&gt;="&amp;(D$7)))</f>
        <v>0</v>
      </c>
      <c r="E11" s="43">
        <f>IF($B11="",0,SUMIFS(L_VParc,L_Tipo,"Receita",L_Cat,$B11,L_IIni,"&lt;="&amp;(E$7),L_IFim,"&gt;="&amp;(E$7)))</f>
        <v>0</v>
      </c>
      <c r="F11" s="43">
        <f>IF($B11="",0,SUMIFS(L_VParc,L_Tipo,"Receita",L_Cat,$B11,L_IIni,"&lt;="&amp;(F$7),L_IFim,"&gt;="&amp;(F$7)))</f>
        <v>0</v>
      </c>
      <c r="G11" s="43">
        <f>IF($B11="",0,SUMIFS(L_VParc,L_Tipo,"Receita",L_Cat,$B11,L_IIni,"&lt;="&amp;(G$7),L_IFim,"&gt;="&amp;(G$7)))</f>
        <v>0</v>
      </c>
      <c r="H11" s="43">
        <f>IF($B11="",0,SUMIFS(L_VParc,L_Tipo,"Receita",L_Cat,$B11,L_IIni,"&lt;="&amp;(H$7),L_IFim,"&gt;="&amp;(H$7)))</f>
        <v>0</v>
      </c>
      <c r="I11" s="43">
        <f>IF($B11="",0,SUMIFS(L_VParc,L_Tipo,"Receita",L_Cat,$B11,L_IIni,"&lt;="&amp;(I$7),L_IFim,"&gt;="&amp;(I$7)))</f>
        <v>0</v>
      </c>
      <c r="J11" s="43">
        <f>IF($B11="",0,SUMIFS(L_VParc,L_Tipo,"Receita",L_Cat,$B11,L_IIni,"&lt;="&amp;(J$7),L_IFim,"&gt;="&amp;(J$7)))</f>
        <v>0</v>
      </c>
      <c r="K11" s="43">
        <f>IF($B11="",0,SUMIFS(L_VParc,L_Tipo,"Receita",L_Cat,$B11,L_IIni,"&lt;="&amp;(K$7),L_IFim,"&gt;="&amp;(K$7)))</f>
        <v>0</v>
      </c>
      <c r="L11" s="43">
        <f>IF($B11="",0,SUMIFS(L_VParc,L_Tipo,"Receita",L_Cat,$B11,L_IIni,"&lt;="&amp;(L$7),L_IFim,"&gt;="&amp;(L$7)))</f>
        <v>0</v>
      </c>
      <c r="M11" s="43">
        <f>IF($B11="",0,SUMIFS(L_VParc,L_Tipo,"Receita",L_Cat,$B11,L_IIni,"&lt;="&amp;(M$7),L_IFim,"&gt;="&amp;(M$7)))</f>
        <v>0</v>
      </c>
      <c r="N11" s="43">
        <f>IF($B11="",0,SUMIFS(L_VParc,L_Tipo,"Receita",L_Cat,$B11,L_IIni,"&lt;="&amp;(N$7),L_IFim,"&gt;="&amp;(N$7)))</f>
        <v>0</v>
      </c>
      <c r="O11" s="43">
        <f>SUM(C11:N11)</f>
        <v>0</v>
      </c>
      <c r="P11" s="43">
        <f>IFERROR(SUMIF(C11:N11,"&lt;&gt;0")/COUNTIF(C11:N11,"&lt;&gt;0"),0)</f>
        <v>0</v>
      </c>
      <c r="Q11" s="43">
        <f>MAX(C11:N11)</f>
        <v>0</v>
      </c>
      <c r="R11" s="43">
        <f>IFERROR(SMALL(C11:N11,COUNTIF(C11:N11,0)+1),0)</f>
        <v>0</v>
      </c>
      <c r="S11" s="13" t="str">
        <f>IF(Q11=0,"",INDEX(Lista_MesesAb,MATCH(Q11,C11:N11,0)))</f>
        <v/>
      </c>
    </row>
    <row r="12">
      <c r="B12" s="14" t="str">
        <f>IF(INDEX(CatR_Nome,3)="","",INDEX(CatR_Nome,3))</f>
        <v>Freelance/Extra</v>
      </c>
      <c r="C12" s="43">
        <f>IF($B12="",0,SUMIFS(L_VParc,L_Tipo,"Receita",L_Cat,$B12,L_IIni,"&lt;="&amp;(C$7),L_IFim,"&gt;="&amp;(C$7)))</f>
        <v>0</v>
      </c>
      <c r="D12" s="43">
        <f>IF($B12="",0,SUMIFS(L_VParc,L_Tipo,"Receita",L_Cat,$B12,L_IIni,"&lt;="&amp;(D$7),L_IFim,"&gt;="&amp;(D$7)))</f>
        <v>1800</v>
      </c>
      <c r="E12" s="43">
        <f>IF($B12="",0,SUMIFS(L_VParc,L_Tipo,"Receita",L_Cat,$B12,L_IIni,"&lt;="&amp;(E$7),L_IFim,"&gt;="&amp;(E$7)))</f>
        <v>0</v>
      </c>
      <c r="F12" s="43">
        <f>IF($B12="",0,SUMIFS(L_VParc,L_Tipo,"Receita",L_Cat,$B12,L_IIni,"&lt;="&amp;(F$7),L_IFim,"&gt;="&amp;(F$7)))</f>
        <v>2400</v>
      </c>
      <c r="G12" s="43">
        <f>IF($B12="",0,SUMIFS(L_VParc,L_Tipo,"Receita",L_Cat,$B12,L_IIni,"&lt;="&amp;(G$7),L_IFim,"&gt;="&amp;(G$7)))</f>
        <v>0</v>
      </c>
      <c r="H12" s="43">
        <f>IF($B12="",0,SUMIFS(L_VParc,L_Tipo,"Receita",L_Cat,$B12,L_IIni,"&lt;="&amp;(H$7),L_IFim,"&gt;="&amp;(H$7)))</f>
        <v>2400</v>
      </c>
      <c r="I12" s="43">
        <f>IF($B12="",0,SUMIFS(L_VParc,L_Tipo,"Receita",L_Cat,$B12,L_IIni,"&lt;="&amp;(I$7),L_IFim,"&gt;="&amp;(I$7)))</f>
        <v>0</v>
      </c>
      <c r="J12" s="43">
        <f>IF($B12="",0,SUMIFS(L_VParc,L_Tipo,"Receita",L_Cat,$B12,L_IIni,"&lt;="&amp;(J$7),L_IFim,"&gt;="&amp;(J$7)))</f>
        <v>2400</v>
      </c>
      <c r="K12" s="43">
        <f>IF($B12="",0,SUMIFS(L_VParc,L_Tipo,"Receita",L_Cat,$B12,L_IIni,"&lt;="&amp;(K$7),L_IFim,"&gt;="&amp;(K$7)))</f>
        <v>0</v>
      </c>
      <c r="L12" s="43">
        <f>IF($B12="",0,SUMIFS(L_VParc,L_Tipo,"Receita",L_Cat,$B12,L_IIni,"&lt;="&amp;(L$7),L_IFim,"&gt;="&amp;(L$7)))</f>
        <v>0</v>
      </c>
      <c r="M12" s="43">
        <f>IF($B12="",0,SUMIFS(L_VParc,L_Tipo,"Receita",L_Cat,$B12,L_IIni,"&lt;="&amp;(M$7),L_IFim,"&gt;="&amp;(M$7)))</f>
        <v>0</v>
      </c>
      <c r="N12" s="43">
        <f>IF($B12="",0,SUMIFS(L_VParc,L_Tipo,"Receita",L_Cat,$B12,L_IIni,"&lt;="&amp;(N$7),L_IFim,"&gt;="&amp;(N$7)))</f>
        <v>0</v>
      </c>
      <c r="O12" s="43">
        <f>SUM(C12:N12)</f>
        <v>9000</v>
      </c>
      <c r="P12" s="43">
        <f>IFERROR(SUMIF(C12:N12,"&lt;&gt;0")/COUNTIF(C12:N12,"&lt;&gt;0"),0)</f>
        <v>2250</v>
      </c>
      <c r="Q12" s="43">
        <f>MAX(C12:N12)</f>
        <v>2400</v>
      </c>
      <c r="R12" s="43">
        <f>IFERROR(SMALL(C12:N12,COUNTIF(C12:N12,0)+1),0)</f>
        <v>1800</v>
      </c>
      <c r="S12" s="13" t="str">
        <f>IF(Q12=0,"",INDEX(Lista_MesesAb,MATCH(Q12,C12:N12,0)))</f>
        <v>Abr</v>
      </c>
    </row>
    <row r="13">
      <c r="B13" s="14" t="str">
        <f>IF(INDEX(CatR_Nome,4)="","",INDEX(CatR_Nome,4))</f>
        <v>Aluguel recebido</v>
      </c>
      <c r="C13" s="43">
        <f>IF($B13="",0,SUMIFS(L_VParc,L_Tipo,"Receita",L_Cat,$B13,L_IIni,"&lt;="&amp;(C$7),L_IFim,"&gt;="&amp;(C$7)))</f>
        <v>1900</v>
      </c>
      <c r="D13" s="43">
        <f>IF($B13="",0,SUMIFS(L_VParc,L_Tipo,"Receita",L_Cat,$B13,L_IIni,"&lt;="&amp;(D$7),L_IFim,"&gt;="&amp;(D$7)))</f>
        <v>1900</v>
      </c>
      <c r="E13" s="43">
        <f>IF($B13="",0,SUMIFS(L_VParc,L_Tipo,"Receita",L_Cat,$B13,L_IIni,"&lt;="&amp;(E$7),L_IFim,"&gt;="&amp;(E$7)))</f>
        <v>1900</v>
      </c>
      <c r="F13" s="43">
        <f>IF($B13="",0,SUMIFS(L_VParc,L_Tipo,"Receita",L_Cat,$B13,L_IIni,"&lt;="&amp;(F$7),L_IFim,"&gt;="&amp;(F$7)))</f>
        <v>1900</v>
      </c>
      <c r="G13" s="43">
        <f>IF($B13="",0,SUMIFS(L_VParc,L_Tipo,"Receita",L_Cat,$B13,L_IIni,"&lt;="&amp;(G$7),L_IFim,"&gt;="&amp;(G$7)))</f>
        <v>1900</v>
      </c>
      <c r="H13" s="43">
        <f>IF($B13="",0,SUMIFS(L_VParc,L_Tipo,"Receita",L_Cat,$B13,L_IIni,"&lt;="&amp;(H$7),L_IFim,"&gt;="&amp;(H$7)))</f>
        <v>1900</v>
      </c>
      <c r="I13" s="43">
        <f>IF($B13="",0,SUMIFS(L_VParc,L_Tipo,"Receita",L_Cat,$B13,L_IIni,"&lt;="&amp;(I$7),L_IFim,"&gt;="&amp;(I$7)))</f>
        <v>1900</v>
      </c>
      <c r="J13" s="43">
        <f>IF($B13="",0,SUMIFS(L_VParc,L_Tipo,"Receita",L_Cat,$B13,L_IIni,"&lt;="&amp;(J$7),L_IFim,"&gt;="&amp;(J$7)))</f>
        <v>1900</v>
      </c>
      <c r="K13" s="43">
        <f>IF($B13="",0,SUMIFS(L_VParc,L_Tipo,"Receita",L_Cat,$B13,L_IIni,"&lt;="&amp;(K$7),L_IFim,"&gt;="&amp;(K$7)))</f>
        <v>1900</v>
      </c>
      <c r="L13" s="43">
        <f>IF($B13="",0,SUMIFS(L_VParc,L_Tipo,"Receita",L_Cat,$B13,L_IIni,"&lt;="&amp;(L$7),L_IFim,"&gt;="&amp;(L$7)))</f>
        <v>1900</v>
      </c>
      <c r="M13" s="43">
        <f>IF($B13="",0,SUMIFS(L_VParc,L_Tipo,"Receita",L_Cat,$B13,L_IIni,"&lt;="&amp;(M$7),L_IFim,"&gt;="&amp;(M$7)))</f>
        <v>0</v>
      </c>
      <c r="N13" s="43">
        <f>IF($B13="",0,SUMIFS(L_VParc,L_Tipo,"Receita",L_Cat,$B13,L_IIni,"&lt;="&amp;(N$7),L_IFim,"&gt;="&amp;(N$7)))</f>
        <v>0</v>
      </c>
      <c r="O13" s="43">
        <f>SUM(C13:N13)</f>
        <v>19000</v>
      </c>
      <c r="P13" s="43">
        <f>IFERROR(SUMIF(C13:N13,"&lt;&gt;0")/COUNTIF(C13:N13,"&lt;&gt;0"),0)</f>
        <v>1900</v>
      </c>
      <c r="Q13" s="43">
        <f>MAX(C13:N13)</f>
        <v>1900</v>
      </c>
      <c r="R13" s="43">
        <f>IFERROR(SMALL(C13:N13,COUNTIF(C13:N13,0)+1),0)</f>
        <v>1900</v>
      </c>
      <c r="S13" s="13" t="str">
        <f>IF(Q13=0,"",INDEX(Lista_MesesAb,MATCH(Q13,C13:N13,0)))</f>
        <v>Jan</v>
      </c>
    </row>
    <row r="14">
      <c r="B14" s="14" t="str">
        <f>IF(INDEX(CatR_Nome,5)="","",INDEX(CatR_Nome,5))</f>
        <v>Rendimentos</v>
      </c>
      <c r="C14" s="43">
        <f>IF($B14="",0,SUMIFS(L_VParc,L_Tipo,"Receita",L_Cat,$B14,L_IIni,"&lt;="&amp;(C$7),L_IFim,"&gt;="&amp;(C$7)))</f>
        <v>89.55</v>
      </c>
      <c r="D14" s="43">
        <f>IF($B14="",0,SUMIFS(L_VParc,L_Tipo,"Receita",L_Cat,$B14,L_IIni,"&lt;="&amp;(D$7),L_IFim,"&gt;="&amp;(D$7)))</f>
        <v>63.38</v>
      </c>
      <c r="E14" s="43">
        <f>IF($B14="",0,SUMIFS(L_VParc,L_Tipo,"Receita",L_Cat,$B14,L_IIni,"&lt;="&amp;(E$7),L_IFim,"&gt;="&amp;(E$7)))</f>
        <v>71.57</v>
      </c>
      <c r="F14" s="43">
        <f>IF($B14="",0,SUMIFS(L_VParc,L_Tipo,"Receita",L_Cat,$B14,L_IIni,"&lt;="&amp;(F$7),L_IFim,"&gt;="&amp;(F$7)))</f>
        <v>61.33</v>
      </c>
      <c r="G14" s="43">
        <f>IF($B14="",0,SUMIFS(L_VParc,L_Tipo,"Receita",L_Cat,$B14,L_IIni,"&lt;="&amp;(G$7),L_IFim,"&gt;="&amp;(G$7)))</f>
        <v>84.35</v>
      </c>
      <c r="H14" s="43">
        <f>IF($B14="",0,SUMIFS(L_VParc,L_Tipo,"Receita",L_Cat,$B14,L_IIni,"&lt;="&amp;(H$7),L_IFim,"&gt;="&amp;(H$7)))</f>
        <v>68.69</v>
      </c>
      <c r="I14" s="43">
        <f>IF($B14="",0,SUMIFS(L_VParc,L_Tipo,"Receita",L_Cat,$B14,L_IIni,"&lt;="&amp;(I$7),L_IFim,"&gt;="&amp;(I$7)))</f>
        <v>79.08</v>
      </c>
      <c r="J14" s="43">
        <f>IF($B14="",0,SUMIFS(L_VParc,L_Tipo,"Receita",L_Cat,$B14,L_IIni,"&lt;="&amp;(J$7),L_IFim,"&gt;="&amp;(J$7)))</f>
        <v>82.06</v>
      </c>
      <c r="K14" s="43">
        <f>IF($B14="",0,SUMIFS(L_VParc,L_Tipo,"Receita",L_Cat,$B14,L_IIni,"&lt;="&amp;(K$7),L_IFim,"&gt;="&amp;(K$7)))</f>
        <v>83.87</v>
      </c>
      <c r="L14" s="43">
        <f>IF($B14="",0,SUMIFS(L_VParc,L_Tipo,"Receita",L_Cat,$B14,L_IIni,"&lt;="&amp;(L$7),L_IFim,"&gt;="&amp;(L$7)))</f>
        <v>0</v>
      </c>
      <c r="M14" s="43">
        <f>IF($B14="",0,SUMIFS(L_VParc,L_Tipo,"Receita",L_Cat,$B14,L_IIni,"&lt;="&amp;(M$7),L_IFim,"&gt;="&amp;(M$7)))</f>
        <v>0</v>
      </c>
      <c r="N14" s="43">
        <f>IF($B14="",0,SUMIFS(L_VParc,L_Tipo,"Receita",L_Cat,$B14,L_IIni,"&lt;="&amp;(N$7),L_IFim,"&gt;="&amp;(N$7)))</f>
        <v>0</v>
      </c>
      <c r="O14" s="43">
        <f>SUM(C14:N14)</f>
        <v>683.88</v>
      </c>
      <c r="P14" s="43">
        <f>IFERROR(SUMIF(C14:N14,"&lt;&gt;0")/COUNTIF(C14:N14,"&lt;&gt;0"),0)</f>
        <v>75.9866666666667</v>
      </c>
      <c r="Q14" s="43">
        <f>MAX(C14:N14)</f>
        <v>89.55</v>
      </c>
      <c r="R14" s="43">
        <f>IFERROR(SMALL(C14:N14,COUNTIF(C14:N14,0)+1),0)</f>
        <v>61.33</v>
      </c>
      <c r="S14" s="13" t="str">
        <f>IF(Q14=0,"",INDEX(Lista_MesesAb,MATCH(Q14,C14:N14,0)))</f>
        <v>Jan</v>
      </c>
    </row>
    <row r="15">
      <c r="B15" s="14" t="str">
        <f>IF(INDEX(CatR_Nome,6)="","",INDEX(CatR_Nome,6))</f>
        <v>Reembolsos</v>
      </c>
      <c r="C15" s="43">
        <f>IF($B15="",0,SUMIFS(L_VParc,L_Tipo,"Receita",L_Cat,$B15,L_IIni,"&lt;="&amp;(C$7),L_IFim,"&gt;="&amp;(C$7)))</f>
        <v>0</v>
      </c>
      <c r="D15" s="43">
        <f>IF($B15="",0,SUMIFS(L_VParc,L_Tipo,"Receita",L_Cat,$B15,L_IIni,"&lt;="&amp;(D$7),L_IFim,"&gt;="&amp;(D$7)))</f>
        <v>0</v>
      </c>
      <c r="E15" s="43">
        <f>IF($B15="",0,SUMIFS(L_VParc,L_Tipo,"Receita",L_Cat,$B15,L_IIni,"&lt;="&amp;(E$7),L_IFim,"&gt;="&amp;(E$7)))</f>
        <v>0</v>
      </c>
      <c r="F15" s="43">
        <f>IF($B15="",0,SUMIFS(L_VParc,L_Tipo,"Receita",L_Cat,$B15,L_IIni,"&lt;="&amp;(F$7),L_IFim,"&gt;="&amp;(F$7)))</f>
        <v>0</v>
      </c>
      <c r="G15" s="43">
        <f>IF($B15="",0,SUMIFS(L_VParc,L_Tipo,"Receita",L_Cat,$B15,L_IIni,"&lt;="&amp;(G$7),L_IFim,"&gt;="&amp;(G$7)))</f>
        <v>340</v>
      </c>
      <c r="H15" s="43">
        <f>IF($B15="",0,SUMIFS(L_VParc,L_Tipo,"Receita",L_Cat,$B15,L_IIni,"&lt;="&amp;(H$7),L_IFim,"&gt;="&amp;(H$7)))</f>
        <v>0</v>
      </c>
      <c r="I15" s="43">
        <f>IF($B15="",0,SUMIFS(L_VParc,L_Tipo,"Receita",L_Cat,$B15,L_IIni,"&lt;="&amp;(I$7),L_IFim,"&gt;="&amp;(I$7)))</f>
        <v>0</v>
      </c>
      <c r="J15" s="43">
        <f>IF($B15="",0,SUMIFS(L_VParc,L_Tipo,"Receita",L_Cat,$B15,L_IIni,"&lt;="&amp;(J$7),L_IFim,"&gt;="&amp;(J$7)))</f>
        <v>0</v>
      </c>
      <c r="K15" s="43">
        <f>IF($B15="",0,SUMIFS(L_VParc,L_Tipo,"Receita",L_Cat,$B15,L_IIni,"&lt;="&amp;(K$7),L_IFim,"&gt;="&amp;(K$7)))</f>
        <v>0</v>
      </c>
      <c r="L15" s="43">
        <f>IF($B15="",0,SUMIFS(L_VParc,L_Tipo,"Receita",L_Cat,$B15,L_IIni,"&lt;="&amp;(L$7),L_IFim,"&gt;="&amp;(L$7)))</f>
        <v>0</v>
      </c>
      <c r="M15" s="43">
        <f>IF($B15="",0,SUMIFS(L_VParc,L_Tipo,"Receita",L_Cat,$B15,L_IIni,"&lt;="&amp;(M$7),L_IFim,"&gt;="&amp;(M$7)))</f>
        <v>0</v>
      </c>
      <c r="N15" s="43">
        <f>IF($B15="",0,SUMIFS(L_VParc,L_Tipo,"Receita",L_Cat,$B15,L_IIni,"&lt;="&amp;(N$7),L_IFim,"&gt;="&amp;(N$7)))</f>
        <v>0</v>
      </c>
      <c r="O15" s="43">
        <f>SUM(C15:N15)</f>
        <v>340</v>
      </c>
      <c r="P15" s="43">
        <f>IFERROR(SUMIF(C15:N15,"&lt;&gt;0")/COUNTIF(C15:N15,"&lt;&gt;0"),0)</f>
        <v>340</v>
      </c>
      <c r="Q15" s="43">
        <f>MAX(C15:N15)</f>
        <v>340</v>
      </c>
      <c r="R15" s="43">
        <f>IFERROR(SMALL(C15:N15,COUNTIF(C15:N15,0)+1),0)</f>
        <v>340</v>
      </c>
      <c r="S15" s="13" t="str">
        <f>IF(Q15=0,"",INDEX(Lista_MesesAb,MATCH(Q15,C15:N15,0)))</f>
        <v>Mai</v>
      </c>
    </row>
    <row r="16">
      <c r="B16" s="14" t="str">
        <f>IF(INDEX(CatR_Nome,7)="","",INDEX(CatR_Nome,7))</f>
        <v>Outros</v>
      </c>
      <c r="C16" s="43">
        <f>IF($B16="",0,SUMIFS(L_VParc,L_Tipo,"Receita",L_Cat,$B16,L_IIni,"&lt;="&amp;(C$7),L_IFim,"&gt;="&amp;(C$7)))</f>
        <v>0</v>
      </c>
      <c r="D16" s="43">
        <f>IF($B16="",0,SUMIFS(L_VParc,L_Tipo,"Receita",L_Cat,$B16,L_IIni,"&lt;="&amp;(D$7),L_IFim,"&gt;="&amp;(D$7)))</f>
        <v>0</v>
      </c>
      <c r="E16" s="43">
        <f>IF($B16="",0,SUMIFS(L_VParc,L_Tipo,"Receita",L_Cat,$B16,L_IIni,"&lt;="&amp;(E$7),L_IFim,"&gt;="&amp;(E$7)))</f>
        <v>0</v>
      </c>
      <c r="F16" s="43">
        <f>IF($B16="",0,SUMIFS(L_VParc,L_Tipo,"Receita",L_Cat,$B16,L_IIni,"&lt;="&amp;(F$7),L_IFim,"&gt;="&amp;(F$7)))</f>
        <v>0</v>
      </c>
      <c r="G16" s="43">
        <f>IF($B16="",0,SUMIFS(L_VParc,L_Tipo,"Receita",L_Cat,$B16,L_IIni,"&lt;="&amp;(G$7),L_IFim,"&gt;="&amp;(G$7)))</f>
        <v>0</v>
      </c>
      <c r="H16" s="43">
        <f>IF($B16="",0,SUMIFS(L_VParc,L_Tipo,"Receita",L_Cat,$B16,L_IIni,"&lt;="&amp;(H$7),L_IFim,"&gt;="&amp;(H$7)))</f>
        <v>0</v>
      </c>
      <c r="I16" s="43">
        <f>IF($B16="",0,SUMIFS(L_VParc,L_Tipo,"Receita",L_Cat,$B16,L_IIni,"&lt;="&amp;(I$7),L_IFim,"&gt;="&amp;(I$7)))</f>
        <v>0</v>
      </c>
      <c r="J16" s="43">
        <f>IF($B16="",0,SUMIFS(L_VParc,L_Tipo,"Receita",L_Cat,$B16,L_IIni,"&lt;="&amp;(J$7),L_IFim,"&gt;="&amp;(J$7)))</f>
        <v>0</v>
      </c>
      <c r="K16" s="43">
        <f>IF($B16="",0,SUMIFS(L_VParc,L_Tipo,"Receita",L_Cat,$B16,L_IIni,"&lt;="&amp;(K$7),L_IFim,"&gt;="&amp;(K$7)))</f>
        <v>0</v>
      </c>
      <c r="L16" s="43">
        <f>IF($B16="",0,SUMIFS(L_VParc,L_Tipo,"Receita",L_Cat,$B16,L_IIni,"&lt;="&amp;(L$7),L_IFim,"&gt;="&amp;(L$7)))</f>
        <v>0</v>
      </c>
      <c r="M16" s="43">
        <f>IF($B16="",0,SUMIFS(L_VParc,L_Tipo,"Receita",L_Cat,$B16,L_IIni,"&lt;="&amp;(M$7),L_IFim,"&gt;="&amp;(M$7)))</f>
        <v>0</v>
      </c>
      <c r="N16" s="43">
        <f>IF($B16="",0,SUMIFS(L_VParc,L_Tipo,"Receita",L_Cat,$B16,L_IIni,"&lt;="&amp;(N$7),L_IFim,"&gt;="&amp;(N$7)))</f>
        <v>0</v>
      </c>
      <c r="O16" s="43">
        <f>SUM(C16:N16)</f>
        <v>0</v>
      </c>
      <c r="P16" s="43">
        <f>IFERROR(SUMIF(C16:N16,"&lt;&gt;0")/COUNTIF(C16:N16,"&lt;&gt;0"),0)</f>
        <v>0</v>
      </c>
      <c r="Q16" s="43">
        <f>MAX(C16:N16)</f>
        <v>0</v>
      </c>
      <c r="R16" s="43">
        <f>IFERROR(SMALL(C16:N16,COUNTIF(C16:N16,0)+1),0)</f>
        <v>0</v>
      </c>
      <c r="S16" s="13" t="str">
        <f>IF(Q16=0,"",INDEX(Lista_MesesAb,MATCH(Q16,C16:N16,0)))</f>
        <v/>
      </c>
    </row>
    <row r="17">
      <c r="B17" s="14" t="str">
        <f>IF(INDEX(CatR_Nome,8)="","",INDEX(CatR_Nome,8))</f>
        <v/>
      </c>
      <c r="C17" s="43">
        <f>IF($B17="",0,SUMIFS(L_VParc,L_Tipo,"Receita",L_Cat,$B17,L_IIni,"&lt;="&amp;(C$7),L_IFim,"&gt;="&amp;(C$7)))</f>
        <v>0</v>
      </c>
      <c r="D17" s="43">
        <f>IF($B17="",0,SUMIFS(L_VParc,L_Tipo,"Receita",L_Cat,$B17,L_IIni,"&lt;="&amp;(D$7),L_IFim,"&gt;="&amp;(D$7)))</f>
        <v>0</v>
      </c>
      <c r="E17" s="43">
        <f>IF($B17="",0,SUMIFS(L_VParc,L_Tipo,"Receita",L_Cat,$B17,L_IIni,"&lt;="&amp;(E$7),L_IFim,"&gt;="&amp;(E$7)))</f>
        <v>0</v>
      </c>
      <c r="F17" s="43">
        <f>IF($B17="",0,SUMIFS(L_VParc,L_Tipo,"Receita",L_Cat,$B17,L_IIni,"&lt;="&amp;(F$7),L_IFim,"&gt;="&amp;(F$7)))</f>
        <v>0</v>
      </c>
      <c r="G17" s="43">
        <f>IF($B17="",0,SUMIFS(L_VParc,L_Tipo,"Receita",L_Cat,$B17,L_IIni,"&lt;="&amp;(G$7),L_IFim,"&gt;="&amp;(G$7)))</f>
        <v>0</v>
      </c>
      <c r="H17" s="43">
        <f>IF($B17="",0,SUMIFS(L_VParc,L_Tipo,"Receita",L_Cat,$B17,L_IIni,"&lt;="&amp;(H$7),L_IFim,"&gt;="&amp;(H$7)))</f>
        <v>0</v>
      </c>
      <c r="I17" s="43">
        <f>IF($B17="",0,SUMIFS(L_VParc,L_Tipo,"Receita",L_Cat,$B17,L_IIni,"&lt;="&amp;(I$7),L_IFim,"&gt;="&amp;(I$7)))</f>
        <v>0</v>
      </c>
      <c r="J17" s="43">
        <f>IF($B17="",0,SUMIFS(L_VParc,L_Tipo,"Receita",L_Cat,$B17,L_IIni,"&lt;="&amp;(J$7),L_IFim,"&gt;="&amp;(J$7)))</f>
        <v>0</v>
      </c>
      <c r="K17" s="43">
        <f>IF($B17="",0,SUMIFS(L_VParc,L_Tipo,"Receita",L_Cat,$B17,L_IIni,"&lt;="&amp;(K$7),L_IFim,"&gt;="&amp;(K$7)))</f>
        <v>0</v>
      </c>
      <c r="L17" s="43">
        <f>IF($B17="",0,SUMIFS(L_VParc,L_Tipo,"Receita",L_Cat,$B17,L_IIni,"&lt;="&amp;(L$7),L_IFim,"&gt;="&amp;(L$7)))</f>
        <v>0</v>
      </c>
      <c r="M17" s="43">
        <f>IF($B17="",0,SUMIFS(L_VParc,L_Tipo,"Receita",L_Cat,$B17,L_IIni,"&lt;="&amp;(M$7),L_IFim,"&gt;="&amp;(M$7)))</f>
        <v>0</v>
      </c>
      <c r="N17" s="43">
        <f>IF($B17="",0,SUMIFS(L_VParc,L_Tipo,"Receita",L_Cat,$B17,L_IIni,"&lt;="&amp;(N$7),L_IFim,"&gt;="&amp;(N$7)))</f>
        <v>0</v>
      </c>
      <c r="O17" s="43">
        <f>SUM(C17:N17)</f>
        <v>0</v>
      </c>
      <c r="P17" s="43">
        <f>IFERROR(SUMIF(C17:N17,"&lt;&gt;0")/COUNTIF(C17:N17,"&lt;&gt;0"),0)</f>
        <v>0</v>
      </c>
      <c r="Q17" s="43">
        <f>MAX(C17:N17)</f>
        <v>0</v>
      </c>
      <c r="R17" s="43">
        <f>IFERROR(SMALL(C17:N17,COUNTIF(C17:N17,0)+1),0)</f>
        <v>0</v>
      </c>
      <c r="S17" s="13" t="str">
        <f>IF(Q17=0,"",INDEX(Lista_MesesAb,MATCH(Q17,C17:N17,0)))</f>
        <v/>
      </c>
    </row>
    <row r="18">
      <c r="B18" s="14" t="str">
        <f>IF(INDEX(CatR_Nome,9)="","",INDEX(CatR_Nome,9))</f>
        <v/>
      </c>
      <c r="C18" s="43">
        <f>IF($B18="",0,SUMIFS(L_VParc,L_Tipo,"Receita",L_Cat,$B18,L_IIni,"&lt;="&amp;(C$7),L_IFim,"&gt;="&amp;(C$7)))</f>
        <v>0</v>
      </c>
      <c r="D18" s="43">
        <f>IF($B18="",0,SUMIFS(L_VParc,L_Tipo,"Receita",L_Cat,$B18,L_IIni,"&lt;="&amp;(D$7),L_IFim,"&gt;="&amp;(D$7)))</f>
        <v>0</v>
      </c>
      <c r="E18" s="43">
        <f>IF($B18="",0,SUMIFS(L_VParc,L_Tipo,"Receita",L_Cat,$B18,L_IIni,"&lt;="&amp;(E$7),L_IFim,"&gt;="&amp;(E$7)))</f>
        <v>0</v>
      </c>
      <c r="F18" s="43">
        <f>IF($B18="",0,SUMIFS(L_VParc,L_Tipo,"Receita",L_Cat,$B18,L_IIni,"&lt;="&amp;(F$7),L_IFim,"&gt;="&amp;(F$7)))</f>
        <v>0</v>
      </c>
      <c r="G18" s="43">
        <f>IF($B18="",0,SUMIFS(L_VParc,L_Tipo,"Receita",L_Cat,$B18,L_IIni,"&lt;="&amp;(G$7),L_IFim,"&gt;="&amp;(G$7)))</f>
        <v>0</v>
      </c>
      <c r="H18" s="43">
        <f>IF($B18="",0,SUMIFS(L_VParc,L_Tipo,"Receita",L_Cat,$B18,L_IIni,"&lt;="&amp;(H$7),L_IFim,"&gt;="&amp;(H$7)))</f>
        <v>0</v>
      </c>
      <c r="I18" s="43">
        <f>IF($B18="",0,SUMIFS(L_VParc,L_Tipo,"Receita",L_Cat,$B18,L_IIni,"&lt;="&amp;(I$7),L_IFim,"&gt;="&amp;(I$7)))</f>
        <v>0</v>
      </c>
      <c r="J18" s="43">
        <f>IF($B18="",0,SUMIFS(L_VParc,L_Tipo,"Receita",L_Cat,$B18,L_IIni,"&lt;="&amp;(J$7),L_IFim,"&gt;="&amp;(J$7)))</f>
        <v>0</v>
      </c>
      <c r="K18" s="43">
        <f>IF($B18="",0,SUMIFS(L_VParc,L_Tipo,"Receita",L_Cat,$B18,L_IIni,"&lt;="&amp;(K$7),L_IFim,"&gt;="&amp;(K$7)))</f>
        <v>0</v>
      </c>
      <c r="L18" s="43">
        <f>IF($B18="",0,SUMIFS(L_VParc,L_Tipo,"Receita",L_Cat,$B18,L_IIni,"&lt;="&amp;(L$7),L_IFim,"&gt;="&amp;(L$7)))</f>
        <v>0</v>
      </c>
      <c r="M18" s="43">
        <f>IF($B18="",0,SUMIFS(L_VParc,L_Tipo,"Receita",L_Cat,$B18,L_IIni,"&lt;="&amp;(M$7),L_IFim,"&gt;="&amp;(M$7)))</f>
        <v>0</v>
      </c>
      <c r="N18" s="43">
        <f>IF($B18="",0,SUMIFS(L_VParc,L_Tipo,"Receita",L_Cat,$B18,L_IIni,"&lt;="&amp;(N$7),L_IFim,"&gt;="&amp;(N$7)))</f>
        <v>0</v>
      </c>
      <c r="O18" s="43">
        <f>SUM(C18:N18)</f>
        <v>0</v>
      </c>
      <c r="P18" s="43">
        <f>IFERROR(SUMIF(C18:N18,"&lt;&gt;0")/COUNTIF(C18:N18,"&lt;&gt;0"),0)</f>
        <v>0</v>
      </c>
      <c r="Q18" s="43">
        <f>MAX(C18:N18)</f>
        <v>0</v>
      </c>
      <c r="R18" s="43">
        <f>IFERROR(SMALL(C18:N18,COUNTIF(C18:N18,0)+1),0)</f>
        <v>0</v>
      </c>
      <c r="S18" s="13" t="str">
        <f>IF(Q18=0,"",INDEX(Lista_MesesAb,MATCH(Q18,C18:N18,0)))</f>
        <v/>
      </c>
    </row>
    <row r="19">
      <c r="B19" s="9" t="inlineStr">
        <is>
          <t>Total de receitas</t>
        </is>
      </c>
      <c r="C19" s="79">
        <f>SUM(C10:C18)</f>
        <v>12789.55</v>
      </c>
      <c r="D19" s="79">
        <f>SUM(D10:D18)</f>
        <v>14563.38</v>
      </c>
      <c r="E19" s="79">
        <f>SUM(E10:E18)</f>
        <v>12771.57</v>
      </c>
      <c r="F19" s="79">
        <f>SUM(F10:F18)</f>
        <v>15161.33</v>
      </c>
      <c r="G19" s="79">
        <f>SUM(G10:G18)</f>
        <v>13124.35</v>
      </c>
      <c r="H19" s="79">
        <f>SUM(H10:H18)</f>
        <v>15168.69</v>
      </c>
      <c r="I19" s="79">
        <f>SUM(I10:I18)</f>
        <v>12779.08</v>
      </c>
      <c r="J19" s="79">
        <f>SUM(J10:J18)</f>
        <v>15182.06</v>
      </c>
      <c r="K19" s="79">
        <f>SUM(K10:K18)</f>
        <v>12783.87</v>
      </c>
      <c r="L19" s="79">
        <f>SUM(L10:L18)</f>
        <v>12700</v>
      </c>
      <c r="M19" s="79">
        <f>SUM(M10:M18)</f>
        <v>0</v>
      </c>
      <c r="N19" s="79">
        <f>SUM(N10:N18)</f>
        <v>0</v>
      </c>
      <c r="O19" s="79">
        <f>SUM(O10:O18)</f>
        <v>137023.88</v>
      </c>
      <c r="P19" s="79">
        <f>IFERROR(SUMIF(C19:N19,"&lt;&gt;0")/COUNTIF(C19:N19,"&lt;&gt;0"),0)</f>
        <v>13702.388</v>
      </c>
      <c r="Q19" s="79">
        <f>MAX(C19:N19)</f>
        <v>15182.06</v>
      </c>
      <c r="R19" s="79">
        <f>MIN(C19:N19)</f>
        <v>0</v>
      </c>
      <c r="S19" s="13" t="str">
        <f>IF(Q19=0,"",INDEX(Lista_MesesAb,MATCH(Q19,C19:N19,0)))</f>
        <v>Ago</v>
      </c>
    </row>
    <row r="20">
      <c r="B20" s="80" t="inlineStr">
        <is>
          <t>DESPESAS</t>
        </is>
      </c>
    </row>
    <row r="21">
      <c r="B21" s="14" t="str">
        <f>IF(INDEX(CatD_Nome,1)="","",INDEX(CatD_Nome,1))</f>
        <v>Moradia</v>
      </c>
      <c r="C21" s="43">
        <f>IF($B21="",0,SUMIFS(L_VParc,L_Tipo,"Despesa",L_Cat,$B21,L_IIni,"&lt;="&amp;(C$7),L_IFim,"&gt;="&amp;(C$7)))</f>
        <v>3442.01</v>
      </c>
      <c r="D21" s="43">
        <f>IF($B21="",0,SUMIFS(L_VParc,L_Tipo,"Despesa",L_Cat,$B21,L_IIni,"&lt;="&amp;(D$7),L_IFim,"&gt;="&amp;(D$7)))</f>
        <v>3433.38</v>
      </c>
      <c r="E21" s="43">
        <f>IF($B21="",0,SUMIFS(L_VParc,L_Tipo,"Despesa",L_Cat,$B21,L_IIni,"&lt;="&amp;(E$7),L_IFim,"&gt;="&amp;(E$7)))</f>
        <v>3486.11</v>
      </c>
      <c r="F21" s="43">
        <f>IF($B21="",0,SUMIFS(L_VParc,L_Tipo,"Despesa",L_Cat,$B21,L_IIni,"&lt;="&amp;(F$7),L_IFim,"&gt;="&amp;(F$7)))</f>
        <v>3500.8</v>
      </c>
      <c r="G21" s="43">
        <f>IF($B21="",0,SUMIFS(L_VParc,L_Tipo,"Despesa",L_Cat,$B21,L_IIni,"&lt;="&amp;(G$7),L_IFim,"&gt;="&amp;(G$7)))</f>
        <v>3419.29</v>
      </c>
      <c r="H21" s="43">
        <f>IF($B21="",0,SUMIFS(L_VParc,L_Tipo,"Despesa",L_Cat,$B21,L_IIni,"&lt;="&amp;(H$7),L_IFim,"&gt;="&amp;(H$7)))</f>
        <v>3412.51</v>
      </c>
      <c r="I21" s="43">
        <f>IF($B21="",0,SUMIFS(L_VParc,L_Tipo,"Despesa",L_Cat,$B21,L_IIni,"&lt;="&amp;(I$7),L_IFim,"&gt;="&amp;(I$7)))</f>
        <v>3627.31</v>
      </c>
      <c r="J21" s="43">
        <f>IF($B21="",0,SUMIFS(L_VParc,L_Tipo,"Despesa",L_Cat,$B21,L_IIni,"&lt;="&amp;(J$7),L_IFim,"&gt;="&amp;(J$7)))</f>
        <v>3624.71</v>
      </c>
      <c r="K21" s="43">
        <f>IF($B21="",0,SUMIFS(L_VParc,L_Tipo,"Despesa",L_Cat,$B21,L_IIni,"&lt;="&amp;(K$7),L_IFim,"&gt;="&amp;(K$7)))</f>
        <v>3670.77</v>
      </c>
      <c r="L21" s="43">
        <f>IF($B21="",0,SUMIFS(L_VParc,L_Tipo,"Despesa",L_Cat,$B21,L_IIni,"&lt;="&amp;(L$7),L_IFim,"&gt;="&amp;(L$7)))</f>
        <v>3704.3</v>
      </c>
      <c r="M21" s="43">
        <f>IF($B21="",0,SUMIFS(L_VParc,L_Tipo,"Despesa",L_Cat,$B21,L_IIni,"&lt;="&amp;(M$7),L_IFim,"&gt;="&amp;(M$7)))</f>
        <v>200</v>
      </c>
      <c r="N21" s="43">
        <f>IF($B21="",0,SUMIFS(L_VParc,L_Tipo,"Despesa",L_Cat,$B21,L_IIni,"&lt;="&amp;(N$7),L_IFim,"&gt;="&amp;(N$7)))</f>
        <v>200</v>
      </c>
      <c r="O21" s="43">
        <f>SUM(C21:N21)</f>
        <v>35721.19</v>
      </c>
      <c r="P21" s="43">
        <f>IFERROR(SUMIF(C21:N21,"&lt;&gt;0")/COUNTIF(C21:N21,"&lt;&gt;0"),0)</f>
        <v>2976.76583333333</v>
      </c>
      <c r="Q21" s="43">
        <f>MAX(C21:N21)</f>
        <v>3704.3</v>
      </c>
      <c r="R21" s="43">
        <f>IFERROR(SMALL(C21:N21,COUNTIF(C21:N21,0)+1),0)</f>
        <v>200</v>
      </c>
      <c r="S21" s="13" t="str">
        <f>IF(Q21=0,"",INDEX(Lista_MesesAb,MATCH(Q21,C21:N21,0)))</f>
        <v>Out</v>
      </c>
    </row>
    <row r="22">
      <c r="B22" s="14" t="str">
        <f>IF(INDEX(CatD_Nome,2)="","",INDEX(CatD_Nome,2))</f>
        <v>Alimentação</v>
      </c>
      <c r="C22" s="43">
        <f>IF($B22="",0,SUMIFS(L_VParc,L_Tipo,"Despesa",L_Cat,$B22,L_IIni,"&lt;="&amp;(C$7),L_IFim,"&gt;="&amp;(C$7)))</f>
        <v>1452.48</v>
      </c>
      <c r="D22" s="43">
        <f>IF($B22="",0,SUMIFS(L_VParc,L_Tipo,"Despesa",L_Cat,$B22,L_IIni,"&lt;="&amp;(D$7),L_IFim,"&gt;="&amp;(D$7)))</f>
        <v>1491.59</v>
      </c>
      <c r="E22" s="43">
        <f>IF($B22="",0,SUMIFS(L_VParc,L_Tipo,"Despesa",L_Cat,$B22,L_IIni,"&lt;="&amp;(E$7),L_IFim,"&gt;="&amp;(E$7)))</f>
        <v>1576.78</v>
      </c>
      <c r="F22" s="43">
        <f>IF($B22="",0,SUMIFS(L_VParc,L_Tipo,"Despesa",L_Cat,$B22,L_IIni,"&lt;="&amp;(F$7),L_IFim,"&gt;="&amp;(F$7)))</f>
        <v>1610.93</v>
      </c>
      <c r="G22" s="43">
        <f>IF($B22="",0,SUMIFS(L_VParc,L_Tipo,"Despesa",L_Cat,$B22,L_IIni,"&lt;="&amp;(G$7),L_IFim,"&gt;="&amp;(G$7)))</f>
        <v>1328.52</v>
      </c>
      <c r="H22" s="43">
        <f>IF($B22="",0,SUMIFS(L_VParc,L_Tipo,"Despesa",L_Cat,$B22,L_IIni,"&lt;="&amp;(H$7),L_IFim,"&gt;="&amp;(H$7)))</f>
        <v>1291.21</v>
      </c>
      <c r="I22" s="43">
        <f>IF($B22="",0,SUMIFS(L_VParc,L_Tipo,"Despesa",L_Cat,$B22,L_IIni,"&lt;="&amp;(I$7),L_IFim,"&gt;="&amp;(I$7)))</f>
        <v>1482.58</v>
      </c>
      <c r="J22" s="43">
        <f>IF($B22="",0,SUMIFS(L_VParc,L_Tipo,"Despesa",L_Cat,$B22,L_IIni,"&lt;="&amp;(J$7),L_IFim,"&gt;="&amp;(J$7)))</f>
        <v>1616.56</v>
      </c>
      <c r="K22" s="43">
        <f>IF($B22="",0,SUMIFS(L_VParc,L_Tipo,"Despesa",L_Cat,$B22,L_IIni,"&lt;="&amp;(K$7),L_IFim,"&gt;="&amp;(K$7)))</f>
        <v>1748.55</v>
      </c>
      <c r="L22" s="43">
        <f>IF($B22="",0,SUMIFS(L_VParc,L_Tipo,"Despesa",L_Cat,$B22,L_IIni,"&lt;="&amp;(L$7),L_IFim,"&gt;="&amp;(L$7)))</f>
        <v>1551.9</v>
      </c>
      <c r="M22" s="43">
        <f>IF($B22="",0,SUMIFS(L_VParc,L_Tipo,"Despesa",L_Cat,$B22,L_IIni,"&lt;="&amp;(M$7),L_IFim,"&gt;="&amp;(M$7)))</f>
        <v>0</v>
      </c>
      <c r="N22" s="43">
        <f>IF($B22="",0,SUMIFS(L_VParc,L_Tipo,"Despesa",L_Cat,$B22,L_IIni,"&lt;="&amp;(N$7),L_IFim,"&gt;="&amp;(N$7)))</f>
        <v>0</v>
      </c>
      <c r="O22" s="43">
        <f>SUM(C22:N22)</f>
        <v>15151.1</v>
      </c>
      <c r="P22" s="43">
        <f>IFERROR(SUMIF(C22:N22,"&lt;&gt;0")/COUNTIF(C22:N22,"&lt;&gt;0"),0)</f>
        <v>1515.11</v>
      </c>
      <c r="Q22" s="43">
        <f>MAX(C22:N22)</f>
        <v>1748.55</v>
      </c>
      <c r="R22" s="43">
        <f>IFERROR(SMALL(C22:N22,COUNTIF(C22:N22,0)+1),0)</f>
        <v>1291.21</v>
      </c>
      <c r="S22" s="13" t="str">
        <f>IF(Q22=0,"",INDEX(Lista_MesesAb,MATCH(Q22,C22:N22,0)))</f>
        <v>Set</v>
      </c>
    </row>
    <row r="23">
      <c r="B23" s="14" t="str">
        <f>IF(INDEX(CatD_Nome,3)="","",INDEX(CatD_Nome,3))</f>
        <v>Transporte</v>
      </c>
      <c r="C23" s="43">
        <f>IF($B23="",0,SUMIFS(L_VParc,L_Tipo,"Despesa",L_Cat,$B23,L_IIni,"&lt;="&amp;(C$7),L_IFim,"&gt;="&amp;(C$7)))</f>
        <v>498.19</v>
      </c>
      <c r="D23" s="43">
        <f>IF($B23="",0,SUMIFS(L_VParc,L_Tipo,"Despesa",L_Cat,$B23,L_IIni,"&lt;="&amp;(D$7),L_IFim,"&gt;="&amp;(D$7)))</f>
        <v>462</v>
      </c>
      <c r="E23" s="43">
        <f>IF($B23="",0,SUMIFS(L_VParc,L_Tipo,"Despesa",L_Cat,$B23,L_IIni,"&lt;="&amp;(E$7),L_IFim,"&gt;="&amp;(E$7)))</f>
        <v>463.41</v>
      </c>
      <c r="F23" s="43">
        <f>IF($B23="",0,SUMIFS(L_VParc,L_Tipo,"Despesa",L_Cat,$B23,L_IIni,"&lt;="&amp;(F$7),L_IFim,"&gt;="&amp;(F$7)))</f>
        <v>468.94</v>
      </c>
      <c r="G23" s="43">
        <f>IF($B23="",0,SUMIFS(L_VParc,L_Tipo,"Despesa",L_Cat,$B23,L_IIni,"&lt;="&amp;(G$7),L_IFim,"&gt;="&amp;(G$7)))</f>
        <v>524.66</v>
      </c>
      <c r="H23" s="43">
        <f>IF($B23="",0,SUMIFS(L_VParc,L_Tipo,"Despesa",L_Cat,$B23,L_IIni,"&lt;="&amp;(H$7),L_IFim,"&gt;="&amp;(H$7)))</f>
        <v>423.61</v>
      </c>
      <c r="I23" s="43">
        <f>IF($B23="",0,SUMIFS(L_VParc,L_Tipo,"Despesa",L_Cat,$B23,L_IIni,"&lt;="&amp;(I$7),L_IFim,"&gt;="&amp;(I$7)))</f>
        <v>464.09</v>
      </c>
      <c r="J23" s="43">
        <f>IF($B23="",0,SUMIFS(L_VParc,L_Tipo,"Despesa",L_Cat,$B23,L_IIni,"&lt;="&amp;(J$7),L_IFim,"&gt;="&amp;(J$7)))</f>
        <v>438.06</v>
      </c>
      <c r="K23" s="43">
        <f>IF($B23="",0,SUMIFS(L_VParc,L_Tipo,"Despesa",L_Cat,$B23,L_IIni,"&lt;="&amp;(K$7),L_IFim,"&gt;="&amp;(K$7)))</f>
        <v>482.6</v>
      </c>
      <c r="L23" s="43">
        <f>IF($B23="",0,SUMIFS(L_VParc,L_Tipo,"Despesa",L_Cat,$B23,L_IIni,"&lt;="&amp;(L$7),L_IFim,"&gt;="&amp;(L$7)))</f>
        <v>1375.9</v>
      </c>
      <c r="M23" s="43">
        <f>IF($B23="",0,SUMIFS(L_VParc,L_Tipo,"Despesa",L_Cat,$B23,L_IIni,"&lt;="&amp;(M$7),L_IFim,"&gt;="&amp;(M$7)))</f>
        <v>900</v>
      </c>
      <c r="N23" s="43">
        <f>IF($B23="",0,SUMIFS(L_VParc,L_Tipo,"Despesa",L_Cat,$B23,L_IIni,"&lt;="&amp;(N$7),L_IFim,"&gt;="&amp;(N$7)))</f>
        <v>900</v>
      </c>
      <c r="O23" s="43">
        <f>SUM(C23:N23)</f>
        <v>7401.46</v>
      </c>
      <c r="P23" s="43">
        <f>IFERROR(SUMIF(C23:N23,"&lt;&gt;0")/COUNTIF(C23:N23,"&lt;&gt;0"),0)</f>
        <v>616.788333333333</v>
      </c>
      <c r="Q23" s="43">
        <f>MAX(C23:N23)</f>
        <v>1375.9</v>
      </c>
      <c r="R23" s="43">
        <f>IFERROR(SMALL(C23:N23,COUNTIF(C23:N23,0)+1),0)</f>
        <v>423.61</v>
      </c>
      <c r="S23" s="13" t="str">
        <f>IF(Q23=0,"",INDEX(Lista_MesesAb,MATCH(Q23,C23:N23,0)))</f>
        <v>Out</v>
      </c>
    </row>
    <row r="24">
      <c r="B24" s="14" t="str">
        <f>IF(INDEX(CatD_Nome,4)="","",INDEX(CatD_Nome,4))</f>
        <v>Saúde</v>
      </c>
      <c r="C24" s="43">
        <f>IF($B24="",0,SUMIFS(L_VParc,L_Tipo,"Despesa",L_Cat,$B24,L_IIni,"&lt;="&amp;(C$7),L_IFim,"&gt;="&amp;(C$7)))</f>
        <v>893.06</v>
      </c>
      <c r="D24" s="43">
        <f>IF($B24="",0,SUMIFS(L_VParc,L_Tipo,"Despesa",L_Cat,$B24,L_IIni,"&lt;="&amp;(D$7),L_IFim,"&gt;="&amp;(D$7)))</f>
        <v>897.23</v>
      </c>
      <c r="E24" s="43">
        <f>IF($B24="",0,SUMIFS(L_VParc,L_Tipo,"Despesa",L_Cat,$B24,L_IIni,"&lt;="&amp;(E$7),L_IFim,"&gt;="&amp;(E$7)))</f>
        <v>1215.59</v>
      </c>
      <c r="F24" s="43">
        <f>IF($B24="",0,SUMIFS(L_VParc,L_Tipo,"Despesa",L_Cat,$B24,L_IIni,"&lt;="&amp;(F$7),L_IFim,"&gt;="&amp;(F$7)))</f>
        <v>925.79</v>
      </c>
      <c r="G24" s="43">
        <f>IF($B24="",0,SUMIFS(L_VParc,L_Tipo,"Despesa",L_Cat,$B24,L_IIni,"&lt;="&amp;(G$7),L_IFim,"&gt;="&amp;(G$7)))</f>
        <v>913.86</v>
      </c>
      <c r="H24" s="43">
        <f>IF($B24="",0,SUMIFS(L_VParc,L_Tipo,"Despesa",L_Cat,$B24,L_IIni,"&lt;="&amp;(H$7),L_IFim,"&gt;="&amp;(H$7)))</f>
        <v>1212.5</v>
      </c>
      <c r="I24" s="43">
        <f>IF($B24="",0,SUMIFS(L_VParc,L_Tipo,"Despesa",L_Cat,$B24,L_IIni,"&lt;="&amp;(I$7),L_IFim,"&gt;="&amp;(I$7)))</f>
        <v>930.67</v>
      </c>
      <c r="J24" s="43">
        <f>IF($B24="",0,SUMIFS(L_VParc,L_Tipo,"Despesa",L_Cat,$B24,L_IIni,"&lt;="&amp;(J$7),L_IFim,"&gt;="&amp;(J$7)))</f>
        <v>853</v>
      </c>
      <c r="K24" s="43">
        <f>IF($B24="",0,SUMIFS(L_VParc,L_Tipo,"Despesa",L_Cat,$B24,L_IIni,"&lt;="&amp;(K$7),L_IFim,"&gt;="&amp;(K$7)))</f>
        <v>1169.25</v>
      </c>
      <c r="L24" s="43">
        <f>IF($B24="",0,SUMIFS(L_VParc,L_Tipo,"Despesa",L_Cat,$B24,L_IIni,"&lt;="&amp;(L$7),L_IFim,"&gt;="&amp;(L$7)))</f>
        <v>932.98</v>
      </c>
      <c r="M24" s="43">
        <f>IF($B24="",0,SUMIFS(L_VParc,L_Tipo,"Despesa",L_Cat,$B24,L_IIni,"&lt;="&amp;(M$7),L_IFim,"&gt;="&amp;(M$7)))</f>
        <v>0</v>
      </c>
      <c r="N24" s="43">
        <f>IF($B24="",0,SUMIFS(L_VParc,L_Tipo,"Despesa",L_Cat,$B24,L_IIni,"&lt;="&amp;(N$7),L_IFim,"&gt;="&amp;(N$7)))</f>
        <v>0</v>
      </c>
      <c r="O24" s="43">
        <f>SUM(C24:N24)</f>
        <v>9943.93</v>
      </c>
      <c r="P24" s="43">
        <f>IFERROR(SUMIF(C24:N24,"&lt;&gt;0")/COUNTIF(C24:N24,"&lt;&gt;0"),0)</f>
        <v>994.393</v>
      </c>
      <c r="Q24" s="43">
        <f>MAX(C24:N24)</f>
        <v>1215.59</v>
      </c>
      <c r="R24" s="43">
        <f>IFERROR(SMALL(C24:N24,COUNTIF(C24:N24,0)+1),0)</f>
        <v>853</v>
      </c>
      <c r="S24" s="13" t="str">
        <f>IF(Q24=0,"",INDEX(Lista_MesesAb,MATCH(Q24,C24:N24,0)))</f>
        <v>Mar</v>
      </c>
    </row>
    <row r="25">
      <c r="B25" s="14" t="str">
        <f>IF(INDEX(CatD_Nome,5)="","",INDEX(CatD_Nome,5))</f>
        <v>Educação</v>
      </c>
      <c r="C25" s="43">
        <f>IF($B25="",0,SUMIFS(L_VParc,L_Tipo,"Despesa",L_Cat,$B25,L_IIni,"&lt;="&amp;(C$7),L_IFim,"&gt;="&amp;(C$7)))</f>
        <v>390</v>
      </c>
      <c r="D25" s="43">
        <f>IF($B25="",0,SUMIFS(L_VParc,L_Tipo,"Despesa",L_Cat,$B25,L_IIni,"&lt;="&amp;(D$7),L_IFim,"&gt;="&amp;(D$7)))</f>
        <v>390</v>
      </c>
      <c r="E25" s="43">
        <f>IF($B25="",0,SUMIFS(L_VParc,L_Tipo,"Despesa",L_Cat,$B25,L_IIni,"&lt;="&amp;(E$7),L_IFim,"&gt;="&amp;(E$7)))</f>
        <v>390</v>
      </c>
      <c r="F25" s="43">
        <f>IF($B25="",0,SUMIFS(L_VParc,L_Tipo,"Despesa",L_Cat,$B25,L_IIni,"&lt;="&amp;(F$7),L_IFim,"&gt;="&amp;(F$7)))</f>
        <v>390</v>
      </c>
      <c r="G25" s="43">
        <f>IF($B25="",0,SUMIFS(L_VParc,L_Tipo,"Despesa",L_Cat,$B25,L_IIni,"&lt;="&amp;(G$7),L_IFim,"&gt;="&amp;(G$7)))</f>
        <v>390</v>
      </c>
      <c r="H25" s="43">
        <f>IF($B25="",0,SUMIFS(L_VParc,L_Tipo,"Despesa",L_Cat,$B25,L_IIni,"&lt;="&amp;(H$7),L_IFim,"&gt;="&amp;(H$7)))</f>
        <v>390</v>
      </c>
      <c r="I25" s="43">
        <f>IF($B25="",0,SUMIFS(L_VParc,L_Tipo,"Despesa",L_Cat,$B25,L_IIni,"&lt;="&amp;(I$7),L_IFim,"&gt;="&amp;(I$7)))</f>
        <v>390</v>
      </c>
      <c r="J25" s="43">
        <f>IF($B25="",0,SUMIFS(L_VParc,L_Tipo,"Despesa",L_Cat,$B25,L_IIni,"&lt;="&amp;(J$7),L_IFim,"&gt;="&amp;(J$7)))</f>
        <v>390</v>
      </c>
      <c r="K25" s="43">
        <f>IF($B25="",0,SUMIFS(L_VParc,L_Tipo,"Despesa",L_Cat,$B25,L_IIni,"&lt;="&amp;(K$7),L_IFim,"&gt;="&amp;(K$7)))</f>
        <v>390</v>
      </c>
      <c r="L25" s="43">
        <f>IF($B25="",0,SUMIFS(L_VParc,L_Tipo,"Despesa",L_Cat,$B25,L_IIni,"&lt;="&amp;(L$7),L_IFim,"&gt;="&amp;(L$7)))</f>
        <v>390</v>
      </c>
      <c r="M25" s="43">
        <f>IF($B25="",0,SUMIFS(L_VParc,L_Tipo,"Despesa",L_Cat,$B25,L_IIni,"&lt;="&amp;(M$7),L_IFim,"&gt;="&amp;(M$7)))</f>
        <v>0</v>
      </c>
      <c r="N25" s="43">
        <f>IF($B25="",0,SUMIFS(L_VParc,L_Tipo,"Despesa",L_Cat,$B25,L_IIni,"&lt;="&amp;(N$7),L_IFim,"&gt;="&amp;(N$7)))</f>
        <v>0</v>
      </c>
      <c r="O25" s="43">
        <f>SUM(C25:N25)</f>
        <v>3900</v>
      </c>
      <c r="P25" s="43">
        <f>IFERROR(SUMIF(C25:N25,"&lt;&gt;0")/COUNTIF(C25:N25,"&lt;&gt;0"),0)</f>
        <v>390</v>
      </c>
      <c r="Q25" s="43">
        <f>MAX(C25:N25)</f>
        <v>390</v>
      </c>
      <c r="R25" s="43">
        <f>IFERROR(SMALL(C25:N25,COUNTIF(C25:N25,0)+1),0)</f>
        <v>390</v>
      </c>
      <c r="S25" s="13" t="str">
        <f>IF(Q25=0,"",INDEX(Lista_MesesAb,MATCH(Q25,C25:N25,0)))</f>
        <v>Jan</v>
      </c>
    </row>
    <row r="26">
      <c r="B26" s="14" t="str">
        <f>IF(INDEX(CatD_Nome,6)="","",INDEX(CatD_Nome,6))</f>
        <v>Lazer</v>
      </c>
      <c r="C26" s="43">
        <f>IF($B26="",0,SUMIFS(L_VParc,L_Tipo,"Despesa",L_Cat,$B26,L_IIni,"&lt;="&amp;(C$7),L_IFim,"&gt;="&amp;(C$7)))</f>
        <v>273.87</v>
      </c>
      <c r="D26" s="43">
        <f>IF($B26="",0,SUMIFS(L_VParc,L_Tipo,"Despesa",L_Cat,$B26,L_IIni,"&lt;="&amp;(D$7),L_IFim,"&gt;="&amp;(D$7)))</f>
        <v>355.09</v>
      </c>
      <c r="E26" s="43">
        <f>IF($B26="",0,SUMIFS(L_VParc,L_Tipo,"Despesa",L_Cat,$B26,L_IIni,"&lt;="&amp;(E$7),L_IFim,"&gt;="&amp;(E$7)))</f>
        <v>174.02</v>
      </c>
      <c r="F26" s="43">
        <f>IF($B26="",0,SUMIFS(L_VParc,L_Tipo,"Despesa",L_Cat,$B26,L_IIni,"&lt;="&amp;(F$7),L_IFim,"&gt;="&amp;(F$7)))</f>
        <v>221.02</v>
      </c>
      <c r="G26" s="43">
        <f>IF($B26="",0,SUMIFS(L_VParc,L_Tipo,"Despesa",L_Cat,$B26,L_IIni,"&lt;="&amp;(G$7),L_IFim,"&gt;="&amp;(G$7)))</f>
        <v>149.58</v>
      </c>
      <c r="H26" s="43">
        <f>IF($B26="",0,SUMIFS(L_VParc,L_Tipo,"Despesa",L_Cat,$B26,L_IIni,"&lt;="&amp;(H$7),L_IFim,"&gt;="&amp;(H$7)))</f>
        <v>182.46</v>
      </c>
      <c r="I26" s="43">
        <f>IF($B26="",0,SUMIFS(L_VParc,L_Tipo,"Despesa",L_Cat,$B26,L_IIni,"&lt;="&amp;(I$7),L_IFim,"&gt;="&amp;(I$7)))</f>
        <v>220.76</v>
      </c>
      <c r="J26" s="43">
        <f>IF($B26="",0,SUMIFS(L_VParc,L_Tipo,"Despesa",L_Cat,$B26,L_IIni,"&lt;="&amp;(J$7),L_IFim,"&gt;="&amp;(J$7)))</f>
        <v>633.95</v>
      </c>
      <c r="K26" s="43">
        <f>IF($B26="",0,SUMIFS(L_VParc,L_Tipo,"Despesa",L_Cat,$B26,L_IIni,"&lt;="&amp;(K$7),L_IFim,"&gt;="&amp;(K$7)))</f>
        <v>1651.19</v>
      </c>
      <c r="L26" s="43">
        <f>IF($B26="",0,SUMIFS(L_VParc,L_Tipo,"Despesa",L_Cat,$B26,L_IIni,"&lt;="&amp;(L$7),L_IFim,"&gt;="&amp;(L$7)))</f>
        <v>705.95</v>
      </c>
      <c r="M26" s="43">
        <f>IF($B26="",0,SUMIFS(L_VParc,L_Tipo,"Despesa",L_Cat,$B26,L_IIni,"&lt;="&amp;(M$7),L_IFim,"&gt;="&amp;(M$7)))</f>
        <v>450</v>
      </c>
      <c r="N26" s="43">
        <f>IF($B26="",0,SUMIFS(L_VParc,L_Tipo,"Despesa",L_Cat,$B26,L_IIni,"&lt;="&amp;(N$7),L_IFim,"&gt;="&amp;(N$7)))</f>
        <v>0</v>
      </c>
      <c r="O26" s="43">
        <f>SUM(C26:N26)</f>
        <v>5017.89</v>
      </c>
      <c r="P26" s="43">
        <f>IFERROR(SUMIF(C26:N26,"&lt;&gt;0")/COUNTIF(C26:N26,"&lt;&gt;0"),0)</f>
        <v>456.171818181818</v>
      </c>
      <c r="Q26" s="43">
        <f>MAX(C26:N26)</f>
        <v>1651.19</v>
      </c>
      <c r="R26" s="43">
        <f>IFERROR(SMALL(C26:N26,COUNTIF(C26:N26,0)+1),0)</f>
        <v>149.58</v>
      </c>
      <c r="S26" s="13" t="str">
        <f>IF(Q26=0,"",INDEX(Lista_MesesAb,MATCH(Q26,C26:N26,0)))</f>
        <v>Set</v>
      </c>
    </row>
    <row r="27">
      <c r="B27" s="14" t="str">
        <f>IF(INDEX(CatD_Nome,7)="","",INDEX(CatD_Nome,7))</f>
        <v>Assinaturas</v>
      </c>
      <c r="C27" s="43">
        <f>IF($B27="",0,SUMIFS(L_VParc,L_Tipo,"Despesa",L_Cat,$B27,L_IIni,"&lt;="&amp;(C$7),L_IFim,"&gt;="&amp;(C$7)))</f>
        <v>221.7</v>
      </c>
      <c r="D27" s="43">
        <f>IF($B27="",0,SUMIFS(L_VParc,L_Tipo,"Despesa",L_Cat,$B27,L_IIni,"&lt;="&amp;(D$7),L_IFim,"&gt;="&amp;(D$7)))</f>
        <v>221.7</v>
      </c>
      <c r="E27" s="43">
        <f>IF($B27="",0,SUMIFS(L_VParc,L_Tipo,"Despesa",L_Cat,$B27,L_IIni,"&lt;="&amp;(E$7),L_IFim,"&gt;="&amp;(E$7)))</f>
        <v>221.7</v>
      </c>
      <c r="F27" s="43">
        <f>IF($B27="",0,SUMIFS(L_VParc,L_Tipo,"Despesa",L_Cat,$B27,L_IIni,"&lt;="&amp;(F$7),L_IFim,"&gt;="&amp;(F$7)))</f>
        <v>221.7</v>
      </c>
      <c r="G27" s="43">
        <f>IF($B27="",0,SUMIFS(L_VParc,L_Tipo,"Despesa",L_Cat,$B27,L_IIni,"&lt;="&amp;(G$7),L_IFim,"&gt;="&amp;(G$7)))</f>
        <v>221.7</v>
      </c>
      <c r="H27" s="43">
        <f>IF($B27="",0,SUMIFS(L_VParc,L_Tipo,"Despesa",L_Cat,$B27,L_IIni,"&lt;="&amp;(H$7),L_IFim,"&gt;="&amp;(H$7)))</f>
        <v>221.7</v>
      </c>
      <c r="I27" s="43">
        <f>IF($B27="",0,SUMIFS(L_VParc,L_Tipo,"Despesa",L_Cat,$B27,L_IIni,"&lt;="&amp;(I$7),L_IFim,"&gt;="&amp;(I$7)))</f>
        <v>221.7</v>
      </c>
      <c r="J27" s="43">
        <f>IF($B27="",0,SUMIFS(L_VParc,L_Tipo,"Despesa",L_Cat,$B27,L_IIni,"&lt;="&amp;(J$7),L_IFim,"&gt;="&amp;(J$7)))</f>
        <v>221.7</v>
      </c>
      <c r="K27" s="43">
        <f>IF($B27="",0,SUMIFS(L_VParc,L_Tipo,"Despesa",L_Cat,$B27,L_IIni,"&lt;="&amp;(K$7),L_IFim,"&gt;="&amp;(K$7)))</f>
        <v>221.7</v>
      </c>
      <c r="L27" s="43">
        <f>IF($B27="",0,SUMIFS(L_VParc,L_Tipo,"Despesa",L_Cat,$B27,L_IIni,"&lt;="&amp;(L$7),L_IFim,"&gt;="&amp;(L$7)))</f>
        <v>221.7</v>
      </c>
      <c r="M27" s="43">
        <f>IF($B27="",0,SUMIFS(L_VParc,L_Tipo,"Despesa",L_Cat,$B27,L_IIni,"&lt;="&amp;(M$7),L_IFim,"&gt;="&amp;(M$7)))</f>
        <v>0</v>
      </c>
      <c r="N27" s="43">
        <f>IF($B27="",0,SUMIFS(L_VParc,L_Tipo,"Despesa",L_Cat,$B27,L_IIni,"&lt;="&amp;(N$7),L_IFim,"&gt;="&amp;(N$7)))</f>
        <v>0</v>
      </c>
      <c r="O27" s="43">
        <f>SUM(C27:N27)</f>
        <v>2217</v>
      </c>
      <c r="P27" s="43">
        <f>IFERROR(SUMIF(C27:N27,"&lt;&gt;0")/COUNTIF(C27:N27,"&lt;&gt;0"),0)</f>
        <v>221.7</v>
      </c>
      <c r="Q27" s="43">
        <f>MAX(C27:N27)</f>
        <v>221.7</v>
      </c>
      <c r="R27" s="43">
        <f>IFERROR(SMALL(C27:N27,COUNTIF(C27:N27,0)+1),0)</f>
        <v>221.7</v>
      </c>
      <c r="S27" s="13" t="str">
        <f>IF(Q27=0,"",INDEX(Lista_MesesAb,MATCH(Q27,C27:N27,0)))</f>
        <v>Jan</v>
      </c>
    </row>
    <row r="28">
      <c r="B28" s="14" t="str">
        <f>IF(INDEX(CatD_Nome,8)="","",INDEX(CatD_Nome,8))</f>
        <v>Vestuário</v>
      </c>
      <c r="C28" s="43">
        <f>IF($B28="",0,SUMIFS(L_VParc,L_Tipo,"Despesa",L_Cat,$B28,L_IIni,"&lt;="&amp;(C$7),L_IFim,"&gt;="&amp;(C$7)))</f>
        <v>0</v>
      </c>
      <c r="D28" s="43">
        <f>IF($B28="",0,SUMIFS(L_VParc,L_Tipo,"Despesa",L_Cat,$B28,L_IIni,"&lt;="&amp;(D$7),L_IFim,"&gt;="&amp;(D$7)))</f>
        <v>370.62</v>
      </c>
      <c r="E28" s="43">
        <f>IF($B28="",0,SUMIFS(L_VParc,L_Tipo,"Despesa",L_Cat,$B28,L_IIni,"&lt;="&amp;(E$7),L_IFim,"&gt;="&amp;(E$7)))</f>
        <v>0</v>
      </c>
      <c r="F28" s="43">
        <f>IF($B28="",0,SUMIFS(L_VParc,L_Tipo,"Despesa",L_Cat,$B28,L_IIni,"&lt;="&amp;(F$7),L_IFim,"&gt;="&amp;(F$7)))</f>
        <v>449.64</v>
      </c>
      <c r="G28" s="43">
        <f>IF($B28="",0,SUMIFS(L_VParc,L_Tipo,"Despesa",L_Cat,$B28,L_IIni,"&lt;="&amp;(G$7),L_IFim,"&gt;="&amp;(G$7)))</f>
        <v>0</v>
      </c>
      <c r="H28" s="43">
        <f>IF($B28="",0,SUMIFS(L_VParc,L_Tipo,"Despesa",L_Cat,$B28,L_IIni,"&lt;="&amp;(H$7),L_IFim,"&gt;="&amp;(H$7)))</f>
        <v>246.01</v>
      </c>
      <c r="I28" s="43">
        <f>IF($B28="",0,SUMIFS(L_VParc,L_Tipo,"Despesa",L_Cat,$B28,L_IIni,"&lt;="&amp;(I$7),L_IFim,"&gt;="&amp;(I$7)))</f>
        <v>0</v>
      </c>
      <c r="J28" s="43">
        <f>IF($B28="",0,SUMIFS(L_VParc,L_Tipo,"Despesa",L_Cat,$B28,L_IIni,"&lt;="&amp;(J$7),L_IFim,"&gt;="&amp;(J$7)))</f>
        <v>408.88</v>
      </c>
      <c r="K28" s="43">
        <f>IF($B28="",0,SUMIFS(L_VParc,L_Tipo,"Despesa",L_Cat,$B28,L_IIni,"&lt;="&amp;(K$7),L_IFim,"&gt;="&amp;(K$7)))</f>
        <v>0</v>
      </c>
      <c r="L28" s="43">
        <f>IF($B28="",0,SUMIFS(L_VParc,L_Tipo,"Despesa",L_Cat,$B28,L_IIni,"&lt;="&amp;(L$7),L_IFim,"&gt;="&amp;(L$7)))</f>
        <v>366.33</v>
      </c>
      <c r="M28" s="43">
        <f>IF($B28="",0,SUMIFS(L_VParc,L_Tipo,"Despesa",L_Cat,$B28,L_IIni,"&lt;="&amp;(M$7),L_IFim,"&gt;="&amp;(M$7)))</f>
        <v>0</v>
      </c>
      <c r="N28" s="43">
        <f>IF($B28="",0,SUMIFS(L_VParc,L_Tipo,"Despesa",L_Cat,$B28,L_IIni,"&lt;="&amp;(N$7),L_IFim,"&gt;="&amp;(N$7)))</f>
        <v>0</v>
      </c>
      <c r="O28" s="43">
        <f>SUM(C28:N28)</f>
        <v>1841.48</v>
      </c>
      <c r="P28" s="43">
        <f>IFERROR(SUMIF(C28:N28,"&lt;&gt;0")/COUNTIF(C28:N28,"&lt;&gt;0"),0)</f>
        <v>368.296</v>
      </c>
      <c r="Q28" s="43">
        <f>MAX(C28:N28)</f>
        <v>449.64</v>
      </c>
      <c r="R28" s="43">
        <f>IFERROR(SMALL(C28:N28,COUNTIF(C28:N28,0)+1),0)</f>
        <v>246.01</v>
      </c>
      <c r="S28" s="13" t="str">
        <f>IF(Q28=0,"",INDEX(Lista_MesesAb,MATCH(Q28,C28:N28,0)))</f>
        <v>Abr</v>
      </c>
    </row>
    <row r="29">
      <c r="B29" s="14" t="str">
        <f>IF(INDEX(CatD_Nome,9)="","",INDEX(CatD_Nome,9))</f>
        <v>Dívidas e Financiamentos</v>
      </c>
      <c r="C29" s="43">
        <f>IF($B29="",0,SUMIFS(L_VParc,L_Tipo,"Despesa",L_Cat,$B29,L_IIni,"&lt;="&amp;(C$7),L_IFim,"&gt;="&amp;(C$7)))</f>
        <v>2190</v>
      </c>
      <c r="D29" s="43">
        <f>IF($B29="",0,SUMIFS(L_VParc,L_Tipo,"Despesa",L_Cat,$B29,L_IIni,"&lt;="&amp;(D$7),L_IFim,"&gt;="&amp;(D$7)))</f>
        <v>2190</v>
      </c>
      <c r="E29" s="43">
        <f>IF($B29="",0,SUMIFS(L_VParc,L_Tipo,"Despesa",L_Cat,$B29,L_IIni,"&lt;="&amp;(E$7),L_IFim,"&gt;="&amp;(E$7)))</f>
        <v>2190</v>
      </c>
      <c r="F29" s="43">
        <f>IF($B29="",0,SUMIFS(L_VParc,L_Tipo,"Despesa",L_Cat,$B29,L_IIni,"&lt;="&amp;(F$7),L_IFim,"&gt;="&amp;(F$7)))</f>
        <v>2190</v>
      </c>
      <c r="G29" s="43">
        <f>IF($B29="",0,SUMIFS(L_VParc,L_Tipo,"Despesa",L_Cat,$B29,L_IIni,"&lt;="&amp;(G$7),L_IFim,"&gt;="&amp;(G$7)))</f>
        <v>2190</v>
      </c>
      <c r="H29" s="43">
        <f>IF($B29="",0,SUMIFS(L_VParc,L_Tipo,"Despesa",L_Cat,$B29,L_IIni,"&lt;="&amp;(H$7),L_IFim,"&gt;="&amp;(H$7)))</f>
        <v>2190</v>
      </c>
      <c r="I29" s="43">
        <f>IF($B29="",0,SUMIFS(L_VParc,L_Tipo,"Despesa",L_Cat,$B29,L_IIni,"&lt;="&amp;(I$7),L_IFim,"&gt;="&amp;(I$7)))</f>
        <v>2190</v>
      </c>
      <c r="J29" s="43">
        <f>IF($B29="",0,SUMIFS(L_VParc,L_Tipo,"Despesa",L_Cat,$B29,L_IIni,"&lt;="&amp;(J$7),L_IFim,"&gt;="&amp;(J$7)))</f>
        <v>2190</v>
      </c>
      <c r="K29" s="43">
        <f>IF($B29="",0,SUMIFS(L_VParc,L_Tipo,"Despesa",L_Cat,$B29,L_IIni,"&lt;="&amp;(K$7),L_IFim,"&gt;="&amp;(K$7)))</f>
        <v>2190</v>
      </c>
      <c r="L29" s="43">
        <f>IF($B29="",0,SUMIFS(L_VParc,L_Tipo,"Despesa",L_Cat,$B29,L_IIni,"&lt;="&amp;(L$7),L_IFim,"&gt;="&amp;(L$7)))</f>
        <v>2190</v>
      </c>
      <c r="M29" s="43">
        <f>IF($B29="",0,SUMIFS(L_VParc,L_Tipo,"Despesa",L_Cat,$B29,L_IIni,"&lt;="&amp;(M$7),L_IFim,"&gt;="&amp;(M$7)))</f>
        <v>0</v>
      </c>
      <c r="N29" s="43">
        <f>IF($B29="",0,SUMIFS(L_VParc,L_Tipo,"Despesa",L_Cat,$B29,L_IIni,"&lt;="&amp;(N$7),L_IFim,"&gt;="&amp;(N$7)))</f>
        <v>0</v>
      </c>
      <c r="O29" s="43">
        <f>SUM(C29:N29)</f>
        <v>21900</v>
      </c>
      <c r="P29" s="43">
        <f>IFERROR(SUMIF(C29:N29,"&lt;&gt;0")/COUNTIF(C29:N29,"&lt;&gt;0"),0)</f>
        <v>2190</v>
      </c>
      <c r="Q29" s="43">
        <f>MAX(C29:N29)</f>
        <v>2190</v>
      </c>
      <c r="R29" s="43">
        <f>IFERROR(SMALL(C29:N29,COUNTIF(C29:N29,0)+1),0)</f>
        <v>2190</v>
      </c>
      <c r="S29" s="13" t="str">
        <f>IF(Q29=0,"",INDEX(Lista_MesesAb,MATCH(Q29,C29:N29,0)))</f>
        <v>Jan</v>
      </c>
    </row>
    <row r="30">
      <c r="B30" s="14" t="str">
        <f>IF(INDEX(CatD_Nome,10)="","",INDEX(CatD_Nome,10))</f>
        <v>Impostos e Taxas</v>
      </c>
      <c r="C30" s="43">
        <f>IF($B30="",0,SUMIFS(L_VParc,L_Tipo,"Despesa",L_Cat,$B30,L_IIni,"&lt;="&amp;(C$7),L_IFim,"&gt;="&amp;(C$7)))</f>
        <v>0</v>
      </c>
      <c r="D30" s="43">
        <f>IF($B30="",0,SUMIFS(L_VParc,L_Tipo,"Despesa",L_Cat,$B30,L_IIni,"&lt;="&amp;(D$7),L_IFim,"&gt;="&amp;(D$7)))</f>
        <v>180</v>
      </c>
      <c r="E30" s="43">
        <f>IF($B30="",0,SUMIFS(L_VParc,L_Tipo,"Despesa",L_Cat,$B30,L_IIni,"&lt;="&amp;(E$7),L_IFim,"&gt;="&amp;(E$7)))</f>
        <v>180</v>
      </c>
      <c r="F30" s="43">
        <f>IF($B30="",0,SUMIFS(L_VParc,L_Tipo,"Despesa",L_Cat,$B30,L_IIni,"&lt;="&amp;(F$7),L_IFim,"&gt;="&amp;(F$7)))</f>
        <v>180</v>
      </c>
      <c r="G30" s="43">
        <f>IF($B30="",0,SUMIFS(L_VParc,L_Tipo,"Despesa",L_Cat,$B30,L_IIni,"&lt;="&amp;(G$7),L_IFim,"&gt;="&amp;(G$7)))</f>
        <v>180</v>
      </c>
      <c r="H30" s="43">
        <f>IF($B30="",0,SUMIFS(L_VParc,L_Tipo,"Despesa",L_Cat,$B30,L_IIni,"&lt;="&amp;(H$7),L_IFim,"&gt;="&amp;(H$7)))</f>
        <v>180</v>
      </c>
      <c r="I30" s="43">
        <f>IF($B30="",0,SUMIFS(L_VParc,L_Tipo,"Despesa",L_Cat,$B30,L_IIni,"&lt;="&amp;(I$7),L_IFim,"&gt;="&amp;(I$7)))</f>
        <v>180</v>
      </c>
      <c r="J30" s="43">
        <f>IF($B30="",0,SUMIFS(L_VParc,L_Tipo,"Despesa",L_Cat,$B30,L_IIni,"&lt;="&amp;(J$7),L_IFim,"&gt;="&amp;(J$7)))</f>
        <v>180</v>
      </c>
      <c r="K30" s="43">
        <f>IF($B30="",0,SUMIFS(L_VParc,L_Tipo,"Despesa",L_Cat,$B30,L_IIni,"&lt;="&amp;(K$7),L_IFim,"&gt;="&amp;(K$7)))</f>
        <v>180</v>
      </c>
      <c r="L30" s="43">
        <f>IF($B30="",0,SUMIFS(L_VParc,L_Tipo,"Despesa",L_Cat,$B30,L_IIni,"&lt;="&amp;(L$7),L_IFim,"&gt;="&amp;(L$7)))</f>
        <v>180</v>
      </c>
      <c r="M30" s="43">
        <f>IF($B30="",0,SUMIFS(L_VParc,L_Tipo,"Despesa",L_Cat,$B30,L_IIni,"&lt;="&amp;(M$7),L_IFim,"&gt;="&amp;(M$7)))</f>
        <v>180</v>
      </c>
      <c r="N30" s="43">
        <f>IF($B30="",0,SUMIFS(L_VParc,L_Tipo,"Despesa",L_Cat,$B30,L_IIni,"&lt;="&amp;(N$7),L_IFim,"&gt;="&amp;(N$7)))</f>
        <v>0</v>
      </c>
      <c r="O30" s="43">
        <f>SUM(C30:N30)</f>
        <v>1800</v>
      </c>
      <c r="P30" s="43">
        <f>IFERROR(SUMIF(C30:N30,"&lt;&gt;0")/COUNTIF(C30:N30,"&lt;&gt;0"),0)</f>
        <v>180</v>
      </c>
      <c r="Q30" s="43">
        <f>MAX(C30:N30)</f>
        <v>180</v>
      </c>
      <c r="R30" s="43">
        <f>IFERROR(SMALL(C30:N30,COUNTIF(C30:N30,0)+1),0)</f>
        <v>180</v>
      </c>
      <c r="S30" s="13" t="str">
        <f>IF(Q30=0,"",INDEX(Lista_MesesAb,MATCH(Q30,C30:N30,0)))</f>
        <v>Fev</v>
      </c>
    </row>
    <row r="31">
      <c r="B31" s="14" t="str">
        <f>IF(INDEX(CatD_Nome,11)="","",INDEX(CatD_Nome,11))</f>
        <v>Família/Pets</v>
      </c>
      <c r="C31" s="43">
        <f>IF($B31="",0,SUMIFS(L_VParc,L_Tipo,"Despesa",L_Cat,$B31,L_IIni,"&lt;="&amp;(C$7),L_IFim,"&gt;="&amp;(C$7)))</f>
        <v>230.22</v>
      </c>
      <c r="D31" s="43">
        <f>IF($B31="",0,SUMIFS(L_VParc,L_Tipo,"Despesa",L_Cat,$B31,L_IIni,"&lt;="&amp;(D$7),L_IFim,"&gt;="&amp;(D$7)))</f>
        <v>216.2</v>
      </c>
      <c r="E31" s="43">
        <f>IF($B31="",0,SUMIFS(L_VParc,L_Tipo,"Despesa",L_Cat,$B31,L_IIni,"&lt;="&amp;(E$7),L_IFim,"&gt;="&amp;(E$7)))</f>
        <v>227.61</v>
      </c>
      <c r="F31" s="43">
        <f>IF($B31="",0,SUMIFS(L_VParc,L_Tipo,"Despesa",L_Cat,$B31,L_IIni,"&lt;="&amp;(F$7),L_IFim,"&gt;="&amp;(F$7)))</f>
        <v>511.1</v>
      </c>
      <c r="G31" s="43">
        <f>IF($B31="",0,SUMIFS(L_VParc,L_Tipo,"Despesa",L_Cat,$B31,L_IIni,"&lt;="&amp;(G$7),L_IFim,"&gt;="&amp;(G$7)))</f>
        <v>208.16</v>
      </c>
      <c r="H31" s="43">
        <f>IF($B31="",0,SUMIFS(L_VParc,L_Tipo,"Despesa",L_Cat,$B31,L_IIni,"&lt;="&amp;(H$7),L_IFim,"&gt;="&amp;(H$7)))</f>
        <v>240.47</v>
      </c>
      <c r="I31" s="43">
        <f>IF($B31="",0,SUMIFS(L_VParc,L_Tipo,"Despesa",L_Cat,$B31,L_IIni,"&lt;="&amp;(I$7),L_IFim,"&gt;="&amp;(I$7)))</f>
        <v>202.55</v>
      </c>
      <c r="J31" s="43">
        <f>IF($B31="",0,SUMIFS(L_VParc,L_Tipo,"Despesa",L_Cat,$B31,L_IIni,"&lt;="&amp;(J$7),L_IFim,"&gt;="&amp;(J$7)))</f>
        <v>553.55</v>
      </c>
      <c r="K31" s="43">
        <f>IF($B31="",0,SUMIFS(L_VParc,L_Tipo,"Despesa",L_Cat,$B31,L_IIni,"&lt;="&amp;(K$7),L_IFim,"&gt;="&amp;(K$7)))</f>
        <v>207.96</v>
      </c>
      <c r="L31" s="43">
        <f>IF($B31="",0,SUMIFS(L_VParc,L_Tipo,"Despesa",L_Cat,$B31,L_IIni,"&lt;="&amp;(L$7),L_IFim,"&gt;="&amp;(L$7)))</f>
        <v>217.56</v>
      </c>
      <c r="M31" s="43">
        <f>IF($B31="",0,SUMIFS(L_VParc,L_Tipo,"Despesa",L_Cat,$B31,L_IIni,"&lt;="&amp;(M$7),L_IFim,"&gt;="&amp;(M$7)))</f>
        <v>0</v>
      </c>
      <c r="N31" s="43">
        <f>IF($B31="",0,SUMIFS(L_VParc,L_Tipo,"Despesa",L_Cat,$B31,L_IIni,"&lt;="&amp;(N$7),L_IFim,"&gt;="&amp;(N$7)))</f>
        <v>0</v>
      </c>
      <c r="O31" s="43">
        <f>SUM(C31:N31)</f>
        <v>2815.38</v>
      </c>
      <c r="P31" s="43">
        <f>IFERROR(SUMIF(C31:N31,"&lt;&gt;0")/COUNTIF(C31:N31,"&lt;&gt;0"),0)</f>
        <v>281.538</v>
      </c>
      <c r="Q31" s="43">
        <f>MAX(C31:N31)</f>
        <v>553.55</v>
      </c>
      <c r="R31" s="43">
        <f>IFERROR(SMALL(C31:N31,COUNTIF(C31:N31,0)+1),0)</f>
        <v>202.55</v>
      </c>
      <c r="S31" s="13" t="str">
        <f>IF(Q31=0,"",INDEX(Lista_MesesAb,MATCH(Q31,C31:N31,0)))</f>
        <v>Ago</v>
      </c>
    </row>
    <row r="32">
      <c r="B32" s="14" t="str">
        <f>IF(INDEX(CatD_Nome,12)="","",INDEX(CatD_Nome,12))</f>
        <v>Doações</v>
      </c>
      <c r="C32" s="43">
        <f>IF($B32="",0,SUMIFS(L_VParc,L_Tipo,"Despesa",L_Cat,$B32,L_IIni,"&lt;="&amp;(C$7),L_IFim,"&gt;="&amp;(C$7)))</f>
        <v>100</v>
      </c>
      <c r="D32" s="43">
        <f>IF($B32="",0,SUMIFS(L_VParc,L_Tipo,"Despesa",L_Cat,$B32,L_IIni,"&lt;="&amp;(D$7),L_IFim,"&gt;="&amp;(D$7)))</f>
        <v>100</v>
      </c>
      <c r="E32" s="43">
        <f>IF($B32="",0,SUMIFS(L_VParc,L_Tipo,"Despesa",L_Cat,$B32,L_IIni,"&lt;="&amp;(E$7),L_IFim,"&gt;="&amp;(E$7)))</f>
        <v>100</v>
      </c>
      <c r="F32" s="43">
        <f>IF($B32="",0,SUMIFS(L_VParc,L_Tipo,"Despesa",L_Cat,$B32,L_IIni,"&lt;="&amp;(F$7),L_IFim,"&gt;="&amp;(F$7)))</f>
        <v>100</v>
      </c>
      <c r="G32" s="43">
        <f>IF($B32="",0,SUMIFS(L_VParc,L_Tipo,"Despesa",L_Cat,$B32,L_IIni,"&lt;="&amp;(G$7),L_IFim,"&gt;="&amp;(G$7)))</f>
        <v>100</v>
      </c>
      <c r="H32" s="43">
        <f>IF($B32="",0,SUMIFS(L_VParc,L_Tipo,"Despesa",L_Cat,$B32,L_IIni,"&lt;="&amp;(H$7),L_IFim,"&gt;="&amp;(H$7)))</f>
        <v>100</v>
      </c>
      <c r="I32" s="43">
        <f>IF($B32="",0,SUMIFS(L_VParc,L_Tipo,"Despesa",L_Cat,$B32,L_IIni,"&lt;="&amp;(I$7),L_IFim,"&gt;="&amp;(I$7)))</f>
        <v>100</v>
      </c>
      <c r="J32" s="43">
        <f>IF($B32="",0,SUMIFS(L_VParc,L_Tipo,"Despesa",L_Cat,$B32,L_IIni,"&lt;="&amp;(J$7),L_IFim,"&gt;="&amp;(J$7)))</f>
        <v>100</v>
      </c>
      <c r="K32" s="43">
        <f>IF($B32="",0,SUMIFS(L_VParc,L_Tipo,"Despesa",L_Cat,$B32,L_IIni,"&lt;="&amp;(K$7),L_IFim,"&gt;="&amp;(K$7)))</f>
        <v>100</v>
      </c>
      <c r="L32" s="43">
        <f>IF($B32="",0,SUMIFS(L_VParc,L_Tipo,"Despesa",L_Cat,$B32,L_IIni,"&lt;="&amp;(L$7),L_IFim,"&gt;="&amp;(L$7)))</f>
        <v>100</v>
      </c>
      <c r="M32" s="43">
        <f>IF($B32="",0,SUMIFS(L_VParc,L_Tipo,"Despesa",L_Cat,$B32,L_IIni,"&lt;="&amp;(M$7),L_IFim,"&gt;="&amp;(M$7)))</f>
        <v>0</v>
      </c>
      <c r="N32" s="43">
        <f>IF($B32="",0,SUMIFS(L_VParc,L_Tipo,"Despesa",L_Cat,$B32,L_IIni,"&lt;="&amp;(N$7),L_IFim,"&gt;="&amp;(N$7)))</f>
        <v>0</v>
      </c>
      <c r="O32" s="43">
        <f>SUM(C32:N32)</f>
        <v>1000</v>
      </c>
      <c r="P32" s="43">
        <f>IFERROR(SUMIF(C32:N32,"&lt;&gt;0")/COUNTIF(C32:N32,"&lt;&gt;0"),0)</f>
        <v>100</v>
      </c>
      <c r="Q32" s="43">
        <f>MAX(C32:N32)</f>
        <v>100</v>
      </c>
      <c r="R32" s="43">
        <f>IFERROR(SMALL(C32:N32,COUNTIF(C32:N32,0)+1),0)</f>
        <v>100</v>
      </c>
      <c r="S32" s="13" t="str">
        <f>IF(Q32=0,"",INDEX(Lista_MesesAb,MATCH(Q32,C32:N32,0)))</f>
        <v>Jan</v>
      </c>
    </row>
    <row r="33">
      <c r="B33" s="14" t="str">
        <f>IF(INDEX(CatD_Nome,13)="","",INDEX(CatD_Nome,13))</f>
        <v>Outros</v>
      </c>
      <c r="C33" s="43">
        <f>IF($B33="",0,SUMIFS(L_VParc,L_Tipo,"Despesa",L_Cat,$B33,L_IIni,"&lt;="&amp;(C$7),L_IFim,"&gt;="&amp;(C$7)))</f>
        <v>66.23</v>
      </c>
      <c r="D33" s="43">
        <f>IF($B33="",0,SUMIFS(L_VParc,L_Tipo,"Despesa",L_Cat,$B33,L_IIni,"&lt;="&amp;(D$7),L_IFim,"&gt;="&amp;(D$7)))</f>
        <v>95.03</v>
      </c>
      <c r="E33" s="43">
        <f>IF($B33="",0,SUMIFS(L_VParc,L_Tipo,"Despesa",L_Cat,$B33,L_IIni,"&lt;="&amp;(E$7),L_IFim,"&gt;="&amp;(E$7)))</f>
        <v>484.33</v>
      </c>
      <c r="F33" s="43">
        <f>IF($B33="",0,SUMIFS(L_VParc,L_Tipo,"Despesa",L_Cat,$B33,L_IIni,"&lt;="&amp;(F$7),L_IFim,"&gt;="&amp;(F$7)))</f>
        <v>485.97</v>
      </c>
      <c r="G33" s="43">
        <f>IF($B33="",0,SUMIFS(L_VParc,L_Tipo,"Despesa",L_Cat,$B33,L_IIni,"&lt;="&amp;(G$7),L_IFim,"&gt;="&amp;(G$7)))</f>
        <v>374.68</v>
      </c>
      <c r="H33" s="43">
        <f>IF($B33="",0,SUMIFS(L_VParc,L_Tipo,"Despesa",L_Cat,$B33,L_IIni,"&lt;="&amp;(H$7),L_IFim,"&gt;="&amp;(H$7)))</f>
        <v>672.18</v>
      </c>
      <c r="I33" s="43">
        <f>IF($B33="",0,SUMIFS(L_VParc,L_Tipo,"Despesa",L_Cat,$B33,L_IIni,"&lt;="&amp;(I$7),L_IFim,"&gt;="&amp;(I$7)))</f>
        <v>432.39</v>
      </c>
      <c r="J33" s="43">
        <f>IF($B33="",0,SUMIFS(L_VParc,L_Tipo,"Despesa",L_Cat,$B33,L_IIni,"&lt;="&amp;(J$7),L_IFim,"&gt;="&amp;(J$7)))</f>
        <v>455.79</v>
      </c>
      <c r="K33" s="43">
        <f>IF($B33="",0,SUMIFS(L_VParc,L_Tipo,"Despesa",L_Cat,$B33,L_IIni,"&lt;="&amp;(K$7),L_IFim,"&gt;="&amp;(K$7)))</f>
        <v>372.27</v>
      </c>
      <c r="L33" s="43">
        <f>IF($B33="",0,SUMIFS(L_VParc,L_Tipo,"Despesa",L_Cat,$B33,L_IIni,"&lt;="&amp;(L$7),L_IFim,"&gt;="&amp;(L$7)))</f>
        <v>462.81</v>
      </c>
      <c r="M33" s="43">
        <f>IF($B33="",0,SUMIFS(L_VParc,L_Tipo,"Despesa",L_Cat,$B33,L_IIni,"&lt;="&amp;(M$7),L_IFim,"&gt;="&amp;(M$7)))</f>
        <v>300</v>
      </c>
      <c r="N33" s="43">
        <f>IF($B33="",0,SUMIFS(L_VParc,L_Tipo,"Despesa",L_Cat,$B33,L_IIni,"&lt;="&amp;(N$7),L_IFim,"&gt;="&amp;(N$7)))</f>
        <v>300</v>
      </c>
      <c r="O33" s="43">
        <f>SUM(C33:N33)</f>
        <v>4501.68</v>
      </c>
      <c r="P33" s="43">
        <f>IFERROR(SUMIF(C33:N33,"&lt;&gt;0")/COUNTIF(C33:N33,"&lt;&gt;0"),0)</f>
        <v>375.14</v>
      </c>
      <c r="Q33" s="43">
        <f>MAX(C33:N33)</f>
        <v>672.18</v>
      </c>
      <c r="R33" s="43">
        <f>IFERROR(SMALL(C33:N33,COUNTIF(C33:N33,0)+1),0)</f>
        <v>66.23</v>
      </c>
      <c r="S33" s="13" t="str">
        <f>IF(Q33=0,"",INDEX(Lista_MesesAb,MATCH(Q33,C33:N33,0)))</f>
        <v>Jun</v>
      </c>
    </row>
    <row r="34">
      <c r="B34" s="14" t="str">
        <f>IF(INDEX(CatD_Nome,14)="","",INDEX(CatD_Nome,14))</f>
        <v/>
      </c>
      <c r="C34" s="43">
        <f>IF($B34="",0,SUMIFS(L_VParc,L_Tipo,"Despesa",L_Cat,$B34,L_IIni,"&lt;="&amp;(C$7),L_IFim,"&gt;="&amp;(C$7)))</f>
        <v>0</v>
      </c>
      <c r="D34" s="43">
        <f>IF($B34="",0,SUMIFS(L_VParc,L_Tipo,"Despesa",L_Cat,$B34,L_IIni,"&lt;="&amp;(D$7),L_IFim,"&gt;="&amp;(D$7)))</f>
        <v>0</v>
      </c>
      <c r="E34" s="43">
        <f>IF($B34="",0,SUMIFS(L_VParc,L_Tipo,"Despesa",L_Cat,$B34,L_IIni,"&lt;="&amp;(E$7),L_IFim,"&gt;="&amp;(E$7)))</f>
        <v>0</v>
      </c>
      <c r="F34" s="43">
        <f>IF($B34="",0,SUMIFS(L_VParc,L_Tipo,"Despesa",L_Cat,$B34,L_IIni,"&lt;="&amp;(F$7),L_IFim,"&gt;="&amp;(F$7)))</f>
        <v>0</v>
      </c>
      <c r="G34" s="43">
        <f>IF($B34="",0,SUMIFS(L_VParc,L_Tipo,"Despesa",L_Cat,$B34,L_IIni,"&lt;="&amp;(G$7),L_IFim,"&gt;="&amp;(G$7)))</f>
        <v>0</v>
      </c>
      <c r="H34" s="43">
        <f>IF($B34="",0,SUMIFS(L_VParc,L_Tipo,"Despesa",L_Cat,$B34,L_IIni,"&lt;="&amp;(H$7),L_IFim,"&gt;="&amp;(H$7)))</f>
        <v>0</v>
      </c>
      <c r="I34" s="43">
        <f>IF($B34="",0,SUMIFS(L_VParc,L_Tipo,"Despesa",L_Cat,$B34,L_IIni,"&lt;="&amp;(I$7),L_IFim,"&gt;="&amp;(I$7)))</f>
        <v>0</v>
      </c>
      <c r="J34" s="43">
        <f>IF($B34="",0,SUMIFS(L_VParc,L_Tipo,"Despesa",L_Cat,$B34,L_IIni,"&lt;="&amp;(J$7),L_IFim,"&gt;="&amp;(J$7)))</f>
        <v>0</v>
      </c>
      <c r="K34" s="43">
        <f>IF($B34="",0,SUMIFS(L_VParc,L_Tipo,"Despesa",L_Cat,$B34,L_IIni,"&lt;="&amp;(K$7),L_IFim,"&gt;="&amp;(K$7)))</f>
        <v>0</v>
      </c>
      <c r="L34" s="43">
        <f>IF($B34="",0,SUMIFS(L_VParc,L_Tipo,"Despesa",L_Cat,$B34,L_IIni,"&lt;="&amp;(L$7),L_IFim,"&gt;="&amp;(L$7)))</f>
        <v>0</v>
      </c>
      <c r="M34" s="43">
        <f>IF($B34="",0,SUMIFS(L_VParc,L_Tipo,"Despesa",L_Cat,$B34,L_IIni,"&lt;="&amp;(M$7),L_IFim,"&gt;="&amp;(M$7)))</f>
        <v>0</v>
      </c>
      <c r="N34" s="43">
        <f>IF($B34="",0,SUMIFS(L_VParc,L_Tipo,"Despesa",L_Cat,$B34,L_IIni,"&lt;="&amp;(N$7),L_IFim,"&gt;="&amp;(N$7)))</f>
        <v>0</v>
      </c>
      <c r="O34" s="43">
        <f>SUM(C34:N34)</f>
        <v>0</v>
      </c>
      <c r="P34" s="43">
        <f>IFERROR(SUMIF(C34:N34,"&lt;&gt;0")/COUNTIF(C34:N34,"&lt;&gt;0"),0)</f>
        <v>0</v>
      </c>
      <c r="Q34" s="43">
        <f>MAX(C34:N34)</f>
        <v>0</v>
      </c>
      <c r="R34" s="43">
        <f>IFERROR(SMALL(C34:N34,COUNTIF(C34:N34,0)+1),0)</f>
        <v>0</v>
      </c>
      <c r="S34" s="13" t="str">
        <f>IF(Q34=0,"",INDEX(Lista_MesesAb,MATCH(Q34,C34:N34,0)))</f>
        <v/>
      </c>
    </row>
    <row r="35">
      <c r="B35" s="14" t="str">
        <f>IF(INDEX(CatD_Nome,15)="","",INDEX(CatD_Nome,15))</f>
        <v/>
      </c>
      <c r="C35" s="43">
        <f>IF($B35="",0,SUMIFS(L_VParc,L_Tipo,"Despesa",L_Cat,$B35,L_IIni,"&lt;="&amp;(C$7),L_IFim,"&gt;="&amp;(C$7)))</f>
        <v>0</v>
      </c>
      <c r="D35" s="43">
        <f>IF($B35="",0,SUMIFS(L_VParc,L_Tipo,"Despesa",L_Cat,$B35,L_IIni,"&lt;="&amp;(D$7),L_IFim,"&gt;="&amp;(D$7)))</f>
        <v>0</v>
      </c>
      <c r="E35" s="43">
        <f>IF($B35="",0,SUMIFS(L_VParc,L_Tipo,"Despesa",L_Cat,$B35,L_IIni,"&lt;="&amp;(E$7),L_IFim,"&gt;="&amp;(E$7)))</f>
        <v>0</v>
      </c>
      <c r="F35" s="43">
        <f>IF($B35="",0,SUMIFS(L_VParc,L_Tipo,"Despesa",L_Cat,$B35,L_IIni,"&lt;="&amp;(F$7),L_IFim,"&gt;="&amp;(F$7)))</f>
        <v>0</v>
      </c>
      <c r="G35" s="43">
        <f>IF($B35="",0,SUMIFS(L_VParc,L_Tipo,"Despesa",L_Cat,$B35,L_IIni,"&lt;="&amp;(G$7),L_IFim,"&gt;="&amp;(G$7)))</f>
        <v>0</v>
      </c>
      <c r="H35" s="43">
        <f>IF($B35="",0,SUMIFS(L_VParc,L_Tipo,"Despesa",L_Cat,$B35,L_IIni,"&lt;="&amp;(H$7),L_IFim,"&gt;="&amp;(H$7)))</f>
        <v>0</v>
      </c>
      <c r="I35" s="43">
        <f>IF($B35="",0,SUMIFS(L_VParc,L_Tipo,"Despesa",L_Cat,$B35,L_IIni,"&lt;="&amp;(I$7),L_IFim,"&gt;="&amp;(I$7)))</f>
        <v>0</v>
      </c>
      <c r="J35" s="43">
        <f>IF($B35="",0,SUMIFS(L_VParc,L_Tipo,"Despesa",L_Cat,$B35,L_IIni,"&lt;="&amp;(J$7),L_IFim,"&gt;="&amp;(J$7)))</f>
        <v>0</v>
      </c>
      <c r="K35" s="43">
        <f>IF($B35="",0,SUMIFS(L_VParc,L_Tipo,"Despesa",L_Cat,$B35,L_IIni,"&lt;="&amp;(K$7),L_IFim,"&gt;="&amp;(K$7)))</f>
        <v>0</v>
      </c>
      <c r="L35" s="43">
        <f>IF($B35="",0,SUMIFS(L_VParc,L_Tipo,"Despesa",L_Cat,$B35,L_IIni,"&lt;="&amp;(L$7),L_IFim,"&gt;="&amp;(L$7)))</f>
        <v>0</v>
      </c>
      <c r="M35" s="43">
        <f>IF($B35="",0,SUMIFS(L_VParc,L_Tipo,"Despesa",L_Cat,$B35,L_IIni,"&lt;="&amp;(M$7),L_IFim,"&gt;="&amp;(M$7)))</f>
        <v>0</v>
      </c>
      <c r="N35" s="43">
        <f>IF($B35="",0,SUMIFS(L_VParc,L_Tipo,"Despesa",L_Cat,$B35,L_IIni,"&lt;="&amp;(N$7),L_IFim,"&gt;="&amp;(N$7)))</f>
        <v>0</v>
      </c>
      <c r="O35" s="43">
        <f>SUM(C35:N35)</f>
        <v>0</v>
      </c>
      <c r="P35" s="43">
        <f>IFERROR(SUMIF(C35:N35,"&lt;&gt;0")/COUNTIF(C35:N35,"&lt;&gt;0"),0)</f>
        <v>0</v>
      </c>
      <c r="Q35" s="43">
        <f>MAX(C35:N35)</f>
        <v>0</v>
      </c>
      <c r="R35" s="43">
        <f>IFERROR(SMALL(C35:N35,COUNTIF(C35:N35,0)+1),0)</f>
        <v>0</v>
      </c>
      <c r="S35" s="13" t="str">
        <f>IF(Q35=0,"",INDEX(Lista_MesesAb,MATCH(Q35,C35:N35,0)))</f>
        <v/>
      </c>
    </row>
    <row r="36">
      <c r="B36" s="14" t="str">
        <f>IF(INDEX(CatD_Nome,16)="","",INDEX(CatD_Nome,16))</f>
        <v/>
      </c>
      <c r="C36" s="43">
        <f>IF($B36="",0,SUMIFS(L_VParc,L_Tipo,"Despesa",L_Cat,$B36,L_IIni,"&lt;="&amp;(C$7),L_IFim,"&gt;="&amp;(C$7)))</f>
        <v>0</v>
      </c>
      <c r="D36" s="43">
        <f>IF($B36="",0,SUMIFS(L_VParc,L_Tipo,"Despesa",L_Cat,$B36,L_IIni,"&lt;="&amp;(D$7),L_IFim,"&gt;="&amp;(D$7)))</f>
        <v>0</v>
      </c>
      <c r="E36" s="43">
        <f>IF($B36="",0,SUMIFS(L_VParc,L_Tipo,"Despesa",L_Cat,$B36,L_IIni,"&lt;="&amp;(E$7),L_IFim,"&gt;="&amp;(E$7)))</f>
        <v>0</v>
      </c>
      <c r="F36" s="43">
        <f>IF($B36="",0,SUMIFS(L_VParc,L_Tipo,"Despesa",L_Cat,$B36,L_IIni,"&lt;="&amp;(F$7),L_IFim,"&gt;="&amp;(F$7)))</f>
        <v>0</v>
      </c>
      <c r="G36" s="43">
        <f>IF($B36="",0,SUMIFS(L_VParc,L_Tipo,"Despesa",L_Cat,$B36,L_IIni,"&lt;="&amp;(G$7),L_IFim,"&gt;="&amp;(G$7)))</f>
        <v>0</v>
      </c>
      <c r="H36" s="43">
        <f>IF($B36="",0,SUMIFS(L_VParc,L_Tipo,"Despesa",L_Cat,$B36,L_IIni,"&lt;="&amp;(H$7),L_IFim,"&gt;="&amp;(H$7)))</f>
        <v>0</v>
      </c>
      <c r="I36" s="43">
        <f>IF($B36="",0,SUMIFS(L_VParc,L_Tipo,"Despesa",L_Cat,$B36,L_IIni,"&lt;="&amp;(I$7),L_IFim,"&gt;="&amp;(I$7)))</f>
        <v>0</v>
      </c>
      <c r="J36" s="43">
        <f>IF($B36="",0,SUMIFS(L_VParc,L_Tipo,"Despesa",L_Cat,$B36,L_IIni,"&lt;="&amp;(J$7),L_IFim,"&gt;="&amp;(J$7)))</f>
        <v>0</v>
      </c>
      <c r="K36" s="43">
        <f>IF($B36="",0,SUMIFS(L_VParc,L_Tipo,"Despesa",L_Cat,$B36,L_IIni,"&lt;="&amp;(K$7),L_IFim,"&gt;="&amp;(K$7)))</f>
        <v>0</v>
      </c>
      <c r="L36" s="43">
        <f>IF($B36="",0,SUMIFS(L_VParc,L_Tipo,"Despesa",L_Cat,$B36,L_IIni,"&lt;="&amp;(L$7),L_IFim,"&gt;="&amp;(L$7)))</f>
        <v>0</v>
      </c>
      <c r="M36" s="43">
        <f>IF($B36="",0,SUMIFS(L_VParc,L_Tipo,"Despesa",L_Cat,$B36,L_IIni,"&lt;="&amp;(M$7),L_IFim,"&gt;="&amp;(M$7)))</f>
        <v>0</v>
      </c>
      <c r="N36" s="43">
        <f>IF($B36="",0,SUMIFS(L_VParc,L_Tipo,"Despesa",L_Cat,$B36,L_IIni,"&lt;="&amp;(N$7),L_IFim,"&gt;="&amp;(N$7)))</f>
        <v>0</v>
      </c>
      <c r="O36" s="43">
        <f>SUM(C36:N36)</f>
        <v>0</v>
      </c>
      <c r="P36" s="43">
        <f>IFERROR(SUMIF(C36:N36,"&lt;&gt;0")/COUNTIF(C36:N36,"&lt;&gt;0"),0)</f>
        <v>0</v>
      </c>
      <c r="Q36" s="43">
        <f>MAX(C36:N36)</f>
        <v>0</v>
      </c>
      <c r="R36" s="43">
        <f>IFERROR(SMALL(C36:N36,COUNTIF(C36:N36,0)+1),0)</f>
        <v>0</v>
      </c>
      <c r="S36" s="13" t="str">
        <f>IF(Q36=0,"",INDEX(Lista_MesesAb,MATCH(Q36,C36:N36,0)))</f>
        <v/>
      </c>
    </row>
    <row r="37">
      <c r="B37" s="14" t="str">
        <f>IF(INDEX(CatD_Nome,17)="","",INDEX(CatD_Nome,17))</f>
        <v/>
      </c>
      <c r="C37" s="43">
        <f>IF($B37="",0,SUMIFS(L_VParc,L_Tipo,"Despesa",L_Cat,$B37,L_IIni,"&lt;="&amp;(C$7),L_IFim,"&gt;="&amp;(C$7)))</f>
        <v>0</v>
      </c>
      <c r="D37" s="43">
        <f>IF($B37="",0,SUMIFS(L_VParc,L_Tipo,"Despesa",L_Cat,$B37,L_IIni,"&lt;="&amp;(D$7),L_IFim,"&gt;="&amp;(D$7)))</f>
        <v>0</v>
      </c>
      <c r="E37" s="43">
        <f>IF($B37="",0,SUMIFS(L_VParc,L_Tipo,"Despesa",L_Cat,$B37,L_IIni,"&lt;="&amp;(E$7),L_IFim,"&gt;="&amp;(E$7)))</f>
        <v>0</v>
      </c>
      <c r="F37" s="43">
        <f>IF($B37="",0,SUMIFS(L_VParc,L_Tipo,"Despesa",L_Cat,$B37,L_IIni,"&lt;="&amp;(F$7),L_IFim,"&gt;="&amp;(F$7)))</f>
        <v>0</v>
      </c>
      <c r="G37" s="43">
        <f>IF($B37="",0,SUMIFS(L_VParc,L_Tipo,"Despesa",L_Cat,$B37,L_IIni,"&lt;="&amp;(G$7),L_IFim,"&gt;="&amp;(G$7)))</f>
        <v>0</v>
      </c>
      <c r="H37" s="43">
        <f>IF($B37="",0,SUMIFS(L_VParc,L_Tipo,"Despesa",L_Cat,$B37,L_IIni,"&lt;="&amp;(H$7),L_IFim,"&gt;="&amp;(H$7)))</f>
        <v>0</v>
      </c>
      <c r="I37" s="43">
        <f>IF($B37="",0,SUMIFS(L_VParc,L_Tipo,"Despesa",L_Cat,$B37,L_IIni,"&lt;="&amp;(I$7),L_IFim,"&gt;="&amp;(I$7)))</f>
        <v>0</v>
      </c>
      <c r="J37" s="43">
        <f>IF($B37="",0,SUMIFS(L_VParc,L_Tipo,"Despesa",L_Cat,$B37,L_IIni,"&lt;="&amp;(J$7),L_IFim,"&gt;="&amp;(J$7)))</f>
        <v>0</v>
      </c>
      <c r="K37" s="43">
        <f>IF($B37="",0,SUMIFS(L_VParc,L_Tipo,"Despesa",L_Cat,$B37,L_IIni,"&lt;="&amp;(K$7),L_IFim,"&gt;="&amp;(K$7)))</f>
        <v>0</v>
      </c>
      <c r="L37" s="43">
        <f>IF($B37="",0,SUMIFS(L_VParc,L_Tipo,"Despesa",L_Cat,$B37,L_IIni,"&lt;="&amp;(L$7),L_IFim,"&gt;="&amp;(L$7)))</f>
        <v>0</v>
      </c>
      <c r="M37" s="43">
        <f>IF($B37="",0,SUMIFS(L_VParc,L_Tipo,"Despesa",L_Cat,$B37,L_IIni,"&lt;="&amp;(M$7),L_IFim,"&gt;="&amp;(M$7)))</f>
        <v>0</v>
      </c>
      <c r="N37" s="43">
        <f>IF($B37="",0,SUMIFS(L_VParc,L_Tipo,"Despesa",L_Cat,$B37,L_IIni,"&lt;="&amp;(N$7),L_IFim,"&gt;="&amp;(N$7)))</f>
        <v>0</v>
      </c>
      <c r="O37" s="43">
        <f>SUM(C37:N37)</f>
        <v>0</v>
      </c>
      <c r="P37" s="43">
        <f>IFERROR(SUMIF(C37:N37,"&lt;&gt;0")/COUNTIF(C37:N37,"&lt;&gt;0"),0)</f>
        <v>0</v>
      </c>
      <c r="Q37" s="43">
        <f>MAX(C37:N37)</f>
        <v>0</v>
      </c>
      <c r="R37" s="43">
        <f>IFERROR(SMALL(C37:N37,COUNTIF(C37:N37,0)+1),0)</f>
        <v>0</v>
      </c>
      <c r="S37" s="13" t="str">
        <f>IF(Q37=0,"",INDEX(Lista_MesesAb,MATCH(Q37,C37:N37,0)))</f>
        <v/>
      </c>
    </row>
    <row r="38">
      <c r="B38" s="14" t="str">
        <f>IF(INDEX(CatD_Nome,18)="","",INDEX(CatD_Nome,18))</f>
        <v/>
      </c>
      <c r="C38" s="43">
        <f>IF($B38="",0,SUMIFS(L_VParc,L_Tipo,"Despesa",L_Cat,$B38,L_IIni,"&lt;="&amp;(C$7),L_IFim,"&gt;="&amp;(C$7)))</f>
        <v>0</v>
      </c>
      <c r="D38" s="43">
        <f>IF($B38="",0,SUMIFS(L_VParc,L_Tipo,"Despesa",L_Cat,$B38,L_IIni,"&lt;="&amp;(D$7),L_IFim,"&gt;="&amp;(D$7)))</f>
        <v>0</v>
      </c>
      <c r="E38" s="43">
        <f>IF($B38="",0,SUMIFS(L_VParc,L_Tipo,"Despesa",L_Cat,$B38,L_IIni,"&lt;="&amp;(E$7),L_IFim,"&gt;="&amp;(E$7)))</f>
        <v>0</v>
      </c>
      <c r="F38" s="43">
        <f>IF($B38="",0,SUMIFS(L_VParc,L_Tipo,"Despesa",L_Cat,$B38,L_IIni,"&lt;="&amp;(F$7),L_IFim,"&gt;="&amp;(F$7)))</f>
        <v>0</v>
      </c>
      <c r="G38" s="43">
        <f>IF($B38="",0,SUMIFS(L_VParc,L_Tipo,"Despesa",L_Cat,$B38,L_IIni,"&lt;="&amp;(G$7),L_IFim,"&gt;="&amp;(G$7)))</f>
        <v>0</v>
      </c>
      <c r="H38" s="43">
        <f>IF($B38="",0,SUMIFS(L_VParc,L_Tipo,"Despesa",L_Cat,$B38,L_IIni,"&lt;="&amp;(H$7),L_IFim,"&gt;="&amp;(H$7)))</f>
        <v>0</v>
      </c>
      <c r="I38" s="43">
        <f>IF($B38="",0,SUMIFS(L_VParc,L_Tipo,"Despesa",L_Cat,$B38,L_IIni,"&lt;="&amp;(I$7),L_IFim,"&gt;="&amp;(I$7)))</f>
        <v>0</v>
      </c>
      <c r="J38" s="43">
        <f>IF($B38="",0,SUMIFS(L_VParc,L_Tipo,"Despesa",L_Cat,$B38,L_IIni,"&lt;="&amp;(J$7),L_IFim,"&gt;="&amp;(J$7)))</f>
        <v>0</v>
      </c>
      <c r="K38" s="43">
        <f>IF($B38="",0,SUMIFS(L_VParc,L_Tipo,"Despesa",L_Cat,$B38,L_IIni,"&lt;="&amp;(K$7),L_IFim,"&gt;="&amp;(K$7)))</f>
        <v>0</v>
      </c>
      <c r="L38" s="43">
        <f>IF($B38="",0,SUMIFS(L_VParc,L_Tipo,"Despesa",L_Cat,$B38,L_IIni,"&lt;="&amp;(L$7),L_IFim,"&gt;="&amp;(L$7)))</f>
        <v>0</v>
      </c>
      <c r="M38" s="43">
        <f>IF($B38="",0,SUMIFS(L_VParc,L_Tipo,"Despesa",L_Cat,$B38,L_IIni,"&lt;="&amp;(M$7),L_IFim,"&gt;="&amp;(M$7)))</f>
        <v>0</v>
      </c>
      <c r="N38" s="43">
        <f>IF($B38="",0,SUMIFS(L_VParc,L_Tipo,"Despesa",L_Cat,$B38,L_IIni,"&lt;="&amp;(N$7),L_IFim,"&gt;="&amp;(N$7)))</f>
        <v>0</v>
      </c>
      <c r="O38" s="43">
        <f>SUM(C38:N38)</f>
        <v>0</v>
      </c>
      <c r="P38" s="43">
        <f>IFERROR(SUMIF(C38:N38,"&lt;&gt;0")/COUNTIF(C38:N38,"&lt;&gt;0"),0)</f>
        <v>0</v>
      </c>
      <c r="Q38" s="43">
        <f>MAX(C38:N38)</f>
        <v>0</v>
      </c>
      <c r="R38" s="43">
        <f>IFERROR(SMALL(C38:N38,COUNTIF(C38:N38,0)+1),0)</f>
        <v>0</v>
      </c>
      <c r="S38" s="13" t="str">
        <f>IF(Q38=0,"",INDEX(Lista_MesesAb,MATCH(Q38,C38:N38,0)))</f>
        <v/>
      </c>
    </row>
    <row r="39">
      <c r="B39" s="9" t="inlineStr">
        <is>
          <t>Total de despesas</t>
        </is>
      </c>
      <c r="C39" s="79">
        <f>SUM(C21:C38)</f>
        <v>9757.76</v>
      </c>
      <c r="D39" s="79">
        <f>SUM(D21:D38)</f>
        <v>10402.84</v>
      </c>
      <c r="E39" s="79">
        <f>SUM(E21:E38)</f>
        <v>10709.55</v>
      </c>
      <c r="F39" s="79">
        <f>SUM(F21:F38)</f>
        <v>11255.89</v>
      </c>
      <c r="G39" s="79">
        <f>SUM(G21:G38)</f>
        <v>10000.45</v>
      </c>
      <c r="H39" s="79">
        <f>SUM(H21:H38)</f>
        <v>10762.65</v>
      </c>
      <c r="I39" s="79">
        <f>SUM(I21:I38)</f>
        <v>10442.05</v>
      </c>
      <c r="J39" s="79">
        <f>SUM(J21:J38)</f>
        <v>11666.2</v>
      </c>
      <c r="K39" s="79">
        <f>SUM(K21:K38)</f>
        <v>12384.29</v>
      </c>
      <c r="L39" s="79">
        <f>SUM(L21:L38)</f>
        <v>12399.43</v>
      </c>
      <c r="M39" s="79">
        <f>SUM(M21:M38)</f>
        <v>2030</v>
      </c>
      <c r="N39" s="79">
        <f>SUM(N21:N38)</f>
        <v>1400</v>
      </c>
      <c r="O39" s="79">
        <f>SUM(O21:O38)</f>
        <v>113211.11</v>
      </c>
      <c r="P39" s="79">
        <f>IFERROR(SUMIF(C39:N39,"&lt;&gt;0")/COUNTIF(C39:N39,"&lt;&gt;0"),0)</f>
        <v>9434.25916666667</v>
      </c>
      <c r="Q39" s="79">
        <f>MAX(C39:N39)</f>
        <v>12399.43</v>
      </c>
      <c r="R39" s="79">
        <f>MIN(C39:N39)</f>
        <v>1400</v>
      </c>
      <c r="S39" s="13" t="str">
        <f>IF(Q39=0,"",INDEX(Lista_MesesAb,MATCH(Q39,C39:N39,0)))</f>
        <v>Out</v>
      </c>
    </row>
    <row r="40">
      <c r="B40" s="86" t="inlineStr">
        <is>
          <t>Aportes / investimentos</t>
        </is>
      </c>
      <c r="C40" s="43">
        <f>SUMIFS(L_VParc,L_Tipo,"Investimento",L_IIni,"&lt;="&amp;(C$7),L_IFim,"&gt;="&amp;(C$7))</f>
        <v>1650</v>
      </c>
      <c r="D40" s="43">
        <f>SUMIFS(L_VParc,L_Tipo,"Investimento",L_IIni,"&lt;="&amp;(D$7),L_IFim,"&gt;="&amp;(D$7))</f>
        <v>1650</v>
      </c>
      <c r="E40" s="43">
        <f>SUMIFS(L_VParc,L_Tipo,"Investimento",L_IIni,"&lt;="&amp;(E$7),L_IFim,"&gt;="&amp;(E$7))</f>
        <v>1650</v>
      </c>
      <c r="F40" s="43">
        <f>SUMIFS(L_VParc,L_Tipo,"Investimento",L_IIni,"&lt;="&amp;(F$7),L_IFim,"&gt;="&amp;(F$7))</f>
        <v>2050</v>
      </c>
      <c r="G40" s="43">
        <f>SUMIFS(L_VParc,L_Tipo,"Investimento",L_IIni,"&lt;="&amp;(G$7),L_IFim,"&gt;="&amp;(G$7))</f>
        <v>2050</v>
      </c>
      <c r="H40" s="43">
        <f>SUMIFS(L_VParc,L_Tipo,"Investimento",L_IIni,"&lt;="&amp;(H$7),L_IFim,"&gt;="&amp;(H$7))</f>
        <v>2050</v>
      </c>
      <c r="I40" s="43">
        <f>SUMIFS(L_VParc,L_Tipo,"Investimento",L_IIni,"&lt;="&amp;(I$7),L_IFim,"&gt;="&amp;(I$7))</f>
        <v>2050</v>
      </c>
      <c r="J40" s="43">
        <f>SUMIFS(L_VParc,L_Tipo,"Investimento",L_IIni,"&lt;="&amp;(J$7),L_IFim,"&gt;="&amp;(J$7))</f>
        <v>2050</v>
      </c>
      <c r="K40" s="43">
        <f>SUMIFS(L_VParc,L_Tipo,"Investimento",L_IIni,"&lt;="&amp;(K$7),L_IFim,"&gt;="&amp;(K$7))</f>
        <v>2050</v>
      </c>
      <c r="L40" s="43">
        <f>SUMIFS(L_VParc,L_Tipo,"Investimento",L_IIni,"&lt;="&amp;(L$7),L_IFim,"&gt;="&amp;(L$7))</f>
        <v>2050</v>
      </c>
      <c r="M40" s="43">
        <f>SUMIFS(L_VParc,L_Tipo,"Investimento",L_IIni,"&lt;="&amp;(M$7),L_IFim,"&gt;="&amp;(M$7))</f>
        <v>1500</v>
      </c>
      <c r="N40" s="43">
        <f>SUMIFS(L_VParc,L_Tipo,"Investimento",L_IIni,"&lt;="&amp;(N$7),L_IFim,"&gt;="&amp;(N$7))</f>
        <v>0</v>
      </c>
      <c r="O40" s="79">
        <f>SUM(C40:N40)</f>
        <v>20800</v>
      </c>
      <c r="P40" s="43">
        <f>IFERROR(SUMIF(C40:N40,"&lt;&gt;0")/COUNTIF(C40:N40,"&lt;&gt;0"),0)</f>
        <v>1890.90909090909</v>
      </c>
      <c r="Q40" s="43">
        <f>MAX(C40:N40)</f>
        <v>2050</v>
      </c>
      <c r="R40" s="43">
        <f>MIN(C40:N40)</f>
        <v>0</v>
      </c>
    </row>
    <row r="42">
      <c r="B42" s="9" t="inlineStr">
        <is>
          <t>SALDO DO MÊS (receitas − despesas)</t>
        </is>
      </c>
      <c r="C42" s="81">
        <f>C19-C39</f>
        <v>3031.79</v>
      </c>
      <c r="D42" s="81">
        <f>D19-D39</f>
        <v>4160.54</v>
      </c>
      <c r="E42" s="81">
        <f>E19-E39</f>
        <v>2062.02</v>
      </c>
      <c r="F42" s="81">
        <f>F19-F39</f>
        <v>3905.44</v>
      </c>
      <c r="G42" s="81">
        <f>G19-G39</f>
        <v>3123.9</v>
      </c>
      <c r="H42" s="81">
        <f>H19-H39</f>
        <v>4406.04</v>
      </c>
      <c r="I42" s="81">
        <f>I19-I39</f>
        <v>2337.03</v>
      </c>
      <c r="J42" s="81">
        <f>J19-J39</f>
        <v>3515.86</v>
      </c>
      <c r="K42" s="81">
        <f>K19-K39</f>
        <v>399.58</v>
      </c>
      <c r="L42" s="81">
        <f>L19-L39</f>
        <v>300.57</v>
      </c>
      <c r="M42" s="81">
        <f>M19-M39</f>
        <v>-2030</v>
      </c>
      <c r="N42" s="81">
        <f>N19-N39</f>
        <v>-1400</v>
      </c>
      <c r="O42" s="81">
        <f>SUM(C42:N42)</f>
        <v>23812.77</v>
      </c>
      <c r="P42" s="36">
        <f>AVERAGE(C42:N42)</f>
        <v>1984.3975</v>
      </c>
      <c r="Q42" s="36">
        <f>MAX(C42:N42)</f>
        <v>4406.04</v>
      </c>
      <c r="R42" s="36">
        <f>MIN(C42:N42)</f>
        <v>-2030</v>
      </c>
      <c r="S42" s="13" t="str">
        <f>INDEX(Lista_MesesAb,MATCH(Q42,C42:N42,0))</f>
        <v>Jun</v>
      </c>
    </row>
    <row r="43">
      <c r="B43" s="9" t="inlineStr">
        <is>
          <t>Saldo acumulado no ano</t>
        </is>
      </c>
      <c r="C43" s="81">
        <f>SUM($C42:C42)</f>
        <v>3031.79</v>
      </c>
      <c r="D43" s="81">
        <f>SUM($C42:D42)</f>
        <v>7192.33</v>
      </c>
      <c r="E43" s="81">
        <f>SUM($C42:E42)</f>
        <v>9254.35</v>
      </c>
      <c r="F43" s="81">
        <f>SUM($C42:F42)</f>
        <v>13159.79</v>
      </c>
      <c r="G43" s="81">
        <f>SUM($C42:G42)</f>
        <v>16283.69</v>
      </c>
      <c r="H43" s="81">
        <f>SUM($C42:H42)</f>
        <v>20689.73</v>
      </c>
      <c r="I43" s="81">
        <f>SUM($C42:I42)</f>
        <v>23026.76</v>
      </c>
      <c r="J43" s="81">
        <f>SUM($C42:J42)</f>
        <v>26542.62</v>
      </c>
      <c r="K43" s="81">
        <f>SUM($C42:K42)</f>
        <v>26942.2</v>
      </c>
      <c r="L43" s="81">
        <f>SUM($C42:L42)</f>
        <v>27242.77</v>
      </c>
      <c r="M43" s="81">
        <f>SUM($C42:M42)</f>
        <v>25212.77</v>
      </c>
      <c r="N43" s="81">
        <f>SUM($C42:N42)</f>
        <v>23812.77</v>
      </c>
    </row>
    <row r="44">
      <c r="B44" s="14" t="inlineStr">
        <is>
          <t>Saldo após aportes (saldo − investimentos)</t>
        </is>
      </c>
      <c r="C44" s="36">
        <f>C42-C40</f>
        <v>1381.79</v>
      </c>
      <c r="D44" s="36">
        <f>D42-D40</f>
        <v>2510.54</v>
      </c>
      <c r="E44" s="36">
        <f>E42-E40</f>
        <v>412.02</v>
      </c>
      <c r="F44" s="36">
        <f>F42-F40</f>
        <v>1855.44</v>
      </c>
      <c r="G44" s="36">
        <f>G42-G40</f>
        <v>1073.9</v>
      </c>
      <c r="H44" s="36">
        <f>H42-H40</f>
        <v>2356.04</v>
      </c>
      <c r="I44" s="36">
        <f>I42-I40</f>
        <v>287.030000000001</v>
      </c>
      <c r="J44" s="36">
        <f>J42-J40</f>
        <v>1465.86</v>
      </c>
      <c r="K44" s="36">
        <f>K42-K40</f>
        <v>-1650.42</v>
      </c>
      <c r="L44" s="36">
        <f>L42-L40</f>
        <v>-1749.43</v>
      </c>
      <c r="M44" s="36">
        <f>M42-M40</f>
        <v>-3530</v>
      </c>
      <c r="N44" s="36">
        <f>N42-N40</f>
        <v>-1400</v>
      </c>
      <c r="O44" s="36">
        <f>SUM(C44:N44)</f>
        <v>3012.77</v>
      </c>
    </row>
    <row r="46">
      <c r="B46" s="6" t="inlineStr">
        <is>
          <t>Realizado x previsto (previsto = orçamento planejado em ORÇAMENTO)</t>
        </is>
      </c>
    </row>
    <row r="47">
      <c r="B47" s="7" t="inlineStr">
        <is>
          <t>Item</t>
        </is>
      </c>
      <c r="C47" s="7" t="inlineStr">
        <is>
          <t>Jan</t>
        </is>
      </c>
      <c r="D47" s="7" t="inlineStr">
        <is>
          <t>Fev</t>
        </is>
      </c>
      <c r="E47" s="7" t="inlineStr">
        <is>
          <t>Mar</t>
        </is>
      </c>
      <c r="F47" s="7" t="inlineStr">
        <is>
          <t>Abr</t>
        </is>
      </c>
      <c r="G47" s="7" t="inlineStr">
        <is>
          <t>Mai</t>
        </is>
      </c>
      <c r="H47" s="7" t="inlineStr">
        <is>
          <t>Jun</t>
        </is>
      </c>
      <c r="I47" s="7" t="inlineStr">
        <is>
          <t>Jul</t>
        </is>
      </c>
      <c r="J47" s="7" t="inlineStr">
        <is>
          <t>Ago</t>
        </is>
      </c>
      <c r="K47" s="7" t="inlineStr">
        <is>
          <t>Set</t>
        </is>
      </c>
      <c r="L47" s="7" t="inlineStr">
        <is>
          <t>Out</t>
        </is>
      </c>
      <c r="M47" s="7" t="inlineStr">
        <is>
          <t>Nov</t>
        </is>
      </c>
      <c r="N47" s="7" t="inlineStr">
        <is>
          <t>Dez</t>
        </is>
      </c>
      <c r="O47" s="7" t="inlineStr">
        <is>
          <t>Total</t>
        </is>
      </c>
    </row>
    <row r="48">
      <c r="B48" s="14" t="inlineStr">
        <is>
          <t>Receitas previstas</t>
        </is>
      </c>
      <c r="C48" s="43">
        <f>INDEX(Orc_TotRec,1)</f>
        <v>13780</v>
      </c>
      <c r="D48" s="43">
        <f>INDEX(Orc_TotRec,2)</f>
        <v>13780</v>
      </c>
      <c r="E48" s="43">
        <f>INDEX(Orc_TotRec,3)</f>
        <v>13780</v>
      </c>
      <c r="F48" s="43">
        <f>INDEX(Orc_TotRec,4)</f>
        <v>13780</v>
      </c>
      <c r="G48" s="43">
        <f>INDEX(Orc_TotRec,5)</f>
        <v>13780</v>
      </c>
      <c r="H48" s="43">
        <f>INDEX(Orc_TotRec,6)</f>
        <v>13780</v>
      </c>
      <c r="I48" s="43">
        <f>INDEX(Orc_TotRec,7)</f>
        <v>13780</v>
      </c>
      <c r="J48" s="43">
        <f>INDEX(Orc_TotRec,8)</f>
        <v>13780</v>
      </c>
      <c r="K48" s="43">
        <f>INDEX(Orc_TotRec,9)</f>
        <v>13780</v>
      </c>
      <c r="L48" s="43">
        <f>INDEX(Orc_TotRec,10)</f>
        <v>13780</v>
      </c>
      <c r="M48" s="43">
        <f>INDEX(Orc_TotRec,11)</f>
        <v>13780</v>
      </c>
      <c r="N48" s="43">
        <f>INDEX(Orc_TotRec,12)</f>
        <v>24580</v>
      </c>
      <c r="O48" s="79">
        <f>SUM(C48:N48)</f>
        <v>176160</v>
      </c>
    </row>
    <row r="49">
      <c r="B49" s="14" t="inlineStr">
        <is>
          <t>Receitas realizadas</t>
        </is>
      </c>
      <c r="C49" s="43">
        <f>C19</f>
        <v>12789.55</v>
      </c>
      <c r="D49" s="43">
        <f>D19</f>
        <v>14563.38</v>
      </c>
      <c r="E49" s="43">
        <f>E19</f>
        <v>12771.57</v>
      </c>
      <c r="F49" s="43">
        <f>F19</f>
        <v>15161.33</v>
      </c>
      <c r="G49" s="43">
        <f>G19</f>
        <v>13124.35</v>
      </c>
      <c r="H49" s="43">
        <f>H19</f>
        <v>15168.69</v>
      </c>
      <c r="I49" s="43">
        <f>I19</f>
        <v>12779.08</v>
      </c>
      <c r="J49" s="43">
        <f>J19</f>
        <v>15182.06</v>
      </c>
      <c r="K49" s="43">
        <f>K19</f>
        <v>12783.87</v>
      </c>
      <c r="L49" s="43">
        <f>L19</f>
        <v>12700</v>
      </c>
      <c r="M49" s="43">
        <f>M19</f>
        <v>0</v>
      </c>
      <c r="N49" s="43">
        <f>N19</f>
        <v>0</v>
      </c>
      <c r="O49" s="79">
        <f>SUM(C49:N49)</f>
        <v>137023.88</v>
      </c>
    </row>
    <row r="50">
      <c r="B50" s="9" t="inlineStr">
        <is>
          <t>Diferença receitas</t>
        </is>
      </c>
      <c r="C50" s="81">
        <f>C49-C48</f>
        <v>-990.450000000001</v>
      </c>
      <c r="D50" s="81">
        <f>D49-D48</f>
        <v>783.379999999999</v>
      </c>
      <c r="E50" s="81">
        <f>E49-E48</f>
        <v>-1008.43</v>
      </c>
      <c r="F50" s="81">
        <f>F49-F48</f>
        <v>1381.33</v>
      </c>
      <c r="G50" s="81">
        <f>G49-G48</f>
        <v>-655.65</v>
      </c>
      <c r="H50" s="81">
        <f>H49-H48</f>
        <v>1388.69</v>
      </c>
      <c r="I50" s="81">
        <f>I49-I48</f>
        <v>-1000.92</v>
      </c>
      <c r="J50" s="81">
        <f>J49-J48</f>
        <v>1402.06</v>
      </c>
      <c r="K50" s="81">
        <f>K49-K48</f>
        <v>-996.129999999999</v>
      </c>
      <c r="L50" s="81">
        <f>L49-L48</f>
        <v>-1080</v>
      </c>
      <c r="M50" s="81">
        <f>M49-M48</f>
        <v>-13780</v>
      </c>
      <c r="N50" s="81">
        <f>N49-N48</f>
        <v>-24580</v>
      </c>
      <c r="O50" s="81">
        <f>SUM(C50:N50)</f>
        <v>-39136.12</v>
      </c>
    </row>
    <row r="51">
      <c r="B51" s="14" t="inlineStr">
        <is>
          <t>Despesas previstas</t>
        </is>
      </c>
      <c r="C51" s="43">
        <f>INDEX(Orc_TotDesp,1)</f>
        <v>12600</v>
      </c>
      <c r="D51" s="43">
        <f>INDEX(Orc_TotDesp,2)</f>
        <v>12600</v>
      </c>
      <c r="E51" s="43">
        <f>INDEX(Orc_TotDesp,3)</f>
        <v>12600</v>
      </c>
      <c r="F51" s="43">
        <f>INDEX(Orc_TotDesp,4)</f>
        <v>12600</v>
      </c>
      <c r="G51" s="43">
        <f>INDEX(Orc_TotDesp,5)</f>
        <v>12600</v>
      </c>
      <c r="H51" s="43">
        <f>INDEX(Orc_TotDesp,6)</f>
        <v>12600</v>
      </c>
      <c r="I51" s="43">
        <f>INDEX(Orc_TotDesp,7)</f>
        <v>12600</v>
      </c>
      <c r="J51" s="43">
        <f>INDEX(Orc_TotDesp,8)</f>
        <v>12600</v>
      </c>
      <c r="K51" s="43">
        <f>INDEX(Orc_TotDesp,9)</f>
        <v>12600</v>
      </c>
      <c r="L51" s="43">
        <f>INDEX(Orc_TotDesp,10)</f>
        <v>12600</v>
      </c>
      <c r="M51" s="43">
        <f>INDEX(Orc_TotDesp,11)</f>
        <v>12600</v>
      </c>
      <c r="N51" s="43">
        <f>INDEX(Orc_TotDesp,12)</f>
        <v>12600</v>
      </c>
      <c r="O51" s="79">
        <f>SUM(C51:N51)</f>
        <v>151200</v>
      </c>
    </row>
    <row r="52">
      <c r="B52" s="14" t="inlineStr">
        <is>
          <t>Despesas realizadas</t>
        </is>
      </c>
      <c r="C52" s="43">
        <f>C39</f>
        <v>9757.76</v>
      </c>
      <c r="D52" s="43">
        <f>D39</f>
        <v>10402.84</v>
      </c>
      <c r="E52" s="43">
        <f>E39</f>
        <v>10709.55</v>
      </c>
      <c r="F52" s="43">
        <f>F39</f>
        <v>11255.89</v>
      </c>
      <c r="G52" s="43">
        <f>G39</f>
        <v>10000.45</v>
      </c>
      <c r="H52" s="43">
        <f>H39</f>
        <v>10762.65</v>
      </c>
      <c r="I52" s="43">
        <f>I39</f>
        <v>10442.05</v>
      </c>
      <c r="J52" s="43">
        <f>J39</f>
        <v>11666.2</v>
      </c>
      <c r="K52" s="43">
        <f>K39</f>
        <v>12384.29</v>
      </c>
      <c r="L52" s="43">
        <f>L39</f>
        <v>12399.43</v>
      </c>
      <c r="M52" s="43">
        <f>M39</f>
        <v>2030</v>
      </c>
      <c r="N52" s="43">
        <f>N39</f>
        <v>1400</v>
      </c>
      <c r="O52" s="79">
        <f>SUM(C52:N52)</f>
        <v>113211.11</v>
      </c>
    </row>
    <row r="53">
      <c r="B53" s="9" t="inlineStr">
        <is>
          <t>Diferença despesas (prev. − real.)</t>
        </is>
      </c>
      <c r="C53" s="81">
        <f>C51-C52</f>
        <v>2842.24</v>
      </c>
      <c r="D53" s="81">
        <f>D51-D52</f>
        <v>2197.16</v>
      </c>
      <c r="E53" s="81">
        <f>E51-E52</f>
        <v>1890.45</v>
      </c>
      <c r="F53" s="81">
        <f>F51-F52</f>
        <v>1344.11</v>
      </c>
      <c r="G53" s="81">
        <f>G51-G52</f>
        <v>2599.55</v>
      </c>
      <c r="H53" s="81">
        <f>H51-H52</f>
        <v>1837.35</v>
      </c>
      <c r="I53" s="81">
        <f>I51-I52</f>
        <v>2157.95</v>
      </c>
      <c r="J53" s="81">
        <f>J51-J52</f>
        <v>933.799999999999</v>
      </c>
      <c r="K53" s="81">
        <f>K51-K52</f>
        <v>215.709999999999</v>
      </c>
      <c r="L53" s="81">
        <f>L51-L52</f>
        <v>200.57</v>
      </c>
      <c r="M53" s="81">
        <f>M51-M52</f>
        <v>10570</v>
      </c>
      <c r="N53" s="81">
        <f>N51-N52</f>
        <v>11200</v>
      </c>
      <c r="O53" s="81">
        <f>SUM(C53:N53)</f>
        <v>37988.89</v>
      </c>
    </row>
    <row r="54">
      <c r="B54" s="9" t="inlineStr">
        <is>
          <t>Saldo previsto</t>
        </is>
      </c>
      <c r="C54" s="81">
        <f>C48-C51</f>
        <v>1180</v>
      </c>
      <c r="D54" s="81">
        <f>D48-D51</f>
        <v>1180</v>
      </c>
      <c r="E54" s="81">
        <f>E48-E51</f>
        <v>1180</v>
      </c>
      <c r="F54" s="81">
        <f>F48-F51</f>
        <v>1180</v>
      </c>
      <c r="G54" s="81">
        <f>G48-G51</f>
        <v>1180</v>
      </c>
      <c r="H54" s="81">
        <f>H48-H51</f>
        <v>1180</v>
      </c>
      <c r="I54" s="81">
        <f>I48-I51</f>
        <v>1180</v>
      </c>
      <c r="J54" s="81">
        <f>J48-J51</f>
        <v>1180</v>
      </c>
      <c r="K54" s="81">
        <f>K48-K51</f>
        <v>1180</v>
      </c>
      <c r="L54" s="81">
        <f>L48-L51</f>
        <v>1180</v>
      </c>
      <c r="M54" s="81">
        <f>M48-M51</f>
        <v>1180</v>
      </c>
      <c r="N54" s="81">
        <f>N48-N51</f>
        <v>11980</v>
      </c>
      <c r="O54" s="81">
        <f>SUM(C54:N54)</f>
        <v>24960</v>
      </c>
    </row>
    <row r="55">
      <c r="B55" s="9" t="inlineStr">
        <is>
          <t>Saldo realizado</t>
        </is>
      </c>
      <c r="C55" s="81">
        <f>C49-C52</f>
        <v>3031.79</v>
      </c>
      <c r="D55" s="81">
        <f>D49-D52</f>
        <v>4160.54</v>
      </c>
      <c r="E55" s="81">
        <f>E49-E52</f>
        <v>2062.02</v>
      </c>
      <c r="F55" s="81">
        <f>F49-F52</f>
        <v>3905.44</v>
      </c>
      <c r="G55" s="81">
        <f>G49-G52</f>
        <v>3123.9</v>
      </c>
      <c r="H55" s="81">
        <f>H49-H52</f>
        <v>4406.04</v>
      </c>
      <c r="I55" s="81">
        <f>I49-I52</f>
        <v>2337.03</v>
      </c>
      <c r="J55" s="81">
        <f>J49-J52</f>
        <v>3515.86</v>
      </c>
      <c r="K55" s="81">
        <f>K49-K52</f>
        <v>399.58</v>
      </c>
      <c r="L55" s="81">
        <f>L49-L52</f>
        <v>300.57</v>
      </c>
      <c r="M55" s="81">
        <f>M49-M52</f>
        <v>-2030</v>
      </c>
      <c r="N55" s="81">
        <f>N49-N52</f>
        <v>-1400</v>
      </c>
      <c r="O55" s="81">
        <f>SUM(C55:N55)</f>
        <v>23812.77</v>
      </c>
    </row>
    <row r="57">
      <c r="B57" s="6" t="inlineStr">
        <is>
          <t>Sazonalidade: meses mais caros do ano</t>
        </is>
      </c>
    </row>
    <row r="58">
      <c r="B58" s="7" t="inlineStr">
        <is>
          <t>Item</t>
        </is>
      </c>
      <c r="C58" s="7" t="inlineStr">
        <is>
          <t>Jan</t>
        </is>
      </c>
      <c r="D58" s="7" t="inlineStr">
        <is>
          <t>Fev</t>
        </is>
      </c>
      <c r="E58" s="7" t="inlineStr">
        <is>
          <t>Mar</t>
        </is>
      </c>
      <c r="F58" s="7" t="inlineStr">
        <is>
          <t>Abr</t>
        </is>
      </c>
      <c r="G58" s="7" t="inlineStr">
        <is>
          <t>Mai</t>
        </is>
      </c>
      <c r="H58" s="7" t="inlineStr">
        <is>
          <t>Jun</t>
        </is>
      </c>
      <c r="I58" s="7" t="inlineStr">
        <is>
          <t>Jul</t>
        </is>
      </c>
      <c r="J58" s="7" t="inlineStr">
        <is>
          <t>Ago</t>
        </is>
      </c>
      <c r="K58" s="7" t="inlineStr">
        <is>
          <t>Set</t>
        </is>
      </c>
      <c r="L58" s="7" t="inlineStr">
        <is>
          <t>Out</t>
        </is>
      </c>
      <c r="M58" s="7" t="inlineStr">
        <is>
          <t>Nov</t>
        </is>
      </c>
      <c r="N58" s="7" t="inlineStr">
        <is>
          <t>Dez</t>
        </is>
      </c>
    </row>
    <row r="59">
      <c r="B59" s="14" t="inlineStr">
        <is>
          <t>Índice (despesa do mês ÷ média do ano)</t>
        </is>
      </c>
      <c r="C59" s="87">
        <f>IFERROR(C39/AVERAGEIF($C39:$N39,"&lt;&gt;0"),0)</f>
        <v>1.03429000916959</v>
      </c>
      <c r="D59" s="87">
        <f>IFERROR(D39/AVERAGEIF($C39:$N39,"&lt;&gt;0"),0)</f>
        <v>1.10266633725259</v>
      </c>
      <c r="E59" s="87">
        <f>IFERROR(E39/AVERAGEIF($C39:$N39,"&lt;&gt;0"),0)</f>
        <v>1.13517657410125</v>
      </c>
      <c r="F59" s="87">
        <f>IFERROR(F39/AVERAGEIF($C39:$N39,"&lt;&gt;0"),0)</f>
        <v>1.19308679157019</v>
      </c>
      <c r="G59" s="87">
        <f>IFERROR(G39/AVERAGEIF($C39:$N39,"&lt;&gt;0"),0)</f>
        <v>1.06001433958204</v>
      </c>
      <c r="H59" s="87">
        <f>IFERROR(H39/AVERAGEIF($C39:$N39,"&lt;&gt;0"),0)</f>
        <v>1.1408049969654</v>
      </c>
      <c r="I59" s="87">
        <f>IFERROR(I39/AVERAGEIF($C39:$N39,"&lt;&gt;0"),0)</f>
        <v>1.10682246645228</v>
      </c>
      <c r="J59" s="87">
        <f>IFERROR(J39/AVERAGEIF($C39:$N39,"&lt;&gt;0"),0)</f>
        <v>1.23657828282048</v>
      </c>
      <c r="K59" s="87">
        <f>IFERROR(K39/AVERAGEIF($C39:$N39,"&lt;&gt;0"),0)</f>
        <v>1.31269342735002</v>
      </c>
      <c r="L59" s="87">
        <f>IFERROR(L39/AVERAGEIF($C39:$N39,"&lt;&gt;0"),0)</f>
        <v>1.31429821684462</v>
      </c>
      <c r="M59" s="87">
        <f>IFERROR(M39/AVERAGEIF($C39:$N39,"&lt;&gt;0"),0)</f>
        <v>0.215173228139888</v>
      </c>
      <c r="N59" s="87">
        <f>IFERROR(N39/AVERAGEIF($C39:$N39,"&lt;&gt;0"),0)</f>
        <v>0.148395329751647</v>
      </c>
    </row>
    <row r="60">
      <c r="B60" s="14" t="inlineStr">
        <is>
          <t>Ranking (1 = mais caro)</t>
        </is>
      </c>
      <c r="C60" s="69">
        <f>IF(C39=0,"",RANK(C39,$C39:$N39)+COUNTIF($C39:C39,C39)-1)</f>
        <v>10</v>
      </c>
      <c r="D60" s="69">
        <f>IF(D39=0,"",RANK(D39,$C39:$N39)+COUNTIF($C39:D39,D39)-1)</f>
        <v>8</v>
      </c>
      <c r="E60" s="69">
        <f>IF(E39=0,"",RANK(E39,$C39:$N39)+COUNTIF($C39:E39,E39)-1)</f>
        <v>6</v>
      </c>
      <c r="F60" s="69">
        <f>IF(F39=0,"",RANK(F39,$C39:$N39)+COUNTIF($C39:F39,F39)-1)</f>
        <v>4</v>
      </c>
      <c r="G60" s="69">
        <f>IF(G39=0,"",RANK(G39,$C39:$N39)+COUNTIF($C39:G39,G39)-1)</f>
        <v>9</v>
      </c>
      <c r="H60" s="69">
        <f>IF(H39=0,"",RANK(H39,$C39:$N39)+COUNTIF($C39:H39,H39)-1)</f>
        <v>5</v>
      </c>
      <c r="I60" s="69">
        <f>IF(I39=0,"",RANK(I39,$C39:$N39)+COUNTIF($C39:I39,I39)-1)</f>
        <v>7</v>
      </c>
      <c r="J60" s="69">
        <f>IF(J39=0,"",RANK(J39,$C39:$N39)+COUNTIF($C39:J39,J39)-1)</f>
        <v>3</v>
      </c>
      <c r="K60" s="69">
        <f>IF(K39=0,"",RANK(K39,$C39:$N39)+COUNTIF($C39:K39,K39)-1)</f>
        <v>2</v>
      </c>
      <c r="L60" s="69">
        <f>IF(L39=0,"",RANK(L39,$C39:$N39)+COUNTIF($C39:L39,L39)-1)</f>
        <v>1</v>
      </c>
      <c r="M60" s="69">
        <f>IF(M39=0,"",RANK(M39,$C39:$N39)+COUNTIF($C39:M39,M39)-1)</f>
        <v>11</v>
      </c>
      <c r="N60" s="69">
        <f>IF(N39=0,"",RANK(N39,$C39:$N39)+COUNTIF($C39:N39,N39)-1)</f>
        <v>12</v>
      </c>
    </row>
    <row r="61">
      <c r="B61" s="9" t="inlineStr">
        <is>
          <t>3 meses mais caros:</t>
        </is>
      </c>
      <c r="C61" s="14" t="str">
        <f>IFERROR(INDEX(Lista_MesesAb,MATCH(1,$C60:$N60,0))&amp;" ("&amp;FIXED(INDEX($C39:$N39,MATCH(1,$C60:$N60,0)),0)&amp;")","")</f>
        <v>Out (12,399)</v>
      </c>
      <c r="D61" s="25" t="n"/>
      <c r="F61" s="14" t="str">
        <f>IFERROR(INDEX(Lista_MesesAb,MATCH(2,$C60:$N60,0))&amp;" ("&amp;FIXED(INDEX($C39:$N39,MATCH(2,$C60:$N60,0)),0)&amp;")","")</f>
        <v>Set (12,384)</v>
      </c>
      <c r="G61" s="25" t="n"/>
      <c r="I61" s="14" t="str">
        <f>IFERROR(INDEX(Lista_MesesAb,MATCH(3,$C60:$N60,0))&amp;" ("&amp;FIXED(INDEX($C39:$N39,MATCH(3,$C60:$N60,0)),0)&amp;")","")</f>
        <v>Ago (11,666)</v>
      </c>
      <c r="J61" s="25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4">
    <mergeCell ref="F61:G61"/>
    <mergeCell ref="C61:D61"/>
    <mergeCell ref="B2:T2"/>
    <mergeCell ref="I61:J61"/>
  </mergeCells>
  <conditionalFormatting sqref="B10:S10">
    <cfRule type="expression" priority="1" dxfId="12" stopIfTrue="0">
      <formula>$B10=""</formula>
    </cfRule>
  </conditionalFormatting>
  <conditionalFormatting sqref="B11:S11">
    <cfRule type="expression" priority="2" dxfId="12" stopIfTrue="0">
      <formula>$B11=""</formula>
    </cfRule>
  </conditionalFormatting>
  <conditionalFormatting sqref="B12:S12">
    <cfRule type="expression" priority="3" dxfId="12" stopIfTrue="0">
      <formula>$B12=""</formula>
    </cfRule>
  </conditionalFormatting>
  <conditionalFormatting sqref="B13:S13">
    <cfRule type="expression" priority="4" dxfId="12" stopIfTrue="0">
      <formula>$B13=""</formula>
    </cfRule>
  </conditionalFormatting>
  <conditionalFormatting sqref="B14:S14">
    <cfRule type="expression" priority="5" dxfId="12" stopIfTrue="0">
      <formula>$B14=""</formula>
    </cfRule>
  </conditionalFormatting>
  <conditionalFormatting sqref="B15:S15">
    <cfRule type="expression" priority="6" dxfId="12" stopIfTrue="0">
      <formula>$B15=""</formula>
    </cfRule>
  </conditionalFormatting>
  <conditionalFormatting sqref="B16:S16">
    <cfRule type="expression" priority="7" dxfId="12" stopIfTrue="0">
      <formula>$B16=""</formula>
    </cfRule>
  </conditionalFormatting>
  <conditionalFormatting sqref="B17:S17">
    <cfRule type="expression" priority="8" dxfId="12" stopIfTrue="0">
      <formula>$B17=""</formula>
    </cfRule>
  </conditionalFormatting>
  <conditionalFormatting sqref="B18:S18">
    <cfRule type="expression" priority="9" dxfId="12" stopIfTrue="0">
      <formula>$B18=""</formula>
    </cfRule>
  </conditionalFormatting>
  <conditionalFormatting sqref="B21:S21">
    <cfRule type="expression" priority="10" dxfId="12" stopIfTrue="0">
      <formula>$B21=""</formula>
    </cfRule>
  </conditionalFormatting>
  <conditionalFormatting sqref="B22:S22">
    <cfRule type="expression" priority="11" dxfId="12" stopIfTrue="0">
      <formula>$B22=""</formula>
    </cfRule>
  </conditionalFormatting>
  <conditionalFormatting sqref="B23:S23">
    <cfRule type="expression" priority="12" dxfId="12" stopIfTrue="0">
      <formula>$B23=""</formula>
    </cfRule>
  </conditionalFormatting>
  <conditionalFormatting sqref="B24:S24">
    <cfRule type="expression" priority="13" dxfId="12" stopIfTrue="0">
      <formula>$B24=""</formula>
    </cfRule>
  </conditionalFormatting>
  <conditionalFormatting sqref="B25:S25">
    <cfRule type="expression" priority="14" dxfId="12" stopIfTrue="0">
      <formula>$B25=""</formula>
    </cfRule>
  </conditionalFormatting>
  <conditionalFormatting sqref="B26:S26">
    <cfRule type="expression" priority="15" dxfId="12" stopIfTrue="0">
      <formula>$B26=""</formula>
    </cfRule>
  </conditionalFormatting>
  <conditionalFormatting sqref="B27:S27">
    <cfRule type="expression" priority="16" dxfId="12" stopIfTrue="0">
      <formula>$B27=""</formula>
    </cfRule>
  </conditionalFormatting>
  <conditionalFormatting sqref="B28:S28">
    <cfRule type="expression" priority="17" dxfId="12" stopIfTrue="0">
      <formula>$B28=""</formula>
    </cfRule>
  </conditionalFormatting>
  <conditionalFormatting sqref="B29:S29">
    <cfRule type="expression" priority="18" dxfId="12" stopIfTrue="0">
      <formula>$B29=""</formula>
    </cfRule>
  </conditionalFormatting>
  <conditionalFormatting sqref="B30:S30">
    <cfRule type="expression" priority="19" dxfId="12" stopIfTrue="0">
      <formula>$B30=""</formula>
    </cfRule>
  </conditionalFormatting>
  <conditionalFormatting sqref="B31:S31">
    <cfRule type="expression" priority="20" dxfId="12" stopIfTrue="0">
      <formula>$B31=""</formula>
    </cfRule>
  </conditionalFormatting>
  <conditionalFormatting sqref="B32:S32">
    <cfRule type="expression" priority="21" dxfId="12" stopIfTrue="0">
      <formula>$B32=""</formula>
    </cfRule>
  </conditionalFormatting>
  <conditionalFormatting sqref="B33:S33">
    <cfRule type="expression" priority="22" dxfId="12" stopIfTrue="0">
      <formula>$B33=""</formula>
    </cfRule>
  </conditionalFormatting>
  <conditionalFormatting sqref="B34:S34">
    <cfRule type="expression" priority="23" dxfId="12" stopIfTrue="0">
      <formula>$B34=""</formula>
    </cfRule>
  </conditionalFormatting>
  <conditionalFormatting sqref="B35:S35">
    <cfRule type="expression" priority="24" dxfId="12" stopIfTrue="0">
      <formula>$B35=""</formula>
    </cfRule>
  </conditionalFormatting>
  <conditionalFormatting sqref="B36:S36">
    <cfRule type="expression" priority="25" dxfId="12" stopIfTrue="0">
      <formula>$B36=""</formula>
    </cfRule>
  </conditionalFormatting>
  <conditionalFormatting sqref="B37:S37">
    <cfRule type="expression" priority="26" dxfId="12" stopIfTrue="0">
      <formula>$B37=""</formula>
    </cfRule>
  </conditionalFormatting>
  <conditionalFormatting sqref="B38:S38">
    <cfRule type="expression" priority="27" dxfId="12" stopIfTrue="0">
      <formula>$B38=""</formula>
    </cfRule>
  </conditionalFormatting>
  <conditionalFormatting sqref="C42:R42">
    <cfRule type="expression" priority="28" dxfId="7" stopIfTrue="0">
      <formula>C42&lt;0</formula>
    </cfRule>
    <cfRule type="expression" priority="29" dxfId="1" stopIfTrue="0">
      <formula>C42&gt;=0</formula>
    </cfRule>
  </conditionalFormatting>
  <conditionalFormatting sqref="C43:N43">
    <cfRule type="expression" priority="30" dxfId="5" stopIfTrue="0">
      <formula>C43&lt;0</formula>
    </cfRule>
  </conditionalFormatting>
  <conditionalFormatting sqref="C50:O50">
    <cfRule type="expression" priority="31" dxfId="5" stopIfTrue="0">
      <formula>C50&lt;0</formula>
    </cfRule>
    <cfRule type="expression" priority="33" dxfId="4" stopIfTrue="0">
      <formula>C50&gt;=0</formula>
    </cfRule>
  </conditionalFormatting>
  <conditionalFormatting sqref="C53:O53">
    <cfRule type="expression" priority="32" dxfId="5" stopIfTrue="0">
      <formula>C53&lt;0</formula>
    </cfRule>
    <cfRule type="expression" priority="34" dxfId="4" stopIfTrue="0">
      <formula>C53&gt;=0</formula>
    </cfRule>
  </conditionalFormatting>
  <conditionalFormatting sqref="C59:N59">
    <cfRule type="colorScale" priority="35">
      <colorScale>
        <cfvo type="min"/>
        <cfvo type="max"/>
        <color rgb="00FFFFFF"/>
        <color rgb="00F2A93B"/>
      </colorScale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PROJEÇÕES E CENÁRIOS'!A1" display="Projeções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B1:AC83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5" customWidth="1" min="3" max="3"/>
    <col width="1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 ht="30" customHeight="1">
      <c r="B1" s="1" t="inlineStr">
        <is>
          <t>PROJEÇÕES E CENÁRIOS</t>
        </is>
      </c>
    </row>
    <row r="2" ht="32" customHeight="1">
      <c r="B2" s="2" t="inlineStr">
        <is>
          <t>Projeção de 12 e 24 meses a partir do mês atual: recorrentes, parcelas e lançamentos futuros, média histórica das despesas variáveis e inflação. Três cenários editáveis e um simulador "E se?".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Cartões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Cenários (edite os percentuais)</t>
        </is>
      </c>
    </row>
    <row r="7">
      <c r="B7" s="7" t="inlineStr">
        <is>
          <t>Cenário</t>
        </is>
      </c>
      <c r="C7" s="7" t="inlineStr">
        <is>
          <t>Δ Despesas</t>
        </is>
      </c>
      <c r="D7" s="7" t="inlineStr">
        <is>
          <t>Δ Receitas</t>
        </is>
      </c>
    </row>
    <row r="8">
      <c r="B8" s="9" t="inlineStr">
        <is>
          <t>Realista</t>
        </is>
      </c>
      <c r="C8" s="88" t="n">
        <v>0</v>
      </c>
      <c r="D8" s="88" t="n">
        <v>0</v>
      </c>
      <c r="E8" s="28" t="inlineStr">
        <is>
          <t>← digite aqui. Realista = sem ajuste. Valores padrão: Otimista −10% despesas/+5% receitas; Pessimista +10%/−10%.</t>
        </is>
      </c>
    </row>
    <row r="9">
      <c r="B9" s="9" t="inlineStr">
        <is>
          <t>Otimista</t>
        </is>
      </c>
      <c r="C9" s="88" t="n">
        <v>-0.1</v>
      </c>
      <c r="D9" s="88" t="n">
        <v>0.05</v>
      </c>
    </row>
    <row r="10">
      <c r="B10" s="9" t="inlineStr">
        <is>
          <t>Pessimista</t>
        </is>
      </c>
      <c r="C10" s="88" t="n">
        <v>0.1</v>
      </c>
      <c r="D10" s="88" t="n">
        <v>-0.1</v>
      </c>
    </row>
    <row r="12">
      <c r="B12" s="6" t="inlineStr">
        <is>
          <t>2. Projeção base (cenário Realista)</t>
        </is>
      </c>
    </row>
    <row r="13">
      <c r="B13" s="7" t="inlineStr">
        <is>
          <t>Item</t>
        </is>
      </c>
      <c r="C13" s="7" t="inlineStr">
        <is>
          <t>Total 12 meses</t>
        </is>
      </c>
      <c r="D13" s="7" t="inlineStr">
        <is>
          <t>Total 24 meses</t>
        </is>
      </c>
      <c r="E13" s="7" t="str">
        <f>INDEX(Lista_MesesAb,MOD((E14)-1,12)+1)&amp;"/"&amp;RIGHT(INT(((E14)-1)/12),2)</f>
        <v>Nov/26</v>
      </c>
      <c r="F13" s="7" t="str">
        <f>INDEX(Lista_MesesAb,MOD((F14)-1,12)+1)&amp;"/"&amp;RIGHT(INT(((F14)-1)/12),2)</f>
        <v>Dez/26</v>
      </c>
      <c r="G13" s="7" t="str">
        <f>INDEX(Lista_MesesAb,MOD((G14)-1,12)+1)&amp;"/"&amp;RIGHT(INT(((G14)-1)/12),2)</f>
        <v>Jan/27</v>
      </c>
      <c r="H13" s="7" t="str">
        <f>INDEX(Lista_MesesAb,MOD((H14)-1,12)+1)&amp;"/"&amp;RIGHT(INT(((H14)-1)/12),2)</f>
        <v>Fev/27</v>
      </c>
      <c r="I13" s="7" t="str">
        <f>INDEX(Lista_MesesAb,MOD((I14)-1,12)+1)&amp;"/"&amp;RIGHT(INT(((I14)-1)/12),2)</f>
        <v>Mar/27</v>
      </c>
      <c r="J13" s="7" t="str">
        <f>INDEX(Lista_MesesAb,MOD((J14)-1,12)+1)&amp;"/"&amp;RIGHT(INT(((J14)-1)/12),2)</f>
        <v>Abr/27</v>
      </c>
      <c r="K13" s="7" t="str">
        <f>INDEX(Lista_MesesAb,MOD((K14)-1,12)+1)&amp;"/"&amp;RIGHT(INT(((K14)-1)/12),2)</f>
        <v>Mai/27</v>
      </c>
      <c r="L13" s="7" t="str">
        <f>INDEX(Lista_MesesAb,MOD((L14)-1,12)+1)&amp;"/"&amp;RIGHT(INT(((L14)-1)/12),2)</f>
        <v>Jun/27</v>
      </c>
      <c r="M13" s="7" t="str">
        <f>INDEX(Lista_MesesAb,MOD((M14)-1,12)+1)&amp;"/"&amp;RIGHT(INT(((M14)-1)/12),2)</f>
        <v>Jul/27</v>
      </c>
      <c r="N13" s="7" t="str">
        <f>INDEX(Lista_MesesAb,MOD((N14)-1,12)+1)&amp;"/"&amp;RIGHT(INT(((N14)-1)/12),2)</f>
        <v>Ago/27</v>
      </c>
      <c r="O13" s="7" t="str">
        <f>INDEX(Lista_MesesAb,MOD((O14)-1,12)+1)&amp;"/"&amp;RIGHT(INT(((O14)-1)/12),2)</f>
        <v>Set/27</v>
      </c>
      <c r="P13" s="7" t="str">
        <f>INDEX(Lista_MesesAb,MOD((P14)-1,12)+1)&amp;"/"&amp;RIGHT(INT(((P14)-1)/12),2)</f>
        <v>Out/27</v>
      </c>
      <c r="Q13" s="7" t="str">
        <f>INDEX(Lista_MesesAb,MOD((Q14)-1,12)+1)&amp;"/"&amp;RIGHT(INT(((Q14)-1)/12),2)</f>
        <v>Nov/27</v>
      </c>
      <c r="R13" s="7" t="str">
        <f>INDEX(Lista_MesesAb,MOD((R14)-1,12)+1)&amp;"/"&amp;RIGHT(INT(((R14)-1)/12),2)</f>
        <v>Dez/27</v>
      </c>
      <c r="S13" s="7" t="str">
        <f>INDEX(Lista_MesesAb,MOD((S14)-1,12)+1)&amp;"/"&amp;RIGHT(INT(((S14)-1)/12),2)</f>
        <v>Jan/28</v>
      </c>
      <c r="T13" s="7" t="str">
        <f>INDEX(Lista_MesesAb,MOD((T14)-1,12)+1)&amp;"/"&amp;RIGHT(INT(((T14)-1)/12),2)</f>
        <v>Fev/28</v>
      </c>
      <c r="U13" s="7" t="str">
        <f>INDEX(Lista_MesesAb,MOD((U14)-1,12)+1)&amp;"/"&amp;RIGHT(INT(((U14)-1)/12),2)</f>
        <v>Mar/28</v>
      </c>
      <c r="V13" s="7" t="str">
        <f>INDEX(Lista_MesesAb,MOD((V14)-1,12)+1)&amp;"/"&amp;RIGHT(INT(((V14)-1)/12),2)</f>
        <v>Abr/28</v>
      </c>
      <c r="W13" s="7" t="str">
        <f>INDEX(Lista_MesesAb,MOD((W14)-1,12)+1)&amp;"/"&amp;RIGHT(INT(((W14)-1)/12),2)</f>
        <v>Mai/28</v>
      </c>
      <c r="X13" s="7" t="str">
        <f>INDEX(Lista_MesesAb,MOD((X14)-1,12)+1)&amp;"/"&amp;RIGHT(INT(((X14)-1)/12),2)</f>
        <v>Jun/28</v>
      </c>
      <c r="Y13" s="7" t="str">
        <f>INDEX(Lista_MesesAb,MOD((Y14)-1,12)+1)&amp;"/"&amp;RIGHT(INT(((Y14)-1)/12),2)</f>
        <v>Jul/28</v>
      </c>
      <c r="Z13" s="7" t="str">
        <f>INDEX(Lista_MesesAb,MOD((Z14)-1,12)+1)&amp;"/"&amp;RIGHT(INT(((Z14)-1)/12),2)</f>
        <v>Ago/28</v>
      </c>
      <c r="AA13" s="7" t="str">
        <f>INDEX(Lista_MesesAb,MOD((AA14)-1,12)+1)&amp;"/"&amp;RIGHT(INT(((AA14)-1)/12),2)</f>
        <v>Set/28</v>
      </c>
      <c r="AB13" s="7" t="str">
        <f>INDEX(Lista_MesesAb,MOD((AB14)-1,12)+1)&amp;"/"&amp;RIGHT(INT(((AB14)-1)/12),2)</f>
        <v>Out/28</v>
      </c>
    </row>
    <row r="14" hidden="1">
      <c r="B14" s="28" t="inlineStr">
        <is>
          <t>Índice do mês (apoio)</t>
        </is>
      </c>
      <c r="E14" s="89">
        <f>Cfg_Idx+1</f>
        <v>24323</v>
      </c>
      <c r="F14" s="89">
        <f>Cfg_Idx+2</f>
        <v>24324</v>
      </c>
      <c r="G14" s="89">
        <f>Cfg_Idx+3</f>
        <v>24325</v>
      </c>
      <c r="H14" s="89">
        <f>Cfg_Idx+4</f>
        <v>24326</v>
      </c>
      <c r="I14" s="89">
        <f>Cfg_Idx+5</f>
        <v>24327</v>
      </c>
      <c r="J14" s="89">
        <f>Cfg_Idx+6</f>
        <v>24328</v>
      </c>
      <c r="K14" s="89">
        <f>Cfg_Idx+7</f>
        <v>24329</v>
      </c>
      <c r="L14" s="89">
        <f>Cfg_Idx+8</f>
        <v>24330</v>
      </c>
      <c r="M14" s="89">
        <f>Cfg_Idx+9</f>
        <v>24331</v>
      </c>
      <c r="N14" s="89">
        <f>Cfg_Idx+10</f>
        <v>24332</v>
      </c>
      <c r="O14" s="89">
        <f>Cfg_Idx+11</f>
        <v>24333</v>
      </c>
      <c r="P14" s="89">
        <f>Cfg_Idx+12</f>
        <v>24334</v>
      </c>
      <c r="Q14" s="89">
        <f>Cfg_Idx+13</f>
        <v>24335</v>
      </c>
      <c r="R14" s="89">
        <f>Cfg_Idx+14</f>
        <v>24336</v>
      </c>
      <c r="S14" s="89">
        <f>Cfg_Idx+15</f>
        <v>24337</v>
      </c>
      <c r="T14" s="89">
        <f>Cfg_Idx+16</f>
        <v>24338</v>
      </c>
      <c r="U14" s="89">
        <f>Cfg_Idx+17</f>
        <v>24339</v>
      </c>
      <c r="V14" s="89">
        <f>Cfg_Idx+18</f>
        <v>24340</v>
      </c>
      <c r="W14" s="89">
        <f>Cfg_Idx+19</f>
        <v>24341</v>
      </c>
      <c r="X14" s="89">
        <f>Cfg_Idx+20</f>
        <v>24342</v>
      </c>
      <c r="Y14" s="89">
        <f>Cfg_Idx+21</f>
        <v>24343</v>
      </c>
      <c r="Z14" s="89">
        <f>Cfg_Idx+22</f>
        <v>24344</v>
      </c>
      <c r="AA14" s="89">
        <f>Cfg_Idx+23</f>
        <v>24345</v>
      </c>
      <c r="AB14" s="89">
        <f>Cfg_Idx+24</f>
        <v>24346</v>
      </c>
    </row>
    <row r="15">
      <c r="B15" s="14" t="inlineStr">
        <is>
          <t>Receitas recorrentes</t>
        </is>
      </c>
      <c r="C15" s="79">
        <f>SUM(E15:P15)</f>
        <v>163200</v>
      </c>
      <c r="D15" s="79">
        <f>SUM(E15:AB15)</f>
        <v>326400</v>
      </c>
      <c r="E15" s="43">
        <f>(SUMIFS(Rec_Valor,Rec_Tipo,"Receita",Rec_Ativo,"Sim",Rec_IIni,"&lt;="&amp;(E$14),Rec_IFim,"&gt;="&amp;(E$14),Rec_Freq,"&lt;&gt;Anual")+SUMIFS(Rec_Valor,Rec_Tipo,"Receita",Rec_Ativo,"Sim",Rec_IIni,"&lt;="&amp;(E$14),Rec_IFim,"&gt;="&amp;(E$14),Rec_Freq,"Anual",Rec_MesRef,MOD((E$14)-1,12)+1))</f>
        <v>12700</v>
      </c>
      <c r="F15" s="43">
        <f>(SUMIFS(Rec_Valor,Rec_Tipo,"Receita",Rec_Ativo,"Sim",Rec_IIni,"&lt;="&amp;(F$14),Rec_IFim,"&gt;="&amp;(F$14),Rec_Freq,"&lt;&gt;Anual")+SUMIFS(Rec_Valor,Rec_Tipo,"Receita",Rec_Ativo,"Sim",Rec_IIni,"&lt;="&amp;(F$14),Rec_IFim,"&gt;="&amp;(F$14),Rec_Freq,"Anual",Rec_MesRef,MOD((F$14)-1,12)+1))</f>
        <v>23500</v>
      </c>
      <c r="G15" s="43">
        <f>(SUMIFS(Rec_Valor,Rec_Tipo,"Receita",Rec_Ativo,"Sim",Rec_IIni,"&lt;="&amp;(G$14),Rec_IFim,"&gt;="&amp;(G$14),Rec_Freq,"&lt;&gt;Anual")+SUMIFS(Rec_Valor,Rec_Tipo,"Receita",Rec_Ativo,"Sim",Rec_IIni,"&lt;="&amp;(G$14),Rec_IFim,"&gt;="&amp;(G$14),Rec_Freq,"Anual",Rec_MesRef,MOD((G$14)-1,12)+1))</f>
        <v>12700</v>
      </c>
      <c r="H15" s="43">
        <f>(SUMIFS(Rec_Valor,Rec_Tipo,"Receita",Rec_Ativo,"Sim",Rec_IIni,"&lt;="&amp;(H$14),Rec_IFim,"&gt;="&amp;(H$14),Rec_Freq,"&lt;&gt;Anual")+SUMIFS(Rec_Valor,Rec_Tipo,"Receita",Rec_Ativo,"Sim",Rec_IIni,"&lt;="&amp;(H$14),Rec_IFim,"&gt;="&amp;(H$14),Rec_Freq,"Anual",Rec_MesRef,MOD((H$14)-1,12)+1))</f>
        <v>12700</v>
      </c>
      <c r="I15" s="43">
        <f>(SUMIFS(Rec_Valor,Rec_Tipo,"Receita",Rec_Ativo,"Sim",Rec_IIni,"&lt;="&amp;(I$14),Rec_IFim,"&gt;="&amp;(I$14),Rec_Freq,"&lt;&gt;Anual")+SUMIFS(Rec_Valor,Rec_Tipo,"Receita",Rec_Ativo,"Sim",Rec_IIni,"&lt;="&amp;(I$14),Rec_IFim,"&gt;="&amp;(I$14),Rec_Freq,"Anual",Rec_MesRef,MOD((I$14)-1,12)+1))</f>
        <v>12700</v>
      </c>
      <c r="J15" s="43">
        <f>(SUMIFS(Rec_Valor,Rec_Tipo,"Receita",Rec_Ativo,"Sim",Rec_IIni,"&lt;="&amp;(J$14),Rec_IFim,"&gt;="&amp;(J$14),Rec_Freq,"&lt;&gt;Anual")+SUMIFS(Rec_Valor,Rec_Tipo,"Receita",Rec_Ativo,"Sim",Rec_IIni,"&lt;="&amp;(J$14),Rec_IFim,"&gt;="&amp;(J$14),Rec_Freq,"Anual",Rec_MesRef,MOD((J$14)-1,12)+1))</f>
        <v>12700</v>
      </c>
      <c r="K15" s="43">
        <f>(SUMIFS(Rec_Valor,Rec_Tipo,"Receita",Rec_Ativo,"Sim",Rec_IIni,"&lt;="&amp;(K$14),Rec_IFim,"&gt;="&amp;(K$14),Rec_Freq,"&lt;&gt;Anual")+SUMIFS(Rec_Valor,Rec_Tipo,"Receita",Rec_Ativo,"Sim",Rec_IIni,"&lt;="&amp;(K$14),Rec_IFim,"&gt;="&amp;(K$14),Rec_Freq,"Anual",Rec_MesRef,MOD((K$14)-1,12)+1))</f>
        <v>12700</v>
      </c>
      <c r="L15" s="43">
        <f>(SUMIFS(Rec_Valor,Rec_Tipo,"Receita",Rec_Ativo,"Sim",Rec_IIni,"&lt;="&amp;(L$14),Rec_IFim,"&gt;="&amp;(L$14),Rec_Freq,"&lt;&gt;Anual")+SUMIFS(Rec_Valor,Rec_Tipo,"Receita",Rec_Ativo,"Sim",Rec_IIni,"&lt;="&amp;(L$14),Rec_IFim,"&gt;="&amp;(L$14),Rec_Freq,"Anual",Rec_MesRef,MOD((L$14)-1,12)+1))</f>
        <v>12700</v>
      </c>
      <c r="M15" s="43">
        <f>(SUMIFS(Rec_Valor,Rec_Tipo,"Receita",Rec_Ativo,"Sim",Rec_IIni,"&lt;="&amp;(M$14),Rec_IFim,"&gt;="&amp;(M$14),Rec_Freq,"&lt;&gt;Anual")+SUMIFS(Rec_Valor,Rec_Tipo,"Receita",Rec_Ativo,"Sim",Rec_IIni,"&lt;="&amp;(M$14),Rec_IFim,"&gt;="&amp;(M$14),Rec_Freq,"Anual",Rec_MesRef,MOD((M$14)-1,12)+1))</f>
        <v>12700</v>
      </c>
      <c r="N15" s="43">
        <f>(SUMIFS(Rec_Valor,Rec_Tipo,"Receita",Rec_Ativo,"Sim",Rec_IIni,"&lt;="&amp;(N$14),Rec_IFim,"&gt;="&amp;(N$14),Rec_Freq,"&lt;&gt;Anual")+SUMIFS(Rec_Valor,Rec_Tipo,"Receita",Rec_Ativo,"Sim",Rec_IIni,"&lt;="&amp;(N$14),Rec_IFim,"&gt;="&amp;(N$14),Rec_Freq,"Anual",Rec_MesRef,MOD((N$14)-1,12)+1))</f>
        <v>12700</v>
      </c>
      <c r="O15" s="43">
        <f>(SUMIFS(Rec_Valor,Rec_Tipo,"Receita",Rec_Ativo,"Sim",Rec_IIni,"&lt;="&amp;(O$14),Rec_IFim,"&gt;="&amp;(O$14),Rec_Freq,"&lt;&gt;Anual")+SUMIFS(Rec_Valor,Rec_Tipo,"Receita",Rec_Ativo,"Sim",Rec_IIni,"&lt;="&amp;(O$14),Rec_IFim,"&gt;="&amp;(O$14),Rec_Freq,"Anual",Rec_MesRef,MOD((O$14)-1,12)+1))</f>
        <v>12700</v>
      </c>
      <c r="P15" s="43">
        <f>(SUMIFS(Rec_Valor,Rec_Tipo,"Receita",Rec_Ativo,"Sim",Rec_IIni,"&lt;="&amp;(P$14),Rec_IFim,"&gt;="&amp;(P$14),Rec_Freq,"&lt;&gt;Anual")+SUMIFS(Rec_Valor,Rec_Tipo,"Receita",Rec_Ativo,"Sim",Rec_IIni,"&lt;="&amp;(P$14),Rec_IFim,"&gt;="&amp;(P$14),Rec_Freq,"Anual",Rec_MesRef,MOD((P$14)-1,12)+1))</f>
        <v>12700</v>
      </c>
      <c r="Q15" s="43">
        <f>(SUMIFS(Rec_Valor,Rec_Tipo,"Receita",Rec_Ativo,"Sim",Rec_IIni,"&lt;="&amp;(Q$14),Rec_IFim,"&gt;="&amp;(Q$14),Rec_Freq,"&lt;&gt;Anual")+SUMIFS(Rec_Valor,Rec_Tipo,"Receita",Rec_Ativo,"Sim",Rec_IIni,"&lt;="&amp;(Q$14),Rec_IFim,"&gt;="&amp;(Q$14),Rec_Freq,"Anual",Rec_MesRef,MOD((Q$14)-1,12)+1))</f>
        <v>12700</v>
      </c>
      <c r="R15" s="43">
        <f>(SUMIFS(Rec_Valor,Rec_Tipo,"Receita",Rec_Ativo,"Sim",Rec_IIni,"&lt;="&amp;(R$14),Rec_IFim,"&gt;="&amp;(R$14),Rec_Freq,"&lt;&gt;Anual")+SUMIFS(Rec_Valor,Rec_Tipo,"Receita",Rec_Ativo,"Sim",Rec_IIni,"&lt;="&amp;(R$14),Rec_IFim,"&gt;="&amp;(R$14),Rec_Freq,"Anual",Rec_MesRef,MOD((R$14)-1,12)+1))</f>
        <v>23500</v>
      </c>
      <c r="S15" s="43">
        <f>(SUMIFS(Rec_Valor,Rec_Tipo,"Receita",Rec_Ativo,"Sim",Rec_IIni,"&lt;="&amp;(S$14),Rec_IFim,"&gt;="&amp;(S$14),Rec_Freq,"&lt;&gt;Anual")+SUMIFS(Rec_Valor,Rec_Tipo,"Receita",Rec_Ativo,"Sim",Rec_IIni,"&lt;="&amp;(S$14),Rec_IFim,"&gt;="&amp;(S$14),Rec_Freq,"Anual",Rec_MesRef,MOD((S$14)-1,12)+1))</f>
        <v>12700</v>
      </c>
      <c r="T15" s="43">
        <f>(SUMIFS(Rec_Valor,Rec_Tipo,"Receita",Rec_Ativo,"Sim",Rec_IIni,"&lt;="&amp;(T$14),Rec_IFim,"&gt;="&amp;(T$14),Rec_Freq,"&lt;&gt;Anual")+SUMIFS(Rec_Valor,Rec_Tipo,"Receita",Rec_Ativo,"Sim",Rec_IIni,"&lt;="&amp;(T$14),Rec_IFim,"&gt;="&amp;(T$14),Rec_Freq,"Anual",Rec_MesRef,MOD((T$14)-1,12)+1))</f>
        <v>12700</v>
      </c>
      <c r="U15" s="43">
        <f>(SUMIFS(Rec_Valor,Rec_Tipo,"Receita",Rec_Ativo,"Sim",Rec_IIni,"&lt;="&amp;(U$14),Rec_IFim,"&gt;="&amp;(U$14),Rec_Freq,"&lt;&gt;Anual")+SUMIFS(Rec_Valor,Rec_Tipo,"Receita",Rec_Ativo,"Sim",Rec_IIni,"&lt;="&amp;(U$14),Rec_IFim,"&gt;="&amp;(U$14),Rec_Freq,"Anual",Rec_MesRef,MOD((U$14)-1,12)+1))</f>
        <v>12700</v>
      </c>
      <c r="V15" s="43">
        <f>(SUMIFS(Rec_Valor,Rec_Tipo,"Receita",Rec_Ativo,"Sim",Rec_IIni,"&lt;="&amp;(V$14),Rec_IFim,"&gt;="&amp;(V$14),Rec_Freq,"&lt;&gt;Anual")+SUMIFS(Rec_Valor,Rec_Tipo,"Receita",Rec_Ativo,"Sim",Rec_IIni,"&lt;="&amp;(V$14),Rec_IFim,"&gt;="&amp;(V$14),Rec_Freq,"Anual",Rec_MesRef,MOD((V$14)-1,12)+1))</f>
        <v>12700</v>
      </c>
      <c r="W15" s="43">
        <f>(SUMIFS(Rec_Valor,Rec_Tipo,"Receita",Rec_Ativo,"Sim",Rec_IIni,"&lt;="&amp;(W$14),Rec_IFim,"&gt;="&amp;(W$14),Rec_Freq,"&lt;&gt;Anual")+SUMIFS(Rec_Valor,Rec_Tipo,"Receita",Rec_Ativo,"Sim",Rec_IIni,"&lt;="&amp;(W$14),Rec_IFim,"&gt;="&amp;(W$14),Rec_Freq,"Anual",Rec_MesRef,MOD((W$14)-1,12)+1))</f>
        <v>12700</v>
      </c>
      <c r="X15" s="43">
        <f>(SUMIFS(Rec_Valor,Rec_Tipo,"Receita",Rec_Ativo,"Sim",Rec_IIni,"&lt;="&amp;(X$14),Rec_IFim,"&gt;="&amp;(X$14),Rec_Freq,"&lt;&gt;Anual")+SUMIFS(Rec_Valor,Rec_Tipo,"Receita",Rec_Ativo,"Sim",Rec_IIni,"&lt;="&amp;(X$14),Rec_IFim,"&gt;="&amp;(X$14),Rec_Freq,"Anual",Rec_MesRef,MOD((X$14)-1,12)+1))</f>
        <v>12700</v>
      </c>
      <c r="Y15" s="43">
        <f>(SUMIFS(Rec_Valor,Rec_Tipo,"Receita",Rec_Ativo,"Sim",Rec_IIni,"&lt;="&amp;(Y$14),Rec_IFim,"&gt;="&amp;(Y$14),Rec_Freq,"&lt;&gt;Anual")+SUMIFS(Rec_Valor,Rec_Tipo,"Receita",Rec_Ativo,"Sim",Rec_IIni,"&lt;="&amp;(Y$14),Rec_IFim,"&gt;="&amp;(Y$14),Rec_Freq,"Anual",Rec_MesRef,MOD((Y$14)-1,12)+1))</f>
        <v>12700</v>
      </c>
      <c r="Z15" s="43">
        <f>(SUMIFS(Rec_Valor,Rec_Tipo,"Receita",Rec_Ativo,"Sim",Rec_IIni,"&lt;="&amp;(Z$14),Rec_IFim,"&gt;="&amp;(Z$14),Rec_Freq,"&lt;&gt;Anual")+SUMIFS(Rec_Valor,Rec_Tipo,"Receita",Rec_Ativo,"Sim",Rec_IIni,"&lt;="&amp;(Z$14),Rec_IFim,"&gt;="&amp;(Z$14),Rec_Freq,"Anual",Rec_MesRef,MOD((Z$14)-1,12)+1))</f>
        <v>12700</v>
      </c>
      <c r="AA15" s="43">
        <f>(SUMIFS(Rec_Valor,Rec_Tipo,"Receita",Rec_Ativo,"Sim",Rec_IIni,"&lt;="&amp;(AA$14),Rec_IFim,"&gt;="&amp;(AA$14),Rec_Freq,"&lt;&gt;Anual")+SUMIFS(Rec_Valor,Rec_Tipo,"Receita",Rec_Ativo,"Sim",Rec_IIni,"&lt;="&amp;(AA$14),Rec_IFim,"&gt;="&amp;(AA$14),Rec_Freq,"Anual",Rec_MesRef,MOD((AA$14)-1,12)+1))</f>
        <v>12700</v>
      </c>
      <c r="AB15" s="43">
        <f>(SUMIFS(Rec_Valor,Rec_Tipo,"Receita",Rec_Ativo,"Sim",Rec_IIni,"&lt;="&amp;(AB$14),Rec_IFim,"&gt;="&amp;(AB$14),Rec_Freq,"&lt;&gt;Anual")+SUMIFS(Rec_Valor,Rec_Tipo,"Receita",Rec_Ativo,"Sim",Rec_IIni,"&lt;="&amp;(AB$14),Rec_IFim,"&gt;="&amp;(AB$14),Rec_Freq,"Anual",Rec_MesRef,MOD((AB$14)-1,12)+1))</f>
        <v>12700</v>
      </c>
    </row>
    <row r="16">
      <c r="B16" s="14" t="inlineStr">
        <is>
          <t>Receitas já lançadas/agendadas (LANÇAMENTOS)</t>
        </is>
      </c>
      <c r="C16" s="79">
        <f>SUM(E16:P16)</f>
        <v>0</v>
      </c>
      <c r="D16" s="79">
        <f>SUM(E16:AB16)</f>
        <v>0</v>
      </c>
      <c r="E16" s="43">
        <f>SUMIFS(L_VParc,L_Tipo,"Receita",L_IIni,"&lt;="&amp;(E$14),L_IFim,"&gt;="&amp;(E$14))</f>
        <v>0</v>
      </c>
      <c r="F16" s="43">
        <f>SUMIFS(L_VParc,L_Tipo,"Receita",L_IIni,"&lt;="&amp;(F$14),L_IFim,"&gt;="&amp;(F$14))</f>
        <v>0</v>
      </c>
      <c r="G16" s="43">
        <f>SUMIFS(L_VParc,L_Tipo,"Receita",L_IIni,"&lt;="&amp;(G$14),L_IFim,"&gt;="&amp;(G$14))</f>
        <v>0</v>
      </c>
      <c r="H16" s="43">
        <f>SUMIFS(L_VParc,L_Tipo,"Receita",L_IIni,"&lt;="&amp;(H$14),L_IFim,"&gt;="&amp;(H$14))</f>
        <v>0</v>
      </c>
      <c r="I16" s="43">
        <f>SUMIFS(L_VParc,L_Tipo,"Receita",L_IIni,"&lt;="&amp;(I$14),L_IFim,"&gt;="&amp;(I$14))</f>
        <v>0</v>
      </c>
      <c r="J16" s="43">
        <f>SUMIFS(L_VParc,L_Tipo,"Receita",L_IIni,"&lt;="&amp;(J$14),L_IFim,"&gt;="&amp;(J$14))</f>
        <v>0</v>
      </c>
      <c r="K16" s="43">
        <f>SUMIFS(L_VParc,L_Tipo,"Receita",L_IIni,"&lt;="&amp;(K$14),L_IFim,"&gt;="&amp;(K$14))</f>
        <v>0</v>
      </c>
      <c r="L16" s="43">
        <f>SUMIFS(L_VParc,L_Tipo,"Receita",L_IIni,"&lt;="&amp;(L$14),L_IFim,"&gt;="&amp;(L$14))</f>
        <v>0</v>
      </c>
      <c r="M16" s="43">
        <f>SUMIFS(L_VParc,L_Tipo,"Receita",L_IIni,"&lt;="&amp;(M$14),L_IFim,"&gt;="&amp;(M$14))</f>
        <v>0</v>
      </c>
      <c r="N16" s="43">
        <f>SUMIFS(L_VParc,L_Tipo,"Receita",L_IIni,"&lt;="&amp;(N$14),L_IFim,"&gt;="&amp;(N$14))</f>
        <v>0</v>
      </c>
      <c r="O16" s="43">
        <f>SUMIFS(L_VParc,L_Tipo,"Receita",L_IIni,"&lt;="&amp;(O$14),L_IFim,"&gt;="&amp;(O$14))</f>
        <v>0</v>
      </c>
      <c r="P16" s="43">
        <f>SUMIFS(L_VParc,L_Tipo,"Receita",L_IIni,"&lt;="&amp;(P$14),L_IFim,"&gt;="&amp;(P$14))</f>
        <v>0</v>
      </c>
      <c r="Q16" s="43">
        <f>SUMIFS(L_VParc,L_Tipo,"Receita",L_IIni,"&lt;="&amp;(Q$14),L_IFim,"&gt;="&amp;(Q$14))</f>
        <v>0</v>
      </c>
      <c r="R16" s="43">
        <f>SUMIFS(L_VParc,L_Tipo,"Receita",L_IIni,"&lt;="&amp;(R$14),L_IFim,"&gt;="&amp;(R$14))</f>
        <v>0</v>
      </c>
      <c r="S16" s="43">
        <f>SUMIFS(L_VParc,L_Tipo,"Receita",L_IIni,"&lt;="&amp;(S$14),L_IFim,"&gt;="&amp;(S$14))</f>
        <v>0</v>
      </c>
      <c r="T16" s="43">
        <f>SUMIFS(L_VParc,L_Tipo,"Receita",L_IIni,"&lt;="&amp;(T$14),L_IFim,"&gt;="&amp;(T$14))</f>
        <v>0</v>
      </c>
      <c r="U16" s="43">
        <f>SUMIFS(L_VParc,L_Tipo,"Receita",L_IIni,"&lt;="&amp;(U$14),L_IFim,"&gt;="&amp;(U$14))</f>
        <v>0</v>
      </c>
      <c r="V16" s="43">
        <f>SUMIFS(L_VParc,L_Tipo,"Receita",L_IIni,"&lt;="&amp;(V$14),L_IFim,"&gt;="&amp;(V$14))</f>
        <v>0</v>
      </c>
      <c r="W16" s="43">
        <f>SUMIFS(L_VParc,L_Tipo,"Receita",L_IIni,"&lt;="&amp;(W$14),L_IFim,"&gt;="&amp;(W$14))</f>
        <v>0</v>
      </c>
      <c r="X16" s="43">
        <f>SUMIFS(L_VParc,L_Tipo,"Receita",L_IIni,"&lt;="&amp;(X$14),L_IFim,"&gt;="&amp;(X$14))</f>
        <v>0</v>
      </c>
      <c r="Y16" s="43">
        <f>SUMIFS(L_VParc,L_Tipo,"Receita",L_IIni,"&lt;="&amp;(Y$14),L_IFim,"&gt;="&amp;(Y$14))</f>
        <v>0</v>
      </c>
      <c r="Z16" s="43">
        <f>SUMIFS(L_VParc,L_Tipo,"Receita",L_IIni,"&lt;="&amp;(Z$14),L_IFim,"&gt;="&amp;(Z$14))</f>
        <v>0</v>
      </c>
      <c r="AA16" s="43">
        <f>SUMIFS(L_VParc,L_Tipo,"Receita",L_IIni,"&lt;="&amp;(AA$14),L_IFim,"&gt;="&amp;(AA$14))</f>
        <v>0</v>
      </c>
      <c r="AB16" s="43">
        <f>SUMIFS(L_VParc,L_Tipo,"Receita",L_IIni,"&lt;="&amp;(AB$14),L_IFim,"&gt;="&amp;(AB$14))</f>
        <v>0</v>
      </c>
    </row>
    <row r="17">
      <c r="B17" s="9" t="inlineStr">
        <is>
          <t>RECEITAS PROJETADAS</t>
        </is>
      </c>
      <c r="C17" s="79">
        <f>SUM(E17:P17)</f>
        <v>163200</v>
      </c>
      <c r="D17" s="79">
        <f>SUM(E17:AB17)</f>
        <v>326400</v>
      </c>
      <c r="E17" s="79">
        <f>IF(E15+E16=0,K_RendaBase,E15+E16)</f>
        <v>12700</v>
      </c>
      <c r="F17" s="79">
        <f>IF(F15+F16=0,K_RendaBase,F15+F16)</f>
        <v>23500</v>
      </c>
      <c r="G17" s="79">
        <f>IF(G15+G16=0,K_RendaBase,G15+G16)</f>
        <v>12700</v>
      </c>
      <c r="H17" s="79">
        <f>IF(H15+H16=0,K_RendaBase,H15+H16)</f>
        <v>12700</v>
      </c>
      <c r="I17" s="79">
        <f>IF(I15+I16=0,K_RendaBase,I15+I16)</f>
        <v>12700</v>
      </c>
      <c r="J17" s="79">
        <f>IF(J15+J16=0,K_RendaBase,J15+J16)</f>
        <v>12700</v>
      </c>
      <c r="K17" s="79">
        <f>IF(K15+K16=0,K_RendaBase,K15+K16)</f>
        <v>12700</v>
      </c>
      <c r="L17" s="79">
        <f>IF(L15+L16=0,K_RendaBase,L15+L16)</f>
        <v>12700</v>
      </c>
      <c r="M17" s="79">
        <f>IF(M15+M16=0,K_RendaBase,M15+M16)</f>
        <v>12700</v>
      </c>
      <c r="N17" s="79">
        <f>IF(N15+N16=0,K_RendaBase,N15+N16)</f>
        <v>12700</v>
      </c>
      <c r="O17" s="79">
        <f>IF(O15+O16=0,K_RendaBase,O15+O16)</f>
        <v>12700</v>
      </c>
      <c r="P17" s="79">
        <f>IF(P15+P16=0,K_RendaBase,P15+P16)</f>
        <v>12700</v>
      </c>
      <c r="Q17" s="79">
        <f>IF(Q15+Q16=0,K_RendaBase,Q15+Q16)</f>
        <v>12700</v>
      </c>
      <c r="R17" s="79">
        <f>IF(R15+R16=0,K_RendaBase,R15+R16)</f>
        <v>23500</v>
      </c>
      <c r="S17" s="79">
        <f>IF(S15+S16=0,K_RendaBase,S15+S16)</f>
        <v>12700</v>
      </c>
      <c r="T17" s="79">
        <f>IF(T15+T16=0,K_RendaBase,T15+T16)</f>
        <v>12700</v>
      </c>
      <c r="U17" s="79">
        <f>IF(U15+U16=0,K_RendaBase,U15+U16)</f>
        <v>12700</v>
      </c>
      <c r="V17" s="79">
        <f>IF(V15+V16=0,K_RendaBase,V15+V16)</f>
        <v>12700</v>
      </c>
      <c r="W17" s="79">
        <f>IF(W15+W16=0,K_RendaBase,W15+W16)</f>
        <v>12700</v>
      </c>
      <c r="X17" s="79">
        <f>IF(X15+X16=0,K_RendaBase,X15+X16)</f>
        <v>12700</v>
      </c>
      <c r="Y17" s="79">
        <f>IF(Y15+Y16=0,K_RendaBase,Y15+Y16)</f>
        <v>12700</v>
      </c>
      <c r="Z17" s="79">
        <f>IF(Z15+Z16=0,K_RendaBase,Z15+Z16)</f>
        <v>12700</v>
      </c>
      <c r="AA17" s="79">
        <f>IF(AA15+AA16=0,K_RendaBase,AA15+AA16)</f>
        <v>12700</v>
      </c>
      <c r="AB17" s="79">
        <f>IF(AB15+AB16=0,K_RendaBase,AB15+AB16)</f>
        <v>12700</v>
      </c>
    </row>
    <row r="18">
      <c r="B18" s="14" t="inlineStr">
        <is>
          <t>Despesas fixas (recorrentes; ou média histórica se não houver)</t>
        </is>
      </c>
      <c r="C18" s="79">
        <f>SUM(E18:P18)</f>
        <v>80975.1951030161</v>
      </c>
      <c r="D18" s="79">
        <f>SUM(E18:AB18)</f>
        <v>157958.757889013</v>
      </c>
      <c r="E18" s="43">
        <f>IF((SUMIFS(Rec_Valor,Rec_Tipo,"Despesa",Rec_Ativo,"Sim",Rec_IIni,"&lt;="&amp;(E$14),Rec_IFim,"&gt;="&amp;(E$14),Rec_Freq,"&lt;&gt;Anual")+SUMIFS(Rec_Valor,Rec_Tipo,"Despesa",Rec_Ativo,"Sim",Rec_IIni,"&lt;="&amp;(E$14),Rec_IFim,"&gt;="&amp;(E$14),Rec_Freq,"Anual",Rec_MesRef,MOD((E$14)-1,12)+1))=0,K_FixaMed,(SUMIFS(Rec_Valor,Rec_Tipo,"Despesa",Rec_Ativo,"Sim",Rec_IIni,"&lt;="&amp;(E$14),Rec_IFim,"&gt;="&amp;(E$14),Rec_Freq,"&lt;&gt;Anual")+SUMIFS(Rec_Valor,Rec_Tipo,"Despesa",Rec_Ativo,"Sim",Rec_IIni,"&lt;="&amp;(E$14),Rec_IFim,"&gt;="&amp;(E$14),Rec_Freq,"Anual",Rec_MesRef,MOD((E$14)-1,12)+1)))*(1+Cfg_Infl)^(1/12)</f>
        <v>6585.71262936191</v>
      </c>
      <c r="F18" s="43">
        <f>IF((SUMIFS(Rec_Valor,Rec_Tipo,"Despesa",Rec_Ativo,"Sim",Rec_IIni,"&lt;="&amp;(F$14),Rec_IFim,"&gt;="&amp;(F$14),Rec_Freq,"&lt;&gt;Anual")+SUMIFS(Rec_Valor,Rec_Tipo,"Despesa",Rec_Ativo,"Sim",Rec_IIni,"&lt;="&amp;(F$14),Rec_IFim,"&gt;="&amp;(F$14),Rec_Freq,"Anual",Rec_MesRef,MOD((F$14)-1,12)+1))=0,K_FixaMed,(SUMIFS(Rec_Valor,Rec_Tipo,"Despesa",Rec_Ativo,"Sim",Rec_IIni,"&lt;="&amp;(F$14),Rec_IFim,"&gt;="&amp;(F$14),Rec_Freq,"&lt;&gt;Anual")+SUMIFS(Rec_Valor,Rec_Tipo,"Despesa",Rec_Ativo,"Sim",Rec_IIni,"&lt;="&amp;(F$14),Rec_IFim,"&gt;="&amp;(F$14),Rec_Freq,"Anual",Rec_MesRef,MOD((F$14)-1,12)+1)))*(1+Cfg_Infl)^(2/12)</f>
        <v>6609.91386804086</v>
      </c>
      <c r="G18" s="43">
        <f>IF((SUMIFS(Rec_Valor,Rec_Tipo,"Despesa",Rec_Ativo,"Sim",Rec_IIni,"&lt;="&amp;(G$14),Rec_IFim,"&gt;="&amp;(G$14),Rec_Freq,"&lt;&gt;Anual")+SUMIFS(Rec_Valor,Rec_Tipo,"Despesa",Rec_Ativo,"Sim",Rec_IIni,"&lt;="&amp;(G$14),Rec_IFim,"&gt;="&amp;(G$14),Rec_Freq,"Anual",Rec_MesRef,MOD((G$14)-1,12)+1))=0,K_FixaMed,(SUMIFS(Rec_Valor,Rec_Tipo,"Despesa",Rec_Ativo,"Sim",Rec_IIni,"&lt;="&amp;(G$14),Rec_IFim,"&gt;="&amp;(G$14),Rec_Freq,"&lt;&gt;Anual")+SUMIFS(Rec_Valor,Rec_Tipo,"Despesa",Rec_Ativo,"Sim",Rec_IIni,"&lt;="&amp;(G$14),Rec_IFim,"&gt;="&amp;(G$14),Rec_Freq,"Anual",Rec_MesRef,MOD((G$14)-1,12)+1)))*(1+Cfg_Infl)^(3/12)</f>
        <v>8363.12517541276</v>
      </c>
      <c r="H18" s="43">
        <f>IF((SUMIFS(Rec_Valor,Rec_Tipo,"Despesa",Rec_Ativo,"Sim",Rec_IIni,"&lt;="&amp;(H$14),Rec_IFim,"&gt;="&amp;(H$14),Rec_Freq,"&lt;&gt;Anual")+SUMIFS(Rec_Valor,Rec_Tipo,"Despesa",Rec_Ativo,"Sim",Rec_IIni,"&lt;="&amp;(H$14),Rec_IFim,"&gt;="&amp;(H$14),Rec_Freq,"Anual",Rec_MesRef,MOD((H$14)-1,12)+1))=0,K_FixaMed,(SUMIFS(Rec_Valor,Rec_Tipo,"Despesa",Rec_Ativo,"Sim",Rec_IIni,"&lt;="&amp;(H$14),Rec_IFim,"&gt;="&amp;(H$14),Rec_Freq,"&lt;&gt;Anual")+SUMIFS(Rec_Valor,Rec_Tipo,"Despesa",Rec_Ativo,"Sim",Rec_IIni,"&lt;="&amp;(H$14),Rec_IFim,"&gt;="&amp;(H$14),Rec_Freq,"Anual",Rec_MesRef,MOD((H$14)-1,12)+1)))*(1+Cfg_Infl)^(4/12)</f>
        <v>6262.81909699995</v>
      </c>
      <c r="I18" s="43">
        <f>IF((SUMIFS(Rec_Valor,Rec_Tipo,"Despesa",Rec_Ativo,"Sim",Rec_IIni,"&lt;="&amp;(I$14),Rec_IFim,"&gt;="&amp;(I$14),Rec_Freq,"&lt;&gt;Anual")+SUMIFS(Rec_Valor,Rec_Tipo,"Despesa",Rec_Ativo,"Sim",Rec_IIni,"&lt;="&amp;(I$14),Rec_IFim,"&gt;="&amp;(I$14),Rec_Freq,"Anual",Rec_MesRef,MOD((I$14)-1,12)+1))=0,K_FixaMed,(SUMIFS(Rec_Valor,Rec_Tipo,"Despesa",Rec_Ativo,"Sim",Rec_IIni,"&lt;="&amp;(I$14),Rec_IFim,"&gt;="&amp;(I$14),Rec_Freq,"&lt;&gt;Anual")+SUMIFS(Rec_Valor,Rec_Tipo,"Despesa",Rec_Ativo,"Sim",Rec_IIni,"&lt;="&amp;(I$14),Rec_IFim,"&gt;="&amp;(I$14),Rec_Freq,"Anual",Rec_MesRef,MOD((I$14)-1,12)+1)))*(1+Cfg_Infl)^(5/12)</f>
        <v>6285.83376349084</v>
      </c>
      <c r="J18" s="43">
        <f>IF((SUMIFS(Rec_Valor,Rec_Tipo,"Despesa",Rec_Ativo,"Sim",Rec_IIni,"&lt;="&amp;(J$14),Rec_IFim,"&gt;="&amp;(J$14),Rec_Freq,"&lt;&gt;Anual")+SUMIFS(Rec_Valor,Rec_Tipo,"Despesa",Rec_Ativo,"Sim",Rec_IIni,"&lt;="&amp;(J$14),Rec_IFim,"&gt;="&amp;(J$14),Rec_Freq,"Anual",Rec_MesRef,MOD((J$14)-1,12)+1))=0,K_FixaMed,(SUMIFS(Rec_Valor,Rec_Tipo,"Despesa",Rec_Ativo,"Sim",Rec_IIni,"&lt;="&amp;(J$14),Rec_IFim,"&gt;="&amp;(J$14),Rec_Freq,"&lt;&gt;Anual")+SUMIFS(Rec_Valor,Rec_Tipo,"Despesa",Rec_Ativo,"Sim",Rec_IIni,"&lt;="&amp;(J$14),Rec_IFim,"&gt;="&amp;(J$14),Rec_Freq,"Anual",Rec_MesRef,MOD((J$14)-1,12)+1)))*(1+Cfg_Infl)^(6/12)</f>
        <v>6308.9330044945</v>
      </c>
      <c r="K18" s="43">
        <f>IF((SUMIFS(Rec_Valor,Rec_Tipo,"Despesa",Rec_Ativo,"Sim",Rec_IIni,"&lt;="&amp;(K$14),Rec_IFim,"&gt;="&amp;(K$14),Rec_Freq,"&lt;&gt;Anual")+SUMIFS(Rec_Valor,Rec_Tipo,"Despesa",Rec_Ativo,"Sim",Rec_IIni,"&lt;="&amp;(K$14),Rec_IFim,"&gt;="&amp;(K$14),Rec_Freq,"Anual",Rec_MesRef,MOD((K$14)-1,12)+1))=0,K_FixaMed,(SUMIFS(Rec_Valor,Rec_Tipo,"Despesa",Rec_Ativo,"Sim",Rec_IIni,"&lt;="&amp;(K$14),Rec_IFim,"&gt;="&amp;(K$14),Rec_Freq,"&lt;&gt;Anual")+SUMIFS(Rec_Valor,Rec_Tipo,"Despesa",Rec_Ativo,"Sim",Rec_IIni,"&lt;="&amp;(K$14),Rec_IFim,"&gt;="&amp;(K$14),Rec_Freq,"Anual",Rec_MesRef,MOD((K$14)-1,12)+1)))*(1+Cfg_Infl)^(7/12)</f>
        <v>6332.11713080614</v>
      </c>
      <c r="L18" s="43">
        <f>IF((SUMIFS(Rec_Valor,Rec_Tipo,"Despesa",Rec_Ativo,"Sim",Rec_IIni,"&lt;="&amp;(L$14),Rec_IFim,"&gt;="&amp;(L$14),Rec_Freq,"&lt;&gt;Anual")+SUMIFS(Rec_Valor,Rec_Tipo,"Despesa",Rec_Ativo,"Sim",Rec_IIni,"&lt;="&amp;(L$14),Rec_IFim,"&gt;="&amp;(L$14),Rec_Freq,"Anual",Rec_MesRef,MOD((L$14)-1,12)+1))=0,K_FixaMed,(SUMIFS(Rec_Valor,Rec_Tipo,"Despesa",Rec_Ativo,"Sim",Rec_IIni,"&lt;="&amp;(L$14),Rec_IFim,"&gt;="&amp;(L$14),Rec_Freq,"&lt;&gt;Anual")+SUMIFS(Rec_Valor,Rec_Tipo,"Despesa",Rec_Ativo,"Sim",Rec_IIni,"&lt;="&amp;(L$14),Rec_IFim,"&gt;="&amp;(L$14),Rec_Freq,"Anual",Rec_MesRef,MOD((L$14)-1,12)+1)))*(1+Cfg_Infl)^(8/12)</f>
        <v>6355.3864543631</v>
      </c>
      <c r="M18" s="43">
        <f>IF((SUMIFS(Rec_Valor,Rec_Tipo,"Despesa",Rec_Ativo,"Sim",Rec_IIni,"&lt;="&amp;(M$14),Rec_IFim,"&gt;="&amp;(M$14),Rec_Freq,"&lt;&gt;Anual")+SUMIFS(Rec_Valor,Rec_Tipo,"Despesa",Rec_Ativo,"Sim",Rec_IIni,"&lt;="&amp;(M$14),Rec_IFim,"&gt;="&amp;(M$14),Rec_Freq,"Anual",Rec_MesRef,MOD((M$14)-1,12)+1))=0,K_FixaMed,(SUMIFS(Rec_Valor,Rec_Tipo,"Despesa",Rec_Ativo,"Sim",Rec_IIni,"&lt;="&amp;(M$14),Rec_IFim,"&gt;="&amp;(M$14),Rec_Freq,"&lt;&gt;Anual")+SUMIFS(Rec_Valor,Rec_Tipo,"Despesa",Rec_Ativo,"Sim",Rec_IIni,"&lt;="&amp;(M$14),Rec_IFim,"&gt;="&amp;(M$14),Rec_Freq,"Anual",Rec_MesRef,MOD((M$14)-1,12)+1)))*(1+Cfg_Infl)^(9/12)</f>
        <v>6378.741288249</v>
      </c>
      <c r="N18" s="43">
        <f>IF((SUMIFS(Rec_Valor,Rec_Tipo,"Despesa",Rec_Ativo,"Sim",Rec_IIni,"&lt;="&amp;(N$14),Rec_IFim,"&gt;="&amp;(N$14),Rec_Freq,"&lt;&gt;Anual")+SUMIFS(Rec_Valor,Rec_Tipo,"Despesa",Rec_Ativo,"Sim",Rec_IIni,"&lt;="&amp;(N$14),Rec_IFim,"&gt;="&amp;(N$14),Rec_Freq,"Anual",Rec_MesRef,MOD((N$14)-1,12)+1))=0,K_FixaMed,(SUMIFS(Rec_Valor,Rec_Tipo,"Despesa",Rec_Ativo,"Sim",Rec_IIni,"&lt;="&amp;(N$14),Rec_IFim,"&gt;="&amp;(N$14),Rec_Freq,"&lt;&gt;Anual")+SUMIFS(Rec_Valor,Rec_Tipo,"Despesa",Rec_Ativo,"Sim",Rec_IIni,"&lt;="&amp;(N$14),Rec_IFim,"&gt;="&amp;(N$14),Rec_Freq,"Anual",Rec_MesRef,MOD((N$14)-1,12)+1)))*(1+Cfg_Infl)^(10/12)</f>
        <v>6402.18194669801</v>
      </c>
      <c r="O18" s="43">
        <f>IF((SUMIFS(Rec_Valor,Rec_Tipo,"Despesa",Rec_Ativo,"Sim",Rec_IIni,"&lt;="&amp;(O$14),Rec_IFim,"&gt;="&amp;(O$14),Rec_Freq,"&lt;&gt;Anual")+SUMIFS(Rec_Valor,Rec_Tipo,"Despesa",Rec_Ativo,"Sim",Rec_IIni,"&lt;="&amp;(O$14),Rec_IFim,"&gt;="&amp;(O$14),Rec_Freq,"Anual",Rec_MesRef,MOD((O$14)-1,12)+1))=0,K_FixaMed,(SUMIFS(Rec_Valor,Rec_Tipo,"Despesa",Rec_Ativo,"Sim",Rec_IIni,"&lt;="&amp;(O$14),Rec_IFim,"&gt;="&amp;(O$14),Rec_Freq,"&lt;&gt;Anual")+SUMIFS(Rec_Valor,Rec_Tipo,"Despesa",Rec_Ativo,"Sim",Rec_IIni,"&lt;="&amp;(O$14),Rec_IFim,"&gt;="&amp;(O$14),Rec_Freq,"Anual",Rec_MesRef,MOD((O$14)-1,12)+1)))*(1+Cfg_Infl)^(11/12)</f>
        <v>6425.70874509904</v>
      </c>
      <c r="P18" s="43">
        <f>IF((SUMIFS(Rec_Valor,Rec_Tipo,"Despesa",Rec_Ativo,"Sim",Rec_IIni,"&lt;="&amp;(P$14),Rec_IFim,"&gt;="&amp;(P$14),Rec_Freq,"&lt;&gt;Anual")+SUMIFS(Rec_Valor,Rec_Tipo,"Despesa",Rec_Ativo,"Sim",Rec_IIni,"&lt;="&amp;(P$14),Rec_IFim,"&gt;="&amp;(P$14),Rec_Freq,"Anual",Rec_MesRef,MOD((P$14)-1,12)+1))=0,K_FixaMed,(SUMIFS(Rec_Valor,Rec_Tipo,"Despesa",Rec_Ativo,"Sim",Rec_IIni,"&lt;="&amp;(P$14),Rec_IFim,"&gt;="&amp;(P$14),Rec_Freq,"&lt;&gt;Anual")+SUMIFS(Rec_Valor,Rec_Tipo,"Despesa",Rec_Ativo,"Sim",Rec_IIni,"&lt;="&amp;(P$14),Rec_IFim,"&gt;="&amp;(P$14),Rec_Freq,"Anual",Rec_MesRef,MOD((P$14)-1,12)+1)))*(1+Cfg_Infl)^(12/12)</f>
        <v>8664.722</v>
      </c>
      <c r="Q18" s="43">
        <f>IF((SUMIFS(Rec_Valor,Rec_Tipo,"Despesa",Rec_Ativo,"Sim",Rec_IIni,"&lt;="&amp;(Q$14),Rec_IFim,"&gt;="&amp;(Q$14),Rec_Freq,"&lt;&gt;Anual")+SUMIFS(Rec_Valor,Rec_Tipo,"Despesa",Rec_Ativo,"Sim",Rec_IIni,"&lt;="&amp;(Q$14),Rec_IFim,"&gt;="&amp;(Q$14),Rec_Freq,"Anual",Rec_MesRef,MOD((Q$14)-1,12)+1))=0,K_FixaMed,(SUMIFS(Rec_Valor,Rec_Tipo,"Despesa",Rec_Ativo,"Sim",Rec_IIni,"&lt;="&amp;(Q$14),Rec_IFim,"&gt;="&amp;(Q$14),Rec_Freq,"&lt;&gt;Anual")+SUMIFS(Rec_Valor,Rec_Tipo,"Despesa",Rec_Ativo,"Sim",Rec_IIni,"&lt;="&amp;(Q$14),Rec_IFim,"&gt;="&amp;(Q$14),Rec_Freq,"Anual",Rec_MesRef,MOD((Q$14)-1,12)+1)))*(1+Cfg_Infl)^(13/12)</f>
        <v>5864.69472713444</v>
      </c>
      <c r="R18" s="43">
        <f>IF((SUMIFS(Rec_Valor,Rec_Tipo,"Despesa",Rec_Ativo,"Sim",Rec_IIni,"&lt;="&amp;(R$14),Rec_IFim,"&gt;="&amp;(R$14),Rec_Freq,"&lt;&gt;Anual")+SUMIFS(Rec_Valor,Rec_Tipo,"Despesa",Rec_Ativo,"Sim",Rec_IIni,"&lt;="&amp;(R$14),Rec_IFim,"&gt;="&amp;(R$14),Rec_Freq,"Anual",Rec_MesRef,MOD((R$14)-1,12)+1))=0,K_FixaMed,(SUMIFS(Rec_Valor,Rec_Tipo,"Despesa",Rec_Ativo,"Sim",Rec_IIni,"&lt;="&amp;(R$14),Rec_IFim,"&gt;="&amp;(R$14),Rec_Freq,"&lt;&gt;Anual")+SUMIFS(Rec_Valor,Rec_Tipo,"Despesa",Rec_Ativo,"Sim",Rec_IIni,"&lt;="&amp;(R$14),Rec_IFim,"&gt;="&amp;(R$14),Rec_Freq,"Anual",Rec_MesRef,MOD((R$14)-1,12)+1)))*(1+Cfg_Infl)^(14/12)</f>
        <v>5886.2463624484</v>
      </c>
      <c r="S18" s="43">
        <f>IF((SUMIFS(Rec_Valor,Rec_Tipo,"Despesa",Rec_Ativo,"Sim",Rec_IIni,"&lt;="&amp;(S$14),Rec_IFim,"&gt;="&amp;(S$14),Rec_Freq,"&lt;&gt;Anual")+SUMIFS(Rec_Valor,Rec_Tipo,"Despesa",Rec_Ativo,"Sim",Rec_IIni,"&lt;="&amp;(S$14),Rec_IFim,"&gt;="&amp;(S$14),Rec_Freq,"Anual",Rec_MesRef,MOD((S$14)-1,12)+1))=0,K_FixaMed,(SUMIFS(Rec_Valor,Rec_Tipo,"Despesa",Rec_Ativo,"Sim",Rec_IIni,"&lt;="&amp;(S$14),Rec_IFim,"&gt;="&amp;(S$14),Rec_Freq,"&lt;&gt;Anual")+SUMIFS(Rec_Valor,Rec_Tipo,"Despesa",Rec_Ativo,"Sim",Rec_IIni,"&lt;="&amp;(S$14),Rec_IFim,"&gt;="&amp;(S$14),Rec_Freq,"Anual",Rec_MesRef,MOD((S$14)-1,12)+1)))*(1+Cfg_Infl)^(15/12)</f>
        <v>8126.6593175648</v>
      </c>
      <c r="T18" s="43">
        <f>IF((SUMIFS(Rec_Valor,Rec_Tipo,"Despesa",Rec_Ativo,"Sim",Rec_IIni,"&lt;="&amp;(T$14),Rec_IFim,"&gt;="&amp;(T$14),Rec_Freq,"&lt;&gt;Anual")+SUMIFS(Rec_Valor,Rec_Tipo,"Despesa",Rec_Ativo,"Sim",Rec_IIni,"&lt;="&amp;(T$14),Rec_IFim,"&gt;="&amp;(T$14),Rec_Freq,"Anual",Rec_MesRef,MOD((T$14)-1,12)+1))=0,K_FixaMed,(SUMIFS(Rec_Valor,Rec_Tipo,"Despesa",Rec_Ativo,"Sim",Rec_IIni,"&lt;="&amp;(T$14),Rec_IFim,"&gt;="&amp;(T$14),Rec_Freq,"&lt;&gt;Anual")+SUMIFS(Rec_Valor,Rec_Tipo,"Despesa",Rec_Ativo,"Sim",Rec_IIni,"&lt;="&amp;(T$14),Rec_IFim,"&gt;="&amp;(T$14),Rec_Freq,"Anual",Rec_MesRef,MOD((T$14)-1,12)+1)))*(1+Cfg_Infl)^(16/12)</f>
        <v>5929.58751857059</v>
      </c>
      <c r="U18" s="43">
        <f>IF((SUMIFS(Rec_Valor,Rec_Tipo,"Despesa",Rec_Ativo,"Sim",Rec_IIni,"&lt;="&amp;(U$14),Rec_IFim,"&gt;="&amp;(U$14),Rec_Freq,"&lt;&gt;Anual")+SUMIFS(Rec_Valor,Rec_Tipo,"Despesa",Rec_Ativo,"Sim",Rec_IIni,"&lt;="&amp;(U$14),Rec_IFim,"&gt;="&amp;(U$14),Rec_Freq,"Anual",Rec_MesRef,MOD((U$14)-1,12)+1))=0,K_FixaMed,(SUMIFS(Rec_Valor,Rec_Tipo,"Despesa",Rec_Ativo,"Sim",Rec_IIni,"&lt;="&amp;(U$14),Rec_IFim,"&gt;="&amp;(U$14),Rec_Freq,"&lt;&gt;Anual")+SUMIFS(Rec_Valor,Rec_Tipo,"Despesa",Rec_Ativo,"Sim",Rec_IIni,"&lt;="&amp;(U$14),Rec_IFim,"&gt;="&amp;(U$14),Rec_Freq,"Anual",Rec_MesRef,MOD((U$14)-1,12)+1)))*(1+Cfg_Infl)^(17/12)</f>
        <v>5951.37762252455</v>
      </c>
      <c r="V18" s="43">
        <f>IF((SUMIFS(Rec_Valor,Rec_Tipo,"Despesa",Rec_Ativo,"Sim",Rec_IIni,"&lt;="&amp;(V$14),Rec_IFim,"&gt;="&amp;(V$14),Rec_Freq,"&lt;&gt;Anual")+SUMIFS(Rec_Valor,Rec_Tipo,"Despesa",Rec_Ativo,"Sim",Rec_IIni,"&lt;="&amp;(V$14),Rec_IFim,"&gt;="&amp;(V$14),Rec_Freq,"Anual",Rec_MesRef,MOD((V$14)-1,12)+1))=0,K_FixaMed,(SUMIFS(Rec_Valor,Rec_Tipo,"Despesa",Rec_Ativo,"Sim",Rec_IIni,"&lt;="&amp;(V$14),Rec_IFim,"&gt;="&amp;(V$14),Rec_Freq,"&lt;&gt;Anual")+SUMIFS(Rec_Valor,Rec_Tipo,"Despesa",Rec_Ativo,"Sim",Rec_IIni,"&lt;="&amp;(V$14),Rec_IFim,"&gt;="&amp;(V$14),Rec_Freq,"Anual",Rec_MesRef,MOD((V$14)-1,12)+1)))*(1+Cfg_Infl)^(18/12)</f>
        <v>5973.24780095735</v>
      </c>
      <c r="W18" s="43">
        <f>IF((SUMIFS(Rec_Valor,Rec_Tipo,"Despesa",Rec_Ativo,"Sim",Rec_IIni,"&lt;="&amp;(W$14),Rec_IFim,"&gt;="&amp;(W$14),Rec_Freq,"&lt;&gt;Anual")+SUMIFS(Rec_Valor,Rec_Tipo,"Despesa",Rec_Ativo,"Sim",Rec_IIni,"&lt;="&amp;(W$14),Rec_IFim,"&gt;="&amp;(W$14),Rec_Freq,"Anual",Rec_MesRef,MOD((W$14)-1,12)+1))=0,K_FixaMed,(SUMIFS(Rec_Valor,Rec_Tipo,"Despesa",Rec_Ativo,"Sim",Rec_IIni,"&lt;="&amp;(W$14),Rec_IFim,"&gt;="&amp;(W$14),Rec_Freq,"&lt;&gt;Anual")+SUMIFS(Rec_Valor,Rec_Tipo,"Despesa",Rec_Ativo,"Sim",Rec_IIni,"&lt;="&amp;(W$14),Rec_IFim,"&gt;="&amp;(W$14),Rec_Freq,"Anual",Rec_MesRef,MOD((W$14)-1,12)+1)))*(1+Cfg_Infl)^(19/12)</f>
        <v>5995.19834812744</v>
      </c>
      <c r="X18" s="43">
        <f>IF((SUMIFS(Rec_Valor,Rec_Tipo,"Despesa",Rec_Ativo,"Sim",Rec_IIni,"&lt;="&amp;(X$14),Rec_IFim,"&gt;="&amp;(X$14),Rec_Freq,"&lt;&gt;Anual")+SUMIFS(Rec_Valor,Rec_Tipo,"Despesa",Rec_Ativo,"Sim",Rec_IIni,"&lt;="&amp;(X$14),Rec_IFim,"&gt;="&amp;(X$14),Rec_Freq,"Anual",Rec_MesRef,MOD((X$14)-1,12)+1))=0,K_FixaMed,(SUMIFS(Rec_Valor,Rec_Tipo,"Despesa",Rec_Ativo,"Sim",Rec_IIni,"&lt;="&amp;(X$14),Rec_IFim,"&gt;="&amp;(X$14),Rec_Freq,"&lt;&gt;Anual")+SUMIFS(Rec_Valor,Rec_Tipo,"Despesa",Rec_Ativo,"Sim",Rec_IIni,"&lt;="&amp;(X$14),Rec_IFim,"&gt;="&amp;(X$14),Rec_Freq,"Anual",Rec_MesRef,MOD((X$14)-1,12)+1)))*(1+Cfg_Infl)^(20/12)</f>
        <v>6017.22955937463</v>
      </c>
      <c r="Y18" s="43">
        <f>IF((SUMIFS(Rec_Valor,Rec_Tipo,"Despesa",Rec_Ativo,"Sim",Rec_IIni,"&lt;="&amp;(Y$14),Rec_IFim,"&gt;="&amp;(Y$14),Rec_Freq,"&lt;&gt;Anual")+SUMIFS(Rec_Valor,Rec_Tipo,"Despesa",Rec_Ativo,"Sim",Rec_IIni,"&lt;="&amp;(Y$14),Rec_IFim,"&gt;="&amp;(Y$14),Rec_Freq,"Anual",Rec_MesRef,MOD((Y$14)-1,12)+1))=0,K_FixaMed,(SUMIFS(Rec_Valor,Rec_Tipo,"Despesa",Rec_Ativo,"Sim",Rec_IIni,"&lt;="&amp;(Y$14),Rec_IFim,"&gt;="&amp;(Y$14),Rec_Freq,"&lt;&gt;Anual")+SUMIFS(Rec_Valor,Rec_Tipo,"Despesa",Rec_Ativo,"Sim",Rec_IIni,"&lt;="&amp;(Y$14),Rec_IFim,"&gt;="&amp;(Y$14),Rec_Freq,"Anual",Rec_MesRef,MOD((Y$14)-1,12)+1)))*(1+Cfg_Infl)^(21/12)</f>
        <v>6039.341731124</v>
      </c>
      <c r="Z18" s="43">
        <f>IF((SUMIFS(Rec_Valor,Rec_Tipo,"Despesa",Rec_Ativo,"Sim",Rec_IIni,"&lt;="&amp;(Z$14),Rec_IFim,"&gt;="&amp;(Z$14),Rec_Freq,"&lt;&gt;Anual")+SUMIFS(Rec_Valor,Rec_Tipo,"Despesa",Rec_Ativo,"Sim",Rec_IIni,"&lt;="&amp;(Z$14),Rec_IFim,"&gt;="&amp;(Z$14),Rec_Freq,"Anual",Rec_MesRef,MOD((Z$14)-1,12)+1))=0,K_FixaMed,(SUMIFS(Rec_Valor,Rec_Tipo,"Despesa",Rec_Ativo,"Sim",Rec_IIni,"&lt;="&amp;(Z$14),Rec_IFim,"&gt;="&amp;(Z$14),Rec_Freq,"&lt;&gt;Anual")+SUMIFS(Rec_Valor,Rec_Tipo,"Despesa",Rec_Ativo,"Sim",Rec_IIni,"&lt;="&amp;(Z$14),Rec_IFim,"&gt;="&amp;(Z$14),Rec_Freq,"Anual",Rec_MesRef,MOD((Z$14)-1,12)+1)))*(1+Cfg_Infl)^(22/12)</f>
        <v>6061.53516088999</v>
      </c>
      <c r="AA18" s="43">
        <f>IF((SUMIFS(Rec_Valor,Rec_Tipo,"Despesa",Rec_Ativo,"Sim",Rec_IIni,"&lt;="&amp;(AA$14),Rec_IFim,"&gt;="&amp;(AA$14),Rec_Freq,"&lt;&gt;Anual")+SUMIFS(Rec_Valor,Rec_Tipo,"Despesa",Rec_Ativo,"Sim",Rec_IIni,"&lt;="&amp;(AA$14),Rec_IFim,"&gt;="&amp;(AA$14),Rec_Freq,"Anual",Rec_MesRef,MOD((AA$14)-1,12)+1))=0,K_FixaMed,(SUMIFS(Rec_Valor,Rec_Tipo,"Despesa",Rec_Ativo,"Sim",Rec_IIni,"&lt;="&amp;(AA$14),Rec_IFim,"&gt;="&amp;(AA$14),Rec_Freq,"&lt;&gt;Anual")+SUMIFS(Rec_Valor,Rec_Tipo,"Despesa",Rec_Ativo,"Sim",Rec_IIni,"&lt;="&amp;(AA$14),Rec_IFim,"&gt;="&amp;(AA$14),Rec_Freq,"Anual",Rec_MesRef,MOD((AA$14)-1,12)+1)))*(1+Cfg_Infl)^(23/12)</f>
        <v>6083.8101472803</v>
      </c>
      <c r="AB18" s="43">
        <f>IF((SUMIFS(Rec_Valor,Rec_Tipo,"Despesa",Rec_Ativo,"Sim",Rec_IIni,"&lt;="&amp;(AB$14),Rec_IFim,"&gt;="&amp;(AB$14),Rec_Freq,"&lt;&gt;Anual")+SUMIFS(Rec_Valor,Rec_Tipo,"Despesa",Rec_Ativo,"Sim",Rec_IIni,"&lt;="&amp;(AB$14),Rec_IFim,"&gt;="&amp;(AB$14),Rec_Freq,"Anual",Rec_MesRef,MOD((AB$14)-1,12)+1))=0,K_FixaMed,(SUMIFS(Rec_Valor,Rec_Tipo,"Despesa",Rec_Ativo,"Sim",Rec_IIni,"&lt;="&amp;(AB$14),Rec_IFim,"&gt;="&amp;(AB$14),Rec_Freq,"&lt;&gt;Anual")+SUMIFS(Rec_Valor,Rec_Tipo,"Despesa",Rec_Ativo,"Sim",Rec_IIni,"&lt;="&amp;(AB$14),Rec_IFim,"&gt;="&amp;(AB$14),Rec_Freq,"Anual",Rec_MesRef,MOD((AB$14)-1,12)+1)))*(1+Cfg_Infl)^(24/12)</f>
        <v>9054.63449</v>
      </c>
    </row>
    <row r="19">
      <c r="B19" s="14" t="inlineStr">
        <is>
          <t>Parcelas futuras e lançamentos agendados</t>
        </is>
      </c>
      <c r="C19" s="79">
        <f>SUM(E19:P19)</f>
        <v>4830</v>
      </c>
      <c r="D19" s="79">
        <f>SUM(E19:AB19)</f>
        <v>4830</v>
      </c>
      <c r="E19" s="43">
        <f>SUMIFS(L_VParc,L_Tipo,"Despesa",L_IIni,"&lt;="&amp;(E$14),L_IFim,"&gt;="&amp;(E$14))</f>
        <v>2030</v>
      </c>
      <c r="F19" s="43">
        <f>SUMIFS(L_VParc,L_Tipo,"Despesa",L_IIni,"&lt;="&amp;(F$14),L_IFim,"&gt;="&amp;(F$14))</f>
        <v>1400</v>
      </c>
      <c r="G19" s="43">
        <f>SUMIFS(L_VParc,L_Tipo,"Despesa",L_IIni,"&lt;="&amp;(G$14),L_IFim,"&gt;="&amp;(G$14))</f>
        <v>500</v>
      </c>
      <c r="H19" s="43">
        <f>SUMIFS(L_VParc,L_Tipo,"Despesa",L_IIni,"&lt;="&amp;(H$14),L_IFim,"&gt;="&amp;(H$14))</f>
        <v>500</v>
      </c>
      <c r="I19" s="43">
        <f>SUMIFS(L_VParc,L_Tipo,"Despesa",L_IIni,"&lt;="&amp;(I$14),L_IFim,"&gt;="&amp;(I$14))</f>
        <v>200</v>
      </c>
      <c r="J19" s="43">
        <f>SUMIFS(L_VParc,L_Tipo,"Despesa",L_IIni,"&lt;="&amp;(J$14),L_IFim,"&gt;="&amp;(J$14))</f>
        <v>200</v>
      </c>
      <c r="K19" s="43">
        <f>SUMIFS(L_VParc,L_Tipo,"Despesa",L_IIni,"&lt;="&amp;(K$14),L_IFim,"&gt;="&amp;(K$14))</f>
        <v>0</v>
      </c>
      <c r="L19" s="43">
        <f>SUMIFS(L_VParc,L_Tipo,"Despesa",L_IIni,"&lt;="&amp;(L$14),L_IFim,"&gt;="&amp;(L$14))</f>
        <v>0</v>
      </c>
      <c r="M19" s="43">
        <f>SUMIFS(L_VParc,L_Tipo,"Despesa",L_IIni,"&lt;="&amp;(M$14),L_IFim,"&gt;="&amp;(M$14))</f>
        <v>0</v>
      </c>
      <c r="N19" s="43">
        <f>SUMIFS(L_VParc,L_Tipo,"Despesa",L_IIni,"&lt;="&amp;(N$14),L_IFim,"&gt;="&amp;(N$14))</f>
        <v>0</v>
      </c>
      <c r="O19" s="43">
        <f>SUMIFS(L_VParc,L_Tipo,"Despesa",L_IIni,"&lt;="&amp;(O$14),L_IFim,"&gt;="&amp;(O$14))</f>
        <v>0</v>
      </c>
      <c r="P19" s="43">
        <f>SUMIFS(L_VParc,L_Tipo,"Despesa",L_IIni,"&lt;="&amp;(P$14),L_IFim,"&gt;="&amp;(P$14))</f>
        <v>0</v>
      </c>
      <c r="Q19" s="43">
        <f>SUMIFS(L_VParc,L_Tipo,"Despesa",L_IIni,"&lt;="&amp;(Q$14),L_IFim,"&gt;="&amp;(Q$14))</f>
        <v>0</v>
      </c>
      <c r="R19" s="43">
        <f>SUMIFS(L_VParc,L_Tipo,"Despesa",L_IIni,"&lt;="&amp;(R$14),L_IFim,"&gt;="&amp;(R$14))</f>
        <v>0</v>
      </c>
      <c r="S19" s="43">
        <f>SUMIFS(L_VParc,L_Tipo,"Despesa",L_IIni,"&lt;="&amp;(S$14),L_IFim,"&gt;="&amp;(S$14))</f>
        <v>0</v>
      </c>
      <c r="T19" s="43">
        <f>SUMIFS(L_VParc,L_Tipo,"Despesa",L_IIni,"&lt;="&amp;(T$14),L_IFim,"&gt;="&amp;(T$14))</f>
        <v>0</v>
      </c>
      <c r="U19" s="43">
        <f>SUMIFS(L_VParc,L_Tipo,"Despesa",L_IIni,"&lt;="&amp;(U$14),L_IFim,"&gt;="&amp;(U$14))</f>
        <v>0</v>
      </c>
      <c r="V19" s="43">
        <f>SUMIFS(L_VParc,L_Tipo,"Despesa",L_IIni,"&lt;="&amp;(V$14),L_IFim,"&gt;="&amp;(V$14))</f>
        <v>0</v>
      </c>
      <c r="W19" s="43">
        <f>SUMIFS(L_VParc,L_Tipo,"Despesa",L_IIni,"&lt;="&amp;(W$14),L_IFim,"&gt;="&amp;(W$14))</f>
        <v>0</v>
      </c>
      <c r="X19" s="43">
        <f>SUMIFS(L_VParc,L_Tipo,"Despesa",L_IIni,"&lt;="&amp;(X$14),L_IFim,"&gt;="&amp;(X$14))</f>
        <v>0</v>
      </c>
      <c r="Y19" s="43">
        <f>SUMIFS(L_VParc,L_Tipo,"Despesa",L_IIni,"&lt;="&amp;(Y$14),L_IFim,"&gt;="&amp;(Y$14))</f>
        <v>0</v>
      </c>
      <c r="Z19" s="43">
        <f>SUMIFS(L_VParc,L_Tipo,"Despesa",L_IIni,"&lt;="&amp;(Z$14),L_IFim,"&gt;="&amp;(Z$14))</f>
        <v>0</v>
      </c>
      <c r="AA19" s="43">
        <f>SUMIFS(L_VParc,L_Tipo,"Despesa",L_IIni,"&lt;="&amp;(AA$14),L_IFim,"&gt;="&amp;(AA$14))</f>
        <v>0</v>
      </c>
      <c r="AB19" s="43">
        <f>SUMIFS(L_VParc,L_Tipo,"Despesa",L_IIni,"&lt;="&amp;(AB$14),L_IFim,"&gt;="&amp;(AB$14))</f>
        <v>0</v>
      </c>
    </row>
    <row r="20">
      <c r="B20" s="14" t="inlineStr">
        <is>
          <t>Despesas variáveis (média histórica corrigida pela inflação)</t>
        </is>
      </c>
      <c r="C20" s="79">
        <f>SUM(E20:P20)</f>
        <v>59914.9147689953</v>
      </c>
      <c r="D20" s="79">
        <f>SUM(E20:AB20)</f>
        <v>122526.000702595</v>
      </c>
      <c r="E20" s="43">
        <f>K_VarMed*(1+Cfg_Infl)^(1/12)</f>
        <v>4892.7976004327</v>
      </c>
      <c r="F20" s="43">
        <f>K_VarMed*(1+Cfg_Infl)^(2/12)</f>
        <v>4910.7776990492</v>
      </c>
      <c r="G20" s="43">
        <f>K_VarMed*(1+Cfg_Infl)^(3/12)</f>
        <v>4928.82387110112</v>
      </c>
      <c r="H20" s="43">
        <f>K_VarMed*(1+Cfg_Infl)^(4/12)</f>
        <v>4946.93635939574</v>
      </c>
      <c r="I20" s="43">
        <f>K_VarMed*(1+Cfg_Infl)^(5/12)</f>
        <v>4965.11540763261</v>
      </c>
      <c r="J20" s="43">
        <f>K_VarMed*(1+Cfg_Infl)^(6/12)</f>
        <v>4983.36126040684</v>
      </c>
      <c r="K20" s="43">
        <f>K_VarMed*(1+Cfg_Infl)^(7/12)</f>
        <v>5001.67416321235</v>
      </c>
      <c r="L20" s="43">
        <f>K_VarMed*(1+Cfg_Infl)^(8/12)</f>
        <v>5020.05436244525</v>
      </c>
      <c r="M20" s="43">
        <f>K_VarMed*(1+Cfg_Infl)^(9/12)</f>
        <v>5038.50210540706</v>
      </c>
      <c r="N20" s="43">
        <f>K_VarMed*(1+Cfg_Infl)^(10/12)</f>
        <v>5057.01764030813</v>
      </c>
      <c r="O20" s="43">
        <f>K_VarMed*(1+Cfg_Infl)^(11/12)</f>
        <v>5075.60121627091</v>
      </c>
      <c r="P20" s="43">
        <f>K_VarMed*(1+Cfg_Infl)^(12/12)</f>
        <v>5094.25308333333</v>
      </c>
      <c r="Q20" s="43">
        <f>K_VarMed*(1+Cfg_Infl)^(13/12)</f>
        <v>5112.97349245217</v>
      </c>
      <c r="R20" s="43">
        <f>K_VarMed*(1+Cfg_Infl)^(14/12)</f>
        <v>5131.76269550642</v>
      </c>
      <c r="S20" s="43">
        <f>K_VarMed*(1+Cfg_Infl)^(15/12)</f>
        <v>5150.62094530068</v>
      </c>
      <c r="T20" s="43">
        <f>K_VarMed*(1+Cfg_Infl)^(16/12)</f>
        <v>5169.54849556855</v>
      </c>
      <c r="U20" s="43">
        <f>K_VarMed*(1+Cfg_Infl)^(17/12)</f>
        <v>5188.54560097608</v>
      </c>
      <c r="V20" s="43">
        <f>K_VarMed*(1+Cfg_Infl)^(18/12)</f>
        <v>5207.61251712514</v>
      </c>
      <c r="W20" s="43">
        <f>K_VarMed*(1+Cfg_Infl)^(19/12)</f>
        <v>5226.74950055691</v>
      </c>
      <c r="X20" s="43">
        <f>K_VarMed*(1+Cfg_Infl)^(20/12)</f>
        <v>5245.95680875528</v>
      </c>
      <c r="Y20" s="43">
        <f>K_VarMed*(1+Cfg_Infl)^(21/12)</f>
        <v>5265.23470015038</v>
      </c>
      <c r="Z20" s="43">
        <f>K_VarMed*(1+Cfg_Infl)^(22/12)</f>
        <v>5284.583434122</v>
      </c>
      <c r="AA20" s="43">
        <f>K_VarMed*(1+Cfg_Infl)^(23/12)</f>
        <v>5304.0032710031</v>
      </c>
      <c r="AB20" s="43">
        <f>K_VarMed*(1+Cfg_Infl)^(24/12)</f>
        <v>5323.49447208333</v>
      </c>
    </row>
    <row r="21">
      <c r="B21" s="9" t="inlineStr">
        <is>
          <t>DESPESAS PROJETADAS</t>
        </is>
      </c>
      <c r="C21" s="79">
        <f>SUM(E21:P21)</f>
        <v>145720.109872011</v>
      </c>
      <c r="D21" s="79">
        <f>SUM(E21:AB21)</f>
        <v>285314.758591608</v>
      </c>
      <c r="E21" s="79">
        <f>E18+E19+E20</f>
        <v>13508.5102297946</v>
      </c>
      <c r="F21" s="79">
        <f>F18+F19+F20</f>
        <v>12920.6915670901</v>
      </c>
      <c r="G21" s="79">
        <f>G18+G19+G20</f>
        <v>13791.9490465139</v>
      </c>
      <c r="H21" s="79">
        <f>H18+H19+H20</f>
        <v>11709.7554563957</v>
      </c>
      <c r="I21" s="79">
        <f>I18+I19+I20</f>
        <v>11450.9491711235</v>
      </c>
      <c r="J21" s="79">
        <f>J18+J19+J20</f>
        <v>11492.2942649013</v>
      </c>
      <c r="K21" s="79">
        <f>K18+K19+K20</f>
        <v>11333.7912940185</v>
      </c>
      <c r="L21" s="79">
        <f>L18+L19+L20</f>
        <v>11375.4408168083</v>
      </c>
      <c r="M21" s="79">
        <f>M18+M19+M20</f>
        <v>11417.2433936561</v>
      </c>
      <c r="N21" s="79">
        <f>N18+N19+N20</f>
        <v>11459.1995870061</v>
      </c>
      <c r="O21" s="79">
        <f>O18+O19+O20</f>
        <v>11501.30996137</v>
      </c>
      <c r="P21" s="79">
        <f>P18+P19+P20</f>
        <v>13758.9750833333</v>
      </c>
      <c r="Q21" s="79">
        <f>Q18+Q19+Q20</f>
        <v>10977.6682195866</v>
      </c>
      <c r="R21" s="79">
        <f>R18+R19+R20</f>
        <v>11018.0090579548</v>
      </c>
      <c r="S21" s="79">
        <f>S18+S19+S20</f>
        <v>13277.2802628655</v>
      </c>
      <c r="T21" s="79">
        <f>T18+T19+T20</f>
        <v>11099.1360141391</v>
      </c>
      <c r="U21" s="79">
        <f>U18+U19+U20</f>
        <v>11139.9232235006</v>
      </c>
      <c r="V21" s="79">
        <f>V18+V19+V20</f>
        <v>11180.8603180825</v>
      </c>
      <c r="W21" s="79">
        <f>W18+W19+W20</f>
        <v>11221.9478486843</v>
      </c>
      <c r="X21" s="79">
        <f>X18+X19+X20</f>
        <v>11263.1863681299</v>
      </c>
      <c r="Y21" s="79">
        <f>Y18+Y19+Y20</f>
        <v>11304.5764312744</v>
      </c>
      <c r="Z21" s="79">
        <f>Z18+Z19+Z20</f>
        <v>11346.118595012</v>
      </c>
      <c r="AA21" s="79">
        <f>AA18+AA19+AA20</f>
        <v>11387.8134182834</v>
      </c>
      <c r="AB21" s="79">
        <f>AB18+AB19+AB20</f>
        <v>14378.1289620833</v>
      </c>
    </row>
    <row r="22">
      <c r="B22" s="14" t="inlineStr">
        <is>
          <t>Aportes recorrentes (investimentos)</t>
        </is>
      </c>
      <c r="C22" s="79">
        <f>SUM(E22:P22)</f>
        <v>24600</v>
      </c>
      <c r="D22" s="79">
        <f>SUM(E22:AB22)</f>
        <v>49200</v>
      </c>
      <c r="E22" s="43">
        <f>(SUMIFS(Rec_Valor,Rec_Tipo,"Investimento",Rec_Ativo,"Sim",Rec_IIni,"&lt;="&amp;(E$14),Rec_IFim,"&gt;="&amp;(E$14),Rec_Freq,"&lt;&gt;Anual")+SUMIFS(Rec_Valor,Rec_Tipo,"Investimento",Rec_Ativo,"Sim",Rec_IIni,"&lt;="&amp;(E$14),Rec_IFim,"&gt;="&amp;(E$14),Rec_Freq,"Anual",Rec_MesRef,MOD((E$14)-1,12)+1))</f>
        <v>2050</v>
      </c>
      <c r="F22" s="43">
        <f>(SUMIFS(Rec_Valor,Rec_Tipo,"Investimento",Rec_Ativo,"Sim",Rec_IIni,"&lt;="&amp;(F$14),Rec_IFim,"&gt;="&amp;(F$14),Rec_Freq,"&lt;&gt;Anual")+SUMIFS(Rec_Valor,Rec_Tipo,"Investimento",Rec_Ativo,"Sim",Rec_IIni,"&lt;="&amp;(F$14),Rec_IFim,"&gt;="&amp;(F$14),Rec_Freq,"Anual",Rec_MesRef,MOD((F$14)-1,12)+1))</f>
        <v>2050</v>
      </c>
      <c r="G22" s="43">
        <f>(SUMIFS(Rec_Valor,Rec_Tipo,"Investimento",Rec_Ativo,"Sim",Rec_IIni,"&lt;="&amp;(G$14),Rec_IFim,"&gt;="&amp;(G$14),Rec_Freq,"&lt;&gt;Anual")+SUMIFS(Rec_Valor,Rec_Tipo,"Investimento",Rec_Ativo,"Sim",Rec_IIni,"&lt;="&amp;(G$14),Rec_IFim,"&gt;="&amp;(G$14),Rec_Freq,"Anual",Rec_MesRef,MOD((G$14)-1,12)+1))</f>
        <v>2050</v>
      </c>
      <c r="H22" s="43">
        <f>(SUMIFS(Rec_Valor,Rec_Tipo,"Investimento",Rec_Ativo,"Sim",Rec_IIni,"&lt;="&amp;(H$14),Rec_IFim,"&gt;="&amp;(H$14),Rec_Freq,"&lt;&gt;Anual")+SUMIFS(Rec_Valor,Rec_Tipo,"Investimento",Rec_Ativo,"Sim",Rec_IIni,"&lt;="&amp;(H$14),Rec_IFim,"&gt;="&amp;(H$14),Rec_Freq,"Anual",Rec_MesRef,MOD((H$14)-1,12)+1))</f>
        <v>2050</v>
      </c>
      <c r="I22" s="43">
        <f>(SUMIFS(Rec_Valor,Rec_Tipo,"Investimento",Rec_Ativo,"Sim",Rec_IIni,"&lt;="&amp;(I$14),Rec_IFim,"&gt;="&amp;(I$14),Rec_Freq,"&lt;&gt;Anual")+SUMIFS(Rec_Valor,Rec_Tipo,"Investimento",Rec_Ativo,"Sim",Rec_IIni,"&lt;="&amp;(I$14),Rec_IFim,"&gt;="&amp;(I$14),Rec_Freq,"Anual",Rec_MesRef,MOD((I$14)-1,12)+1))</f>
        <v>2050</v>
      </c>
      <c r="J22" s="43">
        <f>(SUMIFS(Rec_Valor,Rec_Tipo,"Investimento",Rec_Ativo,"Sim",Rec_IIni,"&lt;="&amp;(J$14),Rec_IFim,"&gt;="&amp;(J$14),Rec_Freq,"&lt;&gt;Anual")+SUMIFS(Rec_Valor,Rec_Tipo,"Investimento",Rec_Ativo,"Sim",Rec_IIni,"&lt;="&amp;(J$14),Rec_IFim,"&gt;="&amp;(J$14),Rec_Freq,"Anual",Rec_MesRef,MOD((J$14)-1,12)+1))</f>
        <v>2050</v>
      </c>
      <c r="K22" s="43">
        <f>(SUMIFS(Rec_Valor,Rec_Tipo,"Investimento",Rec_Ativo,"Sim",Rec_IIni,"&lt;="&amp;(K$14),Rec_IFim,"&gt;="&amp;(K$14),Rec_Freq,"&lt;&gt;Anual")+SUMIFS(Rec_Valor,Rec_Tipo,"Investimento",Rec_Ativo,"Sim",Rec_IIni,"&lt;="&amp;(K$14),Rec_IFim,"&gt;="&amp;(K$14),Rec_Freq,"Anual",Rec_MesRef,MOD((K$14)-1,12)+1))</f>
        <v>2050</v>
      </c>
      <c r="L22" s="43">
        <f>(SUMIFS(Rec_Valor,Rec_Tipo,"Investimento",Rec_Ativo,"Sim",Rec_IIni,"&lt;="&amp;(L$14),Rec_IFim,"&gt;="&amp;(L$14),Rec_Freq,"&lt;&gt;Anual")+SUMIFS(Rec_Valor,Rec_Tipo,"Investimento",Rec_Ativo,"Sim",Rec_IIni,"&lt;="&amp;(L$14),Rec_IFim,"&gt;="&amp;(L$14),Rec_Freq,"Anual",Rec_MesRef,MOD((L$14)-1,12)+1))</f>
        <v>2050</v>
      </c>
      <c r="M22" s="43">
        <f>(SUMIFS(Rec_Valor,Rec_Tipo,"Investimento",Rec_Ativo,"Sim",Rec_IIni,"&lt;="&amp;(M$14),Rec_IFim,"&gt;="&amp;(M$14),Rec_Freq,"&lt;&gt;Anual")+SUMIFS(Rec_Valor,Rec_Tipo,"Investimento",Rec_Ativo,"Sim",Rec_IIni,"&lt;="&amp;(M$14),Rec_IFim,"&gt;="&amp;(M$14),Rec_Freq,"Anual",Rec_MesRef,MOD((M$14)-1,12)+1))</f>
        <v>2050</v>
      </c>
      <c r="N22" s="43">
        <f>(SUMIFS(Rec_Valor,Rec_Tipo,"Investimento",Rec_Ativo,"Sim",Rec_IIni,"&lt;="&amp;(N$14),Rec_IFim,"&gt;="&amp;(N$14),Rec_Freq,"&lt;&gt;Anual")+SUMIFS(Rec_Valor,Rec_Tipo,"Investimento",Rec_Ativo,"Sim",Rec_IIni,"&lt;="&amp;(N$14),Rec_IFim,"&gt;="&amp;(N$14),Rec_Freq,"Anual",Rec_MesRef,MOD((N$14)-1,12)+1))</f>
        <v>2050</v>
      </c>
      <c r="O22" s="43">
        <f>(SUMIFS(Rec_Valor,Rec_Tipo,"Investimento",Rec_Ativo,"Sim",Rec_IIni,"&lt;="&amp;(O$14),Rec_IFim,"&gt;="&amp;(O$14),Rec_Freq,"&lt;&gt;Anual")+SUMIFS(Rec_Valor,Rec_Tipo,"Investimento",Rec_Ativo,"Sim",Rec_IIni,"&lt;="&amp;(O$14),Rec_IFim,"&gt;="&amp;(O$14),Rec_Freq,"Anual",Rec_MesRef,MOD((O$14)-1,12)+1))</f>
        <v>2050</v>
      </c>
      <c r="P22" s="43">
        <f>(SUMIFS(Rec_Valor,Rec_Tipo,"Investimento",Rec_Ativo,"Sim",Rec_IIni,"&lt;="&amp;(P$14),Rec_IFim,"&gt;="&amp;(P$14),Rec_Freq,"&lt;&gt;Anual")+SUMIFS(Rec_Valor,Rec_Tipo,"Investimento",Rec_Ativo,"Sim",Rec_IIni,"&lt;="&amp;(P$14),Rec_IFim,"&gt;="&amp;(P$14),Rec_Freq,"Anual",Rec_MesRef,MOD((P$14)-1,12)+1))</f>
        <v>2050</v>
      </c>
      <c r="Q22" s="43">
        <f>(SUMIFS(Rec_Valor,Rec_Tipo,"Investimento",Rec_Ativo,"Sim",Rec_IIni,"&lt;="&amp;(Q$14),Rec_IFim,"&gt;="&amp;(Q$14),Rec_Freq,"&lt;&gt;Anual")+SUMIFS(Rec_Valor,Rec_Tipo,"Investimento",Rec_Ativo,"Sim",Rec_IIni,"&lt;="&amp;(Q$14),Rec_IFim,"&gt;="&amp;(Q$14),Rec_Freq,"Anual",Rec_MesRef,MOD((Q$14)-1,12)+1))</f>
        <v>2050</v>
      </c>
      <c r="R22" s="43">
        <f>(SUMIFS(Rec_Valor,Rec_Tipo,"Investimento",Rec_Ativo,"Sim",Rec_IIni,"&lt;="&amp;(R$14),Rec_IFim,"&gt;="&amp;(R$14),Rec_Freq,"&lt;&gt;Anual")+SUMIFS(Rec_Valor,Rec_Tipo,"Investimento",Rec_Ativo,"Sim",Rec_IIni,"&lt;="&amp;(R$14),Rec_IFim,"&gt;="&amp;(R$14),Rec_Freq,"Anual",Rec_MesRef,MOD((R$14)-1,12)+1))</f>
        <v>2050</v>
      </c>
      <c r="S22" s="43">
        <f>(SUMIFS(Rec_Valor,Rec_Tipo,"Investimento",Rec_Ativo,"Sim",Rec_IIni,"&lt;="&amp;(S$14),Rec_IFim,"&gt;="&amp;(S$14),Rec_Freq,"&lt;&gt;Anual")+SUMIFS(Rec_Valor,Rec_Tipo,"Investimento",Rec_Ativo,"Sim",Rec_IIni,"&lt;="&amp;(S$14),Rec_IFim,"&gt;="&amp;(S$14),Rec_Freq,"Anual",Rec_MesRef,MOD((S$14)-1,12)+1))</f>
        <v>2050</v>
      </c>
      <c r="T22" s="43">
        <f>(SUMIFS(Rec_Valor,Rec_Tipo,"Investimento",Rec_Ativo,"Sim",Rec_IIni,"&lt;="&amp;(T$14),Rec_IFim,"&gt;="&amp;(T$14),Rec_Freq,"&lt;&gt;Anual")+SUMIFS(Rec_Valor,Rec_Tipo,"Investimento",Rec_Ativo,"Sim",Rec_IIni,"&lt;="&amp;(T$14),Rec_IFim,"&gt;="&amp;(T$14),Rec_Freq,"Anual",Rec_MesRef,MOD((T$14)-1,12)+1))</f>
        <v>2050</v>
      </c>
      <c r="U22" s="43">
        <f>(SUMIFS(Rec_Valor,Rec_Tipo,"Investimento",Rec_Ativo,"Sim",Rec_IIni,"&lt;="&amp;(U$14),Rec_IFim,"&gt;="&amp;(U$14),Rec_Freq,"&lt;&gt;Anual")+SUMIFS(Rec_Valor,Rec_Tipo,"Investimento",Rec_Ativo,"Sim",Rec_IIni,"&lt;="&amp;(U$14),Rec_IFim,"&gt;="&amp;(U$14),Rec_Freq,"Anual",Rec_MesRef,MOD((U$14)-1,12)+1))</f>
        <v>2050</v>
      </c>
      <c r="V22" s="43">
        <f>(SUMIFS(Rec_Valor,Rec_Tipo,"Investimento",Rec_Ativo,"Sim",Rec_IIni,"&lt;="&amp;(V$14),Rec_IFim,"&gt;="&amp;(V$14),Rec_Freq,"&lt;&gt;Anual")+SUMIFS(Rec_Valor,Rec_Tipo,"Investimento",Rec_Ativo,"Sim",Rec_IIni,"&lt;="&amp;(V$14),Rec_IFim,"&gt;="&amp;(V$14),Rec_Freq,"Anual",Rec_MesRef,MOD((V$14)-1,12)+1))</f>
        <v>2050</v>
      </c>
      <c r="W22" s="43">
        <f>(SUMIFS(Rec_Valor,Rec_Tipo,"Investimento",Rec_Ativo,"Sim",Rec_IIni,"&lt;="&amp;(W$14),Rec_IFim,"&gt;="&amp;(W$14),Rec_Freq,"&lt;&gt;Anual")+SUMIFS(Rec_Valor,Rec_Tipo,"Investimento",Rec_Ativo,"Sim",Rec_IIni,"&lt;="&amp;(W$14),Rec_IFim,"&gt;="&amp;(W$14),Rec_Freq,"Anual",Rec_MesRef,MOD((W$14)-1,12)+1))</f>
        <v>2050</v>
      </c>
      <c r="X22" s="43">
        <f>(SUMIFS(Rec_Valor,Rec_Tipo,"Investimento",Rec_Ativo,"Sim",Rec_IIni,"&lt;="&amp;(X$14),Rec_IFim,"&gt;="&amp;(X$14),Rec_Freq,"&lt;&gt;Anual")+SUMIFS(Rec_Valor,Rec_Tipo,"Investimento",Rec_Ativo,"Sim",Rec_IIni,"&lt;="&amp;(X$14),Rec_IFim,"&gt;="&amp;(X$14),Rec_Freq,"Anual",Rec_MesRef,MOD((X$14)-1,12)+1))</f>
        <v>2050</v>
      </c>
      <c r="Y22" s="43">
        <f>(SUMIFS(Rec_Valor,Rec_Tipo,"Investimento",Rec_Ativo,"Sim",Rec_IIni,"&lt;="&amp;(Y$14),Rec_IFim,"&gt;="&amp;(Y$14),Rec_Freq,"&lt;&gt;Anual")+SUMIFS(Rec_Valor,Rec_Tipo,"Investimento",Rec_Ativo,"Sim",Rec_IIni,"&lt;="&amp;(Y$14),Rec_IFim,"&gt;="&amp;(Y$14),Rec_Freq,"Anual",Rec_MesRef,MOD((Y$14)-1,12)+1))</f>
        <v>2050</v>
      </c>
      <c r="Z22" s="43">
        <f>(SUMIFS(Rec_Valor,Rec_Tipo,"Investimento",Rec_Ativo,"Sim",Rec_IIni,"&lt;="&amp;(Z$14),Rec_IFim,"&gt;="&amp;(Z$14),Rec_Freq,"&lt;&gt;Anual")+SUMIFS(Rec_Valor,Rec_Tipo,"Investimento",Rec_Ativo,"Sim",Rec_IIni,"&lt;="&amp;(Z$14),Rec_IFim,"&gt;="&amp;(Z$14),Rec_Freq,"Anual",Rec_MesRef,MOD((Z$14)-1,12)+1))</f>
        <v>2050</v>
      </c>
      <c r="AA22" s="43">
        <f>(SUMIFS(Rec_Valor,Rec_Tipo,"Investimento",Rec_Ativo,"Sim",Rec_IIni,"&lt;="&amp;(AA$14),Rec_IFim,"&gt;="&amp;(AA$14),Rec_Freq,"&lt;&gt;Anual")+SUMIFS(Rec_Valor,Rec_Tipo,"Investimento",Rec_Ativo,"Sim",Rec_IIni,"&lt;="&amp;(AA$14),Rec_IFim,"&gt;="&amp;(AA$14),Rec_Freq,"Anual",Rec_MesRef,MOD((AA$14)-1,12)+1))</f>
        <v>2050</v>
      </c>
      <c r="AB22" s="43">
        <f>(SUMIFS(Rec_Valor,Rec_Tipo,"Investimento",Rec_Ativo,"Sim",Rec_IIni,"&lt;="&amp;(AB$14),Rec_IFim,"&gt;="&amp;(AB$14),Rec_Freq,"&lt;&gt;Anual")+SUMIFS(Rec_Valor,Rec_Tipo,"Investimento",Rec_Ativo,"Sim",Rec_IIni,"&lt;="&amp;(AB$14),Rec_IFim,"&gt;="&amp;(AB$14),Rec_Freq,"Anual",Rec_MesRef,MOD((AB$14)-1,12)+1))</f>
        <v>2050</v>
      </c>
    </row>
    <row r="23">
      <c r="B23" s="9" t="inlineStr">
        <is>
          <t>SALDO DO MÊS (receitas − despesas)</t>
        </is>
      </c>
      <c r="C23" s="81">
        <f>SUM(E23:P23)</f>
        <v>17479.8901279886</v>
      </c>
      <c r="D23" s="81">
        <f>SUM(E23:AB23)</f>
        <v>41085.2414083921</v>
      </c>
      <c r="E23" s="81">
        <f>E17-E21</f>
        <v>-808.510229794607</v>
      </c>
      <c r="F23" s="81">
        <f>F17-F21</f>
        <v>10579.3084329099</v>
      </c>
      <c r="G23" s="81">
        <f>G17-G21</f>
        <v>-1091.94904651388</v>
      </c>
      <c r="H23" s="81">
        <f>H17-H21</f>
        <v>990.244543604305</v>
      </c>
      <c r="I23" s="81">
        <f>I17-I21</f>
        <v>1249.05082887655</v>
      </c>
      <c r="J23" s="81">
        <f>J17-J21</f>
        <v>1207.70573509866</v>
      </c>
      <c r="K23" s="81">
        <f>K17-K21</f>
        <v>1366.20870598151</v>
      </c>
      <c r="L23" s="81">
        <f>L17-L21</f>
        <v>1324.55918319166</v>
      </c>
      <c r="M23" s="81">
        <f>M17-M21</f>
        <v>1282.75660634394</v>
      </c>
      <c r="N23" s="81">
        <f>N17-N21</f>
        <v>1240.80041299386</v>
      </c>
      <c r="O23" s="81">
        <f>O17-O21</f>
        <v>1198.69003863005</v>
      </c>
      <c r="P23" s="81">
        <f>P17-P21</f>
        <v>-1058.97508333333</v>
      </c>
      <c r="Q23" s="81">
        <f>Q17-Q21</f>
        <v>1722.33178041339</v>
      </c>
      <c r="R23" s="81">
        <f>R17-R21</f>
        <v>12481.9909420452</v>
      </c>
      <c r="S23" s="81">
        <f>S17-S21</f>
        <v>-577.280262865472</v>
      </c>
      <c r="T23" s="81">
        <f>T17-T21</f>
        <v>1600.86398586086</v>
      </c>
      <c r="U23" s="81">
        <f>U17-U21</f>
        <v>1560.07677649937</v>
      </c>
      <c r="V23" s="81">
        <f>V17-V21</f>
        <v>1519.13968191751</v>
      </c>
      <c r="W23" s="81">
        <f>W17-W21</f>
        <v>1478.05215131565</v>
      </c>
      <c r="X23" s="81">
        <f>X17-X21</f>
        <v>1436.81363187009</v>
      </c>
      <c r="Y23" s="81">
        <f>Y17-Y21</f>
        <v>1395.42356872562</v>
      </c>
      <c r="Z23" s="81">
        <f>Z17-Z21</f>
        <v>1353.88140498801</v>
      </c>
      <c r="AA23" s="81">
        <f>AA17-AA21</f>
        <v>1312.1865817166</v>
      </c>
      <c r="AB23" s="81">
        <f>AB17-AB21</f>
        <v>-1678.12896208333</v>
      </c>
    </row>
    <row r="26">
      <c r="B26" s="6" t="inlineStr">
        <is>
          <t>3. Os três cenários lado a lado</t>
        </is>
      </c>
    </row>
    <row r="27">
      <c r="B27" s="7" t="inlineStr">
        <is>
          <t>Item</t>
        </is>
      </c>
      <c r="C27" s="7" t="inlineStr">
        <is>
          <t>Total 12 meses</t>
        </is>
      </c>
      <c r="D27" s="7" t="inlineStr">
        <is>
          <t>Total 24 meses</t>
        </is>
      </c>
      <c r="E27" s="7" t="str">
        <f>E13</f>
        <v>Nov/26</v>
      </c>
      <c r="F27" s="7" t="str">
        <f>F13</f>
        <v>Dez/26</v>
      </c>
      <c r="G27" s="7" t="str">
        <f>G13</f>
        <v>Jan/27</v>
      </c>
      <c r="H27" s="7" t="str">
        <f>H13</f>
        <v>Fev/27</v>
      </c>
      <c r="I27" s="7" t="str">
        <f>I13</f>
        <v>Mar/27</v>
      </c>
      <c r="J27" s="7" t="str">
        <f>J13</f>
        <v>Abr/27</v>
      </c>
      <c r="K27" s="7" t="str">
        <f>K13</f>
        <v>Mai/27</v>
      </c>
      <c r="L27" s="7" t="str">
        <f>L13</f>
        <v>Jun/27</v>
      </c>
      <c r="M27" s="7" t="str">
        <f>M13</f>
        <v>Jul/27</v>
      </c>
      <c r="N27" s="7" t="str">
        <f>N13</f>
        <v>Ago/27</v>
      </c>
      <c r="O27" s="7" t="str">
        <f>O13</f>
        <v>Set/27</v>
      </c>
      <c r="P27" s="7" t="str">
        <f>P13</f>
        <v>Out/27</v>
      </c>
      <c r="Q27" s="7" t="str">
        <f>Q13</f>
        <v>Nov/27</v>
      </c>
      <c r="R27" s="7" t="str">
        <f>R13</f>
        <v>Dez/27</v>
      </c>
      <c r="S27" s="7" t="str">
        <f>S13</f>
        <v>Jan/28</v>
      </c>
      <c r="T27" s="7" t="str">
        <f>T13</f>
        <v>Fev/28</v>
      </c>
      <c r="U27" s="7" t="str">
        <f>U13</f>
        <v>Mar/28</v>
      </c>
      <c r="V27" s="7" t="str">
        <f>V13</f>
        <v>Abr/28</v>
      </c>
      <c r="W27" s="7" t="str">
        <f>W13</f>
        <v>Mai/28</v>
      </c>
      <c r="X27" s="7" t="str">
        <f>X13</f>
        <v>Jun/28</v>
      </c>
      <c r="Y27" s="7" t="str">
        <f>Y13</f>
        <v>Jul/28</v>
      </c>
      <c r="Z27" s="7" t="str">
        <f>Z13</f>
        <v>Ago/28</v>
      </c>
      <c r="AA27" s="7" t="str">
        <f>AA13</f>
        <v>Set/28</v>
      </c>
      <c r="AB27" s="7" t="str">
        <f>AB13</f>
        <v>Out/28</v>
      </c>
    </row>
    <row r="28">
      <c r="B28" s="90" t="inlineStr">
        <is>
          <t>REALISTA</t>
        </is>
      </c>
    </row>
    <row r="29">
      <c r="B29" s="14" t="inlineStr">
        <is>
          <t xml:space="preserve">  Receitas</t>
        </is>
      </c>
      <c r="C29" s="81">
        <f>SUM(E29:P29)</f>
        <v>163200</v>
      </c>
      <c r="D29" s="81">
        <f>SUM(E29:AB29)</f>
        <v>326400</v>
      </c>
      <c r="E29" s="36">
        <f>E$17*(1+INDEX(Cen_Rec,1))</f>
        <v>12700</v>
      </c>
      <c r="F29" s="36">
        <f>F$17*(1+INDEX(Cen_Rec,1))</f>
        <v>23500</v>
      </c>
      <c r="G29" s="36">
        <f>G$17*(1+INDEX(Cen_Rec,1))</f>
        <v>12700</v>
      </c>
      <c r="H29" s="36">
        <f>H$17*(1+INDEX(Cen_Rec,1))</f>
        <v>12700</v>
      </c>
      <c r="I29" s="36">
        <f>I$17*(1+INDEX(Cen_Rec,1))</f>
        <v>12700</v>
      </c>
      <c r="J29" s="36">
        <f>J$17*(1+INDEX(Cen_Rec,1))</f>
        <v>12700</v>
      </c>
      <c r="K29" s="36">
        <f>K$17*(1+INDEX(Cen_Rec,1))</f>
        <v>12700</v>
      </c>
      <c r="L29" s="36">
        <f>L$17*(1+INDEX(Cen_Rec,1))</f>
        <v>12700</v>
      </c>
      <c r="M29" s="36">
        <f>M$17*(1+INDEX(Cen_Rec,1))</f>
        <v>12700</v>
      </c>
      <c r="N29" s="36">
        <f>N$17*(1+INDEX(Cen_Rec,1))</f>
        <v>12700</v>
      </c>
      <c r="O29" s="36">
        <f>O$17*(1+INDEX(Cen_Rec,1))</f>
        <v>12700</v>
      </c>
      <c r="P29" s="36">
        <f>P$17*(1+INDEX(Cen_Rec,1))</f>
        <v>12700</v>
      </c>
      <c r="Q29" s="36">
        <f>Q$17*(1+INDEX(Cen_Rec,1))</f>
        <v>12700</v>
      </c>
      <c r="R29" s="36">
        <f>R$17*(1+INDEX(Cen_Rec,1))</f>
        <v>23500</v>
      </c>
      <c r="S29" s="36">
        <f>S$17*(1+INDEX(Cen_Rec,1))</f>
        <v>12700</v>
      </c>
      <c r="T29" s="36">
        <f>T$17*(1+INDEX(Cen_Rec,1))</f>
        <v>12700</v>
      </c>
      <c r="U29" s="36">
        <f>U$17*(1+INDEX(Cen_Rec,1))</f>
        <v>12700</v>
      </c>
      <c r="V29" s="36">
        <f>V$17*(1+INDEX(Cen_Rec,1))</f>
        <v>12700</v>
      </c>
      <c r="W29" s="36">
        <f>W$17*(1+INDEX(Cen_Rec,1))</f>
        <v>12700</v>
      </c>
      <c r="X29" s="36">
        <f>X$17*(1+INDEX(Cen_Rec,1))</f>
        <v>12700</v>
      </c>
      <c r="Y29" s="36">
        <f>Y$17*(1+INDEX(Cen_Rec,1))</f>
        <v>12700</v>
      </c>
      <c r="Z29" s="36">
        <f>Z$17*(1+INDEX(Cen_Rec,1))</f>
        <v>12700</v>
      </c>
      <c r="AA29" s="36">
        <f>AA$17*(1+INDEX(Cen_Rec,1))</f>
        <v>12700</v>
      </c>
      <c r="AB29" s="36">
        <f>AB$17*(1+INDEX(Cen_Rec,1))</f>
        <v>12700</v>
      </c>
    </row>
    <row r="30">
      <c r="B30" s="14" t="inlineStr">
        <is>
          <t xml:space="preserve">  Despesas</t>
        </is>
      </c>
      <c r="C30" s="81">
        <f>SUM(E30:P30)</f>
        <v>145720.109872011</v>
      </c>
      <c r="D30" s="81">
        <f>SUM(E30:AB30)</f>
        <v>285314.758591608</v>
      </c>
      <c r="E30" s="36">
        <f>E$21*(1+INDEX(Cen_Desp,1))</f>
        <v>13508.5102297946</v>
      </c>
      <c r="F30" s="36">
        <f>F$21*(1+INDEX(Cen_Desp,1))</f>
        <v>12920.6915670901</v>
      </c>
      <c r="G30" s="36">
        <f>G$21*(1+INDEX(Cen_Desp,1))</f>
        <v>13791.9490465139</v>
      </c>
      <c r="H30" s="36">
        <f>H$21*(1+INDEX(Cen_Desp,1))</f>
        <v>11709.7554563957</v>
      </c>
      <c r="I30" s="36">
        <f>I$21*(1+INDEX(Cen_Desp,1))</f>
        <v>11450.9491711235</v>
      </c>
      <c r="J30" s="36">
        <f>J$21*(1+INDEX(Cen_Desp,1))</f>
        <v>11492.2942649013</v>
      </c>
      <c r="K30" s="36">
        <f>K$21*(1+INDEX(Cen_Desp,1))</f>
        <v>11333.7912940185</v>
      </c>
      <c r="L30" s="36">
        <f>L$21*(1+INDEX(Cen_Desp,1))</f>
        <v>11375.4408168083</v>
      </c>
      <c r="M30" s="36">
        <f>M$21*(1+INDEX(Cen_Desp,1))</f>
        <v>11417.2433936561</v>
      </c>
      <c r="N30" s="36">
        <f>N$21*(1+INDEX(Cen_Desp,1))</f>
        <v>11459.1995870061</v>
      </c>
      <c r="O30" s="36">
        <f>O$21*(1+INDEX(Cen_Desp,1))</f>
        <v>11501.30996137</v>
      </c>
      <c r="P30" s="36">
        <f>P$21*(1+INDEX(Cen_Desp,1))</f>
        <v>13758.9750833333</v>
      </c>
      <c r="Q30" s="36">
        <f>Q$21*(1+INDEX(Cen_Desp,1))</f>
        <v>10977.6682195866</v>
      </c>
      <c r="R30" s="36">
        <f>R$21*(1+INDEX(Cen_Desp,1))</f>
        <v>11018.0090579548</v>
      </c>
      <c r="S30" s="36">
        <f>S$21*(1+INDEX(Cen_Desp,1))</f>
        <v>13277.2802628655</v>
      </c>
      <c r="T30" s="36">
        <f>T$21*(1+INDEX(Cen_Desp,1))</f>
        <v>11099.1360141391</v>
      </c>
      <c r="U30" s="36">
        <f>U$21*(1+INDEX(Cen_Desp,1))</f>
        <v>11139.9232235006</v>
      </c>
      <c r="V30" s="36">
        <f>V$21*(1+INDEX(Cen_Desp,1))</f>
        <v>11180.8603180825</v>
      </c>
      <c r="W30" s="36">
        <f>W$21*(1+INDEX(Cen_Desp,1))</f>
        <v>11221.9478486843</v>
      </c>
      <c r="X30" s="36">
        <f>X$21*(1+INDEX(Cen_Desp,1))</f>
        <v>11263.1863681299</v>
      </c>
      <c r="Y30" s="36">
        <f>Y$21*(1+INDEX(Cen_Desp,1))</f>
        <v>11304.5764312744</v>
      </c>
      <c r="Z30" s="36">
        <f>Z$21*(1+INDEX(Cen_Desp,1))</f>
        <v>11346.118595012</v>
      </c>
      <c r="AA30" s="36">
        <f>AA$21*(1+INDEX(Cen_Desp,1))</f>
        <v>11387.8134182834</v>
      </c>
      <c r="AB30" s="36">
        <f>AB$21*(1+INDEX(Cen_Desp,1))</f>
        <v>14378.1289620833</v>
      </c>
    </row>
    <row r="31">
      <c r="B31" s="9" t="inlineStr">
        <is>
          <t xml:space="preserve">  Saldo do mês</t>
        </is>
      </c>
      <c r="C31" s="81">
        <f>SUM(E31:P31)</f>
        <v>17479.8901279886</v>
      </c>
      <c r="D31" s="81">
        <f>SUM(E31:AB31)</f>
        <v>41085.2414083921</v>
      </c>
      <c r="E31" s="81">
        <f>E29-E30</f>
        <v>-808.510229794607</v>
      </c>
      <c r="F31" s="81">
        <f>F29-F30</f>
        <v>10579.3084329099</v>
      </c>
      <c r="G31" s="81">
        <f>G29-G30</f>
        <v>-1091.94904651388</v>
      </c>
      <c r="H31" s="81">
        <f>H29-H30</f>
        <v>990.244543604305</v>
      </c>
      <c r="I31" s="81">
        <f>I29-I30</f>
        <v>1249.05082887655</v>
      </c>
      <c r="J31" s="81">
        <f>J29-J30</f>
        <v>1207.70573509866</v>
      </c>
      <c r="K31" s="81">
        <f>K29-K30</f>
        <v>1366.20870598151</v>
      </c>
      <c r="L31" s="81">
        <f>L29-L30</f>
        <v>1324.55918319166</v>
      </c>
      <c r="M31" s="81">
        <f>M29-M30</f>
        <v>1282.75660634394</v>
      </c>
      <c r="N31" s="81">
        <f>N29-N30</f>
        <v>1240.80041299386</v>
      </c>
      <c r="O31" s="81">
        <f>O29-O30</f>
        <v>1198.69003863005</v>
      </c>
      <c r="P31" s="81">
        <f>P29-P30</f>
        <v>-1058.97508333333</v>
      </c>
      <c r="Q31" s="81">
        <f>Q29-Q30</f>
        <v>1722.33178041339</v>
      </c>
      <c r="R31" s="81">
        <f>R29-R30</f>
        <v>12481.9909420452</v>
      </c>
      <c r="S31" s="81">
        <f>S29-S30</f>
        <v>-577.280262865472</v>
      </c>
      <c r="T31" s="81">
        <f>T29-T30</f>
        <v>1600.86398586086</v>
      </c>
      <c r="U31" s="81">
        <f>U29-U30</f>
        <v>1560.07677649937</v>
      </c>
      <c r="V31" s="81">
        <f>V29-V30</f>
        <v>1519.13968191751</v>
      </c>
      <c r="W31" s="81">
        <f>W29-W30</f>
        <v>1478.05215131565</v>
      </c>
      <c r="X31" s="81">
        <f>X29-X30</f>
        <v>1436.81363187009</v>
      </c>
      <c r="Y31" s="81">
        <f>Y29-Y30</f>
        <v>1395.42356872562</v>
      </c>
      <c r="Z31" s="81">
        <f>Z29-Z30</f>
        <v>1353.88140498801</v>
      </c>
      <c r="AA31" s="81">
        <f>AA29-AA30</f>
        <v>1312.1865817166</v>
      </c>
      <c r="AB31" s="81">
        <f>AB29-AB30</f>
        <v>-1678.12896208333</v>
      </c>
    </row>
    <row r="32">
      <c r="B32" s="9" t="inlineStr">
        <is>
          <t xml:space="preserve">  Saldo acumulado</t>
        </is>
      </c>
      <c r="C32" s="81">
        <f>P32</f>
        <v>17479.8901279886</v>
      </c>
      <c r="D32" s="81">
        <f>AB32</f>
        <v>41085.2414083921</v>
      </c>
      <c r="E32" s="81">
        <f>SUM($E31:E31)</f>
        <v>-808.510229794607</v>
      </c>
      <c r="F32" s="81">
        <f>SUM($E31:F31)</f>
        <v>9770.79820311533</v>
      </c>
      <c r="G32" s="81">
        <f>SUM($E31:G31)</f>
        <v>8678.84915660145</v>
      </c>
      <c r="H32" s="81">
        <f>SUM($E31:H31)</f>
        <v>9669.09370020575</v>
      </c>
      <c r="I32" s="81">
        <f>SUM($E31:I31)</f>
        <v>10918.1445290823</v>
      </c>
      <c r="J32" s="81">
        <f>SUM($E31:J31)</f>
        <v>12125.850264181</v>
      </c>
      <c r="K32" s="81">
        <f>SUM($E31:K31)</f>
        <v>13492.0589701625</v>
      </c>
      <c r="L32" s="81">
        <f>SUM($E31:L31)</f>
        <v>14816.6181533541</v>
      </c>
      <c r="M32" s="81">
        <f>SUM($E31:M31)</f>
        <v>16099.3747596981</v>
      </c>
      <c r="N32" s="81">
        <f>SUM($E31:N31)</f>
        <v>17340.1751726919</v>
      </c>
      <c r="O32" s="81">
        <f>SUM($E31:O31)</f>
        <v>18538.865211322</v>
      </c>
      <c r="P32" s="81">
        <f>SUM($E31:P31)</f>
        <v>17479.8901279886</v>
      </c>
      <c r="Q32" s="81">
        <f>SUM($E31:Q31)</f>
        <v>19202.221908402</v>
      </c>
      <c r="R32" s="81">
        <f>SUM($E31:R31)</f>
        <v>31684.2128504472</v>
      </c>
      <c r="S32" s="81">
        <f>SUM($E31:S31)</f>
        <v>31106.9325875817</v>
      </c>
      <c r="T32" s="81">
        <f>SUM($E31:T31)</f>
        <v>32707.7965734426</v>
      </c>
      <c r="U32" s="81">
        <f>SUM($E31:U31)</f>
        <v>34267.873349942</v>
      </c>
      <c r="V32" s="81">
        <f>SUM($E31:V31)</f>
        <v>35787.0130318595</v>
      </c>
      <c r="W32" s="81">
        <f>SUM($E31:W31)</f>
        <v>37265.0651831751</v>
      </c>
      <c r="X32" s="81">
        <f>SUM($E31:X31)</f>
        <v>38701.8788150452</v>
      </c>
      <c r="Y32" s="81">
        <f>SUM($E31:Y31)</f>
        <v>40097.3023837708</v>
      </c>
      <c r="Z32" s="81">
        <f>SUM($E31:Z31)</f>
        <v>41451.1837887589</v>
      </c>
      <c r="AA32" s="81">
        <f>SUM($E31:AA31)</f>
        <v>42763.3703704755</v>
      </c>
      <c r="AB32" s="81">
        <f>SUM($E31:AB31)</f>
        <v>41085.2414083921</v>
      </c>
    </row>
    <row r="33">
      <c r="B33" s="14" t="inlineStr">
        <is>
          <t xml:space="preserve">  Saldo após aportes (acumulado)</t>
        </is>
      </c>
      <c r="C33" s="81">
        <f>P33</f>
        <v>-7120.10987201136</v>
      </c>
      <c r="D33" s="81">
        <f>AB33</f>
        <v>-8114.75859160788</v>
      </c>
      <c r="E33" s="36">
        <f>SUM($E31:E31)-SUM($E$22:E$22)</f>
        <v>-2858.51022979461</v>
      </c>
      <c r="F33" s="36">
        <f>SUM($E31:F31)-SUM($E$22:F$22)</f>
        <v>5670.79820311533</v>
      </c>
      <c r="G33" s="36">
        <f>SUM($E31:G31)-SUM($E$22:G$22)</f>
        <v>2528.84915660145</v>
      </c>
      <c r="H33" s="36">
        <f>SUM($E31:H31)-SUM($E$22:H$22)</f>
        <v>1469.09370020575</v>
      </c>
      <c r="I33" s="36">
        <f>SUM($E31:I31)-SUM($E$22:I$22)</f>
        <v>668.144529082296</v>
      </c>
      <c r="J33" s="36">
        <f>SUM($E31:J31)-SUM($E$22:J$22)</f>
        <v>-174.149735819041</v>
      </c>
      <c r="K33" s="36">
        <f>SUM($E31:K31)-SUM($E$22:K$22)</f>
        <v>-857.941029837535</v>
      </c>
      <c r="L33" s="36">
        <f>SUM($E31:L31)-SUM($E$22:L$22)</f>
        <v>-1583.38184664588</v>
      </c>
      <c r="M33" s="36">
        <f>SUM($E31:M31)-SUM($E$22:M$22)</f>
        <v>-2350.62524030194</v>
      </c>
      <c r="N33" s="36">
        <f>SUM($E31:N31)-SUM($E$22:N$22)</f>
        <v>-3159.82482730808</v>
      </c>
      <c r="O33" s="36">
        <f>SUM($E31:O31)-SUM($E$22:O$22)</f>
        <v>-4011.13478867803</v>
      </c>
      <c r="P33" s="36">
        <f>SUM($E31:P31)-SUM($E$22:P$22)</f>
        <v>-7120.10987201136</v>
      </c>
      <c r="Q33" s="36">
        <f>SUM($E31:Q31)-SUM($E$22:Q$22)</f>
        <v>-7447.77809159797</v>
      </c>
      <c r="R33" s="36">
        <f>SUM($E31:R31)-SUM($E$22:R$22)</f>
        <v>2984.21285044721</v>
      </c>
      <c r="S33" s="36">
        <f>SUM($E31:S31)-SUM($E$22:S$22)</f>
        <v>356.932587581734</v>
      </c>
      <c r="T33" s="36">
        <f>SUM($E31:T31)-SUM($E$22:T$22)</f>
        <v>-92.2034265574075</v>
      </c>
      <c r="U33" s="36">
        <f>SUM($E31:U31)-SUM($E$22:U$22)</f>
        <v>-582.126650058039</v>
      </c>
      <c r="V33" s="36">
        <f>SUM($E31:V31)-SUM($E$22:V$22)</f>
        <v>-1112.98696814053</v>
      </c>
      <c r="W33" s="36">
        <f>SUM($E31:W31)-SUM($E$22:W$22)</f>
        <v>-1684.93481682487</v>
      </c>
      <c r="X33" s="36">
        <f>SUM($E31:X31)-SUM($E$22:X$22)</f>
        <v>-2298.12118495478</v>
      </c>
      <c r="Y33" s="36">
        <f>SUM($E31:Y31)-SUM($E$22:Y$22)</f>
        <v>-2952.69761622915</v>
      </c>
      <c r="Z33" s="36">
        <f>SUM($E31:Z31)-SUM($E$22:Z$22)</f>
        <v>-3648.81621124114</v>
      </c>
      <c r="AA33" s="36">
        <f>SUM($E31:AA31)-SUM($E$22:AA$22)</f>
        <v>-4386.62962952455</v>
      </c>
      <c r="AB33" s="36">
        <f>SUM($E31:AB31)-SUM($E$22:AB$22)</f>
        <v>-8114.75859160788</v>
      </c>
    </row>
    <row r="35">
      <c r="B35" s="77" t="inlineStr">
        <is>
          <t>OTIMISTA</t>
        </is>
      </c>
    </row>
    <row r="36">
      <c r="B36" s="14" t="inlineStr">
        <is>
          <t xml:space="preserve">  Receitas</t>
        </is>
      </c>
      <c r="C36" s="81">
        <f>SUM(E36:P36)</f>
        <v>171360</v>
      </c>
      <c r="D36" s="81">
        <f>SUM(E36:AB36)</f>
        <v>342720</v>
      </c>
      <c r="E36" s="36">
        <f>E$17*(1+INDEX(Cen_Rec,2))</f>
        <v>13335</v>
      </c>
      <c r="F36" s="36">
        <f>F$17*(1+INDEX(Cen_Rec,2))</f>
        <v>24675</v>
      </c>
      <c r="G36" s="36">
        <f>G$17*(1+INDEX(Cen_Rec,2))</f>
        <v>13335</v>
      </c>
      <c r="H36" s="36">
        <f>H$17*(1+INDEX(Cen_Rec,2))</f>
        <v>13335</v>
      </c>
      <c r="I36" s="36">
        <f>I$17*(1+INDEX(Cen_Rec,2))</f>
        <v>13335</v>
      </c>
      <c r="J36" s="36">
        <f>J$17*(1+INDEX(Cen_Rec,2))</f>
        <v>13335</v>
      </c>
      <c r="K36" s="36">
        <f>K$17*(1+INDEX(Cen_Rec,2))</f>
        <v>13335</v>
      </c>
      <c r="L36" s="36">
        <f>L$17*(1+INDEX(Cen_Rec,2))</f>
        <v>13335</v>
      </c>
      <c r="M36" s="36">
        <f>M$17*(1+INDEX(Cen_Rec,2))</f>
        <v>13335</v>
      </c>
      <c r="N36" s="36">
        <f>N$17*(1+INDEX(Cen_Rec,2))</f>
        <v>13335</v>
      </c>
      <c r="O36" s="36">
        <f>O$17*(1+INDEX(Cen_Rec,2))</f>
        <v>13335</v>
      </c>
      <c r="P36" s="36">
        <f>P$17*(1+INDEX(Cen_Rec,2))</f>
        <v>13335</v>
      </c>
      <c r="Q36" s="36">
        <f>Q$17*(1+INDEX(Cen_Rec,2))</f>
        <v>13335</v>
      </c>
      <c r="R36" s="36">
        <f>R$17*(1+INDEX(Cen_Rec,2))</f>
        <v>24675</v>
      </c>
      <c r="S36" s="36">
        <f>S$17*(1+INDEX(Cen_Rec,2))</f>
        <v>13335</v>
      </c>
      <c r="T36" s="36">
        <f>T$17*(1+INDEX(Cen_Rec,2))</f>
        <v>13335</v>
      </c>
      <c r="U36" s="36">
        <f>U$17*(1+INDEX(Cen_Rec,2))</f>
        <v>13335</v>
      </c>
      <c r="V36" s="36">
        <f>V$17*(1+INDEX(Cen_Rec,2))</f>
        <v>13335</v>
      </c>
      <c r="W36" s="36">
        <f>W$17*(1+INDEX(Cen_Rec,2))</f>
        <v>13335</v>
      </c>
      <c r="X36" s="36">
        <f>X$17*(1+INDEX(Cen_Rec,2))</f>
        <v>13335</v>
      </c>
      <c r="Y36" s="36">
        <f>Y$17*(1+INDEX(Cen_Rec,2))</f>
        <v>13335</v>
      </c>
      <c r="Z36" s="36">
        <f>Z$17*(1+INDEX(Cen_Rec,2))</f>
        <v>13335</v>
      </c>
      <c r="AA36" s="36">
        <f>AA$17*(1+INDEX(Cen_Rec,2))</f>
        <v>13335</v>
      </c>
      <c r="AB36" s="36">
        <f>AB$17*(1+INDEX(Cen_Rec,2))</f>
        <v>13335</v>
      </c>
    </row>
    <row r="37">
      <c r="B37" s="14" t="inlineStr">
        <is>
          <t xml:space="preserve">  Despesas</t>
        </is>
      </c>
      <c r="C37" s="81">
        <f>SUM(E37:P37)</f>
        <v>131148.09888481</v>
      </c>
      <c r="D37" s="81">
        <f>SUM(E37:AB37)</f>
        <v>256783.282732447</v>
      </c>
      <c r="E37" s="36">
        <f>E$21*(1+INDEX(Cen_Desp,2))</f>
        <v>12157.6592068151</v>
      </c>
      <c r="F37" s="36">
        <f>F$21*(1+INDEX(Cen_Desp,2))</f>
        <v>11628.6224103811</v>
      </c>
      <c r="G37" s="36">
        <f>G$21*(1+INDEX(Cen_Desp,2))</f>
        <v>12412.7541418625</v>
      </c>
      <c r="H37" s="36">
        <f>H$21*(1+INDEX(Cen_Desp,2))</f>
        <v>10538.7799107561</v>
      </c>
      <c r="I37" s="36">
        <f>I$21*(1+INDEX(Cen_Desp,2))</f>
        <v>10305.8542540111</v>
      </c>
      <c r="J37" s="36">
        <f>J$21*(1+INDEX(Cen_Desp,2))</f>
        <v>10343.0648384112</v>
      </c>
      <c r="K37" s="36">
        <f>K$21*(1+INDEX(Cen_Desp,2))</f>
        <v>10200.4121646166</v>
      </c>
      <c r="L37" s="36">
        <f>L$21*(1+INDEX(Cen_Desp,2))</f>
        <v>10237.8967351275</v>
      </c>
      <c r="M37" s="36">
        <f>M$21*(1+INDEX(Cen_Desp,2))</f>
        <v>10275.5190542905</v>
      </c>
      <c r="N37" s="36">
        <f>N$21*(1+INDEX(Cen_Desp,2))</f>
        <v>10313.2796283055</v>
      </c>
      <c r="O37" s="36">
        <f>O$21*(1+INDEX(Cen_Desp,2))</f>
        <v>10351.178965233</v>
      </c>
      <c r="P37" s="36">
        <f>P$21*(1+INDEX(Cen_Desp,2))</f>
        <v>12383.077575</v>
      </c>
      <c r="Q37" s="36">
        <f>Q$21*(1+INDEX(Cen_Desp,2))</f>
        <v>9879.90139762795</v>
      </c>
      <c r="R37" s="36">
        <f>R$21*(1+INDEX(Cen_Desp,2))</f>
        <v>9916.20815215934</v>
      </c>
      <c r="S37" s="36">
        <f>S$21*(1+INDEX(Cen_Desp,2))</f>
        <v>11949.5522365789</v>
      </c>
      <c r="T37" s="36">
        <f>T$21*(1+INDEX(Cen_Desp,2))</f>
        <v>9989.22241272523</v>
      </c>
      <c r="U37" s="36">
        <f>U$21*(1+INDEX(Cen_Desp,2))</f>
        <v>10025.9309011506</v>
      </c>
      <c r="V37" s="36">
        <f>V$21*(1+INDEX(Cen_Desp,2))</f>
        <v>10062.7742862742</v>
      </c>
      <c r="W37" s="36">
        <f>W$21*(1+INDEX(Cen_Desp,2))</f>
        <v>10099.7530638159</v>
      </c>
      <c r="X37" s="36">
        <f>X$21*(1+INDEX(Cen_Desp,2))</f>
        <v>10136.8677313169</v>
      </c>
      <c r="Y37" s="36">
        <f>Y$21*(1+INDEX(Cen_Desp,2))</f>
        <v>10174.1187881469</v>
      </c>
      <c r="Z37" s="36">
        <f>Z$21*(1+INDEX(Cen_Desp,2))</f>
        <v>10211.5067355108</v>
      </c>
      <c r="AA37" s="36">
        <f>AA$21*(1+INDEX(Cen_Desp,2))</f>
        <v>10249.0320764551</v>
      </c>
      <c r="AB37" s="36">
        <f>AB$21*(1+INDEX(Cen_Desp,2))</f>
        <v>12940.316065875</v>
      </c>
    </row>
    <row r="38">
      <c r="B38" s="9" t="inlineStr">
        <is>
          <t xml:space="preserve">  Saldo do mês</t>
        </is>
      </c>
      <c r="C38" s="81">
        <f>SUM(E38:P38)</f>
        <v>40211.9011151898</v>
      </c>
      <c r="D38" s="81">
        <f>SUM(E38:AB38)</f>
        <v>85936.7172675529</v>
      </c>
      <c r="E38" s="81">
        <f>E36-E37</f>
        <v>1177.34079318485</v>
      </c>
      <c r="F38" s="81">
        <f>F36-F37</f>
        <v>13046.3775896189</v>
      </c>
      <c r="G38" s="81">
        <f>G36-G37</f>
        <v>922.245858137503</v>
      </c>
      <c r="H38" s="81">
        <f>H36-H37</f>
        <v>2796.22008924387</v>
      </c>
      <c r="I38" s="81">
        <f>I36-I37</f>
        <v>3029.14574598889</v>
      </c>
      <c r="J38" s="81">
        <f>J36-J37</f>
        <v>2991.9351615888</v>
      </c>
      <c r="K38" s="81">
        <f>K36-K37</f>
        <v>3134.58783538335</v>
      </c>
      <c r="L38" s="81">
        <f>L36-L37</f>
        <v>3097.10326487249</v>
      </c>
      <c r="M38" s="81">
        <f>M36-M37</f>
        <v>3059.48094570955</v>
      </c>
      <c r="N38" s="81">
        <f>N36-N37</f>
        <v>3021.72037169447</v>
      </c>
      <c r="O38" s="81">
        <f>O36-O37</f>
        <v>2983.82103476704</v>
      </c>
      <c r="P38" s="81">
        <f>P36-P37</f>
        <v>951.922425000001</v>
      </c>
      <c r="Q38" s="81">
        <f>Q36-Q37</f>
        <v>3455.09860237205</v>
      </c>
      <c r="R38" s="81">
        <f>R36-R37</f>
        <v>14758.7918478407</v>
      </c>
      <c r="S38" s="81">
        <f>S36-S37</f>
        <v>1385.44776342107</v>
      </c>
      <c r="T38" s="81">
        <f>T36-T37</f>
        <v>3345.77758727477</v>
      </c>
      <c r="U38" s="81">
        <f>U36-U37</f>
        <v>3309.06909884944</v>
      </c>
      <c r="V38" s="81">
        <f>V36-V37</f>
        <v>3272.22571372576</v>
      </c>
      <c r="W38" s="81">
        <f>W36-W37</f>
        <v>3235.24693618409</v>
      </c>
      <c r="X38" s="81">
        <f>X36-X37</f>
        <v>3198.13226868308</v>
      </c>
      <c r="Y38" s="81">
        <f>Y36-Y37</f>
        <v>3160.88121185306</v>
      </c>
      <c r="Z38" s="81">
        <f>Z36-Z37</f>
        <v>3123.49326448921</v>
      </c>
      <c r="AA38" s="81">
        <f>AA36-AA37</f>
        <v>3085.96792354494</v>
      </c>
      <c r="AB38" s="81">
        <f>AB36-AB37</f>
        <v>394.683934125002</v>
      </c>
    </row>
    <row r="39">
      <c r="B39" s="9" t="inlineStr">
        <is>
          <t xml:space="preserve">  Saldo acumulado</t>
        </is>
      </c>
      <c r="C39" s="81">
        <f>P39</f>
        <v>40211.9011151898</v>
      </c>
      <c r="D39" s="81">
        <f>AB39</f>
        <v>85936.7172675529</v>
      </c>
      <c r="E39" s="81">
        <f>SUM($E38:E38)</f>
        <v>1177.34079318485</v>
      </c>
      <c r="F39" s="81">
        <f>SUM($E38:F38)</f>
        <v>14223.7183828038</v>
      </c>
      <c r="G39" s="81">
        <f>SUM($E38:G38)</f>
        <v>15145.9642409413</v>
      </c>
      <c r="H39" s="81">
        <f>SUM($E38:H38)</f>
        <v>17942.1843301852</v>
      </c>
      <c r="I39" s="81">
        <f>SUM($E38:I38)</f>
        <v>20971.3300761741</v>
      </c>
      <c r="J39" s="81">
        <f>SUM($E38:J38)</f>
        <v>23963.2652377629</v>
      </c>
      <c r="K39" s="81">
        <f>SUM($E38:K38)</f>
        <v>27097.8530731462</v>
      </c>
      <c r="L39" s="81">
        <f>SUM($E38:L38)</f>
        <v>30194.9563380187</v>
      </c>
      <c r="M39" s="81">
        <f>SUM($E38:M38)</f>
        <v>33254.4372837283</v>
      </c>
      <c r="N39" s="81">
        <f>SUM($E38:N38)</f>
        <v>36276.1576554227</v>
      </c>
      <c r="O39" s="81">
        <f>SUM($E38:O38)</f>
        <v>39259.9786901898</v>
      </c>
      <c r="P39" s="81">
        <f>SUM($E38:P38)</f>
        <v>40211.9011151898</v>
      </c>
      <c r="Q39" s="81">
        <f>SUM($E38:Q38)</f>
        <v>43666.9997175618</v>
      </c>
      <c r="R39" s="81">
        <f>SUM($E38:R38)</f>
        <v>58425.7915654025</v>
      </c>
      <c r="S39" s="81">
        <f>SUM($E38:S38)</f>
        <v>59811.2393288236</v>
      </c>
      <c r="T39" s="81">
        <f>SUM($E38:T38)</f>
        <v>63157.0169160983</v>
      </c>
      <c r="U39" s="81">
        <f>SUM($E38:U38)</f>
        <v>66466.0860149478</v>
      </c>
      <c r="V39" s="81">
        <f>SUM($E38:V38)</f>
        <v>69738.3117286735</v>
      </c>
      <c r="W39" s="81">
        <f>SUM($E38:W38)</f>
        <v>72973.5586648576</v>
      </c>
      <c r="X39" s="81">
        <f>SUM($E38:X38)</f>
        <v>76171.6909335407</v>
      </c>
      <c r="Y39" s="81">
        <f>SUM($E38:Y38)</f>
        <v>79332.5721453938</v>
      </c>
      <c r="Z39" s="81">
        <f>SUM($E38:Z38)</f>
        <v>82456.065409883</v>
      </c>
      <c r="AA39" s="81">
        <f>SUM($E38:AA38)</f>
        <v>85542.0333334279</v>
      </c>
      <c r="AB39" s="81">
        <f>SUM($E38:AB38)</f>
        <v>85936.7172675529</v>
      </c>
    </row>
    <row r="40">
      <c r="B40" s="14" t="inlineStr">
        <is>
          <t xml:space="preserve">  Saldo após aportes (acumulado)</t>
        </is>
      </c>
      <c r="C40" s="81">
        <f>P40</f>
        <v>15611.9011151898</v>
      </c>
      <c r="D40" s="81">
        <f>AB40</f>
        <v>36736.7172675529</v>
      </c>
      <c r="E40" s="36">
        <f>SUM($E38:E38)-SUM($E$22:E$22)</f>
        <v>-872.659206815146</v>
      </c>
      <c r="F40" s="36">
        <f>SUM($E38:F38)-SUM($E$22:F$22)</f>
        <v>10123.7183828038</v>
      </c>
      <c r="G40" s="36">
        <f>SUM($E38:G38)-SUM($E$22:G$22)</f>
        <v>8995.9642409413</v>
      </c>
      <c r="H40" s="36">
        <f>SUM($E38:H38)-SUM($E$22:H$22)</f>
        <v>9742.18433018517</v>
      </c>
      <c r="I40" s="36">
        <f>SUM($E38:I38)-SUM($E$22:I$22)</f>
        <v>10721.3300761741</v>
      </c>
      <c r="J40" s="36">
        <f>SUM($E38:J38)-SUM($E$22:J$22)</f>
        <v>11663.2652377629</v>
      </c>
      <c r="K40" s="36">
        <f>SUM($E38:K38)-SUM($E$22:K$22)</f>
        <v>12747.8530731462</v>
      </c>
      <c r="L40" s="36">
        <f>SUM($E38:L38)-SUM($E$22:L$22)</f>
        <v>13794.9563380187</v>
      </c>
      <c r="M40" s="36">
        <f>SUM($E38:M38)-SUM($E$22:M$22)</f>
        <v>14804.4372837283</v>
      </c>
      <c r="N40" s="36">
        <f>SUM($E38:N38)-SUM($E$22:N$22)</f>
        <v>15776.1576554227</v>
      </c>
      <c r="O40" s="36">
        <f>SUM($E38:O38)-SUM($E$22:O$22)</f>
        <v>16709.9786901898</v>
      </c>
      <c r="P40" s="36">
        <f>SUM($E38:P38)-SUM($E$22:P$22)</f>
        <v>15611.9011151898</v>
      </c>
      <c r="Q40" s="36">
        <f>SUM($E38:Q38)-SUM($E$22:Q$22)</f>
        <v>17016.9997175618</v>
      </c>
      <c r="R40" s="36">
        <f>SUM($E38:R38)-SUM($E$22:R$22)</f>
        <v>29725.7915654025</v>
      </c>
      <c r="S40" s="36">
        <f>SUM($E38:S38)-SUM($E$22:S$22)</f>
        <v>29061.2393288236</v>
      </c>
      <c r="T40" s="36">
        <f>SUM($E38:T38)-SUM($E$22:T$22)</f>
        <v>30357.0169160983</v>
      </c>
      <c r="U40" s="36">
        <f>SUM($E38:U38)-SUM($E$22:U$22)</f>
        <v>31616.0860149478</v>
      </c>
      <c r="V40" s="36">
        <f>SUM($E38:V38)-SUM($E$22:V$22)</f>
        <v>32838.3117286735</v>
      </c>
      <c r="W40" s="36">
        <f>SUM($E38:W38)-SUM($E$22:W$22)</f>
        <v>34023.5586648576</v>
      </c>
      <c r="X40" s="36">
        <f>SUM($E38:X38)-SUM($E$22:X$22)</f>
        <v>35171.6909335407</v>
      </c>
      <c r="Y40" s="36">
        <f>SUM($E38:Y38)-SUM($E$22:Y$22)</f>
        <v>36282.5721453938</v>
      </c>
      <c r="Z40" s="36">
        <f>SUM($E38:Z38)-SUM($E$22:Z$22)</f>
        <v>37356.065409883</v>
      </c>
      <c r="AA40" s="36">
        <f>SUM($E38:AA38)-SUM($E$22:AA$22)</f>
        <v>38392.0333334279</v>
      </c>
      <c r="AB40" s="36">
        <f>SUM($E38:AB38)-SUM($E$22:AB$22)</f>
        <v>36736.7172675529</v>
      </c>
    </row>
    <row r="42">
      <c r="B42" s="80" t="inlineStr">
        <is>
          <t>PESSIMISTA</t>
        </is>
      </c>
    </row>
    <row r="43">
      <c r="B43" s="14" t="inlineStr">
        <is>
          <t xml:space="preserve">  Receitas</t>
        </is>
      </c>
      <c r="C43" s="81">
        <f>SUM(E43:P43)</f>
        <v>146880</v>
      </c>
      <c r="D43" s="81">
        <f>SUM(E43:AB43)</f>
        <v>293760</v>
      </c>
      <c r="E43" s="36">
        <f>E$17*(1+INDEX(Cen_Rec,3))</f>
        <v>11430</v>
      </c>
      <c r="F43" s="36">
        <f>F$17*(1+INDEX(Cen_Rec,3))</f>
        <v>21150</v>
      </c>
      <c r="G43" s="36">
        <f>G$17*(1+INDEX(Cen_Rec,3))</f>
        <v>11430</v>
      </c>
      <c r="H43" s="36">
        <f>H$17*(1+INDEX(Cen_Rec,3))</f>
        <v>11430</v>
      </c>
      <c r="I43" s="36">
        <f>I$17*(1+INDEX(Cen_Rec,3))</f>
        <v>11430</v>
      </c>
      <c r="J43" s="36">
        <f>J$17*(1+INDEX(Cen_Rec,3))</f>
        <v>11430</v>
      </c>
      <c r="K43" s="36">
        <f>K$17*(1+INDEX(Cen_Rec,3))</f>
        <v>11430</v>
      </c>
      <c r="L43" s="36">
        <f>L$17*(1+INDEX(Cen_Rec,3))</f>
        <v>11430</v>
      </c>
      <c r="M43" s="36">
        <f>M$17*(1+INDEX(Cen_Rec,3))</f>
        <v>11430</v>
      </c>
      <c r="N43" s="36">
        <f>N$17*(1+INDEX(Cen_Rec,3))</f>
        <v>11430</v>
      </c>
      <c r="O43" s="36">
        <f>O$17*(1+INDEX(Cen_Rec,3))</f>
        <v>11430</v>
      </c>
      <c r="P43" s="36">
        <f>P$17*(1+INDEX(Cen_Rec,3))</f>
        <v>11430</v>
      </c>
      <c r="Q43" s="36">
        <f>Q$17*(1+INDEX(Cen_Rec,3))</f>
        <v>11430</v>
      </c>
      <c r="R43" s="36">
        <f>R$17*(1+INDEX(Cen_Rec,3))</f>
        <v>21150</v>
      </c>
      <c r="S43" s="36">
        <f>S$17*(1+INDEX(Cen_Rec,3))</f>
        <v>11430</v>
      </c>
      <c r="T43" s="36">
        <f>T$17*(1+INDEX(Cen_Rec,3))</f>
        <v>11430</v>
      </c>
      <c r="U43" s="36">
        <f>U$17*(1+INDEX(Cen_Rec,3))</f>
        <v>11430</v>
      </c>
      <c r="V43" s="36">
        <f>V$17*(1+INDEX(Cen_Rec,3))</f>
        <v>11430</v>
      </c>
      <c r="W43" s="36">
        <f>W$17*(1+INDEX(Cen_Rec,3))</f>
        <v>11430</v>
      </c>
      <c r="X43" s="36">
        <f>X$17*(1+INDEX(Cen_Rec,3))</f>
        <v>11430</v>
      </c>
      <c r="Y43" s="36">
        <f>Y$17*(1+INDEX(Cen_Rec,3))</f>
        <v>11430</v>
      </c>
      <c r="Z43" s="36">
        <f>Z$17*(1+INDEX(Cen_Rec,3))</f>
        <v>11430</v>
      </c>
      <c r="AA43" s="36">
        <f>AA$17*(1+INDEX(Cen_Rec,3))</f>
        <v>11430</v>
      </c>
      <c r="AB43" s="36">
        <f>AB$17*(1+INDEX(Cen_Rec,3))</f>
        <v>11430</v>
      </c>
    </row>
    <row r="44">
      <c r="B44" s="14" t="inlineStr">
        <is>
          <t xml:space="preserve">  Despesas</t>
        </is>
      </c>
      <c r="C44" s="81">
        <f>SUM(E44:P44)</f>
        <v>160292.120859213</v>
      </c>
      <c r="D44" s="81">
        <f>SUM(E44:AB44)</f>
        <v>313846.234450769</v>
      </c>
      <c r="E44" s="36">
        <f>E$21*(1+INDEX(Cen_Desp,3))</f>
        <v>14859.3612527741</v>
      </c>
      <c r="F44" s="36">
        <f>F$21*(1+INDEX(Cen_Desp,3))</f>
        <v>14212.7607237991</v>
      </c>
      <c r="G44" s="36">
        <f>G$21*(1+INDEX(Cen_Desp,3))</f>
        <v>15171.1439511653</v>
      </c>
      <c r="H44" s="36">
        <f>H$21*(1+INDEX(Cen_Desp,3))</f>
        <v>12880.7310020353</v>
      </c>
      <c r="I44" s="36">
        <f>I$21*(1+INDEX(Cen_Desp,3))</f>
        <v>12596.0440882358</v>
      </c>
      <c r="J44" s="36">
        <f>J$21*(1+INDEX(Cen_Desp,3))</f>
        <v>12641.5236913915</v>
      </c>
      <c r="K44" s="36">
        <f>K$21*(1+INDEX(Cen_Desp,3))</f>
        <v>12467.1704234203</v>
      </c>
      <c r="L44" s="36">
        <f>L$21*(1+INDEX(Cen_Desp,3))</f>
        <v>12512.9848984892</v>
      </c>
      <c r="M44" s="36">
        <f>M$21*(1+INDEX(Cen_Desp,3))</f>
        <v>12558.9677330217</v>
      </c>
      <c r="N44" s="36">
        <f>N$21*(1+INDEX(Cen_Desp,3))</f>
        <v>12605.1195457068</v>
      </c>
      <c r="O44" s="36">
        <f>O$21*(1+INDEX(Cen_Desp,3))</f>
        <v>12651.440957507</v>
      </c>
      <c r="P44" s="36">
        <f>P$21*(1+INDEX(Cen_Desp,3))</f>
        <v>15134.8725916667</v>
      </c>
      <c r="Q44" s="36">
        <f>Q$21*(1+INDEX(Cen_Desp,3))</f>
        <v>12075.4350415453</v>
      </c>
      <c r="R44" s="36">
        <f>R$21*(1+INDEX(Cen_Desp,3))</f>
        <v>12119.8099637503</v>
      </c>
      <c r="S44" s="36">
        <f>S$21*(1+INDEX(Cen_Desp,3))</f>
        <v>14605.008289152</v>
      </c>
      <c r="T44" s="36">
        <f>T$21*(1+INDEX(Cen_Desp,3))</f>
        <v>12209.0496155531</v>
      </c>
      <c r="U44" s="36">
        <f>U$21*(1+INDEX(Cen_Desp,3))</f>
        <v>12253.9155458507</v>
      </c>
      <c r="V44" s="36">
        <f>V$21*(1+INDEX(Cen_Desp,3))</f>
        <v>12298.9463498907</v>
      </c>
      <c r="W44" s="36">
        <f>W$21*(1+INDEX(Cen_Desp,3))</f>
        <v>12344.1426335528</v>
      </c>
      <c r="X44" s="36">
        <f>X$21*(1+INDEX(Cen_Desp,3))</f>
        <v>12389.5050049429</v>
      </c>
      <c r="Y44" s="36">
        <f>Y$21*(1+INDEX(Cen_Desp,3))</f>
        <v>12435.0340744018</v>
      </c>
      <c r="Z44" s="36">
        <f>Z$21*(1+INDEX(Cen_Desp,3))</f>
        <v>12480.7304545132</v>
      </c>
      <c r="AA44" s="36">
        <f>AA$21*(1+INDEX(Cen_Desp,3))</f>
        <v>12526.5947601117</v>
      </c>
      <c r="AB44" s="36">
        <f>AB$21*(1+INDEX(Cen_Desp,3))</f>
        <v>15815.9418582917</v>
      </c>
    </row>
    <row r="45">
      <c r="B45" s="9" t="inlineStr">
        <is>
          <t xml:space="preserve">  Saldo do mês</t>
        </is>
      </c>
      <c r="C45" s="81">
        <f>SUM(E45:P45)</f>
        <v>-13412.1208592125</v>
      </c>
      <c r="D45" s="81">
        <f>SUM(E45:AB45)</f>
        <v>-20086.2344507687</v>
      </c>
      <c r="E45" s="81">
        <f>E43-E44</f>
        <v>-3429.36125277407</v>
      </c>
      <c r="F45" s="81">
        <f>F43-F44</f>
        <v>6937.23927620093</v>
      </c>
      <c r="G45" s="81">
        <f>G43-G44</f>
        <v>-3741.14395116527</v>
      </c>
      <c r="H45" s="81">
        <f>H43-H44</f>
        <v>-1450.73100203527</v>
      </c>
      <c r="I45" s="81">
        <f>I43-I44</f>
        <v>-1166.0440882358</v>
      </c>
      <c r="J45" s="81">
        <f>J43-J44</f>
        <v>-1211.52369139147</v>
      </c>
      <c r="K45" s="81">
        <f>K43-K44</f>
        <v>-1037.17042342034</v>
      </c>
      <c r="L45" s="81">
        <f>L43-L44</f>
        <v>-1082.98489848918</v>
      </c>
      <c r="M45" s="81">
        <f>M43-M44</f>
        <v>-1128.96773302167</v>
      </c>
      <c r="N45" s="81">
        <f>N43-N44</f>
        <v>-1175.11954570676</v>
      </c>
      <c r="O45" s="81">
        <f>O43-O44</f>
        <v>-1221.44095750695</v>
      </c>
      <c r="P45" s="81">
        <f>P43-P44</f>
        <v>-3704.87259166667</v>
      </c>
      <c r="Q45" s="81">
        <f>Q43-Q44</f>
        <v>-645.43504154527</v>
      </c>
      <c r="R45" s="81">
        <f>R43-R44</f>
        <v>9030.19003624969</v>
      </c>
      <c r="S45" s="81">
        <f>S43-S44</f>
        <v>-3175.00828915202</v>
      </c>
      <c r="T45" s="81">
        <f>T43-T44</f>
        <v>-779.049615553056</v>
      </c>
      <c r="U45" s="81">
        <f>U43-U44</f>
        <v>-823.915545850692</v>
      </c>
      <c r="V45" s="81">
        <f>V43-V44</f>
        <v>-868.946349890739</v>
      </c>
      <c r="W45" s="81">
        <f>W43-W44</f>
        <v>-914.142633552783</v>
      </c>
      <c r="X45" s="81">
        <f>X43-X44</f>
        <v>-959.505004942899</v>
      </c>
      <c r="Y45" s="81">
        <f>Y43-Y44</f>
        <v>-1005.03407440182</v>
      </c>
      <c r="Z45" s="81">
        <f>Z43-Z44</f>
        <v>-1050.73045451318</v>
      </c>
      <c r="AA45" s="81">
        <f>AA43-AA44</f>
        <v>-1096.59476011175</v>
      </c>
      <c r="AB45" s="81">
        <f>AB43-AB44</f>
        <v>-4385.94185829166</v>
      </c>
    </row>
    <row r="46">
      <c r="B46" s="9" t="inlineStr">
        <is>
          <t xml:space="preserve">  Saldo acumulado</t>
        </is>
      </c>
      <c r="C46" s="81">
        <f>P46</f>
        <v>-13412.1208592125</v>
      </c>
      <c r="D46" s="81">
        <f>AB46</f>
        <v>-20086.2344507687</v>
      </c>
      <c r="E46" s="81">
        <f>SUM($E45:E45)</f>
        <v>-3429.36125277407</v>
      </c>
      <c r="F46" s="81">
        <f>SUM($E45:F45)</f>
        <v>3507.87802342686</v>
      </c>
      <c r="G46" s="81">
        <f>SUM($E45:G45)</f>
        <v>-233.265927738412</v>
      </c>
      <c r="H46" s="81">
        <f>SUM($E45:H45)</f>
        <v>-1683.99692977368</v>
      </c>
      <c r="I46" s="81">
        <f>SUM($E45:I45)</f>
        <v>-2850.04101800948</v>
      </c>
      <c r="J46" s="81">
        <f>SUM($E45:J45)</f>
        <v>-4061.56470940095</v>
      </c>
      <c r="K46" s="81">
        <f>SUM($E45:K45)</f>
        <v>-5098.73513282129</v>
      </c>
      <c r="L46" s="81">
        <f>SUM($E45:L45)</f>
        <v>-6181.72003131047</v>
      </c>
      <c r="M46" s="81">
        <f>SUM($E45:M45)</f>
        <v>-7310.68776433214</v>
      </c>
      <c r="N46" s="81">
        <f>SUM($E45:N45)</f>
        <v>-8485.80731003889</v>
      </c>
      <c r="O46" s="81">
        <f>SUM($E45:O45)</f>
        <v>-9707.24826754584</v>
      </c>
      <c r="P46" s="81">
        <f>SUM($E45:P45)</f>
        <v>-13412.1208592125</v>
      </c>
      <c r="Q46" s="81">
        <f>SUM($E45:Q45)</f>
        <v>-14057.5559007578</v>
      </c>
      <c r="R46" s="81">
        <f>SUM($E45:R45)</f>
        <v>-5027.36586450809</v>
      </c>
      <c r="S46" s="81">
        <f>SUM($E45:S45)</f>
        <v>-8202.37415366011</v>
      </c>
      <c r="T46" s="81">
        <f>SUM($E45:T45)</f>
        <v>-8981.42376921316</v>
      </c>
      <c r="U46" s="81">
        <f>SUM($E45:U45)</f>
        <v>-9805.33931506386</v>
      </c>
      <c r="V46" s="81">
        <f>SUM($E45:V45)</f>
        <v>-10674.2856649546</v>
      </c>
      <c r="W46" s="81">
        <f>SUM($E45:W45)</f>
        <v>-11588.4282985074</v>
      </c>
      <c r="X46" s="81">
        <f>SUM($E45:X45)</f>
        <v>-12547.9333034503</v>
      </c>
      <c r="Y46" s="81">
        <f>SUM($E45:Y45)</f>
        <v>-13552.9673778521</v>
      </c>
      <c r="Z46" s="81">
        <f>SUM($E45:Z45)</f>
        <v>-14603.6978323653</v>
      </c>
      <c r="AA46" s="81">
        <f>SUM($E45:AA45)</f>
        <v>-15700.292592477</v>
      </c>
      <c r="AB46" s="81">
        <f>SUM($E45:AB45)</f>
        <v>-20086.2344507687</v>
      </c>
    </row>
    <row r="47">
      <c r="B47" s="14" t="inlineStr">
        <is>
          <t xml:space="preserve">  Saldo após aportes (acumulado)</t>
        </is>
      </c>
      <c r="C47" s="81">
        <f>P47</f>
        <v>-38012.1208592125</v>
      </c>
      <c r="D47" s="81">
        <f>AB47</f>
        <v>-69286.2344507687</v>
      </c>
      <c r="E47" s="36">
        <f>SUM($E45:E45)-SUM($E$22:E$22)</f>
        <v>-5479.36125277407</v>
      </c>
      <c r="F47" s="36">
        <f>SUM($E45:F45)-SUM($E$22:F$22)</f>
        <v>-592.121976573139</v>
      </c>
      <c r="G47" s="36">
        <f>SUM($E45:G45)-SUM($E$22:G$22)</f>
        <v>-6383.26592773841</v>
      </c>
      <c r="H47" s="36">
        <f>SUM($E45:H45)-SUM($E$22:H$22)</f>
        <v>-9883.99692977368</v>
      </c>
      <c r="I47" s="36">
        <f>SUM($E45:I45)-SUM($E$22:I$22)</f>
        <v>-13100.0410180095</v>
      </c>
      <c r="J47" s="36">
        <f>SUM($E45:J45)-SUM($E$22:J$22)</f>
        <v>-16361.564709401</v>
      </c>
      <c r="K47" s="36">
        <f>SUM($E45:K45)-SUM($E$22:K$22)</f>
        <v>-19448.7351328213</v>
      </c>
      <c r="L47" s="36">
        <f>SUM($E45:L45)-SUM($E$22:L$22)</f>
        <v>-22581.7200313105</v>
      </c>
      <c r="M47" s="36">
        <f>SUM($E45:M45)-SUM($E$22:M$22)</f>
        <v>-25760.6877643321</v>
      </c>
      <c r="N47" s="36">
        <f>SUM($E45:N45)-SUM($E$22:N$22)</f>
        <v>-28985.8073100389</v>
      </c>
      <c r="O47" s="36">
        <f>SUM($E45:O45)-SUM($E$22:O$22)</f>
        <v>-32257.2482675458</v>
      </c>
      <c r="P47" s="36">
        <f>SUM($E45:P45)-SUM($E$22:P$22)</f>
        <v>-38012.1208592125</v>
      </c>
      <c r="Q47" s="36">
        <f>SUM($E45:Q45)-SUM($E$22:Q$22)</f>
        <v>-40707.5559007578</v>
      </c>
      <c r="R47" s="36">
        <f>SUM($E45:R45)-SUM($E$22:R$22)</f>
        <v>-33727.3658645081</v>
      </c>
      <c r="S47" s="36">
        <f>SUM($E45:S45)-SUM($E$22:S$22)</f>
        <v>-38952.3741536601</v>
      </c>
      <c r="T47" s="36">
        <f>SUM($E45:T45)-SUM($E$22:T$22)</f>
        <v>-41781.4237692132</v>
      </c>
      <c r="U47" s="36">
        <f>SUM($E45:U45)-SUM($E$22:U$22)</f>
        <v>-44655.3393150639</v>
      </c>
      <c r="V47" s="36">
        <f>SUM($E45:V45)-SUM($E$22:V$22)</f>
        <v>-47574.2856649546</v>
      </c>
      <c r="W47" s="36">
        <f>SUM($E45:W45)-SUM($E$22:W$22)</f>
        <v>-50538.4282985074</v>
      </c>
      <c r="X47" s="36">
        <f>SUM($E45:X45)-SUM($E$22:X$22)</f>
        <v>-53547.9333034503</v>
      </c>
      <c r="Y47" s="36">
        <f>SUM($E45:Y45)-SUM($E$22:Y$22)</f>
        <v>-56602.9673778521</v>
      </c>
      <c r="Z47" s="36">
        <f>SUM($E45:Z45)-SUM($E$22:Z$22)</f>
        <v>-59703.6978323653</v>
      </c>
      <c r="AA47" s="36">
        <f>SUM($E45:AA45)-SUM($E$22:AA$22)</f>
        <v>-62850.292592477</v>
      </c>
      <c r="AB47" s="36">
        <f>SUM($E45:AB45)-SUM($E$22:AB$22)</f>
        <v>-69286.2344507687</v>
      </c>
    </row>
    <row r="50">
      <c r="B50" s="6" t="inlineStr">
        <is>
          <t>4. Simulador "E se?"  ⬇ digite nos campos azuis</t>
        </is>
      </c>
    </row>
    <row r="51">
      <c r="B51" s="17" t="inlineStr">
        <is>
          <t>E se eu cortar (R$/mês) ...</t>
        </is>
      </c>
      <c r="C51" s="35" t="n">
        <v>300</v>
      </c>
    </row>
    <row r="52">
      <c r="B52" s="17" t="inlineStr">
        <is>
          <t>... da categoria</t>
        </is>
      </c>
      <c r="C52" s="34" t="inlineStr">
        <is>
          <t>Lazer</t>
        </is>
      </c>
    </row>
    <row r="53">
      <c r="B53" s="17" t="inlineStr">
        <is>
          <t>E se eu aumentar o aporte em (R$/mês)</t>
        </is>
      </c>
      <c r="C53" s="35" t="n">
        <v>500</v>
      </c>
    </row>
    <row r="54">
      <c r="B54" s="17" t="inlineStr">
        <is>
          <t>E se minha renda cair (%)</t>
        </is>
      </c>
      <c r="C54" s="88" t="n">
        <v>0.1</v>
      </c>
    </row>
    <row r="56">
      <c r="B56" s="7" t="inlineStr">
        <is>
          <t>Resultado (12 meses)</t>
        </is>
      </c>
      <c r="C56" s="7" t="inlineStr">
        <is>
          <t>Valor</t>
        </is>
      </c>
    </row>
    <row r="57">
      <c r="B57" s="14" t="inlineStr">
        <is>
          <t>Saldo anual projetado (cenário Realista)</t>
        </is>
      </c>
      <c r="C57" s="36">
        <f>Sc1_Saldo12</f>
        <v>17479.8901279886</v>
      </c>
    </row>
    <row r="58">
      <c r="B58" s="14" t="inlineStr">
        <is>
          <t>Corte considerado (limitado ao gasto médio da categoria) × 12</t>
        </is>
      </c>
      <c r="C58" s="36">
        <f>12*MIN(N(Es_Corte),IFERROR(INDEX(Cat_Med3,MATCH(Es_Cat,CatD_Nome,0)),N(Es_Corte)))</f>
        <v>3600</v>
      </c>
    </row>
    <row r="59">
      <c r="B59" s="14" t="inlineStr">
        <is>
          <t>Efeito de aumentar o aporte (reduz o saldo livre) × 12</t>
        </is>
      </c>
      <c r="C59" s="36">
        <f>-12*N(Es_Aporte)</f>
        <v>-6000</v>
      </c>
    </row>
    <row r="60">
      <c r="B60" s="14" t="inlineStr">
        <is>
          <t>Efeito da queda de renda × 12</t>
        </is>
      </c>
      <c r="C60" s="36">
        <f>-N(Es_Renda)*Sc1_Rec12</f>
        <v>-16320</v>
      </c>
    </row>
    <row r="61">
      <c r="B61" s="9" t="inlineStr">
        <is>
          <t>SALDO ANUAL SIMULADO</t>
        </is>
      </c>
      <c r="C61" s="81">
        <f>SUM(C57:C60)</f>
        <v>-1240.10987201136</v>
      </c>
    </row>
    <row r="62">
      <c r="B62" s="9" t="inlineStr">
        <is>
          <t>Diferença no saldo anual</t>
        </is>
      </c>
      <c r="C62" s="81">
        <f>C61-C57</f>
        <v>-18720</v>
      </c>
    </row>
    <row r="63">
      <c r="B63" s="14" t="inlineStr">
        <is>
          <t>Patrimônio extra investido em 12 meses (aporte extra + rendimento CDI)</t>
        </is>
      </c>
      <c r="C63" s="36">
        <f>IF(N(Es_Aporte)=0,0,N(Es_Aporte)*(((1+Cfg_CDI)^(1/12))^12-1)/((1+Cfg_CDI)^(1/12)-1))</f>
        <v>6369.33169792422</v>
      </c>
    </row>
    <row r="64">
      <c r="B64" s="14" t="inlineStr">
        <is>
          <t>Valor extra mensal destinado às metas (corte + aporte − queda de renda)</t>
        </is>
      </c>
      <c r="C64" s="36">
        <f>C58/12+N(Es_Aporte)-N(Es_Renda)*K_RendaBase</f>
        <v>-480</v>
      </c>
    </row>
    <row r="66">
      <c r="B66" s="6" t="inlineStr">
        <is>
          <t>Efeito na data das metas (o valor extra mensal é dividido igualmente entre as metas em andamento)</t>
        </is>
      </c>
    </row>
    <row r="67" ht="32" customHeight="1">
      <c r="B67" s="7" t="inlineStr">
        <is>
          <t>Meta</t>
        </is>
      </c>
      <c r="C67" s="7" t="inlineStr">
        <is>
          <t>Ritmo atual (R$/mês)</t>
        </is>
      </c>
      <c r="D67" s="7" t="inlineStr">
        <is>
          <t>Ritmo simulado (R$/mês)</t>
        </is>
      </c>
      <c r="E67" s="7" t="inlineStr">
        <is>
          <t>Conclusão no ritmo atual</t>
        </is>
      </c>
      <c r="F67" s="7" t="inlineStr">
        <is>
          <t>Conclusão simulada</t>
        </is>
      </c>
      <c r="G67" s="7" t="inlineStr">
        <is>
          <t>Diferença (meses)</t>
        </is>
      </c>
    </row>
    <row r="68">
      <c r="B68" s="14" t="str">
        <f>INDEX(Meta_Nome,1)&amp;""</f>
        <v>Reserva de emergência</v>
      </c>
      <c r="C68" s="43">
        <f>IF(B68="",0,INDEX(Meta_Ritmo,1))</f>
        <v>700</v>
      </c>
      <c r="D68" s="43">
        <f>IF(OR(B68="",INDEX(Meta_Falta,1)&lt;=0),0,MAX(0,C68+Es_Extra/MAX(1,COUNTIF(Meta_Falta,"&gt;0"))))</f>
        <v>631.428571428571</v>
      </c>
      <c r="E68" s="91">
        <f>IF(B68="","",IF(INDEX(Meta_Falta,1)&lt;=0,"Concluída",IF(C68&lt;=0,"sem ritmo",EDATE(Cfg_Hoje,ROUNDUP(INDEX(Meta_Falta,1)/C68,0)))))</f>
        <v>46786.0</v>
      </c>
      <c r="F68" s="91">
        <f>IF(B68="","",IF(INDEX(Meta_Falta,1)&lt;=0,"Concluída",IF(D68&lt;=0,"sem ritmo",EDATE(Cfg_Hoje,ROUNDUP(INDEX(Meta_Falta,1)/D68,0)))))</f>
        <v>46846.0</v>
      </c>
      <c r="G68" s="92">
        <f>IF(AND(ISNUMBER(E68),ISNUMBER(F68)),(YEAR(E68)-YEAR(F68))*12+MONTH(E68)-MONTH(F68),"")</f>
        <v>-2</v>
      </c>
    </row>
    <row r="69">
      <c r="B69" s="14" t="str">
        <f>INDEX(Meta_Nome,2)&amp;""</f>
        <v>Viagem Europa</v>
      </c>
      <c r="C69" s="43">
        <f>IF(B69="",0,INDEX(Meta_Ritmo,2))</f>
        <v>300</v>
      </c>
      <c r="D69" s="43">
        <f>IF(OR(B69="",INDEX(Meta_Falta,2)&lt;=0),0,MAX(0,C69+Es_Extra/MAX(1,COUNTIF(Meta_Falta,"&gt;0"))))</f>
        <v>231.428571428571</v>
      </c>
      <c r="E69" s="91">
        <f>IF(B69="","",IF(INDEX(Meta_Falta,2)&lt;=0,"Concluída",IF(C69&lt;=0,"sem ritmo",EDATE(Cfg_Hoje,ROUNDUP(INDEX(Meta_Falta,2)/C69,0)))))</f>
        <v>47425.0</v>
      </c>
      <c r="F69" s="91">
        <f>IF(B69="","",IF(INDEX(Meta_Falta,2)&lt;=0,"Concluída",IF(D69&lt;=0,"sem ritmo",EDATE(Cfg_Hoje,ROUNDUP(INDEX(Meta_Falta,2)/D69,0)))))</f>
        <v>47759.0</v>
      </c>
      <c r="G69" s="92">
        <f>IF(AND(ISNUMBER(E69),ISNUMBER(F69)),(YEAR(E69)-YEAR(F69))*12+MONTH(E69)-MONTH(F69),"")</f>
        <v>-11</v>
      </c>
    </row>
    <row r="70">
      <c r="B70" s="14" t="str">
        <f>INDEX(Meta_Nome,3)&amp;""</f>
        <v>Troca de carro</v>
      </c>
      <c r="C70" s="43">
        <f>IF(B70="",0,INDEX(Meta_Ritmo,3))</f>
        <v>200</v>
      </c>
      <c r="D70" s="43">
        <f>IF(OR(B70="",INDEX(Meta_Falta,3)&lt;=0),0,MAX(0,C70+Es_Extra/MAX(1,COUNTIF(Meta_Falta,"&gt;0"))))</f>
        <v>131.428571428571</v>
      </c>
      <c r="E70" s="91">
        <f>IF(B70="","",IF(INDEX(Meta_Falta,3)&lt;=0,"Concluída",IF(C70&lt;=0,"sem ritmo",EDATE(Cfg_Hoje,ROUNDUP(INDEX(Meta_Falta,3)/C70,0)))))</f>
        <v>47272.0</v>
      </c>
      <c r="F70" s="91">
        <f>IF(B70="","",IF(INDEX(Meta_Falta,3)&lt;=0,"Concluída",IF(D70&lt;=0,"sem ritmo",EDATE(Cfg_Hoje,ROUNDUP(INDEX(Meta_Falta,3)/D70,0)))))</f>
        <v>47790.0</v>
      </c>
      <c r="G70" s="92">
        <f>IF(AND(ISNUMBER(E70),ISNUMBER(F70)),(YEAR(E70)-YEAR(F70))*12+MONTH(E70)-MONTH(F70),"")</f>
        <v>-17</v>
      </c>
    </row>
    <row r="71">
      <c r="B71" s="14" t="str">
        <f>INDEX(Meta_Nome,4)&amp;""</f>
        <v>Entrada do apartamento</v>
      </c>
      <c r="C71" s="43">
        <f>IF(B71="",0,INDEX(Meta_Ritmo,4))</f>
        <v>250</v>
      </c>
      <c r="D71" s="43">
        <f>IF(OR(B71="",INDEX(Meta_Falta,4)&lt;=0),0,MAX(0,C71+Es_Extra/MAX(1,COUNTIF(Meta_Falta,"&gt;0"))))</f>
        <v>181.428571428571</v>
      </c>
      <c r="E71" s="91">
        <f>IF(B71="","",IF(INDEX(Meta_Falta,4)&lt;=0,"Concluída",IF(C71&lt;=0,"sem ritmo",EDATE(Cfg_Hoje,ROUNDUP(INDEX(Meta_Falta,4)/C71,0)))))</f>
        <v>50742.0</v>
      </c>
      <c r="F71" s="91">
        <f>IF(B71="","",IF(INDEX(Meta_Falta,4)&lt;=0,"Concluída",IF(D71&lt;=0,"sem ritmo",EDATE(Cfg_Hoje,ROUNDUP(INDEX(Meta_Falta,4)/D71,0)))))</f>
        <v>52446.0</v>
      </c>
      <c r="G71" s="92">
        <f>IF(AND(ISNUMBER(E71),ISNUMBER(F71)),(YEAR(E71)-YEAR(F71))*12+MONTH(E71)-MONTH(F71),"")</f>
        <v>-56</v>
      </c>
    </row>
    <row r="72">
      <c r="B72" s="14" t="str">
        <f>INDEX(Meta_Nome,5)&amp;""</f>
        <v>Quitar empréstimo pessoal</v>
      </c>
      <c r="C72" s="43">
        <f>IF(B72="",0,INDEX(Meta_Ritmo,5))</f>
        <v>150</v>
      </c>
      <c r="D72" s="43">
        <f>IF(OR(B72="",INDEX(Meta_Falta,5)&lt;=0),0,MAX(0,C72+Es_Extra/MAX(1,COUNTIF(Meta_Falta,"&gt;0"))))</f>
        <v>81.4285714285714</v>
      </c>
      <c r="E72" s="91">
        <f>IF(B72="","",IF(INDEX(Meta_Falta,5)&lt;=0,"Concluída",IF(C72&lt;=0,"sem ritmo",EDATE(Cfg_Hoje,ROUNDUP(INDEX(Meta_Falta,5)/C72,0)))))</f>
        <v>46755.0</v>
      </c>
      <c r="F72" s="91">
        <f>IF(B72="","",IF(INDEX(Meta_Falta,5)&lt;=0,"Concluída",IF(D72&lt;=0,"sem ritmo",EDATE(Cfg_Hoje,ROUNDUP(INDEX(Meta_Falta,5)/D72,0)))))</f>
        <v>47152.0</v>
      </c>
      <c r="G72" s="92">
        <f>IF(AND(ISNUMBER(E72),ISNUMBER(F72)),(YEAR(E72)-YEAR(F72))*12+MONTH(E72)-MONTH(F72),"")</f>
        <v>-13</v>
      </c>
    </row>
    <row r="73">
      <c r="B73" s="14" t="str">
        <f>INDEX(Meta_Nome,6)&amp;""</f>
        <v>MBA</v>
      </c>
      <c r="C73" s="43">
        <f>IF(B73="",0,INDEX(Meta_Ritmo,6))</f>
        <v>150</v>
      </c>
      <c r="D73" s="43">
        <f>IF(OR(B73="",INDEX(Meta_Falta,6)&lt;=0),0,MAX(0,C73+Es_Extra/MAX(1,COUNTIF(Meta_Falta,"&gt;0"))))</f>
        <v>81.4285714285714</v>
      </c>
      <c r="E73" s="91">
        <f>IF(B73="","",IF(INDEX(Meta_Falta,6)&lt;=0,"Concluída",IF(C73&lt;=0,"sem ritmo",EDATE(Cfg_Hoje,ROUNDUP(INDEX(Meta_Falta,6)/C73,0)))))</f>
        <v>46541.0</v>
      </c>
      <c r="F73" s="91">
        <f>IF(B73="","",IF(INDEX(Meta_Falta,6)&lt;=0,"Concluída",IF(D73&lt;=0,"sem ritmo",EDATE(Cfg_Hoje,ROUNDUP(INDEX(Meta_Falta,6)/D73,0)))))</f>
        <v>46755.0</v>
      </c>
      <c r="G73" s="92">
        <f>IF(AND(ISNUMBER(E73),ISNUMBER(F73)),(YEAR(E73)-YEAR(F73))*12+MONTH(E73)-MONTH(F73),"")</f>
        <v>-7</v>
      </c>
    </row>
    <row r="74">
      <c r="B74" s="14" t="str">
        <f>INDEX(Meta_Nome,7)&amp;""</f>
        <v>Aposentadoria</v>
      </c>
      <c r="C74" s="43">
        <f>IF(B74="",0,INDEX(Meta_Ritmo,7))</f>
        <v>300</v>
      </c>
      <c r="D74" s="43">
        <f>IF(OR(B74="",INDEX(Meta_Falta,7)&lt;=0),0,MAX(0,C74+Es_Extra/MAX(1,COUNTIF(Meta_Falta,"&gt;0"))))</f>
        <v>231.428571428571</v>
      </c>
      <c r="E74" s="91">
        <f>IF(B74="","",IF(INDEX(Meta_Falta,7)&lt;=0,"Concluída",IF(C74&lt;=0,"sem ritmo",EDATE(Cfg_Hoje,ROUNDUP(INDEX(Meta_Falta,7)/C74,0)))))</f>
        <v>53024.0</v>
      </c>
      <c r="F74" s="91">
        <f>IF(B74="","",IF(INDEX(Meta_Falta,7)&lt;=0,"Concluída",IF(D74&lt;=0,"sem ritmo",EDATE(Cfg_Hoje,ROUNDUP(INDEX(Meta_Falta,7)/D74,0)))))</f>
        <v>55003.0</v>
      </c>
      <c r="G74" s="92">
        <f>IF(AND(ISNUMBER(E74),ISNUMBER(F74)),(YEAR(E74)-YEAR(F74))*12+MONTH(E74)-MONTH(F74),"")</f>
        <v>-65</v>
      </c>
    </row>
    <row r="75">
      <c r="B75" s="14" t="str">
        <f>INDEX(Meta_Nome,8)&amp;""</f>
        <v>Notebook novo</v>
      </c>
      <c r="C75" s="43">
        <f>IF(B75="",0,INDEX(Meta_Ritmo,8))</f>
        <v>0</v>
      </c>
      <c r="D75" s="43">
        <f>IF(OR(B75="",INDEX(Meta_Falta,8)&lt;=0),0,MAX(0,C75+Es_Extra/MAX(1,COUNTIF(Meta_Falta,"&gt;0"))))</f>
        <v>0</v>
      </c>
      <c r="E75" s="91" t="str">
        <f>IF(B75="","",IF(INDEX(Meta_Falta,8)&lt;=0,"Concluída",IF(C75&lt;=0,"sem ritmo",EDATE(Cfg_Hoje,ROUNDUP(INDEX(Meta_Falta,8)/C75,0)))))</f>
        <v>Concluída</v>
      </c>
      <c r="F75" s="91" t="str">
        <f>IF(B75="","",IF(INDEX(Meta_Falta,8)&lt;=0,"Concluída",IF(D75&lt;=0,"sem ritmo",EDATE(Cfg_Hoje,ROUNDUP(INDEX(Meta_Falta,8)/D75,0)))))</f>
        <v>Concluída</v>
      </c>
      <c r="G75" s="92" t="str">
        <f>IF(AND(ISNUMBER(E75),ISNUMBER(F75)),(YEAR(E75)-YEAR(F75))*12+MONTH(E75)-MONTH(F75),"")</f>
        <v/>
      </c>
    </row>
    <row r="76">
      <c r="B76" s="14" t="str">
        <f>INDEX(Meta_Nome,9)&amp;""</f>
        <v/>
      </c>
      <c r="C76" s="43">
        <f>IF(B76="",0,INDEX(Meta_Ritmo,9))</f>
        <v>0</v>
      </c>
      <c r="D76" s="43">
        <f>IF(OR(B76="",INDEX(Meta_Falta,9)&lt;=0),0,MAX(0,C76+Es_Extra/MAX(1,COUNTIF(Meta_Falta,"&gt;0"))))</f>
        <v>0</v>
      </c>
      <c r="E76" s="91" t="str">
        <f>IF(B76="","",IF(INDEX(Meta_Falta,9)&lt;=0,"Concluída",IF(C76&lt;=0,"sem ritmo",EDATE(Cfg_Hoje,ROUNDUP(INDEX(Meta_Falta,9)/C76,0)))))</f>
        <v/>
      </c>
      <c r="F76" s="91" t="str">
        <f>IF(B76="","",IF(INDEX(Meta_Falta,9)&lt;=0,"Concluída",IF(D76&lt;=0,"sem ritmo",EDATE(Cfg_Hoje,ROUNDUP(INDEX(Meta_Falta,9)/D76,0)))))</f>
        <v/>
      </c>
      <c r="G76" s="92" t="str">
        <f>IF(AND(ISNUMBER(E76),ISNUMBER(F76)),(YEAR(E76)-YEAR(F76))*12+MONTH(E76)-MONTH(F76),"")</f>
        <v/>
      </c>
    </row>
    <row r="77">
      <c r="B77" s="14" t="str">
        <f>INDEX(Meta_Nome,10)&amp;""</f>
        <v/>
      </c>
      <c r="C77" s="43">
        <f>IF(B77="",0,INDEX(Meta_Ritmo,10))</f>
        <v>0</v>
      </c>
      <c r="D77" s="43">
        <f>IF(OR(B77="",INDEX(Meta_Falta,10)&lt;=0),0,MAX(0,C77+Es_Extra/MAX(1,COUNTIF(Meta_Falta,"&gt;0"))))</f>
        <v>0</v>
      </c>
      <c r="E77" s="91" t="str">
        <f>IF(B77="","",IF(INDEX(Meta_Falta,10)&lt;=0,"Concluída",IF(C77&lt;=0,"sem ritmo",EDATE(Cfg_Hoje,ROUNDUP(INDEX(Meta_Falta,10)/C77,0)))))</f>
        <v/>
      </c>
      <c r="F77" s="91" t="str">
        <f>IF(B77="","",IF(INDEX(Meta_Falta,10)&lt;=0,"Concluída",IF(D77&lt;=0,"sem ritmo",EDATE(Cfg_Hoje,ROUNDUP(INDEX(Meta_Falta,10)/D77,0)))))</f>
        <v/>
      </c>
      <c r="G77" s="92" t="str">
        <f>IF(AND(ISNUMBER(E77),ISNUMBER(F77)),(YEAR(E77)-YEAR(F77))*12+MONTH(E77)-MONTH(F77),"")</f>
        <v/>
      </c>
    </row>
    <row r="78">
      <c r="B78" s="14" t="str">
        <f>INDEX(Meta_Nome,11)&amp;""</f>
        <v/>
      </c>
      <c r="C78" s="43">
        <f>IF(B78="",0,INDEX(Meta_Ritmo,11))</f>
        <v>0</v>
      </c>
      <c r="D78" s="43">
        <f>IF(OR(B78="",INDEX(Meta_Falta,11)&lt;=0),0,MAX(0,C78+Es_Extra/MAX(1,COUNTIF(Meta_Falta,"&gt;0"))))</f>
        <v>0</v>
      </c>
      <c r="E78" s="91" t="str">
        <f>IF(B78="","",IF(INDEX(Meta_Falta,11)&lt;=0,"Concluída",IF(C78&lt;=0,"sem ritmo",EDATE(Cfg_Hoje,ROUNDUP(INDEX(Meta_Falta,11)/C78,0)))))</f>
        <v/>
      </c>
      <c r="F78" s="91" t="str">
        <f>IF(B78="","",IF(INDEX(Meta_Falta,11)&lt;=0,"Concluída",IF(D78&lt;=0,"sem ritmo",EDATE(Cfg_Hoje,ROUNDUP(INDEX(Meta_Falta,11)/D78,0)))))</f>
        <v/>
      </c>
      <c r="G78" s="92" t="str">
        <f>IF(AND(ISNUMBER(E78),ISNUMBER(F78)),(YEAR(E78)-YEAR(F78))*12+MONTH(E78)-MONTH(F78),"")</f>
        <v/>
      </c>
    </row>
    <row r="79">
      <c r="B79" s="14" t="str">
        <f>INDEX(Meta_Nome,12)&amp;""</f>
        <v/>
      </c>
      <c r="C79" s="43">
        <f>IF(B79="",0,INDEX(Meta_Ritmo,12))</f>
        <v>0</v>
      </c>
      <c r="D79" s="43">
        <f>IF(OR(B79="",INDEX(Meta_Falta,12)&lt;=0),0,MAX(0,C79+Es_Extra/MAX(1,COUNTIF(Meta_Falta,"&gt;0"))))</f>
        <v>0</v>
      </c>
      <c r="E79" s="91" t="str">
        <f>IF(B79="","",IF(INDEX(Meta_Falta,12)&lt;=0,"Concluída",IF(C79&lt;=0,"sem ritmo",EDATE(Cfg_Hoje,ROUNDUP(INDEX(Meta_Falta,12)/C79,0)))))</f>
        <v/>
      </c>
      <c r="F79" s="91" t="str">
        <f>IF(B79="","",IF(INDEX(Meta_Falta,12)&lt;=0,"Concluída",IF(D79&lt;=0,"sem ritmo",EDATE(Cfg_Hoje,ROUNDUP(INDEX(Meta_Falta,12)/D79,0)))))</f>
        <v/>
      </c>
      <c r="G79" s="92" t="str">
        <f>IF(AND(ISNUMBER(E79),ISNUMBER(F79)),(YEAR(E79)-YEAR(F79))*12+MONTH(E79)-MONTH(F79),"")</f>
        <v/>
      </c>
    </row>
    <row r="80">
      <c r="B80" s="14" t="str">
        <f>INDEX(Meta_Nome,13)&amp;""</f>
        <v/>
      </c>
      <c r="C80" s="43">
        <f>IF(B80="",0,INDEX(Meta_Ritmo,13))</f>
        <v>0</v>
      </c>
      <c r="D80" s="43">
        <f>IF(OR(B80="",INDEX(Meta_Falta,13)&lt;=0),0,MAX(0,C80+Es_Extra/MAX(1,COUNTIF(Meta_Falta,"&gt;0"))))</f>
        <v>0</v>
      </c>
      <c r="E80" s="91" t="str">
        <f>IF(B80="","",IF(INDEX(Meta_Falta,13)&lt;=0,"Concluída",IF(C80&lt;=0,"sem ritmo",EDATE(Cfg_Hoje,ROUNDUP(INDEX(Meta_Falta,13)/C80,0)))))</f>
        <v/>
      </c>
      <c r="F80" s="91" t="str">
        <f>IF(B80="","",IF(INDEX(Meta_Falta,13)&lt;=0,"Concluída",IF(D80&lt;=0,"sem ritmo",EDATE(Cfg_Hoje,ROUNDUP(INDEX(Meta_Falta,13)/D80,0)))))</f>
        <v/>
      </c>
      <c r="G80" s="92" t="str">
        <f>IF(AND(ISNUMBER(E80),ISNUMBER(F80)),(YEAR(E80)-YEAR(F80))*12+MONTH(E80)-MONTH(F80),"")</f>
        <v/>
      </c>
    </row>
    <row r="81">
      <c r="B81" s="14" t="str">
        <f>INDEX(Meta_Nome,14)&amp;""</f>
        <v/>
      </c>
      <c r="C81" s="43">
        <f>IF(B81="",0,INDEX(Meta_Ritmo,14))</f>
        <v>0</v>
      </c>
      <c r="D81" s="43">
        <f>IF(OR(B81="",INDEX(Meta_Falta,14)&lt;=0),0,MAX(0,C81+Es_Extra/MAX(1,COUNTIF(Meta_Falta,"&gt;0"))))</f>
        <v>0</v>
      </c>
      <c r="E81" s="91" t="str">
        <f>IF(B81="","",IF(INDEX(Meta_Falta,14)&lt;=0,"Concluída",IF(C81&lt;=0,"sem ritmo",EDATE(Cfg_Hoje,ROUNDUP(INDEX(Meta_Falta,14)/C81,0)))))</f>
        <v/>
      </c>
      <c r="F81" s="91" t="str">
        <f>IF(B81="","",IF(INDEX(Meta_Falta,14)&lt;=0,"Concluída",IF(D81&lt;=0,"sem ritmo",EDATE(Cfg_Hoje,ROUNDUP(INDEX(Meta_Falta,14)/D81,0)))))</f>
        <v/>
      </c>
      <c r="G81" s="92" t="str">
        <f>IF(AND(ISNUMBER(E81),ISNUMBER(F81)),(YEAR(E81)-YEAR(F81))*12+MONTH(E81)-MONTH(F81),"")</f>
        <v/>
      </c>
    </row>
    <row r="82">
      <c r="B82" s="14" t="str">
        <f>INDEX(Meta_Nome,15)&amp;""</f>
        <v/>
      </c>
      <c r="C82" s="43">
        <f>IF(B82="",0,INDEX(Meta_Ritmo,15))</f>
        <v>0</v>
      </c>
      <c r="D82" s="43">
        <f>IF(OR(B82="",INDEX(Meta_Falta,15)&lt;=0),0,MAX(0,C82+Es_Extra/MAX(1,COUNTIF(Meta_Falta,"&gt;0"))))</f>
        <v>0</v>
      </c>
      <c r="E82" s="91" t="str">
        <f>IF(B82="","",IF(INDEX(Meta_Falta,15)&lt;=0,"Concluída",IF(C82&lt;=0,"sem ritmo",EDATE(Cfg_Hoje,ROUNDUP(INDEX(Meta_Falta,15)/C82,0)))))</f>
        <v/>
      </c>
      <c r="F82" s="91" t="str">
        <f>IF(B82="","",IF(INDEX(Meta_Falta,15)&lt;=0,"Concluída",IF(D82&lt;=0,"sem ritmo",EDATE(Cfg_Hoje,ROUNDUP(INDEX(Meta_Falta,15)/D82,0)))))</f>
        <v/>
      </c>
      <c r="G82" s="92" t="str">
        <f>IF(AND(ISNUMBER(E82),ISNUMBER(F82)),(YEAR(E82)-YEAR(F82))*12+MONTH(E82)-MONTH(F82),"")</f>
        <v/>
      </c>
    </row>
    <row r="83">
      <c r="B83" s="28" t="inlineStr">
        <is>
          <t>Diferença positiva = a meta chega quantos meses ANTES; negativa = depois.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AC2"/>
  </mergeCells>
  <conditionalFormatting sqref="E23:AB23">
    <cfRule type="expression" priority="1" dxfId="7" stopIfTrue="0">
      <formula>E23&lt;0</formula>
    </cfRule>
    <cfRule type="expression" priority="2" dxfId="4" stopIfTrue="0">
      <formula>E23&gt;=0</formula>
    </cfRule>
  </conditionalFormatting>
  <conditionalFormatting sqref="E31:AB33">
    <cfRule type="expression" priority="3" dxfId="5" stopIfTrue="0">
      <formula>E31&lt;0</formula>
    </cfRule>
  </conditionalFormatting>
  <conditionalFormatting sqref="E38:AB40">
    <cfRule type="expression" priority="4" dxfId="5" stopIfTrue="0">
      <formula>E38&lt;0</formula>
    </cfRule>
  </conditionalFormatting>
  <conditionalFormatting sqref="E45:AB47">
    <cfRule type="expression" priority="5" dxfId="5" stopIfTrue="0">
      <formula>E45&lt;0</formula>
    </cfRule>
  </conditionalFormatting>
  <conditionalFormatting sqref="C61:C62">
    <cfRule type="expression" priority="6" dxfId="7" stopIfTrue="0">
      <formula>C61&lt;0</formula>
    </cfRule>
    <cfRule type="expression" priority="7" dxfId="1" stopIfTrue="0">
      <formula>C61&gt;=0</formula>
    </cfRule>
  </conditionalFormatting>
  <conditionalFormatting sqref="B68:G68">
    <cfRule type="expression" priority="8" dxfId="12" stopIfTrue="0">
      <formula>$B68=""</formula>
    </cfRule>
  </conditionalFormatting>
  <conditionalFormatting sqref="B69:G69">
    <cfRule type="expression" priority="9" dxfId="12" stopIfTrue="0">
      <formula>$B69=""</formula>
    </cfRule>
  </conditionalFormatting>
  <conditionalFormatting sqref="B70:G70">
    <cfRule type="expression" priority="10" dxfId="12" stopIfTrue="0">
      <formula>$B70=""</formula>
    </cfRule>
  </conditionalFormatting>
  <conditionalFormatting sqref="B71:G71">
    <cfRule type="expression" priority="11" dxfId="12" stopIfTrue="0">
      <formula>$B71=""</formula>
    </cfRule>
  </conditionalFormatting>
  <conditionalFormatting sqref="B72:G72">
    <cfRule type="expression" priority="12" dxfId="12" stopIfTrue="0">
      <formula>$B72=""</formula>
    </cfRule>
  </conditionalFormatting>
  <conditionalFormatting sqref="B73:G73">
    <cfRule type="expression" priority="13" dxfId="12" stopIfTrue="0">
      <formula>$B73=""</formula>
    </cfRule>
  </conditionalFormatting>
  <conditionalFormatting sqref="B74:G74">
    <cfRule type="expression" priority="14" dxfId="12" stopIfTrue="0">
      <formula>$B74=""</formula>
    </cfRule>
  </conditionalFormatting>
  <conditionalFormatting sqref="B75:G75">
    <cfRule type="expression" priority="15" dxfId="12" stopIfTrue="0">
      <formula>$B75=""</formula>
    </cfRule>
  </conditionalFormatting>
  <conditionalFormatting sqref="B76:G76">
    <cfRule type="expression" priority="16" dxfId="12" stopIfTrue="0">
      <formula>$B76=""</formula>
    </cfRule>
  </conditionalFormatting>
  <conditionalFormatting sqref="B77:G77">
    <cfRule type="expression" priority="17" dxfId="12" stopIfTrue="0">
      <formula>$B77=""</formula>
    </cfRule>
  </conditionalFormatting>
  <conditionalFormatting sqref="B78:G78">
    <cfRule type="expression" priority="18" dxfId="12" stopIfTrue="0">
      <formula>$B78=""</formula>
    </cfRule>
  </conditionalFormatting>
  <conditionalFormatting sqref="B79:G79">
    <cfRule type="expression" priority="19" dxfId="12" stopIfTrue="0">
      <formula>$B79=""</formula>
    </cfRule>
  </conditionalFormatting>
  <conditionalFormatting sqref="B80:G80">
    <cfRule type="expression" priority="20" dxfId="12" stopIfTrue="0">
      <formula>$B80=""</formula>
    </cfRule>
  </conditionalFormatting>
  <conditionalFormatting sqref="B81:G81">
    <cfRule type="expression" priority="21" dxfId="12" stopIfTrue="0">
      <formula>$B81=""</formula>
    </cfRule>
  </conditionalFormatting>
  <conditionalFormatting sqref="B82:G82">
    <cfRule type="expression" priority="22" dxfId="12" stopIfTrue="0">
      <formula>$B82=""</formula>
    </cfRule>
  </conditionalFormatting>
  <conditionalFormatting sqref="G68:G82">
    <cfRule type="expression" priority="23" dxfId="1" stopIfTrue="0">
      <formula>AND(ISNUMBER(G68),G68&gt;0)</formula>
    </cfRule>
    <cfRule type="expression" priority="24" dxfId="7" stopIfTrue="0">
      <formula>AND(ISNUMBER(G68),G68&lt;0)</formula>
    </cfRule>
  </conditionalFormatting>
  <dataValidations count="1">
    <dataValidation sqref="C52" showDropDown="0" showInputMessage="0" showErrorMessage="1" allowBlank="1" errorTitle="Valor inválido" error="Escolha um valor da lista." type="list">
      <formula1>=Lista_CatD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CARTÕES DE CRÉDITO'!A1" display="Cart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D64545"/>
    <outlinePr summaryBelow="1" summaryRight="1"/>
    <pageSetUpPr fitToPage="1"/>
  </sheetPr>
  <dimension ref="B1:P42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5" customWidth="1" min="7" max="7"/>
    <col width="15" customWidth="1" min="8" max="8"/>
    <col width="15" customWidth="1" min="9" max="9"/>
    <col width="13" customWidth="1" min="10" max="10"/>
    <col width="13" customWidth="1" min="11" max="11"/>
    <col width="12" customWidth="1" min="12" max="12"/>
    <col width="14" customWidth="1" min="13" max="13"/>
    <col width="28" customWidth="1" min="14" max="14"/>
    <col width="14" customWidth="1" min="15" max="15"/>
  </cols>
  <sheetData>
    <row r="1" ht="30" customHeight="1">
      <c r="B1" s="1" t="inlineStr">
        <is>
          <t>CARTÕES DE CRÉDITO</t>
        </is>
      </c>
    </row>
    <row r="2" ht="32" customHeight="1">
      <c r="B2" s="2" t="inlineStr">
        <is>
          <t>Tudo calculado a partir de LANÇAMENTOS (compras com a coluna "Conta ou Cartão" = cartão) e do cadastro de cartões em CONFIGURAÇÕES. Compras a partir do dia de fechamento caem na fatura seguinte.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Dívidas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Situação de cada cartão</t>
        </is>
      </c>
    </row>
    <row r="8" ht="46" customHeight="1">
      <c r="B8" s="7" t="inlineStr">
        <is>
          <t>Cartão</t>
        </is>
      </c>
      <c r="C8" s="7" t="inlineStr">
        <is>
          <t>Limite</t>
        </is>
      </c>
      <c r="D8" s="7" t="inlineStr">
        <is>
          <t>Usado (comprometido)</t>
        </is>
      </c>
      <c r="E8" s="7" t="inlineStr">
        <is>
          <t>Disponível</t>
        </is>
      </c>
      <c r="F8" s="7" t="inlineStr">
        <is>
          <t>% do limite</t>
        </is>
      </c>
      <c r="G8" s="7" t="inlineStr">
        <is>
          <t>Fatura fechada a pagar (não paga)</t>
        </is>
      </c>
      <c r="H8" s="7" t="inlineStr">
        <is>
          <t>Fatura atual (aberta)</t>
        </is>
      </c>
      <c r="I8" s="7" t="inlineStr">
        <is>
          <t>Próxima fatura</t>
        </is>
      </c>
      <c r="J8" s="7" t="inlineStr">
        <is>
          <t>Vencimento da fatura fechada</t>
        </is>
      </c>
      <c r="K8" s="7" t="inlineStr">
        <is>
          <t>Vencimento da fatura atual</t>
        </is>
      </c>
      <c r="L8" s="7" t="inlineStr">
        <is>
          <t>Melhor dia de compra</t>
        </is>
      </c>
      <c r="M8" s="7" t="inlineStr">
        <is>
          <t>Gasto no mês selecionado</t>
        </is>
      </c>
      <c r="N8" s="7" t="inlineStr">
        <is>
          <t>Alerta</t>
        </is>
      </c>
      <c r="O8" s="7" t="inlineStr">
        <is>
          <t>Idx fatura atual</t>
        </is>
      </c>
    </row>
    <row r="9">
      <c r="B9" s="9" t="str">
        <f>IF(INDEX(Cartoes_Nome,1)="","",INDEX(Cartoes_Nome,1))</f>
        <v>Cartão Roxinho</v>
      </c>
      <c r="C9" s="43">
        <f>IF($B9="",0,N(INDEX(Cartoes_Limite,1)))</f>
        <v>9000</v>
      </c>
      <c r="D9" s="43">
        <f>IF($B9="",0,SUMIFS(L_Aberto,L_Conta,$B9)+G9)</f>
        <v>4518.02</v>
      </c>
      <c r="E9" s="43">
        <f>IF($B9="",0,C9-D9)</f>
        <v>4481.98</v>
      </c>
      <c r="F9" s="73">
        <f>IF(C9=0,0,D9/C9)</f>
        <v>0.502002222222222</v>
      </c>
      <c r="G9" s="43">
        <f>IF($B9="",0,IF(AND(J9&gt;=Cfg_Hoje,SUMIFS(L_VParc,L_Tipo,"Transferência",L_Status,"Pago",L_Desc,"*"&amp;$B9&amp;"*",L_IIni,YEAR(J9)*12+MONTH(J9))&gt;=0),SUMIFS(L_VParc,L_Conta,$B9,L_Tipo,"Despesa",L_FIni,"&lt;="&amp;(O9-1),L_FFim,"&gt;="&amp;(O9-1)),0))</f>
        <v>1262.38</v>
      </c>
      <c r="H9" s="43">
        <f>IF($B9="",0,SUMIFS(L_VParc,L_Conta,$B9,L_Tipo,"Despesa",L_FIni,"&lt;="&amp;(O9),L_FFim,"&gt;="&amp;(O9)))</f>
        <v>1605.64</v>
      </c>
      <c r="I9" s="43">
        <f>IF($B9="",0,SUMIFS(L_VParc,L_Conta,$B9,L_Tipo,"Despesa",L_FIni,"&lt;="&amp;(O9+1),L_FFim,"&gt;="&amp;(O9+1)))</f>
        <v>750</v>
      </c>
      <c r="J9" s="93">
        <f>IF($B9="","",DATE(INT((((O9-1)+IF(INDEX(Cartoes_Venc,1)&gt;INDEX(Cartoes_Fech,1),0,1))-1)/12),MOD(((O9-1)+IF(INDEX(Cartoes_Venc,1)&gt;INDEX(Cartoes_Fech,1),0,1))-1,12)+1,MIN(INDEX(Cartoes_Venc,1),DAY(DATE(INT((((O9-1)+IF(INDEX(Cartoes_Venc,1)&gt;INDEX(Cartoes_Fech,1),0,1))-1)/12),MOD(((O9-1)+IF(INDEX(Cartoes_Venc,1)&gt;INDEX(Cartoes_Fech,1),0,1))-1,12)+1+1,0)))))</f>
        <v>46300.0</v>
      </c>
      <c r="K9" s="93">
        <f>IF($B9="","",DATE(INT((((O9)+IF(INDEX(Cartoes_Venc,1)&gt;INDEX(Cartoes_Fech,1),0,1))-1)/12),MOD(((O9)+IF(INDEX(Cartoes_Venc,1)&gt;INDEX(Cartoes_Fech,1),0,1))-1,12)+1,MIN(INDEX(Cartoes_Venc,1),DAY(DATE(INT((((O9)+IF(INDEX(Cartoes_Venc,1)&gt;INDEX(Cartoes_Fech,1),0,1))-1)/12),MOD(((O9)+IF(INDEX(Cartoes_Venc,1)&gt;INDEX(Cartoes_Fech,1),0,1))-1,12)+1+1,0)))))</f>
        <v>46331.0</v>
      </c>
      <c r="L9" s="13" t="str">
        <f>IF($B9="","","dia "&amp;INDEX(Cartoes_Fech,1))</f>
        <v>dia 25</v>
      </c>
      <c r="M9" s="43">
        <f>IF($B9="",0,SUMIFS(L_VParc,L_Conta,$B9,L_Tipo,"Despesa",L_IIni,"&lt;="&amp;Sel_Idx,L_IFim,"&gt;="&amp;Sel_Idx))</f>
        <v>1262.38</v>
      </c>
      <c r="N9" s="14" t="str">
        <f>IF($B9="","",IF(F9&gt;Cfg_LimCartao,"⚠ Uso acima de "&amp;ROUND(Cfg_LimCartao*100,0)&amp;"% do limite","✔ Uso saudável"))</f>
        <v>✔ Uso saudável</v>
      </c>
      <c r="O9" s="40">
        <f>IF($B9="",0,YEAR(Cfg_Hoje)*12+MONTH(Cfg_Hoje)+IF(DAY(Cfg_Hoje)&gt;=INDEX(Cartoes_Fech,1),1,0))</f>
        <v>24322</v>
      </c>
    </row>
    <row r="10">
      <c r="B10" s="9" t="str">
        <f>IF(INDEX(Cartoes_Nome,2)="","",INDEX(Cartoes_Nome,2))</f>
        <v>Cartão Azul Gold</v>
      </c>
      <c r="C10" s="43">
        <f>IF($B10="",0,N(INDEX(Cartoes_Limite,2)))</f>
        <v>6000</v>
      </c>
      <c r="D10" s="43">
        <f>IF($B10="",0,SUMIFS(L_Aberto,L_Conta,$B10)+G10)</f>
        <v>4676.61</v>
      </c>
      <c r="E10" s="43">
        <f>IF($B10="",0,C10-D10)</f>
        <v>1323.39</v>
      </c>
      <c r="F10" s="73">
        <f>IF(C10=0,0,D10/C10)</f>
        <v>0.779435</v>
      </c>
      <c r="G10" s="43">
        <f>IF($B10="",0,IF(AND(J10&gt;=Cfg_Hoje,SUMIFS(L_VParc,L_Tipo,"Transferência",L_Status,"Pago",L_Desc,"*"&amp;$B10&amp;"*",L_IIni,YEAR(J10)*12+MONTH(J10))&gt;=0),SUMIFS(L_VParc,L_Conta,$B10,L_Tipo,"Despesa",L_FIni,"&lt;="&amp;(O10-1),L_FFim,"&gt;="&amp;(O10-1)),0))</f>
        <v>0</v>
      </c>
      <c r="H10" s="43">
        <f>IF($B10="",0,SUMIFS(L_VParc,L_Conta,$B10,L_Tipo,"Despesa",L_FIni,"&lt;="&amp;(O10),L_FFim,"&gt;="&amp;(O10)))</f>
        <v>3461.71</v>
      </c>
      <c r="I10" s="43">
        <f>IF($B10="",0,SUMIFS(L_VParc,L_Conta,$B10,L_Tipo,"Despesa",L_FIni,"&lt;="&amp;(O10+1),L_FFim,"&gt;="&amp;(O10+1)))</f>
        <v>214.9</v>
      </c>
      <c r="J10" s="93">
        <f>IF($B10="","",DATE(INT((((O10-1)+IF(INDEX(Cartoes_Venc,2)&gt;INDEX(Cartoes_Fech,2),0,1))-1)/12),MOD(((O10-1)+IF(INDEX(Cartoes_Venc,2)&gt;INDEX(Cartoes_Fech,2),0,1))-1,12)+1,MIN(INDEX(Cartoes_Venc,2),DAY(DATE(INT((((O10-1)+IF(INDEX(Cartoes_Venc,2)&gt;INDEX(Cartoes_Fech,2),0,1))-1)/12),MOD(((O10-1)+IF(INDEX(Cartoes_Venc,2)&gt;INDEX(Cartoes_Fech,2),0,1))-1,12)+1+1,0)))))</f>
        <v>46282.0</v>
      </c>
      <c r="K10" s="93">
        <f>IF($B10="","",DATE(INT((((O10)+IF(INDEX(Cartoes_Venc,2)&gt;INDEX(Cartoes_Fech,2),0,1))-1)/12),MOD(((O10)+IF(INDEX(Cartoes_Venc,2)&gt;INDEX(Cartoes_Fech,2),0,1))-1,12)+1,MIN(INDEX(Cartoes_Venc,2),DAY(DATE(INT((((O10)+IF(INDEX(Cartoes_Venc,2)&gt;INDEX(Cartoes_Fech,2),0,1))-1)/12),MOD(((O10)+IF(INDEX(Cartoes_Venc,2)&gt;INDEX(Cartoes_Fech,2),0,1))-1,12)+1+1,0)))))</f>
        <v>46312.0</v>
      </c>
      <c r="L10" s="13" t="str">
        <f>IF($B10="","","dia "&amp;INDEX(Cartoes_Fech,2))</f>
        <v>dia 10</v>
      </c>
      <c r="M10" s="43">
        <f>IF($B10="",0,SUMIFS(L_VParc,L_Conta,$B10,L_Tipo,"Despesa",L_IIni,"&lt;="&amp;Sel_Idx,L_IFim,"&gt;="&amp;Sel_Idx))</f>
        <v>2967.76</v>
      </c>
      <c r="N10" s="14" t="str">
        <f>IF($B10="","",IF(F10&gt;Cfg_LimCartao,"⚠ Uso acima de "&amp;ROUND(Cfg_LimCartao*100,0)&amp;"% do limite","✔ Uso saudável"))</f>
        <v>⚠ Uso acima de 70% do limite</v>
      </c>
      <c r="O10" s="40">
        <f>IF($B10="",0,YEAR(Cfg_Hoje)*12+MONTH(Cfg_Hoje)+IF(DAY(Cfg_Hoje)&gt;=INDEX(Cartoes_Fech,2),1,0))</f>
        <v>24322</v>
      </c>
    </row>
    <row r="11">
      <c r="B11" s="9" t="str">
        <f>IF(INDEX(Cartoes_Nome,3)="","",INDEX(Cartoes_Nome,3))</f>
        <v/>
      </c>
      <c r="C11" s="43">
        <f>IF($B11="",0,N(INDEX(Cartoes_Limite,3)))</f>
        <v>0</v>
      </c>
      <c r="D11" s="43">
        <f>IF($B11="",0,SUMIFS(L_Aberto,L_Conta,$B11)+G11)</f>
        <v>0</v>
      </c>
      <c r="E11" s="43">
        <f>IF($B11="",0,C11-D11)</f>
        <v>0</v>
      </c>
      <c r="F11" s="73">
        <f>IF(C11=0,0,D11/C11)</f>
        <v>0</v>
      </c>
      <c r="G11" s="43">
        <f>IF($B11="",0,IF(AND(J11&gt;=Cfg_Hoje,SUMIFS(L_VParc,L_Tipo,"Transferência",L_Status,"Pago",L_Desc,"*"&amp;$B11&amp;"*",L_IIni,YEAR(J11)*12+MONTH(J11))&gt;=0),SUMIFS(L_VParc,L_Conta,$B11,L_Tipo,"Despesa",L_FIni,"&lt;="&amp;(O11-1),L_FFim,"&gt;="&amp;(O11-1)),0))</f>
        <v>0</v>
      </c>
      <c r="H11" s="43">
        <f>IF($B11="",0,SUMIFS(L_VParc,L_Conta,$B11,L_Tipo,"Despesa",L_FIni,"&lt;="&amp;(O11),L_FFim,"&gt;="&amp;(O11)))</f>
        <v>0</v>
      </c>
      <c r="I11" s="43">
        <f>IF($B11="",0,SUMIFS(L_VParc,L_Conta,$B11,L_Tipo,"Despesa",L_FIni,"&lt;="&amp;(O11+1),L_FFim,"&gt;="&amp;(O11+1)))</f>
        <v>0</v>
      </c>
      <c r="J11" s="93" t="str">
        <f>IF($B11="","",DATE(INT((((O11-1)+IF(INDEX(Cartoes_Venc,3)&gt;INDEX(Cartoes_Fech,3),0,1))-1)/12),MOD(((O11-1)+IF(INDEX(Cartoes_Venc,3)&gt;INDEX(Cartoes_Fech,3),0,1))-1,12)+1,MIN(INDEX(Cartoes_Venc,3),DAY(DATE(INT((((O11-1)+IF(INDEX(Cartoes_Venc,3)&gt;INDEX(Cartoes_Fech,3),0,1))-1)/12),MOD(((O11-1)+IF(INDEX(Cartoes_Venc,3)&gt;INDEX(Cartoes_Fech,3),0,1))-1,12)+1+1,0)))))</f>
        <v/>
      </c>
      <c r="K11" s="93" t="str">
        <f>IF($B11="","",DATE(INT((((O11)+IF(INDEX(Cartoes_Venc,3)&gt;INDEX(Cartoes_Fech,3),0,1))-1)/12),MOD(((O11)+IF(INDEX(Cartoes_Venc,3)&gt;INDEX(Cartoes_Fech,3),0,1))-1,12)+1,MIN(INDEX(Cartoes_Venc,3),DAY(DATE(INT((((O11)+IF(INDEX(Cartoes_Venc,3)&gt;INDEX(Cartoes_Fech,3),0,1))-1)/12),MOD(((O11)+IF(INDEX(Cartoes_Venc,3)&gt;INDEX(Cartoes_Fech,3),0,1))-1,12)+1+1,0)))))</f>
        <v/>
      </c>
      <c r="L11" s="13" t="str">
        <f>IF($B11="","","dia "&amp;INDEX(Cartoes_Fech,3))</f>
        <v/>
      </c>
      <c r="M11" s="43">
        <f>IF($B11="",0,SUMIFS(L_VParc,L_Conta,$B11,L_Tipo,"Despesa",L_IIni,"&lt;="&amp;Sel_Idx,L_IFim,"&gt;="&amp;Sel_Idx))</f>
        <v>0</v>
      </c>
      <c r="N11" s="14" t="str">
        <f>IF($B11="","",IF(F11&gt;Cfg_LimCartao,"⚠ Uso acima de "&amp;ROUND(Cfg_LimCartao*100,0)&amp;"% do limite","✔ Uso saudável"))</f>
        <v/>
      </c>
      <c r="O11" s="40">
        <f>IF($B11="",0,YEAR(Cfg_Hoje)*12+MONTH(Cfg_Hoje)+IF(DAY(Cfg_Hoje)&gt;=INDEX(Cartoes_Fech,3),1,0))</f>
        <v>0</v>
      </c>
    </row>
    <row r="12">
      <c r="B12" s="9" t="str">
        <f>IF(INDEX(Cartoes_Nome,4)="","",INDEX(Cartoes_Nome,4))</f>
        <v/>
      </c>
      <c r="C12" s="43">
        <f>IF($B12="",0,N(INDEX(Cartoes_Limite,4)))</f>
        <v>0</v>
      </c>
      <c r="D12" s="43">
        <f>IF($B12="",0,SUMIFS(L_Aberto,L_Conta,$B12)+G12)</f>
        <v>0</v>
      </c>
      <c r="E12" s="43">
        <f>IF($B12="",0,C12-D12)</f>
        <v>0</v>
      </c>
      <c r="F12" s="73">
        <f>IF(C12=0,0,D12/C12)</f>
        <v>0</v>
      </c>
      <c r="G12" s="43">
        <f>IF($B12="",0,IF(AND(J12&gt;=Cfg_Hoje,SUMIFS(L_VParc,L_Tipo,"Transferência",L_Status,"Pago",L_Desc,"*"&amp;$B12&amp;"*",L_IIni,YEAR(J12)*12+MONTH(J12))&gt;=0),SUMIFS(L_VParc,L_Conta,$B12,L_Tipo,"Despesa",L_FIni,"&lt;="&amp;(O12-1),L_FFim,"&gt;="&amp;(O12-1)),0))</f>
        <v>0</v>
      </c>
      <c r="H12" s="43">
        <f>IF($B12="",0,SUMIFS(L_VParc,L_Conta,$B12,L_Tipo,"Despesa",L_FIni,"&lt;="&amp;(O12),L_FFim,"&gt;="&amp;(O12)))</f>
        <v>0</v>
      </c>
      <c r="I12" s="43">
        <f>IF($B12="",0,SUMIFS(L_VParc,L_Conta,$B12,L_Tipo,"Despesa",L_FIni,"&lt;="&amp;(O12+1),L_FFim,"&gt;="&amp;(O12+1)))</f>
        <v>0</v>
      </c>
      <c r="J12" s="93" t="str">
        <f>IF($B12="","",DATE(INT((((O12-1)+IF(INDEX(Cartoes_Venc,4)&gt;INDEX(Cartoes_Fech,4),0,1))-1)/12),MOD(((O12-1)+IF(INDEX(Cartoes_Venc,4)&gt;INDEX(Cartoes_Fech,4),0,1))-1,12)+1,MIN(INDEX(Cartoes_Venc,4),DAY(DATE(INT((((O12-1)+IF(INDEX(Cartoes_Venc,4)&gt;INDEX(Cartoes_Fech,4),0,1))-1)/12),MOD(((O12-1)+IF(INDEX(Cartoes_Venc,4)&gt;INDEX(Cartoes_Fech,4),0,1))-1,12)+1+1,0)))))</f>
        <v/>
      </c>
      <c r="K12" s="93" t="str">
        <f>IF($B12="","",DATE(INT((((O12)+IF(INDEX(Cartoes_Venc,4)&gt;INDEX(Cartoes_Fech,4),0,1))-1)/12),MOD(((O12)+IF(INDEX(Cartoes_Venc,4)&gt;INDEX(Cartoes_Fech,4),0,1))-1,12)+1,MIN(INDEX(Cartoes_Venc,4),DAY(DATE(INT((((O12)+IF(INDEX(Cartoes_Venc,4)&gt;INDEX(Cartoes_Fech,4),0,1))-1)/12),MOD(((O12)+IF(INDEX(Cartoes_Venc,4)&gt;INDEX(Cartoes_Fech,4),0,1))-1,12)+1+1,0)))))</f>
        <v/>
      </c>
      <c r="L12" s="13" t="str">
        <f>IF($B12="","","dia "&amp;INDEX(Cartoes_Fech,4))</f>
        <v/>
      </c>
      <c r="M12" s="43">
        <f>IF($B12="",0,SUMIFS(L_VParc,L_Conta,$B12,L_Tipo,"Despesa",L_IIni,"&lt;="&amp;Sel_Idx,L_IFim,"&gt;="&amp;Sel_Idx))</f>
        <v>0</v>
      </c>
      <c r="N12" s="14" t="str">
        <f>IF($B12="","",IF(F12&gt;Cfg_LimCartao,"⚠ Uso acima de "&amp;ROUND(Cfg_LimCartao*100,0)&amp;"% do limite","✔ Uso saudável"))</f>
        <v/>
      </c>
      <c r="O12" s="40">
        <f>IF($B12="",0,YEAR(Cfg_Hoje)*12+MONTH(Cfg_Hoje)+IF(DAY(Cfg_Hoje)&gt;=INDEX(Cartoes_Fech,4),1,0))</f>
        <v>0</v>
      </c>
    </row>
    <row r="13">
      <c r="B13" s="9" t="str">
        <f>IF(INDEX(Cartoes_Nome,5)="","",INDEX(Cartoes_Nome,5))</f>
        <v/>
      </c>
      <c r="C13" s="43">
        <f>IF($B13="",0,N(INDEX(Cartoes_Limite,5)))</f>
        <v>0</v>
      </c>
      <c r="D13" s="43">
        <f>IF($B13="",0,SUMIFS(L_Aberto,L_Conta,$B13)+G13)</f>
        <v>0</v>
      </c>
      <c r="E13" s="43">
        <f>IF($B13="",0,C13-D13)</f>
        <v>0</v>
      </c>
      <c r="F13" s="73">
        <f>IF(C13=0,0,D13/C13)</f>
        <v>0</v>
      </c>
      <c r="G13" s="43">
        <f>IF($B13="",0,IF(AND(J13&gt;=Cfg_Hoje,SUMIFS(L_VParc,L_Tipo,"Transferência",L_Status,"Pago",L_Desc,"*"&amp;$B13&amp;"*",L_IIni,YEAR(J13)*12+MONTH(J13))&gt;=0),SUMIFS(L_VParc,L_Conta,$B13,L_Tipo,"Despesa",L_FIni,"&lt;="&amp;(O13-1),L_FFim,"&gt;="&amp;(O13-1)),0))</f>
        <v>0</v>
      </c>
      <c r="H13" s="43">
        <f>IF($B13="",0,SUMIFS(L_VParc,L_Conta,$B13,L_Tipo,"Despesa",L_FIni,"&lt;="&amp;(O13),L_FFim,"&gt;="&amp;(O13)))</f>
        <v>0</v>
      </c>
      <c r="I13" s="43">
        <f>IF($B13="",0,SUMIFS(L_VParc,L_Conta,$B13,L_Tipo,"Despesa",L_FIni,"&lt;="&amp;(O13+1),L_FFim,"&gt;="&amp;(O13+1)))</f>
        <v>0</v>
      </c>
      <c r="J13" s="93" t="str">
        <f>IF($B13="","",DATE(INT((((O13-1)+IF(INDEX(Cartoes_Venc,5)&gt;INDEX(Cartoes_Fech,5),0,1))-1)/12),MOD(((O13-1)+IF(INDEX(Cartoes_Venc,5)&gt;INDEX(Cartoes_Fech,5),0,1))-1,12)+1,MIN(INDEX(Cartoes_Venc,5),DAY(DATE(INT((((O13-1)+IF(INDEX(Cartoes_Venc,5)&gt;INDEX(Cartoes_Fech,5),0,1))-1)/12),MOD(((O13-1)+IF(INDEX(Cartoes_Venc,5)&gt;INDEX(Cartoes_Fech,5),0,1))-1,12)+1+1,0)))))</f>
        <v/>
      </c>
      <c r="K13" s="93" t="str">
        <f>IF($B13="","",DATE(INT((((O13)+IF(INDEX(Cartoes_Venc,5)&gt;INDEX(Cartoes_Fech,5),0,1))-1)/12),MOD(((O13)+IF(INDEX(Cartoes_Venc,5)&gt;INDEX(Cartoes_Fech,5),0,1))-1,12)+1,MIN(INDEX(Cartoes_Venc,5),DAY(DATE(INT((((O13)+IF(INDEX(Cartoes_Venc,5)&gt;INDEX(Cartoes_Fech,5),0,1))-1)/12),MOD(((O13)+IF(INDEX(Cartoes_Venc,5)&gt;INDEX(Cartoes_Fech,5),0,1))-1,12)+1+1,0)))))</f>
        <v/>
      </c>
      <c r="L13" s="13" t="str">
        <f>IF($B13="","","dia "&amp;INDEX(Cartoes_Fech,5))</f>
        <v/>
      </c>
      <c r="M13" s="43">
        <f>IF($B13="",0,SUMIFS(L_VParc,L_Conta,$B13,L_Tipo,"Despesa",L_IIni,"&lt;="&amp;Sel_Idx,L_IFim,"&gt;="&amp;Sel_Idx))</f>
        <v>0</v>
      </c>
      <c r="N13" s="14" t="str">
        <f>IF($B13="","",IF(F13&gt;Cfg_LimCartao,"⚠ Uso acima de "&amp;ROUND(Cfg_LimCartao*100,0)&amp;"% do limite","✔ Uso saudável"))</f>
        <v/>
      </c>
      <c r="O13" s="40">
        <f>IF($B13="",0,YEAR(Cfg_Hoje)*12+MONTH(Cfg_Hoje)+IF(DAY(Cfg_Hoje)&gt;=INDEX(Cartoes_Fech,5),1,0))</f>
        <v>0</v>
      </c>
    </row>
    <row r="14">
      <c r="B14" s="9" t="str">
        <f>IF(INDEX(Cartoes_Nome,6)="","",INDEX(Cartoes_Nome,6))</f>
        <v/>
      </c>
      <c r="C14" s="43">
        <f>IF($B14="",0,N(INDEX(Cartoes_Limite,6)))</f>
        <v>0</v>
      </c>
      <c r="D14" s="43">
        <f>IF($B14="",0,SUMIFS(L_Aberto,L_Conta,$B14)+G14)</f>
        <v>0</v>
      </c>
      <c r="E14" s="43">
        <f>IF($B14="",0,C14-D14)</f>
        <v>0</v>
      </c>
      <c r="F14" s="73">
        <f>IF(C14=0,0,D14/C14)</f>
        <v>0</v>
      </c>
      <c r="G14" s="43">
        <f>IF($B14="",0,IF(AND(J14&gt;=Cfg_Hoje,SUMIFS(L_VParc,L_Tipo,"Transferência",L_Status,"Pago",L_Desc,"*"&amp;$B14&amp;"*",L_IIni,YEAR(J14)*12+MONTH(J14))&gt;=0),SUMIFS(L_VParc,L_Conta,$B14,L_Tipo,"Despesa",L_FIni,"&lt;="&amp;(O14-1),L_FFim,"&gt;="&amp;(O14-1)),0))</f>
        <v>0</v>
      </c>
      <c r="H14" s="43">
        <f>IF($B14="",0,SUMIFS(L_VParc,L_Conta,$B14,L_Tipo,"Despesa",L_FIni,"&lt;="&amp;(O14),L_FFim,"&gt;="&amp;(O14)))</f>
        <v>0</v>
      </c>
      <c r="I14" s="43">
        <f>IF($B14="",0,SUMIFS(L_VParc,L_Conta,$B14,L_Tipo,"Despesa",L_FIni,"&lt;="&amp;(O14+1),L_FFim,"&gt;="&amp;(O14+1)))</f>
        <v>0</v>
      </c>
      <c r="J14" s="93" t="str">
        <f>IF($B14="","",DATE(INT((((O14-1)+IF(INDEX(Cartoes_Venc,6)&gt;INDEX(Cartoes_Fech,6),0,1))-1)/12),MOD(((O14-1)+IF(INDEX(Cartoes_Venc,6)&gt;INDEX(Cartoes_Fech,6),0,1))-1,12)+1,MIN(INDEX(Cartoes_Venc,6),DAY(DATE(INT((((O14-1)+IF(INDEX(Cartoes_Venc,6)&gt;INDEX(Cartoes_Fech,6),0,1))-1)/12),MOD(((O14-1)+IF(INDEX(Cartoes_Venc,6)&gt;INDEX(Cartoes_Fech,6),0,1))-1,12)+1+1,0)))))</f>
        <v/>
      </c>
      <c r="K14" s="93" t="str">
        <f>IF($B14="","",DATE(INT((((O14)+IF(INDEX(Cartoes_Venc,6)&gt;INDEX(Cartoes_Fech,6),0,1))-1)/12),MOD(((O14)+IF(INDEX(Cartoes_Venc,6)&gt;INDEX(Cartoes_Fech,6),0,1))-1,12)+1,MIN(INDEX(Cartoes_Venc,6),DAY(DATE(INT((((O14)+IF(INDEX(Cartoes_Venc,6)&gt;INDEX(Cartoes_Fech,6),0,1))-1)/12),MOD(((O14)+IF(INDEX(Cartoes_Venc,6)&gt;INDEX(Cartoes_Fech,6),0,1))-1,12)+1+1,0)))))</f>
        <v/>
      </c>
      <c r="L14" s="13" t="str">
        <f>IF($B14="","","dia "&amp;INDEX(Cartoes_Fech,6))</f>
        <v/>
      </c>
      <c r="M14" s="43">
        <f>IF($B14="",0,SUMIFS(L_VParc,L_Conta,$B14,L_Tipo,"Despesa",L_IIni,"&lt;="&amp;Sel_Idx,L_IFim,"&gt;="&amp;Sel_Idx))</f>
        <v>0</v>
      </c>
      <c r="N14" s="14" t="str">
        <f>IF($B14="","",IF(F14&gt;Cfg_LimCartao,"⚠ Uso acima de "&amp;ROUND(Cfg_LimCartao*100,0)&amp;"% do limite","✔ Uso saudável"))</f>
        <v/>
      </c>
      <c r="O14" s="40">
        <f>IF($B14="",0,YEAR(Cfg_Hoje)*12+MONTH(Cfg_Hoje)+IF(DAY(Cfg_Hoje)&gt;=INDEX(Cartoes_Fech,6),1,0))</f>
        <v>0</v>
      </c>
    </row>
    <row r="15">
      <c r="B15" s="9" t="str">
        <f>IF(INDEX(Cartoes_Nome,7)="","",INDEX(Cartoes_Nome,7))</f>
        <v/>
      </c>
      <c r="C15" s="43">
        <f>IF($B15="",0,N(INDEX(Cartoes_Limite,7)))</f>
        <v>0</v>
      </c>
      <c r="D15" s="43">
        <f>IF($B15="",0,SUMIFS(L_Aberto,L_Conta,$B15)+G15)</f>
        <v>0</v>
      </c>
      <c r="E15" s="43">
        <f>IF($B15="",0,C15-D15)</f>
        <v>0</v>
      </c>
      <c r="F15" s="73">
        <f>IF(C15=0,0,D15/C15)</f>
        <v>0</v>
      </c>
      <c r="G15" s="43">
        <f>IF($B15="",0,IF(AND(J15&gt;=Cfg_Hoje,SUMIFS(L_VParc,L_Tipo,"Transferência",L_Status,"Pago",L_Desc,"*"&amp;$B15&amp;"*",L_IIni,YEAR(J15)*12+MONTH(J15))&gt;=0),SUMIFS(L_VParc,L_Conta,$B15,L_Tipo,"Despesa",L_FIni,"&lt;="&amp;(O15-1),L_FFim,"&gt;="&amp;(O15-1)),0))</f>
        <v>0</v>
      </c>
      <c r="H15" s="43">
        <f>IF($B15="",0,SUMIFS(L_VParc,L_Conta,$B15,L_Tipo,"Despesa",L_FIni,"&lt;="&amp;(O15),L_FFim,"&gt;="&amp;(O15)))</f>
        <v>0</v>
      </c>
      <c r="I15" s="43">
        <f>IF($B15="",0,SUMIFS(L_VParc,L_Conta,$B15,L_Tipo,"Despesa",L_FIni,"&lt;="&amp;(O15+1),L_FFim,"&gt;="&amp;(O15+1)))</f>
        <v>0</v>
      </c>
      <c r="J15" s="93" t="str">
        <f>IF($B15="","",DATE(INT((((O15-1)+IF(INDEX(Cartoes_Venc,7)&gt;INDEX(Cartoes_Fech,7),0,1))-1)/12),MOD(((O15-1)+IF(INDEX(Cartoes_Venc,7)&gt;INDEX(Cartoes_Fech,7),0,1))-1,12)+1,MIN(INDEX(Cartoes_Venc,7),DAY(DATE(INT((((O15-1)+IF(INDEX(Cartoes_Venc,7)&gt;INDEX(Cartoes_Fech,7),0,1))-1)/12),MOD(((O15-1)+IF(INDEX(Cartoes_Venc,7)&gt;INDEX(Cartoes_Fech,7),0,1))-1,12)+1+1,0)))))</f>
        <v/>
      </c>
      <c r="K15" s="93" t="str">
        <f>IF($B15="","",DATE(INT((((O15)+IF(INDEX(Cartoes_Venc,7)&gt;INDEX(Cartoes_Fech,7),0,1))-1)/12),MOD(((O15)+IF(INDEX(Cartoes_Venc,7)&gt;INDEX(Cartoes_Fech,7),0,1))-1,12)+1,MIN(INDEX(Cartoes_Venc,7),DAY(DATE(INT((((O15)+IF(INDEX(Cartoes_Venc,7)&gt;INDEX(Cartoes_Fech,7),0,1))-1)/12),MOD(((O15)+IF(INDEX(Cartoes_Venc,7)&gt;INDEX(Cartoes_Fech,7),0,1))-1,12)+1+1,0)))))</f>
        <v/>
      </c>
      <c r="L15" s="13" t="str">
        <f>IF($B15="","","dia "&amp;INDEX(Cartoes_Fech,7))</f>
        <v/>
      </c>
      <c r="M15" s="43">
        <f>IF($B15="",0,SUMIFS(L_VParc,L_Conta,$B15,L_Tipo,"Despesa",L_IIni,"&lt;="&amp;Sel_Idx,L_IFim,"&gt;="&amp;Sel_Idx))</f>
        <v>0</v>
      </c>
      <c r="N15" s="14" t="str">
        <f>IF($B15="","",IF(F15&gt;Cfg_LimCartao,"⚠ Uso acima de "&amp;ROUND(Cfg_LimCartao*100,0)&amp;"% do limite","✔ Uso saudável"))</f>
        <v/>
      </c>
      <c r="O15" s="40">
        <f>IF($B15="",0,YEAR(Cfg_Hoje)*12+MONTH(Cfg_Hoje)+IF(DAY(Cfg_Hoje)&gt;=INDEX(Cartoes_Fech,7),1,0))</f>
        <v>0</v>
      </c>
    </row>
    <row r="16">
      <c r="B16" s="9" t="str">
        <f>IF(INDEX(Cartoes_Nome,8)="","",INDEX(Cartoes_Nome,8))</f>
        <v/>
      </c>
      <c r="C16" s="43">
        <f>IF($B16="",0,N(INDEX(Cartoes_Limite,8)))</f>
        <v>0</v>
      </c>
      <c r="D16" s="43">
        <f>IF($B16="",0,SUMIFS(L_Aberto,L_Conta,$B16)+G16)</f>
        <v>0</v>
      </c>
      <c r="E16" s="43">
        <f>IF($B16="",0,C16-D16)</f>
        <v>0</v>
      </c>
      <c r="F16" s="73">
        <f>IF(C16=0,0,D16/C16)</f>
        <v>0</v>
      </c>
      <c r="G16" s="43">
        <f>IF($B16="",0,IF(AND(J16&gt;=Cfg_Hoje,SUMIFS(L_VParc,L_Tipo,"Transferência",L_Status,"Pago",L_Desc,"*"&amp;$B16&amp;"*",L_IIni,YEAR(J16)*12+MONTH(J16))&gt;=0),SUMIFS(L_VParc,L_Conta,$B16,L_Tipo,"Despesa",L_FIni,"&lt;="&amp;(O16-1),L_FFim,"&gt;="&amp;(O16-1)),0))</f>
        <v>0</v>
      </c>
      <c r="H16" s="43">
        <f>IF($B16="",0,SUMIFS(L_VParc,L_Conta,$B16,L_Tipo,"Despesa",L_FIni,"&lt;="&amp;(O16),L_FFim,"&gt;="&amp;(O16)))</f>
        <v>0</v>
      </c>
      <c r="I16" s="43">
        <f>IF($B16="",0,SUMIFS(L_VParc,L_Conta,$B16,L_Tipo,"Despesa",L_FIni,"&lt;="&amp;(O16+1),L_FFim,"&gt;="&amp;(O16+1)))</f>
        <v>0</v>
      </c>
      <c r="J16" s="93" t="str">
        <f>IF($B16="","",DATE(INT((((O16-1)+IF(INDEX(Cartoes_Venc,8)&gt;INDEX(Cartoes_Fech,8),0,1))-1)/12),MOD(((O16-1)+IF(INDEX(Cartoes_Venc,8)&gt;INDEX(Cartoes_Fech,8),0,1))-1,12)+1,MIN(INDEX(Cartoes_Venc,8),DAY(DATE(INT((((O16-1)+IF(INDEX(Cartoes_Venc,8)&gt;INDEX(Cartoes_Fech,8),0,1))-1)/12),MOD(((O16-1)+IF(INDEX(Cartoes_Venc,8)&gt;INDEX(Cartoes_Fech,8),0,1))-1,12)+1+1,0)))))</f>
        <v/>
      </c>
      <c r="K16" s="93" t="str">
        <f>IF($B16="","",DATE(INT((((O16)+IF(INDEX(Cartoes_Venc,8)&gt;INDEX(Cartoes_Fech,8),0,1))-1)/12),MOD(((O16)+IF(INDEX(Cartoes_Venc,8)&gt;INDEX(Cartoes_Fech,8),0,1))-1,12)+1,MIN(INDEX(Cartoes_Venc,8),DAY(DATE(INT((((O16)+IF(INDEX(Cartoes_Venc,8)&gt;INDEX(Cartoes_Fech,8),0,1))-1)/12),MOD(((O16)+IF(INDEX(Cartoes_Venc,8)&gt;INDEX(Cartoes_Fech,8),0,1))-1,12)+1+1,0)))))</f>
        <v/>
      </c>
      <c r="L16" s="13" t="str">
        <f>IF($B16="","","dia "&amp;INDEX(Cartoes_Fech,8))</f>
        <v/>
      </c>
      <c r="M16" s="43">
        <f>IF($B16="",0,SUMIFS(L_VParc,L_Conta,$B16,L_Tipo,"Despesa",L_IIni,"&lt;="&amp;Sel_Idx,L_IFim,"&gt;="&amp;Sel_Idx))</f>
        <v>0</v>
      </c>
      <c r="N16" s="14" t="str">
        <f>IF($B16="","",IF(F16&gt;Cfg_LimCartao,"⚠ Uso acima de "&amp;ROUND(Cfg_LimCartao*100,0)&amp;"% do limite","✔ Uso saudável"))</f>
        <v/>
      </c>
      <c r="O16" s="40">
        <f>IF($B16="",0,YEAR(Cfg_Hoje)*12+MONTH(Cfg_Hoje)+IF(DAY(Cfg_Hoje)&gt;=INDEX(Cartoes_Fech,8),1,0))</f>
        <v>0</v>
      </c>
    </row>
    <row r="17">
      <c r="B17" s="9" t="inlineStr">
        <is>
          <t>Total</t>
        </is>
      </c>
      <c r="C17" s="79">
        <f>SUM(C9:C16)</f>
        <v>15000</v>
      </c>
      <c r="D17" s="79">
        <f>SUM(D9:D16)</f>
        <v>9194.63</v>
      </c>
      <c r="E17" s="79">
        <f>SUM(E9:E16)</f>
        <v>5805.37</v>
      </c>
      <c r="F17" s="83">
        <f>IF(C17=0,0,D17/C17)</f>
        <v>0.612975333333333</v>
      </c>
      <c r="G17" s="79">
        <f>SUM(G9:G16)</f>
        <v>1262.38</v>
      </c>
      <c r="H17" s="79">
        <f>SUM(H9:H16)</f>
        <v>5067.35</v>
      </c>
      <c r="I17" s="79">
        <f>SUM(I9:I16)</f>
        <v>964.9</v>
      </c>
      <c r="M17" s="79">
        <f>SUM(M9:M16)</f>
        <v>4230.14</v>
      </c>
    </row>
    <row r="18">
      <c r="B18" s="28" t="inlineStr">
        <is>
          <t>Usado = parcelas a vencer da fatura atual em diante + fatura fechada ainda não vencida. Melhor dia de compra = dia de fechamento (compras a partir dele só entram na fatura seguinte).</t>
        </is>
      </c>
    </row>
    <row r="20">
      <c r="B20" s="6" t="inlineStr">
        <is>
          <t>2. Parcelas futuras comprometidas, mês a mês (fatura de cada mês)</t>
        </is>
      </c>
    </row>
    <row r="21">
      <c r="B21" s="7" t="inlineStr">
        <is>
          <t>Cartão</t>
        </is>
      </c>
      <c r="C21" s="7" t="str">
        <f>INDEX(Lista_MesesAb,MOD(((YEAR(Cfg_Hoje)*12+MONTH(Cfg_Hoje)+0))-1,12)+1)&amp;"/"&amp;RIGHT(INT((((YEAR(Cfg_Hoje)*12+MONTH(Cfg_Hoje)+0))-1)/12),2)</f>
        <v>Out/26</v>
      </c>
      <c r="D21" s="7" t="str">
        <f>INDEX(Lista_MesesAb,MOD(((YEAR(Cfg_Hoje)*12+MONTH(Cfg_Hoje)+1))-1,12)+1)&amp;"/"&amp;RIGHT(INT((((YEAR(Cfg_Hoje)*12+MONTH(Cfg_Hoje)+1))-1)/12),2)</f>
        <v>Nov/26</v>
      </c>
      <c r="E21" s="7" t="str">
        <f>INDEX(Lista_MesesAb,MOD(((YEAR(Cfg_Hoje)*12+MONTH(Cfg_Hoje)+2))-1,12)+1)&amp;"/"&amp;RIGHT(INT((((YEAR(Cfg_Hoje)*12+MONTH(Cfg_Hoje)+2))-1)/12),2)</f>
        <v>Dez/26</v>
      </c>
      <c r="F21" s="7" t="str">
        <f>INDEX(Lista_MesesAb,MOD(((YEAR(Cfg_Hoje)*12+MONTH(Cfg_Hoje)+3))-1,12)+1)&amp;"/"&amp;RIGHT(INT((((YEAR(Cfg_Hoje)*12+MONTH(Cfg_Hoje)+3))-1)/12),2)</f>
        <v>Jan/27</v>
      </c>
      <c r="G21" s="7" t="str">
        <f>INDEX(Lista_MesesAb,MOD(((YEAR(Cfg_Hoje)*12+MONTH(Cfg_Hoje)+4))-1,12)+1)&amp;"/"&amp;RIGHT(INT((((YEAR(Cfg_Hoje)*12+MONTH(Cfg_Hoje)+4))-1)/12),2)</f>
        <v>Fev/27</v>
      </c>
      <c r="H21" s="7" t="str">
        <f>INDEX(Lista_MesesAb,MOD(((YEAR(Cfg_Hoje)*12+MONTH(Cfg_Hoje)+5))-1,12)+1)&amp;"/"&amp;RIGHT(INT((((YEAR(Cfg_Hoje)*12+MONTH(Cfg_Hoje)+5))-1)/12),2)</f>
        <v>Mar/27</v>
      </c>
      <c r="I21" s="7" t="str">
        <f>INDEX(Lista_MesesAb,MOD(((YEAR(Cfg_Hoje)*12+MONTH(Cfg_Hoje)+6))-1,12)+1)&amp;"/"&amp;RIGHT(INT((((YEAR(Cfg_Hoje)*12+MONTH(Cfg_Hoje)+6))-1)/12),2)</f>
        <v>Abr/27</v>
      </c>
      <c r="J21" s="7" t="str">
        <f>INDEX(Lista_MesesAb,MOD(((YEAR(Cfg_Hoje)*12+MONTH(Cfg_Hoje)+7))-1,12)+1)&amp;"/"&amp;RIGHT(INT((((YEAR(Cfg_Hoje)*12+MONTH(Cfg_Hoje)+7))-1)/12),2)</f>
        <v>Mai/27</v>
      </c>
      <c r="K21" s="7" t="str">
        <f>INDEX(Lista_MesesAb,MOD(((YEAR(Cfg_Hoje)*12+MONTH(Cfg_Hoje)+8))-1,12)+1)&amp;"/"&amp;RIGHT(INT((((YEAR(Cfg_Hoje)*12+MONTH(Cfg_Hoje)+8))-1)/12),2)</f>
        <v>Jun/27</v>
      </c>
      <c r="L21" s="7" t="str">
        <f>INDEX(Lista_MesesAb,MOD(((YEAR(Cfg_Hoje)*12+MONTH(Cfg_Hoje)+9))-1,12)+1)&amp;"/"&amp;RIGHT(INT((((YEAR(Cfg_Hoje)*12+MONTH(Cfg_Hoje)+9))-1)/12),2)</f>
        <v>Jul/27</v>
      </c>
      <c r="M21" s="7" t="str">
        <f>INDEX(Lista_MesesAb,MOD(((YEAR(Cfg_Hoje)*12+MONTH(Cfg_Hoje)+10))-1,12)+1)&amp;"/"&amp;RIGHT(INT((((YEAR(Cfg_Hoje)*12+MONTH(Cfg_Hoje)+10))-1)/12),2)</f>
        <v>Ago/27</v>
      </c>
      <c r="N21" s="7" t="str">
        <f>INDEX(Lista_MesesAb,MOD(((YEAR(Cfg_Hoje)*12+MONTH(Cfg_Hoje)+11))-1,12)+1)&amp;"/"&amp;RIGHT(INT((((YEAR(Cfg_Hoje)*12+MONTH(Cfg_Hoje)+11))-1)/12),2)</f>
        <v>Set/27</v>
      </c>
      <c r="O21" s="7" t="inlineStr">
        <is>
          <t>Total</t>
        </is>
      </c>
    </row>
    <row r="22">
      <c r="B22" s="9" t="str">
        <f>B9</f>
        <v>Cartão Roxinho</v>
      </c>
      <c r="C22" s="43">
        <f>IF($B22="",0,SUMIFS(L_VParc,L_Conta,$B22,L_Tipo,"Despesa",L_FIni,"&lt;="&amp;(YEAR(Cfg_Hoje)*12+MONTH(Cfg_Hoje)+0),L_FFim,"&gt;="&amp;(YEAR(Cfg_Hoje)*12+MONTH(Cfg_Hoje)+0)))</f>
        <v>1605.64</v>
      </c>
      <c r="D22" s="43">
        <f>IF($B22="",0,SUMIFS(L_VParc,L_Conta,$B22,L_Tipo,"Despesa",L_FIni,"&lt;="&amp;(YEAR(Cfg_Hoje)*12+MONTH(Cfg_Hoje)+1),L_FFim,"&gt;="&amp;(YEAR(Cfg_Hoje)*12+MONTH(Cfg_Hoje)+1)))</f>
        <v>750</v>
      </c>
      <c r="E22" s="43">
        <f>IF($B22="",0,SUMIFS(L_VParc,L_Conta,$B22,L_Tipo,"Despesa",L_FIni,"&lt;="&amp;(YEAR(Cfg_Hoje)*12+MONTH(Cfg_Hoje)+2),L_FFim,"&gt;="&amp;(YEAR(Cfg_Hoje)*12+MONTH(Cfg_Hoje)+2)))</f>
        <v>300</v>
      </c>
      <c r="F22" s="43">
        <f>IF($B22="",0,SUMIFS(L_VParc,L_Conta,$B22,L_Tipo,"Despesa",L_FIni,"&lt;="&amp;(YEAR(Cfg_Hoje)*12+MONTH(Cfg_Hoje)+3),L_FFim,"&gt;="&amp;(YEAR(Cfg_Hoje)*12+MONTH(Cfg_Hoje)+3)))</f>
        <v>300</v>
      </c>
      <c r="G22" s="43">
        <f>IF($B22="",0,SUMIFS(L_VParc,L_Conta,$B22,L_Tipo,"Despesa",L_FIni,"&lt;="&amp;(YEAR(Cfg_Hoje)*12+MONTH(Cfg_Hoje)+4),L_FFim,"&gt;="&amp;(YEAR(Cfg_Hoje)*12+MONTH(Cfg_Hoje)+4)))</f>
        <v>300</v>
      </c>
      <c r="H22" s="43">
        <f>IF($B22="",0,SUMIFS(L_VParc,L_Conta,$B22,L_Tipo,"Despesa",L_FIni,"&lt;="&amp;(YEAR(Cfg_Hoje)*12+MONTH(Cfg_Hoje)+5),L_FFim,"&gt;="&amp;(YEAR(Cfg_Hoje)*12+MONTH(Cfg_Hoje)+5)))</f>
        <v>0</v>
      </c>
      <c r="I22" s="43">
        <f>IF($B22="",0,SUMIFS(L_VParc,L_Conta,$B22,L_Tipo,"Despesa",L_FIni,"&lt;="&amp;(YEAR(Cfg_Hoje)*12+MONTH(Cfg_Hoje)+6),L_FFim,"&gt;="&amp;(YEAR(Cfg_Hoje)*12+MONTH(Cfg_Hoje)+6)))</f>
        <v>0</v>
      </c>
      <c r="J22" s="43">
        <f>IF($B22="",0,SUMIFS(L_VParc,L_Conta,$B22,L_Tipo,"Despesa",L_FIni,"&lt;="&amp;(YEAR(Cfg_Hoje)*12+MONTH(Cfg_Hoje)+7),L_FFim,"&gt;="&amp;(YEAR(Cfg_Hoje)*12+MONTH(Cfg_Hoje)+7)))</f>
        <v>0</v>
      </c>
      <c r="K22" s="43">
        <f>IF($B22="",0,SUMIFS(L_VParc,L_Conta,$B22,L_Tipo,"Despesa",L_FIni,"&lt;="&amp;(YEAR(Cfg_Hoje)*12+MONTH(Cfg_Hoje)+8),L_FFim,"&gt;="&amp;(YEAR(Cfg_Hoje)*12+MONTH(Cfg_Hoje)+8)))</f>
        <v>0</v>
      </c>
      <c r="L22" s="43">
        <f>IF($B22="",0,SUMIFS(L_VParc,L_Conta,$B22,L_Tipo,"Despesa",L_FIni,"&lt;="&amp;(YEAR(Cfg_Hoje)*12+MONTH(Cfg_Hoje)+9),L_FFim,"&gt;="&amp;(YEAR(Cfg_Hoje)*12+MONTH(Cfg_Hoje)+9)))</f>
        <v>0</v>
      </c>
      <c r="M22" s="43">
        <f>IF($B22="",0,SUMIFS(L_VParc,L_Conta,$B22,L_Tipo,"Despesa",L_FIni,"&lt;="&amp;(YEAR(Cfg_Hoje)*12+MONTH(Cfg_Hoje)+10),L_FFim,"&gt;="&amp;(YEAR(Cfg_Hoje)*12+MONTH(Cfg_Hoje)+10)))</f>
        <v>0</v>
      </c>
      <c r="N22" s="43">
        <f>IF($B22="",0,SUMIFS(L_VParc,L_Conta,$B22,L_Tipo,"Despesa",L_FIni,"&lt;="&amp;(YEAR(Cfg_Hoje)*12+MONTH(Cfg_Hoje)+11),L_FFim,"&gt;="&amp;(YEAR(Cfg_Hoje)*12+MONTH(Cfg_Hoje)+11)))</f>
        <v>0</v>
      </c>
      <c r="O22" s="79">
        <f>SUM(C22:N22)</f>
        <v>3255.64</v>
      </c>
    </row>
    <row r="23">
      <c r="B23" s="9" t="str">
        <f>B10</f>
        <v>Cartão Azul Gold</v>
      </c>
      <c r="C23" s="43">
        <f>IF($B23="",0,SUMIFS(L_VParc,L_Conta,$B23,L_Tipo,"Despesa",L_FIni,"&lt;="&amp;(YEAR(Cfg_Hoje)*12+MONTH(Cfg_Hoje)+0),L_FFim,"&gt;="&amp;(YEAR(Cfg_Hoje)*12+MONTH(Cfg_Hoje)+0)))</f>
        <v>3461.71</v>
      </c>
      <c r="D23" s="43">
        <f>IF($B23="",0,SUMIFS(L_VParc,L_Conta,$B23,L_Tipo,"Despesa",L_FIni,"&lt;="&amp;(YEAR(Cfg_Hoje)*12+MONTH(Cfg_Hoje)+1),L_FFim,"&gt;="&amp;(YEAR(Cfg_Hoje)*12+MONTH(Cfg_Hoje)+1)))</f>
        <v>214.9</v>
      </c>
      <c r="E23" s="43">
        <f>IF($B23="",0,SUMIFS(L_VParc,L_Conta,$B23,L_Tipo,"Despesa",L_FIni,"&lt;="&amp;(YEAR(Cfg_Hoje)*12+MONTH(Cfg_Hoje)+2),L_FFim,"&gt;="&amp;(YEAR(Cfg_Hoje)*12+MONTH(Cfg_Hoje)+2)))</f>
        <v>200</v>
      </c>
      <c r="F23" s="43">
        <f>IF($B23="",0,SUMIFS(L_VParc,L_Conta,$B23,L_Tipo,"Despesa",L_FIni,"&lt;="&amp;(YEAR(Cfg_Hoje)*12+MONTH(Cfg_Hoje)+3),L_FFim,"&gt;="&amp;(YEAR(Cfg_Hoje)*12+MONTH(Cfg_Hoje)+3)))</f>
        <v>200</v>
      </c>
      <c r="G23" s="43">
        <f>IF($B23="",0,SUMIFS(L_VParc,L_Conta,$B23,L_Tipo,"Despesa",L_FIni,"&lt;="&amp;(YEAR(Cfg_Hoje)*12+MONTH(Cfg_Hoje)+4),L_FFim,"&gt;="&amp;(YEAR(Cfg_Hoje)*12+MONTH(Cfg_Hoje)+4)))</f>
        <v>200</v>
      </c>
      <c r="H23" s="43">
        <f>IF($B23="",0,SUMIFS(L_VParc,L_Conta,$B23,L_Tipo,"Despesa",L_FIni,"&lt;="&amp;(YEAR(Cfg_Hoje)*12+MONTH(Cfg_Hoje)+5),L_FFim,"&gt;="&amp;(YEAR(Cfg_Hoje)*12+MONTH(Cfg_Hoje)+5)))</f>
        <v>200</v>
      </c>
      <c r="I23" s="43">
        <f>IF($B23="",0,SUMIFS(L_VParc,L_Conta,$B23,L_Tipo,"Despesa",L_FIni,"&lt;="&amp;(YEAR(Cfg_Hoje)*12+MONTH(Cfg_Hoje)+6),L_FFim,"&gt;="&amp;(YEAR(Cfg_Hoje)*12+MONTH(Cfg_Hoje)+6)))</f>
        <v>200</v>
      </c>
      <c r="J23" s="43">
        <f>IF($B23="",0,SUMIFS(L_VParc,L_Conta,$B23,L_Tipo,"Despesa",L_FIni,"&lt;="&amp;(YEAR(Cfg_Hoje)*12+MONTH(Cfg_Hoje)+7),L_FFim,"&gt;="&amp;(YEAR(Cfg_Hoje)*12+MONTH(Cfg_Hoje)+7)))</f>
        <v>0</v>
      </c>
      <c r="K23" s="43">
        <f>IF($B23="",0,SUMIFS(L_VParc,L_Conta,$B23,L_Tipo,"Despesa",L_FIni,"&lt;="&amp;(YEAR(Cfg_Hoje)*12+MONTH(Cfg_Hoje)+8),L_FFim,"&gt;="&amp;(YEAR(Cfg_Hoje)*12+MONTH(Cfg_Hoje)+8)))</f>
        <v>0</v>
      </c>
      <c r="L23" s="43">
        <f>IF($B23="",0,SUMIFS(L_VParc,L_Conta,$B23,L_Tipo,"Despesa",L_FIni,"&lt;="&amp;(YEAR(Cfg_Hoje)*12+MONTH(Cfg_Hoje)+9),L_FFim,"&gt;="&amp;(YEAR(Cfg_Hoje)*12+MONTH(Cfg_Hoje)+9)))</f>
        <v>0</v>
      </c>
      <c r="M23" s="43">
        <f>IF($B23="",0,SUMIFS(L_VParc,L_Conta,$B23,L_Tipo,"Despesa",L_FIni,"&lt;="&amp;(YEAR(Cfg_Hoje)*12+MONTH(Cfg_Hoje)+10),L_FFim,"&gt;="&amp;(YEAR(Cfg_Hoje)*12+MONTH(Cfg_Hoje)+10)))</f>
        <v>0</v>
      </c>
      <c r="N23" s="43">
        <f>IF($B23="",0,SUMIFS(L_VParc,L_Conta,$B23,L_Tipo,"Despesa",L_FIni,"&lt;="&amp;(YEAR(Cfg_Hoje)*12+MONTH(Cfg_Hoje)+11),L_FFim,"&gt;="&amp;(YEAR(Cfg_Hoje)*12+MONTH(Cfg_Hoje)+11)))</f>
        <v>0</v>
      </c>
      <c r="O23" s="79">
        <f>SUM(C23:N23)</f>
        <v>4676.61</v>
      </c>
    </row>
    <row r="24">
      <c r="B24" s="9" t="str">
        <f>B11</f>
        <v/>
      </c>
      <c r="C24" s="43">
        <f>IF($B24="",0,SUMIFS(L_VParc,L_Conta,$B24,L_Tipo,"Despesa",L_FIni,"&lt;="&amp;(YEAR(Cfg_Hoje)*12+MONTH(Cfg_Hoje)+0),L_FFim,"&gt;="&amp;(YEAR(Cfg_Hoje)*12+MONTH(Cfg_Hoje)+0)))</f>
        <v>0</v>
      </c>
      <c r="D24" s="43">
        <f>IF($B24="",0,SUMIFS(L_VParc,L_Conta,$B24,L_Tipo,"Despesa",L_FIni,"&lt;="&amp;(YEAR(Cfg_Hoje)*12+MONTH(Cfg_Hoje)+1),L_FFim,"&gt;="&amp;(YEAR(Cfg_Hoje)*12+MONTH(Cfg_Hoje)+1)))</f>
        <v>0</v>
      </c>
      <c r="E24" s="43">
        <f>IF($B24="",0,SUMIFS(L_VParc,L_Conta,$B24,L_Tipo,"Despesa",L_FIni,"&lt;="&amp;(YEAR(Cfg_Hoje)*12+MONTH(Cfg_Hoje)+2),L_FFim,"&gt;="&amp;(YEAR(Cfg_Hoje)*12+MONTH(Cfg_Hoje)+2)))</f>
        <v>0</v>
      </c>
      <c r="F24" s="43">
        <f>IF($B24="",0,SUMIFS(L_VParc,L_Conta,$B24,L_Tipo,"Despesa",L_FIni,"&lt;="&amp;(YEAR(Cfg_Hoje)*12+MONTH(Cfg_Hoje)+3),L_FFim,"&gt;="&amp;(YEAR(Cfg_Hoje)*12+MONTH(Cfg_Hoje)+3)))</f>
        <v>0</v>
      </c>
      <c r="G24" s="43">
        <f>IF($B24="",0,SUMIFS(L_VParc,L_Conta,$B24,L_Tipo,"Despesa",L_FIni,"&lt;="&amp;(YEAR(Cfg_Hoje)*12+MONTH(Cfg_Hoje)+4),L_FFim,"&gt;="&amp;(YEAR(Cfg_Hoje)*12+MONTH(Cfg_Hoje)+4)))</f>
        <v>0</v>
      </c>
      <c r="H24" s="43">
        <f>IF($B24="",0,SUMIFS(L_VParc,L_Conta,$B24,L_Tipo,"Despesa",L_FIni,"&lt;="&amp;(YEAR(Cfg_Hoje)*12+MONTH(Cfg_Hoje)+5),L_FFim,"&gt;="&amp;(YEAR(Cfg_Hoje)*12+MONTH(Cfg_Hoje)+5)))</f>
        <v>0</v>
      </c>
      <c r="I24" s="43">
        <f>IF($B24="",0,SUMIFS(L_VParc,L_Conta,$B24,L_Tipo,"Despesa",L_FIni,"&lt;="&amp;(YEAR(Cfg_Hoje)*12+MONTH(Cfg_Hoje)+6),L_FFim,"&gt;="&amp;(YEAR(Cfg_Hoje)*12+MONTH(Cfg_Hoje)+6)))</f>
        <v>0</v>
      </c>
      <c r="J24" s="43">
        <f>IF($B24="",0,SUMIFS(L_VParc,L_Conta,$B24,L_Tipo,"Despesa",L_FIni,"&lt;="&amp;(YEAR(Cfg_Hoje)*12+MONTH(Cfg_Hoje)+7),L_FFim,"&gt;="&amp;(YEAR(Cfg_Hoje)*12+MONTH(Cfg_Hoje)+7)))</f>
        <v>0</v>
      </c>
      <c r="K24" s="43">
        <f>IF($B24="",0,SUMIFS(L_VParc,L_Conta,$B24,L_Tipo,"Despesa",L_FIni,"&lt;="&amp;(YEAR(Cfg_Hoje)*12+MONTH(Cfg_Hoje)+8),L_FFim,"&gt;="&amp;(YEAR(Cfg_Hoje)*12+MONTH(Cfg_Hoje)+8)))</f>
        <v>0</v>
      </c>
      <c r="L24" s="43">
        <f>IF($B24="",0,SUMIFS(L_VParc,L_Conta,$B24,L_Tipo,"Despesa",L_FIni,"&lt;="&amp;(YEAR(Cfg_Hoje)*12+MONTH(Cfg_Hoje)+9),L_FFim,"&gt;="&amp;(YEAR(Cfg_Hoje)*12+MONTH(Cfg_Hoje)+9)))</f>
        <v>0</v>
      </c>
      <c r="M24" s="43">
        <f>IF($B24="",0,SUMIFS(L_VParc,L_Conta,$B24,L_Tipo,"Despesa",L_FIni,"&lt;="&amp;(YEAR(Cfg_Hoje)*12+MONTH(Cfg_Hoje)+10),L_FFim,"&gt;="&amp;(YEAR(Cfg_Hoje)*12+MONTH(Cfg_Hoje)+10)))</f>
        <v>0</v>
      </c>
      <c r="N24" s="43">
        <f>IF($B24="",0,SUMIFS(L_VParc,L_Conta,$B24,L_Tipo,"Despesa",L_FIni,"&lt;="&amp;(YEAR(Cfg_Hoje)*12+MONTH(Cfg_Hoje)+11),L_FFim,"&gt;="&amp;(YEAR(Cfg_Hoje)*12+MONTH(Cfg_Hoje)+11)))</f>
        <v>0</v>
      </c>
      <c r="O24" s="79">
        <f>SUM(C24:N24)</f>
        <v>0</v>
      </c>
    </row>
    <row r="25">
      <c r="B25" s="9" t="str">
        <f>B12</f>
        <v/>
      </c>
      <c r="C25" s="43">
        <f>IF($B25="",0,SUMIFS(L_VParc,L_Conta,$B25,L_Tipo,"Despesa",L_FIni,"&lt;="&amp;(YEAR(Cfg_Hoje)*12+MONTH(Cfg_Hoje)+0),L_FFim,"&gt;="&amp;(YEAR(Cfg_Hoje)*12+MONTH(Cfg_Hoje)+0)))</f>
        <v>0</v>
      </c>
      <c r="D25" s="43">
        <f>IF($B25="",0,SUMIFS(L_VParc,L_Conta,$B25,L_Tipo,"Despesa",L_FIni,"&lt;="&amp;(YEAR(Cfg_Hoje)*12+MONTH(Cfg_Hoje)+1),L_FFim,"&gt;="&amp;(YEAR(Cfg_Hoje)*12+MONTH(Cfg_Hoje)+1)))</f>
        <v>0</v>
      </c>
      <c r="E25" s="43">
        <f>IF($B25="",0,SUMIFS(L_VParc,L_Conta,$B25,L_Tipo,"Despesa",L_FIni,"&lt;="&amp;(YEAR(Cfg_Hoje)*12+MONTH(Cfg_Hoje)+2),L_FFim,"&gt;="&amp;(YEAR(Cfg_Hoje)*12+MONTH(Cfg_Hoje)+2)))</f>
        <v>0</v>
      </c>
      <c r="F25" s="43">
        <f>IF($B25="",0,SUMIFS(L_VParc,L_Conta,$B25,L_Tipo,"Despesa",L_FIni,"&lt;="&amp;(YEAR(Cfg_Hoje)*12+MONTH(Cfg_Hoje)+3),L_FFim,"&gt;="&amp;(YEAR(Cfg_Hoje)*12+MONTH(Cfg_Hoje)+3)))</f>
        <v>0</v>
      </c>
      <c r="G25" s="43">
        <f>IF($B25="",0,SUMIFS(L_VParc,L_Conta,$B25,L_Tipo,"Despesa",L_FIni,"&lt;="&amp;(YEAR(Cfg_Hoje)*12+MONTH(Cfg_Hoje)+4),L_FFim,"&gt;="&amp;(YEAR(Cfg_Hoje)*12+MONTH(Cfg_Hoje)+4)))</f>
        <v>0</v>
      </c>
      <c r="H25" s="43">
        <f>IF($B25="",0,SUMIFS(L_VParc,L_Conta,$B25,L_Tipo,"Despesa",L_FIni,"&lt;="&amp;(YEAR(Cfg_Hoje)*12+MONTH(Cfg_Hoje)+5),L_FFim,"&gt;="&amp;(YEAR(Cfg_Hoje)*12+MONTH(Cfg_Hoje)+5)))</f>
        <v>0</v>
      </c>
      <c r="I25" s="43">
        <f>IF($B25="",0,SUMIFS(L_VParc,L_Conta,$B25,L_Tipo,"Despesa",L_FIni,"&lt;="&amp;(YEAR(Cfg_Hoje)*12+MONTH(Cfg_Hoje)+6),L_FFim,"&gt;="&amp;(YEAR(Cfg_Hoje)*12+MONTH(Cfg_Hoje)+6)))</f>
        <v>0</v>
      </c>
      <c r="J25" s="43">
        <f>IF($B25="",0,SUMIFS(L_VParc,L_Conta,$B25,L_Tipo,"Despesa",L_FIni,"&lt;="&amp;(YEAR(Cfg_Hoje)*12+MONTH(Cfg_Hoje)+7),L_FFim,"&gt;="&amp;(YEAR(Cfg_Hoje)*12+MONTH(Cfg_Hoje)+7)))</f>
        <v>0</v>
      </c>
      <c r="K25" s="43">
        <f>IF($B25="",0,SUMIFS(L_VParc,L_Conta,$B25,L_Tipo,"Despesa",L_FIni,"&lt;="&amp;(YEAR(Cfg_Hoje)*12+MONTH(Cfg_Hoje)+8),L_FFim,"&gt;="&amp;(YEAR(Cfg_Hoje)*12+MONTH(Cfg_Hoje)+8)))</f>
        <v>0</v>
      </c>
      <c r="L25" s="43">
        <f>IF($B25="",0,SUMIFS(L_VParc,L_Conta,$B25,L_Tipo,"Despesa",L_FIni,"&lt;="&amp;(YEAR(Cfg_Hoje)*12+MONTH(Cfg_Hoje)+9),L_FFim,"&gt;="&amp;(YEAR(Cfg_Hoje)*12+MONTH(Cfg_Hoje)+9)))</f>
        <v>0</v>
      </c>
      <c r="M25" s="43">
        <f>IF($B25="",0,SUMIFS(L_VParc,L_Conta,$B25,L_Tipo,"Despesa",L_FIni,"&lt;="&amp;(YEAR(Cfg_Hoje)*12+MONTH(Cfg_Hoje)+10),L_FFim,"&gt;="&amp;(YEAR(Cfg_Hoje)*12+MONTH(Cfg_Hoje)+10)))</f>
        <v>0</v>
      </c>
      <c r="N25" s="43">
        <f>IF($B25="",0,SUMIFS(L_VParc,L_Conta,$B25,L_Tipo,"Despesa",L_FIni,"&lt;="&amp;(YEAR(Cfg_Hoje)*12+MONTH(Cfg_Hoje)+11),L_FFim,"&gt;="&amp;(YEAR(Cfg_Hoje)*12+MONTH(Cfg_Hoje)+11)))</f>
        <v>0</v>
      </c>
      <c r="O25" s="79">
        <f>SUM(C25:N25)</f>
        <v>0</v>
      </c>
    </row>
    <row r="26">
      <c r="B26" s="9" t="str">
        <f>B13</f>
        <v/>
      </c>
      <c r="C26" s="43">
        <f>IF($B26="",0,SUMIFS(L_VParc,L_Conta,$B26,L_Tipo,"Despesa",L_FIni,"&lt;="&amp;(YEAR(Cfg_Hoje)*12+MONTH(Cfg_Hoje)+0),L_FFim,"&gt;="&amp;(YEAR(Cfg_Hoje)*12+MONTH(Cfg_Hoje)+0)))</f>
        <v>0</v>
      </c>
      <c r="D26" s="43">
        <f>IF($B26="",0,SUMIFS(L_VParc,L_Conta,$B26,L_Tipo,"Despesa",L_FIni,"&lt;="&amp;(YEAR(Cfg_Hoje)*12+MONTH(Cfg_Hoje)+1),L_FFim,"&gt;="&amp;(YEAR(Cfg_Hoje)*12+MONTH(Cfg_Hoje)+1)))</f>
        <v>0</v>
      </c>
      <c r="E26" s="43">
        <f>IF($B26="",0,SUMIFS(L_VParc,L_Conta,$B26,L_Tipo,"Despesa",L_FIni,"&lt;="&amp;(YEAR(Cfg_Hoje)*12+MONTH(Cfg_Hoje)+2),L_FFim,"&gt;="&amp;(YEAR(Cfg_Hoje)*12+MONTH(Cfg_Hoje)+2)))</f>
        <v>0</v>
      </c>
      <c r="F26" s="43">
        <f>IF($B26="",0,SUMIFS(L_VParc,L_Conta,$B26,L_Tipo,"Despesa",L_FIni,"&lt;="&amp;(YEAR(Cfg_Hoje)*12+MONTH(Cfg_Hoje)+3),L_FFim,"&gt;="&amp;(YEAR(Cfg_Hoje)*12+MONTH(Cfg_Hoje)+3)))</f>
        <v>0</v>
      </c>
      <c r="G26" s="43">
        <f>IF($B26="",0,SUMIFS(L_VParc,L_Conta,$B26,L_Tipo,"Despesa",L_FIni,"&lt;="&amp;(YEAR(Cfg_Hoje)*12+MONTH(Cfg_Hoje)+4),L_FFim,"&gt;="&amp;(YEAR(Cfg_Hoje)*12+MONTH(Cfg_Hoje)+4)))</f>
        <v>0</v>
      </c>
      <c r="H26" s="43">
        <f>IF($B26="",0,SUMIFS(L_VParc,L_Conta,$B26,L_Tipo,"Despesa",L_FIni,"&lt;="&amp;(YEAR(Cfg_Hoje)*12+MONTH(Cfg_Hoje)+5),L_FFim,"&gt;="&amp;(YEAR(Cfg_Hoje)*12+MONTH(Cfg_Hoje)+5)))</f>
        <v>0</v>
      </c>
      <c r="I26" s="43">
        <f>IF($B26="",0,SUMIFS(L_VParc,L_Conta,$B26,L_Tipo,"Despesa",L_FIni,"&lt;="&amp;(YEAR(Cfg_Hoje)*12+MONTH(Cfg_Hoje)+6),L_FFim,"&gt;="&amp;(YEAR(Cfg_Hoje)*12+MONTH(Cfg_Hoje)+6)))</f>
        <v>0</v>
      </c>
      <c r="J26" s="43">
        <f>IF($B26="",0,SUMIFS(L_VParc,L_Conta,$B26,L_Tipo,"Despesa",L_FIni,"&lt;="&amp;(YEAR(Cfg_Hoje)*12+MONTH(Cfg_Hoje)+7),L_FFim,"&gt;="&amp;(YEAR(Cfg_Hoje)*12+MONTH(Cfg_Hoje)+7)))</f>
        <v>0</v>
      </c>
      <c r="K26" s="43">
        <f>IF($B26="",0,SUMIFS(L_VParc,L_Conta,$B26,L_Tipo,"Despesa",L_FIni,"&lt;="&amp;(YEAR(Cfg_Hoje)*12+MONTH(Cfg_Hoje)+8),L_FFim,"&gt;="&amp;(YEAR(Cfg_Hoje)*12+MONTH(Cfg_Hoje)+8)))</f>
        <v>0</v>
      </c>
      <c r="L26" s="43">
        <f>IF($B26="",0,SUMIFS(L_VParc,L_Conta,$B26,L_Tipo,"Despesa",L_FIni,"&lt;="&amp;(YEAR(Cfg_Hoje)*12+MONTH(Cfg_Hoje)+9),L_FFim,"&gt;="&amp;(YEAR(Cfg_Hoje)*12+MONTH(Cfg_Hoje)+9)))</f>
        <v>0</v>
      </c>
      <c r="M26" s="43">
        <f>IF($B26="",0,SUMIFS(L_VParc,L_Conta,$B26,L_Tipo,"Despesa",L_FIni,"&lt;="&amp;(YEAR(Cfg_Hoje)*12+MONTH(Cfg_Hoje)+10),L_FFim,"&gt;="&amp;(YEAR(Cfg_Hoje)*12+MONTH(Cfg_Hoje)+10)))</f>
        <v>0</v>
      </c>
      <c r="N26" s="43">
        <f>IF($B26="",0,SUMIFS(L_VParc,L_Conta,$B26,L_Tipo,"Despesa",L_FIni,"&lt;="&amp;(YEAR(Cfg_Hoje)*12+MONTH(Cfg_Hoje)+11),L_FFim,"&gt;="&amp;(YEAR(Cfg_Hoje)*12+MONTH(Cfg_Hoje)+11)))</f>
        <v>0</v>
      </c>
      <c r="O26" s="79">
        <f>SUM(C26:N26)</f>
        <v>0</v>
      </c>
    </row>
    <row r="27">
      <c r="B27" s="9" t="str">
        <f>B14</f>
        <v/>
      </c>
      <c r="C27" s="43">
        <f>IF($B27="",0,SUMIFS(L_VParc,L_Conta,$B27,L_Tipo,"Despesa",L_FIni,"&lt;="&amp;(YEAR(Cfg_Hoje)*12+MONTH(Cfg_Hoje)+0),L_FFim,"&gt;="&amp;(YEAR(Cfg_Hoje)*12+MONTH(Cfg_Hoje)+0)))</f>
        <v>0</v>
      </c>
      <c r="D27" s="43">
        <f>IF($B27="",0,SUMIFS(L_VParc,L_Conta,$B27,L_Tipo,"Despesa",L_FIni,"&lt;="&amp;(YEAR(Cfg_Hoje)*12+MONTH(Cfg_Hoje)+1),L_FFim,"&gt;="&amp;(YEAR(Cfg_Hoje)*12+MONTH(Cfg_Hoje)+1)))</f>
        <v>0</v>
      </c>
      <c r="E27" s="43">
        <f>IF($B27="",0,SUMIFS(L_VParc,L_Conta,$B27,L_Tipo,"Despesa",L_FIni,"&lt;="&amp;(YEAR(Cfg_Hoje)*12+MONTH(Cfg_Hoje)+2),L_FFim,"&gt;="&amp;(YEAR(Cfg_Hoje)*12+MONTH(Cfg_Hoje)+2)))</f>
        <v>0</v>
      </c>
      <c r="F27" s="43">
        <f>IF($B27="",0,SUMIFS(L_VParc,L_Conta,$B27,L_Tipo,"Despesa",L_FIni,"&lt;="&amp;(YEAR(Cfg_Hoje)*12+MONTH(Cfg_Hoje)+3),L_FFim,"&gt;="&amp;(YEAR(Cfg_Hoje)*12+MONTH(Cfg_Hoje)+3)))</f>
        <v>0</v>
      </c>
      <c r="G27" s="43">
        <f>IF($B27="",0,SUMIFS(L_VParc,L_Conta,$B27,L_Tipo,"Despesa",L_FIni,"&lt;="&amp;(YEAR(Cfg_Hoje)*12+MONTH(Cfg_Hoje)+4),L_FFim,"&gt;="&amp;(YEAR(Cfg_Hoje)*12+MONTH(Cfg_Hoje)+4)))</f>
        <v>0</v>
      </c>
      <c r="H27" s="43">
        <f>IF($B27="",0,SUMIFS(L_VParc,L_Conta,$B27,L_Tipo,"Despesa",L_FIni,"&lt;="&amp;(YEAR(Cfg_Hoje)*12+MONTH(Cfg_Hoje)+5),L_FFim,"&gt;="&amp;(YEAR(Cfg_Hoje)*12+MONTH(Cfg_Hoje)+5)))</f>
        <v>0</v>
      </c>
      <c r="I27" s="43">
        <f>IF($B27="",0,SUMIFS(L_VParc,L_Conta,$B27,L_Tipo,"Despesa",L_FIni,"&lt;="&amp;(YEAR(Cfg_Hoje)*12+MONTH(Cfg_Hoje)+6),L_FFim,"&gt;="&amp;(YEAR(Cfg_Hoje)*12+MONTH(Cfg_Hoje)+6)))</f>
        <v>0</v>
      </c>
      <c r="J27" s="43">
        <f>IF($B27="",0,SUMIFS(L_VParc,L_Conta,$B27,L_Tipo,"Despesa",L_FIni,"&lt;="&amp;(YEAR(Cfg_Hoje)*12+MONTH(Cfg_Hoje)+7),L_FFim,"&gt;="&amp;(YEAR(Cfg_Hoje)*12+MONTH(Cfg_Hoje)+7)))</f>
        <v>0</v>
      </c>
      <c r="K27" s="43">
        <f>IF($B27="",0,SUMIFS(L_VParc,L_Conta,$B27,L_Tipo,"Despesa",L_FIni,"&lt;="&amp;(YEAR(Cfg_Hoje)*12+MONTH(Cfg_Hoje)+8),L_FFim,"&gt;="&amp;(YEAR(Cfg_Hoje)*12+MONTH(Cfg_Hoje)+8)))</f>
        <v>0</v>
      </c>
      <c r="L27" s="43">
        <f>IF($B27="",0,SUMIFS(L_VParc,L_Conta,$B27,L_Tipo,"Despesa",L_FIni,"&lt;="&amp;(YEAR(Cfg_Hoje)*12+MONTH(Cfg_Hoje)+9),L_FFim,"&gt;="&amp;(YEAR(Cfg_Hoje)*12+MONTH(Cfg_Hoje)+9)))</f>
        <v>0</v>
      </c>
      <c r="M27" s="43">
        <f>IF($B27="",0,SUMIFS(L_VParc,L_Conta,$B27,L_Tipo,"Despesa",L_FIni,"&lt;="&amp;(YEAR(Cfg_Hoje)*12+MONTH(Cfg_Hoje)+10),L_FFim,"&gt;="&amp;(YEAR(Cfg_Hoje)*12+MONTH(Cfg_Hoje)+10)))</f>
        <v>0</v>
      </c>
      <c r="N27" s="43">
        <f>IF($B27="",0,SUMIFS(L_VParc,L_Conta,$B27,L_Tipo,"Despesa",L_FIni,"&lt;="&amp;(YEAR(Cfg_Hoje)*12+MONTH(Cfg_Hoje)+11),L_FFim,"&gt;="&amp;(YEAR(Cfg_Hoje)*12+MONTH(Cfg_Hoje)+11)))</f>
        <v>0</v>
      </c>
      <c r="O27" s="79">
        <f>SUM(C27:N27)</f>
        <v>0</v>
      </c>
    </row>
    <row r="28">
      <c r="B28" s="9" t="str">
        <f>B15</f>
        <v/>
      </c>
      <c r="C28" s="43">
        <f>IF($B28="",0,SUMIFS(L_VParc,L_Conta,$B28,L_Tipo,"Despesa",L_FIni,"&lt;="&amp;(YEAR(Cfg_Hoje)*12+MONTH(Cfg_Hoje)+0),L_FFim,"&gt;="&amp;(YEAR(Cfg_Hoje)*12+MONTH(Cfg_Hoje)+0)))</f>
        <v>0</v>
      </c>
      <c r="D28" s="43">
        <f>IF($B28="",0,SUMIFS(L_VParc,L_Conta,$B28,L_Tipo,"Despesa",L_FIni,"&lt;="&amp;(YEAR(Cfg_Hoje)*12+MONTH(Cfg_Hoje)+1),L_FFim,"&gt;="&amp;(YEAR(Cfg_Hoje)*12+MONTH(Cfg_Hoje)+1)))</f>
        <v>0</v>
      </c>
      <c r="E28" s="43">
        <f>IF($B28="",0,SUMIFS(L_VParc,L_Conta,$B28,L_Tipo,"Despesa",L_FIni,"&lt;="&amp;(YEAR(Cfg_Hoje)*12+MONTH(Cfg_Hoje)+2),L_FFim,"&gt;="&amp;(YEAR(Cfg_Hoje)*12+MONTH(Cfg_Hoje)+2)))</f>
        <v>0</v>
      </c>
      <c r="F28" s="43">
        <f>IF($B28="",0,SUMIFS(L_VParc,L_Conta,$B28,L_Tipo,"Despesa",L_FIni,"&lt;="&amp;(YEAR(Cfg_Hoje)*12+MONTH(Cfg_Hoje)+3),L_FFim,"&gt;="&amp;(YEAR(Cfg_Hoje)*12+MONTH(Cfg_Hoje)+3)))</f>
        <v>0</v>
      </c>
      <c r="G28" s="43">
        <f>IF($B28="",0,SUMIFS(L_VParc,L_Conta,$B28,L_Tipo,"Despesa",L_FIni,"&lt;="&amp;(YEAR(Cfg_Hoje)*12+MONTH(Cfg_Hoje)+4),L_FFim,"&gt;="&amp;(YEAR(Cfg_Hoje)*12+MONTH(Cfg_Hoje)+4)))</f>
        <v>0</v>
      </c>
      <c r="H28" s="43">
        <f>IF($B28="",0,SUMIFS(L_VParc,L_Conta,$B28,L_Tipo,"Despesa",L_FIni,"&lt;="&amp;(YEAR(Cfg_Hoje)*12+MONTH(Cfg_Hoje)+5),L_FFim,"&gt;="&amp;(YEAR(Cfg_Hoje)*12+MONTH(Cfg_Hoje)+5)))</f>
        <v>0</v>
      </c>
      <c r="I28" s="43">
        <f>IF($B28="",0,SUMIFS(L_VParc,L_Conta,$B28,L_Tipo,"Despesa",L_FIni,"&lt;="&amp;(YEAR(Cfg_Hoje)*12+MONTH(Cfg_Hoje)+6),L_FFim,"&gt;="&amp;(YEAR(Cfg_Hoje)*12+MONTH(Cfg_Hoje)+6)))</f>
        <v>0</v>
      </c>
      <c r="J28" s="43">
        <f>IF($B28="",0,SUMIFS(L_VParc,L_Conta,$B28,L_Tipo,"Despesa",L_FIni,"&lt;="&amp;(YEAR(Cfg_Hoje)*12+MONTH(Cfg_Hoje)+7),L_FFim,"&gt;="&amp;(YEAR(Cfg_Hoje)*12+MONTH(Cfg_Hoje)+7)))</f>
        <v>0</v>
      </c>
      <c r="K28" s="43">
        <f>IF($B28="",0,SUMIFS(L_VParc,L_Conta,$B28,L_Tipo,"Despesa",L_FIni,"&lt;="&amp;(YEAR(Cfg_Hoje)*12+MONTH(Cfg_Hoje)+8),L_FFim,"&gt;="&amp;(YEAR(Cfg_Hoje)*12+MONTH(Cfg_Hoje)+8)))</f>
        <v>0</v>
      </c>
      <c r="L28" s="43">
        <f>IF($B28="",0,SUMIFS(L_VParc,L_Conta,$B28,L_Tipo,"Despesa",L_FIni,"&lt;="&amp;(YEAR(Cfg_Hoje)*12+MONTH(Cfg_Hoje)+9),L_FFim,"&gt;="&amp;(YEAR(Cfg_Hoje)*12+MONTH(Cfg_Hoje)+9)))</f>
        <v>0</v>
      </c>
      <c r="M28" s="43">
        <f>IF($B28="",0,SUMIFS(L_VParc,L_Conta,$B28,L_Tipo,"Despesa",L_FIni,"&lt;="&amp;(YEAR(Cfg_Hoje)*12+MONTH(Cfg_Hoje)+10),L_FFim,"&gt;="&amp;(YEAR(Cfg_Hoje)*12+MONTH(Cfg_Hoje)+10)))</f>
        <v>0</v>
      </c>
      <c r="N28" s="43">
        <f>IF($B28="",0,SUMIFS(L_VParc,L_Conta,$B28,L_Tipo,"Despesa",L_FIni,"&lt;="&amp;(YEAR(Cfg_Hoje)*12+MONTH(Cfg_Hoje)+11),L_FFim,"&gt;="&amp;(YEAR(Cfg_Hoje)*12+MONTH(Cfg_Hoje)+11)))</f>
        <v>0</v>
      </c>
      <c r="O28" s="79">
        <f>SUM(C28:N28)</f>
        <v>0</v>
      </c>
    </row>
    <row r="29">
      <c r="B29" s="9" t="str">
        <f>B16</f>
        <v/>
      </c>
      <c r="C29" s="43">
        <f>IF($B29="",0,SUMIFS(L_VParc,L_Conta,$B29,L_Tipo,"Despesa",L_FIni,"&lt;="&amp;(YEAR(Cfg_Hoje)*12+MONTH(Cfg_Hoje)+0),L_FFim,"&gt;="&amp;(YEAR(Cfg_Hoje)*12+MONTH(Cfg_Hoje)+0)))</f>
        <v>0</v>
      </c>
      <c r="D29" s="43">
        <f>IF($B29="",0,SUMIFS(L_VParc,L_Conta,$B29,L_Tipo,"Despesa",L_FIni,"&lt;="&amp;(YEAR(Cfg_Hoje)*12+MONTH(Cfg_Hoje)+1),L_FFim,"&gt;="&amp;(YEAR(Cfg_Hoje)*12+MONTH(Cfg_Hoje)+1)))</f>
        <v>0</v>
      </c>
      <c r="E29" s="43">
        <f>IF($B29="",0,SUMIFS(L_VParc,L_Conta,$B29,L_Tipo,"Despesa",L_FIni,"&lt;="&amp;(YEAR(Cfg_Hoje)*12+MONTH(Cfg_Hoje)+2),L_FFim,"&gt;="&amp;(YEAR(Cfg_Hoje)*12+MONTH(Cfg_Hoje)+2)))</f>
        <v>0</v>
      </c>
      <c r="F29" s="43">
        <f>IF($B29="",0,SUMIFS(L_VParc,L_Conta,$B29,L_Tipo,"Despesa",L_FIni,"&lt;="&amp;(YEAR(Cfg_Hoje)*12+MONTH(Cfg_Hoje)+3),L_FFim,"&gt;="&amp;(YEAR(Cfg_Hoje)*12+MONTH(Cfg_Hoje)+3)))</f>
        <v>0</v>
      </c>
      <c r="G29" s="43">
        <f>IF($B29="",0,SUMIFS(L_VParc,L_Conta,$B29,L_Tipo,"Despesa",L_FIni,"&lt;="&amp;(YEAR(Cfg_Hoje)*12+MONTH(Cfg_Hoje)+4),L_FFim,"&gt;="&amp;(YEAR(Cfg_Hoje)*12+MONTH(Cfg_Hoje)+4)))</f>
        <v>0</v>
      </c>
      <c r="H29" s="43">
        <f>IF($B29="",0,SUMIFS(L_VParc,L_Conta,$B29,L_Tipo,"Despesa",L_FIni,"&lt;="&amp;(YEAR(Cfg_Hoje)*12+MONTH(Cfg_Hoje)+5),L_FFim,"&gt;="&amp;(YEAR(Cfg_Hoje)*12+MONTH(Cfg_Hoje)+5)))</f>
        <v>0</v>
      </c>
      <c r="I29" s="43">
        <f>IF($B29="",0,SUMIFS(L_VParc,L_Conta,$B29,L_Tipo,"Despesa",L_FIni,"&lt;="&amp;(YEAR(Cfg_Hoje)*12+MONTH(Cfg_Hoje)+6),L_FFim,"&gt;="&amp;(YEAR(Cfg_Hoje)*12+MONTH(Cfg_Hoje)+6)))</f>
        <v>0</v>
      </c>
      <c r="J29" s="43">
        <f>IF($B29="",0,SUMIFS(L_VParc,L_Conta,$B29,L_Tipo,"Despesa",L_FIni,"&lt;="&amp;(YEAR(Cfg_Hoje)*12+MONTH(Cfg_Hoje)+7),L_FFim,"&gt;="&amp;(YEAR(Cfg_Hoje)*12+MONTH(Cfg_Hoje)+7)))</f>
        <v>0</v>
      </c>
      <c r="K29" s="43">
        <f>IF($B29="",0,SUMIFS(L_VParc,L_Conta,$B29,L_Tipo,"Despesa",L_FIni,"&lt;="&amp;(YEAR(Cfg_Hoje)*12+MONTH(Cfg_Hoje)+8),L_FFim,"&gt;="&amp;(YEAR(Cfg_Hoje)*12+MONTH(Cfg_Hoje)+8)))</f>
        <v>0</v>
      </c>
      <c r="L29" s="43">
        <f>IF($B29="",0,SUMIFS(L_VParc,L_Conta,$B29,L_Tipo,"Despesa",L_FIni,"&lt;="&amp;(YEAR(Cfg_Hoje)*12+MONTH(Cfg_Hoje)+9),L_FFim,"&gt;="&amp;(YEAR(Cfg_Hoje)*12+MONTH(Cfg_Hoje)+9)))</f>
        <v>0</v>
      </c>
      <c r="M29" s="43">
        <f>IF($B29="",0,SUMIFS(L_VParc,L_Conta,$B29,L_Tipo,"Despesa",L_FIni,"&lt;="&amp;(YEAR(Cfg_Hoje)*12+MONTH(Cfg_Hoje)+10),L_FFim,"&gt;="&amp;(YEAR(Cfg_Hoje)*12+MONTH(Cfg_Hoje)+10)))</f>
        <v>0</v>
      </c>
      <c r="N29" s="43">
        <f>IF($B29="",0,SUMIFS(L_VParc,L_Conta,$B29,L_Tipo,"Despesa",L_FIni,"&lt;="&amp;(YEAR(Cfg_Hoje)*12+MONTH(Cfg_Hoje)+11),L_FFim,"&gt;="&amp;(YEAR(Cfg_Hoje)*12+MONTH(Cfg_Hoje)+11)))</f>
        <v>0</v>
      </c>
      <c r="O29" s="79">
        <f>SUM(C29:N29)</f>
        <v>0</v>
      </c>
    </row>
    <row r="30">
      <c r="B30" s="9" t="inlineStr">
        <is>
          <t>Total do mês</t>
        </is>
      </c>
      <c r="C30" s="79">
        <f>SUM(C22:C29)</f>
        <v>5067.35</v>
      </c>
      <c r="D30" s="79">
        <f>SUM(D22:D29)</f>
        <v>964.9</v>
      </c>
      <c r="E30" s="79">
        <f>SUM(E22:E29)</f>
        <v>500</v>
      </c>
      <c r="F30" s="79">
        <f>SUM(F22:F29)</f>
        <v>500</v>
      </c>
      <c r="G30" s="79">
        <f>SUM(G22:G29)</f>
        <v>500</v>
      </c>
      <c r="H30" s="79">
        <f>SUM(H22:H29)</f>
        <v>200</v>
      </c>
      <c r="I30" s="79">
        <f>SUM(I22:I29)</f>
        <v>200</v>
      </c>
      <c r="J30" s="79">
        <f>SUM(J22:J29)</f>
        <v>0</v>
      </c>
      <c r="K30" s="79">
        <f>SUM(K22:K29)</f>
        <v>0</v>
      </c>
      <c r="L30" s="79">
        <f>SUM(L22:L29)</f>
        <v>0</v>
      </c>
      <c r="M30" s="79">
        <f>SUM(M22:M29)</f>
        <v>0</v>
      </c>
      <c r="N30" s="79">
        <f>SUM(N22:N29)</f>
        <v>0</v>
      </c>
      <c r="O30" s="79">
        <f>SUM(O22:O29)</f>
        <v>7932.25</v>
      </c>
    </row>
    <row r="31">
      <c r="B31" s="28" t="inlineStr">
        <is>
          <t>Cada coluna mostra a fatura do mês indicado (fatura que fecha naquele mês), a partir do mês de hoje, com as parcelas já lançadas em LANÇAMENTOS.</t>
        </is>
      </c>
    </row>
    <row r="33">
      <c r="B33" s="6" t="inlineStr">
        <is>
          <t>3. Comparativo de gastos entre cartões (mês selecionado)</t>
        </is>
      </c>
    </row>
    <row r="34">
      <c r="B34" s="7" t="inlineStr">
        <is>
          <t>Cartão</t>
        </is>
      </c>
      <c r="C34" s="7" t="inlineStr">
        <is>
          <t>Gasto no mês</t>
        </is>
      </c>
      <c r="D34" s="7" t="inlineStr">
        <is>
          <t>% do total</t>
        </is>
      </c>
      <c r="E34" s="7" t="inlineStr">
        <is>
          <t>Ranking</t>
        </is>
      </c>
    </row>
    <row r="35">
      <c r="B35" s="14" t="str">
        <f>B9</f>
        <v>Cartão Roxinho</v>
      </c>
      <c r="C35" s="43">
        <f>M9</f>
        <v>1262.38</v>
      </c>
      <c r="D35" s="73">
        <f>IFERROR(C35/$M$17,0)</f>
        <v>0.298425111225633</v>
      </c>
      <c r="E35" s="69">
        <f>IF(OR($B35="",C35=0),"",RANK(C35,$C$35:$C$42)+COUNTIF($C$35:C35,C35)-1)</f>
        <v>2</v>
      </c>
    </row>
    <row r="36">
      <c r="B36" s="14" t="str">
        <f>B10</f>
        <v>Cartão Azul Gold</v>
      </c>
      <c r="C36" s="43">
        <f>M10</f>
        <v>2967.76</v>
      </c>
      <c r="D36" s="73">
        <f>IFERROR(C36/$M$17,0)</f>
        <v>0.701574888774367</v>
      </c>
      <c r="E36" s="69">
        <f>IF(OR($B36="",C36=0),"",RANK(C36,$C$35:$C$42)+COUNTIF($C$35:C36,C36)-1)</f>
        <v>1</v>
      </c>
    </row>
    <row r="37">
      <c r="B37" s="14" t="str">
        <f>B11</f>
        <v/>
      </c>
      <c r="C37" s="43">
        <f>M11</f>
        <v>0</v>
      </c>
      <c r="D37" s="73">
        <f>IFERROR(C37/$M$17,0)</f>
        <v>0</v>
      </c>
      <c r="E37" s="69" t="str">
        <f>IF(OR($B37="",C37=0),"",RANK(C37,$C$35:$C$42)+COUNTIF($C$35:C37,C37)-1)</f>
        <v/>
      </c>
    </row>
    <row r="38">
      <c r="B38" s="14" t="str">
        <f>B12</f>
        <v/>
      </c>
      <c r="C38" s="43">
        <f>M12</f>
        <v>0</v>
      </c>
      <c r="D38" s="73">
        <f>IFERROR(C38/$M$17,0)</f>
        <v>0</v>
      </c>
      <c r="E38" s="69" t="str">
        <f>IF(OR($B38="",C38=0),"",RANK(C38,$C$35:$C$42)+COUNTIF($C$35:C38,C38)-1)</f>
        <v/>
      </c>
    </row>
    <row r="39">
      <c r="B39" s="14" t="str">
        <f>B13</f>
        <v/>
      </c>
      <c r="C39" s="43">
        <f>M13</f>
        <v>0</v>
      </c>
      <c r="D39" s="73">
        <f>IFERROR(C39/$M$17,0)</f>
        <v>0</v>
      </c>
      <c r="E39" s="69" t="str">
        <f>IF(OR($B39="",C39=0),"",RANK(C39,$C$35:$C$42)+COUNTIF($C$35:C39,C39)-1)</f>
        <v/>
      </c>
    </row>
    <row r="40">
      <c r="B40" s="14" t="str">
        <f>B14</f>
        <v/>
      </c>
      <c r="C40" s="43">
        <f>M14</f>
        <v>0</v>
      </c>
      <c r="D40" s="73">
        <f>IFERROR(C40/$M$17,0)</f>
        <v>0</v>
      </c>
      <c r="E40" s="69" t="str">
        <f>IF(OR($B40="",C40=0),"",RANK(C40,$C$35:$C$42)+COUNTIF($C$35:C40,C40)-1)</f>
        <v/>
      </c>
    </row>
    <row r="41">
      <c r="B41" s="14" t="str">
        <f>B15</f>
        <v/>
      </c>
      <c r="C41" s="43">
        <f>M15</f>
        <v>0</v>
      </c>
      <c r="D41" s="73">
        <f>IFERROR(C41/$M$17,0)</f>
        <v>0</v>
      </c>
      <c r="E41" s="69" t="str">
        <f>IF(OR($B41="",C41=0),"",RANK(C41,$C$35:$C$42)+COUNTIF($C$35:C41,C41)-1)</f>
        <v/>
      </c>
    </row>
    <row r="42">
      <c r="B42" s="14" t="str">
        <f>B16</f>
        <v/>
      </c>
      <c r="C42" s="43">
        <f>M16</f>
        <v>0</v>
      </c>
      <c r="D42" s="73">
        <f>IFERROR(C42/$M$17,0)</f>
        <v>0</v>
      </c>
      <c r="E42" s="69" t="str">
        <f>IF(OR($B42="",C42=0),"",RANK(C42,$C$35:$C$42)+COUNTIF($C$35:C42,C42)-1)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P2"/>
  </mergeCells>
  <conditionalFormatting sqref="B9:O9">
    <cfRule type="expression" priority="1" dxfId="12" stopIfTrue="0">
      <formula>$B9=""</formula>
    </cfRule>
  </conditionalFormatting>
  <conditionalFormatting sqref="B10:O10">
    <cfRule type="expression" priority="2" dxfId="12" stopIfTrue="0">
      <formula>$B10=""</formula>
    </cfRule>
  </conditionalFormatting>
  <conditionalFormatting sqref="B11:O11">
    <cfRule type="expression" priority="3" dxfId="12" stopIfTrue="0">
      <formula>$B11=""</formula>
    </cfRule>
  </conditionalFormatting>
  <conditionalFormatting sqref="B12:O12">
    <cfRule type="expression" priority="4" dxfId="12" stopIfTrue="0">
      <formula>$B12=""</formula>
    </cfRule>
  </conditionalFormatting>
  <conditionalFormatting sqref="B13:O13">
    <cfRule type="expression" priority="5" dxfId="12" stopIfTrue="0">
      <formula>$B13=""</formula>
    </cfRule>
  </conditionalFormatting>
  <conditionalFormatting sqref="B14:O14">
    <cfRule type="expression" priority="6" dxfId="12" stopIfTrue="0">
      <formula>$B14=""</formula>
    </cfRule>
  </conditionalFormatting>
  <conditionalFormatting sqref="B15:O15">
    <cfRule type="expression" priority="7" dxfId="12" stopIfTrue="0">
      <formula>$B15=""</formula>
    </cfRule>
  </conditionalFormatting>
  <conditionalFormatting sqref="B16:O16">
    <cfRule type="expression" priority="8" dxfId="12" stopIfTrue="0">
      <formula>$B16=""</formula>
    </cfRule>
  </conditionalFormatting>
  <conditionalFormatting sqref="F9:F16">
    <cfRule type="expression" priority="9" dxfId="7" stopIfTrue="0">
      <formula>AND($B9&lt;&gt;"",F9&gt;=0.9)</formula>
    </cfRule>
    <cfRule type="expression" priority="10" dxfId="0" stopIfTrue="0">
      <formula>AND($B9&lt;&gt;"",F9&gt;Cfg_LimCartao,F9&lt;0.9)</formula>
    </cfRule>
    <cfRule type="expression" priority="11" dxfId="1" stopIfTrue="0">
      <formula>AND($B9&lt;&gt;"",F9&lt;=Cfg_LimCartao)</formula>
    </cfRule>
  </conditionalFormatting>
  <conditionalFormatting sqref="N9:N16">
    <cfRule type="expression" priority="12" dxfId="0" stopIfTrue="0">
      <formula>LEFT(N9,1)="⚠"</formula>
    </cfRule>
  </conditionalFormatting>
  <conditionalFormatting sqref="J9:K16">
    <cfRule type="expression" priority="13" dxfId="0" stopIfTrue="0">
      <formula>AND(ISNUMBER(J9),J9-Cfg_Hoje&lt;=7,J9&gt;=Cfg_Hoje)</formula>
    </cfRule>
    <cfRule type="expression" priority="14" dxfId="20" stopIfTrue="0">
      <formula>AND(ISNUMBER(J9),J9&lt;Cfg_Hoje)</formula>
    </cfRule>
  </conditionalFormatting>
  <conditionalFormatting sqref="B22:O22">
    <cfRule type="expression" priority="15" dxfId="12" stopIfTrue="0">
      <formula>$B22=""</formula>
    </cfRule>
  </conditionalFormatting>
  <conditionalFormatting sqref="B23:O23">
    <cfRule type="expression" priority="16" dxfId="12" stopIfTrue="0">
      <formula>$B23=""</formula>
    </cfRule>
  </conditionalFormatting>
  <conditionalFormatting sqref="B24:O24">
    <cfRule type="expression" priority="17" dxfId="12" stopIfTrue="0">
      <formula>$B24=""</formula>
    </cfRule>
  </conditionalFormatting>
  <conditionalFormatting sqref="B25:O25">
    <cfRule type="expression" priority="18" dxfId="12" stopIfTrue="0">
      <formula>$B25=""</formula>
    </cfRule>
  </conditionalFormatting>
  <conditionalFormatting sqref="B26:O26">
    <cfRule type="expression" priority="19" dxfId="12" stopIfTrue="0">
      <formula>$B26=""</formula>
    </cfRule>
  </conditionalFormatting>
  <conditionalFormatting sqref="B27:O27">
    <cfRule type="expression" priority="20" dxfId="12" stopIfTrue="0">
      <formula>$B27=""</formula>
    </cfRule>
  </conditionalFormatting>
  <conditionalFormatting sqref="B28:O28">
    <cfRule type="expression" priority="21" dxfId="12" stopIfTrue="0">
      <formula>$B28=""</formula>
    </cfRule>
  </conditionalFormatting>
  <conditionalFormatting sqref="B29:O29">
    <cfRule type="expression" priority="22" dxfId="12" stopIfTrue="0">
      <formula>$B29=""</formula>
    </cfRule>
  </conditionalFormatting>
  <conditionalFormatting sqref="B35:E35">
    <cfRule type="expression" priority="23" dxfId="12" stopIfTrue="0">
      <formula>$B35=""</formula>
    </cfRule>
  </conditionalFormatting>
  <conditionalFormatting sqref="B36:E36">
    <cfRule type="expression" priority="24" dxfId="12" stopIfTrue="0">
      <formula>$B36=""</formula>
    </cfRule>
  </conditionalFormatting>
  <conditionalFormatting sqref="B37:E37">
    <cfRule type="expression" priority="25" dxfId="12" stopIfTrue="0">
      <formula>$B37=""</formula>
    </cfRule>
  </conditionalFormatting>
  <conditionalFormatting sqref="B38:E38">
    <cfRule type="expression" priority="26" dxfId="12" stopIfTrue="0">
      <formula>$B38=""</formula>
    </cfRule>
  </conditionalFormatting>
  <conditionalFormatting sqref="B39:E39">
    <cfRule type="expression" priority="27" dxfId="12" stopIfTrue="0">
      <formula>$B39=""</formula>
    </cfRule>
  </conditionalFormatting>
  <conditionalFormatting sqref="B40:E40">
    <cfRule type="expression" priority="28" dxfId="12" stopIfTrue="0">
      <formula>$B40=""</formula>
    </cfRule>
  </conditionalFormatting>
  <conditionalFormatting sqref="B41:E41">
    <cfRule type="expression" priority="29" dxfId="12" stopIfTrue="0">
      <formula>$B41=""</formula>
    </cfRule>
  </conditionalFormatting>
  <conditionalFormatting sqref="B42:E42">
    <cfRule type="expression" priority="30" dxfId="12" stopIfTrue="0">
      <formula>$B42=""</formula>
    </cfRule>
  </conditionalFormatting>
  <conditionalFormatting sqref="C35:C42">
    <cfRule type="dataBar" priority="31">
      <dataBar>
        <cfvo type="num" val="0"/>
        <cfvo type="max"/>
        <color rgb="00D64545"/>
      </dataBar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DÍVIDAS E FINANCIAMENTOS'!A1" display="Dívida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D64545"/>
    <outlinePr summaryBelow="1" summaryRight="1"/>
    <pageSetUpPr fitToPage="1"/>
  </sheetPr>
  <dimension ref="B1:Q190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24" customWidth="1" min="3" max="3"/>
    <col width="15" customWidth="1" min="4" max="4"/>
    <col width="15" customWidth="1" min="5" max="5"/>
    <col width="14" customWidth="1" min="6" max="6"/>
    <col width="13" customWidth="1" min="7" max="7"/>
    <col width="13" customWidth="1" min="8" max="8"/>
    <col width="11" customWidth="1" min="9" max="9"/>
    <col width="11" customWidth="1" min="10" max="10"/>
    <col width="13" customWidth="1" min="11" max="11"/>
    <col width="11" customWidth="1" min="12" max="12"/>
    <col width="13" customWidth="1" min="13" max="13"/>
    <col width="15" customWidth="1" min="14" max="14"/>
    <col width="11" customWidth="1" min="15" max="15"/>
    <col width="22" customWidth="1" min="16" max="16"/>
  </cols>
  <sheetData>
    <row r="1" ht="30" customHeight="1">
      <c r="B1" s="1" t="inlineStr">
        <is>
          <t>DÍVIDAS E FINANCIAMENTOS</t>
        </is>
      </c>
    </row>
    <row r="2" ht="32" customHeight="1">
      <c r="B2" s="2" t="inlineStr">
        <is>
          <t>Cadastre suas dívidas (células azuis). A planilha calcula quitação, tabelas de amortização (Price e SAC) e simula Bola de Neve x Avalanche com um valor extra por mês.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Investimentos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K)</t>
        </is>
      </c>
    </row>
    <row r="6">
      <c r="B6" s="6" t="inlineStr">
        <is>
          <t>1. Cadastro de dívidas</t>
        </is>
      </c>
    </row>
    <row r="8" ht="46" customHeight="1">
      <c r="B8" s="7" t="inlineStr">
        <is>
          <t>Credor / dívida</t>
        </is>
      </c>
      <c r="C8" s="7" t="inlineStr">
        <is>
          <t>Tipo</t>
        </is>
      </c>
      <c r="D8" s="7" t="inlineStr">
        <is>
          <t>Valor original</t>
        </is>
      </c>
      <c r="E8" s="7" t="inlineStr">
        <is>
          <t>Saldo devedor</t>
        </is>
      </c>
      <c r="F8" s="7" t="inlineStr">
        <is>
          <t>Taxa de juros (mês)</t>
        </is>
      </c>
      <c r="G8" s="7" t="inlineStr">
        <is>
          <t>Parcela</t>
        </is>
      </c>
      <c r="H8" s="7" t="inlineStr">
        <is>
          <t>Nº de parcelas</t>
        </is>
      </c>
      <c r="I8" s="7" t="inlineStr">
        <is>
          <t>Parcelas pagas</t>
        </is>
      </c>
      <c r="J8" s="7" t="inlineStr">
        <is>
          <t>Sistema</t>
        </is>
      </c>
      <c r="K8" s="7" t="inlineStr">
        <is>
          <t>Status</t>
        </is>
      </c>
      <c r="L8" s="7" t="inlineStr">
        <is>
          <t>Parcelas restantes</t>
        </is>
      </c>
      <c r="M8" s="7" t="inlineStr">
        <is>
          <t>Quitação prevista</t>
        </is>
      </c>
      <c r="N8" s="7" t="inlineStr">
        <is>
          <t>Juros restantes (est.)</t>
        </is>
      </c>
      <c r="O8" s="7" t="inlineStr">
        <is>
          <t>% já pago</t>
        </is>
      </c>
      <c r="P8" s="7" t="inlineStr">
        <is>
          <t>Situação</t>
        </is>
      </c>
    </row>
    <row r="9">
      <c r="B9" s="34" t="inlineStr">
        <is>
          <t>Financiamento do carro</t>
        </is>
      </c>
      <c r="C9" s="34" t="inlineStr">
        <is>
          <t>Financiamento veículo</t>
        </is>
      </c>
      <c r="D9" s="35" t="n">
        <v>45000</v>
      </c>
      <c r="E9" s="35" t="n">
        <v>28400</v>
      </c>
      <c r="F9" s="94" t="n">
        <v>0.02</v>
      </c>
      <c r="G9" s="35" t="n">
        <v>1150</v>
      </c>
      <c r="H9" s="37" t="n">
        <v>48</v>
      </c>
      <c r="I9" s="37" t="n">
        <v>18</v>
      </c>
      <c r="J9" s="34" t="inlineStr">
        <is>
          <t>Price</t>
        </is>
      </c>
      <c r="K9" s="34" t="inlineStr">
        <is>
          <t>Em dia</t>
        </is>
      </c>
      <c r="L9" s="40">
        <f>IF($B9="",0,MAX(0,N(H9)-N(I9)))</f>
        <v>30</v>
      </c>
      <c r="M9" s="91">
        <f>IF(OR($B9="",L9=0,K9="Quitada"),"",EDATE(Cfg_Hoje,L9))</f>
        <v>47211.0</v>
      </c>
      <c r="N9" s="43">
        <f>IF($B9="",0,MAX(0,N(G9)*L9-N(E9)))</f>
        <v>6100</v>
      </c>
      <c r="O9" s="73">
        <f>IF(N(D9)=0,0,MAX(0,1-N(E9)/D9))</f>
        <v>0.368888888888889</v>
      </c>
      <c r="P9" s="14" t="str">
        <f>IF($B9="","",IF(K9="Quitada","✔ Quitada",IF(K9="Atrasada","⚠ Atrasada",IF(N(F9)&gt;0.03,"⚠ Juros altos","Em dia"))))</f>
        <v>Em dia</v>
      </c>
    </row>
    <row r="10">
      <c r="B10" s="34" t="inlineStr">
        <is>
          <t>Empréstimo pessoal</t>
        </is>
      </c>
      <c r="C10" s="34" t="inlineStr">
        <is>
          <t>Empréstimo</t>
        </is>
      </c>
      <c r="D10" s="35" t="n">
        <v>10000</v>
      </c>
      <c r="E10" s="35" t="n">
        <v>6100</v>
      </c>
      <c r="F10" s="94" t="n">
        <v>0.016</v>
      </c>
      <c r="G10" s="35" t="n">
        <v>580</v>
      </c>
      <c r="H10" s="37" t="n">
        <v>24</v>
      </c>
      <c r="I10" s="37" t="n">
        <v>12</v>
      </c>
      <c r="J10" s="34" t="inlineStr">
        <is>
          <t>Price</t>
        </is>
      </c>
      <c r="K10" s="34" t="inlineStr">
        <is>
          <t>Em dia</t>
        </is>
      </c>
      <c r="L10" s="40">
        <f>IF($B10="",0,MAX(0,N(H10)-N(I10)))</f>
        <v>12</v>
      </c>
      <c r="M10" s="91">
        <f>IF(OR($B10="",L10=0,K10="Quitada"),"",EDATE(Cfg_Hoje,L10))</f>
        <v>46663.0</v>
      </c>
      <c r="N10" s="43">
        <f>IF($B10="",0,MAX(0,N(G10)*L10-N(E10)))</f>
        <v>860</v>
      </c>
      <c r="O10" s="73">
        <f>IF(N(D10)=0,0,MAX(0,1-N(E10)/D10))</f>
        <v>0.39</v>
      </c>
      <c r="P10" s="14" t="str">
        <f>IF($B10="","",IF(K10="Quitada","✔ Quitada",IF(K10="Atrasada","⚠ Atrasada",IF(N(F10)&gt;0.03,"⚠ Juros altos","Em dia"))))</f>
        <v>Em dia</v>
      </c>
    </row>
    <row r="11">
      <c r="B11" s="34" t="inlineStr">
        <is>
          <t>Renegociação da fatura</t>
        </is>
      </c>
      <c r="C11" s="34" t="inlineStr">
        <is>
          <t>Cartão/Fatura parcelada</t>
        </is>
      </c>
      <c r="D11" s="35" t="n">
        <v>3200</v>
      </c>
      <c r="E11" s="35" t="n">
        <v>2600</v>
      </c>
      <c r="F11" s="94" t="n">
        <v>0.035</v>
      </c>
      <c r="G11" s="35" t="n">
        <v>460</v>
      </c>
      <c r="H11" s="37" t="n">
        <v>12</v>
      </c>
      <c r="I11" s="37" t="n">
        <v>4</v>
      </c>
      <c r="J11" s="34" t="inlineStr">
        <is>
          <t>Price</t>
        </is>
      </c>
      <c r="K11" s="34" t="inlineStr">
        <is>
          <t>Em dia</t>
        </is>
      </c>
      <c r="L11" s="40">
        <f>IF($B11="",0,MAX(0,N(H11)-N(I11)))</f>
        <v>8</v>
      </c>
      <c r="M11" s="91">
        <f>IF(OR($B11="",L11=0,K11="Quitada"),"",EDATE(Cfg_Hoje,L11))</f>
        <v>46541.0</v>
      </c>
      <c r="N11" s="43">
        <f>IF($B11="",0,MAX(0,N(G11)*L11-N(E11)))</f>
        <v>1080</v>
      </c>
      <c r="O11" s="73">
        <f>IF(N(D11)=0,0,MAX(0,1-N(E11)/D11))</f>
        <v>0.1875</v>
      </c>
      <c r="P11" s="14" t="str">
        <f>IF($B11="","",IF(K11="Quitada","✔ Quitada",IF(K11="Atrasada","⚠ Atrasada",IF(N(F11)&gt;0.03,"⚠ Juros altos","Em dia"))))</f>
        <v>⚠ Juros altos</v>
      </c>
    </row>
    <row r="12">
      <c r="B12" s="34" t="n"/>
      <c r="C12" s="34" t="n"/>
      <c r="D12" s="35" t="n"/>
      <c r="E12" s="35" t="n"/>
      <c r="F12" s="94" t="n"/>
      <c r="G12" s="35" t="n"/>
      <c r="H12" s="37" t="n"/>
      <c r="I12" s="37" t="n"/>
      <c r="J12" s="34" t="n"/>
      <c r="K12" s="34" t="n"/>
      <c r="L12" s="40">
        <f>IF($B12="",0,MAX(0,N(H12)-N(I12)))</f>
        <v>0</v>
      </c>
      <c r="M12" s="91" t="str">
        <f>IF(OR($B12="",L12=0,K12="Quitada"),"",EDATE(Cfg_Hoje,L12))</f>
        <v/>
      </c>
      <c r="N12" s="43">
        <f>IF($B12="",0,MAX(0,N(G12)*L12-N(E12)))</f>
        <v>0</v>
      </c>
      <c r="O12" s="73">
        <f>IF(N(D12)=0,0,MAX(0,1-N(E12)/D12))</f>
        <v>0</v>
      </c>
      <c r="P12" s="14" t="str">
        <f>IF($B12="","",IF(K12="Quitada","✔ Quitada",IF(K12="Atrasada","⚠ Atrasada",IF(N(F12)&gt;0.03,"⚠ Juros altos","Em dia"))))</f>
        <v/>
      </c>
    </row>
    <row r="13">
      <c r="B13" s="34" t="n"/>
      <c r="C13" s="34" t="n"/>
      <c r="D13" s="35" t="n"/>
      <c r="E13" s="35" t="n"/>
      <c r="F13" s="94" t="n"/>
      <c r="G13" s="35" t="n"/>
      <c r="H13" s="37" t="n"/>
      <c r="I13" s="37" t="n"/>
      <c r="J13" s="34" t="n"/>
      <c r="K13" s="34" t="n"/>
      <c r="L13" s="40">
        <f>IF($B13="",0,MAX(0,N(H13)-N(I13)))</f>
        <v>0</v>
      </c>
      <c r="M13" s="91" t="str">
        <f>IF(OR($B13="",L13=0,K13="Quitada"),"",EDATE(Cfg_Hoje,L13))</f>
        <v/>
      </c>
      <c r="N13" s="43">
        <f>IF($B13="",0,MAX(0,N(G13)*L13-N(E13)))</f>
        <v>0</v>
      </c>
      <c r="O13" s="73">
        <f>IF(N(D13)=0,0,MAX(0,1-N(E13)/D13))</f>
        <v>0</v>
      </c>
      <c r="P13" s="14" t="str">
        <f>IF($B13="","",IF(K13="Quitada","✔ Quitada",IF(K13="Atrasada","⚠ Atrasada",IF(N(F13)&gt;0.03,"⚠ Juros altos","Em dia"))))</f>
        <v/>
      </c>
    </row>
    <row r="14">
      <c r="B14" s="34" t="n"/>
      <c r="C14" s="34" t="n"/>
      <c r="D14" s="35" t="n"/>
      <c r="E14" s="35" t="n"/>
      <c r="F14" s="94" t="n"/>
      <c r="G14" s="35" t="n"/>
      <c r="H14" s="37" t="n"/>
      <c r="I14" s="37" t="n"/>
      <c r="J14" s="34" t="n"/>
      <c r="K14" s="34" t="n"/>
      <c r="L14" s="40">
        <f>IF($B14="",0,MAX(0,N(H14)-N(I14)))</f>
        <v>0</v>
      </c>
      <c r="M14" s="91" t="str">
        <f>IF(OR($B14="",L14=0,K14="Quitada"),"",EDATE(Cfg_Hoje,L14))</f>
        <v/>
      </c>
      <c r="N14" s="43">
        <f>IF($B14="",0,MAX(0,N(G14)*L14-N(E14)))</f>
        <v>0</v>
      </c>
      <c r="O14" s="73">
        <f>IF(N(D14)=0,0,MAX(0,1-N(E14)/D14))</f>
        <v>0</v>
      </c>
      <c r="P14" s="14" t="str">
        <f>IF($B14="","",IF(K14="Quitada","✔ Quitada",IF(K14="Atrasada","⚠ Atrasada",IF(N(F14)&gt;0.03,"⚠ Juros altos","Em dia"))))</f>
        <v/>
      </c>
    </row>
    <row r="15">
      <c r="B15" s="34" t="n"/>
      <c r="C15" s="34" t="n"/>
      <c r="D15" s="35" t="n"/>
      <c r="E15" s="35" t="n"/>
      <c r="F15" s="94" t="n"/>
      <c r="G15" s="35" t="n"/>
      <c r="H15" s="37" t="n"/>
      <c r="I15" s="37" t="n"/>
      <c r="J15" s="34" t="n"/>
      <c r="K15" s="34" t="n"/>
      <c r="L15" s="40">
        <f>IF($B15="",0,MAX(0,N(H15)-N(I15)))</f>
        <v>0</v>
      </c>
      <c r="M15" s="91" t="str">
        <f>IF(OR($B15="",L15=0,K15="Quitada"),"",EDATE(Cfg_Hoje,L15))</f>
        <v/>
      </c>
      <c r="N15" s="43">
        <f>IF($B15="",0,MAX(0,N(G15)*L15-N(E15)))</f>
        <v>0</v>
      </c>
      <c r="O15" s="73">
        <f>IF(N(D15)=0,0,MAX(0,1-N(E15)/D15))</f>
        <v>0</v>
      </c>
      <c r="P15" s="14" t="str">
        <f>IF($B15="","",IF(K15="Quitada","✔ Quitada",IF(K15="Atrasada","⚠ Atrasada",IF(N(F15)&gt;0.03,"⚠ Juros altos","Em dia"))))</f>
        <v/>
      </c>
    </row>
    <row r="16">
      <c r="B16" s="34" t="n"/>
      <c r="C16" s="34" t="n"/>
      <c r="D16" s="35" t="n"/>
      <c r="E16" s="35" t="n"/>
      <c r="F16" s="94" t="n"/>
      <c r="G16" s="35" t="n"/>
      <c r="H16" s="37" t="n"/>
      <c r="I16" s="37" t="n"/>
      <c r="J16" s="34" t="n"/>
      <c r="K16" s="34" t="n"/>
      <c r="L16" s="40">
        <f>IF($B16="",0,MAX(0,N(H16)-N(I16)))</f>
        <v>0</v>
      </c>
      <c r="M16" s="91" t="str">
        <f>IF(OR($B16="",L16=0,K16="Quitada"),"",EDATE(Cfg_Hoje,L16))</f>
        <v/>
      </c>
      <c r="N16" s="43">
        <f>IF($B16="",0,MAX(0,N(G16)*L16-N(E16)))</f>
        <v>0</v>
      </c>
      <c r="O16" s="73">
        <f>IF(N(D16)=0,0,MAX(0,1-N(E16)/D16))</f>
        <v>0</v>
      </c>
      <c r="P16" s="14" t="str">
        <f>IF($B16="","",IF(K16="Quitada","✔ Quitada",IF(K16="Atrasada","⚠ Atrasada",IF(N(F16)&gt;0.03,"⚠ Juros altos","Em dia"))))</f>
        <v/>
      </c>
    </row>
    <row r="17">
      <c r="B17" s="9" t="inlineStr">
        <is>
          <t>Total (dívidas não quitadas)</t>
        </is>
      </c>
      <c r="D17" s="79">
        <f>SUMIFS(D9:D16,K9:K16,"&lt;&gt;Quitada")</f>
        <v>58200</v>
      </c>
      <c r="E17" s="79">
        <f>SUMIFS(E9:E16,K9:K16,"&lt;&gt;Quitada")</f>
        <v>37100</v>
      </c>
      <c r="G17" s="79">
        <f>SUMIFS(G9:G16,K9:K16,"&lt;&gt;Quitada")</f>
        <v>2190</v>
      </c>
      <c r="N17" s="79">
        <f>SUMIFS(N9:N16,K9:K16,"&lt;&gt;Quitada")</f>
        <v>8040</v>
      </c>
    </row>
    <row r="19">
      <c r="B19" s="6" t="inlineStr">
        <is>
          <t>2. Indicador de endividamento</t>
        </is>
      </c>
    </row>
    <row r="20">
      <c r="B20" s="17" t="inlineStr">
        <is>
          <t>Renda mensal considerada</t>
        </is>
      </c>
      <c r="D20" s="79">
        <f>IF(Cfg_Renda&gt;0,Cfg_Renda,K_Med3Rec)</f>
        <v>12800</v>
      </c>
    </row>
    <row r="21">
      <c r="B21" s="17" t="inlineStr">
        <is>
          <t>Dívidas totais ÷ renda anual</t>
        </is>
      </c>
      <c r="D21" s="83">
        <f>IFERROR(Div_Total/(Div_Renda*12),0)</f>
        <v>0.241536458333333</v>
      </c>
      <c r="E21" s="14" t="str">
        <f>IF(Div_PctDiv&gt;Div_Lim,"⚠ Acima do limite","✔ Ok")</f>
        <v>✔ Ok</v>
      </c>
    </row>
    <row r="22">
      <c r="B22" s="17" t="inlineStr">
        <is>
          <t>Parcelas mensais ÷ renda mensal</t>
        </is>
      </c>
      <c r="D22" s="83">
        <f>IFERROR(Div_ParcTot/Div_Renda,0)</f>
        <v>0.17109375</v>
      </c>
      <c r="E22" s="14" t="str">
        <f>IF(Div_PctParc&gt;Div_Lim,"⚠ Acima do limite","✔ Ok")</f>
        <v>✔ Ok</v>
      </c>
    </row>
    <row r="23">
      <c r="B23" s="17" t="inlineStr">
        <is>
          <t>Limite de alerta</t>
        </is>
      </c>
      <c r="D23" s="83">
        <f>IF(Cfg_LimDiv=0,0.3,Cfg_LimDiv)</f>
        <v>0.3</v>
      </c>
    </row>
    <row r="26">
      <c r="B26" s="6" t="inlineStr">
        <is>
          <t>3. Simulador de quitação: Bola de Neve x Avalanche</t>
        </is>
      </c>
    </row>
    <row r="27">
      <c r="B27" s="5" t="inlineStr">
        <is>
          <t>Quanto posso pagar a MAIS por mês (R$):</t>
        </is>
      </c>
      <c r="D27" s="35" t="n">
        <v>600</v>
      </c>
      <c r="E27" s="28" t="inlineStr">
        <is>
          <t>← digite aqui. Bola de Neve: quita primeiro o MENOR saldo. Avalanche: primeiro os MAIORES juros. As parcelas liberadas rolam para a próxima dívida.</t>
        </is>
      </c>
    </row>
    <row r="29" ht="46" customHeight="1">
      <c r="B29" s="7" t="inlineStr">
        <is>
          <t>Método</t>
        </is>
      </c>
      <c r="C29" s="7" t="inlineStr">
        <is>
          <t>Meses para quitar tudo</t>
        </is>
      </c>
      <c r="D29" s="7" t="inlineStr">
        <is>
          <t>Data de quitação</t>
        </is>
      </c>
      <c r="E29" s="7" t="inlineStr">
        <is>
          <t>Total pago</t>
        </is>
      </c>
      <c r="F29" s="7" t="inlineStr">
        <is>
          <t>Juros pagos</t>
        </is>
      </c>
      <c r="G29" s="7" t="inlineStr">
        <is>
          <t>Economia de juros vs. mínimo</t>
        </is>
      </c>
      <c r="H29" s="7" t="inlineStr">
        <is>
          <t>Meses economizados</t>
        </is>
      </c>
    </row>
    <row r="30">
      <c r="B30" s="9" t="inlineStr">
        <is>
          <t>Pagamento mínimo</t>
        </is>
      </c>
      <c r="C30" s="69">
        <f>SimMin_Meses</f>
        <v>35</v>
      </c>
      <c r="D30" s="91">
        <f>IF(ISNUMBER(C30),IF(C30=0,"—",EDATE(Cfg_Hoje,C30)),"não quita em "&amp;10&amp;" anos")</f>
        <v>47364.0</v>
      </c>
      <c r="E30" s="43">
        <f>SimMin_Pago</f>
        <v>49236.2258909633</v>
      </c>
      <c r="F30" s="43">
        <f>SimMin_Juros</f>
        <v>12136.2258909633</v>
      </c>
      <c r="G30" s="79">
        <f>SimMin_Juros-SimMin_Juros</f>
        <v>0</v>
      </c>
      <c r="H30" s="69">
        <f>IF(AND(ISNUMBER(SimMin_Meses),ISNUMBER(C30)),SimMin_Meses-C30,"—")</f>
        <v>0</v>
      </c>
    </row>
    <row r="31">
      <c r="B31" s="9" t="inlineStr">
        <is>
          <t>Bola de Neve (menor saldo primeiro)</t>
        </is>
      </c>
      <c r="C31" s="69">
        <f>SimSnow_Meses</f>
        <v>16</v>
      </c>
      <c r="D31" s="91">
        <f>IF(ISNUMBER(C31),IF(C31=0,"—",EDATE(Cfg_Hoje,C31)),"não quita em "&amp;10&amp;" anos")</f>
        <v>46786.0</v>
      </c>
      <c r="E31" s="43">
        <f>SimSnow_Pago</f>
        <v>43534.9926341504</v>
      </c>
      <c r="F31" s="43">
        <f>SimSnow_Juros</f>
        <v>6434.9926341504</v>
      </c>
      <c r="G31" s="79">
        <f>SimMin_Juros-SimSnow_Juros</f>
        <v>5701.23325681291</v>
      </c>
      <c r="H31" s="69">
        <f>IF(AND(ISNUMBER(SimMin_Meses),ISNUMBER(C31)),SimMin_Meses-C31,"—")</f>
        <v>19</v>
      </c>
    </row>
    <row r="32">
      <c r="B32" s="9" t="inlineStr">
        <is>
          <t>Avalanche (maior juros primeiro)</t>
        </is>
      </c>
      <c r="C32" s="69">
        <f>SimAva_Meses</f>
        <v>16</v>
      </c>
      <c r="D32" s="91">
        <f>IF(ISNUMBER(C32),IF(C32=0,"—",EDATE(Cfg_Hoje,C32)),"não quita em "&amp;10&amp;" anos")</f>
        <v>46786.0</v>
      </c>
      <c r="E32" s="43">
        <f>SimAva_Pago</f>
        <v>43464.9128366749</v>
      </c>
      <c r="F32" s="43">
        <f>SimAva_Juros</f>
        <v>6364.91283667485</v>
      </c>
      <c r="G32" s="79">
        <f>SimMin_Juros-SimAva_Juros</f>
        <v>5771.31305428846</v>
      </c>
      <c r="H32" s="69">
        <f>IF(AND(ISNUMBER(SimMin_Meses),ISNUMBER(C32)),SimMin_Meses-C32,"—")</f>
        <v>19</v>
      </c>
    </row>
    <row r="34" ht="32" customHeight="1">
      <c r="B34" s="7" t="inlineStr">
        <is>
          <t>Dívida</t>
        </is>
      </c>
      <c r="C34" s="7" t="inlineStr">
        <is>
          <t>Saldo devedor</t>
        </is>
      </c>
      <c r="D34" s="7" t="inlineStr">
        <is>
          <t>Quitação: mínimo</t>
        </is>
      </c>
      <c r="E34" s="7" t="inlineStr">
        <is>
          <t>Quitação: Bola de Neve</t>
        </is>
      </c>
      <c r="F34" s="7" t="inlineStr">
        <is>
          <t>Quitação: Avalanche</t>
        </is>
      </c>
      <c r="G34" s="7" t="inlineStr">
        <is>
          <t>Ordem na Bola de Neve</t>
        </is>
      </c>
      <c r="H34" s="7" t="inlineStr">
        <is>
          <t>Ordem na Avalanche</t>
        </is>
      </c>
    </row>
    <row r="35">
      <c r="B35" s="14" t="str">
        <f>IF($B9="","",$B9)</f>
        <v>Financiamento do carro</v>
      </c>
      <c r="C35" s="43">
        <f>IF(OR($B9="",$K9="Quitada"),0,N($E9))</f>
        <v>28400</v>
      </c>
      <c r="D35" s="91">
        <f>IF(C35&lt;=0,"",IFERROR(IF(INDEX(SimMin_MesesPos,1)&gt;120,"&gt; 10 anos",EDATE(Cfg_Hoje,INDEX(SimMin_MesesPos,1))),""))</f>
        <v>47364.0</v>
      </c>
      <c r="E35" s="91">
        <f>IF(C35&lt;=0,"",IFERROR(IF(INDEX(SimSnow_MesesPos,G35)&gt;120,"&gt; 10 anos",EDATE(Cfg_Hoje,INDEX(SimSnow_MesesPos,G35))),""))</f>
        <v>46786.0</v>
      </c>
      <c r="F35" s="91">
        <f>IF(C35&lt;=0,"",IFERROR(IF(INDEX(SimAva_MesesPos,H35)&gt;120,"&gt; 10 anos",EDATE(Cfg_Hoje,INDEX(SimAva_MesesPos,H35))),""))</f>
        <v>46786.0</v>
      </c>
      <c r="G35" s="69">
        <f>IF(C35&lt;=0,"",INDEX(Sim_RankSnow,1))</f>
        <v>3</v>
      </c>
      <c r="H35" s="69">
        <f>IF(C35&lt;=0,"",INDEX(Sim_RankAva,1))</f>
        <v>2</v>
      </c>
    </row>
    <row r="36">
      <c r="B36" s="14" t="str">
        <f>IF($B10="","",$B10)</f>
        <v>Empréstimo pessoal</v>
      </c>
      <c r="C36" s="43">
        <f>IF(OR($B10="",$K10="Quitada"),0,N($E10))</f>
        <v>6100</v>
      </c>
      <c r="D36" s="91">
        <f>IF(C36&lt;=0,"",IFERROR(IF(INDEX(SimMin_MesesPos,2)&gt;120,"&gt; 10 anos",EDATE(Cfg_Hoje,INDEX(SimMin_MesesPos,2))),""))</f>
        <v>46663.0</v>
      </c>
      <c r="E36" s="91">
        <f>IF(C36&lt;=0,"",IFERROR(IF(INDEX(SimSnow_MesesPos,G36)&gt;120,"&gt; 10 anos",EDATE(Cfg_Hoje,INDEX(SimSnow_MesesPos,G36))),""))</f>
        <v>46480.0</v>
      </c>
      <c r="F36" s="91">
        <f>IF(C36&lt;=0,"",IFERROR(IF(INDEX(SimAva_MesesPos,H36)&gt;120,"&gt; 10 anos",EDATE(Cfg_Hoje,INDEX(SimAva_MesesPos,H36))),""))</f>
        <v>46663.0</v>
      </c>
      <c r="G36" s="69">
        <f>IF(C36&lt;=0,"",INDEX(Sim_RankSnow,2))</f>
        <v>2</v>
      </c>
      <c r="H36" s="69">
        <f>IF(C36&lt;=0,"",INDEX(Sim_RankAva,2))</f>
        <v>3</v>
      </c>
    </row>
    <row r="37">
      <c r="B37" s="14" t="str">
        <f>IF($B11="","",$B11)</f>
        <v>Renegociação da fatura</v>
      </c>
      <c r="C37" s="43">
        <f>IF(OR($B11="",$K11="Quitada"),0,N($E11))</f>
        <v>2600</v>
      </c>
      <c r="D37" s="91">
        <f>IF(C37&lt;=0,"",IFERROR(IF(INDEX(SimMin_MesesPos,3)&gt;120,"&gt; 10 anos",EDATE(Cfg_Hoje,INDEX(SimMin_MesesPos,3))),""))</f>
        <v>46510.0</v>
      </c>
      <c r="E37" s="91">
        <f>IF(C37&lt;=0,"",IFERROR(IF(INDEX(SimSnow_MesesPos,G37)&gt;120,"&gt; 10 anos",EDATE(Cfg_Hoje,INDEX(SimSnow_MesesPos,G37))),""))</f>
        <v>46390.0</v>
      </c>
      <c r="F37" s="91">
        <f>IF(C37&lt;=0,"",IFERROR(IF(INDEX(SimAva_MesesPos,H37)&gt;120,"&gt; 10 anos",EDATE(Cfg_Hoje,INDEX(SimAva_MesesPos,H37))),""))</f>
        <v>46390.0</v>
      </c>
      <c r="G37" s="69">
        <f>IF(C37&lt;=0,"",INDEX(Sim_RankSnow,3))</f>
        <v>1</v>
      </c>
      <c r="H37" s="69">
        <f>IF(C37&lt;=0,"",INDEX(Sim_RankAva,3))</f>
        <v>1</v>
      </c>
    </row>
    <row r="38">
      <c r="B38" s="14" t="str">
        <f>IF($B12="","",$B12)</f>
        <v/>
      </c>
      <c r="C38" s="43">
        <f>IF(OR($B12="",$K12="Quitada"),0,N($E12))</f>
        <v>0</v>
      </c>
      <c r="D38" s="91" t="str">
        <f>IF(C38&lt;=0,"",IFERROR(IF(INDEX(SimMin_MesesPos,4)&gt;120,"&gt; 10 anos",EDATE(Cfg_Hoje,INDEX(SimMin_MesesPos,4))),""))</f>
        <v/>
      </c>
      <c r="E38" s="91" t="str">
        <f>IF(C38&lt;=0,"",IFERROR(IF(INDEX(SimSnow_MesesPos,G38)&gt;120,"&gt; 10 anos",EDATE(Cfg_Hoje,INDEX(SimSnow_MesesPos,G38))),""))</f>
        <v/>
      </c>
      <c r="F38" s="91" t="str">
        <f>IF(C38&lt;=0,"",IFERROR(IF(INDEX(SimAva_MesesPos,H38)&gt;120,"&gt; 10 anos",EDATE(Cfg_Hoje,INDEX(SimAva_MesesPos,H38))),""))</f>
        <v/>
      </c>
      <c r="G38" s="69" t="str">
        <f>IF(C38&lt;=0,"",INDEX(Sim_RankSnow,4))</f>
        <v/>
      </c>
      <c r="H38" s="69" t="str">
        <f>IF(C38&lt;=0,"",INDEX(Sim_RankAva,4))</f>
        <v/>
      </c>
    </row>
    <row r="39">
      <c r="B39" s="14" t="str">
        <f>IF($B13="","",$B13)</f>
        <v/>
      </c>
      <c r="C39" s="43">
        <f>IF(OR($B13="",$K13="Quitada"),0,N($E13))</f>
        <v>0</v>
      </c>
      <c r="D39" s="91" t="str">
        <f>IF(C39&lt;=0,"",IFERROR(IF(INDEX(SimMin_MesesPos,5)&gt;120,"&gt; 10 anos",EDATE(Cfg_Hoje,INDEX(SimMin_MesesPos,5))),""))</f>
        <v/>
      </c>
      <c r="E39" s="91" t="str">
        <f>IF(C39&lt;=0,"",IFERROR(IF(INDEX(SimSnow_MesesPos,G39)&gt;120,"&gt; 10 anos",EDATE(Cfg_Hoje,INDEX(SimSnow_MesesPos,G39))),""))</f>
        <v/>
      </c>
      <c r="F39" s="91" t="str">
        <f>IF(C39&lt;=0,"",IFERROR(IF(INDEX(SimAva_MesesPos,H39)&gt;120,"&gt; 10 anos",EDATE(Cfg_Hoje,INDEX(SimAva_MesesPos,H39))),""))</f>
        <v/>
      </c>
      <c r="G39" s="69" t="str">
        <f>IF(C39&lt;=0,"",INDEX(Sim_RankSnow,5))</f>
        <v/>
      </c>
      <c r="H39" s="69" t="str">
        <f>IF(C39&lt;=0,"",INDEX(Sim_RankAva,5))</f>
        <v/>
      </c>
    </row>
    <row r="40">
      <c r="B40" s="14" t="str">
        <f>IF($B14="","",$B14)</f>
        <v/>
      </c>
      <c r="C40" s="43">
        <f>IF(OR($B14="",$K14="Quitada"),0,N($E14))</f>
        <v>0</v>
      </c>
      <c r="D40" s="91" t="str">
        <f>IF(C40&lt;=0,"",IFERROR(IF(INDEX(SimMin_MesesPos,6)&gt;120,"&gt; 10 anos",EDATE(Cfg_Hoje,INDEX(SimMin_MesesPos,6))),""))</f>
        <v/>
      </c>
      <c r="E40" s="91" t="str">
        <f>IF(C40&lt;=0,"",IFERROR(IF(INDEX(SimSnow_MesesPos,G40)&gt;120,"&gt; 10 anos",EDATE(Cfg_Hoje,INDEX(SimSnow_MesesPos,G40))),""))</f>
        <v/>
      </c>
      <c r="F40" s="91" t="str">
        <f>IF(C40&lt;=0,"",IFERROR(IF(INDEX(SimAva_MesesPos,H40)&gt;120,"&gt; 10 anos",EDATE(Cfg_Hoje,INDEX(SimAva_MesesPos,H40))),""))</f>
        <v/>
      </c>
      <c r="G40" s="69" t="str">
        <f>IF(C40&lt;=0,"",INDEX(Sim_RankSnow,6))</f>
        <v/>
      </c>
      <c r="H40" s="69" t="str">
        <f>IF(C40&lt;=0,"",INDEX(Sim_RankAva,6))</f>
        <v/>
      </c>
    </row>
    <row r="41">
      <c r="B41" s="14" t="str">
        <f>IF($B15="","",$B15)</f>
        <v/>
      </c>
      <c r="C41" s="43">
        <f>IF(OR($B15="",$K15="Quitada"),0,N($E15))</f>
        <v>0</v>
      </c>
      <c r="D41" s="91" t="str">
        <f>IF(C41&lt;=0,"",IFERROR(IF(INDEX(SimMin_MesesPos,7)&gt;120,"&gt; 10 anos",EDATE(Cfg_Hoje,INDEX(SimMin_MesesPos,7))),""))</f>
        <v/>
      </c>
      <c r="E41" s="91" t="str">
        <f>IF(C41&lt;=0,"",IFERROR(IF(INDEX(SimSnow_MesesPos,G41)&gt;120,"&gt; 10 anos",EDATE(Cfg_Hoje,INDEX(SimSnow_MesesPos,G41))),""))</f>
        <v/>
      </c>
      <c r="F41" s="91" t="str">
        <f>IF(C41&lt;=0,"",IFERROR(IF(INDEX(SimAva_MesesPos,H41)&gt;120,"&gt; 10 anos",EDATE(Cfg_Hoje,INDEX(SimAva_MesesPos,H41))),""))</f>
        <v/>
      </c>
      <c r="G41" s="69" t="str">
        <f>IF(C41&lt;=0,"",INDEX(Sim_RankSnow,7))</f>
        <v/>
      </c>
      <c r="H41" s="69" t="str">
        <f>IF(C41&lt;=0,"",INDEX(Sim_RankAva,7))</f>
        <v/>
      </c>
    </row>
    <row r="42">
      <c r="B42" s="14" t="str">
        <f>IF($B16="","",$B16)</f>
        <v/>
      </c>
      <c r="C42" s="43">
        <f>IF(OR($B16="",$K16="Quitada"),0,N($E16))</f>
        <v>0</v>
      </c>
      <c r="D42" s="91" t="str">
        <f>IF(C42&lt;=0,"",IFERROR(IF(INDEX(SimMin_MesesPos,8)&gt;120,"&gt; 10 anos",EDATE(Cfg_Hoje,INDEX(SimMin_MesesPos,8))),""))</f>
        <v/>
      </c>
      <c r="E42" s="91" t="str">
        <f>IF(C42&lt;=0,"",IFERROR(IF(INDEX(SimSnow_MesesPos,G42)&gt;120,"&gt; 10 anos",EDATE(Cfg_Hoje,INDEX(SimSnow_MesesPos,G42))),""))</f>
        <v/>
      </c>
      <c r="F42" s="91" t="str">
        <f>IF(C42&lt;=0,"",IFERROR(IF(INDEX(SimAva_MesesPos,H42)&gt;120,"&gt; 10 anos",EDATE(Cfg_Hoje,INDEX(SimAva_MesesPos,H42))),""))</f>
        <v/>
      </c>
      <c r="G42" s="69" t="str">
        <f>IF(C42&lt;=0,"",INDEX(Sim_RankSnow,8))</f>
        <v/>
      </c>
      <c r="H42" s="69" t="str">
        <f>IF(C42&lt;=0,"",INDEX(Sim_RankAva,8))</f>
        <v/>
      </c>
    </row>
    <row r="64">
      <c r="B64" s="6" t="inlineStr">
        <is>
          <t>4. Tabela de amortização da dívida escolhida (Price x SAC)</t>
        </is>
      </c>
    </row>
    <row r="65">
      <c r="B65" s="5" t="inlineStr">
        <is>
          <t>Escolha a dívida:</t>
        </is>
      </c>
      <c r="C65" s="34" t="inlineStr">
        <is>
          <t>Financiamento do carro</t>
        </is>
      </c>
      <c r="D65" s="28" t="inlineStr">
        <is>
          <t>← digite aqui (vazio = 1ª dívida). Usa saldo devedor, taxa e parcelas restantes da dívida (até 120).</t>
        </is>
      </c>
    </row>
    <row r="66">
      <c r="B66" s="17" t="inlineStr">
        <is>
          <t>Saldo devedor:</t>
        </is>
      </c>
      <c r="C66" s="43">
        <f>INDEX(Div_Saldo,Am_Idx)</f>
        <v>28400</v>
      </c>
      <c r="D66" s="95" t="inlineStr">
        <is>
          <t>Taxa mensal:</t>
        </is>
      </c>
      <c r="E66" s="96">
        <f>INDEX(Div_Taxa,Am_Idx)</f>
        <v>0.02</v>
      </c>
      <c r="F66" s="95" t="inlineStr">
        <is>
          <t>Parcelas:</t>
        </is>
      </c>
      <c r="G66" s="40">
        <f>MIN(120,INDEX(Div_Rest,Am_Idx))</f>
        <v>30</v>
      </c>
      <c r="H66" s="95" t="inlineStr">
        <is>
          <t>nº:</t>
        </is>
      </c>
      <c r="I66" s="40">
        <f>IFERROR(MATCH(Am_Sel,Div_Nome,0),1)</f>
        <v>1</v>
      </c>
    </row>
    <row r="67">
      <c r="C67" s="90" t="inlineStr">
        <is>
          <t>PRICE (parcelas fixas)</t>
        </is>
      </c>
      <c r="H67" s="97" t="inlineStr">
        <is>
          <t>SAC (amortização constante)</t>
        </is>
      </c>
    </row>
    <row r="68">
      <c r="B68" s="7" t="inlineStr">
        <is>
          <t>Nº</t>
        </is>
      </c>
      <c r="C68" s="7" t="inlineStr">
        <is>
          <t>Parcela</t>
        </is>
      </c>
      <c r="D68" s="7" t="inlineStr">
        <is>
          <t>Juros</t>
        </is>
      </c>
      <c r="E68" s="7" t="inlineStr">
        <is>
          <t>Amortização</t>
        </is>
      </c>
      <c r="F68" s="7" t="inlineStr">
        <is>
          <t>Saldo</t>
        </is>
      </c>
      <c r="H68" s="7" t="inlineStr">
        <is>
          <t>Parcela</t>
        </is>
      </c>
      <c r="I68" s="7" t="inlineStr">
        <is>
          <t>Juros</t>
        </is>
      </c>
      <c r="J68" s="7" t="inlineStr">
        <is>
          <t>Amortização</t>
        </is>
      </c>
      <c r="K68" s="7" t="inlineStr">
        <is>
          <t>Saldo</t>
        </is>
      </c>
    </row>
    <row r="69">
      <c r="B69" s="69">
        <f>IF(1&lt;=Am_N,1,"")</f>
        <v>1</v>
      </c>
      <c r="C69" s="43">
        <f>IF(B69="","",IFERROR(PMT(Am_Taxa,Am_N,-Am_Saldo),Am_Saldo/Am_N))</f>
        <v>1268.05779313264</v>
      </c>
      <c r="D69" s="43">
        <f>IF(B69="","",Am_Saldo*Am_Taxa)</f>
        <v>568</v>
      </c>
      <c r="E69" s="43">
        <f>IF(B69="","",C69-D69)</f>
        <v>700.057793132644</v>
      </c>
      <c r="F69" s="43">
        <f>IF(B69="","",MAX(0,Am_Saldo-E69))</f>
        <v>27699.9422068674</v>
      </c>
      <c r="H69" s="43">
        <f>IF(B69="","",I69+J69)</f>
        <v>1514.66666666667</v>
      </c>
      <c r="I69" s="43">
        <f>IF(B69="","",Am_Saldo*Am_Taxa)</f>
        <v>568</v>
      </c>
      <c r="J69" s="43">
        <f>IF(B69="","",Am_Saldo/Am_N)</f>
        <v>946.666666666667</v>
      </c>
      <c r="K69" s="43">
        <f>IF(B69="","",MAX(0,Am_Saldo-J69))</f>
        <v>27453.3333333333</v>
      </c>
    </row>
    <row r="70">
      <c r="B70" s="69">
        <f>IF(2&lt;=Am_N,2,"")</f>
        <v>2</v>
      </c>
      <c r="C70" s="43">
        <f>IF(B70="","",IFERROR(PMT(Am_Taxa,Am_N,-Am_Saldo),Am_Saldo/Am_N))</f>
        <v>1268.05779313264</v>
      </c>
      <c r="D70" s="43">
        <f>IF(B70="","",F69*Am_Taxa)</f>
        <v>553.998844137347</v>
      </c>
      <c r="E70" s="43">
        <f>IF(B70="","",C70-D70)</f>
        <v>714.058948995297</v>
      </c>
      <c r="F70" s="43">
        <f>IF(B70="","",MAX(0,F69-E70))</f>
        <v>26985.8832578721</v>
      </c>
      <c r="H70" s="43">
        <f>IF(B70="","",I70+J70)</f>
        <v>1495.73333333333</v>
      </c>
      <c r="I70" s="43">
        <f>IF(B70="","",K69*Am_Taxa)</f>
        <v>549.066666666667</v>
      </c>
      <c r="J70" s="43">
        <f>IF(B70="","",Am_Saldo/Am_N)</f>
        <v>946.666666666667</v>
      </c>
      <c r="K70" s="43">
        <f>IF(B70="","",MAX(0,K69-J70))</f>
        <v>26506.6666666667</v>
      </c>
    </row>
    <row r="71">
      <c r="B71" s="69">
        <f>IF(3&lt;=Am_N,3,"")</f>
        <v>3</v>
      </c>
      <c r="C71" s="43">
        <f>IF(B71="","",IFERROR(PMT(Am_Taxa,Am_N,-Am_Saldo),Am_Saldo/Am_N))</f>
        <v>1268.05779313264</v>
      </c>
      <c r="D71" s="43">
        <f>IF(B71="","",F70*Am_Taxa)</f>
        <v>539.717665157441</v>
      </c>
      <c r="E71" s="43">
        <f>IF(B71="","",C71-D71)</f>
        <v>728.340127975203</v>
      </c>
      <c r="F71" s="43">
        <f>IF(B71="","",MAX(0,F70-E71))</f>
        <v>26257.5431298969</v>
      </c>
      <c r="H71" s="43">
        <f>IF(B71="","",I71+J71)</f>
        <v>1476.8</v>
      </c>
      <c r="I71" s="43">
        <f>IF(B71="","",K70*Am_Taxa)</f>
        <v>530.133333333333</v>
      </c>
      <c r="J71" s="43">
        <f>IF(B71="","",Am_Saldo/Am_N)</f>
        <v>946.666666666667</v>
      </c>
      <c r="K71" s="43">
        <f>IF(B71="","",MAX(0,K70-J71))</f>
        <v>25560</v>
      </c>
    </row>
    <row r="72">
      <c r="B72" s="69">
        <f>IF(4&lt;=Am_N,4,"")</f>
        <v>4</v>
      </c>
      <c r="C72" s="43">
        <f>IF(B72="","",IFERROR(PMT(Am_Taxa,Am_N,-Am_Saldo),Am_Saldo/Am_N))</f>
        <v>1268.05779313264</v>
      </c>
      <c r="D72" s="43">
        <f>IF(B72="","",F71*Am_Taxa)</f>
        <v>525.150862597937</v>
      </c>
      <c r="E72" s="43">
        <f>IF(B72="","",C72-D72)</f>
        <v>742.906930534707</v>
      </c>
      <c r="F72" s="43">
        <f>IF(B72="","",MAX(0,F71-E72))</f>
        <v>25514.6361993621</v>
      </c>
      <c r="H72" s="43">
        <f>IF(B72="","",I72+J72)</f>
        <v>1457.86666666667</v>
      </c>
      <c r="I72" s="43">
        <f>IF(B72="","",K71*Am_Taxa)</f>
        <v>511.2</v>
      </c>
      <c r="J72" s="43">
        <f>IF(B72="","",Am_Saldo/Am_N)</f>
        <v>946.666666666667</v>
      </c>
      <c r="K72" s="43">
        <f>IF(B72="","",MAX(0,K71-J72))</f>
        <v>24613.3333333333</v>
      </c>
    </row>
    <row r="73">
      <c r="B73" s="69">
        <f>IF(5&lt;=Am_N,5,"")</f>
        <v>5</v>
      </c>
      <c r="C73" s="43">
        <f>IF(B73="","",IFERROR(PMT(Am_Taxa,Am_N,-Am_Saldo),Am_Saldo/Am_N))</f>
        <v>1268.05779313264</v>
      </c>
      <c r="D73" s="43">
        <f>IF(B73="","",F72*Am_Taxa)</f>
        <v>510.292723987243</v>
      </c>
      <c r="E73" s="43">
        <f>IF(B73="","",C73-D73)</f>
        <v>757.765069145401</v>
      </c>
      <c r="F73" s="43">
        <f>IF(B73="","",MAX(0,F72-E73))</f>
        <v>24756.8711302167</v>
      </c>
      <c r="H73" s="43">
        <f>IF(B73="","",I73+J73)</f>
        <v>1438.93333333333</v>
      </c>
      <c r="I73" s="43">
        <f>IF(B73="","",K72*Am_Taxa)</f>
        <v>492.266666666667</v>
      </c>
      <c r="J73" s="43">
        <f>IF(B73="","",Am_Saldo/Am_N)</f>
        <v>946.666666666667</v>
      </c>
      <c r="K73" s="43">
        <f>IF(B73="","",MAX(0,K72-J73))</f>
        <v>23666.6666666667</v>
      </c>
    </row>
    <row r="74">
      <c r="B74" s="69">
        <f>IF(6&lt;=Am_N,6,"")</f>
        <v>6</v>
      </c>
      <c r="C74" s="43">
        <f>IF(B74="","",IFERROR(PMT(Am_Taxa,Am_N,-Am_Saldo),Am_Saldo/Am_N))</f>
        <v>1268.05779313264</v>
      </c>
      <c r="D74" s="43">
        <f>IF(B74="","",F73*Am_Taxa)</f>
        <v>495.137422604335</v>
      </c>
      <c r="E74" s="43">
        <f>IF(B74="","",C74-D74)</f>
        <v>772.920370528309</v>
      </c>
      <c r="F74" s="43">
        <f>IF(B74="","",MAX(0,F73-E74))</f>
        <v>23983.9507596884</v>
      </c>
      <c r="H74" s="43">
        <f>IF(B74="","",I74+J74)</f>
        <v>1420</v>
      </c>
      <c r="I74" s="43">
        <f>IF(B74="","",K73*Am_Taxa)</f>
        <v>473.333333333333</v>
      </c>
      <c r="J74" s="43">
        <f>IF(B74="","",Am_Saldo/Am_N)</f>
        <v>946.666666666667</v>
      </c>
      <c r="K74" s="43">
        <f>IF(B74="","",MAX(0,K73-J74))</f>
        <v>22720</v>
      </c>
    </row>
    <row r="75">
      <c r="B75" s="69">
        <f>IF(7&lt;=Am_N,7,"")</f>
        <v>7</v>
      </c>
      <c r="C75" s="43">
        <f>IF(B75="","",IFERROR(PMT(Am_Taxa,Am_N,-Am_Saldo),Am_Saldo/Am_N))</f>
        <v>1268.05779313264</v>
      </c>
      <c r="D75" s="43">
        <f>IF(B75="","",F74*Am_Taxa)</f>
        <v>479.679015193769</v>
      </c>
      <c r="E75" s="43">
        <f>IF(B75="","",C75-D75)</f>
        <v>788.378777938876</v>
      </c>
      <c r="F75" s="43">
        <f>IF(B75="","",MAX(0,F74-E75))</f>
        <v>23195.5719817496</v>
      </c>
      <c r="H75" s="43">
        <f>IF(B75="","",I75+J75)</f>
        <v>1401.06666666667</v>
      </c>
      <c r="I75" s="43">
        <f>IF(B75="","",K74*Am_Taxa)</f>
        <v>454.4</v>
      </c>
      <c r="J75" s="43">
        <f>IF(B75="","",Am_Saldo/Am_N)</f>
        <v>946.666666666667</v>
      </c>
      <c r="K75" s="43">
        <f>IF(B75="","",MAX(0,K74-J75))</f>
        <v>21773.3333333333</v>
      </c>
    </row>
    <row r="76">
      <c r="B76" s="69">
        <f>IF(8&lt;=Am_N,8,"")</f>
        <v>8</v>
      </c>
      <c r="C76" s="43">
        <f>IF(B76="","",IFERROR(PMT(Am_Taxa,Am_N,-Am_Saldo),Am_Saldo/Am_N))</f>
        <v>1268.05779313264</v>
      </c>
      <c r="D76" s="43">
        <f>IF(B76="","",F75*Am_Taxa)</f>
        <v>463.911439634991</v>
      </c>
      <c r="E76" s="43">
        <f>IF(B76="","",C76-D76)</f>
        <v>804.146353497653</v>
      </c>
      <c r="F76" s="43">
        <f>IF(B76="","",MAX(0,F75-E76))</f>
        <v>22391.4256282519</v>
      </c>
      <c r="H76" s="43">
        <f>IF(B76="","",I76+J76)</f>
        <v>1382.13333333333</v>
      </c>
      <c r="I76" s="43">
        <f>IF(B76="","",K75*Am_Taxa)</f>
        <v>435.466666666667</v>
      </c>
      <c r="J76" s="43">
        <f>IF(B76="","",Am_Saldo/Am_N)</f>
        <v>946.666666666667</v>
      </c>
      <c r="K76" s="43">
        <f>IF(B76="","",MAX(0,K75-J76))</f>
        <v>20826.6666666667</v>
      </c>
    </row>
    <row r="77">
      <c r="B77" s="69">
        <f>IF(9&lt;=Am_N,9,"")</f>
        <v>9</v>
      </c>
      <c r="C77" s="43">
        <f>IF(B77="","",IFERROR(PMT(Am_Taxa,Am_N,-Am_Saldo),Am_Saldo/Am_N))</f>
        <v>1268.05779313264</v>
      </c>
      <c r="D77" s="43">
        <f>IF(B77="","",F76*Am_Taxa)</f>
        <v>447.828512565038</v>
      </c>
      <c r="E77" s="43">
        <f>IF(B77="","",C77-D77)</f>
        <v>820.229280567606</v>
      </c>
      <c r="F77" s="43">
        <f>IF(B77="","",MAX(0,F76-E77))</f>
        <v>21571.1963476843</v>
      </c>
      <c r="H77" s="43">
        <f>IF(B77="","",I77+J77)</f>
        <v>1363.2</v>
      </c>
      <c r="I77" s="43">
        <f>IF(B77="","",K76*Am_Taxa)</f>
        <v>416.533333333333</v>
      </c>
      <c r="J77" s="43">
        <f>IF(B77="","",Am_Saldo/Am_N)</f>
        <v>946.666666666667</v>
      </c>
      <c r="K77" s="43">
        <f>IF(B77="","",MAX(0,K76-J77))</f>
        <v>19880</v>
      </c>
    </row>
    <row r="78">
      <c r="B78" s="69">
        <f>IF(10&lt;=Am_N,10,"")</f>
        <v>10</v>
      </c>
      <c r="C78" s="43">
        <f>IF(B78="","",IFERROR(PMT(Am_Taxa,Am_N,-Am_Saldo),Am_Saldo/Am_N))</f>
        <v>1268.05779313264</v>
      </c>
      <c r="D78" s="43">
        <f>IF(B78="","",F77*Am_Taxa)</f>
        <v>431.423926953686</v>
      </c>
      <c r="E78" s="43">
        <f>IF(B78="","",C78-D78)</f>
        <v>836.633866178958</v>
      </c>
      <c r="F78" s="43">
        <f>IF(B78="","",MAX(0,F77-E78))</f>
        <v>20734.5624815053</v>
      </c>
      <c r="H78" s="43">
        <f>IF(B78="","",I78+J78)</f>
        <v>1344.26666666667</v>
      </c>
      <c r="I78" s="43">
        <f>IF(B78="","",K77*Am_Taxa)</f>
        <v>397.6</v>
      </c>
      <c r="J78" s="43">
        <f>IF(B78="","",Am_Saldo/Am_N)</f>
        <v>946.666666666667</v>
      </c>
      <c r="K78" s="43">
        <f>IF(B78="","",MAX(0,K77-J78))</f>
        <v>18933.3333333333</v>
      </c>
    </row>
    <row r="79">
      <c r="B79" s="69">
        <f>IF(11&lt;=Am_N,11,"")</f>
        <v>11</v>
      </c>
      <c r="C79" s="43">
        <f>IF(B79="","",IFERROR(PMT(Am_Taxa,Am_N,-Am_Saldo),Am_Saldo/Am_N))</f>
        <v>1268.05779313264</v>
      </c>
      <c r="D79" s="43">
        <f>IF(B79="","",F78*Am_Taxa)</f>
        <v>414.691249630107</v>
      </c>
      <c r="E79" s="43">
        <f>IF(B79="","",C79-D79)</f>
        <v>853.366543502538</v>
      </c>
      <c r="F79" s="43">
        <f>IF(B79="","",MAX(0,F78-E79))</f>
        <v>19881.1959380028</v>
      </c>
      <c r="H79" s="43">
        <f>IF(B79="","",I79+J79)</f>
        <v>1325.33333333333</v>
      </c>
      <c r="I79" s="43">
        <f>IF(B79="","",K78*Am_Taxa)</f>
        <v>378.666666666666</v>
      </c>
      <c r="J79" s="43">
        <f>IF(B79="","",Am_Saldo/Am_N)</f>
        <v>946.666666666667</v>
      </c>
      <c r="K79" s="43">
        <f>IF(B79="","",MAX(0,K78-J79))</f>
        <v>17986.6666666667</v>
      </c>
    </row>
    <row r="80">
      <c r="B80" s="69">
        <f>IF(12&lt;=Am_N,12,"")</f>
        <v>12</v>
      </c>
      <c r="C80" s="43">
        <f>IF(B80="","",IFERROR(PMT(Am_Taxa,Am_N,-Am_Saldo),Am_Saldo/Am_N))</f>
        <v>1268.05779313264</v>
      </c>
      <c r="D80" s="43">
        <f>IF(B80="","",F79*Am_Taxa)</f>
        <v>397.623918760056</v>
      </c>
      <c r="E80" s="43">
        <f>IF(B80="","",C80-D80)</f>
        <v>870.433874372588</v>
      </c>
      <c r="F80" s="43">
        <f>IF(B80="","",MAX(0,F79-E80))</f>
        <v>19010.7620636302</v>
      </c>
      <c r="H80" s="43">
        <f>IF(B80="","",I80+J80)</f>
        <v>1306.4</v>
      </c>
      <c r="I80" s="43">
        <f>IF(B80="","",K79*Am_Taxa)</f>
        <v>359.733333333333</v>
      </c>
      <c r="J80" s="43">
        <f>IF(B80="","",Am_Saldo/Am_N)</f>
        <v>946.666666666667</v>
      </c>
      <c r="K80" s="43">
        <f>IF(B80="","",MAX(0,K79-J80))</f>
        <v>17040</v>
      </c>
    </row>
    <row r="81">
      <c r="B81" s="69">
        <f>IF(13&lt;=Am_N,13,"")</f>
        <v>13</v>
      </c>
      <c r="C81" s="43">
        <f>IF(B81="","",IFERROR(PMT(Am_Taxa,Am_N,-Am_Saldo),Am_Saldo/Am_N))</f>
        <v>1268.05779313264</v>
      </c>
      <c r="D81" s="43">
        <f>IF(B81="","",F80*Am_Taxa)</f>
        <v>380.215241272604</v>
      </c>
      <c r="E81" s="43">
        <f>IF(B81="","",C81-D81)</f>
        <v>887.84255186004</v>
      </c>
      <c r="F81" s="43">
        <f>IF(B81="","",MAX(0,F80-E81))</f>
        <v>18122.9195117702</v>
      </c>
      <c r="H81" s="43">
        <f>IF(B81="","",I81+J81)</f>
        <v>1287.46666666667</v>
      </c>
      <c r="I81" s="43">
        <f>IF(B81="","",K80*Am_Taxa)</f>
        <v>340.8</v>
      </c>
      <c r="J81" s="43">
        <f>IF(B81="","",Am_Saldo/Am_N)</f>
        <v>946.666666666667</v>
      </c>
      <c r="K81" s="43">
        <f>IF(B81="","",MAX(0,K80-J81))</f>
        <v>16093.3333333333</v>
      </c>
    </row>
    <row r="82">
      <c r="B82" s="69">
        <f>IF(14&lt;=Am_N,14,"")</f>
        <v>14</v>
      </c>
      <c r="C82" s="43">
        <f>IF(B82="","",IFERROR(PMT(Am_Taxa,Am_N,-Am_Saldo),Am_Saldo/Am_N))</f>
        <v>1268.05779313264</v>
      </c>
      <c r="D82" s="43">
        <f>IF(B82="","",F81*Am_Taxa)</f>
        <v>362.458390235404</v>
      </c>
      <c r="E82" s="43">
        <f>IF(B82="","",C82-D82)</f>
        <v>905.599402897241</v>
      </c>
      <c r="F82" s="43">
        <f>IF(B82="","",MAX(0,F81-E82))</f>
        <v>17217.3201088729</v>
      </c>
      <c r="H82" s="43">
        <f>IF(B82="","",I82+J82)</f>
        <v>1268.53333333333</v>
      </c>
      <c r="I82" s="43">
        <f>IF(B82="","",K81*Am_Taxa)</f>
        <v>321.866666666666</v>
      </c>
      <c r="J82" s="43">
        <f>IF(B82="","",Am_Saldo/Am_N)</f>
        <v>946.666666666667</v>
      </c>
      <c r="K82" s="43">
        <f>IF(B82="","",MAX(0,K81-J82))</f>
        <v>15146.6666666667</v>
      </c>
    </row>
    <row r="83">
      <c r="B83" s="69">
        <f>IF(15&lt;=Am_N,15,"")</f>
        <v>15</v>
      </c>
      <c r="C83" s="43">
        <f>IF(B83="","",IFERROR(PMT(Am_Taxa,Am_N,-Am_Saldo),Am_Saldo/Am_N))</f>
        <v>1268.05779313264</v>
      </c>
      <c r="D83" s="43">
        <f>IF(B83="","",F82*Am_Taxa)</f>
        <v>344.346402177459</v>
      </c>
      <c r="E83" s="43">
        <f>IF(B83="","",C83-D83)</f>
        <v>923.711390955186</v>
      </c>
      <c r="F83" s="43">
        <f>IF(B83="","",MAX(0,F82-E83))</f>
        <v>16293.6087179177</v>
      </c>
      <c r="H83" s="43">
        <f>IF(B83="","",I83+J83)</f>
        <v>1249.6</v>
      </c>
      <c r="I83" s="43">
        <f>IF(B83="","",K82*Am_Taxa)</f>
        <v>302.933333333333</v>
      </c>
      <c r="J83" s="43">
        <f>IF(B83="","",Am_Saldo/Am_N)</f>
        <v>946.666666666667</v>
      </c>
      <c r="K83" s="43">
        <f>IF(B83="","",MAX(0,K82-J83))</f>
        <v>14200</v>
      </c>
    </row>
    <row r="84">
      <c r="B84" s="69">
        <f>IF(16&lt;=Am_N,16,"")</f>
        <v>16</v>
      </c>
      <c r="C84" s="43">
        <f>IF(B84="","",IFERROR(PMT(Am_Taxa,Am_N,-Am_Saldo),Am_Saldo/Am_N))</f>
        <v>1268.05779313264</v>
      </c>
      <c r="D84" s="43">
        <f>IF(B84="","",F83*Am_Taxa)</f>
        <v>325.872174358355</v>
      </c>
      <c r="E84" s="43">
        <f>IF(B84="","",C84-D84)</f>
        <v>942.185618774289</v>
      </c>
      <c r="F84" s="43">
        <f>IF(B84="","",MAX(0,F83-E84))</f>
        <v>15351.4230991435</v>
      </c>
      <c r="H84" s="43">
        <f>IF(B84="","",I84+J84)</f>
        <v>1230.66666666667</v>
      </c>
      <c r="I84" s="43">
        <f>IF(B84="","",K83*Am_Taxa)</f>
        <v>284</v>
      </c>
      <c r="J84" s="43">
        <f>IF(B84="","",Am_Saldo/Am_N)</f>
        <v>946.666666666667</v>
      </c>
      <c r="K84" s="43">
        <f>IF(B84="","",MAX(0,K83-J84))</f>
        <v>13253.3333333333</v>
      </c>
    </row>
    <row r="85">
      <c r="B85" s="69">
        <f>IF(17&lt;=Am_N,17,"")</f>
        <v>17</v>
      </c>
      <c r="C85" s="43">
        <f>IF(B85="","",IFERROR(PMT(Am_Taxa,Am_N,-Am_Saldo),Am_Saldo/Am_N))</f>
        <v>1268.05779313264</v>
      </c>
      <c r="D85" s="43">
        <f>IF(B85="","",F84*Am_Taxa)</f>
        <v>307.028461982869</v>
      </c>
      <c r="E85" s="43">
        <f>IF(B85="","",C85-D85)</f>
        <v>961.029331149775</v>
      </c>
      <c r="F85" s="43">
        <f>IF(B85="","",MAX(0,F84-E85))</f>
        <v>14390.3937679937</v>
      </c>
      <c r="H85" s="43">
        <f>IF(B85="","",I85+J85)</f>
        <v>1211.73333333333</v>
      </c>
      <c r="I85" s="43">
        <f>IF(B85="","",K84*Am_Taxa)</f>
        <v>265.066666666666</v>
      </c>
      <c r="J85" s="43">
        <f>IF(B85="","",Am_Saldo/Am_N)</f>
        <v>946.666666666667</v>
      </c>
      <c r="K85" s="43">
        <f>IF(B85="","",MAX(0,K84-J85))</f>
        <v>12306.6666666667</v>
      </c>
    </row>
    <row r="86">
      <c r="B86" s="69">
        <f>IF(18&lt;=Am_N,18,"")</f>
        <v>18</v>
      </c>
      <c r="C86" s="43">
        <f>IF(B86="","",IFERROR(PMT(Am_Taxa,Am_N,-Am_Saldo),Am_Saldo/Am_N))</f>
        <v>1268.05779313264</v>
      </c>
      <c r="D86" s="43">
        <f>IF(B86="","",F85*Am_Taxa)</f>
        <v>287.807875359874</v>
      </c>
      <c r="E86" s="43">
        <f>IF(B86="","",C86-D86)</f>
        <v>980.249917772771</v>
      </c>
      <c r="F86" s="43">
        <f>IF(B86="","",MAX(0,F85-E86))</f>
        <v>13410.1438502209</v>
      </c>
      <c r="H86" s="43">
        <f>IF(B86="","",I86+J86)</f>
        <v>1192.8</v>
      </c>
      <c r="I86" s="43">
        <f>IF(B86="","",K85*Am_Taxa)</f>
        <v>246.133333333333</v>
      </c>
      <c r="J86" s="43">
        <f>IF(B86="","",Am_Saldo/Am_N)</f>
        <v>946.666666666667</v>
      </c>
      <c r="K86" s="43">
        <f>IF(B86="","",MAX(0,K85-J86))</f>
        <v>11360</v>
      </c>
    </row>
    <row r="87">
      <c r="B87" s="69">
        <f>IF(19&lt;=Am_N,19,"")</f>
        <v>19</v>
      </c>
      <c r="C87" s="43">
        <f>IF(B87="","",IFERROR(PMT(Am_Taxa,Am_N,-Am_Saldo),Am_Saldo/Am_N))</f>
        <v>1268.05779313264</v>
      </c>
      <c r="D87" s="43">
        <f>IF(B87="","",F86*Am_Taxa)</f>
        <v>268.202877004418</v>
      </c>
      <c r="E87" s="43">
        <f>IF(B87="","",C87-D87)</f>
        <v>999.854916128226</v>
      </c>
      <c r="F87" s="43">
        <f>IF(B87="","",MAX(0,F86-E87))</f>
        <v>12410.2889340927</v>
      </c>
      <c r="H87" s="43">
        <f>IF(B87="","",I87+J87)</f>
        <v>1173.86666666667</v>
      </c>
      <c r="I87" s="43">
        <f>IF(B87="","",K86*Am_Taxa)</f>
        <v>227.2</v>
      </c>
      <c r="J87" s="43">
        <f>IF(B87="","",Am_Saldo/Am_N)</f>
        <v>946.666666666667</v>
      </c>
      <c r="K87" s="43">
        <f>IF(B87="","",MAX(0,K86-J87))</f>
        <v>10413.3333333333</v>
      </c>
    </row>
    <row r="88">
      <c r="B88" s="69">
        <f>IF(20&lt;=Am_N,20,"")</f>
        <v>20</v>
      </c>
      <c r="C88" s="43">
        <f>IF(B88="","",IFERROR(PMT(Am_Taxa,Am_N,-Am_Saldo),Am_Saldo/Am_N))</f>
        <v>1268.05779313264</v>
      </c>
      <c r="D88" s="43">
        <f>IF(B88="","",F87*Am_Taxa)</f>
        <v>248.205778681854</v>
      </c>
      <c r="E88" s="43">
        <f>IF(B88="","",C88-D88)</f>
        <v>1019.85201445079</v>
      </c>
      <c r="F88" s="43">
        <f>IF(B88="","",MAX(0,F87-E88))</f>
        <v>11390.4369196419</v>
      </c>
      <c r="H88" s="43">
        <f>IF(B88="","",I88+J88)</f>
        <v>1154.93333333333</v>
      </c>
      <c r="I88" s="43">
        <f>IF(B88="","",K87*Am_Taxa)</f>
        <v>208.266666666666</v>
      </c>
      <c r="J88" s="43">
        <f>IF(B88="","",Am_Saldo/Am_N)</f>
        <v>946.666666666667</v>
      </c>
      <c r="K88" s="43">
        <f>IF(B88="","",MAX(0,K87-J88))</f>
        <v>9466.66666666666</v>
      </c>
    </row>
    <row r="89">
      <c r="B89" s="69">
        <f>IF(21&lt;=Am_N,21,"")</f>
        <v>21</v>
      </c>
      <c r="C89" s="43">
        <f>IF(B89="","",IFERROR(PMT(Am_Taxa,Am_N,-Am_Saldo),Am_Saldo/Am_N))</f>
        <v>1268.05779313264</v>
      </c>
      <c r="D89" s="43">
        <f>IF(B89="","",F88*Am_Taxa)</f>
        <v>227.808738392838</v>
      </c>
      <c r="E89" s="43">
        <f>IF(B89="","",C89-D89)</f>
        <v>1040.24905473981</v>
      </c>
      <c r="F89" s="43">
        <f>IF(B89="","",MAX(0,F88-E89))</f>
        <v>10350.1878649021</v>
      </c>
      <c r="H89" s="43">
        <f>IF(B89="","",I89+J89)</f>
        <v>1136</v>
      </c>
      <c r="I89" s="43">
        <f>IF(B89="","",K88*Am_Taxa)</f>
        <v>189.333333333333</v>
      </c>
      <c r="J89" s="43">
        <f>IF(B89="","",Am_Saldo/Am_N)</f>
        <v>946.666666666667</v>
      </c>
      <c r="K89" s="43">
        <f>IF(B89="","",MAX(0,K88-J89))</f>
        <v>8519.99999999999</v>
      </c>
    </row>
    <row r="90">
      <c r="B90" s="69">
        <f>IF(22&lt;=Am_N,22,"")</f>
        <v>22</v>
      </c>
      <c r="C90" s="43">
        <f>IF(B90="","",IFERROR(PMT(Am_Taxa,Am_N,-Am_Saldo),Am_Saldo/Am_N))</f>
        <v>1268.05779313264</v>
      </c>
      <c r="D90" s="43">
        <f>IF(B90="","",F89*Am_Taxa)</f>
        <v>207.003757298042</v>
      </c>
      <c r="E90" s="43">
        <f>IF(B90="","",C90-D90)</f>
        <v>1061.0540358346</v>
      </c>
      <c r="F90" s="43">
        <f>IF(B90="","",MAX(0,F89-E90))</f>
        <v>9289.13382906749</v>
      </c>
      <c r="H90" s="43">
        <f>IF(B90="","",I90+J90)</f>
        <v>1117.06666666667</v>
      </c>
      <c r="I90" s="43">
        <f>IF(B90="","",K89*Am_Taxa)</f>
        <v>170.4</v>
      </c>
      <c r="J90" s="43">
        <f>IF(B90="","",Am_Saldo/Am_N)</f>
        <v>946.666666666667</v>
      </c>
      <c r="K90" s="43">
        <f>IF(B90="","",MAX(0,K89-J90))</f>
        <v>7573.33333333332</v>
      </c>
    </row>
    <row r="91">
      <c r="B91" s="69">
        <f>IF(23&lt;=Am_N,23,"")</f>
        <v>23</v>
      </c>
      <c r="C91" s="43">
        <f>IF(B91="","",IFERROR(PMT(Am_Taxa,Am_N,-Am_Saldo),Am_Saldo/Am_N))</f>
        <v>1268.05779313264</v>
      </c>
      <c r="D91" s="43">
        <f>IF(B91="","",F90*Am_Taxa)</f>
        <v>185.78267658135</v>
      </c>
      <c r="E91" s="43">
        <f>IF(B91="","",C91-D91)</f>
        <v>1082.27511655129</v>
      </c>
      <c r="F91" s="43">
        <f>IF(B91="","",MAX(0,F90-E91))</f>
        <v>8206.85871251619</v>
      </c>
      <c r="H91" s="43">
        <f>IF(B91="","",I91+J91)</f>
        <v>1098.13333333333</v>
      </c>
      <c r="I91" s="43">
        <f>IF(B91="","",K90*Am_Taxa)</f>
        <v>151.466666666666</v>
      </c>
      <c r="J91" s="43">
        <f>IF(B91="","",Am_Saldo/Am_N)</f>
        <v>946.666666666667</v>
      </c>
      <c r="K91" s="43">
        <f>IF(B91="","",MAX(0,K90-J91))</f>
        <v>6626.66666666666</v>
      </c>
    </row>
    <row r="92">
      <c r="B92" s="69">
        <f>IF(24&lt;=Am_N,24,"")</f>
        <v>24</v>
      </c>
      <c r="C92" s="43">
        <f>IF(B92="","",IFERROR(PMT(Am_Taxa,Am_N,-Am_Saldo),Am_Saldo/Am_N))</f>
        <v>1268.05779313264</v>
      </c>
      <c r="D92" s="43">
        <f>IF(B92="","",F91*Am_Taxa)</f>
        <v>164.137174250324</v>
      </c>
      <c r="E92" s="43">
        <f>IF(B92="","",C92-D92)</f>
        <v>1103.92061888232</v>
      </c>
      <c r="F92" s="43">
        <f>IF(B92="","",MAX(0,F91-E92))</f>
        <v>7102.93809363387</v>
      </c>
      <c r="H92" s="43">
        <f>IF(B92="","",I92+J92)</f>
        <v>1079.2</v>
      </c>
      <c r="I92" s="43">
        <f>IF(B92="","",K91*Am_Taxa)</f>
        <v>132.533333333333</v>
      </c>
      <c r="J92" s="43">
        <f>IF(B92="","",Am_Saldo/Am_N)</f>
        <v>946.666666666667</v>
      </c>
      <c r="K92" s="43">
        <f>IF(B92="","",MAX(0,K91-J92))</f>
        <v>5679.99999999999</v>
      </c>
    </row>
    <row r="93">
      <c r="B93" s="69">
        <f>IF(25&lt;=Am_N,25,"")</f>
        <v>25</v>
      </c>
      <c r="C93" s="43">
        <f>IF(B93="","",IFERROR(PMT(Am_Taxa,Am_N,-Am_Saldo),Am_Saldo/Am_N))</f>
        <v>1268.05779313264</v>
      </c>
      <c r="D93" s="43">
        <f>IF(B93="","",F92*Am_Taxa)</f>
        <v>142.058761872677</v>
      </c>
      <c r="E93" s="43">
        <f>IF(B93="","",C93-D93)</f>
        <v>1125.99903125997</v>
      </c>
      <c r="F93" s="43">
        <f>IF(B93="","",MAX(0,F92-E93))</f>
        <v>5976.9390623739</v>
      </c>
      <c r="H93" s="43">
        <f>IF(B93="","",I93+J93)</f>
        <v>1060.26666666667</v>
      </c>
      <c r="I93" s="43">
        <f>IF(B93="","",K92*Am_Taxa)</f>
        <v>113.6</v>
      </c>
      <c r="J93" s="43">
        <f>IF(B93="","",Am_Saldo/Am_N)</f>
        <v>946.666666666667</v>
      </c>
      <c r="K93" s="43">
        <f>IF(B93="","",MAX(0,K92-J93))</f>
        <v>4733.33333333332</v>
      </c>
    </row>
    <row r="94">
      <c r="B94" s="69">
        <f>IF(26&lt;=Am_N,26,"")</f>
        <v>26</v>
      </c>
      <c r="C94" s="43">
        <f>IF(B94="","",IFERROR(PMT(Am_Taxa,Am_N,-Am_Saldo),Am_Saldo/Am_N))</f>
        <v>1268.05779313264</v>
      </c>
      <c r="D94" s="43">
        <f>IF(B94="","",F93*Am_Taxa)</f>
        <v>119.538781247478</v>
      </c>
      <c r="E94" s="43">
        <f>IF(B94="","",C94-D94)</f>
        <v>1148.51901188517</v>
      </c>
      <c r="F94" s="43">
        <f>IF(B94="","",MAX(0,F93-E94))</f>
        <v>4828.42005048874</v>
      </c>
      <c r="H94" s="43">
        <f>IF(B94="","",I94+J94)</f>
        <v>1041.33333333333</v>
      </c>
      <c r="I94" s="43">
        <f>IF(B94="","",K93*Am_Taxa)</f>
        <v>94.6666666666665</v>
      </c>
      <c r="J94" s="43">
        <f>IF(B94="","",Am_Saldo/Am_N)</f>
        <v>946.666666666667</v>
      </c>
      <c r="K94" s="43">
        <f>IF(B94="","",MAX(0,K93-J94))</f>
        <v>3786.66666666666</v>
      </c>
    </row>
    <row r="95">
      <c r="B95" s="69">
        <f>IF(27&lt;=Am_N,27,"")</f>
        <v>27</v>
      </c>
      <c r="C95" s="43">
        <f>IF(B95="","",IFERROR(PMT(Am_Taxa,Am_N,-Am_Saldo),Am_Saldo/Am_N))</f>
        <v>1268.05779313264</v>
      </c>
      <c r="D95" s="43">
        <f>IF(B95="","",F94*Am_Taxa)</f>
        <v>96.5684010097747</v>
      </c>
      <c r="E95" s="43">
        <f>IF(B95="","",C95-D95)</f>
        <v>1171.48939212287</v>
      </c>
      <c r="F95" s="43">
        <f>IF(B95="","",MAX(0,F94-E95))</f>
        <v>3656.93065836587</v>
      </c>
      <c r="H95" s="43">
        <f>IF(B95="","",I95+J95)</f>
        <v>1022.4</v>
      </c>
      <c r="I95" s="43">
        <f>IF(B95="","",K94*Am_Taxa)</f>
        <v>75.7333333333331</v>
      </c>
      <c r="J95" s="43">
        <f>IF(B95="","",Am_Saldo/Am_N)</f>
        <v>946.666666666667</v>
      </c>
      <c r="K95" s="43">
        <f>IF(B95="","",MAX(0,K94-J95))</f>
        <v>2839.99999999999</v>
      </c>
    </row>
    <row r="96">
      <c r="B96" s="69">
        <f>IF(28&lt;=Am_N,28,"")</f>
        <v>28</v>
      </c>
      <c r="C96" s="43">
        <f>IF(B96="","",IFERROR(PMT(Am_Taxa,Am_N,-Am_Saldo),Am_Saldo/Am_N))</f>
        <v>1268.05779313264</v>
      </c>
      <c r="D96" s="43">
        <f>IF(B96="","",F95*Am_Taxa)</f>
        <v>73.1386131673174</v>
      </c>
      <c r="E96" s="43">
        <f>IF(B96="","",C96-D96)</f>
        <v>1194.91917996533</v>
      </c>
      <c r="F96" s="43">
        <f>IF(B96="","",MAX(0,F95-E96))</f>
        <v>2462.01147840054</v>
      </c>
      <c r="H96" s="43">
        <f>IF(B96="","",I96+J96)</f>
        <v>1003.46666666667</v>
      </c>
      <c r="I96" s="43">
        <f>IF(B96="","",K95*Am_Taxa)</f>
        <v>56.7999999999998</v>
      </c>
      <c r="J96" s="43">
        <f>IF(B96="","",Am_Saldo/Am_N)</f>
        <v>946.666666666667</v>
      </c>
      <c r="K96" s="43">
        <f>IF(B96="","",MAX(0,K95-J96))</f>
        <v>1893.33333333332</v>
      </c>
    </row>
    <row r="97">
      <c r="B97" s="69">
        <f>IF(29&lt;=Am_N,29,"")</f>
        <v>29</v>
      </c>
      <c r="C97" s="43">
        <f>IF(B97="","",IFERROR(PMT(Am_Taxa,Am_N,-Am_Saldo),Am_Saldo/Am_N))</f>
        <v>1268.05779313264</v>
      </c>
      <c r="D97" s="43">
        <f>IF(B97="","",F96*Am_Taxa)</f>
        <v>49.2402295680108</v>
      </c>
      <c r="E97" s="43">
        <f>IF(B97="","",C97-D97)</f>
        <v>1218.81756356463</v>
      </c>
      <c r="F97" s="43">
        <f>IF(B97="","",MAX(0,F96-E97))</f>
        <v>1243.19391483591</v>
      </c>
      <c r="H97" s="43">
        <f>IF(B97="","",I97+J97)</f>
        <v>984.533333333333</v>
      </c>
      <c r="I97" s="43">
        <f>IF(B97="","",K96*Am_Taxa)</f>
        <v>37.8666666666665</v>
      </c>
      <c r="J97" s="43">
        <f>IF(B97="","",Am_Saldo/Am_N)</f>
        <v>946.666666666667</v>
      </c>
      <c r="K97" s="43">
        <f>IF(B97="","",MAX(0,K96-J97))</f>
        <v>946.666666666657</v>
      </c>
    </row>
    <row r="98">
      <c r="B98" s="69">
        <f>IF(30&lt;=Am_N,30,"")</f>
        <v>30</v>
      </c>
      <c r="C98" s="43">
        <f>IF(B98="","",IFERROR(PMT(Am_Taxa,Am_N,-Am_Saldo),Am_Saldo/Am_N))</f>
        <v>1268.05779313264</v>
      </c>
      <c r="D98" s="43">
        <f>IF(B98="","",F97*Am_Taxa)</f>
        <v>24.8638782967181</v>
      </c>
      <c r="E98" s="43">
        <f>IF(B98="","",C98-D98)</f>
        <v>1243.19391483593</v>
      </c>
      <c r="F98" s="43">
        <f>IF(B98="","",MAX(0,F97-E98))</f>
        <v>0</v>
      </c>
      <c r="H98" s="43">
        <f>IF(B98="","",I98+J98)</f>
        <v>965.6</v>
      </c>
      <c r="I98" s="43">
        <f>IF(B98="","",K97*Am_Taxa)</f>
        <v>18.9333333333331</v>
      </c>
      <c r="J98" s="43">
        <f>IF(B98="","",Am_Saldo/Am_N)</f>
        <v>946.666666666667</v>
      </c>
      <c r="K98" s="43">
        <f>IF(B98="","",MAX(0,K97-J98))</f>
        <v>0</v>
      </c>
    </row>
    <row r="99">
      <c r="B99" s="69" t="str">
        <f>IF(31&lt;=Am_N,31,"")</f>
        <v/>
      </c>
      <c r="C99" s="43" t="str">
        <f>IF(B99="","",IFERROR(PMT(Am_Taxa,Am_N,-Am_Saldo),Am_Saldo/Am_N))</f>
        <v/>
      </c>
      <c r="D99" s="43" t="str">
        <f>IF(B99="","",F98*Am_Taxa)</f>
        <v/>
      </c>
      <c r="E99" s="43" t="str">
        <f>IF(B99="","",C99-D99)</f>
        <v/>
      </c>
      <c r="F99" s="43" t="str">
        <f>IF(B99="","",MAX(0,F98-E99))</f>
        <v/>
      </c>
      <c r="H99" s="43" t="str">
        <f>IF(B99="","",I99+J99)</f>
        <v/>
      </c>
      <c r="I99" s="43" t="str">
        <f>IF(B99="","",K98*Am_Taxa)</f>
        <v/>
      </c>
      <c r="J99" s="43" t="str">
        <f>IF(B99="","",Am_Saldo/Am_N)</f>
        <v/>
      </c>
      <c r="K99" s="43" t="str">
        <f>IF(B99="","",MAX(0,K98-J99))</f>
        <v/>
      </c>
    </row>
    <row r="100">
      <c r="B100" s="69" t="str">
        <f>IF(32&lt;=Am_N,32,"")</f>
        <v/>
      </c>
      <c r="C100" s="43" t="str">
        <f>IF(B100="","",IFERROR(PMT(Am_Taxa,Am_N,-Am_Saldo),Am_Saldo/Am_N))</f>
        <v/>
      </c>
      <c r="D100" s="43" t="str">
        <f>IF(B100="","",F99*Am_Taxa)</f>
        <v/>
      </c>
      <c r="E100" s="43" t="str">
        <f>IF(B100="","",C100-D100)</f>
        <v/>
      </c>
      <c r="F100" s="43" t="str">
        <f>IF(B100="","",MAX(0,F99-E100))</f>
        <v/>
      </c>
      <c r="H100" s="43" t="str">
        <f>IF(B100="","",I100+J100)</f>
        <v/>
      </c>
      <c r="I100" s="43" t="str">
        <f>IF(B100="","",K99*Am_Taxa)</f>
        <v/>
      </c>
      <c r="J100" s="43" t="str">
        <f>IF(B100="","",Am_Saldo/Am_N)</f>
        <v/>
      </c>
      <c r="K100" s="43" t="str">
        <f>IF(B100="","",MAX(0,K99-J100))</f>
        <v/>
      </c>
    </row>
    <row r="101">
      <c r="B101" s="69" t="str">
        <f>IF(33&lt;=Am_N,33,"")</f>
        <v/>
      </c>
      <c r="C101" s="43" t="str">
        <f>IF(B101="","",IFERROR(PMT(Am_Taxa,Am_N,-Am_Saldo),Am_Saldo/Am_N))</f>
        <v/>
      </c>
      <c r="D101" s="43" t="str">
        <f>IF(B101="","",F100*Am_Taxa)</f>
        <v/>
      </c>
      <c r="E101" s="43" t="str">
        <f>IF(B101="","",C101-D101)</f>
        <v/>
      </c>
      <c r="F101" s="43" t="str">
        <f>IF(B101="","",MAX(0,F100-E101))</f>
        <v/>
      </c>
      <c r="H101" s="43" t="str">
        <f>IF(B101="","",I101+J101)</f>
        <v/>
      </c>
      <c r="I101" s="43" t="str">
        <f>IF(B101="","",K100*Am_Taxa)</f>
        <v/>
      </c>
      <c r="J101" s="43" t="str">
        <f>IF(B101="","",Am_Saldo/Am_N)</f>
        <v/>
      </c>
      <c r="K101" s="43" t="str">
        <f>IF(B101="","",MAX(0,K100-J101))</f>
        <v/>
      </c>
    </row>
    <row r="102">
      <c r="B102" s="69" t="str">
        <f>IF(34&lt;=Am_N,34,"")</f>
        <v/>
      </c>
      <c r="C102" s="43" t="str">
        <f>IF(B102="","",IFERROR(PMT(Am_Taxa,Am_N,-Am_Saldo),Am_Saldo/Am_N))</f>
        <v/>
      </c>
      <c r="D102" s="43" t="str">
        <f>IF(B102="","",F101*Am_Taxa)</f>
        <v/>
      </c>
      <c r="E102" s="43" t="str">
        <f>IF(B102="","",C102-D102)</f>
        <v/>
      </c>
      <c r="F102" s="43" t="str">
        <f>IF(B102="","",MAX(0,F101-E102))</f>
        <v/>
      </c>
      <c r="H102" s="43" t="str">
        <f>IF(B102="","",I102+J102)</f>
        <v/>
      </c>
      <c r="I102" s="43" t="str">
        <f>IF(B102="","",K101*Am_Taxa)</f>
        <v/>
      </c>
      <c r="J102" s="43" t="str">
        <f>IF(B102="","",Am_Saldo/Am_N)</f>
        <v/>
      </c>
      <c r="K102" s="43" t="str">
        <f>IF(B102="","",MAX(0,K101-J102))</f>
        <v/>
      </c>
    </row>
    <row r="103">
      <c r="B103" s="69" t="str">
        <f>IF(35&lt;=Am_N,35,"")</f>
        <v/>
      </c>
      <c r="C103" s="43" t="str">
        <f>IF(B103="","",IFERROR(PMT(Am_Taxa,Am_N,-Am_Saldo),Am_Saldo/Am_N))</f>
        <v/>
      </c>
      <c r="D103" s="43" t="str">
        <f>IF(B103="","",F102*Am_Taxa)</f>
        <v/>
      </c>
      <c r="E103" s="43" t="str">
        <f>IF(B103="","",C103-D103)</f>
        <v/>
      </c>
      <c r="F103" s="43" t="str">
        <f>IF(B103="","",MAX(0,F102-E103))</f>
        <v/>
      </c>
      <c r="H103" s="43" t="str">
        <f>IF(B103="","",I103+J103)</f>
        <v/>
      </c>
      <c r="I103" s="43" t="str">
        <f>IF(B103="","",K102*Am_Taxa)</f>
        <v/>
      </c>
      <c r="J103" s="43" t="str">
        <f>IF(B103="","",Am_Saldo/Am_N)</f>
        <v/>
      </c>
      <c r="K103" s="43" t="str">
        <f>IF(B103="","",MAX(0,K102-J103))</f>
        <v/>
      </c>
    </row>
    <row r="104">
      <c r="B104" s="69" t="str">
        <f>IF(36&lt;=Am_N,36,"")</f>
        <v/>
      </c>
      <c r="C104" s="43" t="str">
        <f>IF(B104="","",IFERROR(PMT(Am_Taxa,Am_N,-Am_Saldo),Am_Saldo/Am_N))</f>
        <v/>
      </c>
      <c r="D104" s="43" t="str">
        <f>IF(B104="","",F103*Am_Taxa)</f>
        <v/>
      </c>
      <c r="E104" s="43" t="str">
        <f>IF(B104="","",C104-D104)</f>
        <v/>
      </c>
      <c r="F104" s="43" t="str">
        <f>IF(B104="","",MAX(0,F103-E104))</f>
        <v/>
      </c>
      <c r="H104" s="43" t="str">
        <f>IF(B104="","",I104+J104)</f>
        <v/>
      </c>
      <c r="I104" s="43" t="str">
        <f>IF(B104="","",K103*Am_Taxa)</f>
        <v/>
      </c>
      <c r="J104" s="43" t="str">
        <f>IF(B104="","",Am_Saldo/Am_N)</f>
        <v/>
      </c>
      <c r="K104" s="43" t="str">
        <f>IF(B104="","",MAX(0,K103-J104))</f>
        <v/>
      </c>
    </row>
    <row r="105">
      <c r="B105" s="69" t="str">
        <f>IF(37&lt;=Am_N,37,"")</f>
        <v/>
      </c>
      <c r="C105" s="43" t="str">
        <f>IF(B105="","",IFERROR(PMT(Am_Taxa,Am_N,-Am_Saldo),Am_Saldo/Am_N))</f>
        <v/>
      </c>
      <c r="D105" s="43" t="str">
        <f>IF(B105="","",F104*Am_Taxa)</f>
        <v/>
      </c>
      <c r="E105" s="43" t="str">
        <f>IF(B105="","",C105-D105)</f>
        <v/>
      </c>
      <c r="F105" s="43" t="str">
        <f>IF(B105="","",MAX(0,F104-E105))</f>
        <v/>
      </c>
      <c r="H105" s="43" t="str">
        <f>IF(B105="","",I105+J105)</f>
        <v/>
      </c>
      <c r="I105" s="43" t="str">
        <f>IF(B105="","",K104*Am_Taxa)</f>
        <v/>
      </c>
      <c r="J105" s="43" t="str">
        <f>IF(B105="","",Am_Saldo/Am_N)</f>
        <v/>
      </c>
      <c r="K105" s="43" t="str">
        <f>IF(B105="","",MAX(0,K104-J105))</f>
        <v/>
      </c>
    </row>
    <row r="106">
      <c r="B106" s="69" t="str">
        <f>IF(38&lt;=Am_N,38,"")</f>
        <v/>
      </c>
      <c r="C106" s="43" t="str">
        <f>IF(B106="","",IFERROR(PMT(Am_Taxa,Am_N,-Am_Saldo),Am_Saldo/Am_N))</f>
        <v/>
      </c>
      <c r="D106" s="43" t="str">
        <f>IF(B106="","",F105*Am_Taxa)</f>
        <v/>
      </c>
      <c r="E106" s="43" t="str">
        <f>IF(B106="","",C106-D106)</f>
        <v/>
      </c>
      <c r="F106" s="43" t="str">
        <f>IF(B106="","",MAX(0,F105-E106))</f>
        <v/>
      </c>
      <c r="H106" s="43" t="str">
        <f>IF(B106="","",I106+J106)</f>
        <v/>
      </c>
      <c r="I106" s="43" t="str">
        <f>IF(B106="","",K105*Am_Taxa)</f>
        <v/>
      </c>
      <c r="J106" s="43" t="str">
        <f>IF(B106="","",Am_Saldo/Am_N)</f>
        <v/>
      </c>
      <c r="K106" s="43" t="str">
        <f>IF(B106="","",MAX(0,K105-J106))</f>
        <v/>
      </c>
    </row>
    <row r="107">
      <c r="B107" s="69" t="str">
        <f>IF(39&lt;=Am_N,39,"")</f>
        <v/>
      </c>
      <c r="C107" s="43" t="str">
        <f>IF(B107="","",IFERROR(PMT(Am_Taxa,Am_N,-Am_Saldo),Am_Saldo/Am_N))</f>
        <v/>
      </c>
      <c r="D107" s="43" t="str">
        <f>IF(B107="","",F106*Am_Taxa)</f>
        <v/>
      </c>
      <c r="E107" s="43" t="str">
        <f>IF(B107="","",C107-D107)</f>
        <v/>
      </c>
      <c r="F107" s="43" t="str">
        <f>IF(B107="","",MAX(0,F106-E107))</f>
        <v/>
      </c>
      <c r="H107" s="43" t="str">
        <f>IF(B107="","",I107+J107)</f>
        <v/>
      </c>
      <c r="I107" s="43" t="str">
        <f>IF(B107="","",K106*Am_Taxa)</f>
        <v/>
      </c>
      <c r="J107" s="43" t="str">
        <f>IF(B107="","",Am_Saldo/Am_N)</f>
        <v/>
      </c>
      <c r="K107" s="43" t="str">
        <f>IF(B107="","",MAX(0,K106-J107))</f>
        <v/>
      </c>
    </row>
    <row r="108">
      <c r="B108" s="69" t="str">
        <f>IF(40&lt;=Am_N,40,"")</f>
        <v/>
      </c>
      <c r="C108" s="43" t="str">
        <f>IF(B108="","",IFERROR(PMT(Am_Taxa,Am_N,-Am_Saldo),Am_Saldo/Am_N))</f>
        <v/>
      </c>
      <c r="D108" s="43" t="str">
        <f>IF(B108="","",F107*Am_Taxa)</f>
        <v/>
      </c>
      <c r="E108" s="43" t="str">
        <f>IF(B108="","",C108-D108)</f>
        <v/>
      </c>
      <c r="F108" s="43" t="str">
        <f>IF(B108="","",MAX(0,F107-E108))</f>
        <v/>
      </c>
      <c r="H108" s="43" t="str">
        <f>IF(B108="","",I108+J108)</f>
        <v/>
      </c>
      <c r="I108" s="43" t="str">
        <f>IF(B108="","",K107*Am_Taxa)</f>
        <v/>
      </c>
      <c r="J108" s="43" t="str">
        <f>IF(B108="","",Am_Saldo/Am_N)</f>
        <v/>
      </c>
      <c r="K108" s="43" t="str">
        <f>IF(B108="","",MAX(0,K107-J108))</f>
        <v/>
      </c>
    </row>
    <row r="109">
      <c r="B109" s="69" t="str">
        <f>IF(41&lt;=Am_N,41,"")</f>
        <v/>
      </c>
      <c r="C109" s="43" t="str">
        <f>IF(B109="","",IFERROR(PMT(Am_Taxa,Am_N,-Am_Saldo),Am_Saldo/Am_N))</f>
        <v/>
      </c>
      <c r="D109" s="43" t="str">
        <f>IF(B109="","",F108*Am_Taxa)</f>
        <v/>
      </c>
      <c r="E109" s="43" t="str">
        <f>IF(B109="","",C109-D109)</f>
        <v/>
      </c>
      <c r="F109" s="43" t="str">
        <f>IF(B109="","",MAX(0,F108-E109))</f>
        <v/>
      </c>
      <c r="H109" s="43" t="str">
        <f>IF(B109="","",I109+J109)</f>
        <v/>
      </c>
      <c r="I109" s="43" t="str">
        <f>IF(B109="","",K108*Am_Taxa)</f>
        <v/>
      </c>
      <c r="J109" s="43" t="str">
        <f>IF(B109="","",Am_Saldo/Am_N)</f>
        <v/>
      </c>
      <c r="K109" s="43" t="str">
        <f>IF(B109="","",MAX(0,K108-J109))</f>
        <v/>
      </c>
    </row>
    <row r="110">
      <c r="B110" s="69" t="str">
        <f>IF(42&lt;=Am_N,42,"")</f>
        <v/>
      </c>
      <c r="C110" s="43" t="str">
        <f>IF(B110="","",IFERROR(PMT(Am_Taxa,Am_N,-Am_Saldo),Am_Saldo/Am_N))</f>
        <v/>
      </c>
      <c r="D110" s="43" t="str">
        <f>IF(B110="","",F109*Am_Taxa)</f>
        <v/>
      </c>
      <c r="E110" s="43" t="str">
        <f>IF(B110="","",C110-D110)</f>
        <v/>
      </c>
      <c r="F110" s="43" t="str">
        <f>IF(B110="","",MAX(0,F109-E110))</f>
        <v/>
      </c>
      <c r="H110" s="43" t="str">
        <f>IF(B110="","",I110+J110)</f>
        <v/>
      </c>
      <c r="I110" s="43" t="str">
        <f>IF(B110="","",K109*Am_Taxa)</f>
        <v/>
      </c>
      <c r="J110" s="43" t="str">
        <f>IF(B110="","",Am_Saldo/Am_N)</f>
        <v/>
      </c>
      <c r="K110" s="43" t="str">
        <f>IF(B110="","",MAX(0,K109-J110))</f>
        <v/>
      </c>
    </row>
    <row r="111">
      <c r="B111" s="69" t="str">
        <f>IF(43&lt;=Am_N,43,"")</f>
        <v/>
      </c>
      <c r="C111" s="43" t="str">
        <f>IF(B111="","",IFERROR(PMT(Am_Taxa,Am_N,-Am_Saldo),Am_Saldo/Am_N))</f>
        <v/>
      </c>
      <c r="D111" s="43" t="str">
        <f>IF(B111="","",F110*Am_Taxa)</f>
        <v/>
      </c>
      <c r="E111" s="43" t="str">
        <f>IF(B111="","",C111-D111)</f>
        <v/>
      </c>
      <c r="F111" s="43" t="str">
        <f>IF(B111="","",MAX(0,F110-E111))</f>
        <v/>
      </c>
      <c r="H111" s="43" t="str">
        <f>IF(B111="","",I111+J111)</f>
        <v/>
      </c>
      <c r="I111" s="43" t="str">
        <f>IF(B111="","",K110*Am_Taxa)</f>
        <v/>
      </c>
      <c r="J111" s="43" t="str">
        <f>IF(B111="","",Am_Saldo/Am_N)</f>
        <v/>
      </c>
      <c r="K111" s="43" t="str">
        <f>IF(B111="","",MAX(0,K110-J111))</f>
        <v/>
      </c>
    </row>
    <row r="112">
      <c r="B112" s="69" t="str">
        <f>IF(44&lt;=Am_N,44,"")</f>
        <v/>
      </c>
      <c r="C112" s="43" t="str">
        <f>IF(B112="","",IFERROR(PMT(Am_Taxa,Am_N,-Am_Saldo),Am_Saldo/Am_N))</f>
        <v/>
      </c>
      <c r="D112" s="43" t="str">
        <f>IF(B112="","",F111*Am_Taxa)</f>
        <v/>
      </c>
      <c r="E112" s="43" t="str">
        <f>IF(B112="","",C112-D112)</f>
        <v/>
      </c>
      <c r="F112" s="43" t="str">
        <f>IF(B112="","",MAX(0,F111-E112))</f>
        <v/>
      </c>
      <c r="H112" s="43" t="str">
        <f>IF(B112="","",I112+J112)</f>
        <v/>
      </c>
      <c r="I112" s="43" t="str">
        <f>IF(B112="","",K111*Am_Taxa)</f>
        <v/>
      </c>
      <c r="J112" s="43" t="str">
        <f>IF(B112="","",Am_Saldo/Am_N)</f>
        <v/>
      </c>
      <c r="K112" s="43" t="str">
        <f>IF(B112="","",MAX(0,K111-J112))</f>
        <v/>
      </c>
    </row>
    <row r="113">
      <c r="B113" s="69" t="str">
        <f>IF(45&lt;=Am_N,45,"")</f>
        <v/>
      </c>
      <c r="C113" s="43" t="str">
        <f>IF(B113="","",IFERROR(PMT(Am_Taxa,Am_N,-Am_Saldo),Am_Saldo/Am_N))</f>
        <v/>
      </c>
      <c r="D113" s="43" t="str">
        <f>IF(B113="","",F112*Am_Taxa)</f>
        <v/>
      </c>
      <c r="E113" s="43" t="str">
        <f>IF(B113="","",C113-D113)</f>
        <v/>
      </c>
      <c r="F113" s="43" t="str">
        <f>IF(B113="","",MAX(0,F112-E113))</f>
        <v/>
      </c>
      <c r="H113" s="43" t="str">
        <f>IF(B113="","",I113+J113)</f>
        <v/>
      </c>
      <c r="I113" s="43" t="str">
        <f>IF(B113="","",K112*Am_Taxa)</f>
        <v/>
      </c>
      <c r="J113" s="43" t="str">
        <f>IF(B113="","",Am_Saldo/Am_N)</f>
        <v/>
      </c>
      <c r="K113" s="43" t="str">
        <f>IF(B113="","",MAX(0,K112-J113))</f>
        <v/>
      </c>
    </row>
    <row r="114">
      <c r="B114" s="69" t="str">
        <f>IF(46&lt;=Am_N,46,"")</f>
        <v/>
      </c>
      <c r="C114" s="43" t="str">
        <f>IF(B114="","",IFERROR(PMT(Am_Taxa,Am_N,-Am_Saldo),Am_Saldo/Am_N))</f>
        <v/>
      </c>
      <c r="D114" s="43" t="str">
        <f>IF(B114="","",F113*Am_Taxa)</f>
        <v/>
      </c>
      <c r="E114" s="43" t="str">
        <f>IF(B114="","",C114-D114)</f>
        <v/>
      </c>
      <c r="F114" s="43" t="str">
        <f>IF(B114="","",MAX(0,F113-E114))</f>
        <v/>
      </c>
      <c r="H114" s="43" t="str">
        <f>IF(B114="","",I114+J114)</f>
        <v/>
      </c>
      <c r="I114" s="43" t="str">
        <f>IF(B114="","",K113*Am_Taxa)</f>
        <v/>
      </c>
      <c r="J114" s="43" t="str">
        <f>IF(B114="","",Am_Saldo/Am_N)</f>
        <v/>
      </c>
      <c r="K114" s="43" t="str">
        <f>IF(B114="","",MAX(0,K113-J114))</f>
        <v/>
      </c>
    </row>
    <row r="115">
      <c r="B115" s="69" t="str">
        <f>IF(47&lt;=Am_N,47,"")</f>
        <v/>
      </c>
      <c r="C115" s="43" t="str">
        <f>IF(B115="","",IFERROR(PMT(Am_Taxa,Am_N,-Am_Saldo),Am_Saldo/Am_N))</f>
        <v/>
      </c>
      <c r="D115" s="43" t="str">
        <f>IF(B115="","",F114*Am_Taxa)</f>
        <v/>
      </c>
      <c r="E115" s="43" t="str">
        <f>IF(B115="","",C115-D115)</f>
        <v/>
      </c>
      <c r="F115" s="43" t="str">
        <f>IF(B115="","",MAX(0,F114-E115))</f>
        <v/>
      </c>
      <c r="H115" s="43" t="str">
        <f>IF(B115="","",I115+J115)</f>
        <v/>
      </c>
      <c r="I115" s="43" t="str">
        <f>IF(B115="","",K114*Am_Taxa)</f>
        <v/>
      </c>
      <c r="J115" s="43" t="str">
        <f>IF(B115="","",Am_Saldo/Am_N)</f>
        <v/>
      </c>
      <c r="K115" s="43" t="str">
        <f>IF(B115="","",MAX(0,K114-J115))</f>
        <v/>
      </c>
    </row>
    <row r="116">
      <c r="B116" s="69" t="str">
        <f>IF(48&lt;=Am_N,48,"")</f>
        <v/>
      </c>
      <c r="C116" s="43" t="str">
        <f>IF(B116="","",IFERROR(PMT(Am_Taxa,Am_N,-Am_Saldo),Am_Saldo/Am_N))</f>
        <v/>
      </c>
      <c r="D116" s="43" t="str">
        <f>IF(B116="","",F115*Am_Taxa)</f>
        <v/>
      </c>
      <c r="E116" s="43" t="str">
        <f>IF(B116="","",C116-D116)</f>
        <v/>
      </c>
      <c r="F116" s="43" t="str">
        <f>IF(B116="","",MAX(0,F115-E116))</f>
        <v/>
      </c>
      <c r="H116" s="43" t="str">
        <f>IF(B116="","",I116+J116)</f>
        <v/>
      </c>
      <c r="I116" s="43" t="str">
        <f>IF(B116="","",K115*Am_Taxa)</f>
        <v/>
      </c>
      <c r="J116" s="43" t="str">
        <f>IF(B116="","",Am_Saldo/Am_N)</f>
        <v/>
      </c>
      <c r="K116" s="43" t="str">
        <f>IF(B116="","",MAX(0,K115-J116))</f>
        <v/>
      </c>
    </row>
    <row r="117">
      <c r="B117" s="69" t="str">
        <f>IF(49&lt;=Am_N,49,"")</f>
        <v/>
      </c>
      <c r="C117" s="43" t="str">
        <f>IF(B117="","",IFERROR(PMT(Am_Taxa,Am_N,-Am_Saldo),Am_Saldo/Am_N))</f>
        <v/>
      </c>
      <c r="D117" s="43" t="str">
        <f>IF(B117="","",F116*Am_Taxa)</f>
        <v/>
      </c>
      <c r="E117" s="43" t="str">
        <f>IF(B117="","",C117-D117)</f>
        <v/>
      </c>
      <c r="F117" s="43" t="str">
        <f>IF(B117="","",MAX(0,F116-E117))</f>
        <v/>
      </c>
      <c r="H117" s="43" t="str">
        <f>IF(B117="","",I117+J117)</f>
        <v/>
      </c>
      <c r="I117" s="43" t="str">
        <f>IF(B117="","",K116*Am_Taxa)</f>
        <v/>
      </c>
      <c r="J117" s="43" t="str">
        <f>IF(B117="","",Am_Saldo/Am_N)</f>
        <v/>
      </c>
      <c r="K117" s="43" t="str">
        <f>IF(B117="","",MAX(0,K116-J117))</f>
        <v/>
      </c>
    </row>
    <row r="118">
      <c r="B118" s="69" t="str">
        <f>IF(50&lt;=Am_N,50,"")</f>
        <v/>
      </c>
      <c r="C118" s="43" t="str">
        <f>IF(B118="","",IFERROR(PMT(Am_Taxa,Am_N,-Am_Saldo),Am_Saldo/Am_N))</f>
        <v/>
      </c>
      <c r="D118" s="43" t="str">
        <f>IF(B118="","",F117*Am_Taxa)</f>
        <v/>
      </c>
      <c r="E118" s="43" t="str">
        <f>IF(B118="","",C118-D118)</f>
        <v/>
      </c>
      <c r="F118" s="43" t="str">
        <f>IF(B118="","",MAX(0,F117-E118))</f>
        <v/>
      </c>
      <c r="H118" s="43" t="str">
        <f>IF(B118="","",I118+J118)</f>
        <v/>
      </c>
      <c r="I118" s="43" t="str">
        <f>IF(B118="","",K117*Am_Taxa)</f>
        <v/>
      </c>
      <c r="J118" s="43" t="str">
        <f>IF(B118="","",Am_Saldo/Am_N)</f>
        <v/>
      </c>
      <c r="K118" s="43" t="str">
        <f>IF(B118="","",MAX(0,K117-J118))</f>
        <v/>
      </c>
    </row>
    <row r="119">
      <c r="B119" s="69" t="str">
        <f>IF(51&lt;=Am_N,51,"")</f>
        <v/>
      </c>
      <c r="C119" s="43" t="str">
        <f>IF(B119="","",IFERROR(PMT(Am_Taxa,Am_N,-Am_Saldo),Am_Saldo/Am_N))</f>
        <v/>
      </c>
      <c r="D119" s="43" t="str">
        <f>IF(B119="","",F118*Am_Taxa)</f>
        <v/>
      </c>
      <c r="E119" s="43" t="str">
        <f>IF(B119="","",C119-D119)</f>
        <v/>
      </c>
      <c r="F119" s="43" t="str">
        <f>IF(B119="","",MAX(0,F118-E119))</f>
        <v/>
      </c>
      <c r="H119" s="43" t="str">
        <f>IF(B119="","",I119+J119)</f>
        <v/>
      </c>
      <c r="I119" s="43" t="str">
        <f>IF(B119="","",K118*Am_Taxa)</f>
        <v/>
      </c>
      <c r="J119" s="43" t="str">
        <f>IF(B119="","",Am_Saldo/Am_N)</f>
        <v/>
      </c>
      <c r="K119" s="43" t="str">
        <f>IF(B119="","",MAX(0,K118-J119))</f>
        <v/>
      </c>
    </row>
    <row r="120">
      <c r="B120" s="69" t="str">
        <f>IF(52&lt;=Am_N,52,"")</f>
        <v/>
      </c>
      <c r="C120" s="43" t="str">
        <f>IF(B120="","",IFERROR(PMT(Am_Taxa,Am_N,-Am_Saldo),Am_Saldo/Am_N))</f>
        <v/>
      </c>
      <c r="D120" s="43" t="str">
        <f>IF(B120="","",F119*Am_Taxa)</f>
        <v/>
      </c>
      <c r="E120" s="43" t="str">
        <f>IF(B120="","",C120-D120)</f>
        <v/>
      </c>
      <c r="F120" s="43" t="str">
        <f>IF(B120="","",MAX(0,F119-E120))</f>
        <v/>
      </c>
      <c r="H120" s="43" t="str">
        <f>IF(B120="","",I120+J120)</f>
        <v/>
      </c>
      <c r="I120" s="43" t="str">
        <f>IF(B120="","",K119*Am_Taxa)</f>
        <v/>
      </c>
      <c r="J120" s="43" t="str">
        <f>IF(B120="","",Am_Saldo/Am_N)</f>
        <v/>
      </c>
      <c r="K120" s="43" t="str">
        <f>IF(B120="","",MAX(0,K119-J120))</f>
        <v/>
      </c>
    </row>
    <row r="121">
      <c r="B121" s="69" t="str">
        <f>IF(53&lt;=Am_N,53,"")</f>
        <v/>
      </c>
      <c r="C121" s="43" t="str">
        <f>IF(B121="","",IFERROR(PMT(Am_Taxa,Am_N,-Am_Saldo),Am_Saldo/Am_N))</f>
        <v/>
      </c>
      <c r="D121" s="43" t="str">
        <f>IF(B121="","",F120*Am_Taxa)</f>
        <v/>
      </c>
      <c r="E121" s="43" t="str">
        <f>IF(B121="","",C121-D121)</f>
        <v/>
      </c>
      <c r="F121" s="43" t="str">
        <f>IF(B121="","",MAX(0,F120-E121))</f>
        <v/>
      </c>
      <c r="H121" s="43" t="str">
        <f>IF(B121="","",I121+J121)</f>
        <v/>
      </c>
      <c r="I121" s="43" t="str">
        <f>IF(B121="","",K120*Am_Taxa)</f>
        <v/>
      </c>
      <c r="J121" s="43" t="str">
        <f>IF(B121="","",Am_Saldo/Am_N)</f>
        <v/>
      </c>
      <c r="K121" s="43" t="str">
        <f>IF(B121="","",MAX(0,K120-J121))</f>
        <v/>
      </c>
    </row>
    <row r="122">
      <c r="B122" s="69" t="str">
        <f>IF(54&lt;=Am_N,54,"")</f>
        <v/>
      </c>
      <c r="C122" s="43" t="str">
        <f>IF(B122="","",IFERROR(PMT(Am_Taxa,Am_N,-Am_Saldo),Am_Saldo/Am_N))</f>
        <v/>
      </c>
      <c r="D122" s="43" t="str">
        <f>IF(B122="","",F121*Am_Taxa)</f>
        <v/>
      </c>
      <c r="E122" s="43" t="str">
        <f>IF(B122="","",C122-D122)</f>
        <v/>
      </c>
      <c r="F122" s="43" t="str">
        <f>IF(B122="","",MAX(0,F121-E122))</f>
        <v/>
      </c>
      <c r="H122" s="43" t="str">
        <f>IF(B122="","",I122+J122)</f>
        <v/>
      </c>
      <c r="I122" s="43" t="str">
        <f>IF(B122="","",K121*Am_Taxa)</f>
        <v/>
      </c>
      <c r="J122" s="43" t="str">
        <f>IF(B122="","",Am_Saldo/Am_N)</f>
        <v/>
      </c>
      <c r="K122" s="43" t="str">
        <f>IF(B122="","",MAX(0,K121-J122))</f>
        <v/>
      </c>
    </row>
    <row r="123">
      <c r="B123" s="69" t="str">
        <f>IF(55&lt;=Am_N,55,"")</f>
        <v/>
      </c>
      <c r="C123" s="43" t="str">
        <f>IF(B123="","",IFERROR(PMT(Am_Taxa,Am_N,-Am_Saldo),Am_Saldo/Am_N))</f>
        <v/>
      </c>
      <c r="D123" s="43" t="str">
        <f>IF(B123="","",F122*Am_Taxa)</f>
        <v/>
      </c>
      <c r="E123" s="43" t="str">
        <f>IF(B123="","",C123-D123)</f>
        <v/>
      </c>
      <c r="F123" s="43" t="str">
        <f>IF(B123="","",MAX(0,F122-E123))</f>
        <v/>
      </c>
      <c r="H123" s="43" t="str">
        <f>IF(B123="","",I123+J123)</f>
        <v/>
      </c>
      <c r="I123" s="43" t="str">
        <f>IF(B123="","",K122*Am_Taxa)</f>
        <v/>
      </c>
      <c r="J123" s="43" t="str">
        <f>IF(B123="","",Am_Saldo/Am_N)</f>
        <v/>
      </c>
      <c r="K123" s="43" t="str">
        <f>IF(B123="","",MAX(0,K122-J123))</f>
        <v/>
      </c>
    </row>
    <row r="124">
      <c r="B124" s="69" t="str">
        <f>IF(56&lt;=Am_N,56,"")</f>
        <v/>
      </c>
      <c r="C124" s="43" t="str">
        <f>IF(B124="","",IFERROR(PMT(Am_Taxa,Am_N,-Am_Saldo),Am_Saldo/Am_N))</f>
        <v/>
      </c>
      <c r="D124" s="43" t="str">
        <f>IF(B124="","",F123*Am_Taxa)</f>
        <v/>
      </c>
      <c r="E124" s="43" t="str">
        <f>IF(B124="","",C124-D124)</f>
        <v/>
      </c>
      <c r="F124" s="43" t="str">
        <f>IF(B124="","",MAX(0,F123-E124))</f>
        <v/>
      </c>
      <c r="H124" s="43" t="str">
        <f>IF(B124="","",I124+J124)</f>
        <v/>
      </c>
      <c r="I124" s="43" t="str">
        <f>IF(B124="","",K123*Am_Taxa)</f>
        <v/>
      </c>
      <c r="J124" s="43" t="str">
        <f>IF(B124="","",Am_Saldo/Am_N)</f>
        <v/>
      </c>
      <c r="K124" s="43" t="str">
        <f>IF(B124="","",MAX(0,K123-J124))</f>
        <v/>
      </c>
    </row>
    <row r="125">
      <c r="B125" s="69" t="str">
        <f>IF(57&lt;=Am_N,57,"")</f>
        <v/>
      </c>
      <c r="C125" s="43" t="str">
        <f>IF(B125="","",IFERROR(PMT(Am_Taxa,Am_N,-Am_Saldo),Am_Saldo/Am_N))</f>
        <v/>
      </c>
      <c r="D125" s="43" t="str">
        <f>IF(B125="","",F124*Am_Taxa)</f>
        <v/>
      </c>
      <c r="E125" s="43" t="str">
        <f>IF(B125="","",C125-D125)</f>
        <v/>
      </c>
      <c r="F125" s="43" t="str">
        <f>IF(B125="","",MAX(0,F124-E125))</f>
        <v/>
      </c>
      <c r="H125" s="43" t="str">
        <f>IF(B125="","",I125+J125)</f>
        <v/>
      </c>
      <c r="I125" s="43" t="str">
        <f>IF(B125="","",K124*Am_Taxa)</f>
        <v/>
      </c>
      <c r="J125" s="43" t="str">
        <f>IF(B125="","",Am_Saldo/Am_N)</f>
        <v/>
      </c>
      <c r="K125" s="43" t="str">
        <f>IF(B125="","",MAX(0,K124-J125))</f>
        <v/>
      </c>
    </row>
    <row r="126">
      <c r="B126" s="69" t="str">
        <f>IF(58&lt;=Am_N,58,"")</f>
        <v/>
      </c>
      <c r="C126" s="43" t="str">
        <f>IF(B126="","",IFERROR(PMT(Am_Taxa,Am_N,-Am_Saldo),Am_Saldo/Am_N))</f>
        <v/>
      </c>
      <c r="D126" s="43" t="str">
        <f>IF(B126="","",F125*Am_Taxa)</f>
        <v/>
      </c>
      <c r="E126" s="43" t="str">
        <f>IF(B126="","",C126-D126)</f>
        <v/>
      </c>
      <c r="F126" s="43" t="str">
        <f>IF(B126="","",MAX(0,F125-E126))</f>
        <v/>
      </c>
      <c r="H126" s="43" t="str">
        <f>IF(B126="","",I126+J126)</f>
        <v/>
      </c>
      <c r="I126" s="43" t="str">
        <f>IF(B126="","",K125*Am_Taxa)</f>
        <v/>
      </c>
      <c r="J126" s="43" t="str">
        <f>IF(B126="","",Am_Saldo/Am_N)</f>
        <v/>
      </c>
      <c r="K126" s="43" t="str">
        <f>IF(B126="","",MAX(0,K125-J126))</f>
        <v/>
      </c>
    </row>
    <row r="127">
      <c r="B127" s="69" t="str">
        <f>IF(59&lt;=Am_N,59,"")</f>
        <v/>
      </c>
      <c r="C127" s="43" t="str">
        <f>IF(B127="","",IFERROR(PMT(Am_Taxa,Am_N,-Am_Saldo),Am_Saldo/Am_N))</f>
        <v/>
      </c>
      <c r="D127" s="43" t="str">
        <f>IF(B127="","",F126*Am_Taxa)</f>
        <v/>
      </c>
      <c r="E127" s="43" t="str">
        <f>IF(B127="","",C127-D127)</f>
        <v/>
      </c>
      <c r="F127" s="43" t="str">
        <f>IF(B127="","",MAX(0,F126-E127))</f>
        <v/>
      </c>
      <c r="H127" s="43" t="str">
        <f>IF(B127="","",I127+J127)</f>
        <v/>
      </c>
      <c r="I127" s="43" t="str">
        <f>IF(B127="","",K126*Am_Taxa)</f>
        <v/>
      </c>
      <c r="J127" s="43" t="str">
        <f>IF(B127="","",Am_Saldo/Am_N)</f>
        <v/>
      </c>
      <c r="K127" s="43" t="str">
        <f>IF(B127="","",MAX(0,K126-J127))</f>
        <v/>
      </c>
    </row>
    <row r="128">
      <c r="B128" s="69" t="str">
        <f>IF(60&lt;=Am_N,60,"")</f>
        <v/>
      </c>
      <c r="C128" s="43" t="str">
        <f>IF(B128="","",IFERROR(PMT(Am_Taxa,Am_N,-Am_Saldo),Am_Saldo/Am_N))</f>
        <v/>
      </c>
      <c r="D128" s="43" t="str">
        <f>IF(B128="","",F127*Am_Taxa)</f>
        <v/>
      </c>
      <c r="E128" s="43" t="str">
        <f>IF(B128="","",C128-D128)</f>
        <v/>
      </c>
      <c r="F128" s="43" t="str">
        <f>IF(B128="","",MAX(0,F127-E128))</f>
        <v/>
      </c>
      <c r="H128" s="43" t="str">
        <f>IF(B128="","",I128+J128)</f>
        <v/>
      </c>
      <c r="I128" s="43" t="str">
        <f>IF(B128="","",K127*Am_Taxa)</f>
        <v/>
      </c>
      <c r="J128" s="43" t="str">
        <f>IF(B128="","",Am_Saldo/Am_N)</f>
        <v/>
      </c>
      <c r="K128" s="43" t="str">
        <f>IF(B128="","",MAX(0,K127-J128))</f>
        <v/>
      </c>
    </row>
    <row r="129">
      <c r="B129" s="69" t="str">
        <f>IF(61&lt;=Am_N,61,"")</f>
        <v/>
      </c>
      <c r="C129" s="43" t="str">
        <f>IF(B129="","",IFERROR(PMT(Am_Taxa,Am_N,-Am_Saldo),Am_Saldo/Am_N))</f>
        <v/>
      </c>
      <c r="D129" s="43" t="str">
        <f>IF(B129="","",F128*Am_Taxa)</f>
        <v/>
      </c>
      <c r="E129" s="43" t="str">
        <f>IF(B129="","",C129-D129)</f>
        <v/>
      </c>
      <c r="F129" s="43" t="str">
        <f>IF(B129="","",MAX(0,F128-E129))</f>
        <v/>
      </c>
      <c r="H129" s="43" t="str">
        <f>IF(B129="","",I129+J129)</f>
        <v/>
      </c>
      <c r="I129" s="43" t="str">
        <f>IF(B129="","",K128*Am_Taxa)</f>
        <v/>
      </c>
      <c r="J129" s="43" t="str">
        <f>IF(B129="","",Am_Saldo/Am_N)</f>
        <v/>
      </c>
      <c r="K129" s="43" t="str">
        <f>IF(B129="","",MAX(0,K128-J129))</f>
        <v/>
      </c>
    </row>
    <row r="130">
      <c r="B130" s="69" t="str">
        <f>IF(62&lt;=Am_N,62,"")</f>
        <v/>
      </c>
      <c r="C130" s="43" t="str">
        <f>IF(B130="","",IFERROR(PMT(Am_Taxa,Am_N,-Am_Saldo),Am_Saldo/Am_N))</f>
        <v/>
      </c>
      <c r="D130" s="43" t="str">
        <f>IF(B130="","",F129*Am_Taxa)</f>
        <v/>
      </c>
      <c r="E130" s="43" t="str">
        <f>IF(B130="","",C130-D130)</f>
        <v/>
      </c>
      <c r="F130" s="43" t="str">
        <f>IF(B130="","",MAX(0,F129-E130))</f>
        <v/>
      </c>
      <c r="H130" s="43" t="str">
        <f>IF(B130="","",I130+J130)</f>
        <v/>
      </c>
      <c r="I130" s="43" t="str">
        <f>IF(B130="","",K129*Am_Taxa)</f>
        <v/>
      </c>
      <c r="J130" s="43" t="str">
        <f>IF(B130="","",Am_Saldo/Am_N)</f>
        <v/>
      </c>
      <c r="K130" s="43" t="str">
        <f>IF(B130="","",MAX(0,K129-J130))</f>
        <v/>
      </c>
    </row>
    <row r="131">
      <c r="B131" s="69" t="str">
        <f>IF(63&lt;=Am_N,63,"")</f>
        <v/>
      </c>
      <c r="C131" s="43" t="str">
        <f>IF(B131="","",IFERROR(PMT(Am_Taxa,Am_N,-Am_Saldo),Am_Saldo/Am_N))</f>
        <v/>
      </c>
      <c r="D131" s="43" t="str">
        <f>IF(B131="","",F130*Am_Taxa)</f>
        <v/>
      </c>
      <c r="E131" s="43" t="str">
        <f>IF(B131="","",C131-D131)</f>
        <v/>
      </c>
      <c r="F131" s="43" t="str">
        <f>IF(B131="","",MAX(0,F130-E131))</f>
        <v/>
      </c>
      <c r="H131" s="43" t="str">
        <f>IF(B131="","",I131+J131)</f>
        <v/>
      </c>
      <c r="I131" s="43" t="str">
        <f>IF(B131="","",K130*Am_Taxa)</f>
        <v/>
      </c>
      <c r="J131" s="43" t="str">
        <f>IF(B131="","",Am_Saldo/Am_N)</f>
        <v/>
      </c>
      <c r="K131" s="43" t="str">
        <f>IF(B131="","",MAX(0,K130-J131))</f>
        <v/>
      </c>
    </row>
    <row r="132">
      <c r="B132" s="69" t="str">
        <f>IF(64&lt;=Am_N,64,"")</f>
        <v/>
      </c>
      <c r="C132" s="43" t="str">
        <f>IF(B132="","",IFERROR(PMT(Am_Taxa,Am_N,-Am_Saldo),Am_Saldo/Am_N))</f>
        <v/>
      </c>
      <c r="D132" s="43" t="str">
        <f>IF(B132="","",F131*Am_Taxa)</f>
        <v/>
      </c>
      <c r="E132" s="43" t="str">
        <f>IF(B132="","",C132-D132)</f>
        <v/>
      </c>
      <c r="F132" s="43" t="str">
        <f>IF(B132="","",MAX(0,F131-E132))</f>
        <v/>
      </c>
      <c r="H132" s="43" t="str">
        <f>IF(B132="","",I132+J132)</f>
        <v/>
      </c>
      <c r="I132" s="43" t="str">
        <f>IF(B132="","",K131*Am_Taxa)</f>
        <v/>
      </c>
      <c r="J132" s="43" t="str">
        <f>IF(B132="","",Am_Saldo/Am_N)</f>
        <v/>
      </c>
      <c r="K132" s="43" t="str">
        <f>IF(B132="","",MAX(0,K131-J132))</f>
        <v/>
      </c>
    </row>
    <row r="133">
      <c r="B133" s="69" t="str">
        <f>IF(65&lt;=Am_N,65,"")</f>
        <v/>
      </c>
      <c r="C133" s="43" t="str">
        <f>IF(B133="","",IFERROR(PMT(Am_Taxa,Am_N,-Am_Saldo),Am_Saldo/Am_N))</f>
        <v/>
      </c>
      <c r="D133" s="43" t="str">
        <f>IF(B133="","",F132*Am_Taxa)</f>
        <v/>
      </c>
      <c r="E133" s="43" t="str">
        <f>IF(B133="","",C133-D133)</f>
        <v/>
      </c>
      <c r="F133" s="43" t="str">
        <f>IF(B133="","",MAX(0,F132-E133))</f>
        <v/>
      </c>
      <c r="H133" s="43" t="str">
        <f>IF(B133="","",I133+J133)</f>
        <v/>
      </c>
      <c r="I133" s="43" t="str">
        <f>IF(B133="","",K132*Am_Taxa)</f>
        <v/>
      </c>
      <c r="J133" s="43" t="str">
        <f>IF(B133="","",Am_Saldo/Am_N)</f>
        <v/>
      </c>
      <c r="K133" s="43" t="str">
        <f>IF(B133="","",MAX(0,K132-J133))</f>
        <v/>
      </c>
    </row>
    <row r="134">
      <c r="B134" s="69" t="str">
        <f>IF(66&lt;=Am_N,66,"")</f>
        <v/>
      </c>
      <c r="C134" s="43" t="str">
        <f>IF(B134="","",IFERROR(PMT(Am_Taxa,Am_N,-Am_Saldo),Am_Saldo/Am_N))</f>
        <v/>
      </c>
      <c r="D134" s="43" t="str">
        <f>IF(B134="","",F133*Am_Taxa)</f>
        <v/>
      </c>
      <c r="E134" s="43" t="str">
        <f>IF(B134="","",C134-D134)</f>
        <v/>
      </c>
      <c r="F134" s="43" t="str">
        <f>IF(B134="","",MAX(0,F133-E134))</f>
        <v/>
      </c>
      <c r="H134" s="43" t="str">
        <f>IF(B134="","",I134+J134)</f>
        <v/>
      </c>
      <c r="I134" s="43" t="str">
        <f>IF(B134="","",K133*Am_Taxa)</f>
        <v/>
      </c>
      <c r="J134" s="43" t="str">
        <f>IF(B134="","",Am_Saldo/Am_N)</f>
        <v/>
      </c>
      <c r="K134" s="43" t="str">
        <f>IF(B134="","",MAX(0,K133-J134))</f>
        <v/>
      </c>
    </row>
    <row r="135">
      <c r="B135" s="69" t="str">
        <f>IF(67&lt;=Am_N,67,"")</f>
        <v/>
      </c>
      <c r="C135" s="43" t="str">
        <f>IF(B135="","",IFERROR(PMT(Am_Taxa,Am_N,-Am_Saldo),Am_Saldo/Am_N))</f>
        <v/>
      </c>
      <c r="D135" s="43" t="str">
        <f>IF(B135="","",F134*Am_Taxa)</f>
        <v/>
      </c>
      <c r="E135" s="43" t="str">
        <f>IF(B135="","",C135-D135)</f>
        <v/>
      </c>
      <c r="F135" s="43" t="str">
        <f>IF(B135="","",MAX(0,F134-E135))</f>
        <v/>
      </c>
      <c r="H135" s="43" t="str">
        <f>IF(B135="","",I135+J135)</f>
        <v/>
      </c>
      <c r="I135" s="43" t="str">
        <f>IF(B135="","",K134*Am_Taxa)</f>
        <v/>
      </c>
      <c r="J135" s="43" t="str">
        <f>IF(B135="","",Am_Saldo/Am_N)</f>
        <v/>
      </c>
      <c r="K135" s="43" t="str">
        <f>IF(B135="","",MAX(0,K134-J135))</f>
        <v/>
      </c>
    </row>
    <row r="136">
      <c r="B136" s="69" t="str">
        <f>IF(68&lt;=Am_N,68,"")</f>
        <v/>
      </c>
      <c r="C136" s="43" t="str">
        <f>IF(B136="","",IFERROR(PMT(Am_Taxa,Am_N,-Am_Saldo),Am_Saldo/Am_N))</f>
        <v/>
      </c>
      <c r="D136" s="43" t="str">
        <f>IF(B136="","",F135*Am_Taxa)</f>
        <v/>
      </c>
      <c r="E136" s="43" t="str">
        <f>IF(B136="","",C136-D136)</f>
        <v/>
      </c>
      <c r="F136" s="43" t="str">
        <f>IF(B136="","",MAX(0,F135-E136))</f>
        <v/>
      </c>
      <c r="H136" s="43" t="str">
        <f>IF(B136="","",I136+J136)</f>
        <v/>
      </c>
      <c r="I136" s="43" t="str">
        <f>IF(B136="","",K135*Am_Taxa)</f>
        <v/>
      </c>
      <c r="J136" s="43" t="str">
        <f>IF(B136="","",Am_Saldo/Am_N)</f>
        <v/>
      </c>
      <c r="K136" s="43" t="str">
        <f>IF(B136="","",MAX(0,K135-J136))</f>
        <v/>
      </c>
    </row>
    <row r="137">
      <c r="B137" s="69" t="str">
        <f>IF(69&lt;=Am_N,69,"")</f>
        <v/>
      </c>
      <c r="C137" s="43" t="str">
        <f>IF(B137="","",IFERROR(PMT(Am_Taxa,Am_N,-Am_Saldo),Am_Saldo/Am_N))</f>
        <v/>
      </c>
      <c r="D137" s="43" t="str">
        <f>IF(B137="","",F136*Am_Taxa)</f>
        <v/>
      </c>
      <c r="E137" s="43" t="str">
        <f>IF(B137="","",C137-D137)</f>
        <v/>
      </c>
      <c r="F137" s="43" t="str">
        <f>IF(B137="","",MAX(0,F136-E137))</f>
        <v/>
      </c>
      <c r="H137" s="43" t="str">
        <f>IF(B137="","",I137+J137)</f>
        <v/>
      </c>
      <c r="I137" s="43" t="str">
        <f>IF(B137="","",K136*Am_Taxa)</f>
        <v/>
      </c>
      <c r="J137" s="43" t="str">
        <f>IF(B137="","",Am_Saldo/Am_N)</f>
        <v/>
      </c>
      <c r="K137" s="43" t="str">
        <f>IF(B137="","",MAX(0,K136-J137))</f>
        <v/>
      </c>
    </row>
    <row r="138">
      <c r="B138" s="69" t="str">
        <f>IF(70&lt;=Am_N,70,"")</f>
        <v/>
      </c>
      <c r="C138" s="43" t="str">
        <f>IF(B138="","",IFERROR(PMT(Am_Taxa,Am_N,-Am_Saldo),Am_Saldo/Am_N))</f>
        <v/>
      </c>
      <c r="D138" s="43" t="str">
        <f>IF(B138="","",F137*Am_Taxa)</f>
        <v/>
      </c>
      <c r="E138" s="43" t="str">
        <f>IF(B138="","",C138-D138)</f>
        <v/>
      </c>
      <c r="F138" s="43" t="str">
        <f>IF(B138="","",MAX(0,F137-E138))</f>
        <v/>
      </c>
      <c r="H138" s="43" t="str">
        <f>IF(B138="","",I138+J138)</f>
        <v/>
      </c>
      <c r="I138" s="43" t="str">
        <f>IF(B138="","",K137*Am_Taxa)</f>
        <v/>
      </c>
      <c r="J138" s="43" t="str">
        <f>IF(B138="","",Am_Saldo/Am_N)</f>
        <v/>
      </c>
      <c r="K138" s="43" t="str">
        <f>IF(B138="","",MAX(0,K137-J138))</f>
        <v/>
      </c>
    </row>
    <row r="139">
      <c r="B139" s="69" t="str">
        <f>IF(71&lt;=Am_N,71,"")</f>
        <v/>
      </c>
      <c r="C139" s="43" t="str">
        <f>IF(B139="","",IFERROR(PMT(Am_Taxa,Am_N,-Am_Saldo),Am_Saldo/Am_N))</f>
        <v/>
      </c>
      <c r="D139" s="43" t="str">
        <f>IF(B139="","",F138*Am_Taxa)</f>
        <v/>
      </c>
      <c r="E139" s="43" t="str">
        <f>IF(B139="","",C139-D139)</f>
        <v/>
      </c>
      <c r="F139" s="43" t="str">
        <f>IF(B139="","",MAX(0,F138-E139))</f>
        <v/>
      </c>
      <c r="H139" s="43" t="str">
        <f>IF(B139="","",I139+J139)</f>
        <v/>
      </c>
      <c r="I139" s="43" t="str">
        <f>IF(B139="","",K138*Am_Taxa)</f>
        <v/>
      </c>
      <c r="J139" s="43" t="str">
        <f>IF(B139="","",Am_Saldo/Am_N)</f>
        <v/>
      </c>
      <c r="K139" s="43" t="str">
        <f>IF(B139="","",MAX(0,K138-J139))</f>
        <v/>
      </c>
    </row>
    <row r="140">
      <c r="B140" s="69" t="str">
        <f>IF(72&lt;=Am_N,72,"")</f>
        <v/>
      </c>
      <c r="C140" s="43" t="str">
        <f>IF(B140="","",IFERROR(PMT(Am_Taxa,Am_N,-Am_Saldo),Am_Saldo/Am_N))</f>
        <v/>
      </c>
      <c r="D140" s="43" t="str">
        <f>IF(B140="","",F139*Am_Taxa)</f>
        <v/>
      </c>
      <c r="E140" s="43" t="str">
        <f>IF(B140="","",C140-D140)</f>
        <v/>
      </c>
      <c r="F140" s="43" t="str">
        <f>IF(B140="","",MAX(0,F139-E140))</f>
        <v/>
      </c>
      <c r="H140" s="43" t="str">
        <f>IF(B140="","",I140+J140)</f>
        <v/>
      </c>
      <c r="I140" s="43" t="str">
        <f>IF(B140="","",K139*Am_Taxa)</f>
        <v/>
      </c>
      <c r="J140" s="43" t="str">
        <f>IF(B140="","",Am_Saldo/Am_N)</f>
        <v/>
      </c>
      <c r="K140" s="43" t="str">
        <f>IF(B140="","",MAX(0,K139-J140))</f>
        <v/>
      </c>
    </row>
    <row r="141">
      <c r="B141" s="69" t="str">
        <f>IF(73&lt;=Am_N,73,"")</f>
        <v/>
      </c>
      <c r="C141" s="43" t="str">
        <f>IF(B141="","",IFERROR(PMT(Am_Taxa,Am_N,-Am_Saldo),Am_Saldo/Am_N))</f>
        <v/>
      </c>
      <c r="D141" s="43" t="str">
        <f>IF(B141="","",F140*Am_Taxa)</f>
        <v/>
      </c>
      <c r="E141" s="43" t="str">
        <f>IF(B141="","",C141-D141)</f>
        <v/>
      </c>
      <c r="F141" s="43" t="str">
        <f>IF(B141="","",MAX(0,F140-E141))</f>
        <v/>
      </c>
      <c r="H141" s="43" t="str">
        <f>IF(B141="","",I141+J141)</f>
        <v/>
      </c>
      <c r="I141" s="43" t="str">
        <f>IF(B141="","",K140*Am_Taxa)</f>
        <v/>
      </c>
      <c r="J141" s="43" t="str">
        <f>IF(B141="","",Am_Saldo/Am_N)</f>
        <v/>
      </c>
      <c r="K141" s="43" t="str">
        <f>IF(B141="","",MAX(0,K140-J141))</f>
        <v/>
      </c>
    </row>
    <row r="142">
      <c r="B142" s="69" t="str">
        <f>IF(74&lt;=Am_N,74,"")</f>
        <v/>
      </c>
      <c r="C142" s="43" t="str">
        <f>IF(B142="","",IFERROR(PMT(Am_Taxa,Am_N,-Am_Saldo),Am_Saldo/Am_N))</f>
        <v/>
      </c>
      <c r="D142" s="43" t="str">
        <f>IF(B142="","",F141*Am_Taxa)</f>
        <v/>
      </c>
      <c r="E142" s="43" t="str">
        <f>IF(B142="","",C142-D142)</f>
        <v/>
      </c>
      <c r="F142" s="43" t="str">
        <f>IF(B142="","",MAX(0,F141-E142))</f>
        <v/>
      </c>
      <c r="H142" s="43" t="str">
        <f>IF(B142="","",I142+J142)</f>
        <v/>
      </c>
      <c r="I142" s="43" t="str">
        <f>IF(B142="","",K141*Am_Taxa)</f>
        <v/>
      </c>
      <c r="J142" s="43" t="str">
        <f>IF(B142="","",Am_Saldo/Am_N)</f>
        <v/>
      </c>
      <c r="K142" s="43" t="str">
        <f>IF(B142="","",MAX(0,K141-J142))</f>
        <v/>
      </c>
    </row>
    <row r="143">
      <c r="B143" s="69" t="str">
        <f>IF(75&lt;=Am_N,75,"")</f>
        <v/>
      </c>
      <c r="C143" s="43" t="str">
        <f>IF(B143="","",IFERROR(PMT(Am_Taxa,Am_N,-Am_Saldo),Am_Saldo/Am_N))</f>
        <v/>
      </c>
      <c r="D143" s="43" t="str">
        <f>IF(B143="","",F142*Am_Taxa)</f>
        <v/>
      </c>
      <c r="E143" s="43" t="str">
        <f>IF(B143="","",C143-D143)</f>
        <v/>
      </c>
      <c r="F143" s="43" t="str">
        <f>IF(B143="","",MAX(0,F142-E143))</f>
        <v/>
      </c>
      <c r="H143" s="43" t="str">
        <f>IF(B143="","",I143+J143)</f>
        <v/>
      </c>
      <c r="I143" s="43" t="str">
        <f>IF(B143="","",K142*Am_Taxa)</f>
        <v/>
      </c>
      <c r="J143" s="43" t="str">
        <f>IF(B143="","",Am_Saldo/Am_N)</f>
        <v/>
      </c>
      <c r="K143" s="43" t="str">
        <f>IF(B143="","",MAX(0,K142-J143))</f>
        <v/>
      </c>
    </row>
    <row r="144">
      <c r="B144" s="69" t="str">
        <f>IF(76&lt;=Am_N,76,"")</f>
        <v/>
      </c>
      <c r="C144" s="43" t="str">
        <f>IF(B144="","",IFERROR(PMT(Am_Taxa,Am_N,-Am_Saldo),Am_Saldo/Am_N))</f>
        <v/>
      </c>
      <c r="D144" s="43" t="str">
        <f>IF(B144="","",F143*Am_Taxa)</f>
        <v/>
      </c>
      <c r="E144" s="43" t="str">
        <f>IF(B144="","",C144-D144)</f>
        <v/>
      </c>
      <c r="F144" s="43" t="str">
        <f>IF(B144="","",MAX(0,F143-E144))</f>
        <v/>
      </c>
      <c r="H144" s="43" t="str">
        <f>IF(B144="","",I144+J144)</f>
        <v/>
      </c>
      <c r="I144" s="43" t="str">
        <f>IF(B144="","",K143*Am_Taxa)</f>
        <v/>
      </c>
      <c r="J144" s="43" t="str">
        <f>IF(B144="","",Am_Saldo/Am_N)</f>
        <v/>
      </c>
      <c r="K144" s="43" t="str">
        <f>IF(B144="","",MAX(0,K143-J144))</f>
        <v/>
      </c>
    </row>
    <row r="145">
      <c r="B145" s="69" t="str">
        <f>IF(77&lt;=Am_N,77,"")</f>
        <v/>
      </c>
      <c r="C145" s="43" t="str">
        <f>IF(B145="","",IFERROR(PMT(Am_Taxa,Am_N,-Am_Saldo),Am_Saldo/Am_N))</f>
        <v/>
      </c>
      <c r="D145" s="43" t="str">
        <f>IF(B145="","",F144*Am_Taxa)</f>
        <v/>
      </c>
      <c r="E145" s="43" t="str">
        <f>IF(B145="","",C145-D145)</f>
        <v/>
      </c>
      <c r="F145" s="43" t="str">
        <f>IF(B145="","",MAX(0,F144-E145))</f>
        <v/>
      </c>
      <c r="H145" s="43" t="str">
        <f>IF(B145="","",I145+J145)</f>
        <v/>
      </c>
      <c r="I145" s="43" t="str">
        <f>IF(B145="","",K144*Am_Taxa)</f>
        <v/>
      </c>
      <c r="J145" s="43" t="str">
        <f>IF(B145="","",Am_Saldo/Am_N)</f>
        <v/>
      </c>
      <c r="K145" s="43" t="str">
        <f>IF(B145="","",MAX(0,K144-J145))</f>
        <v/>
      </c>
    </row>
    <row r="146">
      <c r="B146" s="69" t="str">
        <f>IF(78&lt;=Am_N,78,"")</f>
        <v/>
      </c>
      <c r="C146" s="43" t="str">
        <f>IF(B146="","",IFERROR(PMT(Am_Taxa,Am_N,-Am_Saldo),Am_Saldo/Am_N))</f>
        <v/>
      </c>
      <c r="D146" s="43" t="str">
        <f>IF(B146="","",F145*Am_Taxa)</f>
        <v/>
      </c>
      <c r="E146" s="43" t="str">
        <f>IF(B146="","",C146-D146)</f>
        <v/>
      </c>
      <c r="F146" s="43" t="str">
        <f>IF(B146="","",MAX(0,F145-E146))</f>
        <v/>
      </c>
      <c r="H146" s="43" t="str">
        <f>IF(B146="","",I146+J146)</f>
        <v/>
      </c>
      <c r="I146" s="43" t="str">
        <f>IF(B146="","",K145*Am_Taxa)</f>
        <v/>
      </c>
      <c r="J146" s="43" t="str">
        <f>IF(B146="","",Am_Saldo/Am_N)</f>
        <v/>
      </c>
      <c r="K146" s="43" t="str">
        <f>IF(B146="","",MAX(0,K145-J146))</f>
        <v/>
      </c>
    </row>
    <row r="147">
      <c r="B147" s="69" t="str">
        <f>IF(79&lt;=Am_N,79,"")</f>
        <v/>
      </c>
      <c r="C147" s="43" t="str">
        <f>IF(B147="","",IFERROR(PMT(Am_Taxa,Am_N,-Am_Saldo),Am_Saldo/Am_N))</f>
        <v/>
      </c>
      <c r="D147" s="43" t="str">
        <f>IF(B147="","",F146*Am_Taxa)</f>
        <v/>
      </c>
      <c r="E147" s="43" t="str">
        <f>IF(B147="","",C147-D147)</f>
        <v/>
      </c>
      <c r="F147" s="43" t="str">
        <f>IF(B147="","",MAX(0,F146-E147))</f>
        <v/>
      </c>
      <c r="H147" s="43" t="str">
        <f>IF(B147="","",I147+J147)</f>
        <v/>
      </c>
      <c r="I147" s="43" t="str">
        <f>IF(B147="","",K146*Am_Taxa)</f>
        <v/>
      </c>
      <c r="J147" s="43" t="str">
        <f>IF(B147="","",Am_Saldo/Am_N)</f>
        <v/>
      </c>
      <c r="K147" s="43" t="str">
        <f>IF(B147="","",MAX(0,K146-J147))</f>
        <v/>
      </c>
    </row>
    <row r="148">
      <c r="B148" s="69" t="str">
        <f>IF(80&lt;=Am_N,80,"")</f>
        <v/>
      </c>
      <c r="C148" s="43" t="str">
        <f>IF(B148="","",IFERROR(PMT(Am_Taxa,Am_N,-Am_Saldo),Am_Saldo/Am_N))</f>
        <v/>
      </c>
      <c r="D148" s="43" t="str">
        <f>IF(B148="","",F147*Am_Taxa)</f>
        <v/>
      </c>
      <c r="E148" s="43" t="str">
        <f>IF(B148="","",C148-D148)</f>
        <v/>
      </c>
      <c r="F148" s="43" t="str">
        <f>IF(B148="","",MAX(0,F147-E148))</f>
        <v/>
      </c>
      <c r="H148" s="43" t="str">
        <f>IF(B148="","",I148+J148)</f>
        <v/>
      </c>
      <c r="I148" s="43" t="str">
        <f>IF(B148="","",K147*Am_Taxa)</f>
        <v/>
      </c>
      <c r="J148" s="43" t="str">
        <f>IF(B148="","",Am_Saldo/Am_N)</f>
        <v/>
      </c>
      <c r="K148" s="43" t="str">
        <f>IF(B148="","",MAX(0,K147-J148))</f>
        <v/>
      </c>
    </row>
    <row r="149">
      <c r="B149" s="69" t="str">
        <f>IF(81&lt;=Am_N,81,"")</f>
        <v/>
      </c>
      <c r="C149" s="43" t="str">
        <f>IF(B149="","",IFERROR(PMT(Am_Taxa,Am_N,-Am_Saldo),Am_Saldo/Am_N))</f>
        <v/>
      </c>
      <c r="D149" s="43" t="str">
        <f>IF(B149="","",F148*Am_Taxa)</f>
        <v/>
      </c>
      <c r="E149" s="43" t="str">
        <f>IF(B149="","",C149-D149)</f>
        <v/>
      </c>
      <c r="F149" s="43" t="str">
        <f>IF(B149="","",MAX(0,F148-E149))</f>
        <v/>
      </c>
      <c r="H149" s="43" t="str">
        <f>IF(B149="","",I149+J149)</f>
        <v/>
      </c>
      <c r="I149" s="43" t="str">
        <f>IF(B149="","",K148*Am_Taxa)</f>
        <v/>
      </c>
      <c r="J149" s="43" t="str">
        <f>IF(B149="","",Am_Saldo/Am_N)</f>
        <v/>
      </c>
      <c r="K149" s="43" t="str">
        <f>IF(B149="","",MAX(0,K148-J149))</f>
        <v/>
      </c>
    </row>
    <row r="150">
      <c r="B150" s="69" t="str">
        <f>IF(82&lt;=Am_N,82,"")</f>
        <v/>
      </c>
      <c r="C150" s="43" t="str">
        <f>IF(B150="","",IFERROR(PMT(Am_Taxa,Am_N,-Am_Saldo),Am_Saldo/Am_N))</f>
        <v/>
      </c>
      <c r="D150" s="43" t="str">
        <f>IF(B150="","",F149*Am_Taxa)</f>
        <v/>
      </c>
      <c r="E150" s="43" t="str">
        <f>IF(B150="","",C150-D150)</f>
        <v/>
      </c>
      <c r="F150" s="43" t="str">
        <f>IF(B150="","",MAX(0,F149-E150))</f>
        <v/>
      </c>
      <c r="H150" s="43" t="str">
        <f>IF(B150="","",I150+J150)</f>
        <v/>
      </c>
      <c r="I150" s="43" t="str">
        <f>IF(B150="","",K149*Am_Taxa)</f>
        <v/>
      </c>
      <c r="J150" s="43" t="str">
        <f>IF(B150="","",Am_Saldo/Am_N)</f>
        <v/>
      </c>
      <c r="K150" s="43" t="str">
        <f>IF(B150="","",MAX(0,K149-J150))</f>
        <v/>
      </c>
    </row>
    <row r="151">
      <c r="B151" s="69" t="str">
        <f>IF(83&lt;=Am_N,83,"")</f>
        <v/>
      </c>
      <c r="C151" s="43" t="str">
        <f>IF(B151="","",IFERROR(PMT(Am_Taxa,Am_N,-Am_Saldo),Am_Saldo/Am_N))</f>
        <v/>
      </c>
      <c r="D151" s="43" t="str">
        <f>IF(B151="","",F150*Am_Taxa)</f>
        <v/>
      </c>
      <c r="E151" s="43" t="str">
        <f>IF(B151="","",C151-D151)</f>
        <v/>
      </c>
      <c r="F151" s="43" t="str">
        <f>IF(B151="","",MAX(0,F150-E151))</f>
        <v/>
      </c>
      <c r="H151" s="43" t="str">
        <f>IF(B151="","",I151+J151)</f>
        <v/>
      </c>
      <c r="I151" s="43" t="str">
        <f>IF(B151="","",K150*Am_Taxa)</f>
        <v/>
      </c>
      <c r="J151" s="43" t="str">
        <f>IF(B151="","",Am_Saldo/Am_N)</f>
        <v/>
      </c>
      <c r="K151" s="43" t="str">
        <f>IF(B151="","",MAX(0,K150-J151))</f>
        <v/>
      </c>
    </row>
    <row r="152">
      <c r="B152" s="69" t="str">
        <f>IF(84&lt;=Am_N,84,"")</f>
        <v/>
      </c>
      <c r="C152" s="43" t="str">
        <f>IF(B152="","",IFERROR(PMT(Am_Taxa,Am_N,-Am_Saldo),Am_Saldo/Am_N))</f>
        <v/>
      </c>
      <c r="D152" s="43" t="str">
        <f>IF(B152="","",F151*Am_Taxa)</f>
        <v/>
      </c>
      <c r="E152" s="43" t="str">
        <f>IF(B152="","",C152-D152)</f>
        <v/>
      </c>
      <c r="F152" s="43" t="str">
        <f>IF(B152="","",MAX(0,F151-E152))</f>
        <v/>
      </c>
      <c r="H152" s="43" t="str">
        <f>IF(B152="","",I152+J152)</f>
        <v/>
      </c>
      <c r="I152" s="43" t="str">
        <f>IF(B152="","",K151*Am_Taxa)</f>
        <v/>
      </c>
      <c r="J152" s="43" t="str">
        <f>IF(B152="","",Am_Saldo/Am_N)</f>
        <v/>
      </c>
      <c r="K152" s="43" t="str">
        <f>IF(B152="","",MAX(0,K151-J152))</f>
        <v/>
      </c>
    </row>
    <row r="153">
      <c r="B153" s="69" t="str">
        <f>IF(85&lt;=Am_N,85,"")</f>
        <v/>
      </c>
      <c r="C153" s="43" t="str">
        <f>IF(B153="","",IFERROR(PMT(Am_Taxa,Am_N,-Am_Saldo),Am_Saldo/Am_N))</f>
        <v/>
      </c>
      <c r="D153" s="43" t="str">
        <f>IF(B153="","",F152*Am_Taxa)</f>
        <v/>
      </c>
      <c r="E153" s="43" t="str">
        <f>IF(B153="","",C153-D153)</f>
        <v/>
      </c>
      <c r="F153" s="43" t="str">
        <f>IF(B153="","",MAX(0,F152-E153))</f>
        <v/>
      </c>
      <c r="H153" s="43" t="str">
        <f>IF(B153="","",I153+J153)</f>
        <v/>
      </c>
      <c r="I153" s="43" t="str">
        <f>IF(B153="","",K152*Am_Taxa)</f>
        <v/>
      </c>
      <c r="J153" s="43" t="str">
        <f>IF(B153="","",Am_Saldo/Am_N)</f>
        <v/>
      </c>
      <c r="K153" s="43" t="str">
        <f>IF(B153="","",MAX(0,K152-J153))</f>
        <v/>
      </c>
    </row>
    <row r="154">
      <c r="B154" s="69" t="str">
        <f>IF(86&lt;=Am_N,86,"")</f>
        <v/>
      </c>
      <c r="C154" s="43" t="str">
        <f>IF(B154="","",IFERROR(PMT(Am_Taxa,Am_N,-Am_Saldo),Am_Saldo/Am_N))</f>
        <v/>
      </c>
      <c r="D154" s="43" t="str">
        <f>IF(B154="","",F153*Am_Taxa)</f>
        <v/>
      </c>
      <c r="E154" s="43" t="str">
        <f>IF(B154="","",C154-D154)</f>
        <v/>
      </c>
      <c r="F154" s="43" t="str">
        <f>IF(B154="","",MAX(0,F153-E154))</f>
        <v/>
      </c>
      <c r="H154" s="43" t="str">
        <f>IF(B154="","",I154+J154)</f>
        <v/>
      </c>
      <c r="I154" s="43" t="str">
        <f>IF(B154="","",K153*Am_Taxa)</f>
        <v/>
      </c>
      <c r="J154" s="43" t="str">
        <f>IF(B154="","",Am_Saldo/Am_N)</f>
        <v/>
      </c>
      <c r="K154" s="43" t="str">
        <f>IF(B154="","",MAX(0,K153-J154))</f>
        <v/>
      </c>
    </row>
    <row r="155">
      <c r="B155" s="69" t="str">
        <f>IF(87&lt;=Am_N,87,"")</f>
        <v/>
      </c>
      <c r="C155" s="43" t="str">
        <f>IF(B155="","",IFERROR(PMT(Am_Taxa,Am_N,-Am_Saldo),Am_Saldo/Am_N))</f>
        <v/>
      </c>
      <c r="D155" s="43" t="str">
        <f>IF(B155="","",F154*Am_Taxa)</f>
        <v/>
      </c>
      <c r="E155" s="43" t="str">
        <f>IF(B155="","",C155-D155)</f>
        <v/>
      </c>
      <c r="F155" s="43" t="str">
        <f>IF(B155="","",MAX(0,F154-E155))</f>
        <v/>
      </c>
      <c r="H155" s="43" t="str">
        <f>IF(B155="","",I155+J155)</f>
        <v/>
      </c>
      <c r="I155" s="43" t="str">
        <f>IF(B155="","",K154*Am_Taxa)</f>
        <v/>
      </c>
      <c r="J155" s="43" t="str">
        <f>IF(B155="","",Am_Saldo/Am_N)</f>
        <v/>
      </c>
      <c r="K155" s="43" t="str">
        <f>IF(B155="","",MAX(0,K154-J155))</f>
        <v/>
      </c>
    </row>
    <row r="156">
      <c r="B156" s="69" t="str">
        <f>IF(88&lt;=Am_N,88,"")</f>
        <v/>
      </c>
      <c r="C156" s="43" t="str">
        <f>IF(B156="","",IFERROR(PMT(Am_Taxa,Am_N,-Am_Saldo),Am_Saldo/Am_N))</f>
        <v/>
      </c>
      <c r="D156" s="43" t="str">
        <f>IF(B156="","",F155*Am_Taxa)</f>
        <v/>
      </c>
      <c r="E156" s="43" t="str">
        <f>IF(B156="","",C156-D156)</f>
        <v/>
      </c>
      <c r="F156" s="43" t="str">
        <f>IF(B156="","",MAX(0,F155-E156))</f>
        <v/>
      </c>
      <c r="H156" s="43" t="str">
        <f>IF(B156="","",I156+J156)</f>
        <v/>
      </c>
      <c r="I156" s="43" t="str">
        <f>IF(B156="","",K155*Am_Taxa)</f>
        <v/>
      </c>
      <c r="J156" s="43" t="str">
        <f>IF(B156="","",Am_Saldo/Am_N)</f>
        <v/>
      </c>
      <c r="K156" s="43" t="str">
        <f>IF(B156="","",MAX(0,K155-J156))</f>
        <v/>
      </c>
    </row>
    <row r="157">
      <c r="B157" s="69" t="str">
        <f>IF(89&lt;=Am_N,89,"")</f>
        <v/>
      </c>
      <c r="C157" s="43" t="str">
        <f>IF(B157="","",IFERROR(PMT(Am_Taxa,Am_N,-Am_Saldo),Am_Saldo/Am_N))</f>
        <v/>
      </c>
      <c r="D157" s="43" t="str">
        <f>IF(B157="","",F156*Am_Taxa)</f>
        <v/>
      </c>
      <c r="E157" s="43" t="str">
        <f>IF(B157="","",C157-D157)</f>
        <v/>
      </c>
      <c r="F157" s="43" t="str">
        <f>IF(B157="","",MAX(0,F156-E157))</f>
        <v/>
      </c>
      <c r="H157" s="43" t="str">
        <f>IF(B157="","",I157+J157)</f>
        <v/>
      </c>
      <c r="I157" s="43" t="str">
        <f>IF(B157="","",K156*Am_Taxa)</f>
        <v/>
      </c>
      <c r="J157" s="43" t="str">
        <f>IF(B157="","",Am_Saldo/Am_N)</f>
        <v/>
      </c>
      <c r="K157" s="43" t="str">
        <f>IF(B157="","",MAX(0,K156-J157))</f>
        <v/>
      </c>
    </row>
    <row r="158">
      <c r="B158" s="69" t="str">
        <f>IF(90&lt;=Am_N,90,"")</f>
        <v/>
      </c>
      <c r="C158" s="43" t="str">
        <f>IF(B158="","",IFERROR(PMT(Am_Taxa,Am_N,-Am_Saldo),Am_Saldo/Am_N))</f>
        <v/>
      </c>
      <c r="D158" s="43" t="str">
        <f>IF(B158="","",F157*Am_Taxa)</f>
        <v/>
      </c>
      <c r="E158" s="43" t="str">
        <f>IF(B158="","",C158-D158)</f>
        <v/>
      </c>
      <c r="F158" s="43" t="str">
        <f>IF(B158="","",MAX(0,F157-E158))</f>
        <v/>
      </c>
      <c r="H158" s="43" t="str">
        <f>IF(B158="","",I158+J158)</f>
        <v/>
      </c>
      <c r="I158" s="43" t="str">
        <f>IF(B158="","",K157*Am_Taxa)</f>
        <v/>
      </c>
      <c r="J158" s="43" t="str">
        <f>IF(B158="","",Am_Saldo/Am_N)</f>
        <v/>
      </c>
      <c r="K158" s="43" t="str">
        <f>IF(B158="","",MAX(0,K157-J158))</f>
        <v/>
      </c>
    </row>
    <row r="159">
      <c r="B159" s="69" t="str">
        <f>IF(91&lt;=Am_N,91,"")</f>
        <v/>
      </c>
      <c r="C159" s="43" t="str">
        <f>IF(B159="","",IFERROR(PMT(Am_Taxa,Am_N,-Am_Saldo),Am_Saldo/Am_N))</f>
        <v/>
      </c>
      <c r="D159" s="43" t="str">
        <f>IF(B159="","",F158*Am_Taxa)</f>
        <v/>
      </c>
      <c r="E159" s="43" t="str">
        <f>IF(B159="","",C159-D159)</f>
        <v/>
      </c>
      <c r="F159" s="43" t="str">
        <f>IF(B159="","",MAX(0,F158-E159))</f>
        <v/>
      </c>
      <c r="H159" s="43" t="str">
        <f>IF(B159="","",I159+J159)</f>
        <v/>
      </c>
      <c r="I159" s="43" t="str">
        <f>IF(B159="","",K158*Am_Taxa)</f>
        <v/>
      </c>
      <c r="J159" s="43" t="str">
        <f>IF(B159="","",Am_Saldo/Am_N)</f>
        <v/>
      </c>
      <c r="K159" s="43" t="str">
        <f>IF(B159="","",MAX(0,K158-J159))</f>
        <v/>
      </c>
    </row>
    <row r="160">
      <c r="B160" s="69" t="str">
        <f>IF(92&lt;=Am_N,92,"")</f>
        <v/>
      </c>
      <c r="C160" s="43" t="str">
        <f>IF(B160="","",IFERROR(PMT(Am_Taxa,Am_N,-Am_Saldo),Am_Saldo/Am_N))</f>
        <v/>
      </c>
      <c r="D160" s="43" t="str">
        <f>IF(B160="","",F159*Am_Taxa)</f>
        <v/>
      </c>
      <c r="E160" s="43" t="str">
        <f>IF(B160="","",C160-D160)</f>
        <v/>
      </c>
      <c r="F160" s="43" t="str">
        <f>IF(B160="","",MAX(0,F159-E160))</f>
        <v/>
      </c>
      <c r="H160" s="43" t="str">
        <f>IF(B160="","",I160+J160)</f>
        <v/>
      </c>
      <c r="I160" s="43" t="str">
        <f>IF(B160="","",K159*Am_Taxa)</f>
        <v/>
      </c>
      <c r="J160" s="43" t="str">
        <f>IF(B160="","",Am_Saldo/Am_N)</f>
        <v/>
      </c>
      <c r="K160" s="43" t="str">
        <f>IF(B160="","",MAX(0,K159-J160))</f>
        <v/>
      </c>
    </row>
    <row r="161">
      <c r="B161" s="69" t="str">
        <f>IF(93&lt;=Am_N,93,"")</f>
        <v/>
      </c>
      <c r="C161" s="43" t="str">
        <f>IF(B161="","",IFERROR(PMT(Am_Taxa,Am_N,-Am_Saldo),Am_Saldo/Am_N))</f>
        <v/>
      </c>
      <c r="D161" s="43" t="str">
        <f>IF(B161="","",F160*Am_Taxa)</f>
        <v/>
      </c>
      <c r="E161" s="43" t="str">
        <f>IF(B161="","",C161-D161)</f>
        <v/>
      </c>
      <c r="F161" s="43" t="str">
        <f>IF(B161="","",MAX(0,F160-E161))</f>
        <v/>
      </c>
      <c r="H161" s="43" t="str">
        <f>IF(B161="","",I161+J161)</f>
        <v/>
      </c>
      <c r="I161" s="43" t="str">
        <f>IF(B161="","",K160*Am_Taxa)</f>
        <v/>
      </c>
      <c r="J161" s="43" t="str">
        <f>IF(B161="","",Am_Saldo/Am_N)</f>
        <v/>
      </c>
      <c r="K161" s="43" t="str">
        <f>IF(B161="","",MAX(0,K160-J161))</f>
        <v/>
      </c>
    </row>
    <row r="162">
      <c r="B162" s="69" t="str">
        <f>IF(94&lt;=Am_N,94,"")</f>
        <v/>
      </c>
      <c r="C162" s="43" t="str">
        <f>IF(B162="","",IFERROR(PMT(Am_Taxa,Am_N,-Am_Saldo),Am_Saldo/Am_N))</f>
        <v/>
      </c>
      <c r="D162" s="43" t="str">
        <f>IF(B162="","",F161*Am_Taxa)</f>
        <v/>
      </c>
      <c r="E162" s="43" t="str">
        <f>IF(B162="","",C162-D162)</f>
        <v/>
      </c>
      <c r="F162" s="43" t="str">
        <f>IF(B162="","",MAX(0,F161-E162))</f>
        <v/>
      </c>
      <c r="H162" s="43" t="str">
        <f>IF(B162="","",I162+J162)</f>
        <v/>
      </c>
      <c r="I162" s="43" t="str">
        <f>IF(B162="","",K161*Am_Taxa)</f>
        <v/>
      </c>
      <c r="J162" s="43" t="str">
        <f>IF(B162="","",Am_Saldo/Am_N)</f>
        <v/>
      </c>
      <c r="K162" s="43" t="str">
        <f>IF(B162="","",MAX(0,K161-J162))</f>
        <v/>
      </c>
    </row>
    <row r="163">
      <c r="B163" s="69" t="str">
        <f>IF(95&lt;=Am_N,95,"")</f>
        <v/>
      </c>
      <c r="C163" s="43" t="str">
        <f>IF(B163="","",IFERROR(PMT(Am_Taxa,Am_N,-Am_Saldo),Am_Saldo/Am_N))</f>
        <v/>
      </c>
      <c r="D163" s="43" t="str">
        <f>IF(B163="","",F162*Am_Taxa)</f>
        <v/>
      </c>
      <c r="E163" s="43" t="str">
        <f>IF(B163="","",C163-D163)</f>
        <v/>
      </c>
      <c r="F163" s="43" t="str">
        <f>IF(B163="","",MAX(0,F162-E163))</f>
        <v/>
      </c>
      <c r="H163" s="43" t="str">
        <f>IF(B163="","",I163+J163)</f>
        <v/>
      </c>
      <c r="I163" s="43" t="str">
        <f>IF(B163="","",K162*Am_Taxa)</f>
        <v/>
      </c>
      <c r="J163" s="43" t="str">
        <f>IF(B163="","",Am_Saldo/Am_N)</f>
        <v/>
      </c>
      <c r="K163" s="43" t="str">
        <f>IF(B163="","",MAX(0,K162-J163))</f>
        <v/>
      </c>
    </row>
    <row r="164">
      <c r="B164" s="69" t="str">
        <f>IF(96&lt;=Am_N,96,"")</f>
        <v/>
      </c>
      <c r="C164" s="43" t="str">
        <f>IF(B164="","",IFERROR(PMT(Am_Taxa,Am_N,-Am_Saldo),Am_Saldo/Am_N))</f>
        <v/>
      </c>
      <c r="D164" s="43" t="str">
        <f>IF(B164="","",F163*Am_Taxa)</f>
        <v/>
      </c>
      <c r="E164" s="43" t="str">
        <f>IF(B164="","",C164-D164)</f>
        <v/>
      </c>
      <c r="F164" s="43" t="str">
        <f>IF(B164="","",MAX(0,F163-E164))</f>
        <v/>
      </c>
      <c r="H164" s="43" t="str">
        <f>IF(B164="","",I164+J164)</f>
        <v/>
      </c>
      <c r="I164" s="43" t="str">
        <f>IF(B164="","",K163*Am_Taxa)</f>
        <v/>
      </c>
      <c r="J164" s="43" t="str">
        <f>IF(B164="","",Am_Saldo/Am_N)</f>
        <v/>
      </c>
      <c r="K164" s="43" t="str">
        <f>IF(B164="","",MAX(0,K163-J164))</f>
        <v/>
      </c>
    </row>
    <row r="165">
      <c r="B165" s="69" t="str">
        <f>IF(97&lt;=Am_N,97,"")</f>
        <v/>
      </c>
      <c r="C165" s="43" t="str">
        <f>IF(B165="","",IFERROR(PMT(Am_Taxa,Am_N,-Am_Saldo),Am_Saldo/Am_N))</f>
        <v/>
      </c>
      <c r="D165" s="43" t="str">
        <f>IF(B165="","",F164*Am_Taxa)</f>
        <v/>
      </c>
      <c r="E165" s="43" t="str">
        <f>IF(B165="","",C165-D165)</f>
        <v/>
      </c>
      <c r="F165" s="43" t="str">
        <f>IF(B165="","",MAX(0,F164-E165))</f>
        <v/>
      </c>
      <c r="H165" s="43" t="str">
        <f>IF(B165="","",I165+J165)</f>
        <v/>
      </c>
      <c r="I165" s="43" t="str">
        <f>IF(B165="","",K164*Am_Taxa)</f>
        <v/>
      </c>
      <c r="J165" s="43" t="str">
        <f>IF(B165="","",Am_Saldo/Am_N)</f>
        <v/>
      </c>
      <c r="K165" s="43" t="str">
        <f>IF(B165="","",MAX(0,K164-J165))</f>
        <v/>
      </c>
    </row>
    <row r="166">
      <c r="B166" s="69" t="str">
        <f>IF(98&lt;=Am_N,98,"")</f>
        <v/>
      </c>
      <c r="C166" s="43" t="str">
        <f>IF(B166="","",IFERROR(PMT(Am_Taxa,Am_N,-Am_Saldo),Am_Saldo/Am_N))</f>
        <v/>
      </c>
      <c r="D166" s="43" t="str">
        <f>IF(B166="","",F165*Am_Taxa)</f>
        <v/>
      </c>
      <c r="E166" s="43" t="str">
        <f>IF(B166="","",C166-D166)</f>
        <v/>
      </c>
      <c r="F166" s="43" t="str">
        <f>IF(B166="","",MAX(0,F165-E166))</f>
        <v/>
      </c>
      <c r="H166" s="43" t="str">
        <f>IF(B166="","",I166+J166)</f>
        <v/>
      </c>
      <c r="I166" s="43" t="str">
        <f>IF(B166="","",K165*Am_Taxa)</f>
        <v/>
      </c>
      <c r="J166" s="43" t="str">
        <f>IF(B166="","",Am_Saldo/Am_N)</f>
        <v/>
      </c>
      <c r="K166" s="43" t="str">
        <f>IF(B166="","",MAX(0,K165-J166))</f>
        <v/>
      </c>
    </row>
    <row r="167">
      <c r="B167" s="69" t="str">
        <f>IF(99&lt;=Am_N,99,"")</f>
        <v/>
      </c>
      <c r="C167" s="43" t="str">
        <f>IF(B167="","",IFERROR(PMT(Am_Taxa,Am_N,-Am_Saldo),Am_Saldo/Am_N))</f>
        <v/>
      </c>
      <c r="D167" s="43" t="str">
        <f>IF(B167="","",F166*Am_Taxa)</f>
        <v/>
      </c>
      <c r="E167" s="43" t="str">
        <f>IF(B167="","",C167-D167)</f>
        <v/>
      </c>
      <c r="F167" s="43" t="str">
        <f>IF(B167="","",MAX(0,F166-E167))</f>
        <v/>
      </c>
      <c r="H167" s="43" t="str">
        <f>IF(B167="","",I167+J167)</f>
        <v/>
      </c>
      <c r="I167" s="43" t="str">
        <f>IF(B167="","",K166*Am_Taxa)</f>
        <v/>
      </c>
      <c r="J167" s="43" t="str">
        <f>IF(B167="","",Am_Saldo/Am_N)</f>
        <v/>
      </c>
      <c r="K167" s="43" t="str">
        <f>IF(B167="","",MAX(0,K166-J167))</f>
        <v/>
      </c>
    </row>
    <row r="168">
      <c r="B168" s="69" t="str">
        <f>IF(100&lt;=Am_N,100,"")</f>
        <v/>
      </c>
      <c r="C168" s="43" t="str">
        <f>IF(B168="","",IFERROR(PMT(Am_Taxa,Am_N,-Am_Saldo),Am_Saldo/Am_N))</f>
        <v/>
      </c>
      <c r="D168" s="43" t="str">
        <f>IF(B168="","",F167*Am_Taxa)</f>
        <v/>
      </c>
      <c r="E168" s="43" t="str">
        <f>IF(B168="","",C168-D168)</f>
        <v/>
      </c>
      <c r="F168" s="43" t="str">
        <f>IF(B168="","",MAX(0,F167-E168))</f>
        <v/>
      </c>
      <c r="H168" s="43" t="str">
        <f>IF(B168="","",I168+J168)</f>
        <v/>
      </c>
      <c r="I168" s="43" t="str">
        <f>IF(B168="","",K167*Am_Taxa)</f>
        <v/>
      </c>
      <c r="J168" s="43" t="str">
        <f>IF(B168="","",Am_Saldo/Am_N)</f>
        <v/>
      </c>
      <c r="K168" s="43" t="str">
        <f>IF(B168="","",MAX(0,K167-J168))</f>
        <v/>
      </c>
    </row>
    <row r="169">
      <c r="B169" s="69" t="str">
        <f>IF(101&lt;=Am_N,101,"")</f>
        <v/>
      </c>
      <c r="C169" s="43" t="str">
        <f>IF(B169="","",IFERROR(PMT(Am_Taxa,Am_N,-Am_Saldo),Am_Saldo/Am_N))</f>
        <v/>
      </c>
      <c r="D169" s="43" t="str">
        <f>IF(B169="","",F168*Am_Taxa)</f>
        <v/>
      </c>
      <c r="E169" s="43" t="str">
        <f>IF(B169="","",C169-D169)</f>
        <v/>
      </c>
      <c r="F169" s="43" t="str">
        <f>IF(B169="","",MAX(0,F168-E169))</f>
        <v/>
      </c>
      <c r="H169" s="43" t="str">
        <f>IF(B169="","",I169+J169)</f>
        <v/>
      </c>
      <c r="I169" s="43" t="str">
        <f>IF(B169="","",K168*Am_Taxa)</f>
        <v/>
      </c>
      <c r="J169" s="43" t="str">
        <f>IF(B169="","",Am_Saldo/Am_N)</f>
        <v/>
      </c>
      <c r="K169" s="43" t="str">
        <f>IF(B169="","",MAX(0,K168-J169))</f>
        <v/>
      </c>
    </row>
    <row r="170">
      <c r="B170" s="69" t="str">
        <f>IF(102&lt;=Am_N,102,"")</f>
        <v/>
      </c>
      <c r="C170" s="43" t="str">
        <f>IF(B170="","",IFERROR(PMT(Am_Taxa,Am_N,-Am_Saldo),Am_Saldo/Am_N))</f>
        <v/>
      </c>
      <c r="D170" s="43" t="str">
        <f>IF(B170="","",F169*Am_Taxa)</f>
        <v/>
      </c>
      <c r="E170" s="43" t="str">
        <f>IF(B170="","",C170-D170)</f>
        <v/>
      </c>
      <c r="F170" s="43" t="str">
        <f>IF(B170="","",MAX(0,F169-E170))</f>
        <v/>
      </c>
      <c r="H170" s="43" t="str">
        <f>IF(B170="","",I170+J170)</f>
        <v/>
      </c>
      <c r="I170" s="43" t="str">
        <f>IF(B170="","",K169*Am_Taxa)</f>
        <v/>
      </c>
      <c r="J170" s="43" t="str">
        <f>IF(B170="","",Am_Saldo/Am_N)</f>
        <v/>
      </c>
      <c r="K170" s="43" t="str">
        <f>IF(B170="","",MAX(0,K169-J170))</f>
        <v/>
      </c>
    </row>
    <row r="171">
      <c r="B171" s="69" t="str">
        <f>IF(103&lt;=Am_N,103,"")</f>
        <v/>
      </c>
      <c r="C171" s="43" t="str">
        <f>IF(B171="","",IFERROR(PMT(Am_Taxa,Am_N,-Am_Saldo),Am_Saldo/Am_N))</f>
        <v/>
      </c>
      <c r="D171" s="43" t="str">
        <f>IF(B171="","",F170*Am_Taxa)</f>
        <v/>
      </c>
      <c r="E171" s="43" t="str">
        <f>IF(B171="","",C171-D171)</f>
        <v/>
      </c>
      <c r="F171" s="43" t="str">
        <f>IF(B171="","",MAX(0,F170-E171))</f>
        <v/>
      </c>
      <c r="H171" s="43" t="str">
        <f>IF(B171="","",I171+J171)</f>
        <v/>
      </c>
      <c r="I171" s="43" t="str">
        <f>IF(B171="","",K170*Am_Taxa)</f>
        <v/>
      </c>
      <c r="J171" s="43" t="str">
        <f>IF(B171="","",Am_Saldo/Am_N)</f>
        <v/>
      </c>
      <c r="K171" s="43" t="str">
        <f>IF(B171="","",MAX(0,K170-J171))</f>
        <v/>
      </c>
    </row>
    <row r="172">
      <c r="B172" s="69" t="str">
        <f>IF(104&lt;=Am_N,104,"")</f>
        <v/>
      </c>
      <c r="C172" s="43" t="str">
        <f>IF(B172="","",IFERROR(PMT(Am_Taxa,Am_N,-Am_Saldo),Am_Saldo/Am_N))</f>
        <v/>
      </c>
      <c r="D172" s="43" t="str">
        <f>IF(B172="","",F171*Am_Taxa)</f>
        <v/>
      </c>
      <c r="E172" s="43" t="str">
        <f>IF(B172="","",C172-D172)</f>
        <v/>
      </c>
      <c r="F172" s="43" t="str">
        <f>IF(B172="","",MAX(0,F171-E172))</f>
        <v/>
      </c>
      <c r="H172" s="43" t="str">
        <f>IF(B172="","",I172+J172)</f>
        <v/>
      </c>
      <c r="I172" s="43" t="str">
        <f>IF(B172="","",K171*Am_Taxa)</f>
        <v/>
      </c>
      <c r="J172" s="43" t="str">
        <f>IF(B172="","",Am_Saldo/Am_N)</f>
        <v/>
      </c>
      <c r="K172" s="43" t="str">
        <f>IF(B172="","",MAX(0,K171-J172))</f>
        <v/>
      </c>
    </row>
    <row r="173">
      <c r="B173" s="69" t="str">
        <f>IF(105&lt;=Am_N,105,"")</f>
        <v/>
      </c>
      <c r="C173" s="43" t="str">
        <f>IF(B173="","",IFERROR(PMT(Am_Taxa,Am_N,-Am_Saldo),Am_Saldo/Am_N))</f>
        <v/>
      </c>
      <c r="D173" s="43" t="str">
        <f>IF(B173="","",F172*Am_Taxa)</f>
        <v/>
      </c>
      <c r="E173" s="43" t="str">
        <f>IF(B173="","",C173-D173)</f>
        <v/>
      </c>
      <c r="F173" s="43" t="str">
        <f>IF(B173="","",MAX(0,F172-E173))</f>
        <v/>
      </c>
      <c r="H173" s="43" t="str">
        <f>IF(B173="","",I173+J173)</f>
        <v/>
      </c>
      <c r="I173" s="43" t="str">
        <f>IF(B173="","",K172*Am_Taxa)</f>
        <v/>
      </c>
      <c r="J173" s="43" t="str">
        <f>IF(B173="","",Am_Saldo/Am_N)</f>
        <v/>
      </c>
      <c r="K173" s="43" t="str">
        <f>IF(B173="","",MAX(0,K172-J173))</f>
        <v/>
      </c>
    </row>
    <row r="174">
      <c r="B174" s="69" t="str">
        <f>IF(106&lt;=Am_N,106,"")</f>
        <v/>
      </c>
      <c r="C174" s="43" t="str">
        <f>IF(B174="","",IFERROR(PMT(Am_Taxa,Am_N,-Am_Saldo),Am_Saldo/Am_N))</f>
        <v/>
      </c>
      <c r="D174" s="43" t="str">
        <f>IF(B174="","",F173*Am_Taxa)</f>
        <v/>
      </c>
      <c r="E174" s="43" t="str">
        <f>IF(B174="","",C174-D174)</f>
        <v/>
      </c>
      <c r="F174" s="43" t="str">
        <f>IF(B174="","",MAX(0,F173-E174))</f>
        <v/>
      </c>
      <c r="H174" s="43" t="str">
        <f>IF(B174="","",I174+J174)</f>
        <v/>
      </c>
      <c r="I174" s="43" t="str">
        <f>IF(B174="","",K173*Am_Taxa)</f>
        <v/>
      </c>
      <c r="J174" s="43" t="str">
        <f>IF(B174="","",Am_Saldo/Am_N)</f>
        <v/>
      </c>
      <c r="K174" s="43" t="str">
        <f>IF(B174="","",MAX(0,K173-J174))</f>
        <v/>
      </c>
    </row>
    <row r="175">
      <c r="B175" s="69" t="str">
        <f>IF(107&lt;=Am_N,107,"")</f>
        <v/>
      </c>
      <c r="C175" s="43" t="str">
        <f>IF(B175="","",IFERROR(PMT(Am_Taxa,Am_N,-Am_Saldo),Am_Saldo/Am_N))</f>
        <v/>
      </c>
      <c r="D175" s="43" t="str">
        <f>IF(B175="","",F174*Am_Taxa)</f>
        <v/>
      </c>
      <c r="E175" s="43" t="str">
        <f>IF(B175="","",C175-D175)</f>
        <v/>
      </c>
      <c r="F175" s="43" t="str">
        <f>IF(B175="","",MAX(0,F174-E175))</f>
        <v/>
      </c>
      <c r="H175" s="43" t="str">
        <f>IF(B175="","",I175+J175)</f>
        <v/>
      </c>
      <c r="I175" s="43" t="str">
        <f>IF(B175="","",K174*Am_Taxa)</f>
        <v/>
      </c>
      <c r="J175" s="43" t="str">
        <f>IF(B175="","",Am_Saldo/Am_N)</f>
        <v/>
      </c>
      <c r="K175" s="43" t="str">
        <f>IF(B175="","",MAX(0,K174-J175))</f>
        <v/>
      </c>
    </row>
    <row r="176">
      <c r="B176" s="69" t="str">
        <f>IF(108&lt;=Am_N,108,"")</f>
        <v/>
      </c>
      <c r="C176" s="43" t="str">
        <f>IF(B176="","",IFERROR(PMT(Am_Taxa,Am_N,-Am_Saldo),Am_Saldo/Am_N))</f>
        <v/>
      </c>
      <c r="D176" s="43" t="str">
        <f>IF(B176="","",F175*Am_Taxa)</f>
        <v/>
      </c>
      <c r="E176" s="43" t="str">
        <f>IF(B176="","",C176-D176)</f>
        <v/>
      </c>
      <c r="F176" s="43" t="str">
        <f>IF(B176="","",MAX(0,F175-E176))</f>
        <v/>
      </c>
      <c r="H176" s="43" t="str">
        <f>IF(B176="","",I176+J176)</f>
        <v/>
      </c>
      <c r="I176" s="43" t="str">
        <f>IF(B176="","",K175*Am_Taxa)</f>
        <v/>
      </c>
      <c r="J176" s="43" t="str">
        <f>IF(B176="","",Am_Saldo/Am_N)</f>
        <v/>
      </c>
      <c r="K176" s="43" t="str">
        <f>IF(B176="","",MAX(0,K175-J176))</f>
        <v/>
      </c>
    </row>
    <row r="177">
      <c r="B177" s="69" t="str">
        <f>IF(109&lt;=Am_N,109,"")</f>
        <v/>
      </c>
      <c r="C177" s="43" t="str">
        <f>IF(B177="","",IFERROR(PMT(Am_Taxa,Am_N,-Am_Saldo),Am_Saldo/Am_N))</f>
        <v/>
      </c>
      <c r="D177" s="43" t="str">
        <f>IF(B177="","",F176*Am_Taxa)</f>
        <v/>
      </c>
      <c r="E177" s="43" t="str">
        <f>IF(B177="","",C177-D177)</f>
        <v/>
      </c>
      <c r="F177" s="43" t="str">
        <f>IF(B177="","",MAX(0,F176-E177))</f>
        <v/>
      </c>
      <c r="H177" s="43" t="str">
        <f>IF(B177="","",I177+J177)</f>
        <v/>
      </c>
      <c r="I177" s="43" t="str">
        <f>IF(B177="","",K176*Am_Taxa)</f>
        <v/>
      </c>
      <c r="J177" s="43" t="str">
        <f>IF(B177="","",Am_Saldo/Am_N)</f>
        <v/>
      </c>
      <c r="K177" s="43" t="str">
        <f>IF(B177="","",MAX(0,K176-J177))</f>
        <v/>
      </c>
    </row>
    <row r="178">
      <c r="B178" s="69" t="str">
        <f>IF(110&lt;=Am_N,110,"")</f>
        <v/>
      </c>
      <c r="C178" s="43" t="str">
        <f>IF(B178="","",IFERROR(PMT(Am_Taxa,Am_N,-Am_Saldo),Am_Saldo/Am_N))</f>
        <v/>
      </c>
      <c r="D178" s="43" t="str">
        <f>IF(B178="","",F177*Am_Taxa)</f>
        <v/>
      </c>
      <c r="E178" s="43" t="str">
        <f>IF(B178="","",C178-D178)</f>
        <v/>
      </c>
      <c r="F178" s="43" t="str">
        <f>IF(B178="","",MAX(0,F177-E178))</f>
        <v/>
      </c>
      <c r="H178" s="43" t="str">
        <f>IF(B178="","",I178+J178)</f>
        <v/>
      </c>
      <c r="I178" s="43" t="str">
        <f>IF(B178="","",K177*Am_Taxa)</f>
        <v/>
      </c>
      <c r="J178" s="43" t="str">
        <f>IF(B178="","",Am_Saldo/Am_N)</f>
        <v/>
      </c>
      <c r="K178" s="43" t="str">
        <f>IF(B178="","",MAX(0,K177-J178))</f>
        <v/>
      </c>
    </row>
    <row r="179">
      <c r="B179" s="69" t="str">
        <f>IF(111&lt;=Am_N,111,"")</f>
        <v/>
      </c>
      <c r="C179" s="43" t="str">
        <f>IF(B179="","",IFERROR(PMT(Am_Taxa,Am_N,-Am_Saldo),Am_Saldo/Am_N))</f>
        <v/>
      </c>
      <c r="D179" s="43" t="str">
        <f>IF(B179="","",F178*Am_Taxa)</f>
        <v/>
      </c>
      <c r="E179" s="43" t="str">
        <f>IF(B179="","",C179-D179)</f>
        <v/>
      </c>
      <c r="F179" s="43" t="str">
        <f>IF(B179="","",MAX(0,F178-E179))</f>
        <v/>
      </c>
      <c r="H179" s="43" t="str">
        <f>IF(B179="","",I179+J179)</f>
        <v/>
      </c>
      <c r="I179" s="43" t="str">
        <f>IF(B179="","",K178*Am_Taxa)</f>
        <v/>
      </c>
      <c r="J179" s="43" t="str">
        <f>IF(B179="","",Am_Saldo/Am_N)</f>
        <v/>
      </c>
      <c r="K179" s="43" t="str">
        <f>IF(B179="","",MAX(0,K178-J179))</f>
        <v/>
      </c>
    </row>
    <row r="180">
      <c r="B180" s="69" t="str">
        <f>IF(112&lt;=Am_N,112,"")</f>
        <v/>
      </c>
      <c r="C180" s="43" t="str">
        <f>IF(B180="","",IFERROR(PMT(Am_Taxa,Am_N,-Am_Saldo),Am_Saldo/Am_N))</f>
        <v/>
      </c>
      <c r="D180" s="43" t="str">
        <f>IF(B180="","",F179*Am_Taxa)</f>
        <v/>
      </c>
      <c r="E180" s="43" t="str">
        <f>IF(B180="","",C180-D180)</f>
        <v/>
      </c>
      <c r="F180" s="43" t="str">
        <f>IF(B180="","",MAX(0,F179-E180))</f>
        <v/>
      </c>
      <c r="H180" s="43" t="str">
        <f>IF(B180="","",I180+J180)</f>
        <v/>
      </c>
      <c r="I180" s="43" t="str">
        <f>IF(B180="","",K179*Am_Taxa)</f>
        <v/>
      </c>
      <c r="J180" s="43" t="str">
        <f>IF(B180="","",Am_Saldo/Am_N)</f>
        <v/>
      </c>
      <c r="K180" s="43" t="str">
        <f>IF(B180="","",MAX(0,K179-J180))</f>
        <v/>
      </c>
    </row>
    <row r="181">
      <c r="B181" s="69" t="str">
        <f>IF(113&lt;=Am_N,113,"")</f>
        <v/>
      </c>
      <c r="C181" s="43" t="str">
        <f>IF(B181="","",IFERROR(PMT(Am_Taxa,Am_N,-Am_Saldo),Am_Saldo/Am_N))</f>
        <v/>
      </c>
      <c r="D181" s="43" t="str">
        <f>IF(B181="","",F180*Am_Taxa)</f>
        <v/>
      </c>
      <c r="E181" s="43" t="str">
        <f>IF(B181="","",C181-D181)</f>
        <v/>
      </c>
      <c r="F181" s="43" t="str">
        <f>IF(B181="","",MAX(0,F180-E181))</f>
        <v/>
      </c>
      <c r="H181" s="43" t="str">
        <f>IF(B181="","",I181+J181)</f>
        <v/>
      </c>
      <c r="I181" s="43" t="str">
        <f>IF(B181="","",K180*Am_Taxa)</f>
        <v/>
      </c>
      <c r="J181" s="43" t="str">
        <f>IF(B181="","",Am_Saldo/Am_N)</f>
        <v/>
      </c>
      <c r="K181" s="43" t="str">
        <f>IF(B181="","",MAX(0,K180-J181))</f>
        <v/>
      </c>
    </row>
    <row r="182">
      <c r="B182" s="69" t="str">
        <f>IF(114&lt;=Am_N,114,"")</f>
        <v/>
      </c>
      <c r="C182" s="43" t="str">
        <f>IF(B182="","",IFERROR(PMT(Am_Taxa,Am_N,-Am_Saldo),Am_Saldo/Am_N))</f>
        <v/>
      </c>
      <c r="D182" s="43" t="str">
        <f>IF(B182="","",F181*Am_Taxa)</f>
        <v/>
      </c>
      <c r="E182" s="43" t="str">
        <f>IF(B182="","",C182-D182)</f>
        <v/>
      </c>
      <c r="F182" s="43" t="str">
        <f>IF(B182="","",MAX(0,F181-E182))</f>
        <v/>
      </c>
      <c r="H182" s="43" t="str">
        <f>IF(B182="","",I182+J182)</f>
        <v/>
      </c>
      <c r="I182" s="43" t="str">
        <f>IF(B182="","",K181*Am_Taxa)</f>
        <v/>
      </c>
      <c r="J182" s="43" t="str">
        <f>IF(B182="","",Am_Saldo/Am_N)</f>
        <v/>
      </c>
      <c r="K182" s="43" t="str">
        <f>IF(B182="","",MAX(0,K181-J182))</f>
        <v/>
      </c>
    </row>
    <row r="183">
      <c r="B183" s="69" t="str">
        <f>IF(115&lt;=Am_N,115,"")</f>
        <v/>
      </c>
      <c r="C183" s="43" t="str">
        <f>IF(B183="","",IFERROR(PMT(Am_Taxa,Am_N,-Am_Saldo),Am_Saldo/Am_N))</f>
        <v/>
      </c>
      <c r="D183" s="43" t="str">
        <f>IF(B183="","",F182*Am_Taxa)</f>
        <v/>
      </c>
      <c r="E183" s="43" t="str">
        <f>IF(B183="","",C183-D183)</f>
        <v/>
      </c>
      <c r="F183" s="43" t="str">
        <f>IF(B183="","",MAX(0,F182-E183))</f>
        <v/>
      </c>
      <c r="H183" s="43" t="str">
        <f>IF(B183="","",I183+J183)</f>
        <v/>
      </c>
      <c r="I183" s="43" t="str">
        <f>IF(B183="","",K182*Am_Taxa)</f>
        <v/>
      </c>
      <c r="J183" s="43" t="str">
        <f>IF(B183="","",Am_Saldo/Am_N)</f>
        <v/>
      </c>
      <c r="K183" s="43" t="str">
        <f>IF(B183="","",MAX(0,K182-J183))</f>
        <v/>
      </c>
    </row>
    <row r="184">
      <c r="B184" s="69" t="str">
        <f>IF(116&lt;=Am_N,116,"")</f>
        <v/>
      </c>
      <c r="C184" s="43" t="str">
        <f>IF(B184="","",IFERROR(PMT(Am_Taxa,Am_N,-Am_Saldo),Am_Saldo/Am_N))</f>
        <v/>
      </c>
      <c r="D184" s="43" t="str">
        <f>IF(B184="","",F183*Am_Taxa)</f>
        <v/>
      </c>
      <c r="E184" s="43" t="str">
        <f>IF(B184="","",C184-D184)</f>
        <v/>
      </c>
      <c r="F184" s="43" t="str">
        <f>IF(B184="","",MAX(0,F183-E184))</f>
        <v/>
      </c>
      <c r="H184" s="43" t="str">
        <f>IF(B184="","",I184+J184)</f>
        <v/>
      </c>
      <c r="I184" s="43" t="str">
        <f>IF(B184="","",K183*Am_Taxa)</f>
        <v/>
      </c>
      <c r="J184" s="43" t="str">
        <f>IF(B184="","",Am_Saldo/Am_N)</f>
        <v/>
      </c>
      <c r="K184" s="43" t="str">
        <f>IF(B184="","",MAX(0,K183-J184))</f>
        <v/>
      </c>
    </row>
    <row r="185">
      <c r="B185" s="69" t="str">
        <f>IF(117&lt;=Am_N,117,"")</f>
        <v/>
      </c>
      <c r="C185" s="43" t="str">
        <f>IF(B185="","",IFERROR(PMT(Am_Taxa,Am_N,-Am_Saldo),Am_Saldo/Am_N))</f>
        <v/>
      </c>
      <c r="D185" s="43" t="str">
        <f>IF(B185="","",F184*Am_Taxa)</f>
        <v/>
      </c>
      <c r="E185" s="43" t="str">
        <f>IF(B185="","",C185-D185)</f>
        <v/>
      </c>
      <c r="F185" s="43" t="str">
        <f>IF(B185="","",MAX(0,F184-E185))</f>
        <v/>
      </c>
      <c r="H185" s="43" t="str">
        <f>IF(B185="","",I185+J185)</f>
        <v/>
      </c>
      <c r="I185" s="43" t="str">
        <f>IF(B185="","",K184*Am_Taxa)</f>
        <v/>
      </c>
      <c r="J185" s="43" t="str">
        <f>IF(B185="","",Am_Saldo/Am_N)</f>
        <v/>
      </c>
      <c r="K185" s="43" t="str">
        <f>IF(B185="","",MAX(0,K184-J185))</f>
        <v/>
      </c>
    </row>
    <row r="186">
      <c r="B186" s="69" t="str">
        <f>IF(118&lt;=Am_N,118,"")</f>
        <v/>
      </c>
      <c r="C186" s="43" t="str">
        <f>IF(B186="","",IFERROR(PMT(Am_Taxa,Am_N,-Am_Saldo),Am_Saldo/Am_N))</f>
        <v/>
      </c>
      <c r="D186" s="43" t="str">
        <f>IF(B186="","",F185*Am_Taxa)</f>
        <v/>
      </c>
      <c r="E186" s="43" t="str">
        <f>IF(B186="","",C186-D186)</f>
        <v/>
      </c>
      <c r="F186" s="43" t="str">
        <f>IF(B186="","",MAX(0,F185-E186))</f>
        <v/>
      </c>
      <c r="H186" s="43" t="str">
        <f>IF(B186="","",I186+J186)</f>
        <v/>
      </c>
      <c r="I186" s="43" t="str">
        <f>IF(B186="","",K185*Am_Taxa)</f>
        <v/>
      </c>
      <c r="J186" s="43" t="str">
        <f>IF(B186="","",Am_Saldo/Am_N)</f>
        <v/>
      </c>
      <c r="K186" s="43" t="str">
        <f>IF(B186="","",MAX(0,K185-J186))</f>
        <v/>
      </c>
    </row>
    <row r="187">
      <c r="B187" s="69" t="str">
        <f>IF(119&lt;=Am_N,119,"")</f>
        <v/>
      </c>
      <c r="C187" s="43" t="str">
        <f>IF(B187="","",IFERROR(PMT(Am_Taxa,Am_N,-Am_Saldo),Am_Saldo/Am_N))</f>
        <v/>
      </c>
      <c r="D187" s="43" t="str">
        <f>IF(B187="","",F186*Am_Taxa)</f>
        <v/>
      </c>
      <c r="E187" s="43" t="str">
        <f>IF(B187="","",C187-D187)</f>
        <v/>
      </c>
      <c r="F187" s="43" t="str">
        <f>IF(B187="","",MAX(0,F186-E187))</f>
        <v/>
      </c>
      <c r="H187" s="43" t="str">
        <f>IF(B187="","",I187+J187)</f>
        <v/>
      </c>
      <c r="I187" s="43" t="str">
        <f>IF(B187="","",K186*Am_Taxa)</f>
        <v/>
      </c>
      <c r="J187" s="43" t="str">
        <f>IF(B187="","",Am_Saldo/Am_N)</f>
        <v/>
      </c>
      <c r="K187" s="43" t="str">
        <f>IF(B187="","",MAX(0,K186-J187))</f>
        <v/>
      </c>
    </row>
    <row r="188">
      <c r="B188" s="69" t="str">
        <f>IF(120&lt;=Am_N,120,"")</f>
        <v/>
      </c>
      <c r="C188" s="43" t="str">
        <f>IF(B188="","",IFERROR(PMT(Am_Taxa,Am_N,-Am_Saldo),Am_Saldo/Am_N))</f>
        <v/>
      </c>
      <c r="D188" s="43" t="str">
        <f>IF(B188="","",F187*Am_Taxa)</f>
        <v/>
      </c>
      <c r="E188" s="43" t="str">
        <f>IF(B188="","",C188-D188)</f>
        <v/>
      </c>
      <c r="F188" s="43" t="str">
        <f>IF(B188="","",MAX(0,F187-E188))</f>
        <v/>
      </c>
      <c r="H188" s="43" t="str">
        <f>IF(B188="","",I188+J188)</f>
        <v/>
      </c>
      <c r="I188" s="43" t="str">
        <f>IF(B188="","",K187*Am_Taxa)</f>
        <v/>
      </c>
      <c r="J188" s="43" t="str">
        <f>IF(B188="","",Am_Saldo/Am_N)</f>
        <v/>
      </c>
      <c r="K188" s="43" t="str">
        <f>IF(B188="","",MAX(0,K187-J188))</f>
        <v/>
      </c>
    </row>
    <row r="189">
      <c r="B189" s="9" t="inlineStr">
        <is>
          <t>Total</t>
        </is>
      </c>
      <c r="C189" s="79">
        <f>SUM(C69:C188)</f>
        <v>38041.7337939793</v>
      </c>
      <c r="D189" s="79">
        <f>SUM(D69:D188)</f>
        <v>9641.73379397932</v>
      </c>
      <c r="E189" s="79">
        <f>SUM(E69:E188)</f>
        <v>28400</v>
      </c>
      <c r="H189" s="79">
        <f>SUM(H69:H188)</f>
        <v>37204</v>
      </c>
      <c r="I189" s="79">
        <f>SUM(I69:I188)</f>
        <v>8804</v>
      </c>
      <c r="J189" s="79">
        <f>SUM(J69:J188)</f>
        <v>28400</v>
      </c>
    </row>
    <row r="190">
      <c r="B190" s="28" t="inlineStr">
        <is>
          <t>Comparação: juros totais no Price menos no SAC (economia do SAC):</t>
        </is>
      </c>
      <c r="H190" s="79">
        <f>D189-I189</f>
        <v>837.733793979322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Q2"/>
  </mergeCells>
  <conditionalFormatting sqref="P9:P16">
    <cfRule type="expression" priority="1" dxfId="0" stopIfTrue="0">
      <formula>LEFT(P9,1)="⚠"</formula>
    </cfRule>
    <cfRule type="expression" priority="2" dxfId="1" stopIfTrue="0">
      <formula>LEFT(P9,1)="✔"</formula>
    </cfRule>
    <cfRule type="expression" priority="3" dxfId="8" stopIfTrue="0">
      <formula>P9="Em dia"</formula>
    </cfRule>
  </conditionalFormatting>
  <conditionalFormatting sqref="K9:K16">
    <cfRule type="expression" priority="4" dxfId="7" stopIfTrue="0">
      <formula>K9="Atrasada"</formula>
    </cfRule>
  </conditionalFormatting>
  <conditionalFormatting sqref="E21:E22">
    <cfRule type="expression" priority="5" dxfId="7" stopIfTrue="0">
      <formula>LEFT(E21,1)="⚠"</formula>
    </cfRule>
    <cfRule type="expression" priority="6" dxfId="1" stopIfTrue="0">
      <formula>LEFT(E21,1)="✔"</formula>
    </cfRule>
  </conditionalFormatting>
  <conditionalFormatting sqref="G31:G32">
    <cfRule type="expression" priority="7" dxfId="1" stopIfTrue="0">
      <formula>G31&gt;0</formula>
    </cfRule>
  </conditionalFormatting>
  <conditionalFormatting sqref="B35:H35">
    <cfRule type="expression" priority="8" dxfId="12" stopIfTrue="0">
      <formula>$B35=""</formula>
    </cfRule>
  </conditionalFormatting>
  <conditionalFormatting sqref="B36:H36">
    <cfRule type="expression" priority="9" dxfId="12" stopIfTrue="0">
      <formula>$B36=""</formula>
    </cfRule>
  </conditionalFormatting>
  <conditionalFormatting sqref="B37:H37">
    <cfRule type="expression" priority="10" dxfId="12" stopIfTrue="0">
      <formula>$B37=""</formula>
    </cfRule>
  </conditionalFormatting>
  <conditionalFormatting sqref="B38:H38">
    <cfRule type="expression" priority="11" dxfId="12" stopIfTrue="0">
      <formula>$B38=""</formula>
    </cfRule>
  </conditionalFormatting>
  <conditionalFormatting sqref="B39:H39">
    <cfRule type="expression" priority="12" dxfId="12" stopIfTrue="0">
      <formula>$B39=""</formula>
    </cfRule>
  </conditionalFormatting>
  <conditionalFormatting sqref="B40:H40">
    <cfRule type="expression" priority="13" dxfId="12" stopIfTrue="0">
      <formula>$B40=""</formula>
    </cfRule>
  </conditionalFormatting>
  <conditionalFormatting sqref="B41:H41">
    <cfRule type="expression" priority="14" dxfId="12" stopIfTrue="0">
      <formula>$B41=""</formula>
    </cfRule>
  </conditionalFormatting>
  <conditionalFormatting sqref="B42:H42">
    <cfRule type="expression" priority="15" dxfId="12" stopIfTrue="0">
      <formula>$B42=""</formula>
    </cfRule>
  </conditionalFormatting>
  <dataValidations count="4">
    <dataValidation sqref="C9:C16" showDropDown="0" showInputMessage="0" showErrorMessage="1" allowBlank="1" errorTitle="Valor inválido" error="Escolha um valor da lista." type="list">
      <formula1>=Lista_TipoDivida</formula1>
    </dataValidation>
    <dataValidation sqref="J9:J16" showDropDown="0" showInputMessage="0" showErrorMessage="1" allowBlank="1" errorTitle="Valor inválido" error="Escolha um valor da lista." type="list">
      <formula1>=Lista_Sistema</formula1>
    </dataValidation>
    <dataValidation sqref="K9:K16" showDropDown="0" showInputMessage="0" showErrorMessage="1" allowBlank="1" errorTitle="Valor inválido" error="Escolha um valor da lista." type="list">
      <formula1>=Lista_StatusDivida</formula1>
    </dataValidation>
    <dataValidation sqref="C65" showDropDown="0" showInputMessage="0" showErrorMessage="1" allowBlank="1" errorTitle="Valor inválido" error="Escolha um valor da lista." type="list">
      <formula1>=Lista_Dividas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INVESTIMENTOS'!A1" display="Investimento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R63"/>
  <sheetViews>
    <sheetView showGridLines="0" tabSelected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8" customWidth="1" min="4" max="4"/>
    <col width="15" customWidth="1" min="5" max="5"/>
    <col width="15" customWidth="1" min="6" max="6"/>
    <col width="15" customWidth="1" min="7" max="7"/>
    <col width="14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22" customWidth="1" min="17" max="17"/>
  </cols>
  <sheetData>
    <row r="1" ht="30" customHeight="1">
      <c r="B1" s="1" t="inlineStr">
        <is>
          <t>INVESTIMENTOS</t>
        </is>
      </c>
    </row>
    <row r="2" ht="32" customHeight="1">
      <c r="B2" s="2" t="inlineStr">
        <is>
          <t>Cadastre seus ativos (células azuis). A planilha calcula rentabilidade, % da carteira, compara com CDI e inflação (de CONFIGURAÇÕES) e indica rebalanceamento. ⚠ Apenas controle pessoal — não é recomendação de investimento.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Metas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I)</t>
        </is>
      </c>
    </row>
    <row r="6">
      <c r="B6" s="6" t="inlineStr">
        <is>
          <t>1. Carteira de ativos</t>
        </is>
      </c>
    </row>
    <row r="7">
      <c r="B7" s="28" t="inlineStr">
        <is>
          <t>Aviso: esta aba serve apenas para organizar e acompanhar seus investimentos. Não constitui recomendação de compra, venda ou alocação.</t>
        </is>
      </c>
    </row>
    <row r="9" ht="46" customHeight="1">
      <c r="B9" s="7" t="inlineStr">
        <is>
          <t>Ativo</t>
        </is>
      </c>
      <c r="C9" s="7" t="inlineStr">
        <is>
          <t>Tipo</t>
        </is>
      </c>
      <c r="D9" s="7" t="inlineStr">
        <is>
          <t>Instituição</t>
        </is>
      </c>
      <c r="E9" s="7" t="inlineStr">
        <is>
          <t>Data da aplicação</t>
        </is>
      </c>
      <c r="F9" s="7" t="inlineStr">
        <is>
          <t>Valor aportado</t>
        </is>
      </c>
      <c r="G9" s="7" t="inlineStr">
        <is>
          <t>Valor atual</t>
        </is>
      </c>
      <c r="H9" s="7" t="inlineStr">
        <is>
          <t>Liquidez</t>
        </is>
      </c>
      <c r="I9" s="7" t="inlineStr">
        <is>
          <t>Vencimento</t>
        </is>
      </c>
      <c r="J9" s="7" t="inlineStr">
        <is>
          <t>Rentabilidade R$</t>
        </is>
      </c>
      <c r="K9" s="7" t="inlineStr">
        <is>
          <t>Rentab. %</t>
        </is>
      </c>
      <c r="L9" s="7" t="inlineStr">
        <is>
          <t>% da carteira</t>
        </is>
      </c>
      <c r="M9" s="7" t="inlineStr">
        <is>
          <t>Dias</t>
        </is>
      </c>
      <c r="N9" s="7" t="inlineStr">
        <is>
          <t>CDI no período</t>
        </is>
      </c>
      <c r="O9" s="7" t="inlineStr">
        <is>
          <t>Inflação no período</t>
        </is>
      </c>
      <c r="P9" s="7" t="inlineStr">
        <is>
          <t>Rentab. − CDI (p.p.)</t>
        </is>
      </c>
      <c r="Q9" s="7" t="inlineStr">
        <is>
          <t>Situação</t>
        </is>
      </c>
    </row>
    <row r="10">
      <c r="B10" s="34" t="inlineStr">
        <is>
          <t>Tesouro Selic 2029</t>
        </is>
      </c>
      <c r="C10" s="34" t="inlineStr">
        <is>
          <t>Tesouro Direto</t>
        </is>
      </c>
      <c r="D10" s="34" t="inlineStr">
        <is>
          <t>Banco Azul</t>
        </is>
      </c>
      <c r="E10" s="38" t="n">
        <v>45361</v>
      </c>
      <c r="F10" s="35" t="n">
        <v>22000</v>
      </c>
      <c r="G10" s="35" t="n">
        <v>30296.01</v>
      </c>
      <c r="H10" s="34" t="inlineStr">
        <is>
          <t>Diária</t>
        </is>
      </c>
      <c r="I10" s="38" t="n">
        <v>47178</v>
      </c>
      <c r="J10" s="43">
        <f>IF($B10="",0,N($G10)-N($F10))</f>
        <v>8296.01</v>
      </c>
      <c r="K10" s="73">
        <f>IF(N($F10)=0,0,J10/$F10)</f>
        <v>0.377091363636364</v>
      </c>
      <c r="L10" s="73">
        <f>IF($B10="",0,IFERROR($G10/Inv_TotAtual,0))</f>
        <v>0.242070372173486</v>
      </c>
      <c r="M10" s="40">
        <f>IF(OR($B10="",NOT(ISNUMBER($E10))),0,MAX(1,Cfg_Hoje-$E10))</f>
        <v>937</v>
      </c>
      <c r="N10" s="73">
        <f>IF(M10=0,0,(1+Cfg_CDI)^(M10/365)-1)</f>
        <v>0.391983718725097</v>
      </c>
      <c r="O10" s="73">
        <f>IF(M10=0,0,(1+Cfg_Infl)^(M10/365)-1)</f>
        <v>0.119628318339343</v>
      </c>
      <c r="P10" s="84">
        <f>IF(M10=0,0,(K10-N10)*100)</f>
        <v>-1.48923550887329</v>
      </c>
      <c r="Q10" s="14" t="str">
        <f>IF($B10="","",IF(M10=0,"—",IF(K10&gt;=N10,"✔ Acima do CDI",IF(K10&gt;=O10,"Acima da inflação","⚠ Abaixo da inflação"))))</f>
        <v>Acima da inflação</v>
      </c>
    </row>
    <row r="11">
      <c r="B11" s="34" t="inlineStr">
        <is>
          <t>CDB 110% do CDI</t>
        </is>
      </c>
      <c r="C11" s="34" t="inlineStr">
        <is>
          <t>Renda fixa</t>
        </is>
      </c>
      <c r="D11" s="34" t="inlineStr">
        <is>
          <t>Banco Verde</t>
        </is>
      </c>
      <c r="E11" s="38" t="n">
        <v>45703</v>
      </c>
      <c r="F11" s="35" t="n">
        <v>15000</v>
      </c>
      <c r="G11" s="35" t="n">
        <v>19232.09</v>
      </c>
      <c r="H11" s="34" t="inlineStr">
        <is>
          <t>No vencimento</t>
        </is>
      </c>
      <c r="I11" s="38" t="n">
        <v>46433</v>
      </c>
      <c r="J11" s="43">
        <f>IF($B11="",0,N($G11)-N($F11))</f>
        <v>4232.09</v>
      </c>
      <c r="K11" s="73">
        <f>IF(N($F11)=0,0,J11/$F11)</f>
        <v>0.282139333333333</v>
      </c>
      <c r="L11" s="73">
        <f>IF($B11="",0,IFERROR($G11/Inv_TotAtual,0))</f>
        <v>0.153667733274909</v>
      </c>
      <c r="M11" s="40">
        <f>IF(OR($B11="",NOT(ISNUMBER($E11))),0,MAX(1,Cfg_Hoje-$E11))</f>
        <v>595</v>
      </c>
      <c r="N11" s="73">
        <f>IF(M11=0,0,(1+Cfg_CDI)^(M11/365)-1)</f>
        <v>0.23369684832907</v>
      </c>
      <c r="O11" s="73">
        <f>IF(M11=0,0,(1+Cfg_Infl)^(M11/365)-1)</f>
        <v>0.0743905310459396</v>
      </c>
      <c r="P11" s="84">
        <f>IF(M11=0,0,(K11-N11)*100)</f>
        <v>4.84424850042631</v>
      </c>
      <c r="Q11" s="14" t="str">
        <f>IF($B11="","",IF(M11=0,"—",IF(K11&gt;=N11,"✔ Acima do CDI",IF(K11&gt;=O11,"Acima da inflação","⚠ Abaixo da inflação"))))</f>
        <v>✔ Acima do CDI</v>
      </c>
    </row>
    <row r="12">
      <c r="B12" s="34" t="inlineStr">
        <is>
          <t>FII Exemplo Logística</t>
        </is>
      </c>
      <c r="C12" s="34" t="inlineStr">
        <is>
          <t>FIIs</t>
        </is>
      </c>
      <c r="D12" s="34" t="inlineStr">
        <is>
          <t>Corretora X</t>
        </is>
      </c>
      <c r="E12" s="38" t="n">
        <v>45779</v>
      </c>
      <c r="F12" s="35" t="n">
        <v>8000</v>
      </c>
      <c r="G12" s="35" t="n">
        <v>9313.51</v>
      </c>
      <c r="H12" s="34" t="inlineStr">
        <is>
          <t>D+1</t>
        </is>
      </c>
      <c r="I12" s="38" t="n"/>
      <c r="J12" s="43">
        <f>IF($B12="",0,N($G12)-N($F12))</f>
        <v>1313.51</v>
      </c>
      <c r="K12" s="73">
        <f>IF(N($F12)=0,0,J12/$F12)</f>
        <v>0.16418875</v>
      </c>
      <c r="L12" s="73">
        <f>IF($B12="",0,IFERROR($G12/Inv_TotAtual,0))</f>
        <v>0.0744165595384173</v>
      </c>
      <c r="M12" s="40">
        <f>IF(OR($B12="",NOT(ISNUMBER($E12))),0,MAX(1,Cfg_Hoje-$E12))</f>
        <v>519</v>
      </c>
      <c r="N12" s="73">
        <f>IF(M12=0,0,(1+Cfg_CDI)^(M12/365)-1)</f>
        <v>0.201042289947832</v>
      </c>
      <c r="O12" s="73">
        <f>IF(M12=0,0,(1+Cfg_Infl)^(M12/365)-1)</f>
        <v>0.0645885571870348</v>
      </c>
      <c r="P12" s="84">
        <f>IF(M12=0,0,(K12-N12)*100)</f>
        <v>-3.68535399478321</v>
      </c>
      <c r="Q12" s="14" t="str">
        <f>IF($B12="","",IF(M12=0,"—",IF(K12&gt;=N12,"✔ Acima do CDI",IF(K12&gt;=O12,"Acima da inflação","⚠ Abaixo da inflação"))))</f>
        <v>Acima da inflação</v>
      </c>
    </row>
    <row r="13">
      <c r="B13" s="34" t="inlineStr">
        <is>
          <t>Ações - cesta exemplo</t>
        </is>
      </c>
      <c r="C13" s="34" t="inlineStr">
        <is>
          <t>Ações</t>
        </is>
      </c>
      <c r="D13" s="34" t="inlineStr">
        <is>
          <t>Corretora X</t>
        </is>
      </c>
      <c r="E13" s="38" t="n">
        <v>45889</v>
      </c>
      <c r="F13" s="35" t="n">
        <v>6000</v>
      </c>
      <c r="G13" s="35" t="n">
        <v>6442.05</v>
      </c>
      <c r="H13" s="34" t="inlineStr">
        <is>
          <t>D+1</t>
        </is>
      </c>
      <c r="I13" s="38" t="n"/>
      <c r="J13" s="43">
        <f>IF($B13="",0,N($G13)-N($F13))</f>
        <v>442.05</v>
      </c>
      <c r="K13" s="73">
        <f>IF(N($F13)=0,0,J13/$F13)</f>
        <v>0.073675</v>
      </c>
      <c r="L13" s="73">
        <f>IF($B13="",0,IFERROR($G13/Inv_TotAtual,0))</f>
        <v>0.0514730963272129</v>
      </c>
      <c r="M13" s="40">
        <f>IF(OR($B13="",NOT(ISNUMBER($E13))),0,MAX(1,Cfg_Hoje-$E13))</f>
        <v>409</v>
      </c>
      <c r="N13" s="73">
        <f>IF(M13=0,0,(1+Cfg_CDI)^(M13/365)-1)</f>
        <v>0.155303881019353</v>
      </c>
      <c r="O13" s="73">
        <f>IF(M13=0,0,(1+Cfg_Infl)^(M13/365)-1)</f>
        <v>0.0505596587540262</v>
      </c>
      <c r="P13" s="84">
        <f>IF(M13=0,0,(K13-N13)*100)</f>
        <v>-8.16288810193525</v>
      </c>
      <c r="Q13" s="14" t="str">
        <f>IF($B13="","",IF(M13=0,"—",IF(K13&gt;=N13,"✔ Acima do CDI",IF(K13&gt;=O13,"Acima da inflação","⚠ Abaixo da inflação"))))</f>
        <v>Acima da inflação</v>
      </c>
    </row>
    <row r="14">
      <c r="B14" s="34" t="inlineStr">
        <is>
          <t>ETF índice exemplo</t>
        </is>
      </c>
      <c r="C14" s="34" t="inlineStr">
        <is>
          <t>ETFs</t>
        </is>
      </c>
      <c r="D14" s="34" t="inlineStr">
        <is>
          <t>Corretora X</t>
        </is>
      </c>
      <c r="E14" s="38" t="n">
        <v>45905</v>
      </c>
      <c r="F14" s="35" t="n">
        <v>5000</v>
      </c>
      <c r="G14" s="35" t="n">
        <v>5854.73</v>
      </c>
      <c r="H14" s="34" t="inlineStr">
        <is>
          <t>D+1</t>
        </is>
      </c>
      <c r="I14" s="38" t="n"/>
      <c r="J14" s="43">
        <f>IF($B14="",0,N($G14)-N($F14))</f>
        <v>854.73</v>
      </c>
      <c r="K14" s="73">
        <f>IF(N($F14)=0,0,J14/$F14)</f>
        <v>0.170946</v>
      </c>
      <c r="L14" s="73">
        <f>IF($B14="",0,IFERROR($G14/Inv_TotAtual,0))</f>
        <v>0.0467803077063704</v>
      </c>
      <c r="M14" s="40">
        <f>IF(OR($B14="",NOT(ISNUMBER($E14))),0,MAX(1,Cfg_Hoje-$E14))</f>
        <v>393</v>
      </c>
      <c r="N14" s="73">
        <f>IF(M14=0,0,(1+Cfg_CDI)^(M14/365)-1)</f>
        <v>0.148797727850437</v>
      </c>
      <c r="O14" s="73">
        <f>IF(M14=0,0,(1+Cfg_Infl)^(M14/365)-1)</f>
        <v>0.0485345505759356</v>
      </c>
      <c r="P14" s="84">
        <f>IF(M14=0,0,(K14-N14)*100)</f>
        <v>2.21482721495628</v>
      </c>
      <c r="Q14" s="14" t="str">
        <f>IF($B14="","",IF(M14=0,"—",IF(K14&gt;=N14,"✔ Acima do CDI",IF(K14&gt;=O14,"Acima da inflação","⚠ Abaixo da inflação"))))</f>
        <v>✔ Acima do CDI</v>
      </c>
    </row>
    <row r="15">
      <c r="B15" s="34" t="inlineStr">
        <is>
          <t>Previdência PGBL</t>
        </is>
      </c>
      <c r="C15" s="34" t="inlineStr">
        <is>
          <t>Previdência</t>
        </is>
      </c>
      <c r="D15" s="34" t="inlineStr">
        <is>
          <t>Seguradora Y</t>
        </is>
      </c>
      <c r="E15" s="38" t="n">
        <v>44936</v>
      </c>
      <c r="F15" s="35" t="n">
        <v>30000</v>
      </c>
      <c r="G15" s="35" t="n">
        <v>46544.56</v>
      </c>
      <c r="H15" s="34" t="inlineStr">
        <is>
          <t>Baixa</t>
        </is>
      </c>
      <c r="I15" s="38" t="n"/>
      <c r="J15" s="43">
        <f>IF($B15="",0,N($G15)-N($F15))</f>
        <v>16544.56</v>
      </c>
      <c r="K15" s="73">
        <f>IF(N($F15)=0,0,J15/$F15)</f>
        <v>0.551485333333333</v>
      </c>
      <c r="L15" s="73">
        <f>IF($B15="",0,IFERROR($G15/Inv_TotAtual,0))</f>
        <v>0.371899103606421</v>
      </c>
      <c r="M15" s="40">
        <f>IF(OR($B15="",NOT(ISNUMBER($E15))),0,MAX(1,Cfg_Hoje-$E15))</f>
        <v>1362</v>
      </c>
      <c r="N15" s="73">
        <f>IF(M15=0,0,(1+Cfg_CDI)^(M15/365)-1)</f>
        <v>0.617271942603879</v>
      </c>
      <c r="O15" s="73">
        <f>IF(M15=0,0,(1+Cfg_Infl)^(M15/365)-1)</f>
        <v>0.178508091637252</v>
      </c>
      <c r="P15" s="84">
        <f>IF(M15=0,0,(K15-N15)*100)</f>
        <v>-6.57866092705456</v>
      </c>
      <c r="Q15" s="14" t="str">
        <f>IF($B15="","",IF(M15=0,"—",IF(K15&gt;=N15,"✔ Acima do CDI",IF(K15&gt;=O15,"Acima da inflação","⚠ Abaixo da inflação"))))</f>
        <v>Acima da inflação</v>
      </c>
    </row>
    <row r="16">
      <c r="B16" s="34" t="inlineStr">
        <is>
          <t>Cripto - carteira exemplo</t>
        </is>
      </c>
      <c r="C16" s="34" t="inlineStr">
        <is>
          <t>Cripto</t>
        </is>
      </c>
      <c r="D16" s="34" t="inlineStr">
        <is>
          <t>Exchange Z</t>
        </is>
      </c>
      <c r="E16" s="38" t="n">
        <v>45973</v>
      </c>
      <c r="F16" s="35" t="n">
        <v>2000</v>
      </c>
      <c r="G16" s="35" t="n">
        <v>2465.68</v>
      </c>
      <c r="H16" s="34" t="inlineStr">
        <is>
          <t>D+1</t>
        </is>
      </c>
      <c r="I16" s="38" t="n"/>
      <c r="J16" s="43">
        <f>IF($B16="",0,N($G16)-N($F16))</f>
        <v>465.68</v>
      </c>
      <c r="K16" s="73">
        <f>IF(N($F16)=0,0,J16/$F16)</f>
        <v>0.23284</v>
      </c>
      <c r="L16" s="73">
        <f>IF($B16="",0,IFERROR($G16/Inv_TotAtual,0))</f>
        <v>0.0197012106630781</v>
      </c>
      <c r="M16" s="40">
        <f>IF(OR($B16="",NOT(ISNUMBER($E16))),0,MAX(1,Cfg_Hoje-$E16))</f>
        <v>325</v>
      </c>
      <c r="N16" s="73">
        <f>IF(M16=0,0,(1+Cfg_CDI)^(M16/365)-1)</f>
        <v>0.121552853029627</v>
      </c>
      <c r="O16" s="73">
        <f>IF(M16=0,0,(1+Cfg_Infl)^(M16/365)-1)</f>
        <v>0.0399713005545834</v>
      </c>
      <c r="P16" s="84">
        <f>IF(M16=0,0,(K16-N16)*100)</f>
        <v>11.1287146970373</v>
      </c>
      <c r="Q16" s="14" t="str">
        <f>IF($B16="","",IF(M16=0,"—",IF(K16&gt;=N16,"✔ Acima do CDI",IF(K16&gt;=O16,"Acima da inflação","⚠ Abaixo da inflação"))))</f>
        <v>✔ Acima do CDI</v>
      </c>
    </row>
    <row r="17">
      <c r="B17" s="34" t="inlineStr">
        <is>
          <t>ETF exterior exemplo</t>
        </is>
      </c>
      <c r="C17" s="34" t="inlineStr">
        <is>
          <t>Exterior</t>
        </is>
      </c>
      <c r="D17" s="34" t="inlineStr">
        <is>
          <t>Corretora X</t>
        </is>
      </c>
      <c r="E17" s="38" t="n">
        <v>45826</v>
      </c>
      <c r="F17" s="35" t="n">
        <v>4000</v>
      </c>
      <c r="G17" s="35" t="n">
        <v>5005.1</v>
      </c>
      <c r="H17" s="34" t="inlineStr">
        <is>
          <t>D+1</t>
        </is>
      </c>
      <c r="I17" s="38" t="n"/>
      <c r="J17" s="43">
        <f>IF($B17="",0,N($G17)-N($F17))</f>
        <v>1005.1</v>
      </c>
      <c r="K17" s="73">
        <f>IF(N($F17)=0,0,J17/$F17)</f>
        <v>0.251275</v>
      </c>
      <c r="L17" s="73">
        <f>IF($B17="",0,IFERROR($G17/Inv_TotAtual,0))</f>
        <v>0.0399916167101052</v>
      </c>
      <c r="M17" s="40">
        <f>IF(OR($B17="",NOT(ISNUMBER($E17))),0,MAX(1,Cfg_Hoje-$E17))</f>
        <v>472</v>
      </c>
      <c r="N17" s="73">
        <f>IF(M17=0,0,(1+Cfg_CDI)^(M17/365)-1)</f>
        <v>0.18128203196484</v>
      </c>
      <c r="O17" s="73">
        <f>IF(M17=0,0,(1+Cfg_Infl)^(M17/365)-1)</f>
        <v>0.0585716141099808</v>
      </c>
      <c r="P17" s="84">
        <f>IF(M17=0,0,(K17-N17)*100)</f>
        <v>6.99929680351605</v>
      </c>
      <c r="Q17" s="14" t="str">
        <f>IF($B17="","",IF(M17=0,"—",IF(K17&gt;=N17,"✔ Acima do CDI",IF(K17&gt;=O17,"Acima da inflação","⚠ Abaixo da inflação"))))</f>
        <v>✔ Acima do CDI</v>
      </c>
    </row>
    <row r="18">
      <c r="B18" s="34" t="n"/>
      <c r="C18" s="34" t="n"/>
      <c r="D18" s="34" t="n"/>
      <c r="E18" s="38" t="n"/>
      <c r="F18" s="35" t="n"/>
      <c r="G18" s="35" t="n"/>
      <c r="H18" s="34" t="n"/>
      <c r="I18" s="38" t="n"/>
      <c r="J18" s="43">
        <f>IF($B18="",0,N($G18)-N($F18))</f>
        <v>0</v>
      </c>
      <c r="K18" s="73">
        <f>IF(N($F18)=0,0,J18/$F18)</f>
        <v>0</v>
      </c>
      <c r="L18" s="73">
        <f>IF($B18="",0,IFERROR($G18/Inv_TotAtual,0))</f>
        <v>0</v>
      </c>
      <c r="M18" s="40">
        <f>IF(OR($B18="",NOT(ISNUMBER($E18))),0,MAX(1,Cfg_Hoje-$E18))</f>
        <v>0</v>
      </c>
      <c r="N18" s="73">
        <f>IF(M18=0,0,(1+Cfg_CDI)^(M18/365)-1)</f>
        <v>0</v>
      </c>
      <c r="O18" s="73">
        <f>IF(M18=0,0,(1+Cfg_Infl)^(M18/365)-1)</f>
        <v>0</v>
      </c>
      <c r="P18" s="84">
        <f>IF(M18=0,0,(K18-N18)*100)</f>
        <v>0</v>
      </c>
      <c r="Q18" s="14" t="str">
        <f>IF($B18="","",IF(M18=0,"—",IF(K18&gt;=N18,"✔ Acima do CDI",IF(K18&gt;=O18,"Acima da inflação","⚠ Abaixo da inflação"))))</f>
        <v/>
      </c>
    </row>
    <row r="19">
      <c r="B19" s="34" t="n"/>
      <c r="C19" s="34" t="n"/>
      <c r="D19" s="34" t="n"/>
      <c r="E19" s="38" t="n"/>
      <c r="F19" s="35" t="n"/>
      <c r="G19" s="35" t="n"/>
      <c r="H19" s="34" t="n"/>
      <c r="I19" s="38" t="n"/>
      <c r="J19" s="43">
        <f>IF($B19="",0,N($G19)-N($F19))</f>
        <v>0</v>
      </c>
      <c r="K19" s="73">
        <f>IF(N($F19)=0,0,J19/$F19)</f>
        <v>0</v>
      </c>
      <c r="L19" s="73">
        <f>IF($B19="",0,IFERROR($G19/Inv_TotAtual,0))</f>
        <v>0</v>
      </c>
      <c r="M19" s="40">
        <f>IF(OR($B19="",NOT(ISNUMBER($E19))),0,MAX(1,Cfg_Hoje-$E19))</f>
        <v>0</v>
      </c>
      <c r="N19" s="73">
        <f>IF(M19=0,0,(1+Cfg_CDI)^(M19/365)-1)</f>
        <v>0</v>
      </c>
      <c r="O19" s="73">
        <f>IF(M19=0,0,(1+Cfg_Infl)^(M19/365)-1)</f>
        <v>0</v>
      </c>
      <c r="P19" s="84">
        <f>IF(M19=0,0,(K19-N19)*100)</f>
        <v>0</v>
      </c>
      <c r="Q19" s="14" t="str">
        <f>IF($B19="","",IF(M19=0,"—",IF(K19&gt;=N19,"✔ Acima do CDI",IF(K19&gt;=O19,"Acima da inflação","⚠ Abaixo da inflação"))))</f>
        <v/>
      </c>
    </row>
    <row r="20">
      <c r="B20" s="34" t="n"/>
      <c r="C20" s="34" t="n"/>
      <c r="D20" s="34" t="n"/>
      <c r="E20" s="38" t="n"/>
      <c r="F20" s="35" t="n"/>
      <c r="G20" s="35" t="n"/>
      <c r="H20" s="34" t="n"/>
      <c r="I20" s="38" t="n"/>
      <c r="J20" s="43">
        <f>IF($B20="",0,N($G20)-N($F20))</f>
        <v>0</v>
      </c>
      <c r="K20" s="73">
        <f>IF(N($F20)=0,0,J20/$F20)</f>
        <v>0</v>
      </c>
      <c r="L20" s="73">
        <f>IF($B20="",0,IFERROR($G20/Inv_TotAtual,0))</f>
        <v>0</v>
      </c>
      <c r="M20" s="40">
        <f>IF(OR($B20="",NOT(ISNUMBER($E20))),0,MAX(1,Cfg_Hoje-$E20))</f>
        <v>0</v>
      </c>
      <c r="N20" s="73">
        <f>IF(M20=0,0,(1+Cfg_CDI)^(M20/365)-1)</f>
        <v>0</v>
      </c>
      <c r="O20" s="73">
        <f>IF(M20=0,0,(1+Cfg_Infl)^(M20/365)-1)</f>
        <v>0</v>
      </c>
      <c r="P20" s="84">
        <f>IF(M20=0,0,(K20-N20)*100)</f>
        <v>0</v>
      </c>
      <c r="Q20" s="14" t="str">
        <f>IF($B20="","",IF(M20=0,"—",IF(K20&gt;=N20,"✔ Acima do CDI",IF(K20&gt;=O20,"Acima da inflação","⚠ Abaixo da inflação"))))</f>
        <v/>
      </c>
    </row>
    <row r="21">
      <c r="B21" s="34" t="n"/>
      <c r="C21" s="34" t="n"/>
      <c r="D21" s="34" t="n"/>
      <c r="E21" s="38" t="n"/>
      <c r="F21" s="35" t="n"/>
      <c r="G21" s="35" t="n"/>
      <c r="H21" s="34" t="n"/>
      <c r="I21" s="38" t="n"/>
      <c r="J21" s="43">
        <f>IF($B21="",0,N($G21)-N($F21))</f>
        <v>0</v>
      </c>
      <c r="K21" s="73">
        <f>IF(N($F21)=0,0,J21/$F21)</f>
        <v>0</v>
      </c>
      <c r="L21" s="73">
        <f>IF($B21="",0,IFERROR($G21/Inv_TotAtual,0))</f>
        <v>0</v>
      </c>
      <c r="M21" s="40">
        <f>IF(OR($B21="",NOT(ISNUMBER($E21))),0,MAX(1,Cfg_Hoje-$E21))</f>
        <v>0</v>
      </c>
      <c r="N21" s="73">
        <f>IF(M21=0,0,(1+Cfg_CDI)^(M21/365)-1)</f>
        <v>0</v>
      </c>
      <c r="O21" s="73">
        <f>IF(M21=0,0,(1+Cfg_Infl)^(M21/365)-1)</f>
        <v>0</v>
      </c>
      <c r="P21" s="84">
        <f>IF(M21=0,0,(K21-N21)*100)</f>
        <v>0</v>
      </c>
      <c r="Q21" s="14" t="str">
        <f>IF($B21="","",IF(M21=0,"—",IF(K21&gt;=N21,"✔ Acima do CDI",IF(K21&gt;=O21,"Acima da inflação","⚠ Abaixo da inflação"))))</f>
        <v/>
      </c>
    </row>
    <row r="22">
      <c r="B22" s="34" t="n"/>
      <c r="C22" s="34" t="n"/>
      <c r="D22" s="34" t="n"/>
      <c r="E22" s="38" t="n"/>
      <c r="F22" s="35" t="n"/>
      <c r="G22" s="35" t="n"/>
      <c r="H22" s="34" t="n"/>
      <c r="I22" s="38" t="n"/>
      <c r="J22" s="43">
        <f>IF($B22="",0,N($G22)-N($F22))</f>
        <v>0</v>
      </c>
      <c r="K22" s="73">
        <f>IF(N($F22)=0,0,J22/$F22)</f>
        <v>0</v>
      </c>
      <c r="L22" s="73">
        <f>IF($B22="",0,IFERROR($G22/Inv_TotAtual,0))</f>
        <v>0</v>
      </c>
      <c r="M22" s="40">
        <f>IF(OR($B22="",NOT(ISNUMBER($E22))),0,MAX(1,Cfg_Hoje-$E22))</f>
        <v>0</v>
      </c>
      <c r="N22" s="73">
        <f>IF(M22=0,0,(1+Cfg_CDI)^(M22/365)-1)</f>
        <v>0</v>
      </c>
      <c r="O22" s="73">
        <f>IF(M22=0,0,(1+Cfg_Infl)^(M22/365)-1)</f>
        <v>0</v>
      </c>
      <c r="P22" s="84">
        <f>IF(M22=0,0,(K22-N22)*100)</f>
        <v>0</v>
      </c>
      <c r="Q22" s="14" t="str">
        <f>IF($B22="","",IF(M22=0,"—",IF(K22&gt;=N22,"✔ Acima do CDI",IF(K22&gt;=O22,"Acima da inflação","⚠ Abaixo da inflação"))))</f>
        <v/>
      </c>
    </row>
    <row r="23">
      <c r="B23" s="34" t="n"/>
      <c r="C23" s="34" t="n"/>
      <c r="D23" s="34" t="n"/>
      <c r="E23" s="38" t="n"/>
      <c r="F23" s="35" t="n"/>
      <c r="G23" s="35" t="n"/>
      <c r="H23" s="34" t="n"/>
      <c r="I23" s="38" t="n"/>
      <c r="J23" s="43">
        <f>IF($B23="",0,N($G23)-N($F23))</f>
        <v>0</v>
      </c>
      <c r="K23" s="73">
        <f>IF(N($F23)=0,0,J23/$F23)</f>
        <v>0</v>
      </c>
      <c r="L23" s="73">
        <f>IF($B23="",0,IFERROR($G23/Inv_TotAtual,0))</f>
        <v>0</v>
      </c>
      <c r="M23" s="40">
        <f>IF(OR($B23="",NOT(ISNUMBER($E23))),0,MAX(1,Cfg_Hoje-$E23))</f>
        <v>0</v>
      </c>
      <c r="N23" s="73">
        <f>IF(M23=0,0,(1+Cfg_CDI)^(M23/365)-1)</f>
        <v>0</v>
      </c>
      <c r="O23" s="73">
        <f>IF(M23=0,0,(1+Cfg_Infl)^(M23/365)-1)</f>
        <v>0</v>
      </c>
      <c r="P23" s="84">
        <f>IF(M23=0,0,(K23-N23)*100)</f>
        <v>0</v>
      </c>
      <c r="Q23" s="14" t="str">
        <f>IF($B23="","",IF(M23=0,"—",IF(K23&gt;=N23,"✔ Acima do CDI",IF(K23&gt;=O23,"Acima da inflação","⚠ Abaixo da inflação"))))</f>
        <v/>
      </c>
    </row>
    <row r="24">
      <c r="B24" s="34" t="n"/>
      <c r="C24" s="34" t="n"/>
      <c r="D24" s="34" t="n"/>
      <c r="E24" s="38" t="n"/>
      <c r="F24" s="35" t="n"/>
      <c r="G24" s="35" t="n"/>
      <c r="H24" s="34" t="n"/>
      <c r="I24" s="38" t="n"/>
      <c r="J24" s="43">
        <f>IF($B24="",0,N($G24)-N($F24))</f>
        <v>0</v>
      </c>
      <c r="K24" s="73">
        <f>IF(N($F24)=0,0,J24/$F24)</f>
        <v>0</v>
      </c>
      <c r="L24" s="73">
        <f>IF($B24="",0,IFERROR($G24/Inv_TotAtual,0))</f>
        <v>0</v>
      </c>
      <c r="M24" s="40">
        <f>IF(OR($B24="",NOT(ISNUMBER($E24))),0,MAX(1,Cfg_Hoje-$E24))</f>
        <v>0</v>
      </c>
      <c r="N24" s="73">
        <f>IF(M24=0,0,(1+Cfg_CDI)^(M24/365)-1)</f>
        <v>0</v>
      </c>
      <c r="O24" s="73">
        <f>IF(M24=0,0,(1+Cfg_Infl)^(M24/365)-1)</f>
        <v>0</v>
      </c>
      <c r="P24" s="84">
        <f>IF(M24=0,0,(K24-N24)*100)</f>
        <v>0</v>
      </c>
      <c r="Q24" s="14" t="str">
        <f>IF($B24="","",IF(M24=0,"—",IF(K24&gt;=N24,"✔ Acima do CDI",IF(K24&gt;=O24,"Acima da inflação","⚠ Abaixo da inflação"))))</f>
        <v/>
      </c>
    </row>
    <row r="25">
      <c r="B25" s="34" t="n"/>
      <c r="C25" s="34" t="n"/>
      <c r="D25" s="34" t="n"/>
      <c r="E25" s="38" t="n"/>
      <c r="F25" s="35" t="n"/>
      <c r="G25" s="35" t="n"/>
      <c r="H25" s="34" t="n"/>
      <c r="I25" s="38" t="n"/>
      <c r="J25" s="43">
        <f>IF($B25="",0,N($G25)-N($F25))</f>
        <v>0</v>
      </c>
      <c r="K25" s="73">
        <f>IF(N($F25)=0,0,J25/$F25)</f>
        <v>0</v>
      </c>
      <c r="L25" s="73">
        <f>IF($B25="",0,IFERROR($G25/Inv_TotAtual,0))</f>
        <v>0</v>
      </c>
      <c r="M25" s="40">
        <f>IF(OR($B25="",NOT(ISNUMBER($E25))),0,MAX(1,Cfg_Hoje-$E25))</f>
        <v>0</v>
      </c>
      <c r="N25" s="73">
        <f>IF(M25=0,0,(1+Cfg_CDI)^(M25/365)-1)</f>
        <v>0</v>
      </c>
      <c r="O25" s="73">
        <f>IF(M25=0,0,(1+Cfg_Infl)^(M25/365)-1)</f>
        <v>0</v>
      </c>
      <c r="P25" s="84">
        <f>IF(M25=0,0,(K25-N25)*100)</f>
        <v>0</v>
      </c>
      <c r="Q25" s="14" t="str">
        <f>IF($B25="","",IF(M25=0,"—",IF(K25&gt;=N25,"✔ Acima do CDI",IF(K25&gt;=O25,"Acima da inflação","⚠ Abaixo da inflação"))))</f>
        <v/>
      </c>
    </row>
    <row r="26">
      <c r="B26" s="34" t="n"/>
      <c r="C26" s="34" t="n"/>
      <c r="D26" s="34" t="n"/>
      <c r="E26" s="38" t="n"/>
      <c r="F26" s="35" t="n"/>
      <c r="G26" s="35" t="n"/>
      <c r="H26" s="34" t="n"/>
      <c r="I26" s="38" t="n"/>
      <c r="J26" s="43">
        <f>IF($B26="",0,N($G26)-N($F26))</f>
        <v>0</v>
      </c>
      <c r="K26" s="73">
        <f>IF(N($F26)=0,0,J26/$F26)</f>
        <v>0</v>
      </c>
      <c r="L26" s="73">
        <f>IF($B26="",0,IFERROR($G26/Inv_TotAtual,0))</f>
        <v>0</v>
      </c>
      <c r="M26" s="40">
        <f>IF(OR($B26="",NOT(ISNUMBER($E26))),0,MAX(1,Cfg_Hoje-$E26))</f>
        <v>0</v>
      </c>
      <c r="N26" s="73">
        <f>IF(M26=0,0,(1+Cfg_CDI)^(M26/365)-1)</f>
        <v>0</v>
      </c>
      <c r="O26" s="73">
        <f>IF(M26=0,0,(1+Cfg_Infl)^(M26/365)-1)</f>
        <v>0</v>
      </c>
      <c r="P26" s="84">
        <f>IF(M26=0,0,(K26-N26)*100)</f>
        <v>0</v>
      </c>
      <c r="Q26" s="14" t="str">
        <f>IF($B26="","",IF(M26=0,"—",IF(K26&gt;=N26,"✔ Acima do CDI",IF(K26&gt;=O26,"Acima da inflação","⚠ Abaixo da inflação"))))</f>
        <v/>
      </c>
    </row>
    <row r="27">
      <c r="B27" s="34" t="n"/>
      <c r="C27" s="34" t="n"/>
      <c r="D27" s="34" t="n"/>
      <c r="E27" s="38" t="n"/>
      <c r="F27" s="35" t="n"/>
      <c r="G27" s="35" t="n"/>
      <c r="H27" s="34" t="n"/>
      <c r="I27" s="38" t="n"/>
      <c r="J27" s="43">
        <f>IF($B27="",0,N($G27)-N($F27))</f>
        <v>0</v>
      </c>
      <c r="K27" s="73">
        <f>IF(N($F27)=0,0,J27/$F27)</f>
        <v>0</v>
      </c>
      <c r="L27" s="73">
        <f>IF($B27="",0,IFERROR($G27/Inv_TotAtual,0))</f>
        <v>0</v>
      </c>
      <c r="M27" s="40">
        <f>IF(OR($B27="",NOT(ISNUMBER($E27))),0,MAX(1,Cfg_Hoje-$E27))</f>
        <v>0</v>
      </c>
      <c r="N27" s="73">
        <f>IF(M27=0,0,(1+Cfg_CDI)^(M27/365)-1)</f>
        <v>0</v>
      </c>
      <c r="O27" s="73">
        <f>IF(M27=0,0,(1+Cfg_Infl)^(M27/365)-1)</f>
        <v>0</v>
      </c>
      <c r="P27" s="84">
        <f>IF(M27=0,0,(K27-N27)*100)</f>
        <v>0</v>
      </c>
      <c r="Q27" s="14" t="str">
        <f>IF($B27="","",IF(M27=0,"—",IF(K27&gt;=N27,"✔ Acima do CDI",IF(K27&gt;=O27,"Acima da inflação","⚠ Abaixo da inflação"))))</f>
        <v/>
      </c>
    </row>
    <row r="28">
      <c r="B28" s="34" t="n"/>
      <c r="C28" s="34" t="n"/>
      <c r="D28" s="34" t="n"/>
      <c r="E28" s="38" t="n"/>
      <c r="F28" s="35" t="n"/>
      <c r="G28" s="35" t="n"/>
      <c r="H28" s="34" t="n"/>
      <c r="I28" s="38" t="n"/>
      <c r="J28" s="43">
        <f>IF($B28="",0,N($G28)-N($F28))</f>
        <v>0</v>
      </c>
      <c r="K28" s="73">
        <f>IF(N($F28)=0,0,J28/$F28)</f>
        <v>0</v>
      </c>
      <c r="L28" s="73">
        <f>IF($B28="",0,IFERROR($G28/Inv_TotAtual,0))</f>
        <v>0</v>
      </c>
      <c r="M28" s="40">
        <f>IF(OR($B28="",NOT(ISNUMBER($E28))),0,MAX(1,Cfg_Hoje-$E28))</f>
        <v>0</v>
      </c>
      <c r="N28" s="73">
        <f>IF(M28=0,0,(1+Cfg_CDI)^(M28/365)-1)</f>
        <v>0</v>
      </c>
      <c r="O28" s="73">
        <f>IF(M28=0,0,(1+Cfg_Infl)^(M28/365)-1)</f>
        <v>0</v>
      </c>
      <c r="P28" s="84">
        <f>IF(M28=0,0,(K28-N28)*100)</f>
        <v>0</v>
      </c>
      <c r="Q28" s="14" t="str">
        <f>IF($B28="","",IF(M28=0,"—",IF(K28&gt;=N28,"✔ Acima do CDI",IF(K28&gt;=O28,"Acima da inflação","⚠ Abaixo da inflação"))))</f>
        <v/>
      </c>
    </row>
    <row r="29">
      <c r="B29" s="34" t="n"/>
      <c r="C29" s="34" t="n"/>
      <c r="D29" s="34" t="n"/>
      <c r="E29" s="38" t="n"/>
      <c r="F29" s="35" t="n"/>
      <c r="G29" s="35" t="n"/>
      <c r="H29" s="34" t="n"/>
      <c r="I29" s="38" t="n"/>
      <c r="J29" s="43">
        <f>IF($B29="",0,N($G29)-N($F29))</f>
        <v>0</v>
      </c>
      <c r="K29" s="73">
        <f>IF(N($F29)=0,0,J29/$F29)</f>
        <v>0</v>
      </c>
      <c r="L29" s="73">
        <f>IF($B29="",0,IFERROR($G29/Inv_TotAtual,0))</f>
        <v>0</v>
      </c>
      <c r="M29" s="40">
        <f>IF(OR($B29="",NOT(ISNUMBER($E29))),0,MAX(1,Cfg_Hoje-$E29))</f>
        <v>0</v>
      </c>
      <c r="N29" s="73">
        <f>IF(M29=0,0,(1+Cfg_CDI)^(M29/365)-1)</f>
        <v>0</v>
      </c>
      <c r="O29" s="73">
        <f>IF(M29=0,0,(1+Cfg_Infl)^(M29/365)-1)</f>
        <v>0</v>
      </c>
      <c r="P29" s="84">
        <f>IF(M29=0,0,(K29-N29)*100)</f>
        <v>0</v>
      </c>
      <c r="Q29" s="14" t="str">
        <f>IF($B29="","",IF(M29=0,"—",IF(K29&gt;=N29,"✔ Acima do CDI",IF(K29&gt;=O29,"Acima da inflação","⚠ Abaixo da inflação"))))</f>
        <v/>
      </c>
    </row>
    <row r="30">
      <c r="B30" s="34" t="n"/>
      <c r="C30" s="34" t="n"/>
      <c r="D30" s="34" t="n"/>
      <c r="E30" s="38" t="n"/>
      <c r="F30" s="35" t="n"/>
      <c r="G30" s="35" t="n"/>
      <c r="H30" s="34" t="n"/>
      <c r="I30" s="38" t="n"/>
      <c r="J30" s="43">
        <f>IF($B30="",0,N($G30)-N($F30))</f>
        <v>0</v>
      </c>
      <c r="K30" s="73">
        <f>IF(N($F30)=0,0,J30/$F30)</f>
        <v>0</v>
      </c>
      <c r="L30" s="73">
        <f>IF($B30="",0,IFERROR($G30/Inv_TotAtual,0))</f>
        <v>0</v>
      </c>
      <c r="M30" s="40">
        <f>IF(OR($B30="",NOT(ISNUMBER($E30))),0,MAX(1,Cfg_Hoje-$E30))</f>
        <v>0</v>
      </c>
      <c r="N30" s="73">
        <f>IF(M30=0,0,(1+Cfg_CDI)^(M30/365)-1)</f>
        <v>0</v>
      </c>
      <c r="O30" s="73">
        <f>IF(M30=0,0,(1+Cfg_Infl)^(M30/365)-1)</f>
        <v>0</v>
      </c>
      <c r="P30" s="84">
        <f>IF(M30=0,0,(K30-N30)*100)</f>
        <v>0</v>
      </c>
      <c r="Q30" s="14" t="str">
        <f>IF($B30="","",IF(M30=0,"—",IF(K30&gt;=N30,"✔ Acima do CDI",IF(K30&gt;=O30,"Acima da inflação","⚠ Abaixo da inflação"))))</f>
        <v/>
      </c>
    </row>
    <row r="31">
      <c r="B31" s="34" t="n"/>
      <c r="C31" s="34" t="n"/>
      <c r="D31" s="34" t="n"/>
      <c r="E31" s="38" t="n"/>
      <c r="F31" s="35" t="n"/>
      <c r="G31" s="35" t="n"/>
      <c r="H31" s="34" t="n"/>
      <c r="I31" s="38" t="n"/>
      <c r="J31" s="43">
        <f>IF($B31="",0,N($G31)-N($F31))</f>
        <v>0</v>
      </c>
      <c r="K31" s="73">
        <f>IF(N($F31)=0,0,J31/$F31)</f>
        <v>0</v>
      </c>
      <c r="L31" s="73">
        <f>IF($B31="",0,IFERROR($G31/Inv_TotAtual,0))</f>
        <v>0</v>
      </c>
      <c r="M31" s="40">
        <f>IF(OR($B31="",NOT(ISNUMBER($E31))),0,MAX(1,Cfg_Hoje-$E31))</f>
        <v>0</v>
      </c>
      <c r="N31" s="73">
        <f>IF(M31=0,0,(1+Cfg_CDI)^(M31/365)-1)</f>
        <v>0</v>
      </c>
      <c r="O31" s="73">
        <f>IF(M31=0,0,(1+Cfg_Infl)^(M31/365)-1)</f>
        <v>0</v>
      </c>
      <c r="P31" s="84">
        <f>IF(M31=0,0,(K31-N31)*100)</f>
        <v>0</v>
      </c>
      <c r="Q31" s="14" t="str">
        <f>IF($B31="","",IF(M31=0,"—",IF(K31&gt;=N31,"✔ Acima do CDI",IF(K31&gt;=O31,"Acima da inflação","⚠ Abaixo da inflação"))))</f>
        <v/>
      </c>
    </row>
    <row r="32">
      <c r="B32" s="34" t="n"/>
      <c r="C32" s="34" t="n"/>
      <c r="D32" s="34" t="n"/>
      <c r="E32" s="38" t="n"/>
      <c r="F32" s="35" t="n"/>
      <c r="G32" s="35" t="n"/>
      <c r="H32" s="34" t="n"/>
      <c r="I32" s="38" t="n"/>
      <c r="J32" s="43">
        <f>IF($B32="",0,N($G32)-N($F32))</f>
        <v>0</v>
      </c>
      <c r="K32" s="73">
        <f>IF(N($F32)=0,0,J32/$F32)</f>
        <v>0</v>
      </c>
      <c r="L32" s="73">
        <f>IF($B32="",0,IFERROR($G32/Inv_TotAtual,0))</f>
        <v>0</v>
      </c>
      <c r="M32" s="40">
        <f>IF(OR($B32="",NOT(ISNUMBER($E32))),0,MAX(1,Cfg_Hoje-$E32))</f>
        <v>0</v>
      </c>
      <c r="N32" s="73">
        <f>IF(M32=0,0,(1+Cfg_CDI)^(M32/365)-1)</f>
        <v>0</v>
      </c>
      <c r="O32" s="73">
        <f>IF(M32=0,0,(1+Cfg_Infl)^(M32/365)-1)</f>
        <v>0</v>
      </c>
      <c r="P32" s="84">
        <f>IF(M32=0,0,(K32-N32)*100)</f>
        <v>0</v>
      </c>
      <c r="Q32" s="14" t="str">
        <f>IF($B32="","",IF(M32=0,"—",IF(K32&gt;=N32,"✔ Acima do CDI",IF(K32&gt;=O32,"Acima da inflação","⚠ Abaixo da inflação"))))</f>
        <v/>
      </c>
    </row>
    <row r="33">
      <c r="B33" s="34" t="n"/>
      <c r="C33" s="34" t="n"/>
      <c r="D33" s="34" t="n"/>
      <c r="E33" s="38" t="n"/>
      <c r="F33" s="35" t="n"/>
      <c r="G33" s="35" t="n"/>
      <c r="H33" s="34" t="n"/>
      <c r="I33" s="38" t="n"/>
      <c r="J33" s="43">
        <f>IF($B33="",0,N($G33)-N($F33))</f>
        <v>0</v>
      </c>
      <c r="K33" s="73">
        <f>IF(N($F33)=0,0,J33/$F33)</f>
        <v>0</v>
      </c>
      <c r="L33" s="73">
        <f>IF($B33="",0,IFERROR($G33/Inv_TotAtual,0))</f>
        <v>0</v>
      </c>
      <c r="M33" s="40">
        <f>IF(OR($B33="",NOT(ISNUMBER($E33))),0,MAX(1,Cfg_Hoje-$E33))</f>
        <v>0</v>
      </c>
      <c r="N33" s="73">
        <f>IF(M33=0,0,(1+Cfg_CDI)^(M33/365)-1)</f>
        <v>0</v>
      </c>
      <c r="O33" s="73">
        <f>IF(M33=0,0,(1+Cfg_Infl)^(M33/365)-1)</f>
        <v>0</v>
      </c>
      <c r="P33" s="84">
        <f>IF(M33=0,0,(K33-N33)*100)</f>
        <v>0</v>
      </c>
      <c r="Q33" s="14" t="str">
        <f>IF($B33="","",IF(M33=0,"—",IF(K33&gt;=N33,"✔ Acima do CDI",IF(K33&gt;=O33,"Acima da inflação","⚠ Abaixo da inflação"))))</f>
        <v/>
      </c>
    </row>
    <row r="34">
      <c r="B34" s="34" t="n"/>
      <c r="C34" s="34" t="n"/>
      <c r="D34" s="34" t="n"/>
      <c r="E34" s="38" t="n"/>
      <c r="F34" s="35" t="n"/>
      <c r="G34" s="35" t="n"/>
      <c r="H34" s="34" t="n"/>
      <c r="I34" s="38" t="n"/>
      <c r="J34" s="43">
        <f>IF($B34="",0,N($G34)-N($F34))</f>
        <v>0</v>
      </c>
      <c r="K34" s="73">
        <f>IF(N($F34)=0,0,J34/$F34)</f>
        <v>0</v>
      </c>
      <c r="L34" s="73">
        <f>IF($B34="",0,IFERROR($G34/Inv_TotAtual,0))</f>
        <v>0</v>
      </c>
      <c r="M34" s="40">
        <f>IF(OR($B34="",NOT(ISNUMBER($E34))),0,MAX(1,Cfg_Hoje-$E34))</f>
        <v>0</v>
      </c>
      <c r="N34" s="73">
        <f>IF(M34=0,0,(1+Cfg_CDI)^(M34/365)-1)</f>
        <v>0</v>
      </c>
      <c r="O34" s="73">
        <f>IF(M34=0,0,(1+Cfg_Infl)^(M34/365)-1)</f>
        <v>0</v>
      </c>
      <c r="P34" s="84">
        <f>IF(M34=0,0,(K34-N34)*100)</f>
        <v>0</v>
      </c>
      <c r="Q34" s="14" t="str">
        <f>IF($B34="","",IF(M34=0,"—",IF(K34&gt;=N34,"✔ Acima do CDI",IF(K34&gt;=O34,"Acima da inflação","⚠ Abaixo da inflação"))))</f>
        <v/>
      </c>
    </row>
    <row r="35">
      <c r="B35" s="34" t="n"/>
      <c r="C35" s="34" t="n"/>
      <c r="D35" s="34" t="n"/>
      <c r="E35" s="38" t="n"/>
      <c r="F35" s="35" t="n"/>
      <c r="G35" s="35" t="n"/>
      <c r="H35" s="34" t="n"/>
      <c r="I35" s="38" t="n"/>
      <c r="J35" s="43">
        <f>IF($B35="",0,N($G35)-N($F35))</f>
        <v>0</v>
      </c>
      <c r="K35" s="73">
        <f>IF(N($F35)=0,0,J35/$F35)</f>
        <v>0</v>
      </c>
      <c r="L35" s="73">
        <f>IF($B35="",0,IFERROR($G35/Inv_TotAtual,0))</f>
        <v>0</v>
      </c>
      <c r="M35" s="40">
        <f>IF(OR($B35="",NOT(ISNUMBER($E35))),0,MAX(1,Cfg_Hoje-$E35))</f>
        <v>0</v>
      </c>
      <c r="N35" s="73">
        <f>IF(M35=0,0,(1+Cfg_CDI)^(M35/365)-1)</f>
        <v>0</v>
      </c>
      <c r="O35" s="73">
        <f>IF(M35=0,0,(1+Cfg_Infl)^(M35/365)-1)</f>
        <v>0</v>
      </c>
      <c r="P35" s="84">
        <f>IF(M35=0,0,(K35-N35)*100)</f>
        <v>0</v>
      </c>
      <c r="Q35" s="14" t="str">
        <f>IF($B35="","",IF(M35=0,"—",IF(K35&gt;=N35,"✔ Acima do CDI",IF(K35&gt;=O35,"Acima da inflação","⚠ Abaixo da inflação"))))</f>
        <v/>
      </c>
    </row>
    <row r="36">
      <c r="B36" s="34" t="n"/>
      <c r="C36" s="34" t="n"/>
      <c r="D36" s="34" t="n"/>
      <c r="E36" s="38" t="n"/>
      <c r="F36" s="35" t="n"/>
      <c r="G36" s="35" t="n"/>
      <c r="H36" s="34" t="n"/>
      <c r="I36" s="38" t="n"/>
      <c r="J36" s="43">
        <f>IF($B36="",0,N($G36)-N($F36))</f>
        <v>0</v>
      </c>
      <c r="K36" s="73">
        <f>IF(N($F36)=0,0,J36/$F36)</f>
        <v>0</v>
      </c>
      <c r="L36" s="73">
        <f>IF($B36="",0,IFERROR($G36/Inv_TotAtual,0))</f>
        <v>0</v>
      </c>
      <c r="M36" s="40">
        <f>IF(OR($B36="",NOT(ISNUMBER($E36))),0,MAX(1,Cfg_Hoje-$E36))</f>
        <v>0</v>
      </c>
      <c r="N36" s="73">
        <f>IF(M36=0,0,(1+Cfg_CDI)^(M36/365)-1)</f>
        <v>0</v>
      </c>
      <c r="O36" s="73">
        <f>IF(M36=0,0,(1+Cfg_Infl)^(M36/365)-1)</f>
        <v>0</v>
      </c>
      <c r="P36" s="84">
        <f>IF(M36=0,0,(K36-N36)*100)</f>
        <v>0</v>
      </c>
      <c r="Q36" s="14" t="str">
        <f>IF($B36="","",IF(M36=0,"—",IF(K36&gt;=N36,"✔ Acima do CDI",IF(K36&gt;=O36,"Acima da inflação","⚠ Abaixo da inflação"))))</f>
        <v/>
      </c>
    </row>
    <row r="37">
      <c r="B37" s="34" t="n"/>
      <c r="C37" s="34" t="n"/>
      <c r="D37" s="34" t="n"/>
      <c r="E37" s="38" t="n"/>
      <c r="F37" s="35" t="n"/>
      <c r="G37" s="35" t="n"/>
      <c r="H37" s="34" t="n"/>
      <c r="I37" s="38" t="n"/>
      <c r="J37" s="43">
        <f>IF($B37="",0,N($G37)-N($F37))</f>
        <v>0</v>
      </c>
      <c r="K37" s="73">
        <f>IF(N($F37)=0,0,J37/$F37)</f>
        <v>0</v>
      </c>
      <c r="L37" s="73">
        <f>IF($B37="",0,IFERROR($G37/Inv_TotAtual,0))</f>
        <v>0</v>
      </c>
      <c r="M37" s="40">
        <f>IF(OR($B37="",NOT(ISNUMBER($E37))),0,MAX(1,Cfg_Hoje-$E37))</f>
        <v>0</v>
      </c>
      <c r="N37" s="73">
        <f>IF(M37=0,0,(1+Cfg_CDI)^(M37/365)-1)</f>
        <v>0</v>
      </c>
      <c r="O37" s="73">
        <f>IF(M37=0,0,(1+Cfg_Infl)^(M37/365)-1)</f>
        <v>0</v>
      </c>
      <c r="P37" s="84">
        <f>IF(M37=0,0,(K37-N37)*100)</f>
        <v>0</v>
      </c>
      <c r="Q37" s="14" t="str">
        <f>IF($B37="","",IF(M37=0,"—",IF(K37&gt;=N37,"✔ Acima do CDI",IF(K37&gt;=O37,"Acima da inflação","⚠ Abaixo da inflação"))))</f>
        <v/>
      </c>
    </row>
    <row r="38">
      <c r="B38" s="34" t="n"/>
      <c r="C38" s="34" t="n"/>
      <c r="D38" s="34" t="n"/>
      <c r="E38" s="38" t="n"/>
      <c r="F38" s="35" t="n"/>
      <c r="G38" s="35" t="n"/>
      <c r="H38" s="34" t="n"/>
      <c r="I38" s="38" t="n"/>
      <c r="J38" s="43">
        <f>IF($B38="",0,N($G38)-N($F38))</f>
        <v>0</v>
      </c>
      <c r="K38" s="73">
        <f>IF(N($F38)=0,0,J38/$F38)</f>
        <v>0</v>
      </c>
      <c r="L38" s="73">
        <f>IF($B38="",0,IFERROR($G38/Inv_TotAtual,0))</f>
        <v>0</v>
      </c>
      <c r="M38" s="40">
        <f>IF(OR($B38="",NOT(ISNUMBER($E38))),0,MAX(1,Cfg_Hoje-$E38))</f>
        <v>0</v>
      </c>
      <c r="N38" s="73">
        <f>IF(M38=0,0,(1+Cfg_CDI)^(M38/365)-1)</f>
        <v>0</v>
      </c>
      <c r="O38" s="73">
        <f>IF(M38=0,0,(1+Cfg_Infl)^(M38/365)-1)</f>
        <v>0</v>
      </c>
      <c r="P38" s="84">
        <f>IF(M38=0,0,(K38-N38)*100)</f>
        <v>0</v>
      </c>
      <c r="Q38" s="14" t="str">
        <f>IF($B38="","",IF(M38=0,"—",IF(K38&gt;=N38,"✔ Acima do CDI",IF(K38&gt;=O38,"Acima da inflação","⚠ Abaixo da inflação"))))</f>
        <v/>
      </c>
    </row>
    <row r="39">
      <c r="B39" s="34" t="n"/>
      <c r="C39" s="34" t="n"/>
      <c r="D39" s="34" t="n"/>
      <c r="E39" s="38" t="n"/>
      <c r="F39" s="35" t="n"/>
      <c r="G39" s="35" t="n"/>
      <c r="H39" s="34" t="n"/>
      <c r="I39" s="38" t="n"/>
      <c r="J39" s="43">
        <f>IF($B39="",0,N($G39)-N($F39))</f>
        <v>0</v>
      </c>
      <c r="K39" s="73">
        <f>IF(N($F39)=0,0,J39/$F39)</f>
        <v>0</v>
      </c>
      <c r="L39" s="73">
        <f>IF($B39="",0,IFERROR($G39/Inv_TotAtual,0))</f>
        <v>0</v>
      </c>
      <c r="M39" s="40">
        <f>IF(OR($B39="",NOT(ISNUMBER($E39))),0,MAX(1,Cfg_Hoje-$E39))</f>
        <v>0</v>
      </c>
      <c r="N39" s="73">
        <f>IF(M39=0,0,(1+Cfg_CDI)^(M39/365)-1)</f>
        <v>0</v>
      </c>
      <c r="O39" s="73">
        <f>IF(M39=0,0,(1+Cfg_Infl)^(M39/365)-1)</f>
        <v>0</v>
      </c>
      <c r="P39" s="84">
        <f>IF(M39=0,0,(K39-N39)*100)</f>
        <v>0</v>
      </c>
      <c r="Q39" s="14" t="str">
        <f>IF($B39="","",IF(M39=0,"—",IF(K39&gt;=N39,"✔ Acima do CDI",IF(K39&gt;=O39,"Acima da inflação","⚠ Abaixo da inflação"))))</f>
        <v/>
      </c>
    </row>
    <row r="40">
      <c r="B40" s="9" t="inlineStr">
        <is>
          <t>TOTAL DA CARTEIRA</t>
        </is>
      </c>
      <c r="F40" s="79">
        <f>SUM(F10:F39)</f>
        <v>92000</v>
      </c>
      <c r="G40" s="79">
        <f>SUM(G10:G39)</f>
        <v>125153.73</v>
      </c>
      <c r="J40" s="79">
        <f>SUM(J10:J39)</f>
        <v>33153.73</v>
      </c>
      <c r="K40" s="83">
        <f>IF(F40=0,0,J40/F40)</f>
        <v>0.360366630434783</v>
      </c>
      <c r="L40" s="83">
        <f>SUM(L10:L39)</f>
        <v>1</v>
      </c>
      <c r="N40" s="83">
        <f>IF(F40=0,0,SUMPRODUCT(N10:N39,F10:F39)/F40)</f>
        <v>0.37934387928124</v>
      </c>
      <c r="O40" s="83">
        <f>IF(F40=0,0,SUMPRODUCT(O10:O39,F10:F39)/F40)</f>
        <v>0.113911868899146</v>
      </c>
      <c r="P40" s="98">
        <f>(K40-N40)*100</f>
        <v>-1.89772488464578</v>
      </c>
      <c r="Q40" s="9" t="str">
        <f>IF(F40=0,"",IF(K40&gt;=N40,"✔ Carteira acima do CDI",IF(K40&gt;=O40,"Acima da inflação","⚠ Abaixo da inflação")))</f>
        <v>Acima da inflação</v>
      </c>
    </row>
    <row r="41">
      <c r="B41" s="28" t="inlineStr">
        <is>
          <t>CDI e inflação "no período" = taxa anual de CONFIGURAÇÕES capitalizada pelos dias desde a aplicação (aproximação para comparação; renda variável oscila).</t>
        </is>
      </c>
    </row>
    <row r="43">
      <c r="B43" s="6" t="inlineStr">
        <is>
          <t>2. Alocação atual x alocação-alvo (digite o alvo em %)</t>
        </is>
      </c>
      <c r="F43" s="95" t="inlineStr">
        <is>
          <t>Tolerância (p.p.):</t>
        </is>
      </c>
      <c r="G43" s="99" t="n">
        <v>5</v>
      </c>
    </row>
    <row r="44">
      <c r="B44" s="7" t="inlineStr">
        <is>
          <t>Tipo de ativo</t>
        </is>
      </c>
      <c r="C44" s="7" t="inlineStr">
        <is>
          <t>Valor atual</t>
        </is>
      </c>
      <c r="D44" s="7" t="inlineStr">
        <is>
          <t>% atual</t>
        </is>
      </c>
      <c r="E44" s="7" t="inlineStr">
        <is>
          <t>% alvo</t>
        </is>
      </c>
      <c r="F44" s="7" t="inlineStr">
        <is>
          <t>Diferença (p.p.)</t>
        </is>
      </c>
      <c r="G44" s="7" t="inlineStr">
        <is>
          <t>Valor alvo</t>
        </is>
      </c>
      <c r="H44" s="7" t="inlineStr">
        <is>
          <t>Ajuste necessário</t>
        </is>
      </c>
      <c r="I44" s="7" t="inlineStr">
        <is>
          <t>Indicação</t>
        </is>
      </c>
    </row>
    <row r="45">
      <c r="B45" s="14" t="inlineStr">
        <is>
          <t>Renda fixa</t>
        </is>
      </c>
      <c r="C45" s="43">
        <f>SUMIF(Inv_Tipo,B45,Inv_Atual)</f>
        <v>19232.09</v>
      </c>
      <c r="D45" s="73">
        <f>IFERROR(C45/Inv_TotAtual,0)</f>
        <v>0.153667733274909</v>
      </c>
      <c r="E45" s="88" t="n">
        <v>0.25</v>
      </c>
      <c r="F45" s="84">
        <f>IF(E45="","",(D45-E45)*100)</f>
        <v>-9.63322667250908</v>
      </c>
      <c r="G45" s="43">
        <f>IF(E45="",0,E45*Inv_TotAtual)</f>
        <v>31288.4325</v>
      </c>
      <c r="H45" s="36">
        <f>IF(E45="",0,G45-C45)</f>
        <v>12056.3425</v>
      </c>
      <c r="I45" s="14" t="str">
        <f>IF(COUNT($E$45:$E$53)=0,"defina o alvo",IF(ABS(N(F45))&lt;=Inv_Tol,"✔ Ok",IF(F45&gt;0,"Reduzir R$ "&amp;FIXED(-H45,0),"Aportar R$ "&amp;FIXED(H45,0))))</f>
        <v>Aportar R$ 12,056</v>
      </c>
    </row>
    <row r="46">
      <c r="B46" s="14" t="inlineStr">
        <is>
          <t>Tesouro Direto</t>
        </is>
      </c>
      <c r="C46" s="43">
        <f>SUMIF(Inv_Tipo,B46,Inv_Atual)</f>
        <v>30296.01</v>
      </c>
      <c r="D46" s="73">
        <f>IFERROR(C46/Inv_TotAtual,0)</f>
        <v>0.242070372173486</v>
      </c>
      <c r="E46" s="88" t="n">
        <v>0.2</v>
      </c>
      <c r="F46" s="84">
        <f>IF(E46="","",(D46-E46)*100)</f>
        <v>4.20703721734861</v>
      </c>
      <c r="G46" s="43">
        <f>IF(E46="",0,E46*Inv_TotAtual)</f>
        <v>25030.746</v>
      </c>
      <c r="H46" s="36">
        <f>IF(E46="",0,G46-C46)</f>
        <v>-5265.264</v>
      </c>
      <c r="I46" s="14" t="str">
        <f>IF(COUNT($E$45:$E$53)=0,"defina o alvo",IF(ABS(N(F46))&lt;=Inv_Tol,"✔ Ok",IF(F46&gt;0,"Reduzir R$ "&amp;FIXED(-H46,0),"Aportar R$ "&amp;FIXED(H46,0))))</f>
        <v>✔ Ok</v>
      </c>
    </row>
    <row r="47">
      <c r="B47" s="14" t="inlineStr">
        <is>
          <t>Ações</t>
        </is>
      </c>
      <c r="C47" s="43">
        <f>SUMIF(Inv_Tipo,B47,Inv_Atual)</f>
        <v>6442.05</v>
      </c>
      <c r="D47" s="73">
        <f>IFERROR(C47/Inv_TotAtual,0)</f>
        <v>0.0514730963272129</v>
      </c>
      <c r="E47" s="88" t="n">
        <v>0.1</v>
      </c>
      <c r="F47" s="84">
        <f>IF(E47="","",(D47-E47)*100)</f>
        <v>-4.85269036727871</v>
      </c>
      <c r="G47" s="43">
        <f>IF(E47="",0,E47*Inv_TotAtual)</f>
        <v>12515.373</v>
      </c>
      <c r="H47" s="36">
        <f>IF(E47="",0,G47-C47)</f>
        <v>6073.323</v>
      </c>
      <c r="I47" s="14" t="str">
        <f>IF(COUNT($E$45:$E$53)=0,"defina o alvo",IF(ABS(N(F47))&lt;=Inv_Tol,"✔ Ok",IF(F47&gt;0,"Reduzir R$ "&amp;FIXED(-H47,0),"Aportar R$ "&amp;FIXED(H47,0))))</f>
        <v>✔ Ok</v>
      </c>
    </row>
    <row r="48">
      <c r="B48" s="14" t="inlineStr">
        <is>
          <t>FIIs</t>
        </is>
      </c>
      <c r="C48" s="43">
        <f>SUMIF(Inv_Tipo,B48,Inv_Atual)</f>
        <v>9313.51</v>
      </c>
      <c r="D48" s="73">
        <f>IFERROR(C48/Inv_TotAtual,0)</f>
        <v>0.0744165595384173</v>
      </c>
      <c r="E48" s="88" t="n">
        <v>0.1</v>
      </c>
      <c r="F48" s="84">
        <f>IF(E48="","",(D48-E48)*100)</f>
        <v>-2.55834404615827</v>
      </c>
      <c r="G48" s="43">
        <f>IF(E48="",0,E48*Inv_TotAtual)</f>
        <v>12515.373</v>
      </c>
      <c r="H48" s="36">
        <f>IF(E48="",0,G48-C48)</f>
        <v>3201.863</v>
      </c>
      <c r="I48" s="14" t="str">
        <f>IF(COUNT($E$45:$E$53)=0,"defina o alvo",IF(ABS(N(F48))&lt;=Inv_Tol,"✔ Ok",IF(F48&gt;0,"Reduzir R$ "&amp;FIXED(-H48,0),"Aportar R$ "&amp;FIXED(H48,0))))</f>
        <v>✔ Ok</v>
      </c>
    </row>
    <row r="49">
      <c r="B49" s="14" t="inlineStr">
        <is>
          <t>ETFs</t>
        </is>
      </c>
      <c r="C49" s="43">
        <f>SUMIF(Inv_Tipo,B49,Inv_Atual)</f>
        <v>5854.73</v>
      </c>
      <c r="D49" s="73">
        <f>IFERROR(C49/Inv_TotAtual,0)</f>
        <v>0.0467803077063704</v>
      </c>
      <c r="E49" s="88" t="n">
        <v>0.05</v>
      </c>
      <c r="F49" s="84">
        <f>IF(E49="","",(D49-E49)*100)</f>
        <v>-0.321969229362961</v>
      </c>
      <c r="G49" s="43">
        <f>IF(E49="",0,E49*Inv_TotAtual)</f>
        <v>6257.6865</v>
      </c>
      <c r="H49" s="36">
        <f>IF(E49="",0,G49-C49)</f>
        <v>402.9565</v>
      </c>
      <c r="I49" s="14" t="str">
        <f>IF(COUNT($E$45:$E$53)=0,"defina o alvo",IF(ABS(N(F49))&lt;=Inv_Tol,"✔ Ok",IF(F49&gt;0,"Reduzir R$ "&amp;FIXED(-H49,0),"Aportar R$ "&amp;FIXED(H49,0))))</f>
        <v>✔ Ok</v>
      </c>
    </row>
    <row r="50">
      <c r="B50" s="14" t="inlineStr">
        <is>
          <t>Cripto</t>
        </is>
      </c>
      <c r="C50" s="43">
        <f>SUMIF(Inv_Tipo,B50,Inv_Atual)</f>
        <v>2465.68</v>
      </c>
      <c r="D50" s="73">
        <f>IFERROR(C50/Inv_TotAtual,0)</f>
        <v>0.0197012106630781</v>
      </c>
      <c r="E50" s="88" t="n">
        <v>0.02</v>
      </c>
      <c r="F50" s="84">
        <f>IF(E50="","",(D50-E50)*100)</f>
        <v>-0.029878933692188</v>
      </c>
      <c r="G50" s="43">
        <f>IF(E50="",0,E50*Inv_TotAtual)</f>
        <v>2503.0746</v>
      </c>
      <c r="H50" s="36">
        <f>IF(E50="",0,G50-C50)</f>
        <v>37.3946000000001</v>
      </c>
      <c r="I50" s="14" t="str">
        <f>IF(COUNT($E$45:$E$53)=0,"defina o alvo",IF(ABS(N(F50))&lt;=Inv_Tol,"✔ Ok",IF(F50&gt;0,"Reduzir R$ "&amp;FIXED(-H50,0),"Aportar R$ "&amp;FIXED(H50,0))))</f>
        <v>✔ Ok</v>
      </c>
    </row>
    <row r="51">
      <c r="B51" s="14" t="inlineStr">
        <is>
          <t>Previdência</t>
        </is>
      </c>
      <c r="C51" s="43">
        <f>SUMIF(Inv_Tipo,B51,Inv_Atual)</f>
        <v>46544.56</v>
      </c>
      <c r="D51" s="73">
        <f>IFERROR(C51/Inv_TotAtual,0)</f>
        <v>0.371899103606421</v>
      </c>
      <c r="E51" s="88" t="n">
        <v>0.18</v>
      </c>
      <c r="F51" s="84">
        <f>IF(E51="","",(D51-E51)*100)</f>
        <v>19.1899103606421</v>
      </c>
      <c r="G51" s="43">
        <f>IF(E51="",0,E51*Inv_TotAtual)</f>
        <v>22527.6714</v>
      </c>
      <c r="H51" s="36">
        <f>IF(E51="",0,G51-C51)</f>
        <v>-24016.8886</v>
      </c>
      <c r="I51" s="14" t="str">
        <f>IF(COUNT($E$45:$E$53)=0,"defina o alvo",IF(ABS(N(F51))&lt;=Inv_Tol,"✔ Ok",IF(F51&gt;0,"Reduzir R$ "&amp;FIXED(-H51,0),"Aportar R$ "&amp;FIXED(H51,0))))</f>
        <v>Reduzir R$ 24,017</v>
      </c>
    </row>
    <row r="52">
      <c r="B52" s="14" t="inlineStr">
        <is>
          <t>Exterior</t>
        </is>
      </c>
      <c r="C52" s="43">
        <f>SUMIF(Inv_Tipo,B52,Inv_Atual)</f>
        <v>5005.1</v>
      </c>
      <c r="D52" s="73">
        <f>IFERROR(C52/Inv_TotAtual,0)</f>
        <v>0.0399916167101052</v>
      </c>
      <c r="E52" s="88" t="n">
        <v>0.1</v>
      </c>
      <c r="F52" s="84">
        <f>IF(E52="","",(D52-E52)*100)</f>
        <v>-6.00083832898948</v>
      </c>
      <c r="G52" s="43">
        <f>IF(E52="",0,E52*Inv_TotAtual)</f>
        <v>12515.373</v>
      </c>
      <c r="H52" s="36">
        <f>IF(E52="",0,G52-C52)</f>
        <v>7510.273</v>
      </c>
      <c r="I52" s="14" t="str">
        <f>IF(COUNT($E$45:$E$53)=0,"defina o alvo",IF(ABS(N(F52))&lt;=Inv_Tol,"✔ Ok",IF(F52&gt;0,"Reduzir R$ "&amp;FIXED(-H52,0),"Aportar R$ "&amp;FIXED(H52,0))))</f>
        <v>Aportar R$ 7,510</v>
      </c>
    </row>
    <row r="53">
      <c r="B53" s="14" t="inlineStr">
        <is>
          <t>Outros</t>
        </is>
      </c>
      <c r="C53" s="43">
        <f>SUMIF(Inv_Tipo,B53,Inv_Atual)</f>
        <v>0</v>
      </c>
      <c r="D53" s="73">
        <f>IFERROR(C53/Inv_TotAtual,0)</f>
        <v>0</v>
      </c>
      <c r="E53" s="88" t="n">
        <v>0</v>
      </c>
      <c r="F53" s="84">
        <f>IF(E53="","",(D53-E53)*100)</f>
        <v>0</v>
      </c>
      <c r="G53" s="43">
        <f>IF(E53="",0,E53*Inv_TotAtual)</f>
        <v>0</v>
      </c>
      <c r="H53" s="36">
        <f>IF(E53="",0,G53-C53)</f>
        <v>0</v>
      </c>
      <c r="I53" s="14" t="str">
        <f>IF(COUNT($E$45:$E$53)=0,"defina o alvo",IF(ABS(N(F53))&lt;=Inv_Tol,"✔ Ok",IF(F53&gt;0,"Reduzir R$ "&amp;FIXED(-H53,0),"Aportar R$ "&amp;FIXED(H53,0))))</f>
        <v>✔ Ok</v>
      </c>
    </row>
    <row r="54">
      <c r="B54" s="9" t="inlineStr">
        <is>
          <t>Total</t>
        </is>
      </c>
      <c r="C54" s="79">
        <f>SUM(C45:C53)</f>
        <v>125153.73</v>
      </c>
      <c r="D54" s="83">
        <f>SUM(D45:D53)</f>
        <v>1</v>
      </c>
      <c r="E54" s="83">
        <f>SUM(E45:E53)</f>
        <v>1</v>
      </c>
      <c r="I54" s="9" t="str">
        <f>IF(COUNT(E45:E53)=0,"",IF(ROUND(E54,4)=1,"✔ Alvo soma 100%","⚠ O alvo deve somar 100%"))</f>
        <v>✔ Alvo soma 100%</v>
      </c>
    </row>
    <row r="57">
      <c r="B57" s="6" t="inlineStr">
        <is>
          <t>3. Aportes mensais e evolução da carteira (ano selecionado no DASHBOARD)</t>
        </is>
      </c>
    </row>
    <row r="58">
      <c r="B58" s="7" t="inlineStr">
        <is>
          <t>Item</t>
        </is>
      </c>
      <c r="C58" s="7" t="inlineStr">
        <is>
          <t>Jan</t>
        </is>
      </c>
      <c r="D58" s="7" t="inlineStr">
        <is>
          <t>Fev</t>
        </is>
      </c>
      <c r="E58" s="7" t="inlineStr">
        <is>
          <t>Mar</t>
        </is>
      </c>
      <c r="F58" s="7" t="inlineStr">
        <is>
          <t>Abr</t>
        </is>
      </c>
      <c r="G58" s="7" t="inlineStr">
        <is>
          <t>Mai</t>
        </is>
      </c>
      <c r="H58" s="7" t="inlineStr">
        <is>
          <t>Jun</t>
        </is>
      </c>
      <c r="I58" s="7" t="inlineStr">
        <is>
          <t>Jul</t>
        </is>
      </c>
      <c r="J58" s="7" t="inlineStr">
        <is>
          <t>Ago</t>
        </is>
      </c>
      <c r="K58" s="7" t="inlineStr">
        <is>
          <t>Set</t>
        </is>
      </c>
      <c r="L58" s="7" t="inlineStr">
        <is>
          <t>Out</t>
        </is>
      </c>
      <c r="M58" s="7" t="inlineStr">
        <is>
          <t>Nov</t>
        </is>
      </c>
      <c r="N58" s="7" t="inlineStr">
        <is>
          <t>Dez</t>
        </is>
      </c>
      <c r="O58" s="7" t="inlineStr">
        <is>
          <t>Total</t>
        </is>
      </c>
    </row>
    <row r="59">
      <c r="B59" s="14" t="inlineStr">
        <is>
          <t>Aportes lançados no mês (LANÇAMENTOS)</t>
        </is>
      </c>
      <c r="C59" s="43">
        <f>SUMIFS(L_VParc,L_Tipo,"Investimento",L_IIni,"&lt;="&amp;((Sel_Ano*12+1)),L_IFim,"&gt;="&amp;((Sel_Ano*12+1)))</f>
        <v>1650</v>
      </c>
      <c r="D59" s="43">
        <f>SUMIFS(L_VParc,L_Tipo,"Investimento",L_IIni,"&lt;="&amp;((Sel_Ano*12+2)),L_IFim,"&gt;="&amp;((Sel_Ano*12+2)))</f>
        <v>1650</v>
      </c>
      <c r="E59" s="43">
        <f>SUMIFS(L_VParc,L_Tipo,"Investimento",L_IIni,"&lt;="&amp;((Sel_Ano*12+3)),L_IFim,"&gt;="&amp;((Sel_Ano*12+3)))</f>
        <v>1650</v>
      </c>
      <c r="F59" s="43">
        <f>SUMIFS(L_VParc,L_Tipo,"Investimento",L_IIni,"&lt;="&amp;((Sel_Ano*12+4)),L_IFim,"&gt;="&amp;((Sel_Ano*12+4)))</f>
        <v>2050</v>
      </c>
      <c r="G59" s="43">
        <f>SUMIFS(L_VParc,L_Tipo,"Investimento",L_IIni,"&lt;="&amp;((Sel_Ano*12+5)),L_IFim,"&gt;="&amp;((Sel_Ano*12+5)))</f>
        <v>2050</v>
      </c>
      <c r="H59" s="43">
        <f>SUMIFS(L_VParc,L_Tipo,"Investimento",L_IIni,"&lt;="&amp;((Sel_Ano*12+6)),L_IFim,"&gt;="&amp;((Sel_Ano*12+6)))</f>
        <v>2050</v>
      </c>
      <c r="I59" s="43">
        <f>SUMIFS(L_VParc,L_Tipo,"Investimento",L_IIni,"&lt;="&amp;((Sel_Ano*12+7)),L_IFim,"&gt;="&amp;((Sel_Ano*12+7)))</f>
        <v>2050</v>
      </c>
      <c r="J59" s="43">
        <f>SUMIFS(L_VParc,L_Tipo,"Investimento",L_IIni,"&lt;="&amp;((Sel_Ano*12+8)),L_IFim,"&gt;="&amp;((Sel_Ano*12+8)))</f>
        <v>2050</v>
      </c>
      <c r="K59" s="43">
        <f>SUMIFS(L_VParc,L_Tipo,"Investimento",L_IIni,"&lt;="&amp;((Sel_Ano*12+9)),L_IFim,"&gt;="&amp;((Sel_Ano*12+9)))</f>
        <v>2050</v>
      </c>
      <c r="L59" s="43">
        <f>SUMIFS(L_VParc,L_Tipo,"Investimento",L_IIni,"&lt;="&amp;((Sel_Ano*12+10)),L_IFim,"&gt;="&amp;((Sel_Ano*12+10)))</f>
        <v>2050</v>
      </c>
      <c r="M59" s="43">
        <f>SUMIFS(L_VParc,L_Tipo,"Investimento",L_IIni,"&lt;="&amp;((Sel_Ano*12+11)),L_IFim,"&gt;="&amp;((Sel_Ano*12+11)))</f>
        <v>1500</v>
      </c>
      <c r="N59" s="43">
        <f>SUMIFS(L_VParc,L_Tipo,"Investimento",L_IIni,"&lt;="&amp;((Sel_Ano*12+12)),L_IFim,"&gt;="&amp;((Sel_Ano*12+12)))</f>
        <v>0</v>
      </c>
      <c r="O59" s="79">
        <f>SUM(C59:N59)</f>
        <v>20800</v>
      </c>
    </row>
    <row r="60">
      <c r="B60" s="14" t="inlineStr">
        <is>
          <t>Aportes acumulados no ano</t>
        </is>
      </c>
      <c r="C60" s="43">
        <f>SUM($C59:C59)</f>
        <v>1650</v>
      </c>
      <c r="D60" s="43">
        <f>SUM($C59:D59)</f>
        <v>3300</v>
      </c>
      <c r="E60" s="43">
        <f>SUM($C59:E59)</f>
        <v>4950</v>
      </c>
      <c r="F60" s="43">
        <f>SUM($C59:F59)</f>
        <v>7000</v>
      </c>
      <c r="G60" s="43">
        <f>SUM($C59:G59)</f>
        <v>9050</v>
      </c>
      <c r="H60" s="43">
        <f>SUM($C59:H59)</f>
        <v>11100</v>
      </c>
      <c r="I60" s="43">
        <f>SUM($C59:I59)</f>
        <v>13150</v>
      </c>
      <c r="J60" s="43">
        <f>SUM($C59:J59)</f>
        <v>15200</v>
      </c>
      <c r="K60" s="43">
        <f>SUM($C59:K59)</f>
        <v>17250</v>
      </c>
      <c r="L60" s="43">
        <f>SUM($C59:L59)</f>
        <v>19300</v>
      </c>
      <c r="M60" s="43">
        <f>SUM($C59:M59)</f>
        <v>20800</v>
      </c>
      <c r="N60" s="43">
        <f>SUM($C59:N59)</f>
        <v>20800</v>
      </c>
    </row>
    <row r="61">
      <c r="B61" s="9" t="inlineStr">
        <is>
          <t>Carteira: valor aportado acumulado (por data)</t>
        </is>
      </c>
      <c r="C61" s="43">
        <f>SUMIFS(Inv_Aport,Inv_Data,"&lt;="&amp;(DATE(Sel_Ano,2,1)-1))</f>
        <v>92000</v>
      </c>
      <c r="D61" s="43">
        <f>SUMIFS(Inv_Aport,Inv_Data,"&lt;="&amp;(DATE(Sel_Ano,3,1)-1))</f>
        <v>92000</v>
      </c>
      <c r="E61" s="43">
        <f>SUMIFS(Inv_Aport,Inv_Data,"&lt;="&amp;(DATE(Sel_Ano,4,1)-1))</f>
        <v>92000</v>
      </c>
      <c r="F61" s="43">
        <f>SUMIFS(Inv_Aport,Inv_Data,"&lt;="&amp;(DATE(Sel_Ano,5,1)-1))</f>
        <v>92000</v>
      </c>
      <c r="G61" s="43">
        <f>SUMIFS(Inv_Aport,Inv_Data,"&lt;="&amp;(DATE(Sel_Ano,6,1)-1))</f>
        <v>92000</v>
      </c>
      <c r="H61" s="43">
        <f>SUMIFS(Inv_Aport,Inv_Data,"&lt;="&amp;(DATE(Sel_Ano,7,1)-1))</f>
        <v>92000</v>
      </c>
      <c r="I61" s="43">
        <f>SUMIFS(Inv_Aport,Inv_Data,"&lt;="&amp;(DATE(Sel_Ano,8,1)-1))</f>
        <v>92000</v>
      </c>
      <c r="J61" s="43">
        <f>SUMIFS(Inv_Aport,Inv_Data,"&lt;="&amp;(DATE(Sel_Ano,9,1)-1))</f>
        <v>92000</v>
      </c>
      <c r="K61" s="43">
        <f>SUMIFS(Inv_Aport,Inv_Data,"&lt;="&amp;(DATE(Sel_Ano,10,1)-1))</f>
        <v>92000</v>
      </c>
      <c r="L61" s="43">
        <f>SUMIFS(Inv_Aport,Inv_Data,"&lt;="&amp;(DATE(Sel_Ano,11,1)-1))</f>
        <v>92000</v>
      </c>
      <c r="M61" s="43">
        <f>SUMIFS(Inv_Aport,Inv_Data,"&lt;="&amp;(DATE(Sel_Ano,12,1)-1))</f>
        <v>92000</v>
      </c>
      <c r="N61" s="43">
        <f>SUMIFS(Inv_Aport,Inv_Data,"&lt;="&amp;(DATE(Sel_Ano,13,1)-1))</f>
        <v>92000</v>
      </c>
    </row>
    <row r="62">
      <c r="B62" s="14" t="inlineStr">
        <is>
          <t>Se rendesse o CDI (aproximação)</t>
        </is>
      </c>
      <c r="C62" s="43">
        <f>C61</f>
        <v>92000</v>
      </c>
      <c r="D62" s="43">
        <f>C62*(1+Cfg_CDI)^(1/12)+(D61-C61)</f>
        <v>92993.0398195562</v>
      </c>
      <c r="E62" s="43">
        <f>D62*(1+Cfg_CDI)^(1/12)+(E61-D61)</f>
        <v>93996.7984226256</v>
      </c>
      <c r="F62" s="43">
        <f>E62*(1+Cfg_CDI)^(1/12)+(F61-E61)</f>
        <v>95011.3915068046</v>
      </c>
      <c r="G62" s="43">
        <f>F62*(1+Cfg_CDI)^(1/12)+(G61-F61)</f>
        <v>96036.9360185187</v>
      </c>
      <c r="H62" s="43">
        <f>G62*(1+Cfg_CDI)^(1/12)+(H61-G61)</f>
        <v>97073.550166503</v>
      </c>
      <c r="I62" s="43">
        <f>H62*(1+Cfg_CDI)^(1/12)+(I61-H61)</f>
        <v>98121.3534354271</v>
      </c>
      <c r="J62" s="43">
        <f>I62*(1+Cfg_CDI)^(1/12)+(J61-I61)</f>
        <v>99180.4665996676</v>
      </c>
      <c r="K62" s="43">
        <f>J62*(1+Cfg_CDI)^(1/12)+(K61-J61)</f>
        <v>100251.011737229</v>
      </c>
      <c r="L62" s="43">
        <f>K62*(1+Cfg_CDI)^(1/12)+(L61-K61)</f>
        <v>101333.112243814</v>
      </c>
      <c r="M62" s="43">
        <f>L62*(1+Cfg_CDI)^(1/12)+(M61-L61)</f>
        <v>102426.89284705</v>
      </c>
      <c r="N62" s="43">
        <f>M62*(1+Cfg_CDI)^(1/12)+(N61-M61)</f>
        <v>103532.47962086</v>
      </c>
    </row>
    <row r="63">
      <c r="B63" s="14" t="inlineStr">
        <is>
          <t>Se fosse corrigida pela inflação (aproximação)</t>
        </is>
      </c>
      <c r="C63" s="43">
        <f>C61</f>
        <v>92000</v>
      </c>
      <c r="D63" s="43">
        <f>C63*(1+Cfg_Infl)^(1/12)+(D61-C61)</f>
        <v>92338.0824648402</v>
      </c>
      <c r="E63" s="43">
        <f>D63*(1+Cfg_Infl)^(1/12)+(E61-D61)</f>
        <v>92677.4073183003</v>
      </c>
      <c r="F63" s="43">
        <f>E63*(1+Cfg_Infl)^(1/12)+(F61-E61)</f>
        <v>93017.9791259217</v>
      </c>
      <c r="G63" s="43">
        <f>F63*(1+Cfg_Infl)^(1/12)+(G61-F61)</f>
        <v>93359.8024700233</v>
      </c>
      <c r="H63" s="43">
        <f>G63*(1+Cfg_Infl)^(1/12)+(H61-G61)</f>
        <v>93702.8819497631</v>
      </c>
      <c r="I63" s="43">
        <f>H63*(1+Cfg_Infl)^(1/12)+(I61-H61)</f>
        <v>94047.2221812001</v>
      </c>
      <c r="J63" s="43">
        <f>I63*(1+Cfg_Infl)^(1/12)+(J61-I61)</f>
        <v>94392.8277973565</v>
      </c>
      <c r="K63" s="43">
        <f>J63*(1+Cfg_Infl)^(1/12)+(K61-J61)</f>
        <v>94739.7034482801</v>
      </c>
      <c r="L63" s="43">
        <f>K63*(1+Cfg_Infl)^(1/12)+(L61-K61)</f>
        <v>95087.8538011064</v>
      </c>
      <c r="M63" s="43">
        <f>L63*(1+Cfg_Infl)^(1/12)+(M61-L61)</f>
        <v>95437.2835401221</v>
      </c>
      <c r="N63" s="43">
        <f>M63*(1+Cfg_Infl)^(1/12)+(N61-M61)</f>
        <v>95787.9973668275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R2"/>
  </mergeCells>
  <conditionalFormatting sqref="Q10:Q40">
    <cfRule type="expression" priority="1" dxfId="1" stopIfTrue="0">
      <formula>LEFT(Q10,1)="✔"</formula>
    </cfRule>
    <cfRule type="expression" priority="2" dxfId="7" stopIfTrue="0">
      <formula>LEFT(Q10,1)="⚠"</formula>
    </cfRule>
  </conditionalFormatting>
  <conditionalFormatting sqref="J10:K40">
    <cfRule type="expression" priority="3" dxfId="9" stopIfTrue="0">
      <formula>J10&lt;0</formula>
    </cfRule>
    <cfRule type="expression" priority="4" dxfId="8" stopIfTrue="0">
      <formula>J10&gt;0</formula>
    </cfRule>
  </conditionalFormatting>
  <conditionalFormatting sqref="I45:I54">
    <cfRule type="expression" priority="5" dxfId="0" stopIfTrue="0">
      <formula>OR(LEFT(I45,7)="Reduzir",LEFT(I45,7)="Aportar")</formula>
    </cfRule>
    <cfRule type="expression" priority="6" dxfId="1" stopIfTrue="0">
      <formula>LEFT(I45,1)="✔"</formula>
    </cfRule>
    <cfRule type="expression" priority="7" dxfId="7" stopIfTrue="0">
      <formula>LEFT(I45,1)="⚠"</formula>
    </cfRule>
  </conditionalFormatting>
  <dataValidations count="2">
    <dataValidation sqref="C10:C39" showDropDown="0" showInputMessage="0" showErrorMessage="1" allowBlank="1" errorTitle="Valor inválido" error="Escolha um valor da lista." type="list">
      <formula1>=Lista_TipoInv</formula1>
    </dataValidation>
    <dataValidation sqref="H10:H39" showDropDown="0" showInputMessage="0" showErrorMessage="1" allowBlank="1" errorTitle="Valor inválido" error="Escolha um valor da lista." type="list">
      <formula1>=Lista_Liquidez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METAS E OBJETIVOS'!A1" display="Meta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tabColor rgb="007B5EA7"/>
    <outlinePr summaryBelow="1" summaryRight="1"/>
    <pageSetUpPr fitToPage="1"/>
  </sheetPr>
  <dimension ref="B1:T108"/>
  <sheetViews>
    <sheetView showGridLines="0" tabSelected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22" customWidth="1" min="9" max="9"/>
    <col width="14" customWidth="1" min="10" max="10"/>
    <col width="15" customWidth="1" min="11" max="11"/>
    <col width="15" customWidth="1" min="12" max="12"/>
    <col width="11" customWidth="1" min="13" max="13"/>
    <col width="10" customWidth="1" min="14" max="14"/>
    <col width="15" customWidth="1" min="15" max="15"/>
    <col width="15" customWidth="1" min="16" max="16"/>
    <col width="13" customWidth="1" min="17" max="17"/>
    <col width="13" customWidth="1" min="18" max="18"/>
    <col width="24" customWidth="1" min="19" max="19"/>
  </cols>
  <sheetData>
    <row r="1" ht="30" customHeight="1">
      <c r="B1" s="1" t="inlineStr">
        <is>
          <t>METAS E OBJETIVOS</t>
        </is>
      </c>
    </row>
    <row r="2" ht="32" customHeight="1">
      <c r="B2" s="2" t="inlineStr">
        <is>
          <t>Cadastre até 15 metas. O valor guardado soma automaticamente os aportes de LANÇAMENTOS (Tipo = Investimento, coluna "Meta vinculada"). Veja status, ritmo, prazo, planejador reverso e prioridades.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Patrimônio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colunas azuis (B a I)</t>
        </is>
      </c>
      <c r="J5" s="28" t="inlineStr">
        <is>
          <t>calculado automaticamente ⬇</t>
        </is>
      </c>
    </row>
    <row r="6">
      <c r="B6" s="6" t="inlineStr">
        <is>
          <t>1. Cadastro e acompanhamento das metas</t>
        </is>
      </c>
    </row>
    <row r="8" ht="46" customHeight="1">
      <c r="B8" s="7" t="inlineStr">
        <is>
          <t>Meta</t>
        </is>
      </c>
      <c r="C8" s="7" t="inlineStr">
        <is>
          <t>Categoria</t>
        </is>
      </c>
      <c r="D8" s="7" t="inlineStr">
        <is>
          <t>Prioridade</t>
        </is>
      </c>
      <c r="E8" s="7" t="inlineStr">
        <is>
          <t>Valor alvo</t>
        </is>
      </c>
      <c r="F8" s="7" t="inlineStr">
        <is>
          <t>Já guardado (inicial)</t>
        </is>
      </c>
      <c r="G8" s="7" t="inlineStr">
        <is>
          <t>Data inicial</t>
        </is>
      </c>
      <c r="H8" s="7" t="inlineStr">
        <is>
          <t>Prazo final</t>
        </is>
      </c>
      <c r="I8" s="7" t="inlineStr">
        <is>
          <t>Onde está guardado</t>
        </is>
      </c>
      <c r="J8" s="7" t="inlineStr">
        <is>
          <t>Aportes lançados</t>
        </is>
      </c>
      <c r="K8" s="7" t="inlineStr">
        <is>
          <t>Guardado total</t>
        </is>
      </c>
      <c r="L8" s="7" t="inlineStr">
        <is>
          <t>Falta</t>
        </is>
      </c>
      <c r="M8" s="7" t="inlineStr">
        <is>
          <t>% concluído</t>
        </is>
      </c>
      <c r="N8" s="7" t="inlineStr">
        <is>
          <t>Meses restantes</t>
        </is>
      </c>
      <c r="O8" s="7" t="inlineStr">
        <is>
          <t>Necessário por mês</t>
        </is>
      </c>
      <c r="P8" s="7" t="inlineStr">
        <is>
          <t>Ritmo real (média 3 meses)</t>
        </is>
      </c>
      <c r="Q8" s="7" t="inlineStr">
        <is>
          <t>Conclusão estimada</t>
        </is>
      </c>
      <c r="R8" s="7" t="inlineStr">
        <is>
          <t>Status</t>
        </is>
      </c>
      <c r="S8" s="7" t="inlineStr">
        <is>
          <t>Progresso</t>
        </is>
      </c>
    </row>
    <row r="9">
      <c r="B9" s="34" t="inlineStr">
        <is>
          <t>Reserva de emergência</t>
        </is>
      </c>
      <c r="C9" s="34" t="inlineStr">
        <is>
          <t>Reserva</t>
        </is>
      </c>
      <c r="D9" s="34" t="inlineStr">
        <is>
          <t>Alta</t>
        </is>
      </c>
      <c r="E9" s="35" t="n">
        <v>60000</v>
      </c>
      <c r="F9" s="35" t="n">
        <v>40000</v>
      </c>
      <c r="G9" s="38" t="n">
        <v>45901</v>
      </c>
      <c r="H9" s="38" t="n">
        <v>46752</v>
      </c>
      <c r="I9" s="34" t="inlineStr">
        <is>
          <t>Poupança Banco Azul</t>
        </is>
      </c>
      <c r="J9" s="43">
        <f>IF($B9="",0,SUMIFS(L_VParc,L_Meta,$B9,L_Tipo,"Investimento",L_Status,"&lt;&gt;Agendado",L_Status,"&lt;&gt;Pendente",L_Data,"&lt;="&amp;Cfg_Hoje))</f>
        <v>9100</v>
      </c>
      <c r="K9" s="43">
        <f>IF($B9="",0,N($F9)+J9)</f>
        <v>49100</v>
      </c>
      <c r="L9" s="43">
        <f>IF($B9="",0,MAX(0,N($E9)-K9))</f>
        <v>10900</v>
      </c>
      <c r="M9" s="73">
        <f>IF(N($E9)=0,0,MIN(1,K9/$E9))</f>
        <v>0.818333333333333</v>
      </c>
      <c r="N9" s="40">
        <f>IF(OR($B9="",NOT(ISNUMBER($H9))),0,MAX(0,(YEAR($H9)-YEAR(Cfg_Hoje))*12+MONTH($H9)-MONTH(Cfg_Hoje)))</f>
        <v>14</v>
      </c>
      <c r="O9" s="43">
        <f>IF(OR($B9="",L9=0),0,IF(N9&gt;0,L9/N9,L9))</f>
        <v>778.571428571429</v>
      </c>
      <c r="P9" s="43">
        <f>IF($B9="",0,SUMIFS(L_VParc,L_Meta,$B9,L_Tipo,"Investimento",L_IIni,"&gt;="&amp;(Cfg_Idx-3),L_IIni,"&lt;="&amp;(Cfg_Idx-1))/3)</f>
        <v>700</v>
      </c>
      <c r="Q9" s="91">
        <f>IF(OR($B9="",N($E9)=0),"",IF(L9=0,"Concluída",IF(P9&lt;=0,"sem ritmo",EDATE(Cfg_Hoje,ROUNDUP(L9/P9,0)))))</f>
        <v>46786.0</v>
      </c>
      <c r="R9" s="13" t="str">
        <f>IF(OR($B9="",N($E9)=0),"",IF(L9=0,"Concluída",IF(AND(ISNUMBER($H9),Cfg_Hoje&gt;$H9),"Atrasada",IF(NOT(ISNUMBER($H9)),IF(P9&gt;0,"No prazo","Atenção"),IF(P9&gt;=O9,"No prazo",IF(P9&gt;=0.7*O9,"Atenção","Atrasada"))))))</f>
        <v>Atenção</v>
      </c>
      <c r="S9" s="13" t="str">
        <f>IF($B9="","",REPT("█",ROUND(M9*20,0))&amp;REPT("░",20-ROUND(M9*20,0)))</f>
        <v>████████████████░░░░</v>
      </c>
    </row>
    <row r="10">
      <c r="B10" s="34" t="inlineStr">
        <is>
          <t>Viagem Europa</t>
        </is>
      </c>
      <c r="C10" s="34" t="inlineStr">
        <is>
          <t>Viagem</t>
        </is>
      </c>
      <c r="D10" s="34" t="inlineStr">
        <is>
          <t>Média</t>
        </is>
      </c>
      <c r="E10" s="35" t="n">
        <v>18000</v>
      </c>
      <c r="F10" s="35" t="n">
        <v>3000</v>
      </c>
      <c r="G10" s="38" t="n">
        <v>45901</v>
      </c>
      <c r="H10" s="38" t="n">
        <v>46599</v>
      </c>
      <c r="I10" s="34" t="inlineStr">
        <is>
          <t>CDB Banco Verde</t>
        </is>
      </c>
      <c r="J10" s="43">
        <f>IF($B10="",0,SUMIFS(L_VParc,L_Meta,$B10,L_Tipo,"Investimento",L_Status,"&lt;&gt;Agendado",L_Status,"&lt;&gt;Pendente",L_Data,"&lt;="&amp;Cfg_Hoje))</f>
        <v>3900</v>
      </c>
      <c r="K10" s="43">
        <f>IF($B10="",0,N($F10)+J10)</f>
        <v>6900</v>
      </c>
      <c r="L10" s="43">
        <f>IF($B10="",0,MAX(0,N($E10)-K10))</f>
        <v>11100</v>
      </c>
      <c r="M10" s="73">
        <f>IF(N($E10)=0,0,MIN(1,K10/$E10))</f>
        <v>0.383333333333333</v>
      </c>
      <c r="N10" s="40">
        <f>IF(OR($B10="",NOT(ISNUMBER($H10))),0,MAX(0,(YEAR($H10)-YEAR(Cfg_Hoje))*12+MONTH($H10)-MONTH(Cfg_Hoje)))</f>
        <v>9</v>
      </c>
      <c r="O10" s="43">
        <f>IF(OR($B10="",L10=0),0,IF(N10&gt;0,L10/N10,L10))</f>
        <v>1233.33333333333</v>
      </c>
      <c r="P10" s="43">
        <f>IF($B10="",0,SUMIFS(L_VParc,L_Meta,$B10,L_Tipo,"Investimento",L_IIni,"&gt;="&amp;(Cfg_Idx-3),L_IIni,"&lt;="&amp;(Cfg_Idx-1))/3)</f>
        <v>300</v>
      </c>
      <c r="Q10" s="91">
        <f>IF(OR($B10="",N($E10)=0),"",IF(L10=0,"Concluída",IF(P10&lt;=0,"sem ritmo",EDATE(Cfg_Hoje,ROUNDUP(L10/P10,0)))))</f>
        <v>47425.0</v>
      </c>
      <c r="R10" s="13" t="str">
        <f>IF(OR($B10="",N($E10)=0),"",IF(L10=0,"Concluída",IF(AND(ISNUMBER($H10),Cfg_Hoje&gt;$H10),"Atrasada",IF(NOT(ISNUMBER($H10)),IF(P10&gt;0,"No prazo","Atenção"),IF(P10&gt;=O10,"No prazo",IF(P10&gt;=0.7*O10,"Atenção","Atrasada"))))))</f>
        <v>Atrasada</v>
      </c>
      <c r="S10" s="13" t="str">
        <f>IF($B10="","",REPT("█",ROUND(M10*20,0))&amp;REPT("░",20-ROUND(M10*20,0)))</f>
        <v>████████░░░░░░░░░░░░</v>
      </c>
    </row>
    <row r="11">
      <c r="B11" s="34" t="inlineStr">
        <is>
          <t>Troca de carro</t>
        </is>
      </c>
      <c r="C11" s="34" t="inlineStr">
        <is>
          <t>Carro</t>
        </is>
      </c>
      <c r="D11" s="34" t="inlineStr">
        <is>
          <t>Média</t>
        </is>
      </c>
      <c r="E11" s="35" t="n">
        <v>15000</v>
      </c>
      <c r="F11" s="35" t="n">
        <v>6000</v>
      </c>
      <c r="G11" s="38" t="n">
        <v>45901</v>
      </c>
      <c r="H11" s="38" t="n">
        <v>47118</v>
      </c>
      <c r="I11" s="34" t="inlineStr">
        <is>
          <t>Tesouro Selic</t>
        </is>
      </c>
      <c r="J11" s="43">
        <f>IF($B11="",0,SUMIFS(L_VParc,L_Meta,$B11,L_Tipo,"Investimento",L_Status,"&lt;&gt;Agendado",L_Status,"&lt;&gt;Pendente",L_Data,"&lt;="&amp;Cfg_Hoje))</f>
        <v>2600</v>
      </c>
      <c r="K11" s="43">
        <f>IF($B11="",0,N($F11)+J11)</f>
        <v>8600</v>
      </c>
      <c r="L11" s="43">
        <f>IF($B11="",0,MAX(0,N($E11)-K11))</f>
        <v>6400</v>
      </c>
      <c r="M11" s="73">
        <f>IF(N($E11)=0,0,MIN(1,K11/$E11))</f>
        <v>0.573333333333333</v>
      </c>
      <c r="N11" s="40">
        <f>IF(OR($B11="",NOT(ISNUMBER($H11))),0,MAX(0,(YEAR($H11)-YEAR(Cfg_Hoje))*12+MONTH($H11)-MONTH(Cfg_Hoje)))</f>
        <v>26</v>
      </c>
      <c r="O11" s="43">
        <f>IF(OR($B11="",L11=0),0,IF(N11&gt;0,L11/N11,L11))</f>
        <v>246.153846153846</v>
      </c>
      <c r="P11" s="43">
        <f>IF($B11="",0,SUMIFS(L_VParc,L_Meta,$B11,L_Tipo,"Investimento",L_IIni,"&gt;="&amp;(Cfg_Idx-3),L_IIni,"&lt;="&amp;(Cfg_Idx-1))/3)</f>
        <v>200</v>
      </c>
      <c r="Q11" s="91">
        <f>IF(OR($B11="",N($E11)=0),"",IF(L11=0,"Concluída",IF(P11&lt;=0,"sem ritmo",EDATE(Cfg_Hoje,ROUNDUP(L11/P11,0)))))</f>
        <v>47272.0</v>
      </c>
      <c r="R11" s="13" t="str">
        <f>IF(OR($B11="",N($E11)=0),"",IF(L11=0,"Concluída",IF(AND(ISNUMBER($H11),Cfg_Hoje&gt;$H11),"Atrasada",IF(NOT(ISNUMBER($H11)),IF(P11&gt;0,"No prazo","Atenção"),IF(P11&gt;=O11,"No prazo",IF(P11&gt;=0.7*O11,"Atenção","Atrasada"))))))</f>
        <v>Atenção</v>
      </c>
      <c r="S11" s="13" t="str">
        <f>IF($B11="","",REPT("█",ROUND(M11*20,0))&amp;REPT("░",20-ROUND(M11*20,0)))</f>
        <v>███████████░░░░░░░░░</v>
      </c>
    </row>
    <row r="12">
      <c r="B12" s="34" t="inlineStr">
        <is>
          <t>Entrada do apartamento</t>
        </is>
      </c>
      <c r="C12" s="34" t="inlineStr">
        <is>
          <t>Casa</t>
        </is>
      </c>
      <c r="D12" s="34" t="inlineStr">
        <is>
          <t>Alta</t>
        </is>
      </c>
      <c r="E12" s="35" t="n">
        <v>50000</v>
      </c>
      <c r="F12" s="35" t="n">
        <v>12000</v>
      </c>
      <c r="G12" s="38" t="n">
        <v>45901</v>
      </c>
      <c r="H12" s="38" t="n">
        <v>48213</v>
      </c>
      <c r="I12" s="34" t="inlineStr">
        <is>
          <t>Tesouro Selic</t>
        </is>
      </c>
      <c r="J12" s="43">
        <f>IF($B12="",0,SUMIFS(L_VParc,L_Meta,$B12,L_Tipo,"Investimento",L_Status,"&lt;&gt;Agendado",L_Status,"&lt;&gt;Pendente",L_Data,"&lt;="&amp;Cfg_Hoje))</f>
        <v>1500</v>
      </c>
      <c r="K12" s="43">
        <f>IF($B12="",0,N($F12)+J12)</f>
        <v>13500</v>
      </c>
      <c r="L12" s="43">
        <f>IF($B12="",0,MAX(0,N($E12)-K12))</f>
        <v>36500</v>
      </c>
      <c r="M12" s="73">
        <f>IF(N($E12)=0,0,MIN(1,K12/$E12))</f>
        <v>0.27</v>
      </c>
      <c r="N12" s="40">
        <f>IF(OR($B12="",NOT(ISNUMBER($H12))),0,MAX(0,(YEAR($H12)-YEAR(Cfg_Hoje))*12+MONTH($H12)-MONTH(Cfg_Hoje)))</f>
        <v>62</v>
      </c>
      <c r="O12" s="43">
        <f>IF(OR($B12="",L12=0),0,IF(N12&gt;0,L12/N12,L12))</f>
        <v>588.709677419355</v>
      </c>
      <c r="P12" s="43">
        <f>IF($B12="",0,SUMIFS(L_VParc,L_Meta,$B12,L_Tipo,"Investimento",L_IIni,"&gt;="&amp;(Cfg_Idx-3),L_IIni,"&lt;="&amp;(Cfg_Idx-1))/3)</f>
        <v>250</v>
      </c>
      <c r="Q12" s="91">
        <f>IF(OR($B12="",N($E12)=0),"",IF(L12=0,"Concluída",IF(P12&lt;=0,"sem ritmo",EDATE(Cfg_Hoje,ROUNDUP(L12/P12,0)))))</f>
        <v>50742.0</v>
      </c>
      <c r="R12" s="13" t="str">
        <f>IF(OR($B12="",N($E12)=0),"",IF(L12=0,"Concluída",IF(AND(ISNUMBER($H12),Cfg_Hoje&gt;$H12),"Atrasada",IF(NOT(ISNUMBER($H12)),IF(P12&gt;0,"No prazo","Atenção"),IF(P12&gt;=O12,"No prazo",IF(P12&gt;=0.7*O12,"Atenção","Atrasada"))))))</f>
        <v>Atrasada</v>
      </c>
      <c r="S12" s="13" t="str">
        <f>IF($B12="","",REPT("█",ROUND(M12*20,0))&amp;REPT("░",20-ROUND(M12*20,0)))</f>
        <v>█████░░░░░░░░░░░░░░░</v>
      </c>
    </row>
    <row r="13">
      <c r="B13" s="34" t="inlineStr">
        <is>
          <t>Quitar empréstimo pessoal</t>
        </is>
      </c>
      <c r="C13" s="34" t="inlineStr">
        <is>
          <t>Quitar dívida</t>
        </is>
      </c>
      <c r="D13" s="34" t="inlineStr">
        <is>
          <t>Alta</t>
        </is>
      </c>
      <c r="E13" s="35" t="n">
        <v>6100</v>
      </c>
      <c r="F13" s="35" t="n">
        <v>3000</v>
      </c>
      <c r="G13" s="38" t="n">
        <v>46082</v>
      </c>
      <c r="H13" s="38" t="n">
        <v>46660</v>
      </c>
      <c r="I13" s="34" t="inlineStr">
        <is>
          <t>Conta Corrente Banco Azul</t>
        </is>
      </c>
      <c r="J13" s="43">
        <f>IF($B13="",0,SUMIFS(L_VParc,L_Meta,$B13,L_Tipo,"Investimento",L_Status,"&lt;&gt;Agendado",L_Status,"&lt;&gt;Pendente",L_Data,"&lt;="&amp;Cfg_Hoje))</f>
        <v>900</v>
      </c>
      <c r="K13" s="43">
        <f>IF($B13="",0,N($F13)+J13)</f>
        <v>3900</v>
      </c>
      <c r="L13" s="43">
        <f>IF($B13="",0,MAX(0,N($E13)-K13))</f>
        <v>2200</v>
      </c>
      <c r="M13" s="73">
        <f>IF(N($E13)=0,0,MIN(1,K13/$E13))</f>
        <v>0.639344262295082</v>
      </c>
      <c r="N13" s="40">
        <f>IF(OR($B13="",NOT(ISNUMBER($H13))),0,MAX(0,(YEAR($H13)-YEAR(Cfg_Hoje))*12+MONTH($H13)-MONTH(Cfg_Hoje)))</f>
        <v>11</v>
      </c>
      <c r="O13" s="43">
        <f>IF(OR($B13="",L13=0),0,IF(N13&gt;0,L13/N13,L13))</f>
        <v>200</v>
      </c>
      <c r="P13" s="43">
        <f>IF($B13="",0,SUMIFS(L_VParc,L_Meta,$B13,L_Tipo,"Investimento",L_IIni,"&gt;="&amp;(Cfg_Idx-3),L_IIni,"&lt;="&amp;(Cfg_Idx-1))/3)</f>
        <v>150</v>
      </c>
      <c r="Q13" s="91">
        <f>IF(OR($B13="",N($E13)=0),"",IF(L13=0,"Concluída",IF(P13&lt;=0,"sem ritmo",EDATE(Cfg_Hoje,ROUNDUP(L13/P13,0)))))</f>
        <v>46755.0</v>
      </c>
      <c r="R13" s="13" t="str">
        <f>IF(OR($B13="",N($E13)=0),"",IF(L13=0,"Concluída",IF(AND(ISNUMBER($H13),Cfg_Hoje&gt;$H13),"Atrasada",IF(NOT(ISNUMBER($H13)),IF(P13&gt;0,"No prazo","Atenção"),IF(P13&gt;=O13,"No prazo",IF(P13&gt;=0.7*O13,"Atenção","Atrasada"))))))</f>
        <v>Atenção</v>
      </c>
      <c r="S13" s="13" t="str">
        <f>IF($B13="","",REPT("█",ROUND(M13*20,0))&amp;REPT("░",20-ROUND(M13*20,0)))</f>
        <v>█████████████░░░░░░░</v>
      </c>
    </row>
    <row r="14">
      <c r="B14" s="34" t="inlineStr">
        <is>
          <t>MBA</t>
        </is>
      </c>
      <c r="C14" s="34" t="inlineStr">
        <is>
          <t>Estudos</t>
        </is>
      </c>
      <c r="D14" s="34" t="inlineStr">
        <is>
          <t>Baixa</t>
        </is>
      </c>
      <c r="E14" s="35" t="n">
        <v>4500</v>
      </c>
      <c r="F14" s="35" t="n">
        <v>2000</v>
      </c>
      <c r="G14" s="38" t="n">
        <v>45901</v>
      </c>
      <c r="H14" s="38" t="n">
        <v>46568</v>
      </c>
      <c r="I14" s="34" t="inlineStr">
        <is>
          <t>CDB Banco Verde</t>
        </is>
      </c>
      <c r="J14" s="43">
        <f>IF($B14="",0,SUMIFS(L_VParc,L_Meta,$B14,L_Tipo,"Investimento",L_Status,"&lt;&gt;Agendado",L_Status,"&lt;&gt;Pendente",L_Data,"&lt;="&amp;Cfg_Hoje))</f>
        <v>1350</v>
      </c>
      <c r="K14" s="43">
        <f>IF($B14="",0,N($F14)+J14)</f>
        <v>3350</v>
      </c>
      <c r="L14" s="43">
        <f>IF($B14="",0,MAX(0,N($E14)-K14))</f>
        <v>1150</v>
      </c>
      <c r="M14" s="73">
        <f>IF(N($E14)=0,0,MIN(1,K14/$E14))</f>
        <v>0.744444444444445</v>
      </c>
      <c r="N14" s="40">
        <f>IF(OR($B14="",NOT(ISNUMBER($H14))),0,MAX(0,(YEAR($H14)-YEAR(Cfg_Hoje))*12+MONTH($H14)-MONTH(Cfg_Hoje)))</f>
        <v>8</v>
      </c>
      <c r="O14" s="43">
        <f>IF(OR($B14="",L14=0),0,IF(N14&gt;0,L14/N14,L14))</f>
        <v>143.75</v>
      </c>
      <c r="P14" s="43">
        <f>IF($B14="",0,SUMIFS(L_VParc,L_Meta,$B14,L_Tipo,"Investimento",L_IIni,"&gt;="&amp;(Cfg_Idx-3),L_IIni,"&lt;="&amp;(Cfg_Idx-1))/3)</f>
        <v>150</v>
      </c>
      <c r="Q14" s="91">
        <f>IF(OR($B14="",N($E14)=0),"",IF(L14=0,"Concluída",IF(P14&lt;=0,"sem ritmo",EDATE(Cfg_Hoje,ROUNDUP(L14/P14,0)))))</f>
        <v>46541.0</v>
      </c>
      <c r="R14" s="13" t="str">
        <f>IF(OR($B14="",N($E14)=0),"",IF(L14=0,"Concluída",IF(AND(ISNUMBER($H14),Cfg_Hoje&gt;$H14),"Atrasada",IF(NOT(ISNUMBER($H14)),IF(P14&gt;0,"No prazo","Atenção"),IF(P14&gt;=O14,"No prazo",IF(P14&gt;=0.7*O14,"Atenção","Atrasada"))))))</f>
        <v>No prazo</v>
      </c>
      <c r="S14" s="13" t="str">
        <f>IF($B14="","",REPT("█",ROUND(M14*20,0))&amp;REPT("░",20-ROUND(M14*20,0)))</f>
        <v>███████████████░░░░░</v>
      </c>
    </row>
    <row r="15">
      <c r="B15" s="34" t="inlineStr">
        <is>
          <t>Aposentadoria</t>
        </is>
      </c>
      <c r="C15" s="34" t="inlineStr">
        <is>
          <t>Aposentadoria</t>
        </is>
      </c>
      <c r="D15" s="34" t="inlineStr">
        <is>
          <t>Média</t>
        </is>
      </c>
      <c r="E15" s="35" t="n">
        <v>100000</v>
      </c>
      <c r="F15" s="35" t="n">
        <v>30000</v>
      </c>
      <c r="G15" s="38" t="n">
        <v>45901</v>
      </c>
      <c r="H15" s="38" t="n">
        <v>53692</v>
      </c>
      <c r="I15" s="34" t="inlineStr">
        <is>
          <t>Previdência PGBL</t>
        </is>
      </c>
      <c r="J15" s="43">
        <f>IF($B15="",0,SUMIFS(L_VParc,L_Meta,$B15,L_Tipo,"Investimento",L_Status,"&lt;&gt;Agendado",L_Status,"&lt;&gt;Pendente",L_Data,"&lt;="&amp;Cfg_Hoje))</f>
        <v>3900</v>
      </c>
      <c r="K15" s="43">
        <f>IF($B15="",0,N($F15)+J15)</f>
        <v>33900</v>
      </c>
      <c r="L15" s="43">
        <f>IF($B15="",0,MAX(0,N($E15)-K15))</f>
        <v>66100</v>
      </c>
      <c r="M15" s="73">
        <f>IF(N($E15)=0,0,MIN(1,K15/$E15))</f>
        <v>0.339</v>
      </c>
      <c r="N15" s="40">
        <f>IF(OR($B15="",NOT(ISNUMBER($H15))),0,MAX(0,(YEAR($H15)-YEAR(Cfg_Hoje))*12+MONTH($H15)-MONTH(Cfg_Hoje)))</f>
        <v>242</v>
      </c>
      <c r="O15" s="43">
        <f>IF(OR($B15="",L15=0),0,IF(N15&gt;0,L15/N15,L15))</f>
        <v>273.140495867769</v>
      </c>
      <c r="P15" s="43">
        <f>IF($B15="",0,SUMIFS(L_VParc,L_Meta,$B15,L_Tipo,"Investimento",L_IIni,"&gt;="&amp;(Cfg_Idx-3),L_IIni,"&lt;="&amp;(Cfg_Idx-1))/3)</f>
        <v>300</v>
      </c>
      <c r="Q15" s="91">
        <f>IF(OR($B15="",N($E15)=0),"",IF(L15=0,"Concluída",IF(P15&lt;=0,"sem ritmo",EDATE(Cfg_Hoje,ROUNDUP(L15/P15,0)))))</f>
        <v>53024.0</v>
      </c>
      <c r="R15" s="13" t="str">
        <f>IF(OR($B15="",N($E15)=0),"",IF(L15=0,"Concluída",IF(AND(ISNUMBER($H15),Cfg_Hoje&gt;$H15),"Atrasada",IF(NOT(ISNUMBER($H15)),IF(P15&gt;0,"No prazo","Atenção"),IF(P15&gt;=O15,"No prazo",IF(P15&gt;=0.7*O15,"Atenção","Atrasada"))))))</f>
        <v>No prazo</v>
      </c>
      <c r="S15" s="13" t="str">
        <f>IF($B15="","",REPT("█",ROUND(M15*20,0))&amp;REPT("░",20-ROUND(M15*20,0)))</f>
        <v>███████░░░░░░░░░░░░░</v>
      </c>
    </row>
    <row r="16">
      <c r="B16" s="34" t="inlineStr">
        <is>
          <t>Notebook novo</t>
        </is>
      </c>
      <c r="C16" s="34" t="inlineStr">
        <is>
          <t>Outros</t>
        </is>
      </c>
      <c r="D16" s="34" t="inlineStr">
        <is>
          <t>Baixa</t>
        </is>
      </c>
      <c r="E16" s="35" t="n">
        <v>6000</v>
      </c>
      <c r="F16" s="35" t="n">
        <v>6000</v>
      </c>
      <c r="G16" s="38" t="n">
        <v>46023</v>
      </c>
      <c r="H16" s="38" t="n">
        <v>46203</v>
      </c>
      <c r="I16" s="34" t="inlineStr">
        <is>
          <t>Conta Corrente Banco Azul</t>
        </is>
      </c>
      <c r="J16" s="43">
        <f>IF($B16="",0,SUMIFS(L_VParc,L_Meta,$B16,L_Tipo,"Investimento",L_Status,"&lt;&gt;Agendado",L_Status,"&lt;&gt;Pendente",L_Data,"&lt;="&amp;Cfg_Hoje))</f>
        <v>0</v>
      </c>
      <c r="K16" s="43">
        <f>IF($B16="",0,N($F16)+J16)</f>
        <v>6000</v>
      </c>
      <c r="L16" s="43">
        <f>IF($B16="",0,MAX(0,N($E16)-K16))</f>
        <v>0</v>
      </c>
      <c r="M16" s="73">
        <f>IF(N($E16)=0,0,MIN(1,K16/$E16))</f>
        <v>1</v>
      </c>
      <c r="N16" s="40">
        <f>IF(OR($B16="",NOT(ISNUMBER($H16))),0,MAX(0,(YEAR($H16)-YEAR(Cfg_Hoje))*12+MONTH($H16)-MONTH(Cfg_Hoje)))</f>
        <v>0</v>
      </c>
      <c r="O16" s="43">
        <f>IF(OR($B16="",L16=0),0,IF(N16&gt;0,L16/N16,L16))</f>
        <v>0</v>
      </c>
      <c r="P16" s="43">
        <f>IF($B16="",0,SUMIFS(L_VParc,L_Meta,$B16,L_Tipo,"Investimento",L_IIni,"&gt;="&amp;(Cfg_Idx-3),L_IIni,"&lt;="&amp;(Cfg_Idx-1))/3)</f>
        <v>0</v>
      </c>
      <c r="Q16" s="91" t="str">
        <f>IF(OR($B16="",N($E16)=0),"",IF(L16=0,"Concluída",IF(P16&lt;=0,"sem ritmo",EDATE(Cfg_Hoje,ROUNDUP(L16/P16,0)))))</f>
        <v>Concluída</v>
      </c>
      <c r="R16" s="13" t="str">
        <f>IF(OR($B16="",N($E16)=0),"",IF(L16=0,"Concluída",IF(AND(ISNUMBER($H16),Cfg_Hoje&gt;$H16),"Atrasada",IF(NOT(ISNUMBER($H16)),IF(P16&gt;0,"No prazo","Atenção"),IF(P16&gt;=O16,"No prazo",IF(P16&gt;=0.7*O16,"Atenção","Atrasada"))))))</f>
        <v>Concluída</v>
      </c>
      <c r="S16" s="13" t="str">
        <f>IF($B16="","",REPT("█",ROUND(M16*20,0))&amp;REPT("░",20-ROUND(M16*20,0)))</f>
        <v>████████████████████</v>
      </c>
    </row>
    <row r="17">
      <c r="B17" s="34" t="n"/>
      <c r="C17" s="34" t="n"/>
      <c r="D17" s="34" t="n"/>
      <c r="E17" s="35" t="n"/>
      <c r="F17" s="35" t="n"/>
      <c r="G17" s="38" t="n"/>
      <c r="H17" s="38" t="n"/>
      <c r="I17" s="34" t="n"/>
      <c r="J17" s="43">
        <f>IF($B17="",0,SUMIFS(L_VParc,L_Meta,$B17,L_Tipo,"Investimento",L_Status,"&lt;&gt;Agendado",L_Status,"&lt;&gt;Pendente",L_Data,"&lt;="&amp;Cfg_Hoje))</f>
        <v>0</v>
      </c>
      <c r="K17" s="43">
        <f>IF($B17="",0,N($F17)+J17)</f>
        <v>0</v>
      </c>
      <c r="L17" s="43">
        <f>IF($B17="",0,MAX(0,N($E17)-K17))</f>
        <v>0</v>
      </c>
      <c r="M17" s="73">
        <f>IF(N($E17)=0,0,MIN(1,K17/$E17))</f>
        <v>0</v>
      </c>
      <c r="N17" s="40">
        <f>IF(OR($B17="",NOT(ISNUMBER($H17))),0,MAX(0,(YEAR($H17)-YEAR(Cfg_Hoje))*12+MONTH($H17)-MONTH(Cfg_Hoje)))</f>
        <v>0</v>
      </c>
      <c r="O17" s="43">
        <f>IF(OR($B17="",L17=0),0,IF(N17&gt;0,L17/N17,L17))</f>
        <v>0</v>
      </c>
      <c r="P17" s="43">
        <f>IF($B17="",0,SUMIFS(L_VParc,L_Meta,$B17,L_Tipo,"Investimento",L_IIni,"&gt;="&amp;(Cfg_Idx-3),L_IIni,"&lt;="&amp;(Cfg_Idx-1))/3)</f>
        <v>0</v>
      </c>
      <c r="Q17" s="91" t="str">
        <f>IF(OR($B17="",N($E17)=0),"",IF(L17=0,"Concluída",IF(P17&lt;=0,"sem ritmo",EDATE(Cfg_Hoje,ROUNDUP(L17/P17,0)))))</f>
        <v/>
      </c>
      <c r="R17" s="13" t="str">
        <f>IF(OR($B17="",N($E17)=0),"",IF(L17=0,"Concluída",IF(AND(ISNUMBER($H17),Cfg_Hoje&gt;$H17),"Atrasada",IF(NOT(ISNUMBER($H17)),IF(P17&gt;0,"No prazo","Atenção"),IF(P17&gt;=O17,"No prazo",IF(P17&gt;=0.7*O17,"Atenção","Atrasada"))))))</f>
        <v/>
      </c>
      <c r="S17" s="13" t="str">
        <f>IF($B17="","",REPT("█",ROUND(M17*20,0))&amp;REPT("░",20-ROUND(M17*20,0)))</f>
        <v/>
      </c>
    </row>
    <row r="18">
      <c r="B18" s="34" t="n"/>
      <c r="C18" s="34" t="n"/>
      <c r="D18" s="34" t="n"/>
      <c r="E18" s="35" t="n"/>
      <c r="F18" s="35" t="n"/>
      <c r="G18" s="38" t="n"/>
      <c r="H18" s="38" t="n"/>
      <c r="I18" s="34" t="n"/>
      <c r="J18" s="43">
        <f>IF($B18="",0,SUMIFS(L_VParc,L_Meta,$B18,L_Tipo,"Investimento",L_Status,"&lt;&gt;Agendado",L_Status,"&lt;&gt;Pendente",L_Data,"&lt;="&amp;Cfg_Hoje))</f>
        <v>0</v>
      </c>
      <c r="K18" s="43">
        <f>IF($B18="",0,N($F18)+J18)</f>
        <v>0</v>
      </c>
      <c r="L18" s="43">
        <f>IF($B18="",0,MAX(0,N($E18)-K18))</f>
        <v>0</v>
      </c>
      <c r="M18" s="73">
        <f>IF(N($E18)=0,0,MIN(1,K18/$E18))</f>
        <v>0</v>
      </c>
      <c r="N18" s="40">
        <f>IF(OR($B18="",NOT(ISNUMBER($H18))),0,MAX(0,(YEAR($H18)-YEAR(Cfg_Hoje))*12+MONTH($H18)-MONTH(Cfg_Hoje)))</f>
        <v>0</v>
      </c>
      <c r="O18" s="43">
        <f>IF(OR($B18="",L18=0),0,IF(N18&gt;0,L18/N18,L18))</f>
        <v>0</v>
      </c>
      <c r="P18" s="43">
        <f>IF($B18="",0,SUMIFS(L_VParc,L_Meta,$B18,L_Tipo,"Investimento",L_IIni,"&gt;="&amp;(Cfg_Idx-3),L_IIni,"&lt;="&amp;(Cfg_Idx-1))/3)</f>
        <v>0</v>
      </c>
      <c r="Q18" s="91" t="str">
        <f>IF(OR($B18="",N($E18)=0),"",IF(L18=0,"Concluída",IF(P18&lt;=0,"sem ritmo",EDATE(Cfg_Hoje,ROUNDUP(L18/P18,0)))))</f>
        <v/>
      </c>
      <c r="R18" s="13" t="str">
        <f>IF(OR($B18="",N($E18)=0),"",IF(L18=0,"Concluída",IF(AND(ISNUMBER($H18),Cfg_Hoje&gt;$H18),"Atrasada",IF(NOT(ISNUMBER($H18)),IF(P18&gt;0,"No prazo","Atenção"),IF(P18&gt;=O18,"No prazo",IF(P18&gt;=0.7*O18,"Atenção","Atrasada"))))))</f>
        <v/>
      </c>
      <c r="S18" s="13" t="str">
        <f>IF($B18="","",REPT("█",ROUND(M18*20,0))&amp;REPT("░",20-ROUND(M18*20,0)))</f>
        <v/>
      </c>
    </row>
    <row r="19">
      <c r="B19" s="34" t="n"/>
      <c r="C19" s="34" t="n"/>
      <c r="D19" s="34" t="n"/>
      <c r="E19" s="35" t="n"/>
      <c r="F19" s="35" t="n"/>
      <c r="G19" s="38" t="n"/>
      <c r="H19" s="38" t="n"/>
      <c r="I19" s="34" t="n"/>
      <c r="J19" s="43">
        <f>IF($B19="",0,SUMIFS(L_VParc,L_Meta,$B19,L_Tipo,"Investimento",L_Status,"&lt;&gt;Agendado",L_Status,"&lt;&gt;Pendente",L_Data,"&lt;="&amp;Cfg_Hoje))</f>
        <v>0</v>
      </c>
      <c r="K19" s="43">
        <f>IF($B19="",0,N($F19)+J19)</f>
        <v>0</v>
      </c>
      <c r="L19" s="43">
        <f>IF($B19="",0,MAX(0,N($E19)-K19))</f>
        <v>0</v>
      </c>
      <c r="M19" s="73">
        <f>IF(N($E19)=0,0,MIN(1,K19/$E19))</f>
        <v>0</v>
      </c>
      <c r="N19" s="40">
        <f>IF(OR($B19="",NOT(ISNUMBER($H19))),0,MAX(0,(YEAR($H19)-YEAR(Cfg_Hoje))*12+MONTH($H19)-MONTH(Cfg_Hoje)))</f>
        <v>0</v>
      </c>
      <c r="O19" s="43">
        <f>IF(OR($B19="",L19=0),0,IF(N19&gt;0,L19/N19,L19))</f>
        <v>0</v>
      </c>
      <c r="P19" s="43">
        <f>IF($B19="",0,SUMIFS(L_VParc,L_Meta,$B19,L_Tipo,"Investimento",L_IIni,"&gt;="&amp;(Cfg_Idx-3),L_IIni,"&lt;="&amp;(Cfg_Idx-1))/3)</f>
        <v>0</v>
      </c>
      <c r="Q19" s="91" t="str">
        <f>IF(OR($B19="",N($E19)=0),"",IF(L19=0,"Concluída",IF(P19&lt;=0,"sem ritmo",EDATE(Cfg_Hoje,ROUNDUP(L19/P19,0)))))</f>
        <v/>
      </c>
      <c r="R19" s="13" t="str">
        <f>IF(OR($B19="",N($E19)=0),"",IF(L19=0,"Concluída",IF(AND(ISNUMBER($H19),Cfg_Hoje&gt;$H19),"Atrasada",IF(NOT(ISNUMBER($H19)),IF(P19&gt;0,"No prazo","Atenção"),IF(P19&gt;=O19,"No prazo",IF(P19&gt;=0.7*O19,"Atenção","Atrasada"))))))</f>
        <v/>
      </c>
      <c r="S19" s="13" t="str">
        <f>IF($B19="","",REPT("█",ROUND(M19*20,0))&amp;REPT("░",20-ROUND(M19*20,0)))</f>
        <v/>
      </c>
    </row>
    <row r="20">
      <c r="B20" s="34" t="n"/>
      <c r="C20" s="34" t="n"/>
      <c r="D20" s="34" t="n"/>
      <c r="E20" s="35" t="n"/>
      <c r="F20" s="35" t="n"/>
      <c r="G20" s="38" t="n"/>
      <c r="H20" s="38" t="n"/>
      <c r="I20" s="34" t="n"/>
      <c r="J20" s="43">
        <f>IF($B20="",0,SUMIFS(L_VParc,L_Meta,$B20,L_Tipo,"Investimento",L_Status,"&lt;&gt;Agendado",L_Status,"&lt;&gt;Pendente",L_Data,"&lt;="&amp;Cfg_Hoje))</f>
        <v>0</v>
      </c>
      <c r="K20" s="43">
        <f>IF($B20="",0,N($F20)+J20)</f>
        <v>0</v>
      </c>
      <c r="L20" s="43">
        <f>IF($B20="",0,MAX(0,N($E20)-K20))</f>
        <v>0</v>
      </c>
      <c r="M20" s="73">
        <f>IF(N($E20)=0,0,MIN(1,K20/$E20))</f>
        <v>0</v>
      </c>
      <c r="N20" s="40">
        <f>IF(OR($B20="",NOT(ISNUMBER($H20))),0,MAX(0,(YEAR($H20)-YEAR(Cfg_Hoje))*12+MONTH($H20)-MONTH(Cfg_Hoje)))</f>
        <v>0</v>
      </c>
      <c r="O20" s="43">
        <f>IF(OR($B20="",L20=0),0,IF(N20&gt;0,L20/N20,L20))</f>
        <v>0</v>
      </c>
      <c r="P20" s="43">
        <f>IF($B20="",0,SUMIFS(L_VParc,L_Meta,$B20,L_Tipo,"Investimento",L_IIni,"&gt;="&amp;(Cfg_Idx-3),L_IIni,"&lt;="&amp;(Cfg_Idx-1))/3)</f>
        <v>0</v>
      </c>
      <c r="Q20" s="91" t="str">
        <f>IF(OR($B20="",N($E20)=0),"",IF(L20=0,"Concluída",IF(P20&lt;=0,"sem ritmo",EDATE(Cfg_Hoje,ROUNDUP(L20/P20,0)))))</f>
        <v/>
      </c>
      <c r="R20" s="13" t="str">
        <f>IF(OR($B20="",N($E20)=0),"",IF(L20=0,"Concluída",IF(AND(ISNUMBER($H20),Cfg_Hoje&gt;$H20),"Atrasada",IF(NOT(ISNUMBER($H20)),IF(P20&gt;0,"No prazo","Atenção"),IF(P20&gt;=O20,"No prazo",IF(P20&gt;=0.7*O20,"Atenção","Atrasada"))))))</f>
        <v/>
      </c>
      <c r="S20" s="13" t="str">
        <f>IF($B20="","",REPT("█",ROUND(M20*20,0))&amp;REPT("░",20-ROUND(M20*20,0)))</f>
        <v/>
      </c>
    </row>
    <row r="21">
      <c r="B21" s="34" t="n"/>
      <c r="C21" s="34" t="n"/>
      <c r="D21" s="34" t="n"/>
      <c r="E21" s="35" t="n"/>
      <c r="F21" s="35" t="n"/>
      <c r="G21" s="38" t="n"/>
      <c r="H21" s="38" t="n"/>
      <c r="I21" s="34" t="n"/>
      <c r="J21" s="43">
        <f>IF($B21="",0,SUMIFS(L_VParc,L_Meta,$B21,L_Tipo,"Investimento",L_Status,"&lt;&gt;Agendado",L_Status,"&lt;&gt;Pendente",L_Data,"&lt;="&amp;Cfg_Hoje))</f>
        <v>0</v>
      </c>
      <c r="K21" s="43">
        <f>IF($B21="",0,N($F21)+J21)</f>
        <v>0</v>
      </c>
      <c r="L21" s="43">
        <f>IF($B21="",0,MAX(0,N($E21)-K21))</f>
        <v>0</v>
      </c>
      <c r="M21" s="73">
        <f>IF(N($E21)=0,0,MIN(1,K21/$E21))</f>
        <v>0</v>
      </c>
      <c r="N21" s="40">
        <f>IF(OR($B21="",NOT(ISNUMBER($H21))),0,MAX(0,(YEAR($H21)-YEAR(Cfg_Hoje))*12+MONTH($H21)-MONTH(Cfg_Hoje)))</f>
        <v>0</v>
      </c>
      <c r="O21" s="43">
        <f>IF(OR($B21="",L21=0),0,IF(N21&gt;0,L21/N21,L21))</f>
        <v>0</v>
      </c>
      <c r="P21" s="43">
        <f>IF($B21="",0,SUMIFS(L_VParc,L_Meta,$B21,L_Tipo,"Investimento",L_IIni,"&gt;="&amp;(Cfg_Idx-3),L_IIni,"&lt;="&amp;(Cfg_Idx-1))/3)</f>
        <v>0</v>
      </c>
      <c r="Q21" s="91" t="str">
        <f>IF(OR($B21="",N($E21)=0),"",IF(L21=0,"Concluída",IF(P21&lt;=0,"sem ritmo",EDATE(Cfg_Hoje,ROUNDUP(L21/P21,0)))))</f>
        <v/>
      </c>
      <c r="R21" s="13" t="str">
        <f>IF(OR($B21="",N($E21)=0),"",IF(L21=0,"Concluída",IF(AND(ISNUMBER($H21),Cfg_Hoje&gt;$H21),"Atrasada",IF(NOT(ISNUMBER($H21)),IF(P21&gt;0,"No prazo","Atenção"),IF(P21&gt;=O21,"No prazo",IF(P21&gt;=0.7*O21,"Atenção","Atrasada"))))))</f>
        <v/>
      </c>
      <c r="S21" s="13" t="str">
        <f>IF($B21="","",REPT("█",ROUND(M21*20,0))&amp;REPT("░",20-ROUND(M21*20,0)))</f>
        <v/>
      </c>
    </row>
    <row r="22">
      <c r="B22" s="34" t="n"/>
      <c r="C22" s="34" t="n"/>
      <c r="D22" s="34" t="n"/>
      <c r="E22" s="35" t="n"/>
      <c r="F22" s="35" t="n"/>
      <c r="G22" s="38" t="n"/>
      <c r="H22" s="38" t="n"/>
      <c r="I22" s="34" t="n"/>
      <c r="J22" s="43">
        <f>IF($B22="",0,SUMIFS(L_VParc,L_Meta,$B22,L_Tipo,"Investimento",L_Status,"&lt;&gt;Agendado",L_Status,"&lt;&gt;Pendente",L_Data,"&lt;="&amp;Cfg_Hoje))</f>
        <v>0</v>
      </c>
      <c r="K22" s="43">
        <f>IF($B22="",0,N($F22)+J22)</f>
        <v>0</v>
      </c>
      <c r="L22" s="43">
        <f>IF($B22="",0,MAX(0,N($E22)-K22))</f>
        <v>0</v>
      </c>
      <c r="M22" s="73">
        <f>IF(N($E22)=0,0,MIN(1,K22/$E22))</f>
        <v>0</v>
      </c>
      <c r="N22" s="40">
        <f>IF(OR($B22="",NOT(ISNUMBER($H22))),0,MAX(0,(YEAR($H22)-YEAR(Cfg_Hoje))*12+MONTH($H22)-MONTH(Cfg_Hoje)))</f>
        <v>0</v>
      </c>
      <c r="O22" s="43">
        <f>IF(OR($B22="",L22=0),0,IF(N22&gt;0,L22/N22,L22))</f>
        <v>0</v>
      </c>
      <c r="P22" s="43">
        <f>IF($B22="",0,SUMIFS(L_VParc,L_Meta,$B22,L_Tipo,"Investimento",L_IIni,"&gt;="&amp;(Cfg_Idx-3),L_IIni,"&lt;="&amp;(Cfg_Idx-1))/3)</f>
        <v>0</v>
      </c>
      <c r="Q22" s="91" t="str">
        <f>IF(OR($B22="",N($E22)=0),"",IF(L22=0,"Concluída",IF(P22&lt;=0,"sem ritmo",EDATE(Cfg_Hoje,ROUNDUP(L22/P22,0)))))</f>
        <v/>
      </c>
      <c r="R22" s="13" t="str">
        <f>IF(OR($B22="",N($E22)=0),"",IF(L22=0,"Concluída",IF(AND(ISNUMBER($H22),Cfg_Hoje&gt;$H22),"Atrasada",IF(NOT(ISNUMBER($H22)),IF(P22&gt;0,"No prazo","Atenção"),IF(P22&gt;=O22,"No prazo",IF(P22&gt;=0.7*O22,"Atenção","Atrasada"))))))</f>
        <v/>
      </c>
      <c r="S22" s="13" t="str">
        <f>IF($B22="","",REPT("█",ROUND(M22*20,0))&amp;REPT("░",20-ROUND(M22*20,0)))</f>
        <v/>
      </c>
    </row>
    <row r="23">
      <c r="B23" s="34" t="n"/>
      <c r="C23" s="34" t="n"/>
      <c r="D23" s="34" t="n"/>
      <c r="E23" s="35" t="n"/>
      <c r="F23" s="35" t="n"/>
      <c r="G23" s="38" t="n"/>
      <c r="H23" s="38" t="n"/>
      <c r="I23" s="34" t="n"/>
      <c r="J23" s="43">
        <f>IF($B23="",0,SUMIFS(L_VParc,L_Meta,$B23,L_Tipo,"Investimento",L_Status,"&lt;&gt;Agendado",L_Status,"&lt;&gt;Pendente",L_Data,"&lt;="&amp;Cfg_Hoje))</f>
        <v>0</v>
      </c>
      <c r="K23" s="43">
        <f>IF($B23="",0,N($F23)+J23)</f>
        <v>0</v>
      </c>
      <c r="L23" s="43">
        <f>IF($B23="",0,MAX(0,N($E23)-K23))</f>
        <v>0</v>
      </c>
      <c r="M23" s="73">
        <f>IF(N($E23)=0,0,MIN(1,K23/$E23))</f>
        <v>0</v>
      </c>
      <c r="N23" s="40">
        <f>IF(OR($B23="",NOT(ISNUMBER($H23))),0,MAX(0,(YEAR($H23)-YEAR(Cfg_Hoje))*12+MONTH($H23)-MONTH(Cfg_Hoje)))</f>
        <v>0</v>
      </c>
      <c r="O23" s="43">
        <f>IF(OR($B23="",L23=0),0,IF(N23&gt;0,L23/N23,L23))</f>
        <v>0</v>
      </c>
      <c r="P23" s="43">
        <f>IF($B23="",0,SUMIFS(L_VParc,L_Meta,$B23,L_Tipo,"Investimento",L_IIni,"&gt;="&amp;(Cfg_Idx-3),L_IIni,"&lt;="&amp;(Cfg_Idx-1))/3)</f>
        <v>0</v>
      </c>
      <c r="Q23" s="91" t="str">
        <f>IF(OR($B23="",N($E23)=0),"",IF(L23=0,"Concluída",IF(P23&lt;=0,"sem ritmo",EDATE(Cfg_Hoje,ROUNDUP(L23/P23,0)))))</f>
        <v/>
      </c>
      <c r="R23" s="13" t="str">
        <f>IF(OR($B23="",N($E23)=0),"",IF(L23=0,"Concluída",IF(AND(ISNUMBER($H23),Cfg_Hoje&gt;$H23),"Atrasada",IF(NOT(ISNUMBER($H23)),IF(P23&gt;0,"No prazo","Atenção"),IF(P23&gt;=O23,"No prazo",IF(P23&gt;=0.7*O23,"Atenção","Atrasada"))))))</f>
        <v/>
      </c>
      <c r="S23" s="13" t="str">
        <f>IF($B23="","",REPT("█",ROUND(M23*20,0))&amp;REPT("░",20-ROUND(M23*20,0)))</f>
        <v/>
      </c>
    </row>
    <row r="25">
      <c r="B25" s="6" t="inlineStr">
        <is>
          <t>2. O que cada meta está dizendo</t>
        </is>
      </c>
    </row>
    <row r="26" ht="32" customHeight="1">
      <c r="B26" s="10" t="str">
        <f>IF($B9="","",IF(L9=0,"🎉 "&amp;$B9&amp;": meta concluída! Você guardou R$ "&amp;FIXED(K9,0)&amp;".",$B9&amp;": faltam R$ "&amp;FIXED(L9,0)&amp;". "&amp;IF(P9&lt;=0,"Sem aportes nos últimos 3 meses. ","Guardando R$ "&amp;FIXED(P9,0)&amp;"/mês você chega em "&amp;RIGHT("0"&amp;MONTH(Q9),2)&amp;"/"&amp;YEAR(Q9)&amp;IF(NOT(ISNUMBER(H9)),". ",IF(((YEAR(Q9)-YEAR(H9))*12+MONTH(Q9)-MONTH(H9))&gt;0,", "&amp;((YEAR(Q9)-YEAR(H9))*12+MONTH(Q9)-MONTH(H9))&amp;" mes(es) depois do prazo. ",IF(((YEAR(Q9)-YEAR(H9))*12+MONTH(Q9)-MONTH(H9))&lt;0,", "&amp;-((YEAR(Q9)-YEAR(H9))*12+MONTH(Q9)-MONTH(H9))&amp;" mes(es) antes do prazo. ",", no prazo. "))))&amp;"Para cumprir o prazo, guarde R$ "&amp;FIXED(O9,0)&amp;"/mês."))</f>
        <v>Reserva de emergência: faltam R$ 10,900. Guardando R$ 700/mês você chega em 02/2028, 2 mes(es) depois do prazo. Para cumprir o prazo, guarde R$ 779/mês.</v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5" t="n"/>
      <c r="M26" s="72" t="str">
        <f>IF($B9="","",R9)</f>
        <v>Atenção</v>
      </c>
    </row>
    <row r="27" ht="32" customHeight="1">
      <c r="B27" s="10" t="str">
        <f>IF($B10="","",IF(L10=0,"🎉 "&amp;$B10&amp;": meta concluída! Você guardou R$ "&amp;FIXED(K10,0)&amp;".",$B10&amp;": faltam R$ "&amp;FIXED(L10,0)&amp;". "&amp;IF(P10&lt;=0,"Sem aportes nos últimos 3 meses. ","Guardando R$ "&amp;FIXED(P10,0)&amp;"/mês você chega em "&amp;RIGHT("0"&amp;MONTH(Q10),2)&amp;"/"&amp;YEAR(Q10)&amp;IF(NOT(ISNUMBER(H10)),". ",IF(((YEAR(Q10)-YEAR(H10))*12+MONTH(Q10)-MONTH(H10))&gt;0,", "&amp;((YEAR(Q10)-YEAR(H10))*12+MONTH(Q10)-MONTH(H10))&amp;" mes(es) depois do prazo. ",IF(((YEAR(Q10)-YEAR(H10))*12+MONTH(Q10)-MONTH(H10))&lt;0,", "&amp;-((YEAR(Q10)-YEAR(H10))*12+MONTH(Q10)-MONTH(H10))&amp;" mes(es) antes do prazo. ",", no prazo. "))))&amp;"Para cumprir o prazo, guarde R$ "&amp;FIXED(O10,0)&amp;"/mês."))</f>
        <v>Viagem Europa: faltam R$ 11,100. Guardando R$ 300/mês você chega em 11/2029, 28 mes(es) depois do prazo. Para cumprir o prazo, guarde R$ 1,233/mês.</v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  <c r="M27" s="72" t="str">
        <f>IF($B10="","",R10)</f>
        <v>Atrasada</v>
      </c>
    </row>
    <row r="28" ht="32" customHeight="1">
      <c r="B28" s="10" t="str">
        <f>IF($B11="","",IF(L11=0,"🎉 "&amp;$B11&amp;": meta concluída! Você guardou R$ "&amp;FIXED(K11,0)&amp;".",$B11&amp;": faltam R$ "&amp;FIXED(L11,0)&amp;". "&amp;IF(P11&lt;=0,"Sem aportes nos últimos 3 meses. ","Guardando R$ "&amp;FIXED(P11,0)&amp;"/mês você chega em "&amp;RIGHT("0"&amp;MONTH(Q11),2)&amp;"/"&amp;YEAR(Q11)&amp;IF(NOT(ISNUMBER(H11)),". ",IF(((YEAR(Q11)-YEAR(H11))*12+MONTH(Q11)-MONTH(H11))&gt;0,", "&amp;((YEAR(Q11)-YEAR(H11))*12+MONTH(Q11)-MONTH(H11))&amp;" mes(es) depois do prazo. ",IF(((YEAR(Q11)-YEAR(H11))*12+MONTH(Q11)-MONTH(H11))&lt;0,", "&amp;-((YEAR(Q11)-YEAR(H11))*12+MONTH(Q11)-MONTH(H11))&amp;" mes(es) antes do prazo. ",", no prazo. "))))&amp;"Para cumprir o prazo, guarde R$ "&amp;FIXED(O11,0)&amp;"/mês."))</f>
        <v>Troca de carro: faltam R$ 6,400. Guardando R$ 200/mês você chega em 06/2029, 6 mes(es) depois do prazo. Para cumprir o prazo, guarde R$ 246/mês.</v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5" t="n"/>
      <c r="M28" s="72" t="str">
        <f>IF($B11="","",R11)</f>
        <v>Atenção</v>
      </c>
    </row>
    <row r="29" ht="32" customHeight="1">
      <c r="B29" s="10" t="str">
        <f>IF($B12="","",IF(L12=0,"🎉 "&amp;$B12&amp;": meta concluída! Você guardou R$ "&amp;FIXED(K12,0)&amp;".",$B12&amp;": faltam R$ "&amp;FIXED(L12,0)&amp;". "&amp;IF(P12&lt;=0,"Sem aportes nos últimos 3 meses. ","Guardando R$ "&amp;FIXED(P12,0)&amp;"/mês você chega em "&amp;RIGHT("0"&amp;MONTH(Q12),2)&amp;"/"&amp;YEAR(Q12)&amp;IF(NOT(ISNUMBER(H12)),". ",IF(((YEAR(Q12)-YEAR(H12))*12+MONTH(Q12)-MONTH(H12))&gt;0,", "&amp;((YEAR(Q12)-YEAR(H12))*12+MONTH(Q12)-MONTH(H12))&amp;" mes(es) depois do prazo. ",IF(((YEAR(Q12)-YEAR(H12))*12+MONTH(Q12)-MONTH(H12))&lt;0,", "&amp;-((YEAR(Q12)-YEAR(H12))*12+MONTH(Q12)-MONTH(H12))&amp;" mes(es) antes do prazo. ",", no prazo. "))))&amp;"Para cumprir o prazo, guarde R$ "&amp;FIXED(O12,0)&amp;"/mês."))</f>
        <v>Entrada do apartamento: faltam R$ 36,500. Guardando R$ 250/mês você chega em 12/2038, 84 mes(es) depois do prazo. Para cumprir o prazo, guarde R$ 589/mês.</v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5" t="n"/>
      <c r="M29" s="72" t="str">
        <f>IF($B12="","",R12)</f>
        <v>Atrasada</v>
      </c>
    </row>
    <row r="30" ht="32" customHeight="1">
      <c r="B30" s="10" t="str">
        <f>IF($B13="","",IF(L13=0,"🎉 "&amp;$B13&amp;": meta concluída! Você guardou R$ "&amp;FIXED(K13,0)&amp;".",$B13&amp;": faltam R$ "&amp;FIXED(L13,0)&amp;". "&amp;IF(P13&lt;=0,"Sem aportes nos últimos 3 meses. ","Guardando R$ "&amp;FIXED(P13,0)&amp;"/mês você chega em "&amp;RIGHT("0"&amp;MONTH(Q13),2)&amp;"/"&amp;YEAR(Q13)&amp;IF(NOT(ISNUMBER(H13)),". ",IF(((YEAR(Q13)-YEAR(H13))*12+MONTH(Q13)-MONTH(H13))&gt;0,", "&amp;((YEAR(Q13)-YEAR(H13))*12+MONTH(Q13)-MONTH(H13))&amp;" mes(es) depois do prazo. ",IF(((YEAR(Q13)-YEAR(H13))*12+MONTH(Q13)-MONTH(H13))&lt;0,", "&amp;-((YEAR(Q13)-YEAR(H13))*12+MONTH(Q13)-MONTH(H13))&amp;" mes(es) antes do prazo. ",", no prazo. "))))&amp;"Para cumprir o prazo, guarde R$ "&amp;FIXED(O13,0)&amp;"/mês."))</f>
        <v>Quitar empréstimo pessoal: faltam R$ 2,200. Guardando R$ 150/mês você chega em 01/2028, 4 mes(es) depois do prazo. Para cumprir o prazo, guarde R$ 200/mês.</v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5" t="n"/>
      <c r="M30" s="72" t="str">
        <f>IF($B13="","",R13)</f>
        <v>Atenção</v>
      </c>
    </row>
    <row r="31" ht="32" customHeight="1">
      <c r="B31" s="10" t="str">
        <f>IF($B14="","",IF(L14=0,"🎉 "&amp;$B14&amp;": meta concluída! Você guardou R$ "&amp;FIXED(K14,0)&amp;".",$B14&amp;": faltam R$ "&amp;FIXED(L14,0)&amp;". "&amp;IF(P14&lt;=0,"Sem aportes nos últimos 3 meses. ","Guardando R$ "&amp;FIXED(P14,0)&amp;"/mês você chega em "&amp;RIGHT("0"&amp;MONTH(Q14),2)&amp;"/"&amp;YEAR(Q14)&amp;IF(NOT(ISNUMBER(H14)),". ",IF(((YEAR(Q14)-YEAR(H14))*12+MONTH(Q14)-MONTH(H14))&gt;0,", "&amp;((YEAR(Q14)-YEAR(H14))*12+MONTH(Q14)-MONTH(H14))&amp;" mes(es) depois do prazo. ",IF(((YEAR(Q14)-YEAR(H14))*12+MONTH(Q14)-MONTH(H14))&lt;0,", "&amp;-((YEAR(Q14)-YEAR(H14))*12+MONTH(Q14)-MONTH(H14))&amp;" mes(es) antes do prazo. ",", no prazo. "))))&amp;"Para cumprir o prazo, guarde R$ "&amp;FIXED(O14,0)&amp;"/mês."))</f>
        <v>MBA: faltam R$ 1,150. Guardando R$ 150/mês você chega em 06/2027, no prazo. Para cumprir o prazo, guarde R$ 144/mês.</v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5" t="n"/>
      <c r="M31" s="72" t="str">
        <f>IF($B14="","",R14)</f>
        <v>No prazo</v>
      </c>
    </row>
    <row r="32" ht="32" customHeight="1">
      <c r="B32" s="10" t="str">
        <f>IF($B15="","",IF(L15=0,"🎉 "&amp;$B15&amp;": meta concluída! Você guardou R$ "&amp;FIXED(K15,0)&amp;".",$B15&amp;": faltam R$ "&amp;FIXED(L15,0)&amp;". "&amp;IF(P15&lt;=0,"Sem aportes nos últimos 3 meses. ","Guardando R$ "&amp;FIXED(P15,0)&amp;"/mês você chega em "&amp;RIGHT("0"&amp;MONTH(Q15),2)&amp;"/"&amp;YEAR(Q15)&amp;IF(NOT(ISNUMBER(H15)),". ",IF(((YEAR(Q15)-YEAR(H15))*12+MONTH(Q15)-MONTH(H15))&gt;0,", "&amp;((YEAR(Q15)-YEAR(H15))*12+MONTH(Q15)-MONTH(H15))&amp;" mes(es) depois do prazo. ",IF(((YEAR(Q15)-YEAR(H15))*12+MONTH(Q15)-MONTH(H15))&lt;0,", "&amp;-((YEAR(Q15)-YEAR(H15))*12+MONTH(Q15)-MONTH(H15))&amp;" mes(es) antes do prazo. ",", no prazo. "))))&amp;"Para cumprir o prazo, guarde R$ "&amp;FIXED(O15,0)&amp;"/mês."))</f>
        <v>Aposentadoria: faltam R$ 66,100. Guardando R$ 300/mês você chega em 03/2045, 21 mes(es) antes do prazo. Para cumprir o prazo, guarde R$ 273/mês.</v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5" t="n"/>
      <c r="M32" s="72" t="str">
        <f>IF($B15="","",R15)</f>
        <v>No prazo</v>
      </c>
    </row>
    <row r="33" ht="32" customHeight="1">
      <c r="B33" s="10" t="str">
        <f>IF($B16="","",IF(L16=0,"🎉 "&amp;$B16&amp;": meta concluída! Você guardou R$ "&amp;FIXED(K16,0)&amp;".",$B16&amp;": faltam R$ "&amp;FIXED(L16,0)&amp;". "&amp;IF(P16&lt;=0,"Sem aportes nos últimos 3 meses. ","Guardando R$ "&amp;FIXED(P16,0)&amp;"/mês você chega em "&amp;RIGHT("0"&amp;MONTH(Q16),2)&amp;"/"&amp;YEAR(Q16)&amp;IF(NOT(ISNUMBER(H16)),". ",IF(((YEAR(Q16)-YEAR(H16))*12+MONTH(Q16)-MONTH(H16))&gt;0,", "&amp;((YEAR(Q16)-YEAR(H16))*12+MONTH(Q16)-MONTH(H16))&amp;" mes(es) depois do prazo. ",IF(((YEAR(Q16)-YEAR(H16))*12+MONTH(Q16)-MONTH(H16))&lt;0,", "&amp;-((YEAR(Q16)-YEAR(H16))*12+MONTH(Q16)-MONTH(H16))&amp;" mes(es) antes do prazo. ",", no prazo. "))))&amp;"Para cumprir o prazo, guarde R$ "&amp;FIXED(O16,0)&amp;"/mês."))</f>
        <v>🎉 Notebook novo: meta concluída! Você guardou R$ 6,000.</v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  <c r="M33" s="72" t="str">
        <f>IF($B16="","",R16)</f>
        <v>Concluída</v>
      </c>
    </row>
    <row r="34" ht="32" customHeight="1">
      <c r="B34" s="10" t="str">
        <f>IF($B17="","",IF(L17=0,"🎉 "&amp;$B17&amp;": meta concluída! Você guardou R$ "&amp;FIXED(K17,0)&amp;".",$B17&amp;": faltam R$ "&amp;FIXED(L17,0)&amp;". "&amp;IF(P17&lt;=0,"Sem aportes nos últimos 3 meses. ","Guardando R$ "&amp;FIXED(P17,0)&amp;"/mês você chega em "&amp;RIGHT("0"&amp;MONTH(Q17),2)&amp;"/"&amp;YEAR(Q17)&amp;IF(NOT(ISNUMBER(H17)),". ",IF(((YEAR(Q17)-YEAR(H17))*12+MONTH(Q17)-MONTH(H17))&gt;0,", "&amp;((YEAR(Q17)-YEAR(H17))*12+MONTH(Q17)-MONTH(H17))&amp;" mes(es) depois do prazo. ",IF(((YEAR(Q17)-YEAR(H17))*12+MONTH(Q17)-MONTH(H17))&lt;0,", "&amp;-((YEAR(Q17)-YEAR(H17))*12+MONTH(Q17)-MONTH(H17))&amp;" mes(es) antes do prazo. ",", no prazo. "))))&amp;"Para cumprir o prazo, guarde R$ "&amp;FIXED(O17,0)&amp;"/mês."))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  <c r="M34" s="72" t="str">
        <f>IF($B17="","",R17)</f>
        <v/>
      </c>
    </row>
    <row r="35" ht="32" customHeight="1">
      <c r="B35" s="10" t="str">
        <f>IF($B18="","",IF(L18=0,"🎉 "&amp;$B18&amp;": meta concluída! Você guardou R$ "&amp;FIXED(K18,0)&amp;".",$B18&amp;": faltam R$ "&amp;FIXED(L18,0)&amp;". "&amp;IF(P18&lt;=0,"Sem aportes nos últimos 3 meses. ","Guardando R$ "&amp;FIXED(P18,0)&amp;"/mês você chega em "&amp;RIGHT("0"&amp;MONTH(Q18),2)&amp;"/"&amp;YEAR(Q18)&amp;IF(NOT(ISNUMBER(H18)),". ",IF(((YEAR(Q18)-YEAR(H18))*12+MONTH(Q18)-MONTH(H18))&gt;0,", "&amp;((YEAR(Q18)-YEAR(H18))*12+MONTH(Q18)-MONTH(H18))&amp;" mes(es) depois do prazo. ",IF(((YEAR(Q18)-YEAR(H18))*12+MONTH(Q18)-MONTH(H18))&lt;0,", "&amp;-((YEAR(Q18)-YEAR(H18))*12+MONTH(Q18)-MONTH(H18))&amp;" mes(es) antes do prazo. ",", no prazo. "))))&amp;"Para cumprir o prazo, guarde R$ "&amp;FIXED(O18,0)&amp;"/mês."))</f>
        <v/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5" t="n"/>
      <c r="M35" s="72" t="str">
        <f>IF($B18="","",R18)</f>
        <v/>
      </c>
    </row>
    <row r="36" ht="32" customHeight="1">
      <c r="B36" s="10" t="str">
        <f>IF($B19="","",IF(L19=0,"🎉 "&amp;$B19&amp;": meta concluída! Você guardou R$ "&amp;FIXED(K19,0)&amp;".",$B19&amp;": faltam R$ "&amp;FIXED(L19,0)&amp;". "&amp;IF(P19&lt;=0,"Sem aportes nos últimos 3 meses. ","Guardando R$ "&amp;FIXED(P19,0)&amp;"/mês você chega em "&amp;RIGHT("0"&amp;MONTH(Q19),2)&amp;"/"&amp;YEAR(Q19)&amp;IF(NOT(ISNUMBER(H19)),". ",IF(((YEAR(Q19)-YEAR(H19))*12+MONTH(Q19)-MONTH(H19))&gt;0,", "&amp;((YEAR(Q19)-YEAR(H19))*12+MONTH(Q19)-MONTH(H19))&amp;" mes(es) depois do prazo. ",IF(((YEAR(Q19)-YEAR(H19))*12+MONTH(Q19)-MONTH(H19))&lt;0,", "&amp;-((YEAR(Q19)-YEAR(H19))*12+MONTH(Q19)-MONTH(H19))&amp;" mes(es) antes do prazo. ",", no prazo. "))))&amp;"Para cumprir o prazo, guarde R$ "&amp;FIXED(O19,0)&amp;"/mês."))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5" t="n"/>
      <c r="M36" s="72" t="str">
        <f>IF($B19="","",R19)</f>
        <v/>
      </c>
    </row>
    <row r="37" ht="32" customHeight="1">
      <c r="B37" s="10" t="str">
        <f>IF($B20="","",IF(L20=0,"🎉 "&amp;$B20&amp;": meta concluída! Você guardou R$ "&amp;FIXED(K20,0)&amp;".",$B20&amp;": faltam R$ "&amp;FIXED(L20,0)&amp;". "&amp;IF(P20&lt;=0,"Sem aportes nos últimos 3 meses. ","Guardando R$ "&amp;FIXED(P20,0)&amp;"/mês você chega em "&amp;RIGHT("0"&amp;MONTH(Q20),2)&amp;"/"&amp;YEAR(Q20)&amp;IF(NOT(ISNUMBER(H20)),". ",IF(((YEAR(Q20)-YEAR(H20))*12+MONTH(Q20)-MONTH(H20))&gt;0,", "&amp;((YEAR(Q20)-YEAR(H20))*12+MONTH(Q20)-MONTH(H20))&amp;" mes(es) depois do prazo. ",IF(((YEAR(Q20)-YEAR(H20))*12+MONTH(Q20)-MONTH(H20))&lt;0,", "&amp;-((YEAR(Q20)-YEAR(H20))*12+MONTH(Q20)-MONTH(H20))&amp;" mes(es) antes do prazo. ",", no prazo. "))))&amp;"Para cumprir o prazo, guarde R$ "&amp;FIXED(O20,0)&amp;"/mês."))</f>
        <v/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5" t="n"/>
      <c r="M37" s="72" t="str">
        <f>IF($B20="","",R20)</f>
        <v/>
      </c>
    </row>
    <row r="38" ht="32" customHeight="1">
      <c r="B38" s="10" t="str">
        <f>IF($B21="","",IF(L21=0,"🎉 "&amp;$B21&amp;": meta concluída! Você guardou R$ "&amp;FIXED(K21,0)&amp;".",$B21&amp;": faltam R$ "&amp;FIXED(L21,0)&amp;". "&amp;IF(P21&lt;=0,"Sem aportes nos últimos 3 meses. ","Guardando R$ "&amp;FIXED(P21,0)&amp;"/mês você chega em "&amp;RIGHT("0"&amp;MONTH(Q21),2)&amp;"/"&amp;YEAR(Q21)&amp;IF(NOT(ISNUMBER(H21)),". ",IF(((YEAR(Q21)-YEAR(H21))*12+MONTH(Q21)-MONTH(H21))&gt;0,", "&amp;((YEAR(Q21)-YEAR(H21))*12+MONTH(Q21)-MONTH(H21))&amp;" mes(es) depois do prazo. ",IF(((YEAR(Q21)-YEAR(H21))*12+MONTH(Q21)-MONTH(H21))&lt;0,", "&amp;-((YEAR(Q21)-YEAR(H21))*12+MONTH(Q21)-MONTH(H21))&amp;" mes(es) antes do prazo. ",", no prazo. "))))&amp;"Para cumprir o prazo, guarde R$ "&amp;FIXED(O21,0)&amp;"/mês."))</f>
        <v/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5" t="n"/>
      <c r="M38" s="72" t="str">
        <f>IF($B21="","",R21)</f>
        <v/>
      </c>
    </row>
    <row r="39" ht="32" customHeight="1">
      <c r="B39" s="10" t="str">
        <f>IF($B22="","",IF(L22=0,"🎉 "&amp;$B22&amp;": meta concluída! Você guardou R$ "&amp;FIXED(K22,0)&amp;".",$B22&amp;": faltam R$ "&amp;FIXED(L22,0)&amp;". "&amp;IF(P22&lt;=0,"Sem aportes nos últimos 3 meses. ","Guardando R$ "&amp;FIXED(P22,0)&amp;"/mês você chega em "&amp;RIGHT("0"&amp;MONTH(Q22),2)&amp;"/"&amp;YEAR(Q22)&amp;IF(NOT(ISNUMBER(H22)),". ",IF(((YEAR(Q22)-YEAR(H22))*12+MONTH(Q22)-MONTH(H22))&gt;0,", "&amp;((YEAR(Q22)-YEAR(H22))*12+MONTH(Q22)-MONTH(H22))&amp;" mes(es) depois do prazo. ",IF(((YEAR(Q22)-YEAR(H22))*12+MONTH(Q22)-MONTH(H22))&lt;0,", "&amp;-((YEAR(Q22)-YEAR(H22))*12+MONTH(Q22)-MONTH(H22))&amp;" mes(es) antes do prazo. ",", no prazo. "))))&amp;"Para cumprir o prazo, guarde R$ "&amp;FIXED(O22,0)&amp;"/mês."))</f>
        <v/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5" t="n"/>
      <c r="M39" s="72" t="str">
        <f>IF($B22="","",R22)</f>
        <v/>
      </c>
    </row>
    <row r="40" ht="32" customHeight="1">
      <c r="B40" s="10" t="str">
        <f>IF($B23="","",IF(L23=0,"🎉 "&amp;$B23&amp;": meta concluída! Você guardou R$ "&amp;FIXED(K23,0)&amp;".",$B23&amp;": faltam R$ "&amp;FIXED(L23,0)&amp;". "&amp;IF(P23&lt;=0,"Sem aportes nos últimos 3 meses. ","Guardando R$ "&amp;FIXED(P23,0)&amp;"/mês você chega em "&amp;RIGHT("0"&amp;MONTH(Q23),2)&amp;"/"&amp;YEAR(Q23)&amp;IF(NOT(ISNUMBER(H23)),". ",IF(((YEAR(Q23)-YEAR(H23))*12+MONTH(Q23)-MONTH(H23))&gt;0,", "&amp;((YEAR(Q23)-YEAR(H23))*12+MONTH(Q23)-MONTH(H23))&amp;" mes(es) depois do prazo. ",IF(((YEAR(Q23)-YEAR(H23))*12+MONTH(Q23)-MONTH(H23))&lt;0,", "&amp;-((YEAR(Q23)-YEAR(H23))*12+MONTH(Q23)-MONTH(H23))&amp;" mes(es) antes do prazo. ",", no prazo. "))))&amp;"Para cumprir o prazo, guarde R$ "&amp;FIXED(O23,0)&amp;"/mês."))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  <c r="M40" s="72" t="str">
        <f>IF($B23="","",R23)</f>
        <v/>
      </c>
    </row>
    <row r="42">
      <c r="B42" s="6" t="inlineStr">
        <is>
          <t>3. Planejador reverso: "Quero ter R$ X até a data Y"</t>
        </is>
      </c>
    </row>
    <row r="43">
      <c r="B43" s="17" t="inlineStr">
        <is>
          <t>Quero ter (R$)</t>
        </is>
      </c>
      <c r="C43" s="35" t="n">
        <v>30000</v>
      </c>
    </row>
    <row r="44">
      <c r="B44" s="17" t="inlineStr">
        <is>
          <t>Até a data</t>
        </is>
      </c>
      <c r="C44" s="38" t="n">
        <v>46568</v>
      </c>
    </row>
    <row r="45">
      <c r="B45" s="17" t="inlineStr">
        <is>
          <t>Já tenho para isso (R$)</t>
        </is>
      </c>
      <c r="C45" s="35" t="n">
        <v>5000</v>
      </c>
    </row>
    <row r="46">
      <c r="B46" s="17" t="inlineStr">
        <is>
          <t>Rendimento mensal esperado</t>
        </is>
      </c>
      <c r="C46" s="94">
        <f>(1+Cfg_CDI)^(1/12)-1</f>
        <v>0.0107939110821322</v>
      </c>
      <c r="D46" s="28" t="inlineStr">
        <is>
          <t>← sugestão: CDI de CONFIGURAÇÕES (pode digitar outra taxa)</t>
        </is>
      </c>
    </row>
    <row r="48">
      <c r="B48" s="17" t="inlineStr">
        <is>
          <t>Meses até a data</t>
        </is>
      </c>
      <c r="C48" s="100">
        <f>IF(ISNUMBER(Pl_Data),MAX(1,(YEAR(Pl_Data)-YEAR(Cfg_Hoje))*12+MONTH(Pl_Data)-MONTH(Cfg_Hoje)),0)</f>
        <v>8</v>
      </c>
    </row>
    <row r="49">
      <c r="B49" s="17" t="inlineStr">
        <is>
          <t>Guardar por mês SEM rendimento</t>
        </is>
      </c>
      <c r="C49" s="101">
        <f>IF(Pl_N=0,0,MAX(0,N(Pl_X)-N(Pl_PV))/Pl_N)</f>
        <v>3125</v>
      </c>
    </row>
    <row r="50">
      <c r="B50" s="17" t="inlineStr">
        <is>
          <t>Guardar por mês COM rendimento</t>
        </is>
      </c>
      <c r="C50" s="101">
        <f>IF(Pl_N=0,0,MAX(0,-PMT(N(Pl_Taxa),Pl_N,-N(Pl_PV),N(Pl_X))))</f>
        <v>2954.87303014628</v>
      </c>
    </row>
    <row r="51">
      <c r="B51" s="17" t="inlineStr">
        <is>
          <t>Seu saldo livre mensal (renda − despesas médias)</t>
        </is>
      </c>
      <c r="C51" s="102">
        <f>K_SaldoLivre</f>
        <v>1302.48666666667</v>
      </c>
    </row>
    <row r="52">
      <c r="B52" s="17" t="inlineStr">
        <is>
          <t>Cabe no saldo livre?</t>
        </is>
      </c>
      <c r="C52" s="103" t="str">
        <f>IF(Pl_N=0,"Informe valor e data",IF(Pl_ComRend&lt;=Pl_Livre,"✔ Cabe: sobram R$ "&amp;FIXED(Pl_Livre-Pl_ComRend,0)&amp;" por mês","✘ Não cabe: faltam R$ "&amp;FIXED(Pl_ComRend-Pl_Livre,0)&amp;" por mês"))</f>
        <v>✘ Não cabe: faltam R$ 1,652 por mês</v>
      </c>
      <c r="D52" s="24" t="n"/>
      <c r="E52" s="24" t="n"/>
      <c r="F52" s="24" t="n"/>
      <c r="G52" s="25" t="n"/>
    </row>
    <row r="53">
      <c r="B53" s="17" t="inlineStr">
        <is>
          <t>Prazo mínimo viável com seu saldo livre (meses)</t>
        </is>
      </c>
      <c r="C53" s="100">
        <f>IF(OR(Pl_N=0,Pl_Livre&lt;=0),"—",IFERROR(ROUNDUP(NPER(N(Pl_Taxa),-Pl_Livre,-N(Pl_PV),N(Pl_X)),0),"—"))</f>
        <v>17</v>
      </c>
    </row>
    <row r="54">
      <c r="B54" s="17" t="inlineStr">
        <is>
          <t>…ou seja, data mínima viável</t>
        </is>
      </c>
      <c r="C54" s="104">
        <f>IF(ISNUMBER(Pl_Prazo),EDATE(Cfg_Hoje,Pl_Prazo),"—")</f>
        <v>46815.0</v>
      </c>
    </row>
    <row r="55">
      <c r="B55" s="17" t="inlineStr">
        <is>
          <t>O que cortar por mês para cumprir o prazo</t>
        </is>
      </c>
      <c r="C55" s="102">
        <f>IF(Pl_N=0,0,MAX(0,Pl_ComRend-Pl_Livre))</f>
        <v>1652.38636347962</v>
      </c>
    </row>
    <row r="58">
      <c r="B58" s="6" t="inlineStr">
        <is>
          <t>4. Priorização: como distribuir o saldo livre mensal entre as metas</t>
        </is>
      </c>
    </row>
    <row r="59">
      <c r="B59" s="5" t="inlineStr">
        <is>
          <t>Saldo livre mensal disponível:</t>
        </is>
      </c>
      <c r="D59" s="79">
        <f>K_SaldoLivre</f>
        <v>1302.48666666667</v>
      </c>
    </row>
    <row r="60">
      <c r="B60" s="7" t="inlineStr">
        <is>
          <t>Meta</t>
        </is>
      </c>
      <c r="C60" s="7" t="inlineStr">
        <is>
          <t>Prioridade</t>
        </is>
      </c>
      <c r="D60" s="7" t="inlineStr">
        <is>
          <t>Prazo</t>
        </is>
      </c>
      <c r="E60" s="7" t="inlineStr">
        <is>
          <t>Necessário/mês</t>
        </is>
      </c>
      <c r="F60" s="7" t="inlineStr">
        <is>
          <t>Ordem</t>
        </is>
      </c>
      <c r="G60" s="7" t="inlineStr">
        <is>
          <t>Aporte sugerido/mês</t>
        </is>
      </c>
      <c r="H60" s="7" t="inlineStr">
        <is>
          <t>Chave (apoio)</t>
        </is>
      </c>
    </row>
    <row r="61">
      <c r="B61" s="14" t="str">
        <f>IF($B9="","",$B9)</f>
        <v>Reserva de emergência</v>
      </c>
      <c r="C61" s="13" t="str">
        <f>IF($B9="","",$D9)</f>
        <v>Alta</v>
      </c>
      <c r="D61" s="105">
        <f>IF(OR($B9="",NOT(ISNUMBER($H9))),"",$H9)</f>
        <v>46752.0</v>
      </c>
      <c r="E61" s="43">
        <f>IF($B9="",0,O9)</f>
        <v>778.571428571429</v>
      </c>
      <c r="F61" s="69">
        <f>IF(H61="","",COUNTIF($H$61:$H$75,"&lt;"&amp;H61)+1)</f>
        <v>2</v>
      </c>
      <c r="G61" s="43">
        <f>IF(F61="",0,MIN(E61,MAX(0,$D$59-SUMIFS($E$61:$E$75,$F$61:$F$75,"&lt;"&amp;F61))))</f>
        <v>778.571428571429</v>
      </c>
      <c r="H61" s="106">
        <f>IF(OR($B9="",O9=0),"",IF($D9="Alta",1,IF($D9="Média",2,3))*1000000+IF(ISNUMBER($H9),$H9,999999)+ROW()/1000)</f>
        <v>1046752.061</v>
      </c>
      <c r="I61" s="73">
        <f>IF(E61=0,0,G61/E61)</f>
        <v>1</v>
      </c>
    </row>
    <row r="62">
      <c r="B62" s="14" t="str">
        <f>IF($B10="","",$B10)</f>
        <v>Viagem Europa</v>
      </c>
      <c r="C62" s="13" t="str">
        <f>IF($B10="","",$D10)</f>
        <v>Média</v>
      </c>
      <c r="D62" s="105">
        <f>IF(OR($B10="",NOT(ISNUMBER($H10))),"",$H10)</f>
        <v>46599.0</v>
      </c>
      <c r="E62" s="43">
        <f>IF($B10="",0,O10)</f>
        <v>1233.33333333333</v>
      </c>
      <c r="F62" s="69">
        <f>IF(H62="","",COUNTIF($H$61:$H$75,"&lt;"&amp;H62)+1)</f>
        <v>4</v>
      </c>
      <c r="G62" s="43">
        <f>IF(F62="",0,MIN(E62,MAX(0,$D$59-SUMIFS($E$61:$E$75,$F$61:$F$75,"&lt;"&amp;F62))))</f>
        <v>0</v>
      </c>
      <c r="H62" s="106">
        <f>IF(OR($B10="",O10=0),"",IF($D10="Alta",1,IF($D10="Média",2,3))*1000000+IF(ISNUMBER($H10),$H10,999999)+ROW()/1000)</f>
        <v>2046599.062</v>
      </c>
      <c r="I62" s="73">
        <f>IF(E62=0,0,G62/E62)</f>
        <v>0</v>
      </c>
    </row>
    <row r="63">
      <c r="B63" s="14" t="str">
        <f>IF($B11="","",$B11)</f>
        <v>Troca de carro</v>
      </c>
      <c r="C63" s="13" t="str">
        <f>IF($B11="","",$D11)</f>
        <v>Média</v>
      </c>
      <c r="D63" s="105">
        <f>IF(OR($B11="",NOT(ISNUMBER($H11))),"",$H11)</f>
        <v>47118.0</v>
      </c>
      <c r="E63" s="43">
        <f>IF($B11="",0,O11)</f>
        <v>246.153846153846</v>
      </c>
      <c r="F63" s="69">
        <f>IF(H63="","",COUNTIF($H$61:$H$75,"&lt;"&amp;H63)+1)</f>
        <v>5</v>
      </c>
      <c r="G63" s="43">
        <f>IF(F63="",0,MIN(E63,MAX(0,$D$59-SUMIFS($E$61:$E$75,$F$61:$F$75,"&lt;"&amp;F63))))</f>
        <v>0</v>
      </c>
      <c r="H63" s="106">
        <f>IF(OR($B11="",O11=0),"",IF($D11="Alta",1,IF($D11="Média",2,3))*1000000+IF(ISNUMBER($H11),$H11,999999)+ROW()/1000)</f>
        <v>2047118.063</v>
      </c>
      <c r="I63" s="73">
        <f>IF(E63=0,0,G63/E63)</f>
        <v>0</v>
      </c>
    </row>
    <row r="64">
      <c r="B64" s="14" t="str">
        <f>IF($B12="","",$B12)</f>
        <v>Entrada do apartamento</v>
      </c>
      <c r="C64" s="13" t="str">
        <f>IF($B12="","",$D12)</f>
        <v>Alta</v>
      </c>
      <c r="D64" s="105">
        <f>IF(OR($B12="",NOT(ISNUMBER($H12))),"",$H12)</f>
        <v>48213.0</v>
      </c>
      <c r="E64" s="43">
        <f>IF($B12="",0,O12)</f>
        <v>588.709677419355</v>
      </c>
      <c r="F64" s="69">
        <f>IF(H64="","",COUNTIF($H$61:$H$75,"&lt;"&amp;H64)+1)</f>
        <v>3</v>
      </c>
      <c r="G64" s="43">
        <f>IF(F64="",0,MIN(E64,MAX(0,$D$59-SUMIFS($E$61:$E$75,$F$61:$F$75,"&lt;"&amp;F64))))</f>
        <v>323.915238095237</v>
      </c>
      <c r="H64" s="106">
        <f>IF(OR($B12="",O12=0),"",IF($D12="Alta",1,IF($D12="Média",2,3))*1000000+IF(ISNUMBER($H12),$H12,999999)+ROW()/1000)</f>
        <v>1048213.064</v>
      </c>
      <c r="I64" s="73">
        <f>IF(E64=0,0,G64/E64)</f>
        <v>0.550212185257663</v>
      </c>
    </row>
    <row r="65">
      <c r="B65" s="14" t="str">
        <f>IF($B13="","",$B13)</f>
        <v>Quitar empréstimo pessoal</v>
      </c>
      <c r="C65" s="13" t="str">
        <f>IF($B13="","",$D13)</f>
        <v>Alta</v>
      </c>
      <c r="D65" s="105">
        <f>IF(OR($B13="",NOT(ISNUMBER($H13))),"",$H13)</f>
        <v>46660.0</v>
      </c>
      <c r="E65" s="43">
        <f>IF($B13="",0,O13)</f>
        <v>200</v>
      </c>
      <c r="F65" s="69">
        <f>IF(H65="","",COUNTIF($H$61:$H$75,"&lt;"&amp;H65)+1)</f>
        <v>1</v>
      </c>
      <c r="G65" s="43">
        <f>IF(F65="",0,MIN(E65,MAX(0,$D$59-SUMIFS($E$61:$E$75,$F$61:$F$75,"&lt;"&amp;F65))))</f>
        <v>200</v>
      </c>
      <c r="H65" s="106">
        <f>IF(OR($B13="",O13=0),"",IF($D13="Alta",1,IF($D13="Média",2,3))*1000000+IF(ISNUMBER($H13),$H13,999999)+ROW()/1000)</f>
        <v>1046660.065</v>
      </c>
      <c r="I65" s="73">
        <f>IF(E65=0,0,G65/E65)</f>
        <v>1</v>
      </c>
    </row>
    <row r="66">
      <c r="B66" s="14" t="str">
        <f>IF($B14="","",$B14)</f>
        <v>MBA</v>
      </c>
      <c r="C66" s="13" t="str">
        <f>IF($B14="","",$D14)</f>
        <v>Baixa</v>
      </c>
      <c r="D66" s="105">
        <f>IF(OR($B14="",NOT(ISNUMBER($H14))),"",$H14)</f>
        <v>46568.0</v>
      </c>
      <c r="E66" s="43">
        <f>IF($B14="",0,O14)</f>
        <v>143.75</v>
      </c>
      <c r="F66" s="69">
        <f>IF(H66="","",COUNTIF($H$61:$H$75,"&lt;"&amp;H66)+1)</f>
        <v>7</v>
      </c>
      <c r="G66" s="43">
        <f>IF(F66="",0,MIN(E66,MAX(0,$D$59-SUMIFS($E$61:$E$75,$F$61:$F$75,"&lt;"&amp;F66))))</f>
        <v>0</v>
      </c>
      <c r="H66" s="106">
        <f>IF(OR($B14="",O14=0),"",IF($D14="Alta",1,IF($D14="Média",2,3))*1000000+IF(ISNUMBER($H14),$H14,999999)+ROW()/1000)</f>
        <v>3046568.066</v>
      </c>
      <c r="I66" s="73">
        <f>IF(E66=0,0,G66/E66)</f>
        <v>0</v>
      </c>
    </row>
    <row r="67">
      <c r="B67" s="14" t="str">
        <f>IF($B15="","",$B15)</f>
        <v>Aposentadoria</v>
      </c>
      <c r="C67" s="13" t="str">
        <f>IF($B15="","",$D15)</f>
        <v>Média</v>
      </c>
      <c r="D67" s="105">
        <f>IF(OR($B15="",NOT(ISNUMBER($H15))),"",$H15)</f>
        <v>53692.0</v>
      </c>
      <c r="E67" s="43">
        <f>IF($B15="",0,O15)</f>
        <v>273.140495867769</v>
      </c>
      <c r="F67" s="69">
        <f>IF(H67="","",COUNTIF($H$61:$H$75,"&lt;"&amp;H67)+1)</f>
        <v>6</v>
      </c>
      <c r="G67" s="43">
        <f>IF(F67="",0,MIN(E67,MAX(0,$D$59-SUMIFS($E$61:$E$75,$F$61:$F$75,"&lt;"&amp;F67))))</f>
        <v>0</v>
      </c>
      <c r="H67" s="106">
        <f>IF(OR($B15="",O15=0),"",IF($D15="Alta",1,IF($D15="Média",2,3))*1000000+IF(ISNUMBER($H15),$H15,999999)+ROW()/1000)</f>
        <v>2053692.067</v>
      </c>
      <c r="I67" s="73">
        <f>IF(E67=0,0,G67/E67)</f>
        <v>0</v>
      </c>
    </row>
    <row r="68">
      <c r="B68" s="14" t="str">
        <f>IF($B16="","",$B16)</f>
        <v>Notebook novo</v>
      </c>
      <c r="C68" s="13" t="str">
        <f>IF($B16="","",$D16)</f>
        <v>Baixa</v>
      </c>
      <c r="D68" s="105">
        <f>IF(OR($B16="",NOT(ISNUMBER($H16))),"",$H16)</f>
        <v>46203.0</v>
      </c>
      <c r="E68" s="43">
        <f>IF($B16="",0,O16)</f>
        <v>0</v>
      </c>
      <c r="F68" s="69" t="str">
        <f>IF(H68="","",COUNTIF($H$61:$H$75,"&lt;"&amp;H68)+1)</f>
        <v/>
      </c>
      <c r="G68" s="43">
        <f>IF(F68="",0,MIN(E68,MAX(0,$D$59-SUMIFS($E$61:$E$75,$F$61:$F$75,"&lt;"&amp;F68))))</f>
        <v>0</v>
      </c>
      <c r="H68" s="106" t="str">
        <f>IF(OR($B16="",O16=0),"",IF($D16="Alta",1,IF($D16="Média",2,3))*1000000+IF(ISNUMBER($H16),$H16,999999)+ROW()/1000)</f>
        <v/>
      </c>
      <c r="I68" s="73">
        <f>IF(E68=0,0,G68/E68)</f>
        <v>0</v>
      </c>
    </row>
    <row r="69">
      <c r="B69" s="14" t="str">
        <f>IF($B17="","",$B17)</f>
        <v/>
      </c>
      <c r="C69" s="13" t="str">
        <f>IF($B17="","",$D17)</f>
        <v/>
      </c>
      <c r="D69" s="105" t="str">
        <f>IF(OR($B17="",NOT(ISNUMBER($H17))),"",$H17)</f>
        <v/>
      </c>
      <c r="E69" s="43">
        <f>IF($B17="",0,O17)</f>
        <v>0</v>
      </c>
      <c r="F69" s="69" t="str">
        <f>IF(H69="","",COUNTIF($H$61:$H$75,"&lt;"&amp;H69)+1)</f>
        <v/>
      </c>
      <c r="G69" s="43">
        <f>IF(F69="",0,MIN(E69,MAX(0,$D$59-SUMIFS($E$61:$E$75,$F$61:$F$75,"&lt;"&amp;F69))))</f>
        <v>0</v>
      </c>
      <c r="H69" s="106" t="str">
        <f>IF(OR($B17="",O17=0),"",IF($D17="Alta",1,IF($D17="Média",2,3))*1000000+IF(ISNUMBER($H17),$H17,999999)+ROW()/1000)</f>
        <v/>
      </c>
      <c r="I69" s="73">
        <f>IF(E69=0,0,G69/E69)</f>
        <v>0</v>
      </c>
    </row>
    <row r="70">
      <c r="B70" s="14" t="str">
        <f>IF($B18="","",$B18)</f>
        <v/>
      </c>
      <c r="C70" s="13" t="str">
        <f>IF($B18="","",$D18)</f>
        <v/>
      </c>
      <c r="D70" s="105" t="str">
        <f>IF(OR($B18="",NOT(ISNUMBER($H18))),"",$H18)</f>
        <v/>
      </c>
      <c r="E70" s="43">
        <f>IF($B18="",0,O18)</f>
        <v>0</v>
      </c>
      <c r="F70" s="69" t="str">
        <f>IF(H70="","",COUNTIF($H$61:$H$75,"&lt;"&amp;H70)+1)</f>
        <v/>
      </c>
      <c r="G70" s="43">
        <f>IF(F70="",0,MIN(E70,MAX(0,$D$59-SUMIFS($E$61:$E$75,$F$61:$F$75,"&lt;"&amp;F70))))</f>
        <v>0</v>
      </c>
      <c r="H70" s="106" t="str">
        <f>IF(OR($B18="",O18=0),"",IF($D18="Alta",1,IF($D18="Média",2,3))*1000000+IF(ISNUMBER($H18),$H18,999999)+ROW()/1000)</f>
        <v/>
      </c>
      <c r="I70" s="73">
        <f>IF(E70=0,0,G70/E70)</f>
        <v>0</v>
      </c>
    </row>
    <row r="71">
      <c r="B71" s="14" t="str">
        <f>IF($B19="","",$B19)</f>
        <v/>
      </c>
      <c r="C71" s="13" t="str">
        <f>IF($B19="","",$D19)</f>
        <v/>
      </c>
      <c r="D71" s="105" t="str">
        <f>IF(OR($B19="",NOT(ISNUMBER($H19))),"",$H19)</f>
        <v/>
      </c>
      <c r="E71" s="43">
        <f>IF($B19="",0,O19)</f>
        <v>0</v>
      </c>
      <c r="F71" s="69" t="str">
        <f>IF(H71="","",COUNTIF($H$61:$H$75,"&lt;"&amp;H71)+1)</f>
        <v/>
      </c>
      <c r="G71" s="43">
        <f>IF(F71="",0,MIN(E71,MAX(0,$D$59-SUMIFS($E$61:$E$75,$F$61:$F$75,"&lt;"&amp;F71))))</f>
        <v>0</v>
      </c>
      <c r="H71" s="106" t="str">
        <f>IF(OR($B19="",O19=0),"",IF($D19="Alta",1,IF($D19="Média",2,3))*1000000+IF(ISNUMBER($H19),$H19,999999)+ROW()/1000)</f>
        <v/>
      </c>
      <c r="I71" s="73">
        <f>IF(E71=0,0,G71/E71)</f>
        <v>0</v>
      </c>
    </row>
    <row r="72">
      <c r="B72" s="14" t="str">
        <f>IF($B20="","",$B20)</f>
        <v/>
      </c>
      <c r="C72" s="13" t="str">
        <f>IF($B20="","",$D20)</f>
        <v/>
      </c>
      <c r="D72" s="105" t="str">
        <f>IF(OR($B20="",NOT(ISNUMBER($H20))),"",$H20)</f>
        <v/>
      </c>
      <c r="E72" s="43">
        <f>IF($B20="",0,O20)</f>
        <v>0</v>
      </c>
      <c r="F72" s="69" t="str">
        <f>IF(H72="","",COUNTIF($H$61:$H$75,"&lt;"&amp;H72)+1)</f>
        <v/>
      </c>
      <c r="G72" s="43">
        <f>IF(F72="",0,MIN(E72,MAX(0,$D$59-SUMIFS($E$61:$E$75,$F$61:$F$75,"&lt;"&amp;F72))))</f>
        <v>0</v>
      </c>
      <c r="H72" s="106" t="str">
        <f>IF(OR($B20="",O20=0),"",IF($D20="Alta",1,IF($D20="Média",2,3))*1000000+IF(ISNUMBER($H20),$H20,999999)+ROW()/1000)</f>
        <v/>
      </c>
      <c r="I72" s="73">
        <f>IF(E72=0,0,G72/E72)</f>
        <v>0</v>
      </c>
    </row>
    <row r="73">
      <c r="B73" s="14" t="str">
        <f>IF($B21="","",$B21)</f>
        <v/>
      </c>
      <c r="C73" s="13" t="str">
        <f>IF($B21="","",$D21)</f>
        <v/>
      </c>
      <c r="D73" s="105" t="str">
        <f>IF(OR($B21="",NOT(ISNUMBER($H21))),"",$H21)</f>
        <v/>
      </c>
      <c r="E73" s="43">
        <f>IF($B21="",0,O21)</f>
        <v>0</v>
      </c>
      <c r="F73" s="69" t="str">
        <f>IF(H73="","",COUNTIF($H$61:$H$75,"&lt;"&amp;H73)+1)</f>
        <v/>
      </c>
      <c r="G73" s="43">
        <f>IF(F73="",0,MIN(E73,MAX(0,$D$59-SUMIFS($E$61:$E$75,$F$61:$F$75,"&lt;"&amp;F73))))</f>
        <v>0</v>
      </c>
      <c r="H73" s="106" t="str">
        <f>IF(OR($B21="",O21=0),"",IF($D21="Alta",1,IF($D21="Média",2,3))*1000000+IF(ISNUMBER($H21),$H21,999999)+ROW()/1000)</f>
        <v/>
      </c>
      <c r="I73" s="73">
        <f>IF(E73=0,0,G73/E73)</f>
        <v>0</v>
      </c>
    </row>
    <row r="74">
      <c r="B74" s="14" t="str">
        <f>IF($B22="","",$B22)</f>
        <v/>
      </c>
      <c r="C74" s="13" t="str">
        <f>IF($B22="","",$D22)</f>
        <v/>
      </c>
      <c r="D74" s="105" t="str">
        <f>IF(OR($B22="",NOT(ISNUMBER($H22))),"",$H22)</f>
        <v/>
      </c>
      <c r="E74" s="43">
        <f>IF($B22="",0,O22)</f>
        <v>0</v>
      </c>
      <c r="F74" s="69" t="str">
        <f>IF(H74="","",COUNTIF($H$61:$H$75,"&lt;"&amp;H74)+1)</f>
        <v/>
      </c>
      <c r="G74" s="43">
        <f>IF(F74="",0,MIN(E74,MAX(0,$D$59-SUMIFS($E$61:$E$75,$F$61:$F$75,"&lt;"&amp;F74))))</f>
        <v>0</v>
      </c>
      <c r="H74" s="106" t="str">
        <f>IF(OR($B22="",O22=0),"",IF($D22="Alta",1,IF($D22="Média",2,3))*1000000+IF(ISNUMBER($H22),$H22,999999)+ROW()/1000)</f>
        <v/>
      </c>
      <c r="I74" s="73">
        <f>IF(E74=0,0,G74/E74)</f>
        <v>0</v>
      </c>
    </row>
    <row r="75">
      <c r="B75" s="14" t="str">
        <f>IF($B23="","",$B23)</f>
        <v/>
      </c>
      <c r="C75" s="13" t="str">
        <f>IF($B23="","",$D23)</f>
        <v/>
      </c>
      <c r="D75" s="105" t="str">
        <f>IF(OR($B23="",NOT(ISNUMBER($H23))),"",$H23)</f>
        <v/>
      </c>
      <c r="E75" s="43">
        <f>IF($B23="",0,O23)</f>
        <v>0</v>
      </c>
      <c r="F75" s="69" t="str">
        <f>IF(H75="","",COUNTIF($H$61:$H$75,"&lt;"&amp;H75)+1)</f>
        <v/>
      </c>
      <c r="G75" s="43">
        <f>IF(F75="",0,MIN(E75,MAX(0,$D$59-SUMIFS($E$61:$E$75,$F$61:$F$75,"&lt;"&amp;F75))))</f>
        <v>0</v>
      </c>
      <c r="H75" s="106" t="str">
        <f>IF(OR($B23="",O23=0),"",IF($D23="Alta",1,IF($D23="Média",2,3))*1000000+IF(ISNUMBER($H23),$H23,999999)+ROW()/1000)</f>
        <v/>
      </c>
      <c r="I75" s="73">
        <f>IF(E75=0,0,G75/E75)</f>
        <v>0</v>
      </c>
    </row>
    <row r="76">
      <c r="B76" s="9" t="inlineStr">
        <is>
          <t>Total</t>
        </is>
      </c>
      <c r="E76" s="79">
        <f>SUM(E61:E75)</f>
        <v>3463.65878134573</v>
      </c>
      <c r="G76" s="79">
        <f>SUM(G61:G75)</f>
        <v>1302.48666666667</v>
      </c>
      <c r="I76" s="83">
        <f>IF(E76=0,0,G76/E76)</f>
        <v>0.376043585378988</v>
      </c>
    </row>
    <row r="79">
      <c r="B79" s="6" t="inlineStr">
        <is>
          <t>5. Metas mensais de comportamento (mês selecionado no DASHBOARD)</t>
        </is>
      </c>
    </row>
    <row r="80">
      <c r="B80" s="7" t="inlineStr">
        <is>
          <t>Indicador</t>
        </is>
      </c>
      <c r="C80" s="7" t="inlineStr">
        <is>
          <t>Meta</t>
        </is>
      </c>
      <c r="D80" s="7" t="inlineStr">
        <is>
          <t>Realizado</t>
        </is>
      </c>
      <c r="E80" s="7" t="inlineStr">
        <is>
          <t>% atingido</t>
        </is>
      </c>
      <c r="F80" s="7" t="inlineStr">
        <is>
          <t>Situação</t>
        </is>
      </c>
    </row>
    <row r="81">
      <c r="B81" s="14" t="inlineStr">
        <is>
          <t>Poupança (% da receita)</t>
        </is>
      </c>
      <c r="C81" s="73">
        <f>IF(Cfg_MetaPoup=0,"",Cfg_MetaPoup)</f>
        <v>0.2</v>
      </c>
      <c r="D81" s="73">
        <f>K_Poup</f>
        <v>0.0312565756691831</v>
      </c>
      <c r="E81" s="73">
        <f>IF(C81="","",IFERROR(D81/C81,0))</f>
        <v>0.156282878345916</v>
      </c>
      <c r="F81" s="72" t="str">
        <f>IF(C81="","—",IF(D81&gt;=C81,"✔","✘"))</f>
        <v>✘</v>
      </c>
    </row>
    <row r="82">
      <c r="B82" s="14" t="inlineStr">
        <is>
          <t>Gasto máximo total (R$)</t>
        </is>
      </c>
      <c r="C82" s="43">
        <f>IF(Cfg_MaxGasto=0,"",Cfg_MaxGasto)</f>
        <v>10500</v>
      </c>
      <c r="D82" s="43">
        <f>K_Desp</f>
        <v>12384.29</v>
      </c>
      <c r="E82" s="73">
        <f>IF(C82="","",IFERROR(D82/C82,0))</f>
        <v>1.17945619047619</v>
      </c>
      <c r="F82" s="72" t="str">
        <f>IF(C82="","—",IF(D82&lt;=C82,"✔","✘"))</f>
        <v>✘</v>
      </c>
    </row>
    <row r="83">
      <c r="B83" s="14" t="inlineStr">
        <is>
          <t>Aporte mensal (R$)</t>
        </is>
      </c>
      <c r="C83" s="43">
        <f>IF(Cfg_MetaAporte=0,"",Cfg_MetaAporte)</f>
        <v>2100</v>
      </c>
      <c r="D83" s="43">
        <f>K_Apo</f>
        <v>2050</v>
      </c>
      <c r="E83" s="73">
        <f>IF(C83="","",IFERROR(D83/C83,0))</f>
        <v>0.976190476190476</v>
      </c>
      <c r="F83" s="72" t="str">
        <f>IF(C83="","—",IF(D83&gt;=C83,"✔","✘"))</f>
        <v>✘</v>
      </c>
    </row>
    <row r="84">
      <c r="B84" s="14" t="inlineStr">
        <is>
          <t>Patrimônio líquido ao fim do ano (R$)</t>
        </is>
      </c>
      <c r="C84" s="43">
        <f>IF(Cfg_MetaPatr=0,"",Cfg_MetaPatr)</f>
        <v>700000</v>
      </c>
      <c r="D84" s="43">
        <f>Pat_Liquido</f>
        <v>698823.29</v>
      </c>
      <c r="E84" s="73">
        <f>IF(C84="","",IFERROR(D84/C84,0))</f>
        <v>0.998318985714286</v>
      </c>
      <c r="F84" s="72" t="str">
        <f>IF(C84="","—",IF(D84&gt;=C84,"✔","✘"))</f>
        <v>✘</v>
      </c>
    </row>
    <row r="85">
      <c r="B85" s="14" t="str">
        <f>IF(INDEX(CatD_Nome,1)="","","Gasto máx. "&amp;INDEX(CatD_Nome,1))</f>
        <v>Gasto máx. Moradia</v>
      </c>
      <c r="C85" s="43">
        <f>IF(N(INDEX(CatD_Max,1))=0,"",INDEX(CatD_Max,1))</f>
        <v>3600</v>
      </c>
      <c r="D85" s="43">
        <f>INDEX(Orc_Real,1)</f>
        <v>3670.77</v>
      </c>
      <c r="E85" s="73">
        <f>IF(C85="","",IFERROR(D85/C85,0))</f>
        <v>1.01965833333333</v>
      </c>
      <c r="F85" s="72" t="str">
        <f>IF(B85="","",IF(C85="","—",IF(D85&lt;=C85,"✔","✘")))</f>
        <v>✘</v>
      </c>
    </row>
    <row r="86">
      <c r="B86" s="14" t="str">
        <f>IF(INDEX(CatD_Nome,2)="","","Gasto máx. "&amp;INDEX(CatD_Nome,2))</f>
        <v>Gasto máx. Alimentação</v>
      </c>
      <c r="C86" s="43">
        <f>IF(N(INDEX(CatD_Max,2))=0,"",INDEX(CatD_Max,2))</f>
        <v>1800</v>
      </c>
      <c r="D86" s="43">
        <f>INDEX(Orc_Real,2)</f>
        <v>1748.55</v>
      </c>
      <c r="E86" s="73">
        <f>IF(C86="","",IFERROR(D86/C86,0))</f>
        <v>0.971416666666667</v>
      </c>
      <c r="F86" s="72" t="str">
        <f>IF(B86="","",IF(C86="","—",IF(D86&lt;=C86,"✔","✘")))</f>
        <v>✔</v>
      </c>
    </row>
    <row r="87">
      <c r="B87" s="14" t="str">
        <f>IF(INDEX(CatD_Nome,3)="","","Gasto máx. "&amp;INDEX(CatD_Nome,3))</f>
        <v>Gasto máx. Transporte</v>
      </c>
      <c r="C87" s="43">
        <f>IF(N(INDEX(CatD_Max,3))=0,"",INDEX(CatD_Max,3))</f>
        <v>900</v>
      </c>
      <c r="D87" s="43">
        <f>INDEX(Orc_Real,3)</f>
        <v>482.6</v>
      </c>
      <c r="E87" s="73">
        <f>IF(C87="","",IFERROR(D87/C87,0))</f>
        <v>0.536222222222222</v>
      </c>
      <c r="F87" s="72" t="str">
        <f>IF(B87="","",IF(C87="","—",IF(D87&lt;=C87,"✔","✘")))</f>
        <v>✔</v>
      </c>
    </row>
    <row r="88">
      <c r="B88" s="14" t="str">
        <f>IF(INDEX(CatD_Nome,4)="","","Gasto máx. "&amp;INDEX(CatD_Nome,4))</f>
        <v>Gasto máx. Saúde</v>
      </c>
      <c r="C88" s="43">
        <f>IF(N(INDEX(CatD_Max,4))=0,"",INDEX(CatD_Max,4))</f>
        <v>1100</v>
      </c>
      <c r="D88" s="43">
        <f>INDEX(Orc_Real,4)</f>
        <v>1169.25</v>
      </c>
      <c r="E88" s="73">
        <f>IF(C88="","",IFERROR(D88/C88,0))</f>
        <v>1.06295454545455</v>
      </c>
      <c r="F88" s="72" t="str">
        <f>IF(B88="","",IF(C88="","—",IF(D88&lt;=C88,"✔","✘")))</f>
        <v>✘</v>
      </c>
    </row>
    <row r="89">
      <c r="B89" s="14" t="str">
        <f>IF(INDEX(CatD_Nome,5)="","","Gasto máx. "&amp;INDEX(CatD_Nome,5))</f>
        <v>Gasto máx. Educação</v>
      </c>
      <c r="C89" s="43">
        <f>IF(N(INDEX(CatD_Max,5))=0,"",INDEX(CatD_Max,5))</f>
        <v>450</v>
      </c>
      <c r="D89" s="43">
        <f>INDEX(Orc_Real,5)</f>
        <v>390</v>
      </c>
      <c r="E89" s="73">
        <f>IF(C89="","",IFERROR(D89/C89,0))</f>
        <v>0.866666666666667</v>
      </c>
      <c r="F89" s="72" t="str">
        <f>IF(B89="","",IF(C89="","—",IF(D89&lt;=C89,"✔","✘")))</f>
        <v>✔</v>
      </c>
    </row>
    <row r="90">
      <c r="B90" s="14" t="str">
        <f>IF(INDEX(CatD_Nome,6)="","","Gasto máx. "&amp;INDEX(CatD_Nome,6))</f>
        <v>Gasto máx. Lazer</v>
      </c>
      <c r="C90" s="43">
        <f>IF(N(INDEX(CatD_Max,6))=0,"",INDEX(CatD_Max,6))</f>
        <v>700</v>
      </c>
      <c r="D90" s="43">
        <f>INDEX(Orc_Real,6)</f>
        <v>1651.19</v>
      </c>
      <c r="E90" s="73">
        <f>IF(C90="","",IFERROR(D90/C90,0))</f>
        <v>2.35884285714286</v>
      </c>
      <c r="F90" s="72" t="str">
        <f>IF(B90="","",IF(C90="","—",IF(D90&lt;=C90,"✔","✘")))</f>
        <v>✘</v>
      </c>
    </row>
    <row r="91">
      <c r="B91" s="14" t="str">
        <f>IF(INDEX(CatD_Nome,7)="","","Gasto máx. "&amp;INDEX(CatD_Nome,7))</f>
        <v>Gasto máx. Assinaturas</v>
      </c>
      <c r="C91" s="43">
        <f>IF(N(INDEX(CatD_Max,7))=0,"",INDEX(CatD_Max,7))</f>
        <v>300</v>
      </c>
      <c r="D91" s="43">
        <f>INDEX(Orc_Real,7)</f>
        <v>221.7</v>
      </c>
      <c r="E91" s="73">
        <f>IF(C91="","",IFERROR(D91/C91,0))</f>
        <v>0.739</v>
      </c>
      <c r="F91" s="72" t="str">
        <f>IF(B91="","",IF(C91="","—",IF(D91&lt;=C91,"✔","✘")))</f>
        <v>✔</v>
      </c>
    </row>
    <row r="92">
      <c r="B92" s="14" t="str">
        <f>IF(INDEX(CatD_Nome,8)="","","Gasto máx. "&amp;INDEX(CatD_Nome,8))</f>
        <v>Gasto máx. Vestuário</v>
      </c>
      <c r="C92" s="43">
        <f>IF(N(INDEX(CatD_Max,8))=0,"",INDEX(CatD_Max,8))</f>
        <v>400</v>
      </c>
      <c r="D92" s="43">
        <f>INDEX(Orc_Real,8)</f>
        <v>0</v>
      </c>
      <c r="E92" s="73">
        <f>IF(C92="","",IFERROR(D92/C92,0))</f>
        <v>0</v>
      </c>
      <c r="F92" s="72" t="str">
        <f>IF(B92="","",IF(C92="","—",IF(D92&lt;=C92,"✔","✘")))</f>
        <v>✔</v>
      </c>
    </row>
    <row r="93">
      <c r="B93" s="14" t="str">
        <f>IF(INDEX(CatD_Nome,9)="","","Gasto máx. "&amp;INDEX(CatD_Nome,9))</f>
        <v>Gasto máx. Dívidas e Financiamentos</v>
      </c>
      <c r="C93" s="43">
        <f>IF(N(INDEX(CatD_Max,9))=0,"",INDEX(CatD_Max,9))</f>
        <v>2200</v>
      </c>
      <c r="D93" s="43">
        <f>INDEX(Orc_Real,9)</f>
        <v>2190</v>
      </c>
      <c r="E93" s="73">
        <f>IF(C93="","",IFERROR(D93/C93,0))</f>
        <v>0.995454545454546</v>
      </c>
      <c r="F93" s="72" t="str">
        <f>IF(B93="","",IF(C93="","—",IF(D93&lt;=C93,"✔","✘")))</f>
        <v>✔</v>
      </c>
    </row>
    <row r="94">
      <c r="B94" s="14" t="str">
        <f>IF(INDEX(CatD_Nome,10)="","","Gasto máx. "&amp;INDEX(CatD_Nome,10))</f>
        <v>Gasto máx. Impostos e Taxas</v>
      </c>
      <c r="C94" s="43">
        <f>IF(N(INDEX(CatD_Max,10))=0,"",INDEX(CatD_Max,10))</f>
        <v>250</v>
      </c>
      <c r="D94" s="43">
        <f>INDEX(Orc_Real,10)</f>
        <v>180</v>
      </c>
      <c r="E94" s="73">
        <f>IF(C94="","",IFERROR(D94/C94,0))</f>
        <v>0.72</v>
      </c>
      <c r="F94" s="72" t="str">
        <f>IF(B94="","",IF(C94="","—",IF(D94&lt;=C94,"✔","✘")))</f>
        <v>✔</v>
      </c>
    </row>
    <row r="95">
      <c r="B95" s="14" t="str">
        <f>IF(INDEX(CatD_Nome,11)="","","Gasto máx. "&amp;INDEX(CatD_Nome,11))</f>
        <v>Gasto máx. Família/Pets</v>
      </c>
      <c r="C95" s="43">
        <f>IF(N(INDEX(CatD_Max,11))=0,"",INDEX(CatD_Max,11))</f>
        <v>450</v>
      </c>
      <c r="D95" s="43">
        <f>INDEX(Orc_Real,11)</f>
        <v>207.96</v>
      </c>
      <c r="E95" s="73">
        <f>IF(C95="","",IFERROR(D95/C95,0))</f>
        <v>0.462133333333333</v>
      </c>
      <c r="F95" s="72" t="str">
        <f>IF(B95="","",IF(C95="","—",IF(D95&lt;=C95,"✔","✘")))</f>
        <v>✔</v>
      </c>
    </row>
    <row r="96">
      <c r="B96" s="14" t="str">
        <f>IF(INDEX(CatD_Nome,12)="","","Gasto máx. "&amp;INDEX(CatD_Nome,12))</f>
        <v>Gasto máx. Doações</v>
      </c>
      <c r="C96" s="43">
        <f>IF(N(INDEX(CatD_Max,12))=0,"",INDEX(CatD_Max,12))</f>
        <v>150</v>
      </c>
      <c r="D96" s="43">
        <f>INDEX(Orc_Real,12)</f>
        <v>100</v>
      </c>
      <c r="E96" s="73">
        <f>IF(C96="","",IFERROR(D96/C96,0))</f>
        <v>0.666666666666667</v>
      </c>
      <c r="F96" s="72" t="str">
        <f>IF(B96="","",IF(C96="","—",IF(D96&lt;=C96,"✔","✘")))</f>
        <v>✔</v>
      </c>
    </row>
    <row r="97">
      <c r="B97" s="14" t="str">
        <f>IF(INDEX(CatD_Nome,13)="","","Gasto máx. "&amp;INDEX(CatD_Nome,13))</f>
        <v>Gasto máx. Outros</v>
      </c>
      <c r="C97" s="43">
        <f>IF(N(INDEX(CatD_Max,13))=0,"",INDEX(CatD_Max,13))</f>
        <v>300</v>
      </c>
      <c r="D97" s="43">
        <f>INDEX(Orc_Real,13)</f>
        <v>372.27</v>
      </c>
      <c r="E97" s="73">
        <f>IF(C97="","",IFERROR(D97/C97,0))</f>
        <v>1.2409</v>
      </c>
      <c r="F97" s="72" t="str">
        <f>IF(B97="","",IF(C97="","—",IF(D97&lt;=C97,"✔","✘")))</f>
        <v>✘</v>
      </c>
    </row>
    <row r="98">
      <c r="B98" s="14" t="str">
        <f>IF(INDEX(CatD_Nome,14)="","","Gasto máx. "&amp;INDEX(CatD_Nome,14))</f>
        <v/>
      </c>
      <c r="C98" s="43" t="str">
        <f>IF(N(INDEX(CatD_Max,14))=0,"",INDEX(CatD_Max,14))</f>
        <v/>
      </c>
      <c r="D98" s="43">
        <f>INDEX(Orc_Real,14)</f>
        <v>0</v>
      </c>
      <c r="E98" s="73" t="str">
        <f>IF(C98="","",IFERROR(D98/C98,0))</f>
        <v/>
      </c>
      <c r="F98" s="72" t="str">
        <f>IF(B98="","",IF(C98="","—",IF(D98&lt;=C98,"✔","✘")))</f>
        <v/>
      </c>
    </row>
    <row r="99">
      <c r="B99" s="14" t="str">
        <f>IF(INDEX(CatD_Nome,15)="","","Gasto máx. "&amp;INDEX(CatD_Nome,15))</f>
        <v/>
      </c>
      <c r="C99" s="43" t="str">
        <f>IF(N(INDEX(CatD_Max,15))=0,"",INDEX(CatD_Max,15))</f>
        <v/>
      </c>
      <c r="D99" s="43">
        <f>INDEX(Orc_Real,15)</f>
        <v>0</v>
      </c>
      <c r="E99" s="73" t="str">
        <f>IF(C99="","",IFERROR(D99/C99,0))</f>
        <v/>
      </c>
      <c r="F99" s="72" t="str">
        <f>IF(B99="","",IF(C99="","—",IF(D99&lt;=C99,"✔","✘")))</f>
        <v/>
      </c>
    </row>
    <row r="100">
      <c r="B100" s="14" t="str">
        <f>IF(INDEX(CatD_Nome,16)="","","Gasto máx. "&amp;INDEX(CatD_Nome,16))</f>
        <v/>
      </c>
      <c r="C100" s="43" t="str">
        <f>IF(N(INDEX(CatD_Max,16))=0,"",INDEX(CatD_Max,16))</f>
        <v/>
      </c>
      <c r="D100" s="43">
        <f>INDEX(Orc_Real,16)</f>
        <v>0</v>
      </c>
      <c r="E100" s="73" t="str">
        <f>IF(C100="","",IFERROR(D100/C100,0))</f>
        <v/>
      </c>
      <c r="F100" s="72" t="str">
        <f>IF(B100="","",IF(C100="","—",IF(D100&lt;=C100,"✔","✘")))</f>
        <v/>
      </c>
    </row>
    <row r="101">
      <c r="B101" s="14" t="str">
        <f>IF(INDEX(CatD_Nome,17)="","","Gasto máx. "&amp;INDEX(CatD_Nome,17))</f>
        <v/>
      </c>
      <c r="C101" s="43" t="str">
        <f>IF(N(INDEX(CatD_Max,17))=0,"",INDEX(CatD_Max,17))</f>
        <v/>
      </c>
      <c r="D101" s="43">
        <f>INDEX(Orc_Real,17)</f>
        <v>0</v>
      </c>
      <c r="E101" s="73" t="str">
        <f>IF(C101="","",IFERROR(D101/C101,0))</f>
        <v/>
      </c>
      <c r="F101" s="72" t="str">
        <f>IF(B101="","",IF(C101="","—",IF(D101&lt;=C101,"✔","✘")))</f>
        <v/>
      </c>
    </row>
    <row r="102">
      <c r="B102" s="14" t="str">
        <f>IF(INDEX(CatD_Nome,18)="","","Gasto máx. "&amp;INDEX(CatD_Nome,18))</f>
        <v/>
      </c>
      <c r="C102" s="43" t="str">
        <f>IF(N(INDEX(CatD_Max,18))=0,"",INDEX(CatD_Max,18))</f>
        <v/>
      </c>
      <c r="D102" s="43">
        <f>INDEX(Orc_Real,18)</f>
        <v>0</v>
      </c>
      <c r="E102" s="73" t="str">
        <f>IF(C102="","",IFERROR(D102/C102,0))</f>
        <v/>
      </c>
      <c r="F102" s="72" t="str">
        <f>IF(B102="","",IF(C102="","—",IF(D102&lt;=C102,"✔","✘")))</f>
        <v/>
      </c>
    </row>
    <row r="105">
      <c r="B105" s="6" t="inlineStr">
        <is>
          <t>6. Painel de conquistas</t>
        </is>
      </c>
    </row>
    <row r="106">
      <c r="B106" s="17" t="inlineStr">
        <is>
          <t>Meses seguidos cumprindo a meta de poupança</t>
        </is>
      </c>
      <c r="C106" s="107">
        <f>Conq_Streak</f>
        <v>0</v>
      </c>
    </row>
    <row r="107">
      <c r="B107" s="17" t="inlineStr">
        <is>
          <t>Metas concluídas</t>
        </is>
      </c>
      <c r="C107" s="107">
        <f>COUNTIF(Meta_Status,"Concluída")</f>
        <v>1</v>
      </c>
    </row>
    <row r="108">
      <c r="B108" s="17" t="inlineStr">
        <is>
          <t>Pontuação de disciplina (0 a 100)</t>
        </is>
      </c>
      <c r="C108" s="107">
        <f>Conq_Disc</f>
        <v>81</v>
      </c>
      <c r="D108" s="28" t="inlineStr">
        <is>
          <t>40% meses dentro do orçamento + 30% aportes feitos + 30% metas no prazo (últimos 6 meses)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">
    <mergeCell ref="B35:L35"/>
    <mergeCell ref="B26:L26"/>
    <mergeCell ref="B30:L30"/>
    <mergeCell ref="B38:L38"/>
    <mergeCell ref="B29:L29"/>
    <mergeCell ref="B33:L33"/>
    <mergeCell ref="B39:L39"/>
    <mergeCell ref="B34:L34"/>
    <mergeCell ref="B37:L37"/>
    <mergeCell ref="B28:L28"/>
    <mergeCell ref="B36:L36"/>
    <mergeCell ref="B32:L32"/>
    <mergeCell ref="C52:G52"/>
    <mergeCell ref="B31:L31"/>
    <mergeCell ref="B2:T2"/>
    <mergeCell ref="B27:L27"/>
    <mergeCell ref="B40:L40"/>
  </mergeCells>
  <conditionalFormatting sqref="B9:B23">
    <cfRule type="expression" priority="1" dxfId="14" stopIfTrue="0">
      <formula>AND($B9&lt;&gt;"",$C9="Viagem")</formula>
    </cfRule>
    <cfRule type="expression" priority="2" dxfId="21" stopIfTrue="0">
      <formula>AND($B9&lt;&gt;"",$C9="Carro")</formula>
    </cfRule>
    <cfRule type="expression" priority="3" dxfId="13" stopIfTrue="0">
      <formula>AND($B9&lt;&gt;"",$C9="Casa")</formula>
    </cfRule>
    <cfRule type="expression" priority="4" dxfId="22" stopIfTrue="0">
      <formula>AND($B9&lt;&gt;"",$C9="Reserva")</formula>
    </cfRule>
    <cfRule type="expression" priority="5" dxfId="16" stopIfTrue="0">
      <formula>AND($B9&lt;&gt;"",$C9="Quitar dívida")</formula>
    </cfRule>
    <cfRule type="expression" priority="6" dxfId="23" stopIfTrue="0">
      <formula>AND($B9&lt;&gt;"",$C9="Aposentadoria")</formula>
    </cfRule>
    <cfRule type="expression" priority="7" dxfId="24" stopIfTrue="0">
      <formula>AND($B9&lt;&gt;"",$C9="Estudos")</formula>
    </cfRule>
    <cfRule type="expression" priority="8" dxfId="25" stopIfTrue="0">
      <formula>AND($B9&lt;&gt;"",$C9="Outros")</formula>
    </cfRule>
  </conditionalFormatting>
  <conditionalFormatting sqref="R9:R23">
    <cfRule type="expression" priority="9" dxfId="13" stopIfTrue="0">
      <formula>R9="Concluída"</formula>
    </cfRule>
    <cfRule type="expression" priority="10" dxfId="14" stopIfTrue="0">
      <formula>R9="No prazo"</formula>
    </cfRule>
    <cfRule type="expression" priority="11" dxfId="15" stopIfTrue="0">
      <formula>R9="Atenção"</formula>
    </cfRule>
    <cfRule type="expression" priority="12" dxfId="16" stopIfTrue="0">
      <formula>R9="Atrasada"</formula>
    </cfRule>
  </conditionalFormatting>
  <conditionalFormatting sqref="S9:S23">
    <cfRule type="expression" priority="13" dxfId="4" stopIfTrue="0">
      <formula>$R9="Concluída"</formula>
    </cfRule>
    <cfRule type="expression" priority="14" dxfId="6" stopIfTrue="0">
      <formula>$R9="No prazo"</formula>
    </cfRule>
    <cfRule type="expression" priority="15" dxfId="11" stopIfTrue="0">
      <formula>$R9="Atenção"</formula>
    </cfRule>
    <cfRule type="expression" priority="16" dxfId="5" stopIfTrue="0">
      <formula>$R9="Atrasada"</formula>
    </cfRule>
  </conditionalFormatting>
  <conditionalFormatting sqref="M26:M40">
    <cfRule type="expression" priority="17" dxfId="13" stopIfTrue="0">
      <formula>M26="Concluída"</formula>
    </cfRule>
    <cfRule type="expression" priority="18" dxfId="14" stopIfTrue="0">
      <formula>M26="No prazo"</formula>
    </cfRule>
    <cfRule type="expression" priority="19" dxfId="15" stopIfTrue="0">
      <formula>M26="Atenção"</formula>
    </cfRule>
    <cfRule type="expression" priority="20" dxfId="16" stopIfTrue="0">
      <formula>M26="Atrasada"</formula>
    </cfRule>
  </conditionalFormatting>
  <conditionalFormatting sqref="C52">
    <cfRule type="expression" priority="21" dxfId="1" stopIfTrue="0">
      <formula>LEFT(C52,1)="✔"</formula>
    </cfRule>
    <cfRule type="expression" priority="22" dxfId="7" stopIfTrue="0">
      <formula>LEFT(C52,1)="✘"</formula>
    </cfRule>
  </conditionalFormatting>
  <conditionalFormatting sqref="B61:I61">
    <cfRule type="expression" priority="23" dxfId="12" stopIfTrue="0">
      <formula>$B61=""</formula>
    </cfRule>
  </conditionalFormatting>
  <conditionalFormatting sqref="B62:I62">
    <cfRule type="expression" priority="24" dxfId="12" stopIfTrue="0">
      <formula>$B62=""</formula>
    </cfRule>
  </conditionalFormatting>
  <conditionalFormatting sqref="B63:I63">
    <cfRule type="expression" priority="25" dxfId="12" stopIfTrue="0">
      <formula>$B63=""</formula>
    </cfRule>
  </conditionalFormatting>
  <conditionalFormatting sqref="B64:I64">
    <cfRule type="expression" priority="26" dxfId="12" stopIfTrue="0">
      <formula>$B64=""</formula>
    </cfRule>
  </conditionalFormatting>
  <conditionalFormatting sqref="B65:I65">
    <cfRule type="expression" priority="27" dxfId="12" stopIfTrue="0">
      <formula>$B65=""</formula>
    </cfRule>
  </conditionalFormatting>
  <conditionalFormatting sqref="B66:I66">
    <cfRule type="expression" priority="28" dxfId="12" stopIfTrue="0">
      <formula>$B66=""</formula>
    </cfRule>
  </conditionalFormatting>
  <conditionalFormatting sqref="B67:I67">
    <cfRule type="expression" priority="29" dxfId="12" stopIfTrue="0">
      <formula>$B67=""</formula>
    </cfRule>
  </conditionalFormatting>
  <conditionalFormatting sqref="B68:I68">
    <cfRule type="expression" priority="30" dxfId="12" stopIfTrue="0">
      <formula>$B68=""</formula>
    </cfRule>
  </conditionalFormatting>
  <conditionalFormatting sqref="B69:I69">
    <cfRule type="expression" priority="31" dxfId="12" stopIfTrue="0">
      <formula>$B69=""</formula>
    </cfRule>
  </conditionalFormatting>
  <conditionalFormatting sqref="B70:I70">
    <cfRule type="expression" priority="32" dxfId="12" stopIfTrue="0">
      <formula>$B70=""</formula>
    </cfRule>
  </conditionalFormatting>
  <conditionalFormatting sqref="B71:I71">
    <cfRule type="expression" priority="33" dxfId="12" stopIfTrue="0">
      <formula>$B71=""</formula>
    </cfRule>
  </conditionalFormatting>
  <conditionalFormatting sqref="B72:I72">
    <cfRule type="expression" priority="34" dxfId="12" stopIfTrue="0">
      <formula>$B72=""</formula>
    </cfRule>
  </conditionalFormatting>
  <conditionalFormatting sqref="B73:I73">
    <cfRule type="expression" priority="35" dxfId="12" stopIfTrue="0">
      <formula>$B73=""</formula>
    </cfRule>
  </conditionalFormatting>
  <conditionalFormatting sqref="B74:I74">
    <cfRule type="expression" priority="36" dxfId="12" stopIfTrue="0">
      <formula>$B74=""</formula>
    </cfRule>
  </conditionalFormatting>
  <conditionalFormatting sqref="B75:I75">
    <cfRule type="expression" priority="37" dxfId="12" stopIfTrue="0">
      <formula>$B75=""</formula>
    </cfRule>
  </conditionalFormatting>
  <conditionalFormatting sqref="I61:I76">
    <cfRule type="expression" priority="38" dxfId="1" stopIfTrue="0">
      <formula>AND($B61&lt;&gt;"",I61&gt;=1)</formula>
    </cfRule>
    <cfRule type="expression" priority="39" dxfId="0" stopIfTrue="0">
      <formula>AND($B61&lt;&gt;"",I61&lt;1,I61&gt;0)</formula>
    </cfRule>
    <cfRule type="expression" priority="40" dxfId="7" stopIfTrue="0">
      <formula>AND($B61&lt;&gt;"",I61=0)</formula>
    </cfRule>
  </conditionalFormatting>
  <conditionalFormatting sqref="F81:F102">
    <cfRule type="expression" priority="41" dxfId="1" stopIfTrue="0">
      <formula>F81="✔"</formula>
    </cfRule>
    <cfRule type="expression" priority="42" dxfId="7" stopIfTrue="0">
      <formula>F81="✘"</formula>
    </cfRule>
  </conditionalFormatting>
  <conditionalFormatting sqref="C108">
    <cfRule type="cellIs" priority="43" operator="greaterThanOrEqual" dxfId="26">
      <formula>70</formula>
    </cfRule>
    <cfRule type="cellIs" priority="44" operator="between" dxfId="27">
      <formula>40</formula>
      <formula>69.99</formula>
    </cfRule>
    <cfRule type="cellIs" priority="45" operator="lessThan" dxfId="28">
      <formula>40</formula>
    </cfRule>
  </conditionalFormatting>
  <dataValidations count="2">
    <dataValidation sqref="C9:C23" showDropDown="0" showInputMessage="0" showErrorMessage="1" allowBlank="1" errorTitle="Valor inválido" error="Escolha um valor da lista." type="list">
      <formula1>=Lista_CatMeta</formula1>
    </dataValidation>
    <dataValidation sqref="D9:D23" showDropDown="0" showInputMessage="0" showErrorMessage="1" allowBlank="1" errorTitle="Valor inválido" error="Escolha um valor da lista." type="list">
      <formula1>=Lista_Prioridade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PATRIMÔNIO LÍQUIDO'!A1" display="Patrimônio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J4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18" customWidth="1" min="3" max="3"/>
    <col width="18" customWidth="1" min="4" max="4"/>
    <col width="18" customWidth="1" min="5" max="5"/>
    <col width="16" customWidth="1" min="6" max="6"/>
    <col width="14" customWidth="1" min="7" max="7"/>
    <col width="20" customWidth="1" min="8" max="8"/>
    <col width="12" customWidth="1" min="9" max="9"/>
    <col width="13" customWidth="1" min="10" max="10"/>
  </cols>
  <sheetData>
    <row r="1" ht="30" customHeight="1">
      <c r="B1" s="1" t="inlineStr">
        <is>
          <t>PATRIMÔNIO LÍQUIDO</t>
        </is>
      </c>
    </row>
    <row r="2" ht="32" customHeight="1">
      <c r="B2" s="2" t="inlineStr">
        <is>
          <t>Ativos (o que você tem) menos Passivos (o que você deve) = patrimônio líquido. Contas, investimentos, dívidas e faturas vêm automaticamente; bens você digita. No fim de cada mês, registre um "retrato" no histórico.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Calendário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6">
      <c r="B6" s="6" t="inlineStr">
        <is>
          <t>1. Situação atual</t>
        </is>
      </c>
    </row>
    <row r="7">
      <c r="B7" s="77" t="inlineStr">
        <is>
          <t>ATIVOS</t>
        </is>
      </c>
    </row>
    <row r="8">
      <c r="B8" s="17" t="inlineStr">
        <is>
          <t>Saldo em contas (CONFIGURAÇÕES)</t>
        </is>
      </c>
      <c r="C8" s="36">
        <f>SUM(Contas_SaldoAtual)</f>
        <v>41099.29</v>
      </c>
      <c r="D8" s="28" t="inlineStr">
        <is>
          <t>Se mantiver parte do dinheiro numa "Conta investimento" E também em INVESTIMENTOS, lance só uma vez para não duplicar.</t>
        </is>
      </c>
    </row>
    <row r="9">
      <c r="B9" s="17" t="inlineStr">
        <is>
          <t>Investimentos (INVESTIMENTOS)</t>
        </is>
      </c>
      <c r="C9" s="36">
        <f>Inv_TotAtual</f>
        <v>125153.73</v>
      </c>
    </row>
    <row r="10">
      <c r="B10" s="17" t="inlineStr">
        <is>
          <t>Poupança / reservas fora do cadastro</t>
        </is>
      </c>
      <c r="C10" s="35" t="n">
        <v>0</v>
      </c>
    </row>
    <row r="11">
      <c r="B11" s="17" t="inlineStr">
        <is>
          <t>Imóveis</t>
        </is>
      </c>
      <c r="C11" s="35" t="n">
        <v>520000</v>
      </c>
    </row>
    <row r="12">
      <c r="B12" s="17" t="inlineStr">
        <is>
          <t>Veículos</t>
        </is>
      </c>
      <c r="C12" s="35" t="n">
        <v>48000</v>
      </c>
    </row>
    <row r="13">
      <c r="B13" s="17" t="inlineStr">
        <is>
          <t>Outros bens</t>
        </is>
      </c>
      <c r="C13" s="35" t="n">
        <v>8000</v>
      </c>
    </row>
    <row r="14">
      <c r="B14" s="9" t="inlineStr">
        <is>
          <t>Total de ativos</t>
        </is>
      </c>
      <c r="C14" s="81">
        <f>SUM(C8:C13)</f>
        <v>742253.02</v>
      </c>
    </row>
    <row r="16">
      <c r="B16" s="80" t="inlineStr">
        <is>
          <t>PASSIVOS</t>
        </is>
      </c>
    </row>
    <row r="17">
      <c r="B17" s="17" t="inlineStr">
        <is>
          <t>Dívidas e financiamentos (DÍVIDAS)</t>
        </is>
      </c>
      <c r="C17" s="36">
        <f>Div_Total</f>
        <v>37100</v>
      </c>
    </row>
    <row r="18">
      <c r="B18" s="17" t="inlineStr">
        <is>
          <t>Faturas de cartão em aberto (CARTÕES)</t>
        </is>
      </c>
      <c r="C18" s="36">
        <f>Card_FatAntTot+Card_FatAtualTot</f>
        <v>6329.73</v>
      </c>
    </row>
    <row r="19">
      <c r="B19" s="17" t="inlineStr">
        <is>
          <t>Outros passivos</t>
        </is>
      </c>
      <c r="C19" s="35" t="n"/>
    </row>
    <row r="20">
      <c r="B20" s="9" t="inlineStr">
        <is>
          <t>Total de passivos</t>
        </is>
      </c>
      <c r="C20" s="81">
        <f>SUM(C17:C19)</f>
        <v>43429.73</v>
      </c>
    </row>
    <row r="22">
      <c r="B22" s="108" t="inlineStr">
        <is>
          <t>PATRIMÔNIO LÍQUIDO ATUAL</t>
        </is>
      </c>
      <c r="C22" s="109">
        <f>C14-C20</f>
        <v>698823.29</v>
      </c>
    </row>
    <row r="25">
      <c r="B25" s="6" t="inlineStr">
        <is>
          <t>2. Histórico mensal (retrato manual no fim de cada mês) — ano selecionado no DASHBOARD</t>
        </is>
      </c>
    </row>
    <row r="26">
      <c r="B26" s="5" t="inlineStr">
        <is>
          <t>Patrimônio líquido em 31/12 do ano anterior:</t>
        </is>
      </c>
      <c r="C26" s="35" t="n">
        <v>618000</v>
      </c>
      <c r="D26" s="28" t="inlineStr">
        <is>
          <t>← digite aqui (ponto de partida do ano)</t>
        </is>
      </c>
    </row>
    <row r="27" ht="46" customHeight="1">
      <c r="B27" s="7" t="inlineStr">
        <is>
          <t>Mês</t>
        </is>
      </c>
      <c r="C27" s="7" t="inlineStr">
        <is>
          <t>Total de ativos</t>
        </is>
      </c>
      <c r="D27" s="7" t="inlineStr">
        <is>
          <t>Total de passivos</t>
        </is>
      </c>
      <c r="E27" s="7" t="inlineStr">
        <is>
          <t>Patrimônio líquido</t>
        </is>
      </c>
      <c r="F27" s="7" t="inlineStr">
        <is>
          <t>Variação R$</t>
        </is>
      </c>
      <c r="G27" s="7" t="inlineStr">
        <is>
          <t>Variação %</t>
        </is>
      </c>
      <c r="H27" s="7" t="inlineStr">
        <is>
          <t>Série do gráfico (retrato ou estimativa)</t>
        </is>
      </c>
    </row>
    <row r="28">
      <c r="B28" s="9" t="inlineStr">
        <is>
          <t>Jan</t>
        </is>
      </c>
      <c r="C28" s="35" t="n">
        <v>672000</v>
      </c>
      <c r="D28" s="35" t="n">
        <v>52000</v>
      </c>
      <c r="E28" s="36">
        <f>IF(AND(ISNUMBER(C28),ISNUMBER(D28)),C28-D28,"")</f>
        <v>620000</v>
      </c>
      <c r="F28" s="36">
        <f>IF(AND(ISNUMBER(E28),ISNUMBER(Pat_Ano0)),E28-Pat_Ano0,"")</f>
        <v>2000</v>
      </c>
      <c r="G28" s="73">
        <f>IF(AND(ISNUMBER(F28),N(Pat_Ano0)&lt;&gt;0),F28/ABS(Pat_Ano0),"")</f>
        <v>0.00323624595469256</v>
      </c>
      <c r="H28" s="36">
        <f>IF(ISNUMBER(E28),E28,N(Pat_Ano0)+INDEX(Flux_Saldo,1))</f>
        <v>620000</v>
      </c>
    </row>
    <row r="29">
      <c r="B29" s="9" t="inlineStr">
        <is>
          <t>Fev</t>
        </is>
      </c>
      <c r="C29" s="35" t="n">
        <v>679000</v>
      </c>
      <c r="D29" s="35" t="n">
        <v>51200</v>
      </c>
      <c r="E29" s="36">
        <f>IF(AND(ISNUMBER(C29),ISNUMBER(D29)),C29-D29,"")</f>
        <v>627800</v>
      </c>
      <c r="F29" s="36">
        <f>IF(AND(ISNUMBER(E29),ISNUMBER(E28)),E29-E28,"")</f>
        <v>7800</v>
      </c>
      <c r="G29" s="73">
        <f>IF(AND(ISNUMBER(F29),N(E28)&lt;&gt;0),F29/ABS(E28),"")</f>
        <v>0.0125806451612903</v>
      </c>
      <c r="H29" s="36">
        <f>IF(ISNUMBER(E29),E29,H28+INDEX(Flux_Saldo,2))</f>
        <v>627800</v>
      </c>
    </row>
    <row r="30">
      <c r="B30" s="9" t="inlineStr">
        <is>
          <t>Mar</t>
        </is>
      </c>
      <c r="C30" s="35" t="n">
        <v>685000</v>
      </c>
      <c r="D30" s="35" t="n">
        <v>50400</v>
      </c>
      <c r="E30" s="36">
        <f>IF(AND(ISNUMBER(C30),ISNUMBER(D30)),C30-D30,"")</f>
        <v>634600</v>
      </c>
      <c r="F30" s="36">
        <f>IF(AND(ISNUMBER(E30),ISNUMBER(E29)),E30-E29,"")</f>
        <v>6800</v>
      </c>
      <c r="G30" s="73">
        <f>IF(AND(ISNUMBER(F30),N(E29)&lt;&gt;0),F30/ABS(E29),"")</f>
        <v>0.0108314749920357</v>
      </c>
      <c r="H30" s="36">
        <f>IF(ISNUMBER(E30),E30,H29+INDEX(Flux_Saldo,3))</f>
        <v>634600</v>
      </c>
    </row>
    <row r="31">
      <c r="B31" s="9" t="inlineStr">
        <is>
          <t>Abr</t>
        </is>
      </c>
      <c r="C31" s="35" t="n">
        <v>693000</v>
      </c>
      <c r="D31" s="35" t="n">
        <v>49300</v>
      </c>
      <c r="E31" s="36">
        <f>IF(AND(ISNUMBER(C31),ISNUMBER(D31)),C31-D31,"")</f>
        <v>643700</v>
      </c>
      <c r="F31" s="36">
        <f>IF(AND(ISNUMBER(E31),ISNUMBER(E30)),E31-E30,"")</f>
        <v>9100</v>
      </c>
      <c r="G31" s="73">
        <f>IF(AND(ISNUMBER(F31),N(E30)&lt;&gt;0),F31/ABS(E30),"")</f>
        <v>0.0143397415694926</v>
      </c>
      <c r="H31" s="36">
        <f>IF(ISNUMBER(E31),E31,H30+INDEX(Flux_Saldo,4))</f>
        <v>643700</v>
      </c>
    </row>
    <row r="32">
      <c r="B32" s="9" t="inlineStr">
        <is>
          <t>Mai</t>
        </is>
      </c>
      <c r="C32" s="35" t="n">
        <v>700000</v>
      </c>
      <c r="D32" s="35" t="n">
        <v>48200</v>
      </c>
      <c r="E32" s="36">
        <f>IF(AND(ISNUMBER(C32),ISNUMBER(D32)),C32-D32,"")</f>
        <v>651800</v>
      </c>
      <c r="F32" s="36">
        <f>IF(AND(ISNUMBER(E32),ISNUMBER(E31)),E32-E31,"")</f>
        <v>8100</v>
      </c>
      <c r="G32" s="73">
        <f>IF(AND(ISNUMBER(F32),N(E31)&lt;&gt;0),F32/ABS(E31),"")</f>
        <v>0.0125835016311947</v>
      </c>
      <c r="H32" s="36">
        <f>IF(ISNUMBER(E32),E32,H31+INDEX(Flux_Saldo,5))</f>
        <v>651800</v>
      </c>
    </row>
    <row r="33">
      <c r="B33" s="9" t="inlineStr">
        <is>
          <t>Jun</t>
        </is>
      </c>
      <c r="C33" s="35" t="n">
        <v>707000</v>
      </c>
      <c r="D33" s="35" t="n">
        <v>47000</v>
      </c>
      <c r="E33" s="36">
        <f>IF(AND(ISNUMBER(C33),ISNUMBER(D33)),C33-D33,"")</f>
        <v>660000</v>
      </c>
      <c r="F33" s="36">
        <f>IF(AND(ISNUMBER(E33),ISNUMBER(E32)),E33-E32,"")</f>
        <v>8200</v>
      </c>
      <c r="G33" s="73">
        <f>IF(AND(ISNUMBER(F33),N(E32)&lt;&gt;0),F33/ABS(E32),"")</f>
        <v>0.0125805461798098</v>
      </c>
      <c r="H33" s="36">
        <f>IF(ISNUMBER(E33),E33,H32+INDEX(Flux_Saldo,6))</f>
        <v>660000</v>
      </c>
    </row>
    <row r="34">
      <c r="B34" s="9" t="inlineStr">
        <is>
          <t>Jul</t>
        </is>
      </c>
      <c r="C34" s="35" t="n">
        <v>714000</v>
      </c>
      <c r="D34" s="35" t="n">
        <v>45800</v>
      </c>
      <c r="E34" s="36">
        <f>IF(AND(ISNUMBER(C34),ISNUMBER(D34)),C34-D34,"")</f>
        <v>668200</v>
      </c>
      <c r="F34" s="36">
        <f>IF(AND(ISNUMBER(E34),ISNUMBER(E33)),E34-E33,"")</f>
        <v>8200</v>
      </c>
      <c r="G34" s="73">
        <f>IF(AND(ISNUMBER(F34),N(E33)&lt;&gt;0),F34/ABS(E33),"")</f>
        <v>0.0124242424242424</v>
      </c>
      <c r="H34" s="36">
        <f>IF(ISNUMBER(E34),E34,H33+INDEX(Flux_Saldo,7))</f>
        <v>668200</v>
      </c>
    </row>
    <row r="35">
      <c r="B35" s="9" t="inlineStr">
        <is>
          <t>Ago</t>
        </is>
      </c>
      <c r="C35" s="35" t="n">
        <v>722000</v>
      </c>
      <c r="D35" s="35" t="n">
        <v>44600</v>
      </c>
      <c r="E35" s="36">
        <f>IF(AND(ISNUMBER(C35),ISNUMBER(D35)),C35-D35,"")</f>
        <v>677400</v>
      </c>
      <c r="F35" s="36">
        <f>IF(AND(ISNUMBER(E35),ISNUMBER(E34)),E35-E34,"")</f>
        <v>9200</v>
      </c>
      <c r="G35" s="73">
        <f>IF(AND(ISNUMBER(F35),N(E34)&lt;&gt;0),F35/ABS(E34),"")</f>
        <v>0.0137683328344807</v>
      </c>
      <c r="H35" s="36">
        <f>IF(ISNUMBER(E35),E35,H34+INDEX(Flux_Saldo,8))</f>
        <v>677400</v>
      </c>
    </row>
    <row r="36">
      <c r="B36" s="9" t="inlineStr">
        <is>
          <t>Set</t>
        </is>
      </c>
      <c r="C36" s="35" t="n">
        <v>729000</v>
      </c>
      <c r="D36" s="35" t="n">
        <v>43300</v>
      </c>
      <c r="E36" s="36">
        <f>IF(AND(ISNUMBER(C36),ISNUMBER(D36)),C36-D36,"")</f>
        <v>685700</v>
      </c>
      <c r="F36" s="36">
        <f>IF(AND(ISNUMBER(E36),ISNUMBER(E35)),E36-E35,"")</f>
        <v>8300</v>
      </c>
      <c r="G36" s="73">
        <f>IF(AND(ISNUMBER(F36),N(E35)&lt;&gt;0),F36/ABS(E35),"")</f>
        <v>0.0122527310304104</v>
      </c>
      <c r="H36" s="36">
        <f>IF(ISNUMBER(E36),E36,H35+INDEX(Flux_Saldo,9))</f>
        <v>685700</v>
      </c>
    </row>
    <row r="37">
      <c r="B37" s="9" t="inlineStr">
        <is>
          <t>Out</t>
        </is>
      </c>
      <c r="C37" s="35" t="n"/>
      <c r="D37" s="35" t="n"/>
      <c r="E37" s="36" t="str">
        <f>IF(AND(ISNUMBER(C37),ISNUMBER(D37)),C37-D37,"")</f>
        <v/>
      </c>
      <c r="F37" s="36" t="str">
        <f>IF(AND(ISNUMBER(E37),ISNUMBER(E36)),E37-E36,"")</f>
        <v/>
      </c>
      <c r="G37" s="73" t="str">
        <f>IF(AND(ISNUMBER(F37),N(E36)&lt;&gt;0),F37/ABS(E36),"")</f>
        <v/>
      </c>
      <c r="H37" s="36">
        <f>IF(ISNUMBER(E37),E37,H36+INDEX(Flux_Saldo,10))</f>
        <v>686000.57</v>
      </c>
    </row>
    <row r="38">
      <c r="B38" s="9" t="inlineStr">
        <is>
          <t>Nov</t>
        </is>
      </c>
      <c r="C38" s="35" t="n"/>
      <c r="D38" s="35" t="n"/>
      <c r="E38" s="36" t="str">
        <f>IF(AND(ISNUMBER(C38),ISNUMBER(D38)),C38-D38,"")</f>
        <v/>
      </c>
      <c r="F38" s="36" t="str">
        <f>IF(AND(ISNUMBER(E38),ISNUMBER(E37)),E38-E37,"")</f>
        <v/>
      </c>
      <c r="G38" s="73" t="str">
        <f>IF(AND(ISNUMBER(F38),N(E37)&lt;&gt;0),F38/ABS(E37),"")</f>
        <v/>
      </c>
      <c r="H38" s="36">
        <f>IF(ISNUMBER(E38),E38,H37+INDEX(Flux_Saldo,11))</f>
        <v>683970.57</v>
      </c>
    </row>
    <row r="39">
      <c r="B39" s="9" t="inlineStr">
        <is>
          <t>Dez</t>
        </is>
      </c>
      <c r="C39" s="35" t="n"/>
      <c r="D39" s="35" t="n"/>
      <c r="E39" s="36" t="str">
        <f>IF(AND(ISNUMBER(C39),ISNUMBER(D39)),C39-D39,"")</f>
        <v/>
      </c>
      <c r="F39" s="36" t="str">
        <f>IF(AND(ISNUMBER(E39),ISNUMBER(E38)),E39-E38,"")</f>
        <v/>
      </c>
      <c r="G39" s="73" t="str">
        <f>IF(AND(ISNUMBER(F39),N(E38)&lt;&gt;0),F39/ABS(E38),"")</f>
        <v/>
      </c>
      <c r="H39" s="36">
        <f>IF(ISNUMBER(E39),E39,H38+INDEX(Flux_Saldo,12))</f>
        <v>682570.57</v>
      </c>
    </row>
    <row r="40">
      <c r="B40" s="28" t="inlineStr">
        <is>
          <t>Dica: no último dia do mês copie "Total de ativos" e "Total de passivos" (seção 1) e cole como VALOR nas colunas azuis. Meses sem retrato são estimados (patrimônio anterior + saldo do mês).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J2"/>
  </mergeCells>
  <conditionalFormatting sqref="C22">
    <cfRule type="expression" priority="1" dxfId="7" stopIfTrue="0">
      <formula>C22&lt;0</formula>
    </cfRule>
    <cfRule type="expression" priority="2" dxfId="1" stopIfTrue="0">
      <formula>C22&gt;=0</formula>
    </cfRule>
  </conditionalFormatting>
  <conditionalFormatting sqref="F28:G39">
    <cfRule type="expression" priority="3" dxfId="5" stopIfTrue="0">
      <formula>AND(ISNUMBER(F28),F28&lt;0)</formula>
    </cfRule>
    <cfRule type="expression" priority="4" dxfId="4" stopIfTrue="0">
      <formula>AND(ISNUMBER(F28),F28&gt;0)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CALENDÁRIO DE CONTAS'!A1" display="Calendár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F2A93B"/>
    <outlinePr summaryBelow="1" summaryRight="1"/>
    <pageSetUpPr fitToPage="1"/>
  </sheetPr>
  <dimension ref="B1:Q93"/>
  <sheetViews>
    <sheetView showGridLines="0" tabSelected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" customWidth="1" min="1" max="1"/>
    <col width="15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20" customWidth="1" min="8" max="8"/>
    <col width="12" customWidth="1" min="9" max="9"/>
    <col width="14" customWidth="1" min="10" max="10"/>
    <col hidden="1" width="3" customWidth="1" min="11" max="11"/>
    <col hidden="1" width="24" customWidth="1" min="12" max="12"/>
    <col hidden="1" width="14" customWidth="1" min="13" max="13"/>
    <col hidden="1" width="13" customWidth="1" min="14" max="14"/>
    <col hidden="1" width="14" customWidth="1" min="15" max="15"/>
    <col hidden="1" width="14" customWidth="1" min="16" max="16"/>
    <col hidden="1" width="14" customWidth="1" min="17" max="17"/>
    <col hidden="1" width="12" customWidth="1" min="18" max="18"/>
  </cols>
  <sheetData>
    <row r="1" ht="30" customHeight="1">
      <c r="B1" s="1" t="inlineStr">
        <is>
          <t>CALENDÁRIO DE CONTAS</t>
        </is>
      </c>
    </row>
    <row r="2" ht="32" customHeight="1">
      <c r="B2" s="2" t="inlineStr">
        <is>
          <t>Vencimentos do mês selecionado no DASHBOARD (contas, faturas e parcelas). Amarelo = vence em até 7 dias · Vermelho = atrasado · Verde = pago. Nada a digitar: tudo vem de LANÇAMENTOS, CARTÕES e RECORRENTES.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Imposto de Renda</t>
        </is>
      </c>
      <c r="G4" s="4" t="inlineStr">
        <is>
          <t>Análises</t>
        </is>
      </c>
      <c r="H4" s="4" t="inlineStr">
        <is>
          <t>Backup</t>
        </is>
      </c>
    </row>
    <row r="5">
      <c r="B5" s="5" t="inlineStr">
        <is>
          <t>Mês:</t>
        </is>
      </c>
      <c r="C5" s="9" t="str">
        <f>Sel_Label</f>
        <v>Setembro/2026</v>
      </c>
    </row>
    <row r="7">
      <c r="B7" s="6" t="inlineStr">
        <is>
          <t>1. Total a pagar nos próximos dias (a partir de hoje)</t>
        </is>
      </c>
      <c r="L7" s="5" t="inlineStr">
        <is>
          <t>Apoio: faturas dos próximos meses</t>
        </is>
      </c>
      <c r="P7" s="5" t="inlineStr">
        <is>
          <t>Apoio: recorrentes (próxima data)</t>
        </is>
      </c>
    </row>
    <row r="8">
      <c r="B8" s="7" t="inlineStr">
        <is>
          <t>Período</t>
        </is>
      </c>
      <c r="C8" s="7" t="inlineStr">
        <is>
          <t>Total a pagar</t>
        </is>
      </c>
      <c r="D8" s="7" t="inlineStr">
        <is>
          <t>Atrasado (já vencido)</t>
        </is>
      </c>
      <c r="L8" s="7" t="inlineStr">
        <is>
          <t>Cartão</t>
        </is>
      </c>
      <c r="M8" s="7" t="inlineStr">
        <is>
          <t>Vencimento</t>
        </is>
      </c>
      <c r="N8" s="7" t="inlineStr">
        <is>
          <t>Valor da fatura</t>
        </is>
      </c>
      <c r="P8" s="7" t="inlineStr">
        <is>
          <t>Próxima data</t>
        </is>
      </c>
      <c r="Q8" s="7" t="inlineStr">
        <is>
          <t>Valor</t>
        </is>
      </c>
    </row>
    <row r="9">
      <c r="B9" s="9" t="inlineStr">
        <is>
          <t>Próximos 7 dias</t>
        </is>
      </c>
      <c r="C9" s="79">
        <f>SUMIFS(L_VParc,L_Tipo,"Despesa",L_Status,"&lt;&gt;Pago",L_FIni,0,L_Data,"&gt;="&amp;Cfg_Hoje,L_Data,"&lt;="&amp;(Cfg_Hoje+7))+SUMIFS(CalF_Valor,CalF_Data,"&gt;="&amp;Cfg_Hoje,CalF_Data,"&lt;="&amp;(Cfg_Hoje+7))+SUMIFS(CalR_Valor,CalR_Data,"&gt;="&amp;Cfg_Hoje,CalR_Data,"&lt;="&amp;(Cfg_Hoje+7))</f>
        <v>10060.38</v>
      </c>
      <c r="D9" s="79">
        <f>SUMIFS(L_VParc,L_Tipo,"Despesa",L_Status,"&lt;&gt;Pago",L_FIni,0,L_Data,"&lt;"&amp;Cfg_Hoje)</f>
        <v>0</v>
      </c>
      <c r="L9" s="14" t="str">
        <f>IF(INDEX(Cartoes_Nome,1)="","",INDEX(Cartoes_Nome,1))</f>
        <v>Cartão Roxinho</v>
      </c>
      <c r="M9" s="105">
        <f>IF(L9="","",DATE(INT(((YEAR(Cfg_Hoje)*12+MONTH(Cfg_Hoje)+0)-1)/12),MOD((YEAR(Cfg_Hoje)*12+MONTH(Cfg_Hoje)+0)-1,12)+1,MIN(INDEX(Cartoes_Venc,1),DAY(DATE(INT(((YEAR(Cfg_Hoje)*12+MONTH(Cfg_Hoje)+0)-1)/12),MOD((YEAR(Cfg_Hoje)*12+MONTH(Cfg_Hoje)+0)-1,12)+2,0)))))</f>
        <v>46300.0</v>
      </c>
      <c r="N9" s="43">
        <f>IF(L9="",0,IF(SUMIFS(L_VParc,L_Tipo,"Transferência",L_Status,"Pago",L_Desc,"*"&amp;L9&amp;"*",L_IIni,(YEAR(Cfg_Hoje)*12+MONTH(Cfg_Hoje)+0))&lt;0,0,SUMIFS(L_VParc,L_Conta,L9,L_Tipo,"Despesa",L_FIni,"&lt;="&amp;(((YEAR(Cfg_Hoje)*12+MONTH(Cfg_Hoje)+0)-IF(INDEX(Cartoes_Venc,1)&gt;INDEX(Cartoes_Fech,1),0,1))),L_FFim,"&gt;="&amp;(((YEAR(Cfg_Hoje)*12+MONTH(Cfg_Hoje)+0)-IF(INDEX(Cartoes_Venc,1)&gt;INDEX(Cartoes_Fech,1),0,1))))))</f>
        <v>1262.38</v>
      </c>
      <c r="P9" s="105" t="str">
        <f>IF(OR(INDEX(Rec_Tipo,1)&lt;&gt;"Despesa",INDEX(Rec_Ativo,1)&lt;&gt;"Sim",INDEX(Rec_IIni,1)=0,N(INDEX(Rec_Dia,1))=0),"",IF(AND((YEAR(IF(DATE(YEAR(Cfg_Hoje),MONTH(Cfg_Hoje),MIN(INDEX(Rec_Dia,1),28))&gt;=Cfg_Hoje,DATE(YEAR(Cfg_Hoje),MONTH(Cfg_Hoje),MIN(INDEX(Rec_Dia,1),28)),DATE(YEAR(Cfg_Hoje),MONTH(Cfg_Hoje)+1,MIN(INDEX(Rec_Dia,1),28))))*12+MONTH(IF(DATE(YEAR(Cfg_Hoje),MONTH(Cfg_Hoje),MIN(INDEX(Rec_Dia,1),28))&gt;=Cfg_Hoje,DATE(YEAR(Cfg_Hoje),MONTH(Cfg_Hoje),MIN(INDEX(Rec_Dia,1),28)),DATE(YEAR(Cfg_Hoje),MONTH(Cfg_Hoje)+1,MIN(INDEX(Rec_Dia,1),28)))))&gt;=INDEX(Rec_IIni,1),(YEAR(IF(DATE(YEAR(Cfg_Hoje),MONTH(Cfg_Hoje),MIN(INDEX(Rec_Dia,1),28))&gt;=Cfg_Hoje,DATE(YEAR(Cfg_Hoje),MONTH(Cfg_Hoje),MIN(INDEX(Rec_Dia,1),28)),DATE(YEAR(Cfg_Hoje),MONTH(Cfg_Hoje)+1,MIN(INDEX(Rec_Dia,1),28))))*12+MONTH(IF(DATE(YEAR(Cfg_Hoje),MONTH(Cfg_Hoje),MIN(INDEX(Rec_Dia,1),28))&gt;=Cfg_Hoje,DATE(YEAR(Cfg_Hoje),MONTH(Cfg_Hoje),MIN(INDEX(Rec_Dia,1),28)),DATE(YEAR(Cfg_Hoje),MONTH(Cfg_Hoje)+1,MIN(INDEX(Rec_Dia,1),28)))))&lt;=INDEX(Rec_IFim,1),OR(INDEX(Rec_Freq,1)&lt;&gt;"Anual",MONTH(IF(DATE(YEAR(Cfg_Hoje),MONTH(Cfg_Hoje),MIN(INDEX(Rec_Dia,1),28))&gt;=Cfg_Hoje,DATE(YEAR(Cfg_Hoje),MONTH(Cfg_Hoje),MIN(INDEX(Rec_Dia,1),28)),DATE(YEAR(Cfg_Hoje),MONTH(Cfg_Hoje)+1,MIN(INDEX(Rec_Dia,1),28))))=INDEX(Rec_MesRef,1))),IF(DATE(YEAR(Cfg_Hoje),MONTH(Cfg_Hoje),MIN(INDEX(Rec_Dia,1),28))&gt;=Cfg_Hoje,DATE(YEAR(Cfg_Hoje),MONTH(Cfg_Hoje),MIN(INDEX(Rec_Dia,1),28)),DATE(YEAR(Cfg_Hoje),MONTH(Cfg_Hoje)+1,MIN(INDEX(Rec_Dia,1),28))),""))</f>
        <v/>
      </c>
      <c r="Q9" s="43">
        <f>IF(P9="",0,N(INDEX(Rec_Valor,1)))</f>
        <v>0</v>
      </c>
    </row>
    <row r="10">
      <c r="B10" s="9" t="inlineStr">
        <is>
          <t>Próximos 15 dias</t>
        </is>
      </c>
      <c r="C10" s="79">
        <f>SUMIFS(L_VParc,L_Tipo,"Despesa",L_Status,"&lt;&gt;Pago",L_FIni,0,L_Data,"&gt;="&amp;Cfg_Hoje,L_Data,"&lt;="&amp;(Cfg_Hoje+15))+SUMIFS(CalF_Valor,CalF_Data,"&gt;="&amp;Cfg_Hoje,CalF_Data,"&lt;="&amp;(Cfg_Hoje+15))+SUMIFS(CalR_Valor,CalR_Data,"&gt;="&amp;Cfg_Hoje,CalR_Data,"&lt;="&amp;(Cfg_Hoje+15))</f>
        <v>18684.1</v>
      </c>
      <c r="L10" s="14" t="str">
        <f>IF(INDEX(Cartoes_Nome,2)="","",INDEX(Cartoes_Nome,2))</f>
        <v>Cartão Azul Gold</v>
      </c>
      <c r="M10" s="105">
        <f>IF(L10="","",DATE(INT(((YEAR(Cfg_Hoje)*12+MONTH(Cfg_Hoje)+0)-1)/12),MOD((YEAR(Cfg_Hoje)*12+MONTH(Cfg_Hoje)+0)-1,12)+1,MIN(INDEX(Cartoes_Venc,2),DAY(DATE(INT(((YEAR(Cfg_Hoje)*12+MONTH(Cfg_Hoje)+0)-1)/12),MOD((YEAR(Cfg_Hoje)*12+MONTH(Cfg_Hoje)+0)-1,12)+2,0)))))</f>
        <v>46312.0</v>
      </c>
      <c r="N10" s="43">
        <f>IF(L10="",0,IF(SUMIFS(L_VParc,L_Tipo,"Transferência",L_Status,"Pago",L_Desc,"*"&amp;L10&amp;"*",L_IIni,(YEAR(Cfg_Hoje)*12+MONTH(Cfg_Hoje)+0))&lt;0,0,SUMIFS(L_VParc,L_Conta,L10,L_Tipo,"Despesa",L_FIni,"&lt;="&amp;(((YEAR(Cfg_Hoje)*12+MONTH(Cfg_Hoje)+0)-IF(INDEX(Cartoes_Venc,2)&gt;INDEX(Cartoes_Fech,2),0,1))),L_FFim,"&gt;="&amp;(((YEAR(Cfg_Hoje)*12+MONTH(Cfg_Hoje)+0)-IF(INDEX(Cartoes_Venc,2)&gt;INDEX(Cartoes_Fech,2),0,1))))))</f>
        <v>3461.71</v>
      </c>
      <c r="P10" s="105" t="str">
        <f>IF(OR(INDEX(Rec_Tipo,2)&lt;&gt;"Despesa",INDEX(Rec_Ativo,2)&lt;&gt;"Sim",INDEX(Rec_IIni,2)=0,N(INDEX(Rec_Dia,2))=0),"",IF(AND((YEAR(IF(DATE(YEAR(Cfg_Hoje),MONTH(Cfg_Hoje),MIN(INDEX(Rec_Dia,2),28))&gt;=Cfg_Hoje,DATE(YEAR(Cfg_Hoje),MONTH(Cfg_Hoje),MIN(INDEX(Rec_Dia,2),28)),DATE(YEAR(Cfg_Hoje),MONTH(Cfg_Hoje)+1,MIN(INDEX(Rec_Dia,2),28))))*12+MONTH(IF(DATE(YEAR(Cfg_Hoje),MONTH(Cfg_Hoje),MIN(INDEX(Rec_Dia,2),28))&gt;=Cfg_Hoje,DATE(YEAR(Cfg_Hoje),MONTH(Cfg_Hoje),MIN(INDEX(Rec_Dia,2),28)),DATE(YEAR(Cfg_Hoje),MONTH(Cfg_Hoje)+1,MIN(INDEX(Rec_Dia,2),28)))))&gt;=INDEX(Rec_IIni,2),(YEAR(IF(DATE(YEAR(Cfg_Hoje),MONTH(Cfg_Hoje),MIN(INDEX(Rec_Dia,2),28))&gt;=Cfg_Hoje,DATE(YEAR(Cfg_Hoje),MONTH(Cfg_Hoje),MIN(INDEX(Rec_Dia,2),28)),DATE(YEAR(Cfg_Hoje),MONTH(Cfg_Hoje)+1,MIN(INDEX(Rec_Dia,2),28))))*12+MONTH(IF(DATE(YEAR(Cfg_Hoje),MONTH(Cfg_Hoje),MIN(INDEX(Rec_Dia,2),28))&gt;=Cfg_Hoje,DATE(YEAR(Cfg_Hoje),MONTH(Cfg_Hoje),MIN(INDEX(Rec_Dia,2),28)),DATE(YEAR(Cfg_Hoje),MONTH(Cfg_Hoje)+1,MIN(INDEX(Rec_Dia,2),28)))))&lt;=INDEX(Rec_IFim,2),OR(INDEX(Rec_Freq,2)&lt;&gt;"Anual",MONTH(IF(DATE(YEAR(Cfg_Hoje),MONTH(Cfg_Hoje),MIN(INDEX(Rec_Dia,2),28))&gt;=Cfg_Hoje,DATE(YEAR(Cfg_Hoje),MONTH(Cfg_Hoje),MIN(INDEX(Rec_Dia,2),28)),DATE(YEAR(Cfg_Hoje),MONTH(Cfg_Hoje)+1,MIN(INDEX(Rec_Dia,2),28))))=INDEX(Rec_MesRef,2))),IF(DATE(YEAR(Cfg_Hoje),MONTH(Cfg_Hoje),MIN(INDEX(Rec_Dia,2),28))&gt;=Cfg_Hoje,DATE(YEAR(Cfg_Hoje),MONTH(Cfg_Hoje),MIN(INDEX(Rec_Dia,2),28)),DATE(YEAR(Cfg_Hoje),MONTH(Cfg_Hoje)+1,MIN(INDEX(Rec_Dia,2),28))),""))</f>
        <v/>
      </c>
      <c r="Q10" s="43">
        <f>IF(P10="",0,N(INDEX(Rec_Valor,2)))</f>
        <v>0</v>
      </c>
    </row>
    <row r="11">
      <c r="B11" s="9" t="inlineStr">
        <is>
          <t>Próximos 30 dias</t>
        </is>
      </c>
      <c r="C11" s="79">
        <f>SUMIFS(L_VParc,L_Tipo,"Despesa",L_Status,"&lt;&gt;Pago",L_FIni,0,L_Data,"&gt;="&amp;Cfg_Hoje,L_Data,"&lt;="&amp;(Cfg_Hoje+30))+SUMIFS(CalF_Valor,CalF_Data,"&gt;="&amp;Cfg_Hoje,CalF_Data,"&lt;="&amp;(Cfg_Hoje+30))+SUMIFS(CalR_Valor,CalR_Data,"&gt;="&amp;Cfg_Hoje,CalR_Data,"&lt;="&amp;(Cfg_Hoje+30))</f>
        <v>23348.9</v>
      </c>
      <c r="L11" s="14" t="str">
        <f>IF(INDEX(Cartoes_Nome,3)="","",INDEX(Cartoes_Nome,3))</f>
        <v/>
      </c>
      <c r="M11" s="105" t="str">
        <f>IF(L11="","",DATE(INT(((YEAR(Cfg_Hoje)*12+MONTH(Cfg_Hoje)+0)-1)/12),MOD((YEAR(Cfg_Hoje)*12+MONTH(Cfg_Hoje)+0)-1,12)+1,MIN(INDEX(Cartoes_Venc,3),DAY(DATE(INT(((YEAR(Cfg_Hoje)*12+MONTH(Cfg_Hoje)+0)-1)/12),MOD((YEAR(Cfg_Hoje)*12+MONTH(Cfg_Hoje)+0)-1,12)+2,0)))))</f>
        <v/>
      </c>
      <c r="N11" s="43">
        <f>IF(L11="",0,IF(SUMIFS(L_VParc,L_Tipo,"Transferência",L_Status,"Pago",L_Desc,"*"&amp;L11&amp;"*",L_IIni,(YEAR(Cfg_Hoje)*12+MONTH(Cfg_Hoje)+0))&lt;0,0,SUMIFS(L_VParc,L_Conta,L11,L_Tipo,"Despesa",L_FIni,"&lt;="&amp;(((YEAR(Cfg_Hoje)*12+MONTH(Cfg_Hoje)+0)-IF(INDEX(Cartoes_Venc,3)&gt;INDEX(Cartoes_Fech,3),0,1))),L_FFim,"&gt;="&amp;(((YEAR(Cfg_Hoje)*12+MONTH(Cfg_Hoje)+0)-IF(INDEX(Cartoes_Venc,3)&gt;INDEX(Cartoes_Fech,3),0,1))))))</f>
        <v>0</v>
      </c>
      <c r="P11" s="105">
        <f>IF(OR(INDEX(Rec_Tipo,3)&lt;&gt;"Despesa",INDEX(Rec_Ativo,3)&lt;&gt;"Sim",INDEX(Rec_IIni,3)=0,N(INDEX(Rec_Dia,3))=0),"",IF(AND((YEAR(IF(DATE(YEAR(Cfg_Hoje),MONTH(Cfg_Hoje),MIN(INDEX(Rec_Dia,3),28))&gt;=Cfg_Hoje,DATE(YEAR(Cfg_Hoje),MONTH(Cfg_Hoje),MIN(INDEX(Rec_Dia,3),28)),DATE(YEAR(Cfg_Hoje),MONTH(Cfg_Hoje)+1,MIN(INDEX(Rec_Dia,3),28))))*12+MONTH(IF(DATE(YEAR(Cfg_Hoje),MONTH(Cfg_Hoje),MIN(INDEX(Rec_Dia,3),28))&gt;=Cfg_Hoje,DATE(YEAR(Cfg_Hoje),MONTH(Cfg_Hoje),MIN(INDEX(Rec_Dia,3),28)),DATE(YEAR(Cfg_Hoje),MONTH(Cfg_Hoje)+1,MIN(INDEX(Rec_Dia,3),28)))))&gt;=INDEX(Rec_IIni,3),(YEAR(IF(DATE(YEAR(Cfg_Hoje),MONTH(Cfg_Hoje),MIN(INDEX(Rec_Dia,3),28))&gt;=Cfg_Hoje,DATE(YEAR(Cfg_Hoje),MONTH(Cfg_Hoje),MIN(INDEX(Rec_Dia,3),28)),DATE(YEAR(Cfg_Hoje),MONTH(Cfg_Hoje)+1,MIN(INDEX(Rec_Dia,3),28))))*12+MONTH(IF(DATE(YEAR(Cfg_Hoje),MONTH(Cfg_Hoje),MIN(INDEX(Rec_Dia,3),28))&gt;=Cfg_Hoje,DATE(YEAR(Cfg_Hoje),MONTH(Cfg_Hoje),MIN(INDEX(Rec_Dia,3),28)),DATE(YEAR(Cfg_Hoje),MONTH(Cfg_Hoje)+1,MIN(INDEX(Rec_Dia,3),28)))))&lt;=INDEX(Rec_IFim,3),OR(INDEX(Rec_Freq,3)&lt;&gt;"Anual",MONTH(IF(DATE(YEAR(Cfg_Hoje),MONTH(Cfg_Hoje),MIN(INDEX(Rec_Dia,3),28))&gt;=Cfg_Hoje,DATE(YEAR(Cfg_Hoje),MONTH(Cfg_Hoje),MIN(INDEX(Rec_Dia,3),28)),DATE(YEAR(Cfg_Hoje),MONTH(Cfg_Hoje)+1,MIN(INDEX(Rec_Dia,3),28))))=INDEX(Rec_MesRef,3))),IF(DATE(YEAR(Cfg_Hoje),MONTH(Cfg_Hoje),MIN(INDEX(Rec_Dia,3),28))&gt;=Cfg_Hoje,DATE(YEAR(Cfg_Hoje),MONTH(Cfg_Hoje),MIN(INDEX(Rec_Dia,3),28)),DATE(YEAR(Cfg_Hoje),MONTH(Cfg_Hoje)+1,MIN(INDEX(Rec_Dia,3),28))),""))</f>
        <v>46305.0</v>
      </c>
      <c r="Q11" s="43">
        <f>IF(P11="",0,N(INDEX(Rec_Valor,3)))</f>
        <v>2400</v>
      </c>
    </row>
    <row r="12">
      <c r="B12" s="28" t="inlineStr">
        <is>
          <t>Inclui: lançamentos Pendente/Agendado (exceto compras no cartão), faturas de cartão a vencer e recorrentes previstos.</t>
        </is>
      </c>
      <c r="L12" s="14" t="str">
        <f>IF(INDEX(Cartoes_Nome,4)="","",INDEX(Cartoes_Nome,4))</f>
        <v/>
      </c>
      <c r="M12" s="105" t="str">
        <f>IF(L12="","",DATE(INT(((YEAR(Cfg_Hoje)*12+MONTH(Cfg_Hoje)+0)-1)/12),MOD((YEAR(Cfg_Hoje)*12+MONTH(Cfg_Hoje)+0)-1,12)+1,MIN(INDEX(Cartoes_Venc,4),DAY(DATE(INT(((YEAR(Cfg_Hoje)*12+MONTH(Cfg_Hoje)+0)-1)/12),MOD((YEAR(Cfg_Hoje)*12+MONTH(Cfg_Hoje)+0)-1,12)+2,0)))))</f>
        <v/>
      </c>
      <c r="N12" s="43">
        <f>IF(L12="",0,IF(SUMIFS(L_VParc,L_Tipo,"Transferência",L_Status,"Pago",L_Desc,"*"&amp;L12&amp;"*",L_IIni,(YEAR(Cfg_Hoje)*12+MONTH(Cfg_Hoje)+0))&lt;0,0,SUMIFS(L_VParc,L_Conta,L12,L_Tipo,"Despesa",L_FIni,"&lt;="&amp;(((YEAR(Cfg_Hoje)*12+MONTH(Cfg_Hoje)+0)-IF(INDEX(Cartoes_Venc,4)&gt;INDEX(Cartoes_Fech,4),0,1))),L_FFim,"&gt;="&amp;(((YEAR(Cfg_Hoje)*12+MONTH(Cfg_Hoje)+0)-IF(INDEX(Cartoes_Venc,4)&gt;INDEX(Cartoes_Fech,4),0,1))))))</f>
        <v>0</v>
      </c>
      <c r="P12" s="105">
        <f>IF(OR(INDEX(Rec_Tipo,4)&lt;&gt;"Despesa",INDEX(Rec_Ativo,4)&lt;&gt;"Sim",INDEX(Rec_IIni,4)=0,N(INDEX(Rec_Dia,4))=0),"",IF(AND((YEAR(IF(DATE(YEAR(Cfg_Hoje),MONTH(Cfg_Hoje),MIN(INDEX(Rec_Dia,4),28))&gt;=Cfg_Hoje,DATE(YEAR(Cfg_Hoje),MONTH(Cfg_Hoje),MIN(INDEX(Rec_Dia,4),28)),DATE(YEAR(Cfg_Hoje),MONTH(Cfg_Hoje)+1,MIN(INDEX(Rec_Dia,4),28))))*12+MONTH(IF(DATE(YEAR(Cfg_Hoje),MONTH(Cfg_Hoje),MIN(INDEX(Rec_Dia,4),28))&gt;=Cfg_Hoje,DATE(YEAR(Cfg_Hoje),MONTH(Cfg_Hoje),MIN(INDEX(Rec_Dia,4),28)),DATE(YEAR(Cfg_Hoje),MONTH(Cfg_Hoje)+1,MIN(INDEX(Rec_Dia,4),28)))))&gt;=INDEX(Rec_IIni,4),(YEAR(IF(DATE(YEAR(Cfg_Hoje),MONTH(Cfg_Hoje),MIN(INDEX(Rec_Dia,4),28))&gt;=Cfg_Hoje,DATE(YEAR(Cfg_Hoje),MONTH(Cfg_Hoje),MIN(INDEX(Rec_Dia,4),28)),DATE(YEAR(Cfg_Hoje),MONTH(Cfg_Hoje)+1,MIN(INDEX(Rec_Dia,4),28))))*12+MONTH(IF(DATE(YEAR(Cfg_Hoje),MONTH(Cfg_Hoje),MIN(INDEX(Rec_Dia,4),28))&gt;=Cfg_Hoje,DATE(YEAR(Cfg_Hoje),MONTH(Cfg_Hoje),MIN(INDEX(Rec_Dia,4),28)),DATE(YEAR(Cfg_Hoje),MONTH(Cfg_Hoje)+1,MIN(INDEX(Rec_Dia,4),28)))))&lt;=INDEX(Rec_IFim,4),OR(INDEX(Rec_Freq,4)&lt;&gt;"Anual",MONTH(IF(DATE(YEAR(Cfg_Hoje),MONTH(Cfg_Hoje),MIN(INDEX(Rec_Dia,4),28))&gt;=Cfg_Hoje,DATE(YEAR(Cfg_Hoje),MONTH(Cfg_Hoje),MIN(INDEX(Rec_Dia,4),28)),DATE(YEAR(Cfg_Hoje),MONTH(Cfg_Hoje)+1,MIN(INDEX(Rec_Dia,4),28))))=INDEX(Rec_MesRef,4))),IF(DATE(YEAR(Cfg_Hoje),MONTH(Cfg_Hoje),MIN(INDEX(Rec_Dia,4),28))&gt;=Cfg_Hoje,DATE(YEAR(Cfg_Hoje),MONTH(Cfg_Hoje),MIN(INDEX(Rec_Dia,4),28)),DATE(YEAR(Cfg_Hoje),MONTH(Cfg_Hoje)+1,MIN(INDEX(Rec_Dia,4),28))),""))</f>
        <v>46305.0</v>
      </c>
      <c r="Q12" s="43">
        <f>IF(P12="",0,N(INDEX(Rec_Valor,4)))</f>
        <v>650</v>
      </c>
    </row>
    <row r="13">
      <c r="L13" s="14" t="str">
        <f>IF(INDEX(Cartoes_Nome,5)="","",INDEX(Cartoes_Nome,5))</f>
        <v/>
      </c>
      <c r="M13" s="105" t="str">
        <f>IF(L13="","",DATE(INT(((YEAR(Cfg_Hoje)*12+MONTH(Cfg_Hoje)+0)-1)/12),MOD((YEAR(Cfg_Hoje)*12+MONTH(Cfg_Hoje)+0)-1,12)+1,MIN(INDEX(Cartoes_Venc,5),DAY(DATE(INT(((YEAR(Cfg_Hoje)*12+MONTH(Cfg_Hoje)+0)-1)/12),MOD((YEAR(Cfg_Hoje)*12+MONTH(Cfg_Hoje)+0)-1,12)+2,0)))))</f>
        <v/>
      </c>
      <c r="N13" s="43">
        <f>IF(L13="",0,IF(SUMIFS(L_VParc,L_Tipo,"Transferência",L_Status,"Pago",L_Desc,"*"&amp;L13&amp;"*",L_IIni,(YEAR(Cfg_Hoje)*12+MONTH(Cfg_Hoje)+0))&lt;0,0,SUMIFS(L_VParc,L_Conta,L13,L_Tipo,"Despesa",L_FIni,"&lt;="&amp;(((YEAR(Cfg_Hoje)*12+MONTH(Cfg_Hoje)+0)-IF(INDEX(Cartoes_Venc,5)&gt;INDEX(Cartoes_Fech,5),0,1))),L_FFim,"&gt;="&amp;(((YEAR(Cfg_Hoje)*12+MONTH(Cfg_Hoje)+0)-IF(INDEX(Cartoes_Venc,5)&gt;INDEX(Cartoes_Fech,5),0,1))))))</f>
        <v>0</v>
      </c>
      <c r="P13" s="105">
        <f>IF(OR(INDEX(Rec_Tipo,5)&lt;&gt;"Despesa",INDEX(Rec_Ativo,5)&lt;&gt;"Sim",INDEX(Rec_IIni,5)=0,N(INDEX(Rec_Dia,5))=0),"",IF(AND((YEAR(IF(DATE(YEAR(Cfg_Hoje),MONTH(Cfg_Hoje),MIN(INDEX(Rec_Dia,5),28))&gt;=Cfg_Hoje,DATE(YEAR(Cfg_Hoje),MONTH(Cfg_Hoje),MIN(INDEX(Rec_Dia,5),28)),DATE(YEAR(Cfg_Hoje),MONTH(Cfg_Hoje)+1,MIN(INDEX(Rec_Dia,5),28))))*12+MONTH(IF(DATE(YEAR(Cfg_Hoje),MONTH(Cfg_Hoje),MIN(INDEX(Rec_Dia,5),28))&gt;=Cfg_Hoje,DATE(YEAR(Cfg_Hoje),MONTH(Cfg_Hoje),MIN(INDEX(Rec_Dia,5),28)),DATE(YEAR(Cfg_Hoje),MONTH(Cfg_Hoje)+1,MIN(INDEX(Rec_Dia,5),28)))))&gt;=INDEX(Rec_IIni,5),(YEAR(IF(DATE(YEAR(Cfg_Hoje),MONTH(Cfg_Hoje),MIN(INDEX(Rec_Dia,5),28))&gt;=Cfg_Hoje,DATE(YEAR(Cfg_Hoje),MONTH(Cfg_Hoje),MIN(INDEX(Rec_Dia,5),28)),DATE(YEAR(Cfg_Hoje),MONTH(Cfg_Hoje)+1,MIN(INDEX(Rec_Dia,5),28))))*12+MONTH(IF(DATE(YEAR(Cfg_Hoje),MONTH(Cfg_Hoje),MIN(INDEX(Rec_Dia,5),28))&gt;=Cfg_Hoje,DATE(YEAR(Cfg_Hoje),MONTH(Cfg_Hoje),MIN(INDEX(Rec_Dia,5),28)),DATE(YEAR(Cfg_Hoje),MONTH(Cfg_Hoje)+1,MIN(INDEX(Rec_Dia,5),28)))))&lt;=INDEX(Rec_IFim,5),OR(INDEX(Rec_Freq,5)&lt;&gt;"Anual",MONTH(IF(DATE(YEAR(Cfg_Hoje),MONTH(Cfg_Hoje),MIN(INDEX(Rec_Dia,5),28))&gt;=Cfg_Hoje,DATE(YEAR(Cfg_Hoje),MONTH(Cfg_Hoje),MIN(INDEX(Rec_Dia,5),28)),DATE(YEAR(Cfg_Hoje),MONTH(Cfg_Hoje)+1,MIN(INDEX(Rec_Dia,5),28))))=INDEX(Rec_MesRef,5))),IF(DATE(YEAR(Cfg_Hoje),MONTH(Cfg_Hoje),MIN(INDEX(Rec_Dia,5),28))&gt;=Cfg_Hoje,DATE(YEAR(Cfg_Hoje),MONTH(Cfg_Hoje),MIN(INDEX(Rec_Dia,5),28)),DATE(YEAR(Cfg_Hoje),MONTH(Cfg_Hoje)+1,MIN(INDEX(Rec_Dia,5),28))),""))</f>
        <v>46310.0</v>
      </c>
      <c r="Q13" s="43">
        <f>IF(P13="",0,N(INDEX(Rec_Valor,5)))</f>
        <v>260</v>
      </c>
    </row>
    <row r="14">
      <c r="B14" s="6" t="inlineStr">
        <is>
          <t>2. Calendário do mês (valor a pagar por dia)</t>
        </is>
      </c>
      <c r="L14" s="14" t="str">
        <f>IF(INDEX(Cartoes_Nome,6)="","",INDEX(Cartoes_Nome,6))</f>
        <v/>
      </c>
      <c r="M14" s="105" t="str">
        <f>IF(L14="","",DATE(INT(((YEAR(Cfg_Hoje)*12+MONTH(Cfg_Hoje)+0)-1)/12),MOD((YEAR(Cfg_Hoje)*12+MONTH(Cfg_Hoje)+0)-1,12)+1,MIN(INDEX(Cartoes_Venc,6),DAY(DATE(INT(((YEAR(Cfg_Hoje)*12+MONTH(Cfg_Hoje)+0)-1)/12),MOD((YEAR(Cfg_Hoje)*12+MONTH(Cfg_Hoje)+0)-1,12)+2,0)))))</f>
        <v/>
      </c>
      <c r="N14" s="43">
        <f>IF(L14="",0,IF(SUMIFS(L_VParc,L_Tipo,"Transferência",L_Status,"Pago",L_Desc,"*"&amp;L14&amp;"*",L_IIni,(YEAR(Cfg_Hoje)*12+MONTH(Cfg_Hoje)+0))&lt;0,0,SUMIFS(L_VParc,L_Conta,L14,L_Tipo,"Despesa",L_FIni,"&lt;="&amp;(((YEAR(Cfg_Hoje)*12+MONTH(Cfg_Hoje)+0)-IF(INDEX(Cartoes_Venc,6)&gt;INDEX(Cartoes_Fech,6),0,1))),L_FFim,"&gt;="&amp;(((YEAR(Cfg_Hoje)*12+MONTH(Cfg_Hoje)+0)-IF(INDEX(Cartoes_Venc,6)&gt;INDEX(Cartoes_Fech,6),0,1))))))</f>
        <v>0</v>
      </c>
      <c r="P14" s="105">
        <f>IF(OR(INDEX(Rec_Tipo,6)&lt;&gt;"Despesa",INDEX(Rec_Ativo,6)&lt;&gt;"Sim",INDEX(Rec_IIni,6)=0,N(INDEX(Rec_Dia,6))=0),"",IF(AND((YEAR(IF(DATE(YEAR(Cfg_Hoje),MONTH(Cfg_Hoje),MIN(INDEX(Rec_Dia,6),28))&gt;=Cfg_Hoje,DATE(YEAR(Cfg_Hoje),MONTH(Cfg_Hoje),MIN(INDEX(Rec_Dia,6),28)),DATE(YEAR(Cfg_Hoje),MONTH(Cfg_Hoje)+1,MIN(INDEX(Rec_Dia,6),28))))*12+MONTH(IF(DATE(YEAR(Cfg_Hoje),MONTH(Cfg_Hoje),MIN(INDEX(Rec_Dia,6),28))&gt;=Cfg_Hoje,DATE(YEAR(Cfg_Hoje),MONTH(Cfg_Hoje),MIN(INDEX(Rec_Dia,6),28)),DATE(YEAR(Cfg_Hoje),MONTH(Cfg_Hoje)+1,MIN(INDEX(Rec_Dia,6),28)))))&gt;=INDEX(Rec_IIni,6),(YEAR(IF(DATE(YEAR(Cfg_Hoje),MONTH(Cfg_Hoje),MIN(INDEX(Rec_Dia,6),28))&gt;=Cfg_Hoje,DATE(YEAR(Cfg_Hoje),MONTH(Cfg_Hoje),MIN(INDEX(Rec_Dia,6),28)),DATE(YEAR(Cfg_Hoje),MONTH(Cfg_Hoje)+1,MIN(INDEX(Rec_Dia,6),28))))*12+MONTH(IF(DATE(YEAR(Cfg_Hoje),MONTH(Cfg_Hoje),MIN(INDEX(Rec_Dia,6),28))&gt;=Cfg_Hoje,DATE(YEAR(Cfg_Hoje),MONTH(Cfg_Hoje),MIN(INDEX(Rec_Dia,6),28)),DATE(YEAR(Cfg_Hoje),MONTH(Cfg_Hoje)+1,MIN(INDEX(Rec_Dia,6),28)))))&lt;=INDEX(Rec_IFim,6),OR(INDEX(Rec_Freq,6)&lt;&gt;"Anual",MONTH(IF(DATE(YEAR(Cfg_Hoje),MONTH(Cfg_Hoje),MIN(INDEX(Rec_Dia,6),28))&gt;=Cfg_Hoje,DATE(YEAR(Cfg_Hoje),MONTH(Cfg_Hoje),MIN(INDEX(Rec_Dia,6),28)),DATE(YEAR(Cfg_Hoje),MONTH(Cfg_Hoje)+1,MIN(INDEX(Rec_Dia,6),28))))=INDEX(Rec_MesRef,6))),IF(DATE(YEAR(Cfg_Hoje),MONTH(Cfg_Hoje),MIN(INDEX(Rec_Dia,6),28))&gt;=Cfg_Hoje,DATE(YEAR(Cfg_Hoje),MONTH(Cfg_Hoje),MIN(INDEX(Rec_Dia,6),28)),DATE(YEAR(Cfg_Hoje),MONTH(Cfg_Hoje)+1,MIN(INDEX(Rec_Dia,6),28))),""))</f>
        <v>46315.0</v>
      </c>
      <c r="Q14" s="43">
        <f>IF(P14="",0,N(INDEX(Rec_Valor,6)))</f>
        <v>129.9</v>
      </c>
    </row>
    <row r="15">
      <c r="B15" s="7" t="inlineStr">
        <is>
          <t>Dom</t>
        </is>
      </c>
      <c r="C15" s="7" t="inlineStr">
        <is>
          <t>Seg</t>
        </is>
      </c>
      <c r="D15" s="7" t="inlineStr">
        <is>
          <t>Ter</t>
        </is>
      </c>
      <c r="E15" s="7" t="inlineStr">
        <is>
          <t>Qua</t>
        </is>
      </c>
      <c r="F15" s="7" t="inlineStr">
        <is>
          <t>Qui</t>
        </is>
      </c>
      <c r="G15" s="7" t="inlineStr">
        <is>
          <t>Sex</t>
        </is>
      </c>
      <c r="H15" s="7" t="inlineStr">
        <is>
          <t>Sáb</t>
        </is>
      </c>
      <c r="L15" s="14" t="str">
        <f>IF(INDEX(Cartoes_Nome,7)="","",INDEX(Cartoes_Nome,7))</f>
        <v/>
      </c>
      <c r="M15" s="105" t="str">
        <f>IF(L15="","",DATE(INT(((YEAR(Cfg_Hoje)*12+MONTH(Cfg_Hoje)+0)-1)/12),MOD((YEAR(Cfg_Hoje)*12+MONTH(Cfg_Hoje)+0)-1,12)+1,MIN(INDEX(Cartoes_Venc,7),DAY(DATE(INT(((YEAR(Cfg_Hoje)*12+MONTH(Cfg_Hoje)+0)-1)/12),MOD((YEAR(Cfg_Hoje)*12+MONTH(Cfg_Hoje)+0)-1,12)+2,0)))))</f>
        <v/>
      </c>
      <c r="N15" s="43">
        <f>IF(L15="",0,IF(SUMIFS(L_VParc,L_Tipo,"Transferência",L_Status,"Pago",L_Desc,"*"&amp;L15&amp;"*",L_IIni,(YEAR(Cfg_Hoje)*12+MONTH(Cfg_Hoje)+0))&lt;0,0,SUMIFS(L_VParc,L_Conta,L15,L_Tipo,"Despesa",L_FIni,"&lt;="&amp;(((YEAR(Cfg_Hoje)*12+MONTH(Cfg_Hoje)+0)-IF(INDEX(Cartoes_Venc,7)&gt;INDEX(Cartoes_Fech,7),0,1))),L_FFim,"&gt;="&amp;(((YEAR(Cfg_Hoje)*12+MONTH(Cfg_Hoje)+0)-IF(INDEX(Cartoes_Venc,7)&gt;INDEX(Cartoes_Fech,7),0,1))))))</f>
        <v>0</v>
      </c>
      <c r="P15" s="105">
        <f>IF(OR(INDEX(Rec_Tipo,7)&lt;&gt;"Despesa",INDEX(Rec_Ativo,7)&lt;&gt;"Sim",INDEX(Rec_IIni,7)=0,N(INDEX(Rec_Dia,7))=0),"",IF(AND((YEAR(IF(DATE(YEAR(Cfg_Hoje),MONTH(Cfg_Hoje),MIN(INDEX(Rec_Dia,7),28))&gt;=Cfg_Hoje,DATE(YEAR(Cfg_Hoje),MONTH(Cfg_Hoje),MIN(INDEX(Rec_Dia,7),28)),DATE(YEAR(Cfg_Hoje),MONTH(Cfg_Hoje)+1,MIN(INDEX(Rec_Dia,7),28))))*12+MONTH(IF(DATE(YEAR(Cfg_Hoje),MONTH(Cfg_Hoje),MIN(INDEX(Rec_Dia,7),28))&gt;=Cfg_Hoje,DATE(YEAR(Cfg_Hoje),MONTH(Cfg_Hoje),MIN(INDEX(Rec_Dia,7),28)),DATE(YEAR(Cfg_Hoje),MONTH(Cfg_Hoje)+1,MIN(INDEX(Rec_Dia,7),28)))))&gt;=INDEX(Rec_IIni,7),(YEAR(IF(DATE(YEAR(Cfg_Hoje),MONTH(Cfg_Hoje),MIN(INDEX(Rec_Dia,7),28))&gt;=Cfg_Hoje,DATE(YEAR(Cfg_Hoje),MONTH(Cfg_Hoje),MIN(INDEX(Rec_Dia,7),28)),DATE(YEAR(Cfg_Hoje),MONTH(Cfg_Hoje)+1,MIN(INDEX(Rec_Dia,7),28))))*12+MONTH(IF(DATE(YEAR(Cfg_Hoje),MONTH(Cfg_Hoje),MIN(INDEX(Rec_Dia,7),28))&gt;=Cfg_Hoje,DATE(YEAR(Cfg_Hoje),MONTH(Cfg_Hoje),MIN(INDEX(Rec_Dia,7),28)),DATE(YEAR(Cfg_Hoje),MONTH(Cfg_Hoje)+1,MIN(INDEX(Rec_Dia,7),28)))))&lt;=INDEX(Rec_IFim,7),OR(INDEX(Rec_Freq,7)&lt;&gt;"Anual",MONTH(IF(DATE(YEAR(Cfg_Hoje),MONTH(Cfg_Hoje),MIN(INDEX(Rec_Dia,7),28))&gt;=Cfg_Hoje,DATE(YEAR(Cfg_Hoje),MONTH(Cfg_Hoje),MIN(INDEX(Rec_Dia,7),28)),DATE(YEAR(Cfg_Hoje),MONTH(Cfg_Hoje)+1,MIN(INDEX(Rec_Dia,7),28))))=INDEX(Rec_MesRef,7))),IF(DATE(YEAR(Cfg_Hoje),MONTH(Cfg_Hoje),MIN(INDEX(Rec_Dia,7),28))&gt;=Cfg_Hoje,DATE(YEAR(Cfg_Hoje),MONTH(Cfg_Hoje),MIN(INDEX(Rec_Dia,7),28)),DATE(YEAR(Cfg_Hoje),MONTH(Cfg_Hoje)+1,MIN(INDEX(Rec_Dia,7),28))),""))</f>
        <v>46300.0</v>
      </c>
      <c r="Q15" s="43">
        <f>IF(P15="",0,N(INDEX(Rec_Valor,7)))</f>
        <v>780</v>
      </c>
    </row>
    <row r="16">
      <c r="B16" s="110" t="str">
        <f>IF(AND((1-(WEEKDAY(Sel_Ini)-1))&gt;=1,(1-(WEEKDAY(Sel_Ini)-1))&lt;=Sel_Dias),(1-(WEEKDAY(Sel_Ini)-1)),"")</f>
        <v/>
      </c>
      <c r="C16" s="110" t="str">
        <f>IF(AND((2-(WEEKDAY(Sel_Ini)-1))&gt;=1,(2-(WEEKDAY(Sel_Ini)-1))&lt;=Sel_Dias),(2-(WEEKDAY(Sel_Ini)-1)),"")</f>
        <v/>
      </c>
      <c r="D16" s="110">
        <f>IF(AND((3-(WEEKDAY(Sel_Ini)-1))&gt;=1,(3-(WEEKDAY(Sel_Ini)-1))&lt;=Sel_Dias),(3-(WEEKDAY(Sel_Ini)-1)),"")</f>
        <v>1</v>
      </c>
      <c r="E16" s="110">
        <f>IF(AND((4-(WEEKDAY(Sel_Ini)-1))&gt;=1,(4-(WEEKDAY(Sel_Ini)-1))&lt;=Sel_Dias),(4-(WEEKDAY(Sel_Ini)-1)),"")</f>
        <v>2</v>
      </c>
      <c r="F16" s="110">
        <f>IF(AND((5-(WEEKDAY(Sel_Ini)-1))&gt;=1,(5-(WEEKDAY(Sel_Ini)-1))&lt;=Sel_Dias),(5-(WEEKDAY(Sel_Ini)-1)),"")</f>
        <v>3</v>
      </c>
      <c r="G16" s="110">
        <f>IF(AND((6-(WEEKDAY(Sel_Ini)-1))&gt;=1,(6-(WEEKDAY(Sel_Ini)-1))&lt;=Sel_Dias),(6-(WEEKDAY(Sel_Ini)-1)),"")</f>
        <v>4</v>
      </c>
      <c r="H16" s="110">
        <f>IF(AND((7-(WEEKDAY(Sel_Ini)-1))&gt;=1,(7-(WEEKDAY(Sel_Ini)-1))&lt;=Sel_Dias),(7-(WEEKDAY(Sel_Ini)-1)),"")</f>
        <v>5</v>
      </c>
      <c r="L16" s="14" t="str">
        <f>IF(INDEX(Cartoes_Nome,8)="","",INDEX(Cartoes_Nome,8))</f>
        <v/>
      </c>
      <c r="M16" s="105" t="str">
        <f>IF(L16="","",DATE(INT(((YEAR(Cfg_Hoje)*12+MONTH(Cfg_Hoje)+0)-1)/12),MOD((YEAR(Cfg_Hoje)*12+MONTH(Cfg_Hoje)+0)-1,12)+1,MIN(INDEX(Cartoes_Venc,8),DAY(DATE(INT(((YEAR(Cfg_Hoje)*12+MONTH(Cfg_Hoje)+0)-1)/12),MOD((YEAR(Cfg_Hoje)*12+MONTH(Cfg_Hoje)+0)-1,12)+2,0)))))</f>
        <v/>
      </c>
      <c r="N16" s="43">
        <f>IF(L16="",0,IF(SUMIFS(L_VParc,L_Tipo,"Transferência",L_Status,"Pago",L_Desc,"*"&amp;L16&amp;"*",L_IIni,(YEAR(Cfg_Hoje)*12+MONTH(Cfg_Hoje)+0))&lt;0,0,SUMIFS(L_VParc,L_Conta,L16,L_Tipo,"Despesa",L_FIni,"&lt;="&amp;(((YEAR(Cfg_Hoje)*12+MONTH(Cfg_Hoje)+0)-IF(INDEX(Cartoes_Venc,8)&gt;INDEX(Cartoes_Fech,8),0,1))),L_FFim,"&gt;="&amp;(((YEAR(Cfg_Hoje)*12+MONTH(Cfg_Hoje)+0)-IF(INDEX(Cartoes_Venc,8)&gt;INDEX(Cartoes_Fech,8),0,1))))))</f>
        <v>0</v>
      </c>
      <c r="P16" s="105">
        <f>IF(OR(INDEX(Rec_Tipo,8)&lt;&gt;"Despesa",INDEX(Rec_Ativo,8)&lt;&gt;"Sim",INDEX(Rec_IIni,8)=0,N(INDEX(Rec_Dia,8))=0),"",IF(AND((YEAR(IF(DATE(YEAR(Cfg_Hoje),MONTH(Cfg_Hoje),MIN(INDEX(Rec_Dia,8),28))&gt;=Cfg_Hoje,DATE(YEAR(Cfg_Hoje),MONTH(Cfg_Hoje),MIN(INDEX(Rec_Dia,8),28)),DATE(YEAR(Cfg_Hoje),MONTH(Cfg_Hoje)+1,MIN(INDEX(Rec_Dia,8),28))))*12+MONTH(IF(DATE(YEAR(Cfg_Hoje),MONTH(Cfg_Hoje),MIN(INDEX(Rec_Dia,8),28))&gt;=Cfg_Hoje,DATE(YEAR(Cfg_Hoje),MONTH(Cfg_Hoje),MIN(INDEX(Rec_Dia,8),28)),DATE(YEAR(Cfg_Hoje),MONTH(Cfg_Hoje)+1,MIN(INDEX(Rec_Dia,8),28)))))&gt;=INDEX(Rec_IIni,8),(YEAR(IF(DATE(YEAR(Cfg_Hoje),MONTH(Cfg_Hoje),MIN(INDEX(Rec_Dia,8),28))&gt;=Cfg_Hoje,DATE(YEAR(Cfg_Hoje),MONTH(Cfg_Hoje),MIN(INDEX(Rec_Dia,8),28)),DATE(YEAR(Cfg_Hoje),MONTH(Cfg_Hoje)+1,MIN(INDEX(Rec_Dia,8),28))))*12+MONTH(IF(DATE(YEAR(Cfg_Hoje),MONTH(Cfg_Hoje),MIN(INDEX(Rec_Dia,8),28))&gt;=Cfg_Hoje,DATE(YEAR(Cfg_Hoje),MONTH(Cfg_Hoje),MIN(INDEX(Rec_Dia,8),28)),DATE(YEAR(Cfg_Hoje),MONTH(Cfg_Hoje)+1,MIN(INDEX(Rec_Dia,8),28)))))&lt;=INDEX(Rec_IFim,8),OR(INDEX(Rec_Freq,8)&lt;&gt;"Anual",MONTH(IF(DATE(YEAR(Cfg_Hoje),MONTH(Cfg_Hoje),MIN(INDEX(Rec_Dia,8),28))&gt;=Cfg_Hoje,DATE(YEAR(Cfg_Hoje),MONTH(Cfg_Hoje),MIN(INDEX(Rec_Dia,8),28)),DATE(YEAR(Cfg_Hoje),MONTH(Cfg_Hoje)+1,MIN(INDEX(Rec_Dia,8),28))))=INDEX(Rec_MesRef,8))),IF(DATE(YEAR(Cfg_Hoje),MONTH(Cfg_Hoje),MIN(INDEX(Rec_Dia,8),28))&gt;=Cfg_Hoje,DATE(YEAR(Cfg_Hoje),MONTH(Cfg_Hoje),MIN(INDEX(Rec_Dia,8),28)),DATE(YEAR(Cfg_Hoje),MONTH(Cfg_Hoje)+1,MIN(INDEX(Rec_Dia,8),28))),""))</f>
        <v>46303.0</v>
      </c>
      <c r="Q16" s="43">
        <f>IF(P16="",0,N(INDEX(Rec_Valor,8)))</f>
        <v>390</v>
      </c>
    </row>
    <row r="17" ht="20" customHeight="1">
      <c r="B17" s="111" t="str">
        <f>IF(B16="","",SUMIFS(L_VParc,L_Tipo,"Despesa",L_FIni,0,L_IIni,"&lt;="&amp;Sel_Idx,L_IFim,"&gt;="&amp;Sel_Idx,L_Dia,B16)+IF(Sel_Idx&gt;Cfg_Idx,(SUMIFS(Rec_Valor,Rec_Tipo,"Despesa",Rec_Ativo,"Sim",Rec_Dia,B16,Rec_IIni,"&lt;="&amp;(Sel_Idx),Rec_IFim,"&gt;="&amp;(Sel_Idx),Rec_Freq,"&lt;&gt;Anual")+SUMIFS(Rec_Valor,Rec_Tipo,"Despesa",Rec_Ativo,"Sim",Rec_Dia,B16,Rec_IIni,"&lt;="&amp;(Sel_Idx),Rec_IFim,"&gt;="&amp;(Sel_Idx),Rec_Freq,"Anual",Rec_MesRef,MOD((Sel_Idx)-1,12)+1)),0)+SUMIFS($D$85:$D$92,$C$85:$C$92,B16))</f>
        <v/>
      </c>
      <c r="C17" s="111" t="str">
        <f>IF(C16="","",SUMIFS(L_VParc,L_Tipo,"Despesa",L_FIni,0,L_IIni,"&lt;="&amp;Sel_Idx,L_IFim,"&gt;="&amp;Sel_Idx,L_Dia,C16)+IF(Sel_Idx&gt;Cfg_Idx,(SUMIFS(Rec_Valor,Rec_Tipo,"Despesa",Rec_Ativo,"Sim",Rec_Dia,C16,Rec_IIni,"&lt;="&amp;(Sel_Idx),Rec_IFim,"&gt;="&amp;(Sel_Idx),Rec_Freq,"&lt;&gt;Anual")+SUMIFS(Rec_Valor,Rec_Tipo,"Despesa",Rec_Ativo,"Sim",Rec_Dia,C16,Rec_IIni,"&lt;="&amp;(Sel_Idx),Rec_IFim,"&gt;="&amp;(Sel_Idx),Rec_Freq,"Anual",Rec_MesRef,MOD((Sel_Idx)-1,12)+1)),0)+SUMIFS($D$85:$D$92,$C$85:$C$92,C16))</f>
        <v/>
      </c>
      <c r="D17" s="111">
        <f>IF(D16="","",SUMIFS(L_VParc,L_Tipo,"Despesa",L_FIni,0,L_IIni,"&lt;="&amp;Sel_Idx,L_IFim,"&gt;="&amp;Sel_Idx,L_Dia,D16)+IF(Sel_Idx&gt;Cfg_Idx,(SUMIFS(Rec_Valor,Rec_Tipo,"Despesa",Rec_Ativo,"Sim",Rec_Dia,D16,Rec_IIni,"&lt;="&amp;(Sel_Idx),Rec_IFim,"&gt;="&amp;(Sel_Idx),Rec_Freq,"&lt;&gt;Anual")+SUMIFS(Rec_Valor,Rec_Tipo,"Despesa",Rec_Ativo,"Sim",Rec_Dia,D16,Rec_IIni,"&lt;="&amp;(Sel_Idx),Rec_IFim,"&gt;="&amp;(Sel_Idx),Rec_Freq,"Anual",Rec_MesRef,MOD((Sel_Idx)-1,12)+1)),0)+SUMIFS($D$85:$D$92,$C$85:$C$92,D16))</f>
        <v>0</v>
      </c>
      <c r="E17" s="111">
        <f>IF(E16="","",SUMIFS(L_VParc,L_Tipo,"Despesa",L_FIni,0,L_IIni,"&lt;="&amp;Sel_Idx,L_IFim,"&gt;="&amp;Sel_Idx,L_Dia,E16)+IF(Sel_Idx&gt;Cfg_Idx,(SUMIFS(Rec_Valor,Rec_Tipo,"Despesa",Rec_Ativo,"Sim",Rec_Dia,E16,Rec_IIni,"&lt;="&amp;(Sel_Idx),Rec_IFim,"&gt;="&amp;(Sel_Idx),Rec_Freq,"&lt;&gt;Anual")+SUMIFS(Rec_Valor,Rec_Tipo,"Despesa",Rec_Ativo,"Sim",Rec_Dia,E16,Rec_IIni,"&lt;="&amp;(Sel_Idx),Rec_IFim,"&gt;="&amp;(Sel_Idx),Rec_Freq,"Anual",Rec_MesRef,MOD((Sel_Idx)-1,12)+1)),0)+SUMIFS($D$85:$D$92,$C$85:$C$92,E16))</f>
        <v>0</v>
      </c>
      <c r="F17" s="111">
        <f>IF(F16="","",SUMIFS(L_VParc,L_Tipo,"Despesa",L_FIni,0,L_IIni,"&lt;="&amp;Sel_Idx,L_IFim,"&gt;="&amp;Sel_Idx,L_Dia,F16)+IF(Sel_Idx&gt;Cfg_Idx,(SUMIFS(Rec_Valor,Rec_Tipo,"Despesa",Rec_Ativo,"Sim",Rec_Dia,F16,Rec_IIni,"&lt;="&amp;(Sel_Idx),Rec_IFim,"&gt;="&amp;(Sel_Idx),Rec_Freq,"&lt;&gt;Anual")+SUMIFS(Rec_Valor,Rec_Tipo,"Despesa",Rec_Ativo,"Sim",Rec_Dia,F16,Rec_IIni,"&lt;="&amp;(Sel_Idx),Rec_IFim,"&gt;="&amp;(Sel_Idx),Rec_Freq,"Anual",Rec_MesRef,MOD((Sel_Idx)-1,12)+1)),0)+SUMIFS($D$85:$D$92,$C$85:$C$92,F16))</f>
        <v>129</v>
      </c>
      <c r="G17" s="111">
        <f>IF(G16="","",SUMIFS(L_VParc,L_Tipo,"Despesa",L_FIni,0,L_IIni,"&lt;="&amp;Sel_Idx,L_IFim,"&gt;="&amp;Sel_Idx,L_Dia,G16)+IF(Sel_Idx&gt;Cfg_Idx,(SUMIFS(Rec_Valor,Rec_Tipo,"Despesa",Rec_Ativo,"Sim",Rec_Dia,G16,Rec_IIni,"&lt;="&amp;(Sel_Idx),Rec_IFim,"&gt;="&amp;(Sel_Idx),Rec_Freq,"&lt;&gt;Anual")+SUMIFS(Rec_Valor,Rec_Tipo,"Despesa",Rec_Ativo,"Sim",Rec_Dia,G16,Rec_IIni,"&lt;="&amp;(Sel_Idx),Rec_IFim,"&gt;="&amp;(Sel_Idx),Rec_Freq,"Anual",Rec_MesRef,MOD((Sel_Idx)-1,12)+1)),0)+SUMIFS($D$85:$D$92,$C$85:$C$92,G16))</f>
        <v>0</v>
      </c>
      <c r="H17" s="111">
        <f>IF(H16="","",SUMIFS(L_VParc,L_Tipo,"Despesa",L_FIni,0,L_IIni,"&lt;="&amp;Sel_Idx,L_IFim,"&gt;="&amp;Sel_Idx,L_Dia,H16)+IF(Sel_Idx&gt;Cfg_Idx,(SUMIFS(Rec_Valor,Rec_Tipo,"Despesa",Rec_Ativo,"Sim",Rec_Dia,H16,Rec_IIni,"&lt;="&amp;(Sel_Idx),Rec_IFim,"&gt;="&amp;(Sel_Idx),Rec_Freq,"&lt;&gt;Anual")+SUMIFS(Rec_Valor,Rec_Tipo,"Despesa",Rec_Ativo,"Sim",Rec_Dia,H16,Rec_IIni,"&lt;="&amp;(Sel_Idx),Rec_IFim,"&gt;="&amp;(Sel_Idx),Rec_Freq,"Anual",Rec_MesRef,MOD((Sel_Idx)-1,12)+1)),0)+SUMIFS($D$85:$D$92,$C$85:$C$92,H16))</f>
        <v>1758.97</v>
      </c>
      <c r="L17" s="14" t="str">
        <f>IF(INDEX(Cartoes_Nome,1)="","",INDEX(Cartoes_Nome,1))</f>
        <v>Cartão Roxinho</v>
      </c>
      <c r="M17" s="105">
        <f>IF(L17="","",DATE(INT(((YEAR(Cfg_Hoje)*12+MONTH(Cfg_Hoje)+1)-1)/12),MOD((YEAR(Cfg_Hoje)*12+MONTH(Cfg_Hoje)+1)-1,12)+1,MIN(INDEX(Cartoes_Venc,1),DAY(DATE(INT(((YEAR(Cfg_Hoje)*12+MONTH(Cfg_Hoje)+1)-1)/12),MOD((YEAR(Cfg_Hoje)*12+MONTH(Cfg_Hoje)+1)-1,12)+2,0)))))</f>
        <v>46331.0</v>
      </c>
      <c r="N17" s="43">
        <f>IF(L17="",0,IF(SUMIFS(L_VParc,L_Tipo,"Transferência",L_Status,"Pago",L_Desc,"*"&amp;L17&amp;"*",L_IIni,(YEAR(Cfg_Hoje)*12+MONTH(Cfg_Hoje)+1))&lt;0,0,SUMIFS(L_VParc,L_Conta,L17,L_Tipo,"Despesa",L_FIni,"&lt;="&amp;(((YEAR(Cfg_Hoje)*12+MONTH(Cfg_Hoje)+1)-IF(INDEX(Cartoes_Venc,1)&gt;INDEX(Cartoes_Fech,1),0,1))),L_FFim,"&gt;="&amp;(((YEAR(Cfg_Hoje)*12+MONTH(Cfg_Hoje)+1)-IF(INDEX(Cartoes_Venc,1)&gt;INDEX(Cartoes_Fech,1),0,1))))))</f>
        <v>1605.64</v>
      </c>
      <c r="P17" s="105">
        <f>IF(OR(INDEX(Rec_Tipo,9)&lt;&gt;"Despesa",INDEX(Rec_Ativo,9)&lt;&gt;"Sim",INDEX(Rec_IIni,9)=0,N(INDEX(Rec_Dia,9))=0),"",IF(AND((YEAR(IF(DATE(YEAR(Cfg_Hoje),MONTH(Cfg_Hoje),MIN(INDEX(Rec_Dia,9),28))&gt;=Cfg_Hoje,DATE(YEAR(Cfg_Hoje),MONTH(Cfg_Hoje),MIN(INDEX(Rec_Dia,9),28)),DATE(YEAR(Cfg_Hoje),MONTH(Cfg_Hoje)+1,MIN(INDEX(Rec_Dia,9),28))))*12+MONTH(IF(DATE(YEAR(Cfg_Hoje),MONTH(Cfg_Hoje),MIN(INDEX(Rec_Dia,9),28))&gt;=Cfg_Hoje,DATE(YEAR(Cfg_Hoje),MONTH(Cfg_Hoje),MIN(INDEX(Rec_Dia,9),28)),DATE(YEAR(Cfg_Hoje),MONTH(Cfg_Hoje)+1,MIN(INDEX(Rec_Dia,9),28)))))&gt;=INDEX(Rec_IIni,9),(YEAR(IF(DATE(YEAR(Cfg_Hoje),MONTH(Cfg_Hoje),MIN(INDEX(Rec_Dia,9),28))&gt;=Cfg_Hoje,DATE(YEAR(Cfg_Hoje),MONTH(Cfg_Hoje),MIN(INDEX(Rec_Dia,9),28)),DATE(YEAR(Cfg_Hoje),MONTH(Cfg_Hoje)+1,MIN(INDEX(Rec_Dia,9),28))))*12+MONTH(IF(DATE(YEAR(Cfg_Hoje),MONTH(Cfg_Hoje),MIN(INDEX(Rec_Dia,9),28))&gt;=Cfg_Hoje,DATE(YEAR(Cfg_Hoje),MONTH(Cfg_Hoje),MIN(INDEX(Rec_Dia,9),28)),DATE(YEAR(Cfg_Hoje),MONTH(Cfg_Hoje)+1,MIN(INDEX(Rec_Dia,9),28)))))&lt;=INDEX(Rec_IFim,9),OR(INDEX(Rec_Freq,9)&lt;&gt;"Anual",MONTH(IF(DATE(YEAR(Cfg_Hoje),MONTH(Cfg_Hoje),MIN(INDEX(Rec_Dia,9),28))&gt;=Cfg_Hoje,DATE(YEAR(Cfg_Hoje),MONTH(Cfg_Hoje),MIN(INDEX(Rec_Dia,9),28)),DATE(YEAR(Cfg_Hoje),MONTH(Cfg_Hoje)+1,MIN(INDEX(Rec_Dia,9),28))))=INDEX(Rec_MesRef,9))),IF(DATE(YEAR(Cfg_Hoje),MONTH(Cfg_Hoje),MIN(INDEX(Rec_Dia,9),28))&gt;=Cfg_Hoje,DATE(YEAR(Cfg_Hoje),MONTH(Cfg_Hoje),MIN(INDEX(Rec_Dia,9),28)),DATE(YEAR(Cfg_Hoje),MONTH(Cfg_Hoje)+1,MIN(INDEX(Rec_Dia,9),28))),""))</f>
        <v>46307.0</v>
      </c>
      <c r="Q17" s="43">
        <f>IF(P17="",0,N(INDEX(Rec_Valor,9)))</f>
        <v>55.9</v>
      </c>
    </row>
    <row r="18" hidden="1">
      <c r="B18" s="112">
        <f>IF(B16="",0,SUMIFS(L_VParc,L_Tipo,"Despesa",L_FIni,0,L_IIni,"&lt;="&amp;Sel_Idx,L_IFim,"&gt;="&amp;Sel_Idx,L_Dia,B16,L_Status,"&lt;&gt;Pago")+IF(Sel_Idx&gt;Cfg_Idx,(SUMIFS(Rec_Valor,Rec_Tipo,"Despesa",Rec_Ativo,"Sim",Rec_Dia,B16,Rec_IIni,"&lt;="&amp;(Sel_Idx),Rec_IFim,"&gt;="&amp;(Sel_Idx),Rec_Freq,"&lt;&gt;Anual")+SUMIFS(Rec_Valor,Rec_Tipo,"Despesa",Rec_Ativo,"Sim",Rec_Dia,B16,Rec_IIni,"&lt;="&amp;(Sel_Idx),Rec_IFim,"&gt;="&amp;(Sel_Idx),Rec_Freq,"Anual",Rec_MesRef,MOD((Sel_Idx)-1,12)+1)),0)+SUMIFS($F$85:$F$92,$C$85:$C$92,B16))</f>
        <v>0</v>
      </c>
      <c r="C18" s="112">
        <f>IF(C16="",0,SUMIFS(L_VParc,L_Tipo,"Despesa",L_FIni,0,L_IIni,"&lt;="&amp;Sel_Idx,L_IFim,"&gt;="&amp;Sel_Idx,L_Dia,C16,L_Status,"&lt;&gt;Pago")+IF(Sel_Idx&gt;Cfg_Idx,(SUMIFS(Rec_Valor,Rec_Tipo,"Despesa",Rec_Ativo,"Sim",Rec_Dia,C16,Rec_IIni,"&lt;="&amp;(Sel_Idx),Rec_IFim,"&gt;="&amp;(Sel_Idx),Rec_Freq,"&lt;&gt;Anual")+SUMIFS(Rec_Valor,Rec_Tipo,"Despesa",Rec_Ativo,"Sim",Rec_Dia,C16,Rec_IIni,"&lt;="&amp;(Sel_Idx),Rec_IFim,"&gt;="&amp;(Sel_Idx),Rec_Freq,"Anual",Rec_MesRef,MOD((Sel_Idx)-1,12)+1)),0)+SUMIFS($F$85:$F$92,$C$85:$C$92,C16))</f>
        <v>0</v>
      </c>
      <c r="D18" s="112">
        <f>IF(D16="",0,SUMIFS(L_VParc,L_Tipo,"Despesa",L_FIni,0,L_IIni,"&lt;="&amp;Sel_Idx,L_IFim,"&gt;="&amp;Sel_Idx,L_Dia,D16,L_Status,"&lt;&gt;Pago")+IF(Sel_Idx&gt;Cfg_Idx,(SUMIFS(Rec_Valor,Rec_Tipo,"Despesa",Rec_Ativo,"Sim",Rec_Dia,D16,Rec_IIni,"&lt;="&amp;(Sel_Idx),Rec_IFim,"&gt;="&amp;(Sel_Idx),Rec_Freq,"&lt;&gt;Anual")+SUMIFS(Rec_Valor,Rec_Tipo,"Despesa",Rec_Ativo,"Sim",Rec_Dia,D16,Rec_IIni,"&lt;="&amp;(Sel_Idx),Rec_IFim,"&gt;="&amp;(Sel_Idx),Rec_Freq,"Anual",Rec_MesRef,MOD((Sel_Idx)-1,12)+1)),0)+SUMIFS($F$85:$F$92,$C$85:$C$92,D16))</f>
        <v>0</v>
      </c>
      <c r="E18" s="112">
        <f>IF(E16="",0,SUMIFS(L_VParc,L_Tipo,"Despesa",L_FIni,0,L_IIni,"&lt;="&amp;Sel_Idx,L_IFim,"&gt;="&amp;Sel_Idx,L_Dia,E16,L_Status,"&lt;&gt;Pago")+IF(Sel_Idx&gt;Cfg_Idx,(SUMIFS(Rec_Valor,Rec_Tipo,"Despesa",Rec_Ativo,"Sim",Rec_Dia,E16,Rec_IIni,"&lt;="&amp;(Sel_Idx),Rec_IFim,"&gt;="&amp;(Sel_Idx),Rec_Freq,"&lt;&gt;Anual")+SUMIFS(Rec_Valor,Rec_Tipo,"Despesa",Rec_Ativo,"Sim",Rec_Dia,E16,Rec_IIni,"&lt;="&amp;(Sel_Idx),Rec_IFim,"&gt;="&amp;(Sel_Idx),Rec_Freq,"Anual",Rec_MesRef,MOD((Sel_Idx)-1,12)+1)),0)+SUMIFS($F$85:$F$92,$C$85:$C$92,E16))</f>
        <v>0</v>
      </c>
      <c r="F18" s="112">
        <f>IF(F16="",0,SUMIFS(L_VParc,L_Tipo,"Despesa",L_FIni,0,L_IIni,"&lt;="&amp;Sel_Idx,L_IFim,"&gt;="&amp;Sel_Idx,L_Dia,F16,L_Status,"&lt;&gt;Pago")+IF(Sel_Idx&gt;Cfg_Idx,(SUMIFS(Rec_Valor,Rec_Tipo,"Despesa",Rec_Ativo,"Sim",Rec_Dia,F16,Rec_IIni,"&lt;="&amp;(Sel_Idx),Rec_IFim,"&gt;="&amp;(Sel_Idx),Rec_Freq,"&lt;&gt;Anual")+SUMIFS(Rec_Valor,Rec_Tipo,"Despesa",Rec_Ativo,"Sim",Rec_Dia,F16,Rec_IIni,"&lt;="&amp;(Sel_Idx),Rec_IFim,"&gt;="&amp;(Sel_Idx),Rec_Freq,"Anual",Rec_MesRef,MOD((Sel_Idx)-1,12)+1)),0)+SUMIFS($F$85:$F$92,$C$85:$C$92,F16))</f>
        <v>0</v>
      </c>
      <c r="G18" s="112">
        <f>IF(G16="",0,SUMIFS(L_VParc,L_Tipo,"Despesa",L_FIni,0,L_IIni,"&lt;="&amp;Sel_Idx,L_IFim,"&gt;="&amp;Sel_Idx,L_Dia,G16,L_Status,"&lt;&gt;Pago")+IF(Sel_Idx&gt;Cfg_Idx,(SUMIFS(Rec_Valor,Rec_Tipo,"Despesa",Rec_Ativo,"Sim",Rec_Dia,G16,Rec_IIni,"&lt;="&amp;(Sel_Idx),Rec_IFim,"&gt;="&amp;(Sel_Idx),Rec_Freq,"&lt;&gt;Anual")+SUMIFS(Rec_Valor,Rec_Tipo,"Despesa",Rec_Ativo,"Sim",Rec_Dia,G16,Rec_IIni,"&lt;="&amp;(Sel_Idx),Rec_IFim,"&gt;="&amp;(Sel_Idx),Rec_Freq,"Anual",Rec_MesRef,MOD((Sel_Idx)-1,12)+1)),0)+SUMIFS($F$85:$F$92,$C$85:$C$92,G16))</f>
        <v>0</v>
      </c>
      <c r="H18" s="112">
        <f>IF(H16="",0,SUMIFS(L_VParc,L_Tipo,"Despesa",L_FIni,0,L_IIni,"&lt;="&amp;Sel_Idx,L_IFim,"&gt;="&amp;Sel_Idx,L_Dia,H16,L_Status,"&lt;&gt;Pago")+IF(Sel_Idx&gt;Cfg_Idx,(SUMIFS(Rec_Valor,Rec_Tipo,"Despesa",Rec_Ativo,"Sim",Rec_Dia,H16,Rec_IIni,"&lt;="&amp;(Sel_Idx),Rec_IFim,"&gt;="&amp;(Sel_Idx),Rec_Freq,"&lt;&gt;Anual")+SUMIFS(Rec_Valor,Rec_Tipo,"Despesa",Rec_Ativo,"Sim",Rec_Dia,H16,Rec_IIni,"&lt;="&amp;(Sel_Idx),Rec_IFim,"&gt;="&amp;(Sel_Idx),Rec_Freq,"Anual",Rec_MesRef,MOD((Sel_Idx)-1,12)+1)),0)+SUMIFS($F$85:$F$92,$C$85:$C$92,H16))</f>
        <v>0</v>
      </c>
      <c r="L18" s="14" t="str">
        <f>IF(INDEX(Cartoes_Nome,2)="","",INDEX(Cartoes_Nome,2))</f>
        <v>Cartão Azul Gold</v>
      </c>
      <c r="M18" s="105">
        <f>IF(L18="","",DATE(INT(((YEAR(Cfg_Hoje)*12+MONTH(Cfg_Hoje)+1)-1)/12),MOD((YEAR(Cfg_Hoje)*12+MONTH(Cfg_Hoje)+1)-1,12)+1,MIN(INDEX(Cartoes_Venc,2),DAY(DATE(INT(((YEAR(Cfg_Hoje)*12+MONTH(Cfg_Hoje)+1)-1)/12),MOD((YEAR(Cfg_Hoje)*12+MONTH(Cfg_Hoje)+1)-1,12)+2,0)))))</f>
        <v>46343.0</v>
      </c>
      <c r="N18" s="43">
        <f>IF(L18="",0,IF(SUMIFS(L_VParc,L_Tipo,"Transferência",L_Status,"Pago",L_Desc,"*"&amp;L18&amp;"*",L_IIni,(YEAR(Cfg_Hoje)*12+MONTH(Cfg_Hoje)+1))&lt;0,0,SUMIFS(L_VParc,L_Conta,L18,L_Tipo,"Despesa",L_FIni,"&lt;="&amp;(((YEAR(Cfg_Hoje)*12+MONTH(Cfg_Hoje)+1)-IF(INDEX(Cartoes_Venc,2)&gt;INDEX(Cartoes_Fech,2),0,1))),L_FFim,"&gt;="&amp;(((YEAR(Cfg_Hoje)*12+MONTH(Cfg_Hoje)+1)-IF(INDEX(Cartoes_Venc,2)&gt;INDEX(Cartoes_Fech,2),0,1))))))</f>
        <v>214.9</v>
      </c>
      <c r="P18" s="105">
        <f>IF(OR(INDEX(Rec_Tipo,10)&lt;&gt;"Despesa",INDEX(Rec_Ativo,10)&lt;&gt;"Sim",INDEX(Rec_IIni,10)=0,N(INDEX(Rec_Dia,10))=0),"",IF(AND((YEAR(IF(DATE(YEAR(Cfg_Hoje),MONTH(Cfg_Hoje),MIN(INDEX(Rec_Dia,10),28))&gt;=Cfg_Hoje,DATE(YEAR(Cfg_Hoje),MONTH(Cfg_Hoje),MIN(INDEX(Rec_Dia,10),28)),DATE(YEAR(Cfg_Hoje),MONTH(Cfg_Hoje)+1,MIN(INDEX(Rec_Dia,10),28))))*12+MONTH(IF(DATE(YEAR(Cfg_Hoje),MONTH(Cfg_Hoje),MIN(INDEX(Rec_Dia,10),28))&gt;=Cfg_Hoje,DATE(YEAR(Cfg_Hoje),MONTH(Cfg_Hoje),MIN(INDEX(Rec_Dia,10),28)),DATE(YEAR(Cfg_Hoje),MONTH(Cfg_Hoje)+1,MIN(INDEX(Rec_Dia,10),28)))))&gt;=INDEX(Rec_IIni,10),(YEAR(IF(DATE(YEAR(Cfg_Hoje),MONTH(Cfg_Hoje),MIN(INDEX(Rec_Dia,10),28))&gt;=Cfg_Hoje,DATE(YEAR(Cfg_Hoje),MONTH(Cfg_Hoje),MIN(INDEX(Rec_Dia,10),28)),DATE(YEAR(Cfg_Hoje),MONTH(Cfg_Hoje)+1,MIN(INDEX(Rec_Dia,10),28))))*12+MONTH(IF(DATE(YEAR(Cfg_Hoje),MONTH(Cfg_Hoje),MIN(INDEX(Rec_Dia,10),28))&gt;=Cfg_Hoje,DATE(YEAR(Cfg_Hoje),MONTH(Cfg_Hoje),MIN(INDEX(Rec_Dia,10),28)),DATE(YEAR(Cfg_Hoje),MONTH(Cfg_Hoje)+1,MIN(INDEX(Rec_Dia,10),28)))))&lt;=INDEX(Rec_IFim,10),OR(INDEX(Rec_Freq,10)&lt;&gt;"Anual",MONTH(IF(DATE(YEAR(Cfg_Hoje),MONTH(Cfg_Hoje),MIN(INDEX(Rec_Dia,10),28))&gt;=Cfg_Hoje,DATE(YEAR(Cfg_Hoje),MONTH(Cfg_Hoje),MIN(INDEX(Rec_Dia,10),28)),DATE(YEAR(Cfg_Hoje),MONTH(Cfg_Hoje)+1,MIN(INDEX(Rec_Dia,10),28))))=INDEX(Rec_MesRef,10))),IF(DATE(YEAR(Cfg_Hoje),MONTH(Cfg_Hoje),MIN(INDEX(Rec_Dia,10),28))&gt;=Cfg_Hoje,DATE(YEAR(Cfg_Hoje),MONTH(Cfg_Hoje),MIN(INDEX(Rec_Dia,10),28)),DATE(YEAR(Cfg_Hoje),MONTH(Cfg_Hoje)+1,MIN(INDEX(Rec_Dia,10),28))),""))</f>
        <v>46307.0</v>
      </c>
      <c r="Q18" s="43">
        <f>IF(P18="",0,N(INDEX(Rec_Valor,10)))</f>
        <v>21.9</v>
      </c>
    </row>
    <row r="19">
      <c r="B19" s="110">
        <f>IF(AND((8-(WEEKDAY(Sel_Ini)-1))&gt;=1,(8-(WEEKDAY(Sel_Ini)-1))&lt;=Sel_Dias),(8-(WEEKDAY(Sel_Ini)-1)),"")</f>
        <v>6</v>
      </c>
      <c r="C19" s="110">
        <f>IF(AND((9-(WEEKDAY(Sel_Ini)-1))&gt;=1,(9-(WEEKDAY(Sel_Ini)-1))&lt;=Sel_Dias),(9-(WEEKDAY(Sel_Ini)-1)),"")</f>
        <v>7</v>
      </c>
      <c r="D19" s="110">
        <f>IF(AND((10-(WEEKDAY(Sel_Ini)-1))&gt;=1,(10-(WEEKDAY(Sel_Ini)-1))&lt;=Sel_Dias),(10-(WEEKDAY(Sel_Ini)-1)),"")</f>
        <v>8</v>
      </c>
      <c r="E19" s="110">
        <f>IF(AND((11-(WEEKDAY(Sel_Ini)-1))&gt;=1,(11-(WEEKDAY(Sel_Ini)-1))&lt;=Sel_Dias),(11-(WEEKDAY(Sel_Ini)-1)),"")</f>
        <v>9</v>
      </c>
      <c r="F19" s="110">
        <f>IF(AND((12-(WEEKDAY(Sel_Ini)-1))&gt;=1,(12-(WEEKDAY(Sel_Ini)-1))&lt;=Sel_Dias),(12-(WEEKDAY(Sel_Ini)-1)),"")</f>
        <v>10</v>
      </c>
      <c r="G19" s="110">
        <f>IF(AND((13-(WEEKDAY(Sel_Ini)-1))&gt;=1,(13-(WEEKDAY(Sel_Ini)-1))&lt;=Sel_Dias),(13-(WEEKDAY(Sel_Ini)-1)),"")</f>
        <v>11</v>
      </c>
      <c r="H19" s="110">
        <f>IF(AND((14-(WEEKDAY(Sel_Ini)-1))&gt;=1,(14-(WEEKDAY(Sel_Ini)-1))&lt;=Sel_Dias),(14-(WEEKDAY(Sel_Ini)-1)),"")</f>
        <v>12</v>
      </c>
      <c r="L19" s="14" t="str">
        <f>IF(INDEX(Cartoes_Nome,3)="","",INDEX(Cartoes_Nome,3))</f>
        <v/>
      </c>
      <c r="M19" s="105" t="str">
        <f>IF(L19="","",DATE(INT(((YEAR(Cfg_Hoje)*12+MONTH(Cfg_Hoje)+1)-1)/12),MOD((YEAR(Cfg_Hoje)*12+MONTH(Cfg_Hoje)+1)-1,12)+1,MIN(INDEX(Cartoes_Venc,3),DAY(DATE(INT(((YEAR(Cfg_Hoje)*12+MONTH(Cfg_Hoje)+1)-1)/12),MOD((YEAR(Cfg_Hoje)*12+MONTH(Cfg_Hoje)+1)-1,12)+2,0)))))</f>
        <v/>
      </c>
      <c r="N19" s="43">
        <f>IF(L19="",0,IF(SUMIFS(L_VParc,L_Tipo,"Transferência",L_Status,"Pago",L_Desc,"*"&amp;L19&amp;"*",L_IIni,(YEAR(Cfg_Hoje)*12+MONTH(Cfg_Hoje)+1))&lt;0,0,SUMIFS(L_VParc,L_Conta,L19,L_Tipo,"Despesa",L_FIni,"&lt;="&amp;(((YEAR(Cfg_Hoje)*12+MONTH(Cfg_Hoje)+1)-IF(INDEX(Cartoes_Venc,3)&gt;INDEX(Cartoes_Fech,3),0,1))),L_FFim,"&gt;="&amp;(((YEAR(Cfg_Hoje)*12+MONTH(Cfg_Hoje)+1)-IF(INDEX(Cartoes_Venc,3)&gt;INDEX(Cartoes_Fech,3),0,1))))))</f>
        <v>0</v>
      </c>
      <c r="P19" s="105">
        <f>IF(OR(INDEX(Rec_Tipo,11)&lt;&gt;"Despesa",INDEX(Rec_Ativo,11)&lt;&gt;"Sim",INDEX(Rec_IIni,11)=0,N(INDEX(Rec_Dia,11))=0),"",IF(AND((YEAR(IF(DATE(YEAR(Cfg_Hoje),MONTH(Cfg_Hoje),MIN(INDEX(Rec_Dia,11),28))&gt;=Cfg_Hoje,DATE(YEAR(Cfg_Hoje),MONTH(Cfg_Hoje),MIN(INDEX(Rec_Dia,11),28)),DATE(YEAR(Cfg_Hoje),MONTH(Cfg_Hoje)+1,MIN(INDEX(Rec_Dia,11),28))))*12+MONTH(IF(DATE(YEAR(Cfg_Hoje),MONTH(Cfg_Hoje),MIN(INDEX(Rec_Dia,11),28))&gt;=Cfg_Hoje,DATE(YEAR(Cfg_Hoje),MONTH(Cfg_Hoje),MIN(INDEX(Rec_Dia,11),28)),DATE(YEAR(Cfg_Hoje),MONTH(Cfg_Hoje)+1,MIN(INDEX(Rec_Dia,11),28)))))&gt;=INDEX(Rec_IIni,11),(YEAR(IF(DATE(YEAR(Cfg_Hoje),MONTH(Cfg_Hoje),MIN(INDEX(Rec_Dia,11),28))&gt;=Cfg_Hoje,DATE(YEAR(Cfg_Hoje),MONTH(Cfg_Hoje),MIN(INDEX(Rec_Dia,11),28)),DATE(YEAR(Cfg_Hoje),MONTH(Cfg_Hoje)+1,MIN(INDEX(Rec_Dia,11),28))))*12+MONTH(IF(DATE(YEAR(Cfg_Hoje),MONTH(Cfg_Hoje),MIN(INDEX(Rec_Dia,11),28))&gt;=Cfg_Hoje,DATE(YEAR(Cfg_Hoje),MONTH(Cfg_Hoje),MIN(INDEX(Rec_Dia,11),28)),DATE(YEAR(Cfg_Hoje),MONTH(Cfg_Hoje)+1,MIN(INDEX(Rec_Dia,11),28)))))&lt;=INDEX(Rec_IFim,11),OR(INDEX(Rec_Freq,11)&lt;&gt;"Anual",MONTH(IF(DATE(YEAR(Cfg_Hoje),MONTH(Cfg_Hoje),MIN(INDEX(Rec_Dia,11),28))&gt;=Cfg_Hoje,DATE(YEAR(Cfg_Hoje),MONTH(Cfg_Hoje),MIN(INDEX(Rec_Dia,11),28)),DATE(YEAR(Cfg_Hoje),MONTH(Cfg_Hoje)+1,MIN(INDEX(Rec_Dia,11),28))))=INDEX(Rec_MesRef,11))),IF(DATE(YEAR(Cfg_Hoje),MONTH(Cfg_Hoje),MIN(INDEX(Rec_Dia,11),28))&gt;=Cfg_Hoje,DATE(YEAR(Cfg_Hoje),MONTH(Cfg_Hoje),MIN(INDEX(Rec_Dia,11),28)),DATE(YEAR(Cfg_Hoje),MONTH(Cfg_Hoje)+1,MIN(INDEX(Rec_Dia,11),28))),""))</f>
        <v>46309.0</v>
      </c>
      <c r="Q19" s="43">
        <f>IF(P19="",0,N(INDEX(Rec_Valor,11)))</f>
        <v>14.9</v>
      </c>
    </row>
    <row r="20" ht="20" customHeight="1">
      <c r="B20" s="111">
        <f>IF(B19="","",SUMIFS(L_VParc,L_Tipo,"Despesa",L_FIni,0,L_IIni,"&lt;="&amp;Sel_Idx,L_IFim,"&gt;="&amp;Sel_Idx,L_Dia,B19)+IF(Sel_Idx&gt;Cfg_Idx,(SUMIFS(Rec_Valor,Rec_Tipo,"Despesa",Rec_Ativo,"Sim",Rec_Dia,B19,Rec_IIni,"&lt;="&amp;(Sel_Idx),Rec_IFim,"&gt;="&amp;(Sel_Idx),Rec_Freq,"&lt;&gt;Anual")+SUMIFS(Rec_Valor,Rec_Tipo,"Despesa",Rec_Ativo,"Sim",Rec_Dia,B19,Rec_IIni,"&lt;="&amp;(Sel_Idx),Rec_IFim,"&gt;="&amp;(Sel_Idx),Rec_Freq,"Anual",Rec_MesRef,MOD((Sel_Idx)-1,12)+1)),0)+SUMIFS($D$85:$D$92,$C$85:$C$92,B19))</f>
        <v>0</v>
      </c>
      <c r="C20" s="111">
        <f>IF(C19="","",SUMIFS(L_VParc,L_Tipo,"Despesa",L_FIni,0,L_IIni,"&lt;="&amp;Sel_Idx,L_IFim,"&gt;="&amp;Sel_Idx,L_Dia,C19)+IF(Sel_Idx&gt;Cfg_Idx,(SUMIFS(Rec_Valor,Rec_Tipo,"Despesa",Rec_Ativo,"Sim",Rec_Dia,C19,Rec_IIni,"&lt;="&amp;(Sel_Idx),Rec_IFim,"&gt;="&amp;(Sel_Idx),Rec_Freq,"&lt;&gt;Anual")+SUMIFS(Rec_Valor,Rec_Tipo,"Despesa",Rec_Ativo,"Sim",Rec_Dia,C19,Rec_IIni,"&lt;="&amp;(Sel_Idx),Rec_IFim,"&gt;="&amp;(Sel_Idx),Rec_Freq,"Anual",Rec_MesRef,MOD((Sel_Idx)-1,12)+1)),0)+SUMIFS($D$85:$D$92,$C$85:$C$92,C19))</f>
        <v>172.27</v>
      </c>
      <c r="D20" s="111">
        <f>IF(D19="","",SUMIFS(L_VParc,L_Tipo,"Despesa",L_FIni,0,L_IIni,"&lt;="&amp;Sel_Idx,L_IFim,"&gt;="&amp;Sel_Idx,L_Dia,D19)+IF(Sel_Idx&gt;Cfg_Idx,(SUMIFS(Rec_Valor,Rec_Tipo,"Despesa",Rec_Ativo,"Sim",Rec_Dia,D19,Rec_IIni,"&lt;="&amp;(Sel_Idx),Rec_IFim,"&gt;="&amp;(Sel_Idx),Rec_Freq,"&lt;&gt;Anual")+SUMIFS(Rec_Valor,Rec_Tipo,"Despesa",Rec_Ativo,"Sim",Rec_Dia,D19,Rec_IIni,"&lt;="&amp;(Sel_Idx),Rec_IFim,"&gt;="&amp;(Sel_Idx),Rec_Freq,"Anual",Rec_MesRef,MOD((Sel_Idx)-1,12)+1)),0)+SUMIFS($D$85:$D$92,$C$85:$C$92,D19))</f>
        <v>390</v>
      </c>
      <c r="E20" s="111">
        <f>IF(E19="","",SUMIFS(L_VParc,L_Tipo,"Despesa",L_FIni,0,L_IIni,"&lt;="&amp;Sel_Idx,L_IFim,"&gt;="&amp;Sel_Idx,L_Dia,E19)+IF(Sel_Idx&gt;Cfg_Idx,(SUMIFS(Rec_Valor,Rec_Tipo,"Despesa",Rec_Ativo,"Sim",Rec_Dia,E19,Rec_IIni,"&lt;="&amp;(Sel_Idx),Rec_IFim,"&gt;="&amp;(Sel_Idx),Rec_Freq,"&lt;&gt;Anual")+SUMIFS(Rec_Valor,Rec_Tipo,"Despesa",Rec_Ativo,"Sim",Rec_Dia,E19,Rec_IIni,"&lt;="&amp;(Sel_Idx),Rec_IFim,"&gt;="&amp;(Sel_Idx),Rec_Freq,"Anual",Rec_MesRef,MOD((Sel_Idx)-1,12)+1)),0)+SUMIFS($D$85:$D$92,$C$85:$C$92,E19))</f>
        <v>0</v>
      </c>
      <c r="F20" s="111">
        <f>IF(F19="","",SUMIFS(L_VParc,L_Tipo,"Despesa",L_FIni,0,L_IIni,"&lt;="&amp;Sel_Idx,L_IFim,"&gt;="&amp;Sel_Idx,L_Dia,F19)+IF(Sel_Idx&gt;Cfg_Idx,(SUMIFS(Rec_Valor,Rec_Tipo,"Despesa",Rec_Ativo,"Sim",Rec_Dia,F19,Rec_IIni,"&lt;="&amp;(Sel_Idx),Rec_IFim,"&gt;="&amp;(Sel_Idx),Rec_Freq,"&lt;&gt;Anual")+SUMIFS(Rec_Valor,Rec_Tipo,"Despesa",Rec_Ativo,"Sim",Rec_Dia,F19,Rec_IIni,"&lt;="&amp;(Sel_Idx),Rec_IFim,"&gt;="&amp;(Sel_Idx),Rec_Freq,"Anual",Rec_MesRef,MOD((Sel_Idx)-1,12)+1)),0)+SUMIFS($D$85:$D$92,$C$85:$C$92,F19))</f>
        <v>3050</v>
      </c>
      <c r="G20" s="111">
        <f>IF(G19="","",SUMIFS(L_VParc,L_Tipo,"Despesa",L_FIni,0,L_IIni,"&lt;="&amp;Sel_Idx,L_IFim,"&gt;="&amp;Sel_Idx,L_Dia,G19)+IF(Sel_Idx&gt;Cfg_Idx,(SUMIFS(Rec_Valor,Rec_Tipo,"Despesa",Rec_Ativo,"Sim",Rec_Dia,G19,Rec_IIni,"&lt;="&amp;(Sel_Idx),Rec_IFim,"&gt;="&amp;(Sel_Idx),Rec_Freq,"&lt;&gt;Anual")+SUMIFS(Rec_Valor,Rec_Tipo,"Despesa",Rec_Ativo,"Sim",Rec_Dia,G19,Rec_IIni,"&lt;="&amp;(Sel_Idx),Rec_IFim,"&gt;="&amp;(Sel_Idx),Rec_Freq,"Anual",Rec_MesRef,MOD((Sel_Idx)-1,12)+1)),0)+SUMIFS($D$85:$D$92,$C$85:$C$92,G19))</f>
        <v>0</v>
      </c>
      <c r="H20" s="111">
        <f>IF(H19="","",SUMIFS(L_VParc,L_Tipo,"Despesa",L_FIni,0,L_IIni,"&lt;="&amp;Sel_Idx,L_IFim,"&gt;="&amp;Sel_Idx,L_Dia,H19)+IF(Sel_Idx&gt;Cfg_Idx,(SUMIFS(Rec_Valor,Rec_Tipo,"Despesa",Rec_Ativo,"Sim",Rec_Dia,H19,Rec_IIni,"&lt;="&amp;(Sel_Idx),Rec_IFim,"&gt;="&amp;(Sel_Idx),Rec_Freq,"&lt;&gt;Anual")+SUMIFS(Rec_Valor,Rec_Tipo,"Despesa",Rec_Ativo,"Sim",Rec_Dia,H19,Rec_IIni,"&lt;="&amp;(Sel_Idx),Rec_IFim,"&gt;="&amp;(Sel_Idx),Rec_Freq,"Anual",Rec_MesRef,MOD((Sel_Idx)-1,12)+1)),0)+SUMIFS($D$85:$D$92,$C$85:$C$92,H19))</f>
        <v>180</v>
      </c>
      <c r="L20" s="14" t="str">
        <f>IF(INDEX(Cartoes_Nome,4)="","",INDEX(Cartoes_Nome,4))</f>
        <v/>
      </c>
      <c r="M20" s="105" t="str">
        <f>IF(L20="","",DATE(INT(((YEAR(Cfg_Hoje)*12+MONTH(Cfg_Hoje)+1)-1)/12),MOD((YEAR(Cfg_Hoje)*12+MONTH(Cfg_Hoje)+1)-1,12)+1,MIN(INDEX(Cartoes_Venc,4),DAY(DATE(INT(((YEAR(Cfg_Hoje)*12+MONTH(Cfg_Hoje)+1)-1)/12),MOD((YEAR(Cfg_Hoje)*12+MONTH(Cfg_Hoje)+1)-1,12)+2,0)))))</f>
        <v/>
      </c>
      <c r="N20" s="43">
        <f>IF(L20="",0,IF(SUMIFS(L_VParc,L_Tipo,"Transferência",L_Status,"Pago",L_Desc,"*"&amp;L20&amp;"*",L_IIni,(YEAR(Cfg_Hoje)*12+MONTH(Cfg_Hoje)+1))&lt;0,0,SUMIFS(L_VParc,L_Conta,L20,L_Tipo,"Despesa",L_FIni,"&lt;="&amp;(((YEAR(Cfg_Hoje)*12+MONTH(Cfg_Hoje)+1)-IF(INDEX(Cartoes_Venc,4)&gt;INDEX(Cartoes_Fech,4),0,1))),L_FFim,"&gt;="&amp;(((YEAR(Cfg_Hoje)*12+MONTH(Cfg_Hoje)+1)-IF(INDEX(Cartoes_Venc,4)&gt;INDEX(Cartoes_Fech,4),0,1))))))</f>
        <v>0</v>
      </c>
      <c r="P20" s="105">
        <f>IF(OR(INDEX(Rec_Tipo,12)&lt;&gt;"Despesa",INDEX(Rec_Ativo,12)&lt;&gt;"Sim",INDEX(Rec_IIni,12)=0,N(INDEX(Rec_Dia,12))=0),"",IF(AND((YEAR(IF(DATE(YEAR(Cfg_Hoje),MONTH(Cfg_Hoje),MIN(INDEX(Rec_Dia,12),28))&gt;=Cfg_Hoje,DATE(YEAR(Cfg_Hoje),MONTH(Cfg_Hoje),MIN(INDEX(Rec_Dia,12),28)),DATE(YEAR(Cfg_Hoje),MONTH(Cfg_Hoje)+1,MIN(INDEX(Rec_Dia,12),28))))*12+MONTH(IF(DATE(YEAR(Cfg_Hoje),MONTH(Cfg_Hoje),MIN(INDEX(Rec_Dia,12),28))&gt;=Cfg_Hoje,DATE(YEAR(Cfg_Hoje),MONTH(Cfg_Hoje),MIN(INDEX(Rec_Dia,12),28)),DATE(YEAR(Cfg_Hoje),MONTH(Cfg_Hoje)+1,MIN(INDEX(Rec_Dia,12),28)))))&gt;=INDEX(Rec_IIni,12),(YEAR(IF(DATE(YEAR(Cfg_Hoje),MONTH(Cfg_Hoje),MIN(INDEX(Rec_Dia,12),28))&gt;=Cfg_Hoje,DATE(YEAR(Cfg_Hoje),MONTH(Cfg_Hoje),MIN(INDEX(Rec_Dia,12),28)),DATE(YEAR(Cfg_Hoje),MONTH(Cfg_Hoje)+1,MIN(INDEX(Rec_Dia,12),28))))*12+MONTH(IF(DATE(YEAR(Cfg_Hoje),MONTH(Cfg_Hoje),MIN(INDEX(Rec_Dia,12),28))&gt;=Cfg_Hoje,DATE(YEAR(Cfg_Hoje),MONTH(Cfg_Hoje),MIN(INDEX(Rec_Dia,12),28)),DATE(YEAR(Cfg_Hoje),MONTH(Cfg_Hoje)+1,MIN(INDEX(Rec_Dia,12),28)))))&lt;=INDEX(Rec_IFim,12),OR(INDEX(Rec_Freq,12)&lt;&gt;"Anual",MONTH(IF(DATE(YEAR(Cfg_Hoje),MONTH(Cfg_Hoje),MIN(INDEX(Rec_Dia,12),28))&gt;=Cfg_Hoje,DATE(YEAR(Cfg_Hoje),MONTH(Cfg_Hoje),MIN(INDEX(Rec_Dia,12),28)),DATE(YEAR(Cfg_Hoje),MONTH(Cfg_Hoje)+1,MIN(INDEX(Rec_Dia,12),28))))=INDEX(Rec_MesRef,12))),IF(DATE(YEAR(Cfg_Hoje),MONTH(Cfg_Hoje),MIN(INDEX(Rec_Dia,12),28))&gt;=Cfg_Hoje,DATE(YEAR(Cfg_Hoje),MONTH(Cfg_Hoje),MIN(INDEX(Rec_Dia,12),28)),DATE(YEAR(Cfg_Hoje),MONTH(Cfg_Hoje)+1,MIN(INDEX(Rec_Dia,12),28))),""))</f>
        <v>46298.0</v>
      </c>
      <c r="Q20" s="43">
        <f>IF(P20="",0,N(INDEX(Rec_Valor,12)))</f>
        <v>129</v>
      </c>
    </row>
    <row r="21" hidden="1">
      <c r="B21" s="112">
        <f>IF(B19="",0,SUMIFS(L_VParc,L_Tipo,"Despesa",L_FIni,0,L_IIni,"&lt;="&amp;Sel_Idx,L_IFim,"&gt;="&amp;Sel_Idx,L_Dia,B19,L_Status,"&lt;&gt;Pago")+IF(Sel_Idx&gt;Cfg_Idx,(SUMIFS(Rec_Valor,Rec_Tipo,"Despesa",Rec_Ativo,"Sim",Rec_Dia,B19,Rec_IIni,"&lt;="&amp;(Sel_Idx),Rec_IFim,"&gt;="&amp;(Sel_Idx),Rec_Freq,"&lt;&gt;Anual")+SUMIFS(Rec_Valor,Rec_Tipo,"Despesa",Rec_Ativo,"Sim",Rec_Dia,B19,Rec_IIni,"&lt;="&amp;(Sel_Idx),Rec_IFim,"&gt;="&amp;(Sel_Idx),Rec_Freq,"Anual",Rec_MesRef,MOD((Sel_Idx)-1,12)+1)),0)+SUMIFS($F$85:$F$92,$C$85:$C$92,B19))</f>
        <v>0</v>
      </c>
      <c r="C21" s="112">
        <f>IF(C19="",0,SUMIFS(L_VParc,L_Tipo,"Despesa",L_FIni,0,L_IIni,"&lt;="&amp;Sel_Idx,L_IFim,"&gt;="&amp;Sel_Idx,L_Dia,C19,L_Status,"&lt;&gt;Pago")+IF(Sel_Idx&gt;Cfg_Idx,(SUMIFS(Rec_Valor,Rec_Tipo,"Despesa",Rec_Ativo,"Sim",Rec_Dia,C19,Rec_IIni,"&lt;="&amp;(Sel_Idx),Rec_IFim,"&gt;="&amp;(Sel_Idx),Rec_Freq,"&lt;&gt;Anual")+SUMIFS(Rec_Valor,Rec_Tipo,"Despesa",Rec_Ativo,"Sim",Rec_Dia,C19,Rec_IIni,"&lt;="&amp;(Sel_Idx),Rec_IFim,"&gt;="&amp;(Sel_Idx),Rec_Freq,"Anual",Rec_MesRef,MOD((Sel_Idx)-1,12)+1)),0)+SUMIFS($F$85:$F$92,$C$85:$C$92,C19))</f>
        <v>0</v>
      </c>
      <c r="D21" s="112">
        <f>IF(D19="",0,SUMIFS(L_VParc,L_Tipo,"Despesa",L_FIni,0,L_IIni,"&lt;="&amp;Sel_Idx,L_IFim,"&gt;="&amp;Sel_Idx,L_Dia,D19,L_Status,"&lt;&gt;Pago")+IF(Sel_Idx&gt;Cfg_Idx,(SUMIFS(Rec_Valor,Rec_Tipo,"Despesa",Rec_Ativo,"Sim",Rec_Dia,D19,Rec_IIni,"&lt;="&amp;(Sel_Idx),Rec_IFim,"&gt;="&amp;(Sel_Idx),Rec_Freq,"&lt;&gt;Anual")+SUMIFS(Rec_Valor,Rec_Tipo,"Despesa",Rec_Ativo,"Sim",Rec_Dia,D19,Rec_IIni,"&lt;="&amp;(Sel_Idx),Rec_IFim,"&gt;="&amp;(Sel_Idx),Rec_Freq,"Anual",Rec_MesRef,MOD((Sel_Idx)-1,12)+1)),0)+SUMIFS($F$85:$F$92,$C$85:$C$92,D19))</f>
        <v>0</v>
      </c>
      <c r="E21" s="112">
        <f>IF(E19="",0,SUMIFS(L_VParc,L_Tipo,"Despesa",L_FIni,0,L_IIni,"&lt;="&amp;Sel_Idx,L_IFim,"&gt;="&amp;Sel_Idx,L_Dia,E19,L_Status,"&lt;&gt;Pago")+IF(Sel_Idx&gt;Cfg_Idx,(SUMIFS(Rec_Valor,Rec_Tipo,"Despesa",Rec_Ativo,"Sim",Rec_Dia,E19,Rec_IIni,"&lt;="&amp;(Sel_Idx),Rec_IFim,"&gt;="&amp;(Sel_Idx),Rec_Freq,"&lt;&gt;Anual")+SUMIFS(Rec_Valor,Rec_Tipo,"Despesa",Rec_Ativo,"Sim",Rec_Dia,E19,Rec_IIni,"&lt;="&amp;(Sel_Idx),Rec_IFim,"&gt;="&amp;(Sel_Idx),Rec_Freq,"Anual",Rec_MesRef,MOD((Sel_Idx)-1,12)+1)),0)+SUMIFS($F$85:$F$92,$C$85:$C$92,E19))</f>
        <v>0</v>
      </c>
      <c r="F21" s="112">
        <f>IF(F19="",0,SUMIFS(L_VParc,L_Tipo,"Despesa",L_FIni,0,L_IIni,"&lt;="&amp;Sel_Idx,L_IFim,"&gt;="&amp;Sel_Idx,L_Dia,F19,L_Status,"&lt;&gt;Pago")+IF(Sel_Idx&gt;Cfg_Idx,(SUMIFS(Rec_Valor,Rec_Tipo,"Despesa",Rec_Ativo,"Sim",Rec_Dia,F19,Rec_IIni,"&lt;="&amp;(Sel_Idx),Rec_IFim,"&gt;="&amp;(Sel_Idx),Rec_Freq,"&lt;&gt;Anual")+SUMIFS(Rec_Valor,Rec_Tipo,"Despesa",Rec_Ativo,"Sim",Rec_Dia,F19,Rec_IIni,"&lt;="&amp;(Sel_Idx),Rec_IFim,"&gt;="&amp;(Sel_Idx),Rec_Freq,"Anual",Rec_MesRef,MOD((Sel_Idx)-1,12)+1)),0)+SUMIFS($F$85:$F$92,$C$85:$C$92,F19))</f>
        <v>0</v>
      </c>
      <c r="G21" s="112">
        <f>IF(G19="",0,SUMIFS(L_VParc,L_Tipo,"Despesa",L_FIni,0,L_IIni,"&lt;="&amp;Sel_Idx,L_IFim,"&gt;="&amp;Sel_Idx,L_Dia,G19,L_Status,"&lt;&gt;Pago")+IF(Sel_Idx&gt;Cfg_Idx,(SUMIFS(Rec_Valor,Rec_Tipo,"Despesa",Rec_Ativo,"Sim",Rec_Dia,G19,Rec_IIni,"&lt;="&amp;(Sel_Idx),Rec_IFim,"&gt;="&amp;(Sel_Idx),Rec_Freq,"&lt;&gt;Anual")+SUMIFS(Rec_Valor,Rec_Tipo,"Despesa",Rec_Ativo,"Sim",Rec_Dia,G19,Rec_IIni,"&lt;="&amp;(Sel_Idx),Rec_IFim,"&gt;="&amp;(Sel_Idx),Rec_Freq,"Anual",Rec_MesRef,MOD((Sel_Idx)-1,12)+1)),0)+SUMIFS($F$85:$F$92,$C$85:$C$92,G19))</f>
        <v>0</v>
      </c>
      <c r="H21" s="112">
        <f>IF(H19="",0,SUMIFS(L_VParc,L_Tipo,"Despesa",L_FIni,0,L_IIni,"&lt;="&amp;Sel_Idx,L_IFim,"&gt;="&amp;Sel_Idx,L_Dia,H19,L_Status,"&lt;&gt;Pago")+IF(Sel_Idx&gt;Cfg_Idx,(SUMIFS(Rec_Valor,Rec_Tipo,"Despesa",Rec_Ativo,"Sim",Rec_Dia,H19,Rec_IIni,"&lt;="&amp;(Sel_Idx),Rec_IFim,"&gt;="&amp;(Sel_Idx),Rec_Freq,"&lt;&gt;Anual")+SUMIFS(Rec_Valor,Rec_Tipo,"Despesa",Rec_Ativo,"Sim",Rec_Dia,H19,Rec_IIni,"&lt;="&amp;(Sel_Idx),Rec_IFim,"&gt;="&amp;(Sel_Idx),Rec_Freq,"Anual",Rec_MesRef,MOD((Sel_Idx)-1,12)+1)),0)+SUMIFS($F$85:$F$92,$C$85:$C$92,H19))</f>
        <v>0</v>
      </c>
      <c r="L21" s="14" t="str">
        <f>IF(INDEX(Cartoes_Nome,5)="","",INDEX(Cartoes_Nome,5))</f>
        <v/>
      </c>
      <c r="M21" s="105" t="str">
        <f>IF(L21="","",DATE(INT(((YEAR(Cfg_Hoje)*12+MONTH(Cfg_Hoje)+1)-1)/12),MOD((YEAR(Cfg_Hoje)*12+MONTH(Cfg_Hoje)+1)-1,12)+1,MIN(INDEX(Cartoes_Venc,5),DAY(DATE(INT(((YEAR(Cfg_Hoje)*12+MONTH(Cfg_Hoje)+1)-1)/12),MOD((YEAR(Cfg_Hoje)*12+MONTH(Cfg_Hoje)+1)-1,12)+2,0)))))</f>
        <v/>
      </c>
      <c r="N21" s="43">
        <f>IF(L21="",0,IF(SUMIFS(L_VParc,L_Tipo,"Transferência",L_Status,"Pago",L_Desc,"*"&amp;L21&amp;"*",L_IIni,(YEAR(Cfg_Hoje)*12+MONTH(Cfg_Hoje)+1))&lt;0,0,SUMIFS(L_VParc,L_Conta,L21,L_Tipo,"Despesa",L_FIni,"&lt;="&amp;(((YEAR(Cfg_Hoje)*12+MONTH(Cfg_Hoje)+1)-IF(INDEX(Cartoes_Venc,5)&gt;INDEX(Cartoes_Fech,5),0,1))),L_FFim,"&gt;="&amp;(((YEAR(Cfg_Hoje)*12+MONTH(Cfg_Hoje)+1)-IF(INDEX(Cartoes_Venc,5)&gt;INDEX(Cartoes_Fech,5),0,1))))))</f>
        <v>0</v>
      </c>
      <c r="P21" s="105">
        <f>IF(OR(INDEX(Rec_Tipo,13)&lt;&gt;"Despesa",INDEX(Rec_Ativo,13)&lt;&gt;"Sim",INDEX(Rec_IIni,13)=0,N(INDEX(Rec_Dia,13))=0),"",IF(AND((YEAR(IF(DATE(YEAR(Cfg_Hoje),MONTH(Cfg_Hoje),MIN(INDEX(Rec_Dia,13),28))&gt;=Cfg_Hoje,DATE(YEAR(Cfg_Hoje),MONTH(Cfg_Hoje),MIN(INDEX(Rec_Dia,13),28)),DATE(YEAR(Cfg_Hoje),MONTH(Cfg_Hoje)+1,MIN(INDEX(Rec_Dia,13),28))))*12+MONTH(IF(DATE(YEAR(Cfg_Hoje),MONTH(Cfg_Hoje),MIN(INDEX(Rec_Dia,13),28))&gt;=Cfg_Hoje,DATE(YEAR(Cfg_Hoje),MONTH(Cfg_Hoje),MIN(INDEX(Rec_Dia,13),28)),DATE(YEAR(Cfg_Hoje),MONTH(Cfg_Hoje)+1,MIN(INDEX(Rec_Dia,13),28)))))&gt;=INDEX(Rec_IIni,13),(YEAR(IF(DATE(YEAR(Cfg_Hoje),MONTH(Cfg_Hoje),MIN(INDEX(Rec_Dia,13),28))&gt;=Cfg_Hoje,DATE(YEAR(Cfg_Hoje),MONTH(Cfg_Hoje),MIN(INDEX(Rec_Dia,13),28)),DATE(YEAR(Cfg_Hoje),MONTH(Cfg_Hoje)+1,MIN(INDEX(Rec_Dia,13),28))))*12+MONTH(IF(DATE(YEAR(Cfg_Hoje),MONTH(Cfg_Hoje),MIN(INDEX(Rec_Dia,13),28))&gt;=Cfg_Hoje,DATE(YEAR(Cfg_Hoje),MONTH(Cfg_Hoje),MIN(INDEX(Rec_Dia,13),28)),DATE(YEAR(Cfg_Hoje),MONTH(Cfg_Hoje)+1,MIN(INDEX(Rec_Dia,13),28)))))&lt;=INDEX(Rec_IFim,13),OR(INDEX(Rec_Freq,13)&lt;&gt;"Anual",MONTH(IF(DATE(YEAR(Cfg_Hoje),MONTH(Cfg_Hoje),MIN(INDEX(Rec_Dia,13),28))&gt;=Cfg_Hoje,DATE(YEAR(Cfg_Hoje),MONTH(Cfg_Hoje),MIN(INDEX(Rec_Dia,13),28)),DATE(YEAR(Cfg_Hoje),MONTH(Cfg_Hoje)+1,MIN(INDEX(Rec_Dia,13),28))))=INDEX(Rec_MesRef,13))),IF(DATE(YEAR(Cfg_Hoje),MONTH(Cfg_Hoje),MIN(INDEX(Rec_Dia,13),28))&gt;=Cfg_Hoje,DATE(YEAR(Cfg_Hoje),MONTH(Cfg_Hoje),MIN(INDEX(Rec_Dia,13),28)),DATE(YEAR(Cfg_Hoje),MONTH(Cfg_Hoje)+1,MIN(INDEX(Rec_Dia,13),28))),""))</f>
        <v>46315.0</v>
      </c>
      <c r="Q21" s="43">
        <f>IF(P21="",0,N(INDEX(Rec_Valor,13)))</f>
        <v>1150</v>
      </c>
    </row>
    <row r="22">
      <c r="B22" s="110">
        <f>IF(AND((15-(WEEKDAY(Sel_Ini)-1))&gt;=1,(15-(WEEKDAY(Sel_Ini)-1))&lt;=Sel_Dias),(15-(WEEKDAY(Sel_Ini)-1)),"")</f>
        <v>13</v>
      </c>
      <c r="C22" s="110">
        <f>IF(AND((16-(WEEKDAY(Sel_Ini)-1))&gt;=1,(16-(WEEKDAY(Sel_Ini)-1))&lt;=Sel_Dias),(16-(WEEKDAY(Sel_Ini)-1)),"")</f>
        <v>14</v>
      </c>
      <c r="D22" s="110">
        <f>IF(AND((17-(WEEKDAY(Sel_Ini)-1))&gt;=1,(17-(WEEKDAY(Sel_Ini)-1))&lt;=Sel_Dias),(17-(WEEKDAY(Sel_Ini)-1)),"")</f>
        <v>15</v>
      </c>
      <c r="E22" s="110">
        <f>IF(AND((18-(WEEKDAY(Sel_Ini)-1))&gt;=1,(18-(WEEKDAY(Sel_Ini)-1))&lt;=Sel_Dias),(18-(WEEKDAY(Sel_Ini)-1)),"")</f>
        <v>16</v>
      </c>
      <c r="F22" s="110">
        <f>IF(AND((19-(WEEKDAY(Sel_Ini)-1))&gt;=1,(19-(WEEKDAY(Sel_Ini)-1))&lt;=Sel_Dias),(19-(WEEKDAY(Sel_Ini)-1)),"")</f>
        <v>17</v>
      </c>
      <c r="G22" s="110">
        <f>IF(AND((20-(WEEKDAY(Sel_Ini)-1))&gt;=1,(20-(WEEKDAY(Sel_Ini)-1))&lt;=Sel_Dias),(20-(WEEKDAY(Sel_Ini)-1)),"")</f>
        <v>18</v>
      </c>
      <c r="H22" s="110">
        <f>IF(AND((21-(WEEKDAY(Sel_Ini)-1))&gt;=1,(21-(WEEKDAY(Sel_Ini)-1))&lt;=Sel_Dias),(21-(WEEKDAY(Sel_Ini)-1)),"")</f>
        <v>19</v>
      </c>
      <c r="L22" s="14" t="str">
        <f>IF(INDEX(Cartoes_Nome,6)="","",INDEX(Cartoes_Nome,6))</f>
        <v/>
      </c>
      <c r="M22" s="105" t="str">
        <f>IF(L22="","",DATE(INT(((YEAR(Cfg_Hoje)*12+MONTH(Cfg_Hoje)+1)-1)/12),MOD((YEAR(Cfg_Hoje)*12+MONTH(Cfg_Hoje)+1)-1,12)+1,MIN(INDEX(Cartoes_Venc,6),DAY(DATE(INT(((YEAR(Cfg_Hoje)*12+MONTH(Cfg_Hoje)+1)-1)/12),MOD((YEAR(Cfg_Hoje)*12+MONTH(Cfg_Hoje)+1)-1,12)+2,0)))))</f>
        <v/>
      </c>
      <c r="N22" s="43">
        <f>IF(L22="",0,IF(SUMIFS(L_VParc,L_Tipo,"Transferência",L_Status,"Pago",L_Desc,"*"&amp;L22&amp;"*",L_IIni,(YEAR(Cfg_Hoje)*12+MONTH(Cfg_Hoje)+1))&lt;0,0,SUMIFS(L_VParc,L_Conta,L22,L_Tipo,"Despesa",L_FIni,"&lt;="&amp;(((YEAR(Cfg_Hoje)*12+MONTH(Cfg_Hoje)+1)-IF(INDEX(Cartoes_Venc,6)&gt;INDEX(Cartoes_Fech,6),0,1))),L_FFim,"&gt;="&amp;(((YEAR(Cfg_Hoje)*12+MONTH(Cfg_Hoje)+1)-IF(INDEX(Cartoes_Venc,6)&gt;INDEX(Cartoes_Fech,6),0,1))))))</f>
        <v>0</v>
      </c>
      <c r="P22" s="105">
        <f>IF(OR(INDEX(Rec_Tipo,14)&lt;&gt;"Despesa",INDEX(Rec_Ativo,14)&lt;&gt;"Sim",INDEX(Rec_IIni,14)=0,N(INDEX(Rec_Dia,14))=0),"",IF(AND((YEAR(IF(DATE(YEAR(Cfg_Hoje),MONTH(Cfg_Hoje),MIN(INDEX(Rec_Dia,14),28))&gt;=Cfg_Hoje,DATE(YEAR(Cfg_Hoje),MONTH(Cfg_Hoje),MIN(INDEX(Rec_Dia,14),28)),DATE(YEAR(Cfg_Hoje),MONTH(Cfg_Hoje)+1,MIN(INDEX(Rec_Dia,14),28))))*12+MONTH(IF(DATE(YEAR(Cfg_Hoje),MONTH(Cfg_Hoje),MIN(INDEX(Rec_Dia,14),28))&gt;=Cfg_Hoje,DATE(YEAR(Cfg_Hoje),MONTH(Cfg_Hoje),MIN(INDEX(Rec_Dia,14),28)),DATE(YEAR(Cfg_Hoje),MONTH(Cfg_Hoje)+1,MIN(INDEX(Rec_Dia,14),28)))))&gt;=INDEX(Rec_IIni,14),(YEAR(IF(DATE(YEAR(Cfg_Hoje),MONTH(Cfg_Hoje),MIN(INDEX(Rec_Dia,14),28))&gt;=Cfg_Hoje,DATE(YEAR(Cfg_Hoje),MONTH(Cfg_Hoje),MIN(INDEX(Rec_Dia,14),28)),DATE(YEAR(Cfg_Hoje),MONTH(Cfg_Hoje)+1,MIN(INDEX(Rec_Dia,14),28))))*12+MONTH(IF(DATE(YEAR(Cfg_Hoje),MONTH(Cfg_Hoje),MIN(INDEX(Rec_Dia,14),28))&gt;=Cfg_Hoje,DATE(YEAR(Cfg_Hoje),MONTH(Cfg_Hoje),MIN(INDEX(Rec_Dia,14),28)),DATE(YEAR(Cfg_Hoje),MONTH(Cfg_Hoje)+1,MIN(INDEX(Rec_Dia,14),28)))))&lt;=INDEX(Rec_IFim,14),OR(INDEX(Rec_Freq,14)&lt;&gt;"Anual",MONTH(IF(DATE(YEAR(Cfg_Hoje),MONTH(Cfg_Hoje),MIN(INDEX(Rec_Dia,14),28))&gt;=Cfg_Hoje,DATE(YEAR(Cfg_Hoje),MONTH(Cfg_Hoje),MIN(INDEX(Rec_Dia,14),28)),DATE(YEAR(Cfg_Hoje),MONTH(Cfg_Hoje)+1,MIN(INDEX(Rec_Dia,14),28))))=INDEX(Rec_MesRef,14))),IF(DATE(YEAR(Cfg_Hoje),MONTH(Cfg_Hoje),MIN(INDEX(Rec_Dia,14),28))&gt;=Cfg_Hoje,DATE(YEAR(Cfg_Hoje),MONTH(Cfg_Hoje),MIN(INDEX(Rec_Dia,14),28)),DATE(YEAR(Cfg_Hoje),MONTH(Cfg_Hoje)+1,MIN(INDEX(Rec_Dia,14),28))),""))</f>
        <v>46317.0</v>
      </c>
      <c r="Q22" s="43">
        <f>IF(P22="",0,N(INDEX(Rec_Valor,14)))</f>
        <v>580</v>
      </c>
    </row>
    <row r="23" ht="20" customHeight="1">
      <c r="B23" s="111">
        <f>IF(B22="","",SUMIFS(L_VParc,L_Tipo,"Despesa",L_FIni,0,L_IIni,"&lt;="&amp;Sel_Idx,L_IFim,"&gt;="&amp;Sel_Idx,L_Dia,B22)+IF(Sel_Idx&gt;Cfg_Idx,(SUMIFS(Rec_Valor,Rec_Tipo,"Despesa",Rec_Ativo,"Sim",Rec_Dia,B22,Rec_IIni,"&lt;="&amp;(Sel_Idx),Rec_IFim,"&gt;="&amp;(Sel_Idx),Rec_Freq,"&lt;&gt;Anual")+SUMIFS(Rec_Valor,Rec_Tipo,"Despesa",Rec_Ativo,"Sim",Rec_Dia,B22,Rec_IIni,"&lt;="&amp;(Sel_Idx),Rec_IFim,"&gt;="&amp;(Sel_Idx),Rec_Freq,"Anual",Rec_MesRef,MOD((Sel_Idx)-1,12)+1)),0)+SUMIFS($D$85:$D$92,$C$85:$C$92,B22))</f>
        <v>463.33</v>
      </c>
      <c r="C23" s="111">
        <f>IF(C22="","",SUMIFS(L_VParc,L_Tipo,"Despesa",L_FIni,0,L_IIni,"&lt;="&amp;Sel_Idx,L_IFim,"&gt;="&amp;Sel_Idx,L_Dia,C22)+IF(Sel_Idx&gt;Cfg_Idx,(SUMIFS(Rec_Valor,Rec_Tipo,"Despesa",Rec_Ativo,"Sim",Rec_Dia,C22,Rec_IIni,"&lt;="&amp;(Sel_Idx),Rec_IFim,"&gt;="&amp;(Sel_Idx),Rec_Freq,"&lt;&gt;Anual")+SUMIFS(Rec_Valor,Rec_Tipo,"Despesa",Rec_Ativo,"Sim",Rec_Dia,C22,Rec_IIni,"&lt;="&amp;(Sel_Idx),Rec_IFim,"&gt;="&amp;(Sel_Idx),Rec_Freq,"Anual",Rec_MesRef,MOD((Sel_Idx)-1,12)+1)),0)+SUMIFS($D$85:$D$92,$C$85:$C$92,C22))</f>
        <v>0</v>
      </c>
      <c r="D23" s="111">
        <f>IF(D22="","",SUMIFS(L_VParc,L_Tipo,"Despesa",L_FIni,0,L_IIni,"&lt;="&amp;Sel_Idx,L_IFim,"&gt;="&amp;Sel_Idx,L_Dia,D22)+IF(Sel_Idx&gt;Cfg_Idx,(SUMIFS(Rec_Valor,Rec_Tipo,"Despesa",Rec_Ativo,"Sim",Rec_Dia,D22,Rec_IIni,"&lt;="&amp;(Sel_Idx),Rec_IFim,"&gt;="&amp;(Sel_Idx),Rec_Freq,"&lt;&gt;Anual")+SUMIFS(Rec_Valor,Rec_Tipo,"Despesa",Rec_Ativo,"Sim",Rec_Dia,D22,Rec_IIni,"&lt;="&amp;(Sel_Idx),Rec_IFim,"&gt;="&amp;(Sel_Idx),Rec_Freq,"Anual",Rec_MesRef,MOD((Sel_Idx)-1,12)+1)),0)+SUMIFS($D$85:$D$92,$C$85:$C$92,D22))</f>
        <v>290.87</v>
      </c>
      <c r="E23" s="111">
        <f>IF(E22="","",SUMIFS(L_VParc,L_Tipo,"Despesa",L_FIni,0,L_IIni,"&lt;="&amp;Sel_Idx,L_IFim,"&gt;="&amp;Sel_Idx,L_Dia,E22)+IF(Sel_Idx&gt;Cfg_Idx,(SUMIFS(Rec_Valor,Rec_Tipo,"Despesa",Rec_Ativo,"Sim",Rec_Dia,E22,Rec_IIni,"&lt;="&amp;(Sel_Idx),Rec_IFim,"&gt;="&amp;(Sel_Idx),Rec_Freq,"&lt;&gt;Anual")+SUMIFS(Rec_Valor,Rec_Tipo,"Despesa",Rec_Ativo,"Sim",Rec_Dia,E22,Rec_IIni,"&lt;="&amp;(Sel_Idx),Rec_IFim,"&gt;="&amp;(Sel_Idx),Rec_Freq,"Anual",Rec_MesRef,MOD((Sel_Idx)-1,12)+1)),0)+SUMIFS($D$85:$D$92,$C$85:$C$92,E22))</f>
        <v>0</v>
      </c>
      <c r="F23" s="111">
        <f>IF(F22="","",SUMIFS(L_VParc,L_Tipo,"Despesa",L_FIni,0,L_IIni,"&lt;="&amp;Sel_Idx,L_IFim,"&gt;="&amp;Sel_Idx,L_Dia,F22)+IF(Sel_Idx&gt;Cfg_Idx,(SUMIFS(Rec_Valor,Rec_Tipo,"Despesa",Rec_Ativo,"Sim",Rec_Dia,F22,Rec_IIni,"&lt;="&amp;(Sel_Idx),Rec_IFim,"&gt;="&amp;(Sel_Idx),Rec_Freq,"&lt;&gt;Anual")+SUMIFS(Rec_Valor,Rec_Tipo,"Despesa",Rec_Ativo,"Sim",Rec_Dia,F22,Rec_IIni,"&lt;="&amp;(Sel_Idx),Rec_IFim,"&gt;="&amp;(Sel_Idx),Rec_Freq,"Anual",Rec_MesRef,MOD((Sel_Idx)-1,12)+1)),0)+SUMIFS($D$85:$D$92,$C$85:$C$92,F22))</f>
        <v>2401.21</v>
      </c>
      <c r="G23" s="111">
        <f>IF(G22="","",SUMIFS(L_VParc,L_Tipo,"Despesa",L_FIni,0,L_IIni,"&lt;="&amp;Sel_Idx,L_IFim,"&gt;="&amp;Sel_Idx,L_Dia,G22)+IF(Sel_Idx&gt;Cfg_Idx,(SUMIFS(Rec_Valor,Rec_Tipo,"Despesa",Rec_Ativo,"Sim",Rec_Dia,G22,Rec_IIni,"&lt;="&amp;(Sel_Idx),Rec_IFim,"&gt;="&amp;(Sel_Idx),Rec_Freq,"&lt;&gt;Anual")+SUMIFS(Rec_Valor,Rec_Tipo,"Despesa",Rec_Ativo,"Sim",Rec_Dia,G22,Rec_IIni,"&lt;="&amp;(Sel_Idx),Rec_IFim,"&gt;="&amp;(Sel_Idx),Rec_Freq,"Anual",Rec_MesRef,MOD((Sel_Idx)-1,12)+1)),0)+SUMIFS($D$85:$D$92,$C$85:$C$92,G22))</f>
        <v>38.35</v>
      </c>
      <c r="H23" s="111">
        <f>IF(H22="","",SUMIFS(L_VParc,L_Tipo,"Despesa",L_FIni,0,L_IIni,"&lt;="&amp;Sel_Idx,L_IFim,"&gt;="&amp;Sel_Idx,L_Dia,H22)+IF(Sel_Idx&gt;Cfg_Idx,(SUMIFS(Rec_Valor,Rec_Tipo,"Despesa",Rec_Ativo,"Sim",Rec_Dia,H22,Rec_IIni,"&lt;="&amp;(Sel_Idx),Rec_IFim,"&gt;="&amp;(Sel_Idx),Rec_Freq,"&lt;&gt;Anual")+SUMIFS(Rec_Valor,Rec_Tipo,"Despesa",Rec_Ativo,"Sim",Rec_Dia,H22,Rec_IIni,"&lt;="&amp;(Sel_Idx),Rec_IFim,"&gt;="&amp;(Sel_Idx),Rec_Freq,"Anual",Rec_MesRef,MOD((Sel_Idx)-1,12)+1)),0)+SUMIFS($D$85:$D$92,$C$85:$C$92,H22))</f>
        <v>0</v>
      </c>
      <c r="L23" s="14" t="str">
        <f>IF(INDEX(Cartoes_Nome,7)="","",INDEX(Cartoes_Nome,7))</f>
        <v/>
      </c>
      <c r="M23" s="105" t="str">
        <f>IF(L23="","",DATE(INT(((YEAR(Cfg_Hoje)*12+MONTH(Cfg_Hoje)+1)-1)/12),MOD((YEAR(Cfg_Hoje)*12+MONTH(Cfg_Hoje)+1)-1,12)+1,MIN(INDEX(Cartoes_Venc,7),DAY(DATE(INT(((YEAR(Cfg_Hoje)*12+MONTH(Cfg_Hoje)+1)-1)/12),MOD((YEAR(Cfg_Hoje)*12+MONTH(Cfg_Hoje)+1)-1,12)+2,0)))))</f>
        <v/>
      </c>
      <c r="N23" s="43">
        <f>IF(L23="",0,IF(SUMIFS(L_VParc,L_Tipo,"Transferência",L_Status,"Pago",L_Desc,"*"&amp;L23&amp;"*",L_IIni,(YEAR(Cfg_Hoje)*12+MONTH(Cfg_Hoje)+1))&lt;0,0,SUMIFS(L_VParc,L_Conta,L23,L_Tipo,"Despesa",L_FIni,"&lt;="&amp;(((YEAR(Cfg_Hoje)*12+MONTH(Cfg_Hoje)+1)-IF(INDEX(Cartoes_Venc,7)&gt;INDEX(Cartoes_Fech,7),0,1))),L_FFim,"&gt;="&amp;(((YEAR(Cfg_Hoje)*12+MONTH(Cfg_Hoje)+1)-IF(INDEX(Cartoes_Venc,7)&gt;INDEX(Cartoes_Fech,7),0,1))))))</f>
        <v>0</v>
      </c>
      <c r="P23" s="105" t="str">
        <f>IF(OR(INDEX(Rec_Tipo,15)&lt;&gt;"Despesa",INDEX(Rec_Ativo,15)&lt;&gt;"Sim",INDEX(Rec_IIni,15)=0,N(INDEX(Rec_Dia,15))=0),"",IF(AND((YEAR(IF(DATE(YEAR(Cfg_Hoje),MONTH(Cfg_Hoje),MIN(INDEX(Rec_Dia,15),28))&gt;=Cfg_Hoje,DATE(YEAR(Cfg_Hoje),MONTH(Cfg_Hoje),MIN(INDEX(Rec_Dia,15),28)),DATE(YEAR(Cfg_Hoje),MONTH(Cfg_Hoje)+1,MIN(INDEX(Rec_Dia,15),28))))*12+MONTH(IF(DATE(YEAR(Cfg_Hoje),MONTH(Cfg_Hoje),MIN(INDEX(Rec_Dia,15),28))&gt;=Cfg_Hoje,DATE(YEAR(Cfg_Hoje),MONTH(Cfg_Hoje),MIN(INDEX(Rec_Dia,15),28)),DATE(YEAR(Cfg_Hoje),MONTH(Cfg_Hoje)+1,MIN(INDEX(Rec_Dia,15),28)))))&gt;=INDEX(Rec_IIni,15),(YEAR(IF(DATE(YEAR(Cfg_Hoje),MONTH(Cfg_Hoje),MIN(INDEX(Rec_Dia,15),28))&gt;=Cfg_Hoje,DATE(YEAR(Cfg_Hoje),MONTH(Cfg_Hoje),MIN(INDEX(Rec_Dia,15),28)),DATE(YEAR(Cfg_Hoje),MONTH(Cfg_Hoje)+1,MIN(INDEX(Rec_Dia,15),28))))*12+MONTH(IF(DATE(YEAR(Cfg_Hoje),MONTH(Cfg_Hoje),MIN(INDEX(Rec_Dia,15),28))&gt;=Cfg_Hoje,DATE(YEAR(Cfg_Hoje),MONTH(Cfg_Hoje),MIN(INDEX(Rec_Dia,15),28)),DATE(YEAR(Cfg_Hoje),MONTH(Cfg_Hoje)+1,MIN(INDEX(Rec_Dia,15),28)))))&lt;=INDEX(Rec_IFim,15),OR(INDEX(Rec_Freq,15)&lt;&gt;"Anual",MONTH(IF(DATE(YEAR(Cfg_Hoje),MONTH(Cfg_Hoje),MIN(INDEX(Rec_Dia,15),28))&gt;=Cfg_Hoje,DATE(YEAR(Cfg_Hoje),MONTH(Cfg_Hoje),MIN(INDEX(Rec_Dia,15),28)),DATE(YEAR(Cfg_Hoje),MONTH(Cfg_Hoje)+1,MIN(INDEX(Rec_Dia,15),28))))=INDEX(Rec_MesRef,15))),IF(DATE(YEAR(Cfg_Hoje),MONTH(Cfg_Hoje),MIN(INDEX(Rec_Dia,15),28))&gt;=Cfg_Hoje,DATE(YEAR(Cfg_Hoje),MONTH(Cfg_Hoje),MIN(INDEX(Rec_Dia,15),28)),DATE(YEAR(Cfg_Hoje),MONTH(Cfg_Hoje)+1,MIN(INDEX(Rec_Dia,15),28))),""))</f>
        <v/>
      </c>
      <c r="Q23" s="43">
        <f>IF(P23="",0,N(INDEX(Rec_Valor,15)))</f>
        <v>0</v>
      </c>
    </row>
    <row r="24" hidden="1">
      <c r="B24" s="112">
        <f>IF(B22="",0,SUMIFS(L_VParc,L_Tipo,"Despesa",L_FIni,0,L_IIni,"&lt;="&amp;Sel_Idx,L_IFim,"&gt;="&amp;Sel_Idx,L_Dia,B22,L_Status,"&lt;&gt;Pago")+IF(Sel_Idx&gt;Cfg_Idx,(SUMIFS(Rec_Valor,Rec_Tipo,"Despesa",Rec_Ativo,"Sim",Rec_Dia,B22,Rec_IIni,"&lt;="&amp;(Sel_Idx),Rec_IFim,"&gt;="&amp;(Sel_Idx),Rec_Freq,"&lt;&gt;Anual")+SUMIFS(Rec_Valor,Rec_Tipo,"Despesa",Rec_Ativo,"Sim",Rec_Dia,B22,Rec_IIni,"&lt;="&amp;(Sel_Idx),Rec_IFim,"&gt;="&amp;(Sel_Idx),Rec_Freq,"Anual",Rec_MesRef,MOD((Sel_Idx)-1,12)+1)),0)+SUMIFS($F$85:$F$92,$C$85:$C$92,B22))</f>
        <v>0</v>
      </c>
      <c r="C24" s="112">
        <f>IF(C22="",0,SUMIFS(L_VParc,L_Tipo,"Despesa",L_FIni,0,L_IIni,"&lt;="&amp;Sel_Idx,L_IFim,"&gt;="&amp;Sel_Idx,L_Dia,C22,L_Status,"&lt;&gt;Pago")+IF(Sel_Idx&gt;Cfg_Idx,(SUMIFS(Rec_Valor,Rec_Tipo,"Despesa",Rec_Ativo,"Sim",Rec_Dia,C22,Rec_IIni,"&lt;="&amp;(Sel_Idx),Rec_IFim,"&gt;="&amp;(Sel_Idx),Rec_Freq,"&lt;&gt;Anual")+SUMIFS(Rec_Valor,Rec_Tipo,"Despesa",Rec_Ativo,"Sim",Rec_Dia,C22,Rec_IIni,"&lt;="&amp;(Sel_Idx),Rec_IFim,"&gt;="&amp;(Sel_Idx),Rec_Freq,"Anual",Rec_MesRef,MOD((Sel_Idx)-1,12)+1)),0)+SUMIFS($F$85:$F$92,$C$85:$C$92,C22))</f>
        <v>0</v>
      </c>
      <c r="D24" s="112">
        <f>IF(D22="",0,SUMIFS(L_VParc,L_Tipo,"Despesa",L_FIni,0,L_IIni,"&lt;="&amp;Sel_Idx,L_IFim,"&gt;="&amp;Sel_Idx,L_Dia,D22,L_Status,"&lt;&gt;Pago")+IF(Sel_Idx&gt;Cfg_Idx,(SUMIFS(Rec_Valor,Rec_Tipo,"Despesa",Rec_Ativo,"Sim",Rec_Dia,D22,Rec_IIni,"&lt;="&amp;(Sel_Idx),Rec_IFim,"&gt;="&amp;(Sel_Idx),Rec_Freq,"&lt;&gt;Anual")+SUMIFS(Rec_Valor,Rec_Tipo,"Despesa",Rec_Ativo,"Sim",Rec_Dia,D22,Rec_IIni,"&lt;="&amp;(Sel_Idx),Rec_IFim,"&gt;="&amp;(Sel_Idx),Rec_Freq,"Anual",Rec_MesRef,MOD((Sel_Idx)-1,12)+1)),0)+SUMIFS($F$85:$F$92,$C$85:$C$92,D22))</f>
        <v>0</v>
      </c>
      <c r="E24" s="112">
        <f>IF(E22="",0,SUMIFS(L_VParc,L_Tipo,"Despesa",L_FIni,0,L_IIni,"&lt;="&amp;Sel_Idx,L_IFim,"&gt;="&amp;Sel_Idx,L_Dia,E22,L_Status,"&lt;&gt;Pago")+IF(Sel_Idx&gt;Cfg_Idx,(SUMIFS(Rec_Valor,Rec_Tipo,"Despesa",Rec_Ativo,"Sim",Rec_Dia,E22,Rec_IIni,"&lt;="&amp;(Sel_Idx),Rec_IFim,"&gt;="&amp;(Sel_Idx),Rec_Freq,"&lt;&gt;Anual")+SUMIFS(Rec_Valor,Rec_Tipo,"Despesa",Rec_Ativo,"Sim",Rec_Dia,E22,Rec_IIni,"&lt;="&amp;(Sel_Idx),Rec_IFim,"&gt;="&amp;(Sel_Idx),Rec_Freq,"Anual",Rec_MesRef,MOD((Sel_Idx)-1,12)+1)),0)+SUMIFS($F$85:$F$92,$C$85:$C$92,E22))</f>
        <v>0</v>
      </c>
      <c r="F24" s="112">
        <f>IF(F22="",0,SUMIFS(L_VParc,L_Tipo,"Despesa",L_FIni,0,L_IIni,"&lt;="&amp;Sel_Idx,L_IFim,"&gt;="&amp;Sel_Idx,L_Dia,F22,L_Status,"&lt;&gt;Pago")+IF(Sel_Idx&gt;Cfg_Idx,(SUMIFS(Rec_Valor,Rec_Tipo,"Despesa",Rec_Ativo,"Sim",Rec_Dia,F22,Rec_IIni,"&lt;="&amp;(Sel_Idx),Rec_IFim,"&gt;="&amp;(Sel_Idx),Rec_Freq,"&lt;&gt;Anual")+SUMIFS(Rec_Valor,Rec_Tipo,"Despesa",Rec_Ativo,"Sim",Rec_Dia,F22,Rec_IIni,"&lt;="&amp;(Sel_Idx),Rec_IFim,"&gt;="&amp;(Sel_Idx),Rec_Freq,"Anual",Rec_MesRef,MOD((Sel_Idx)-1,12)+1)),0)+SUMIFS($F$85:$F$92,$C$85:$C$92,F22))</f>
        <v>0</v>
      </c>
      <c r="G24" s="112">
        <f>IF(G22="",0,SUMIFS(L_VParc,L_Tipo,"Despesa",L_FIni,0,L_IIni,"&lt;="&amp;Sel_Idx,L_IFim,"&gt;="&amp;Sel_Idx,L_Dia,G22,L_Status,"&lt;&gt;Pago")+IF(Sel_Idx&gt;Cfg_Idx,(SUMIFS(Rec_Valor,Rec_Tipo,"Despesa",Rec_Ativo,"Sim",Rec_Dia,G22,Rec_IIni,"&lt;="&amp;(Sel_Idx),Rec_IFim,"&gt;="&amp;(Sel_Idx),Rec_Freq,"&lt;&gt;Anual")+SUMIFS(Rec_Valor,Rec_Tipo,"Despesa",Rec_Ativo,"Sim",Rec_Dia,G22,Rec_IIni,"&lt;="&amp;(Sel_Idx),Rec_IFim,"&gt;="&amp;(Sel_Idx),Rec_Freq,"Anual",Rec_MesRef,MOD((Sel_Idx)-1,12)+1)),0)+SUMIFS($F$85:$F$92,$C$85:$C$92,G22))</f>
        <v>0</v>
      </c>
      <c r="H24" s="112">
        <f>IF(H22="",0,SUMIFS(L_VParc,L_Tipo,"Despesa",L_FIni,0,L_IIni,"&lt;="&amp;Sel_Idx,L_IFim,"&gt;="&amp;Sel_Idx,L_Dia,H22,L_Status,"&lt;&gt;Pago")+IF(Sel_Idx&gt;Cfg_Idx,(SUMIFS(Rec_Valor,Rec_Tipo,"Despesa",Rec_Ativo,"Sim",Rec_Dia,H22,Rec_IIni,"&lt;="&amp;(Sel_Idx),Rec_IFim,"&gt;="&amp;(Sel_Idx),Rec_Freq,"&lt;&gt;Anual")+SUMIFS(Rec_Valor,Rec_Tipo,"Despesa",Rec_Ativo,"Sim",Rec_Dia,H22,Rec_IIni,"&lt;="&amp;(Sel_Idx),Rec_IFim,"&gt;="&amp;(Sel_Idx),Rec_Freq,"Anual",Rec_MesRef,MOD((Sel_Idx)-1,12)+1)),0)+SUMIFS($F$85:$F$92,$C$85:$C$92,H22))</f>
        <v>0</v>
      </c>
      <c r="L24" s="14" t="str">
        <f>IF(INDEX(Cartoes_Nome,8)="","",INDEX(Cartoes_Nome,8))</f>
        <v/>
      </c>
      <c r="M24" s="105" t="str">
        <f>IF(L24="","",DATE(INT(((YEAR(Cfg_Hoje)*12+MONTH(Cfg_Hoje)+1)-1)/12),MOD((YEAR(Cfg_Hoje)*12+MONTH(Cfg_Hoje)+1)-1,12)+1,MIN(INDEX(Cartoes_Venc,8),DAY(DATE(INT(((YEAR(Cfg_Hoje)*12+MONTH(Cfg_Hoje)+1)-1)/12),MOD((YEAR(Cfg_Hoje)*12+MONTH(Cfg_Hoje)+1)-1,12)+2,0)))))</f>
        <v/>
      </c>
      <c r="N24" s="43">
        <f>IF(L24="",0,IF(SUMIFS(L_VParc,L_Tipo,"Transferência",L_Status,"Pago",L_Desc,"*"&amp;L24&amp;"*",L_IIni,(YEAR(Cfg_Hoje)*12+MONTH(Cfg_Hoje)+1))&lt;0,0,SUMIFS(L_VParc,L_Conta,L24,L_Tipo,"Despesa",L_FIni,"&lt;="&amp;(((YEAR(Cfg_Hoje)*12+MONTH(Cfg_Hoje)+1)-IF(INDEX(Cartoes_Venc,8)&gt;INDEX(Cartoes_Fech,8),0,1))),L_FFim,"&gt;="&amp;(((YEAR(Cfg_Hoje)*12+MONTH(Cfg_Hoje)+1)-IF(INDEX(Cartoes_Venc,8)&gt;INDEX(Cartoes_Fech,8),0,1))))))</f>
        <v>0</v>
      </c>
      <c r="P24" s="105" t="str">
        <f>IF(OR(INDEX(Rec_Tipo,16)&lt;&gt;"Despesa",INDEX(Rec_Ativo,16)&lt;&gt;"Sim",INDEX(Rec_IIni,16)=0,N(INDEX(Rec_Dia,16))=0),"",IF(AND((YEAR(IF(DATE(YEAR(Cfg_Hoje),MONTH(Cfg_Hoje),MIN(INDEX(Rec_Dia,16),28))&gt;=Cfg_Hoje,DATE(YEAR(Cfg_Hoje),MONTH(Cfg_Hoje),MIN(INDEX(Rec_Dia,16),28)),DATE(YEAR(Cfg_Hoje),MONTH(Cfg_Hoje)+1,MIN(INDEX(Rec_Dia,16),28))))*12+MONTH(IF(DATE(YEAR(Cfg_Hoje),MONTH(Cfg_Hoje),MIN(INDEX(Rec_Dia,16),28))&gt;=Cfg_Hoje,DATE(YEAR(Cfg_Hoje),MONTH(Cfg_Hoje),MIN(INDEX(Rec_Dia,16),28)),DATE(YEAR(Cfg_Hoje),MONTH(Cfg_Hoje)+1,MIN(INDEX(Rec_Dia,16),28)))))&gt;=INDEX(Rec_IIni,16),(YEAR(IF(DATE(YEAR(Cfg_Hoje),MONTH(Cfg_Hoje),MIN(INDEX(Rec_Dia,16),28))&gt;=Cfg_Hoje,DATE(YEAR(Cfg_Hoje),MONTH(Cfg_Hoje),MIN(INDEX(Rec_Dia,16),28)),DATE(YEAR(Cfg_Hoje),MONTH(Cfg_Hoje)+1,MIN(INDEX(Rec_Dia,16),28))))*12+MONTH(IF(DATE(YEAR(Cfg_Hoje),MONTH(Cfg_Hoje),MIN(INDEX(Rec_Dia,16),28))&gt;=Cfg_Hoje,DATE(YEAR(Cfg_Hoje),MONTH(Cfg_Hoje),MIN(INDEX(Rec_Dia,16),28)),DATE(YEAR(Cfg_Hoje),MONTH(Cfg_Hoje)+1,MIN(INDEX(Rec_Dia,16),28)))))&lt;=INDEX(Rec_IFim,16),OR(INDEX(Rec_Freq,16)&lt;&gt;"Anual",MONTH(IF(DATE(YEAR(Cfg_Hoje),MONTH(Cfg_Hoje),MIN(INDEX(Rec_Dia,16),28))&gt;=Cfg_Hoje,DATE(YEAR(Cfg_Hoje),MONTH(Cfg_Hoje),MIN(INDEX(Rec_Dia,16),28)),DATE(YEAR(Cfg_Hoje),MONTH(Cfg_Hoje)+1,MIN(INDEX(Rec_Dia,16),28))))=INDEX(Rec_MesRef,16))),IF(DATE(YEAR(Cfg_Hoje),MONTH(Cfg_Hoje),MIN(INDEX(Rec_Dia,16),28))&gt;=Cfg_Hoje,DATE(YEAR(Cfg_Hoje),MONTH(Cfg_Hoje),MIN(INDEX(Rec_Dia,16),28)),DATE(YEAR(Cfg_Hoje),MONTH(Cfg_Hoje)+1,MIN(INDEX(Rec_Dia,16),28))),""))</f>
        <v/>
      </c>
      <c r="Q24" s="43">
        <f>IF(P24="",0,N(INDEX(Rec_Valor,16)))</f>
        <v>0</v>
      </c>
    </row>
    <row r="25">
      <c r="B25" s="110">
        <f>IF(AND((22-(WEEKDAY(Sel_Ini)-1))&gt;=1,(22-(WEEKDAY(Sel_Ini)-1))&lt;=Sel_Dias),(22-(WEEKDAY(Sel_Ini)-1)),"")</f>
        <v>20</v>
      </c>
      <c r="C25" s="110">
        <f>IF(AND((23-(WEEKDAY(Sel_Ini)-1))&gt;=1,(23-(WEEKDAY(Sel_Ini)-1))&lt;=Sel_Dias),(23-(WEEKDAY(Sel_Ini)-1)),"")</f>
        <v>21</v>
      </c>
      <c r="D25" s="110">
        <f>IF(AND((24-(WEEKDAY(Sel_Ini)-1))&gt;=1,(24-(WEEKDAY(Sel_Ini)-1))&lt;=Sel_Dias),(24-(WEEKDAY(Sel_Ini)-1)),"")</f>
        <v>22</v>
      </c>
      <c r="E25" s="110">
        <f>IF(AND((25-(WEEKDAY(Sel_Ini)-1))&gt;=1,(25-(WEEKDAY(Sel_Ini)-1))&lt;=Sel_Dias),(25-(WEEKDAY(Sel_Ini)-1)),"")</f>
        <v>23</v>
      </c>
      <c r="F25" s="110">
        <f>IF(AND((26-(WEEKDAY(Sel_Ini)-1))&gt;=1,(26-(WEEKDAY(Sel_Ini)-1))&lt;=Sel_Dias),(26-(WEEKDAY(Sel_Ini)-1)),"")</f>
        <v>24</v>
      </c>
      <c r="G25" s="110">
        <f>IF(AND((27-(WEEKDAY(Sel_Ini)-1))&gt;=1,(27-(WEEKDAY(Sel_Ini)-1))&lt;=Sel_Dias),(27-(WEEKDAY(Sel_Ini)-1)),"")</f>
        <v>25</v>
      </c>
      <c r="H25" s="110">
        <f>IF(AND((28-(WEEKDAY(Sel_Ini)-1))&gt;=1,(28-(WEEKDAY(Sel_Ini)-1))&lt;=Sel_Dias),(28-(WEEKDAY(Sel_Ini)-1)),"")</f>
        <v>26</v>
      </c>
      <c r="L25" s="14" t="str">
        <f>IF(INDEX(Cartoes_Nome,1)="","",INDEX(Cartoes_Nome,1))</f>
        <v>Cartão Roxinho</v>
      </c>
      <c r="M25" s="105">
        <f>IF(L25="","",DATE(INT(((YEAR(Cfg_Hoje)*12+MONTH(Cfg_Hoje)+2)-1)/12),MOD((YEAR(Cfg_Hoje)*12+MONTH(Cfg_Hoje)+2)-1,12)+1,MIN(INDEX(Cartoes_Venc,1),DAY(DATE(INT(((YEAR(Cfg_Hoje)*12+MONTH(Cfg_Hoje)+2)-1)/12),MOD((YEAR(Cfg_Hoje)*12+MONTH(Cfg_Hoje)+2)-1,12)+2,0)))))</f>
        <v>46361.0</v>
      </c>
      <c r="N25" s="43">
        <f>IF(L25="",0,IF(SUMIFS(L_VParc,L_Tipo,"Transferência",L_Status,"Pago",L_Desc,"*"&amp;L25&amp;"*",L_IIni,(YEAR(Cfg_Hoje)*12+MONTH(Cfg_Hoje)+2))&lt;0,0,SUMIFS(L_VParc,L_Conta,L25,L_Tipo,"Despesa",L_FIni,"&lt;="&amp;(((YEAR(Cfg_Hoje)*12+MONTH(Cfg_Hoje)+2)-IF(INDEX(Cartoes_Venc,1)&gt;INDEX(Cartoes_Fech,1),0,1))),L_FFim,"&gt;="&amp;(((YEAR(Cfg_Hoje)*12+MONTH(Cfg_Hoje)+2)-IF(INDEX(Cartoes_Venc,1)&gt;INDEX(Cartoes_Fech,1),0,1))))))</f>
        <v>750</v>
      </c>
      <c r="P25" s="105" t="str">
        <f>IF(OR(INDEX(Rec_Tipo,17)&lt;&gt;"Despesa",INDEX(Rec_Ativo,17)&lt;&gt;"Sim",INDEX(Rec_IIni,17)=0,N(INDEX(Rec_Dia,17))=0),"",IF(AND((YEAR(IF(DATE(YEAR(Cfg_Hoje),MONTH(Cfg_Hoje),MIN(INDEX(Rec_Dia,17),28))&gt;=Cfg_Hoje,DATE(YEAR(Cfg_Hoje),MONTH(Cfg_Hoje),MIN(INDEX(Rec_Dia,17),28)),DATE(YEAR(Cfg_Hoje),MONTH(Cfg_Hoje)+1,MIN(INDEX(Rec_Dia,17),28))))*12+MONTH(IF(DATE(YEAR(Cfg_Hoje),MONTH(Cfg_Hoje),MIN(INDEX(Rec_Dia,17),28))&gt;=Cfg_Hoje,DATE(YEAR(Cfg_Hoje),MONTH(Cfg_Hoje),MIN(INDEX(Rec_Dia,17),28)),DATE(YEAR(Cfg_Hoje),MONTH(Cfg_Hoje)+1,MIN(INDEX(Rec_Dia,17),28)))))&gt;=INDEX(Rec_IIni,17),(YEAR(IF(DATE(YEAR(Cfg_Hoje),MONTH(Cfg_Hoje),MIN(INDEX(Rec_Dia,17),28))&gt;=Cfg_Hoje,DATE(YEAR(Cfg_Hoje),MONTH(Cfg_Hoje),MIN(INDEX(Rec_Dia,17),28)),DATE(YEAR(Cfg_Hoje),MONTH(Cfg_Hoje)+1,MIN(INDEX(Rec_Dia,17),28))))*12+MONTH(IF(DATE(YEAR(Cfg_Hoje),MONTH(Cfg_Hoje),MIN(INDEX(Rec_Dia,17),28))&gt;=Cfg_Hoje,DATE(YEAR(Cfg_Hoje),MONTH(Cfg_Hoje),MIN(INDEX(Rec_Dia,17),28)),DATE(YEAR(Cfg_Hoje),MONTH(Cfg_Hoje)+1,MIN(INDEX(Rec_Dia,17),28)))))&lt;=INDEX(Rec_IFim,17),OR(INDEX(Rec_Freq,17)&lt;&gt;"Anual",MONTH(IF(DATE(YEAR(Cfg_Hoje),MONTH(Cfg_Hoje),MIN(INDEX(Rec_Dia,17),28))&gt;=Cfg_Hoje,DATE(YEAR(Cfg_Hoje),MONTH(Cfg_Hoje),MIN(INDEX(Rec_Dia,17),28)),DATE(YEAR(Cfg_Hoje),MONTH(Cfg_Hoje)+1,MIN(INDEX(Rec_Dia,17),28))))=INDEX(Rec_MesRef,17))),IF(DATE(YEAR(Cfg_Hoje),MONTH(Cfg_Hoje),MIN(INDEX(Rec_Dia,17),28))&gt;=Cfg_Hoje,DATE(YEAR(Cfg_Hoje),MONTH(Cfg_Hoje),MIN(INDEX(Rec_Dia,17),28)),DATE(YEAR(Cfg_Hoje),MONTH(Cfg_Hoje)+1,MIN(INDEX(Rec_Dia,17),28))),""))</f>
        <v/>
      </c>
      <c r="Q25" s="43">
        <f>IF(P25="",0,N(INDEX(Rec_Valor,17)))</f>
        <v>0</v>
      </c>
    </row>
    <row r="26" ht="20" customHeight="1">
      <c r="B26" s="111">
        <f>IF(B25="","",SUMIFS(L_VParc,L_Tipo,"Despesa",L_FIni,0,L_IIni,"&lt;="&amp;Sel_Idx,L_IFim,"&gt;="&amp;Sel_Idx,L_Dia,B25)+IF(Sel_Idx&gt;Cfg_Idx,(SUMIFS(Rec_Valor,Rec_Tipo,"Despesa",Rec_Ativo,"Sim",Rec_Dia,B25,Rec_IIni,"&lt;="&amp;(Sel_Idx),Rec_IFim,"&gt;="&amp;(Sel_Idx),Rec_Freq,"&lt;&gt;Anual")+SUMIFS(Rec_Valor,Rec_Tipo,"Despesa",Rec_Ativo,"Sim",Rec_Dia,B25,Rec_IIni,"&lt;="&amp;(Sel_Idx),Rec_IFim,"&gt;="&amp;(Sel_Idx),Rec_Freq,"Anual",Rec_MesRef,MOD((Sel_Idx)-1,12)+1)),0)+SUMIFS($D$85:$D$92,$C$85:$C$92,B25))</f>
        <v>1279.9</v>
      </c>
      <c r="C26" s="111">
        <f>IF(C25="","",SUMIFS(L_VParc,L_Tipo,"Despesa",L_FIni,0,L_IIni,"&lt;="&amp;Sel_Idx,L_IFim,"&gt;="&amp;Sel_Idx,L_Dia,C25)+IF(Sel_Idx&gt;Cfg_Idx,(SUMIFS(Rec_Valor,Rec_Tipo,"Despesa",Rec_Ativo,"Sim",Rec_Dia,C25,Rec_IIni,"&lt;="&amp;(Sel_Idx),Rec_IFim,"&gt;="&amp;(Sel_Idx),Rec_Freq,"&lt;&gt;Anual")+SUMIFS(Rec_Valor,Rec_Tipo,"Despesa",Rec_Ativo,"Sim",Rec_Dia,C25,Rec_IIni,"&lt;="&amp;(Sel_Idx),Rec_IFim,"&gt;="&amp;(Sel_Idx),Rec_Freq,"Anual",Rec_MesRef,MOD((Sel_Idx)-1,12)+1)),0)+SUMIFS($D$85:$D$92,$C$85:$C$92,C25))</f>
        <v>0</v>
      </c>
      <c r="D26" s="111">
        <f>IF(D25="","",SUMIFS(L_VParc,L_Tipo,"Despesa",L_FIni,0,L_IIni,"&lt;="&amp;Sel_Idx,L_IFim,"&gt;="&amp;Sel_Idx,L_Dia,D25)+IF(Sel_Idx&gt;Cfg_Idx,(SUMIFS(Rec_Valor,Rec_Tipo,"Despesa",Rec_Ativo,"Sim",Rec_Dia,D25,Rec_IIni,"&lt;="&amp;(Sel_Idx),Rec_IFim,"&gt;="&amp;(Sel_Idx),Rec_Freq,"&lt;&gt;Anual")+SUMIFS(Rec_Valor,Rec_Tipo,"Despesa",Rec_Ativo,"Sim",Rec_Dia,D25,Rec_IIni,"&lt;="&amp;(Sel_Idx),Rec_IFim,"&gt;="&amp;(Sel_Idx),Rec_Freq,"Anual",Rec_MesRef,MOD((Sel_Idx)-1,12)+1)),0)+SUMIFS($D$85:$D$92,$C$85:$C$92,D25))</f>
        <v>580</v>
      </c>
      <c r="E26" s="111">
        <f>IF(E25="","",SUMIFS(L_VParc,L_Tipo,"Despesa",L_FIni,0,L_IIni,"&lt;="&amp;Sel_Idx,L_IFim,"&gt;="&amp;Sel_Idx,L_Dia,E25)+IF(Sel_Idx&gt;Cfg_Idx,(SUMIFS(Rec_Valor,Rec_Tipo,"Despesa",Rec_Ativo,"Sim",Rec_Dia,E25,Rec_IIni,"&lt;="&amp;(Sel_Idx),Rec_IFim,"&gt;="&amp;(Sel_Idx),Rec_Freq,"&lt;&gt;Anual")+SUMIFS(Rec_Valor,Rec_Tipo,"Despesa",Rec_Ativo,"Sim",Rec_Dia,E25,Rec_IIni,"&lt;="&amp;(Sel_Idx),Rec_IFim,"&gt;="&amp;(Sel_Idx),Rec_Freq,"Anual",Rec_MesRef,MOD((Sel_Idx)-1,12)+1)),0)+SUMIFS($D$85:$D$92,$C$85:$C$92,E25))</f>
        <v>32.66</v>
      </c>
      <c r="F26" s="111">
        <f>IF(F25="","",SUMIFS(L_VParc,L_Tipo,"Despesa",L_FIni,0,L_IIni,"&lt;="&amp;Sel_Idx,L_IFim,"&gt;="&amp;Sel_Idx,L_Dia,F25)+IF(Sel_Idx&gt;Cfg_Idx,(SUMIFS(Rec_Valor,Rec_Tipo,"Despesa",Rec_Ativo,"Sim",Rec_Dia,F25,Rec_IIni,"&lt;="&amp;(Sel_Idx),Rec_IFim,"&gt;="&amp;(Sel_Idx),Rec_Freq,"&lt;&gt;Anual")+SUMIFS(Rec_Valor,Rec_Tipo,"Despesa",Rec_Ativo,"Sim",Rec_Dia,F25,Rec_IIni,"&lt;="&amp;(Sel_Idx),Rec_IFim,"&gt;="&amp;(Sel_Idx),Rec_Freq,"Anual",Rec_MesRef,MOD((Sel_Idx)-1,12)+1)),0)+SUMIFS($D$85:$D$92,$C$85:$C$92,F25))</f>
        <v>0</v>
      </c>
      <c r="G26" s="111">
        <f>IF(G25="","",SUMIFS(L_VParc,L_Tipo,"Despesa",L_FIni,0,L_IIni,"&lt;="&amp;Sel_Idx,L_IFim,"&gt;="&amp;Sel_Idx,L_Dia,G25)+IF(Sel_Idx&gt;Cfg_Idx,(SUMIFS(Rec_Valor,Rec_Tipo,"Despesa",Rec_Ativo,"Sim",Rec_Dia,G25,Rec_IIni,"&lt;="&amp;(Sel_Idx),Rec_IFim,"&gt;="&amp;(Sel_Idx),Rec_Freq,"&lt;&gt;Anual")+SUMIFS(Rec_Valor,Rec_Tipo,"Despesa",Rec_Ativo,"Sim",Rec_Dia,G25,Rec_IIni,"&lt;="&amp;(Sel_Idx),Rec_IFim,"&gt;="&amp;(Sel_Idx),Rec_Freq,"Anual",Rec_MesRef,MOD((Sel_Idx)-1,12)+1)),0)+SUMIFS($D$85:$D$92,$C$85:$C$92,G25))</f>
        <v>740</v>
      </c>
      <c r="H26" s="111">
        <f>IF(H25="","",SUMIFS(L_VParc,L_Tipo,"Despesa",L_FIni,0,L_IIni,"&lt;="&amp;Sel_Idx,L_IFim,"&gt;="&amp;Sel_Idx,L_Dia,H25)+IF(Sel_Idx&gt;Cfg_Idx,(SUMIFS(Rec_Valor,Rec_Tipo,"Despesa",Rec_Ativo,"Sim",Rec_Dia,H25,Rec_IIni,"&lt;="&amp;(Sel_Idx),Rec_IFim,"&gt;="&amp;(Sel_Idx),Rec_Freq,"&lt;&gt;Anual")+SUMIFS(Rec_Valor,Rec_Tipo,"Despesa",Rec_Ativo,"Sim",Rec_Dia,H25,Rec_IIni,"&lt;="&amp;(Sel_Idx),Rec_IFim,"&gt;="&amp;(Sel_Idx),Rec_Freq,"Anual",Rec_MesRef,MOD((Sel_Idx)-1,12)+1)),0)+SUMIFS($D$85:$D$92,$C$85:$C$92,H25))</f>
        <v>0</v>
      </c>
      <c r="L26" s="14" t="str">
        <f>IF(INDEX(Cartoes_Nome,2)="","",INDEX(Cartoes_Nome,2))</f>
        <v>Cartão Azul Gold</v>
      </c>
      <c r="M26" s="105">
        <f>IF(L26="","",DATE(INT(((YEAR(Cfg_Hoje)*12+MONTH(Cfg_Hoje)+2)-1)/12),MOD((YEAR(Cfg_Hoje)*12+MONTH(Cfg_Hoje)+2)-1,12)+1,MIN(INDEX(Cartoes_Venc,2),DAY(DATE(INT(((YEAR(Cfg_Hoje)*12+MONTH(Cfg_Hoje)+2)-1)/12),MOD((YEAR(Cfg_Hoje)*12+MONTH(Cfg_Hoje)+2)-1,12)+2,0)))))</f>
        <v>46373.0</v>
      </c>
      <c r="N26" s="43">
        <f>IF(L26="",0,IF(SUMIFS(L_VParc,L_Tipo,"Transferência",L_Status,"Pago",L_Desc,"*"&amp;L26&amp;"*",L_IIni,(YEAR(Cfg_Hoje)*12+MONTH(Cfg_Hoje)+2))&lt;0,0,SUMIFS(L_VParc,L_Conta,L26,L_Tipo,"Despesa",L_FIni,"&lt;="&amp;(((YEAR(Cfg_Hoje)*12+MONTH(Cfg_Hoje)+2)-IF(INDEX(Cartoes_Venc,2)&gt;INDEX(Cartoes_Fech,2),0,1))),L_FFim,"&gt;="&amp;(((YEAR(Cfg_Hoje)*12+MONTH(Cfg_Hoje)+2)-IF(INDEX(Cartoes_Venc,2)&gt;INDEX(Cartoes_Fech,2),0,1))))))</f>
        <v>200</v>
      </c>
      <c r="P26" s="105">
        <f>IF(OR(INDEX(Rec_Tipo,18)&lt;&gt;"Despesa",INDEX(Rec_Ativo,18)&lt;&gt;"Sim",INDEX(Rec_IIni,18)=0,N(INDEX(Rec_Dia,18))=0),"",IF(AND((YEAR(IF(DATE(YEAR(Cfg_Hoje),MONTH(Cfg_Hoje),MIN(INDEX(Rec_Dia,18),28))&gt;=Cfg_Hoje,DATE(YEAR(Cfg_Hoje),MONTH(Cfg_Hoje),MIN(INDEX(Rec_Dia,18),28)),DATE(YEAR(Cfg_Hoje),MONTH(Cfg_Hoje)+1,MIN(INDEX(Rec_Dia,18),28))))*12+MONTH(IF(DATE(YEAR(Cfg_Hoje),MONTH(Cfg_Hoje),MIN(INDEX(Rec_Dia,18),28))&gt;=Cfg_Hoje,DATE(YEAR(Cfg_Hoje),MONTH(Cfg_Hoje),MIN(INDEX(Rec_Dia,18),28)),DATE(YEAR(Cfg_Hoje),MONTH(Cfg_Hoje)+1,MIN(INDEX(Rec_Dia,18),28)))))&gt;=INDEX(Rec_IIni,18),(YEAR(IF(DATE(YEAR(Cfg_Hoje),MONTH(Cfg_Hoje),MIN(INDEX(Rec_Dia,18),28))&gt;=Cfg_Hoje,DATE(YEAR(Cfg_Hoje),MONTH(Cfg_Hoje),MIN(INDEX(Rec_Dia,18),28)),DATE(YEAR(Cfg_Hoje),MONTH(Cfg_Hoje)+1,MIN(INDEX(Rec_Dia,18),28))))*12+MONTH(IF(DATE(YEAR(Cfg_Hoje),MONTH(Cfg_Hoje),MIN(INDEX(Rec_Dia,18),28))&gt;=Cfg_Hoje,DATE(YEAR(Cfg_Hoje),MONTH(Cfg_Hoje),MIN(INDEX(Rec_Dia,18),28)),DATE(YEAR(Cfg_Hoje),MONTH(Cfg_Hoje)+1,MIN(INDEX(Rec_Dia,18),28)))))&lt;=INDEX(Rec_IFim,18),OR(INDEX(Rec_Freq,18)&lt;&gt;"Anual",MONTH(IF(DATE(YEAR(Cfg_Hoje),MONTH(Cfg_Hoje),MIN(INDEX(Rec_Dia,18),28))&gt;=Cfg_Hoje,DATE(YEAR(Cfg_Hoje),MONTH(Cfg_Hoje),MIN(INDEX(Rec_Dia,18),28)),DATE(YEAR(Cfg_Hoje),MONTH(Cfg_Hoje)+1,MIN(INDEX(Rec_Dia,18),28))))=INDEX(Rec_MesRef,18))),IF(DATE(YEAR(Cfg_Hoje),MONTH(Cfg_Hoje),MIN(INDEX(Rec_Dia,18),28))&gt;=Cfg_Hoje,DATE(YEAR(Cfg_Hoje),MONTH(Cfg_Hoje),MIN(INDEX(Rec_Dia,18),28)),DATE(YEAR(Cfg_Hoje),MONTH(Cfg_Hoje)+1,MIN(INDEX(Rec_Dia,18),28))),""))</f>
        <v>46313.0</v>
      </c>
      <c r="Q26" s="43">
        <f>IF(P26="",0,N(INDEX(Rec_Valor,18)))</f>
        <v>2700</v>
      </c>
    </row>
    <row r="27" hidden="1">
      <c r="B27" s="112">
        <f>IF(B25="",0,SUMIFS(L_VParc,L_Tipo,"Despesa",L_FIni,0,L_IIni,"&lt;="&amp;Sel_Idx,L_IFim,"&gt;="&amp;Sel_Idx,L_Dia,B25,L_Status,"&lt;&gt;Pago")+IF(Sel_Idx&gt;Cfg_Idx,(SUMIFS(Rec_Valor,Rec_Tipo,"Despesa",Rec_Ativo,"Sim",Rec_Dia,B25,Rec_IIni,"&lt;="&amp;(Sel_Idx),Rec_IFim,"&gt;="&amp;(Sel_Idx),Rec_Freq,"&lt;&gt;Anual")+SUMIFS(Rec_Valor,Rec_Tipo,"Despesa",Rec_Ativo,"Sim",Rec_Dia,B25,Rec_IIni,"&lt;="&amp;(Sel_Idx),Rec_IFim,"&gt;="&amp;(Sel_Idx),Rec_Freq,"Anual",Rec_MesRef,MOD((Sel_Idx)-1,12)+1)),0)+SUMIFS($F$85:$F$92,$C$85:$C$92,B25))</f>
        <v>0</v>
      </c>
      <c r="C27" s="112">
        <f>IF(C25="",0,SUMIFS(L_VParc,L_Tipo,"Despesa",L_FIni,0,L_IIni,"&lt;="&amp;Sel_Idx,L_IFim,"&gt;="&amp;Sel_Idx,L_Dia,C25,L_Status,"&lt;&gt;Pago")+IF(Sel_Idx&gt;Cfg_Idx,(SUMIFS(Rec_Valor,Rec_Tipo,"Despesa",Rec_Ativo,"Sim",Rec_Dia,C25,Rec_IIni,"&lt;="&amp;(Sel_Idx),Rec_IFim,"&gt;="&amp;(Sel_Idx),Rec_Freq,"&lt;&gt;Anual")+SUMIFS(Rec_Valor,Rec_Tipo,"Despesa",Rec_Ativo,"Sim",Rec_Dia,C25,Rec_IIni,"&lt;="&amp;(Sel_Idx),Rec_IFim,"&gt;="&amp;(Sel_Idx),Rec_Freq,"Anual",Rec_MesRef,MOD((Sel_Idx)-1,12)+1)),0)+SUMIFS($F$85:$F$92,$C$85:$C$92,C25))</f>
        <v>0</v>
      </c>
      <c r="D27" s="112">
        <f>IF(D25="",0,SUMIFS(L_VParc,L_Tipo,"Despesa",L_FIni,0,L_IIni,"&lt;="&amp;Sel_Idx,L_IFim,"&gt;="&amp;Sel_Idx,L_Dia,D25,L_Status,"&lt;&gt;Pago")+IF(Sel_Idx&gt;Cfg_Idx,(SUMIFS(Rec_Valor,Rec_Tipo,"Despesa",Rec_Ativo,"Sim",Rec_Dia,D25,Rec_IIni,"&lt;="&amp;(Sel_Idx),Rec_IFim,"&gt;="&amp;(Sel_Idx),Rec_Freq,"&lt;&gt;Anual")+SUMIFS(Rec_Valor,Rec_Tipo,"Despesa",Rec_Ativo,"Sim",Rec_Dia,D25,Rec_IIni,"&lt;="&amp;(Sel_Idx),Rec_IFim,"&gt;="&amp;(Sel_Idx),Rec_Freq,"Anual",Rec_MesRef,MOD((Sel_Idx)-1,12)+1)),0)+SUMIFS($F$85:$F$92,$C$85:$C$92,D25))</f>
        <v>0</v>
      </c>
      <c r="E27" s="112">
        <f>IF(E25="",0,SUMIFS(L_VParc,L_Tipo,"Despesa",L_FIni,0,L_IIni,"&lt;="&amp;Sel_Idx,L_IFim,"&gt;="&amp;Sel_Idx,L_Dia,E25,L_Status,"&lt;&gt;Pago")+IF(Sel_Idx&gt;Cfg_Idx,(SUMIFS(Rec_Valor,Rec_Tipo,"Despesa",Rec_Ativo,"Sim",Rec_Dia,E25,Rec_IIni,"&lt;="&amp;(Sel_Idx),Rec_IFim,"&gt;="&amp;(Sel_Idx),Rec_Freq,"&lt;&gt;Anual")+SUMIFS(Rec_Valor,Rec_Tipo,"Despesa",Rec_Ativo,"Sim",Rec_Dia,E25,Rec_IIni,"&lt;="&amp;(Sel_Idx),Rec_IFim,"&gt;="&amp;(Sel_Idx),Rec_Freq,"Anual",Rec_MesRef,MOD((Sel_Idx)-1,12)+1)),0)+SUMIFS($F$85:$F$92,$C$85:$C$92,E25))</f>
        <v>0</v>
      </c>
      <c r="F27" s="112">
        <f>IF(F25="",0,SUMIFS(L_VParc,L_Tipo,"Despesa",L_FIni,0,L_IIni,"&lt;="&amp;Sel_Idx,L_IFim,"&gt;="&amp;Sel_Idx,L_Dia,F25,L_Status,"&lt;&gt;Pago")+IF(Sel_Idx&gt;Cfg_Idx,(SUMIFS(Rec_Valor,Rec_Tipo,"Despesa",Rec_Ativo,"Sim",Rec_Dia,F25,Rec_IIni,"&lt;="&amp;(Sel_Idx),Rec_IFim,"&gt;="&amp;(Sel_Idx),Rec_Freq,"&lt;&gt;Anual")+SUMIFS(Rec_Valor,Rec_Tipo,"Despesa",Rec_Ativo,"Sim",Rec_Dia,F25,Rec_IIni,"&lt;="&amp;(Sel_Idx),Rec_IFim,"&gt;="&amp;(Sel_Idx),Rec_Freq,"Anual",Rec_MesRef,MOD((Sel_Idx)-1,12)+1)),0)+SUMIFS($F$85:$F$92,$C$85:$C$92,F25))</f>
        <v>0</v>
      </c>
      <c r="G27" s="112">
        <f>IF(G25="",0,SUMIFS(L_VParc,L_Tipo,"Despesa",L_FIni,0,L_IIni,"&lt;="&amp;Sel_Idx,L_IFim,"&gt;="&amp;Sel_Idx,L_Dia,G25,L_Status,"&lt;&gt;Pago")+IF(Sel_Idx&gt;Cfg_Idx,(SUMIFS(Rec_Valor,Rec_Tipo,"Despesa",Rec_Ativo,"Sim",Rec_Dia,G25,Rec_IIni,"&lt;="&amp;(Sel_Idx),Rec_IFim,"&gt;="&amp;(Sel_Idx),Rec_Freq,"&lt;&gt;Anual")+SUMIFS(Rec_Valor,Rec_Tipo,"Despesa",Rec_Ativo,"Sim",Rec_Dia,G25,Rec_IIni,"&lt;="&amp;(Sel_Idx),Rec_IFim,"&gt;="&amp;(Sel_Idx),Rec_Freq,"Anual",Rec_MesRef,MOD((Sel_Idx)-1,12)+1)),0)+SUMIFS($F$85:$F$92,$C$85:$C$92,G25))</f>
        <v>0</v>
      </c>
      <c r="H27" s="112">
        <f>IF(H25="",0,SUMIFS(L_VParc,L_Tipo,"Despesa",L_FIni,0,L_IIni,"&lt;="&amp;Sel_Idx,L_IFim,"&gt;="&amp;Sel_Idx,L_Dia,H25,L_Status,"&lt;&gt;Pago")+IF(Sel_Idx&gt;Cfg_Idx,(SUMIFS(Rec_Valor,Rec_Tipo,"Despesa",Rec_Ativo,"Sim",Rec_Dia,H25,Rec_IIni,"&lt;="&amp;(Sel_Idx),Rec_IFim,"&gt;="&amp;(Sel_Idx),Rec_Freq,"&lt;&gt;Anual")+SUMIFS(Rec_Valor,Rec_Tipo,"Despesa",Rec_Ativo,"Sim",Rec_Dia,H25,Rec_IIni,"&lt;="&amp;(Sel_Idx),Rec_IFim,"&gt;="&amp;(Sel_Idx),Rec_Freq,"Anual",Rec_MesRef,MOD((Sel_Idx)-1,12)+1)),0)+SUMIFS($F$85:$F$92,$C$85:$C$92,H25))</f>
        <v>0</v>
      </c>
      <c r="L27" s="14" t="str">
        <f>IF(INDEX(Cartoes_Nome,3)="","",INDEX(Cartoes_Nome,3))</f>
        <v/>
      </c>
      <c r="M27" s="105" t="str">
        <f>IF(L27="","",DATE(INT(((YEAR(Cfg_Hoje)*12+MONTH(Cfg_Hoje)+2)-1)/12),MOD((YEAR(Cfg_Hoje)*12+MONTH(Cfg_Hoje)+2)-1,12)+1,MIN(INDEX(Cartoes_Venc,3),DAY(DATE(INT(((YEAR(Cfg_Hoje)*12+MONTH(Cfg_Hoje)+2)-1)/12),MOD((YEAR(Cfg_Hoje)*12+MONTH(Cfg_Hoje)+2)-1,12)+2,0)))))</f>
        <v/>
      </c>
      <c r="N27" s="43">
        <f>IF(L27="",0,IF(SUMIFS(L_VParc,L_Tipo,"Transferência",L_Status,"Pago",L_Desc,"*"&amp;L27&amp;"*",L_IIni,(YEAR(Cfg_Hoje)*12+MONTH(Cfg_Hoje)+2))&lt;0,0,SUMIFS(L_VParc,L_Conta,L27,L_Tipo,"Despesa",L_FIni,"&lt;="&amp;(((YEAR(Cfg_Hoje)*12+MONTH(Cfg_Hoje)+2)-IF(INDEX(Cartoes_Venc,3)&gt;INDEX(Cartoes_Fech,3),0,1))),L_FFim,"&gt;="&amp;(((YEAR(Cfg_Hoje)*12+MONTH(Cfg_Hoje)+2)-IF(INDEX(Cartoes_Venc,3)&gt;INDEX(Cartoes_Fech,3),0,1))))))</f>
        <v>0</v>
      </c>
      <c r="P27" s="105" t="str">
        <f>IF(OR(INDEX(Rec_Tipo,19)&lt;&gt;"Despesa",INDEX(Rec_Ativo,19)&lt;&gt;"Sim",INDEX(Rec_IIni,19)=0,N(INDEX(Rec_Dia,19))=0),"",IF(AND((YEAR(IF(DATE(YEAR(Cfg_Hoje),MONTH(Cfg_Hoje),MIN(INDEX(Rec_Dia,19),28))&gt;=Cfg_Hoje,DATE(YEAR(Cfg_Hoje),MONTH(Cfg_Hoje),MIN(INDEX(Rec_Dia,19),28)),DATE(YEAR(Cfg_Hoje),MONTH(Cfg_Hoje)+1,MIN(INDEX(Rec_Dia,19),28))))*12+MONTH(IF(DATE(YEAR(Cfg_Hoje),MONTH(Cfg_Hoje),MIN(INDEX(Rec_Dia,19),28))&gt;=Cfg_Hoje,DATE(YEAR(Cfg_Hoje),MONTH(Cfg_Hoje),MIN(INDEX(Rec_Dia,19),28)),DATE(YEAR(Cfg_Hoje),MONTH(Cfg_Hoje)+1,MIN(INDEX(Rec_Dia,19),28)))))&gt;=INDEX(Rec_IIni,19),(YEAR(IF(DATE(YEAR(Cfg_Hoje),MONTH(Cfg_Hoje),MIN(INDEX(Rec_Dia,19),28))&gt;=Cfg_Hoje,DATE(YEAR(Cfg_Hoje),MONTH(Cfg_Hoje),MIN(INDEX(Rec_Dia,19),28)),DATE(YEAR(Cfg_Hoje),MONTH(Cfg_Hoje)+1,MIN(INDEX(Rec_Dia,19),28))))*12+MONTH(IF(DATE(YEAR(Cfg_Hoje),MONTH(Cfg_Hoje),MIN(INDEX(Rec_Dia,19),28))&gt;=Cfg_Hoje,DATE(YEAR(Cfg_Hoje),MONTH(Cfg_Hoje),MIN(INDEX(Rec_Dia,19),28)),DATE(YEAR(Cfg_Hoje),MONTH(Cfg_Hoje)+1,MIN(INDEX(Rec_Dia,19),28)))))&lt;=INDEX(Rec_IFim,19),OR(INDEX(Rec_Freq,19)&lt;&gt;"Anual",MONTH(IF(DATE(YEAR(Cfg_Hoje),MONTH(Cfg_Hoje),MIN(INDEX(Rec_Dia,19),28))&gt;=Cfg_Hoje,DATE(YEAR(Cfg_Hoje),MONTH(Cfg_Hoje),MIN(INDEX(Rec_Dia,19),28)),DATE(YEAR(Cfg_Hoje),MONTH(Cfg_Hoje)+1,MIN(INDEX(Rec_Dia,19),28))))=INDEX(Rec_MesRef,19))),IF(DATE(YEAR(Cfg_Hoje),MONTH(Cfg_Hoje),MIN(INDEX(Rec_Dia,19),28))&gt;=Cfg_Hoje,DATE(YEAR(Cfg_Hoje),MONTH(Cfg_Hoje),MIN(INDEX(Rec_Dia,19),28)),DATE(YEAR(Cfg_Hoje),MONTH(Cfg_Hoje)+1,MIN(INDEX(Rec_Dia,19),28))),""))</f>
        <v/>
      </c>
      <c r="Q27" s="43">
        <f>IF(P27="",0,N(INDEX(Rec_Valor,19)))</f>
        <v>0</v>
      </c>
    </row>
    <row r="28">
      <c r="B28" s="110">
        <f>IF(AND((29-(WEEKDAY(Sel_Ini)-1))&gt;=1,(29-(WEEKDAY(Sel_Ini)-1))&lt;=Sel_Dias),(29-(WEEKDAY(Sel_Ini)-1)),"")</f>
        <v>27</v>
      </c>
      <c r="C28" s="110">
        <f>IF(AND((30-(WEEKDAY(Sel_Ini)-1))&gt;=1,(30-(WEEKDAY(Sel_Ini)-1))&lt;=Sel_Dias),(30-(WEEKDAY(Sel_Ini)-1)),"")</f>
        <v>28</v>
      </c>
      <c r="D28" s="110">
        <f>IF(AND((31-(WEEKDAY(Sel_Ini)-1))&gt;=1,(31-(WEEKDAY(Sel_Ini)-1))&lt;=Sel_Dias),(31-(WEEKDAY(Sel_Ini)-1)),"")</f>
        <v>29</v>
      </c>
      <c r="E28" s="110">
        <f>IF(AND((32-(WEEKDAY(Sel_Ini)-1))&gt;=1,(32-(WEEKDAY(Sel_Ini)-1))&lt;=Sel_Dias),(32-(WEEKDAY(Sel_Ini)-1)),"")</f>
        <v>30</v>
      </c>
      <c r="F28" s="110" t="str">
        <f>IF(AND((33-(WEEKDAY(Sel_Ini)-1))&gt;=1,(33-(WEEKDAY(Sel_Ini)-1))&lt;=Sel_Dias),(33-(WEEKDAY(Sel_Ini)-1)),"")</f>
        <v/>
      </c>
      <c r="G28" s="110" t="str">
        <f>IF(AND((34-(WEEKDAY(Sel_Ini)-1))&gt;=1,(34-(WEEKDAY(Sel_Ini)-1))&lt;=Sel_Dias),(34-(WEEKDAY(Sel_Ini)-1)),"")</f>
        <v/>
      </c>
      <c r="H28" s="110" t="str">
        <f>IF(AND((35-(WEEKDAY(Sel_Ini)-1))&gt;=1,(35-(WEEKDAY(Sel_Ini)-1))&lt;=Sel_Dias),(35-(WEEKDAY(Sel_Ini)-1)),"")</f>
        <v/>
      </c>
      <c r="L28" s="14" t="str">
        <f>IF(INDEX(Cartoes_Nome,4)="","",INDEX(Cartoes_Nome,4))</f>
        <v/>
      </c>
      <c r="M28" s="105" t="str">
        <f>IF(L28="","",DATE(INT(((YEAR(Cfg_Hoje)*12+MONTH(Cfg_Hoje)+2)-1)/12),MOD((YEAR(Cfg_Hoje)*12+MONTH(Cfg_Hoje)+2)-1,12)+1,MIN(INDEX(Cartoes_Venc,4),DAY(DATE(INT(((YEAR(Cfg_Hoje)*12+MONTH(Cfg_Hoje)+2)-1)/12),MOD((YEAR(Cfg_Hoje)*12+MONTH(Cfg_Hoje)+2)-1,12)+2,0)))))</f>
        <v/>
      </c>
      <c r="N28" s="43">
        <f>IF(L28="",0,IF(SUMIFS(L_VParc,L_Tipo,"Transferência",L_Status,"Pago",L_Desc,"*"&amp;L28&amp;"*",L_IIni,(YEAR(Cfg_Hoje)*12+MONTH(Cfg_Hoje)+2))&lt;0,0,SUMIFS(L_VParc,L_Conta,L28,L_Tipo,"Despesa",L_FIni,"&lt;="&amp;(((YEAR(Cfg_Hoje)*12+MONTH(Cfg_Hoje)+2)-IF(INDEX(Cartoes_Venc,4)&gt;INDEX(Cartoes_Fech,4),0,1))),L_FFim,"&gt;="&amp;(((YEAR(Cfg_Hoje)*12+MONTH(Cfg_Hoje)+2)-IF(INDEX(Cartoes_Venc,4)&gt;INDEX(Cartoes_Fech,4),0,1))))))</f>
        <v>0</v>
      </c>
      <c r="P28" s="105" t="str">
        <f>IF(OR(INDEX(Rec_Tipo,20)&lt;&gt;"Despesa",INDEX(Rec_Ativo,20)&lt;&gt;"Sim",INDEX(Rec_IIni,20)=0,N(INDEX(Rec_Dia,20))=0),"",IF(AND((YEAR(IF(DATE(YEAR(Cfg_Hoje),MONTH(Cfg_Hoje),MIN(INDEX(Rec_Dia,20),28))&gt;=Cfg_Hoje,DATE(YEAR(Cfg_Hoje),MONTH(Cfg_Hoje),MIN(INDEX(Rec_Dia,20),28)),DATE(YEAR(Cfg_Hoje),MONTH(Cfg_Hoje)+1,MIN(INDEX(Rec_Dia,20),28))))*12+MONTH(IF(DATE(YEAR(Cfg_Hoje),MONTH(Cfg_Hoje),MIN(INDEX(Rec_Dia,20),28))&gt;=Cfg_Hoje,DATE(YEAR(Cfg_Hoje),MONTH(Cfg_Hoje),MIN(INDEX(Rec_Dia,20),28)),DATE(YEAR(Cfg_Hoje),MONTH(Cfg_Hoje)+1,MIN(INDEX(Rec_Dia,20),28)))))&gt;=INDEX(Rec_IIni,20),(YEAR(IF(DATE(YEAR(Cfg_Hoje),MONTH(Cfg_Hoje),MIN(INDEX(Rec_Dia,20),28))&gt;=Cfg_Hoje,DATE(YEAR(Cfg_Hoje),MONTH(Cfg_Hoje),MIN(INDEX(Rec_Dia,20),28)),DATE(YEAR(Cfg_Hoje),MONTH(Cfg_Hoje)+1,MIN(INDEX(Rec_Dia,20),28))))*12+MONTH(IF(DATE(YEAR(Cfg_Hoje),MONTH(Cfg_Hoje),MIN(INDEX(Rec_Dia,20),28))&gt;=Cfg_Hoje,DATE(YEAR(Cfg_Hoje),MONTH(Cfg_Hoje),MIN(INDEX(Rec_Dia,20),28)),DATE(YEAR(Cfg_Hoje),MONTH(Cfg_Hoje)+1,MIN(INDEX(Rec_Dia,20),28)))))&lt;=INDEX(Rec_IFim,20),OR(INDEX(Rec_Freq,20)&lt;&gt;"Anual",MONTH(IF(DATE(YEAR(Cfg_Hoje),MONTH(Cfg_Hoje),MIN(INDEX(Rec_Dia,20),28))&gt;=Cfg_Hoje,DATE(YEAR(Cfg_Hoje),MONTH(Cfg_Hoje),MIN(INDEX(Rec_Dia,20),28)),DATE(YEAR(Cfg_Hoje),MONTH(Cfg_Hoje)+1,MIN(INDEX(Rec_Dia,20),28))))=INDEX(Rec_MesRef,20))),IF(DATE(YEAR(Cfg_Hoje),MONTH(Cfg_Hoje),MIN(INDEX(Rec_Dia,20),28))&gt;=Cfg_Hoje,DATE(YEAR(Cfg_Hoje),MONTH(Cfg_Hoje),MIN(INDEX(Rec_Dia,20),28)),DATE(YEAR(Cfg_Hoje),MONTH(Cfg_Hoje)+1,MIN(INDEX(Rec_Dia,20),28))),""))</f>
        <v/>
      </c>
      <c r="Q28" s="43">
        <f>IF(P28="",0,N(INDEX(Rec_Valor,20)))</f>
        <v>0</v>
      </c>
    </row>
    <row r="29" ht="20" customHeight="1">
      <c r="B29" s="111">
        <f>IF(B28="","",SUMIFS(L_VParc,L_Tipo,"Despesa",L_FIni,0,L_IIni,"&lt;="&amp;Sel_Idx,L_IFim,"&gt;="&amp;Sel_Idx,L_Dia,B28)+IF(Sel_Idx&gt;Cfg_Idx,(SUMIFS(Rec_Valor,Rec_Tipo,"Despesa",Rec_Ativo,"Sim",Rec_Dia,B28,Rec_IIni,"&lt;="&amp;(Sel_Idx),Rec_IFim,"&gt;="&amp;(Sel_Idx),Rec_Freq,"&lt;&gt;Anual")+SUMIFS(Rec_Valor,Rec_Tipo,"Despesa",Rec_Ativo,"Sim",Rec_Dia,B28,Rec_IIni,"&lt;="&amp;(Sel_Idx),Rec_IFim,"&gt;="&amp;(Sel_Idx),Rec_Freq,"Anual",Rec_MesRef,MOD((Sel_Idx)-1,12)+1)),0)+SUMIFS($D$85:$D$92,$C$85:$C$92,B28))</f>
        <v>0</v>
      </c>
      <c r="C29" s="111">
        <f>IF(C28="","",SUMIFS(L_VParc,L_Tipo,"Despesa",L_FIni,0,L_IIni,"&lt;="&amp;Sel_Idx,L_IFim,"&gt;="&amp;Sel_Idx,L_Dia,C28)+IF(Sel_Idx&gt;Cfg_Idx,(SUMIFS(Rec_Valor,Rec_Tipo,"Despesa",Rec_Ativo,"Sim",Rec_Dia,C28,Rec_IIni,"&lt;="&amp;(Sel_Idx),Rec_IFim,"&gt;="&amp;(Sel_Idx),Rec_Freq,"&lt;&gt;Anual")+SUMIFS(Rec_Valor,Rec_Tipo,"Despesa",Rec_Ativo,"Sim",Rec_Dia,C28,Rec_IIni,"&lt;="&amp;(Sel_Idx),Rec_IFim,"&gt;="&amp;(Sel_Idx),Rec_Freq,"Anual",Rec_MesRef,MOD((Sel_Idx)-1,12)+1)),0)+SUMIFS($D$85:$D$92,$C$85:$C$92,C28))</f>
        <v>27.77</v>
      </c>
      <c r="D29" s="111">
        <f>IF(D28="","",SUMIFS(L_VParc,L_Tipo,"Despesa",L_FIni,0,L_IIni,"&lt;="&amp;Sel_Idx,L_IFim,"&gt;="&amp;Sel_Idx,L_Dia,D28)+IF(Sel_Idx&gt;Cfg_Idx,(SUMIFS(Rec_Valor,Rec_Tipo,"Despesa",Rec_Ativo,"Sim",Rec_Dia,D28,Rec_IIni,"&lt;="&amp;(Sel_Idx),Rec_IFim,"&gt;="&amp;(Sel_Idx),Rec_Freq,"&lt;&gt;Anual")+SUMIFS(Rec_Valor,Rec_Tipo,"Despesa",Rec_Ativo,"Sim",Rec_Dia,D28,Rec_IIni,"&lt;="&amp;(Sel_Idx),Rec_IFim,"&gt;="&amp;(Sel_Idx),Rec_Freq,"Anual",Rec_MesRef,MOD((Sel_Idx)-1,12)+1)),0)+SUMIFS($D$85:$D$92,$C$85:$C$92,D28))</f>
        <v>0</v>
      </c>
      <c r="E29" s="111">
        <f>IF(E28="","",SUMIFS(L_VParc,L_Tipo,"Despesa",L_FIni,0,L_IIni,"&lt;="&amp;Sel_Idx,L_IFim,"&gt;="&amp;Sel_Idx,L_Dia,E28)+IF(Sel_Idx&gt;Cfg_Idx,(SUMIFS(Rec_Valor,Rec_Tipo,"Despesa",Rec_Ativo,"Sim",Rec_Dia,E28,Rec_IIni,"&lt;="&amp;(Sel_Idx),Rec_IFim,"&gt;="&amp;(Sel_Idx),Rec_Freq,"&lt;&gt;Anual")+SUMIFS(Rec_Valor,Rec_Tipo,"Despesa",Rec_Ativo,"Sim",Rec_Dia,E28,Rec_IIni,"&lt;="&amp;(Sel_Idx),Rec_IFim,"&gt;="&amp;(Sel_Idx),Rec_Freq,"Anual",Rec_MesRef,MOD((Sel_Idx)-1,12)+1)),0)+SUMIFS($D$85:$D$92,$C$85:$C$92,E28))</f>
        <v>0</v>
      </c>
      <c r="F29" s="111" t="str">
        <f>IF(F28="","",SUMIFS(L_VParc,L_Tipo,"Despesa",L_FIni,0,L_IIni,"&lt;="&amp;Sel_Idx,L_IFim,"&gt;="&amp;Sel_Idx,L_Dia,F28)+IF(Sel_Idx&gt;Cfg_Idx,(SUMIFS(Rec_Valor,Rec_Tipo,"Despesa",Rec_Ativo,"Sim",Rec_Dia,F28,Rec_IIni,"&lt;="&amp;(Sel_Idx),Rec_IFim,"&gt;="&amp;(Sel_Idx),Rec_Freq,"&lt;&gt;Anual")+SUMIFS(Rec_Valor,Rec_Tipo,"Despesa",Rec_Ativo,"Sim",Rec_Dia,F28,Rec_IIni,"&lt;="&amp;(Sel_Idx),Rec_IFim,"&gt;="&amp;(Sel_Idx),Rec_Freq,"Anual",Rec_MesRef,MOD((Sel_Idx)-1,12)+1)),0)+SUMIFS($D$85:$D$92,$C$85:$C$92,F28))</f>
        <v/>
      </c>
      <c r="G29" s="111" t="str">
        <f>IF(G28="","",SUMIFS(L_VParc,L_Tipo,"Despesa",L_FIni,0,L_IIni,"&lt;="&amp;Sel_Idx,L_IFim,"&gt;="&amp;Sel_Idx,L_Dia,G28)+IF(Sel_Idx&gt;Cfg_Idx,(SUMIFS(Rec_Valor,Rec_Tipo,"Despesa",Rec_Ativo,"Sim",Rec_Dia,G28,Rec_IIni,"&lt;="&amp;(Sel_Idx),Rec_IFim,"&gt;="&amp;(Sel_Idx),Rec_Freq,"&lt;&gt;Anual")+SUMIFS(Rec_Valor,Rec_Tipo,"Despesa",Rec_Ativo,"Sim",Rec_Dia,G28,Rec_IIni,"&lt;="&amp;(Sel_Idx),Rec_IFim,"&gt;="&amp;(Sel_Idx),Rec_Freq,"Anual",Rec_MesRef,MOD((Sel_Idx)-1,12)+1)),0)+SUMIFS($D$85:$D$92,$C$85:$C$92,G28))</f>
        <v/>
      </c>
      <c r="H29" s="111" t="str">
        <f>IF(H28="","",SUMIFS(L_VParc,L_Tipo,"Despesa",L_FIni,0,L_IIni,"&lt;="&amp;Sel_Idx,L_IFim,"&gt;="&amp;Sel_Idx,L_Dia,H28)+IF(Sel_Idx&gt;Cfg_Idx,(SUMIFS(Rec_Valor,Rec_Tipo,"Despesa",Rec_Ativo,"Sim",Rec_Dia,H28,Rec_IIni,"&lt;="&amp;(Sel_Idx),Rec_IFim,"&gt;="&amp;(Sel_Idx),Rec_Freq,"&lt;&gt;Anual")+SUMIFS(Rec_Valor,Rec_Tipo,"Despesa",Rec_Ativo,"Sim",Rec_Dia,H28,Rec_IIni,"&lt;="&amp;(Sel_Idx),Rec_IFim,"&gt;="&amp;(Sel_Idx),Rec_Freq,"Anual",Rec_MesRef,MOD((Sel_Idx)-1,12)+1)),0)+SUMIFS($D$85:$D$92,$C$85:$C$92,H28))</f>
        <v/>
      </c>
      <c r="L29" s="14" t="str">
        <f>IF(INDEX(Cartoes_Nome,5)="","",INDEX(Cartoes_Nome,5))</f>
        <v/>
      </c>
      <c r="M29" s="105" t="str">
        <f>IF(L29="","",DATE(INT(((YEAR(Cfg_Hoje)*12+MONTH(Cfg_Hoje)+2)-1)/12),MOD((YEAR(Cfg_Hoje)*12+MONTH(Cfg_Hoje)+2)-1,12)+1,MIN(INDEX(Cartoes_Venc,5),DAY(DATE(INT(((YEAR(Cfg_Hoje)*12+MONTH(Cfg_Hoje)+2)-1)/12),MOD((YEAR(Cfg_Hoje)*12+MONTH(Cfg_Hoje)+2)-1,12)+2,0)))))</f>
        <v/>
      </c>
      <c r="N29" s="43">
        <f>IF(L29="",0,IF(SUMIFS(L_VParc,L_Tipo,"Transferência",L_Status,"Pago",L_Desc,"*"&amp;L29&amp;"*",L_IIni,(YEAR(Cfg_Hoje)*12+MONTH(Cfg_Hoje)+2))&lt;0,0,SUMIFS(L_VParc,L_Conta,L29,L_Tipo,"Despesa",L_FIni,"&lt;="&amp;(((YEAR(Cfg_Hoje)*12+MONTH(Cfg_Hoje)+2)-IF(INDEX(Cartoes_Venc,5)&gt;INDEX(Cartoes_Fech,5),0,1))),L_FFim,"&gt;="&amp;(((YEAR(Cfg_Hoje)*12+MONTH(Cfg_Hoje)+2)-IF(INDEX(Cartoes_Venc,5)&gt;INDEX(Cartoes_Fech,5),0,1))))))</f>
        <v>0</v>
      </c>
      <c r="P29" s="105" t="str">
        <f>IF(OR(INDEX(Rec_Tipo,21)&lt;&gt;"Despesa",INDEX(Rec_Ativo,21)&lt;&gt;"Sim",INDEX(Rec_IIni,21)=0,N(INDEX(Rec_Dia,21))=0),"",IF(AND((YEAR(IF(DATE(YEAR(Cfg_Hoje),MONTH(Cfg_Hoje),MIN(INDEX(Rec_Dia,21),28))&gt;=Cfg_Hoje,DATE(YEAR(Cfg_Hoje),MONTH(Cfg_Hoje),MIN(INDEX(Rec_Dia,21),28)),DATE(YEAR(Cfg_Hoje),MONTH(Cfg_Hoje)+1,MIN(INDEX(Rec_Dia,21),28))))*12+MONTH(IF(DATE(YEAR(Cfg_Hoje),MONTH(Cfg_Hoje),MIN(INDEX(Rec_Dia,21),28))&gt;=Cfg_Hoje,DATE(YEAR(Cfg_Hoje),MONTH(Cfg_Hoje),MIN(INDEX(Rec_Dia,21),28)),DATE(YEAR(Cfg_Hoje),MONTH(Cfg_Hoje)+1,MIN(INDEX(Rec_Dia,21),28)))))&gt;=INDEX(Rec_IIni,21),(YEAR(IF(DATE(YEAR(Cfg_Hoje),MONTH(Cfg_Hoje),MIN(INDEX(Rec_Dia,21),28))&gt;=Cfg_Hoje,DATE(YEAR(Cfg_Hoje),MONTH(Cfg_Hoje),MIN(INDEX(Rec_Dia,21),28)),DATE(YEAR(Cfg_Hoje),MONTH(Cfg_Hoje)+1,MIN(INDEX(Rec_Dia,21),28))))*12+MONTH(IF(DATE(YEAR(Cfg_Hoje),MONTH(Cfg_Hoje),MIN(INDEX(Rec_Dia,21),28))&gt;=Cfg_Hoje,DATE(YEAR(Cfg_Hoje),MONTH(Cfg_Hoje),MIN(INDEX(Rec_Dia,21),28)),DATE(YEAR(Cfg_Hoje),MONTH(Cfg_Hoje)+1,MIN(INDEX(Rec_Dia,21),28)))))&lt;=INDEX(Rec_IFim,21),OR(INDEX(Rec_Freq,21)&lt;&gt;"Anual",MONTH(IF(DATE(YEAR(Cfg_Hoje),MONTH(Cfg_Hoje),MIN(INDEX(Rec_Dia,21),28))&gt;=Cfg_Hoje,DATE(YEAR(Cfg_Hoje),MONTH(Cfg_Hoje),MIN(INDEX(Rec_Dia,21),28)),DATE(YEAR(Cfg_Hoje),MONTH(Cfg_Hoje)+1,MIN(INDEX(Rec_Dia,21),28))))=INDEX(Rec_MesRef,21))),IF(DATE(YEAR(Cfg_Hoje),MONTH(Cfg_Hoje),MIN(INDEX(Rec_Dia,21),28))&gt;=Cfg_Hoje,DATE(YEAR(Cfg_Hoje),MONTH(Cfg_Hoje),MIN(INDEX(Rec_Dia,21),28)),DATE(YEAR(Cfg_Hoje),MONTH(Cfg_Hoje)+1,MIN(INDEX(Rec_Dia,21),28))),""))</f>
        <v/>
      </c>
      <c r="Q29" s="43">
        <f>IF(P29="",0,N(INDEX(Rec_Valor,21)))</f>
        <v>0</v>
      </c>
    </row>
    <row r="30" hidden="1">
      <c r="B30" s="112">
        <f>IF(B28="",0,SUMIFS(L_VParc,L_Tipo,"Despesa",L_FIni,0,L_IIni,"&lt;="&amp;Sel_Idx,L_IFim,"&gt;="&amp;Sel_Idx,L_Dia,B28,L_Status,"&lt;&gt;Pago")+IF(Sel_Idx&gt;Cfg_Idx,(SUMIFS(Rec_Valor,Rec_Tipo,"Despesa",Rec_Ativo,"Sim",Rec_Dia,B28,Rec_IIni,"&lt;="&amp;(Sel_Idx),Rec_IFim,"&gt;="&amp;(Sel_Idx),Rec_Freq,"&lt;&gt;Anual")+SUMIFS(Rec_Valor,Rec_Tipo,"Despesa",Rec_Ativo,"Sim",Rec_Dia,B28,Rec_IIni,"&lt;="&amp;(Sel_Idx),Rec_IFim,"&gt;="&amp;(Sel_Idx),Rec_Freq,"Anual",Rec_MesRef,MOD((Sel_Idx)-1,12)+1)),0)+SUMIFS($F$85:$F$92,$C$85:$C$92,B28))</f>
        <v>0</v>
      </c>
      <c r="C30" s="112">
        <f>IF(C28="",0,SUMIFS(L_VParc,L_Tipo,"Despesa",L_FIni,0,L_IIni,"&lt;="&amp;Sel_Idx,L_IFim,"&gt;="&amp;Sel_Idx,L_Dia,C28,L_Status,"&lt;&gt;Pago")+IF(Sel_Idx&gt;Cfg_Idx,(SUMIFS(Rec_Valor,Rec_Tipo,"Despesa",Rec_Ativo,"Sim",Rec_Dia,C28,Rec_IIni,"&lt;="&amp;(Sel_Idx),Rec_IFim,"&gt;="&amp;(Sel_Idx),Rec_Freq,"&lt;&gt;Anual")+SUMIFS(Rec_Valor,Rec_Tipo,"Despesa",Rec_Ativo,"Sim",Rec_Dia,C28,Rec_IIni,"&lt;="&amp;(Sel_Idx),Rec_IFim,"&gt;="&amp;(Sel_Idx),Rec_Freq,"Anual",Rec_MesRef,MOD((Sel_Idx)-1,12)+1)),0)+SUMIFS($F$85:$F$92,$C$85:$C$92,C28))</f>
        <v>0</v>
      </c>
      <c r="D30" s="112">
        <f>IF(D28="",0,SUMIFS(L_VParc,L_Tipo,"Despesa",L_FIni,0,L_IIni,"&lt;="&amp;Sel_Idx,L_IFim,"&gt;="&amp;Sel_Idx,L_Dia,D28,L_Status,"&lt;&gt;Pago")+IF(Sel_Idx&gt;Cfg_Idx,(SUMIFS(Rec_Valor,Rec_Tipo,"Despesa",Rec_Ativo,"Sim",Rec_Dia,D28,Rec_IIni,"&lt;="&amp;(Sel_Idx),Rec_IFim,"&gt;="&amp;(Sel_Idx),Rec_Freq,"&lt;&gt;Anual")+SUMIFS(Rec_Valor,Rec_Tipo,"Despesa",Rec_Ativo,"Sim",Rec_Dia,D28,Rec_IIni,"&lt;="&amp;(Sel_Idx),Rec_IFim,"&gt;="&amp;(Sel_Idx),Rec_Freq,"Anual",Rec_MesRef,MOD((Sel_Idx)-1,12)+1)),0)+SUMIFS($F$85:$F$92,$C$85:$C$92,D28))</f>
        <v>0</v>
      </c>
      <c r="E30" s="112">
        <f>IF(E28="",0,SUMIFS(L_VParc,L_Tipo,"Despesa",L_FIni,0,L_IIni,"&lt;="&amp;Sel_Idx,L_IFim,"&gt;="&amp;Sel_Idx,L_Dia,E28,L_Status,"&lt;&gt;Pago")+IF(Sel_Idx&gt;Cfg_Idx,(SUMIFS(Rec_Valor,Rec_Tipo,"Despesa",Rec_Ativo,"Sim",Rec_Dia,E28,Rec_IIni,"&lt;="&amp;(Sel_Idx),Rec_IFim,"&gt;="&amp;(Sel_Idx),Rec_Freq,"&lt;&gt;Anual")+SUMIFS(Rec_Valor,Rec_Tipo,"Despesa",Rec_Ativo,"Sim",Rec_Dia,E28,Rec_IIni,"&lt;="&amp;(Sel_Idx),Rec_IFim,"&gt;="&amp;(Sel_Idx),Rec_Freq,"Anual",Rec_MesRef,MOD((Sel_Idx)-1,12)+1)),0)+SUMIFS($F$85:$F$92,$C$85:$C$92,E28))</f>
        <v>0</v>
      </c>
      <c r="F30" s="112">
        <f>IF(F28="",0,SUMIFS(L_VParc,L_Tipo,"Despesa",L_FIni,0,L_IIni,"&lt;="&amp;Sel_Idx,L_IFim,"&gt;="&amp;Sel_Idx,L_Dia,F28,L_Status,"&lt;&gt;Pago")+IF(Sel_Idx&gt;Cfg_Idx,(SUMIFS(Rec_Valor,Rec_Tipo,"Despesa",Rec_Ativo,"Sim",Rec_Dia,F28,Rec_IIni,"&lt;="&amp;(Sel_Idx),Rec_IFim,"&gt;="&amp;(Sel_Idx),Rec_Freq,"&lt;&gt;Anual")+SUMIFS(Rec_Valor,Rec_Tipo,"Despesa",Rec_Ativo,"Sim",Rec_Dia,F28,Rec_IIni,"&lt;="&amp;(Sel_Idx),Rec_IFim,"&gt;="&amp;(Sel_Idx),Rec_Freq,"Anual",Rec_MesRef,MOD((Sel_Idx)-1,12)+1)),0)+SUMIFS($F$85:$F$92,$C$85:$C$92,F28))</f>
        <v>0</v>
      </c>
      <c r="G30" s="112">
        <f>IF(G28="",0,SUMIFS(L_VParc,L_Tipo,"Despesa",L_FIni,0,L_IIni,"&lt;="&amp;Sel_Idx,L_IFim,"&gt;="&amp;Sel_Idx,L_Dia,G28,L_Status,"&lt;&gt;Pago")+IF(Sel_Idx&gt;Cfg_Idx,(SUMIFS(Rec_Valor,Rec_Tipo,"Despesa",Rec_Ativo,"Sim",Rec_Dia,G28,Rec_IIni,"&lt;="&amp;(Sel_Idx),Rec_IFim,"&gt;="&amp;(Sel_Idx),Rec_Freq,"&lt;&gt;Anual")+SUMIFS(Rec_Valor,Rec_Tipo,"Despesa",Rec_Ativo,"Sim",Rec_Dia,G28,Rec_IIni,"&lt;="&amp;(Sel_Idx),Rec_IFim,"&gt;="&amp;(Sel_Idx),Rec_Freq,"Anual",Rec_MesRef,MOD((Sel_Idx)-1,12)+1)),0)+SUMIFS($F$85:$F$92,$C$85:$C$92,G28))</f>
        <v>0</v>
      </c>
      <c r="H30" s="112">
        <f>IF(H28="",0,SUMIFS(L_VParc,L_Tipo,"Despesa",L_FIni,0,L_IIni,"&lt;="&amp;Sel_Idx,L_IFim,"&gt;="&amp;Sel_Idx,L_Dia,H28,L_Status,"&lt;&gt;Pago")+IF(Sel_Idx&gt;Cfg_Idx,(SUMIFS(Rec_Valor,Rec_Tipo,"Despesa",Rec_Ativo,"Sim",Rec_Dia,H28,Rec_IIni,"&lt;="&amp;(Sel_Idx),Rec_IFim,"&gt;="&amp;(Sel_Idx),Rec_Freq,"&lt;&gt;Anual")+SUMIFS(Rec_Valor,Rec_Tipo,"Despesa",Rec_Ativo,"Sim",Rec_Dia,H28,Rec_IIni,"&lt;="&amp;(Sel_Idx),Rec_IFim,"&gt;="&amp;(Sel_Idx),Rec_Freq,"Anual",Rec_MesRef,MOD((Sel_Idx)-1,12)+1)),0)+SUMIFS($F$85:$F$92,$C$85:$C$92,H28))</f>
        <v>0</v>
      </c>
      <c r="L30" s="14" t="str">
        <f>IF(INDEX(Cartoes_Nome,6)="","",INDEX(Cartoes_Nome,6))</f>
        <v/>
      </c>
      <c r="M30" s="105" t="str">
        <f>IF(L30="","",DATE(INT(((YEAR(Cfg_Hoje)*12+MONTH(Cfg_Hoje)+2)-1)/12),MOD((YEAR(Cfg_Hoje)*12+MONTH(Cfg_Hoje)+2)-1,12)+1,MIN(INDEX(Cartoes_Venc,6),DAY(DATE(INT(((YEAR(Cfg_Hoje)*12+MONTH(Cfg_Hoje)+2)-1)/12),MOD((YEAR(Cfg_Hoje)*12+MONTH(Cfg_Hoje)+2)-1,12)+2,0)))))</f>
        <v/>
      </c>
      <c r="N30" s="43">
        <f>IF(L30="",0,IF(SUMIFS(L_VParc,L_Tipo,"Transferência",L_Status,"Pago",L_Desc,"*"&amp;L30&amp;"*",L_IIni,(YEAR(Cfg_Hoje)*12+MONTH(Cfg_Hoje)+2))&lt;0,0,SUMIFS(L_VParc,L_Conta,L30,L_Tipo,"Despesa",L_FIni,"&lt;="&amp;(((YEAR(Cfg_Hoje)*12+MONTH(Cfg_Hoje)+2)-IF(INDEX(Cartoes_Venc,6)&gt;INDEX(Cartoes_Fech,6),0,1))),L_FFim,"&gt;="&amp;(((YEAR(Cfg_Hoje)*12+MONTH(Cfg_Hoje)+2)-IF(INDEX(Cartoes_Venc,6)&gt;INDEX(Cartoes_Fech,6),0,1))))))</f>
        <v>0</v>
      </c>
      <c r="P30" s="105" t="str">
        <f>IF(OR(INDEX(Rec_Tipo,22)&lt;&gt;"Despesa",INDEX(Rec_Ativo,22)&lt;&gt;"Sim",INDEX(Rec_IIni,22)=0,N(INDEX(Rec_Dia,22))=0),"",IF(AND((YEAR(IF(DATE(YEAR(Cfg_Hoje),MONTH(Cfg_Hoje),MIN(INDEX(Rec_Dia,22),28))&gt;=Cfg_Hoje,DATE(YEAR(Cfg_Hoje),MONTH(Cfg_Hoje),MIN(INDEX(Rec_Dia,22),28)),DATE(YEAR(Cfg_Hoje),MONTH(Cfg_Hoje)+1,MIN(INDEX(Rec_Dia,22),28))))*12+MONTH(IF(DATE(YEAR(Cfg_Hoje),MONTH(Cfg_Hoje),MIN(INDEX(Rec_Dia,22),28))&gt;=Cfg_Hoje,DATE(YEAR(Cfg_Hoje),MONTH(Cfg_Hoje),MIN(INDEX(Rec_Dia,22),28)),DATE(YEAR(Cfg_Hoje),MONTH(Cfg_Hoje)+1,MIN(INDEX(Rec_Dia,22),28)))))&gt;=INDEX(Rec_IIni,22),(YEAR(IF(DATE(YEAR(Cfg_Hoje),MONTH(Cfg_Hoje),MIN(INDEX(Rec_Dia,22),28))&gt;=Cfg_Hoje,DATE(YEAR(Cfg_Hoje),MONTH(Cfg_Hoje),MIN(INDEX(Rec_Dia,22),28)),DATE(YEAR(Cfg_Hoje),MONTH(Cfg_Hoje)+1,MIN(INDEX(Rec_Dia,22),28))))*12+MONTH(IF(DATE(YEAR(Cfg_Hoje),MONTH(Cfg_Hoje),MIN(INDEX(Rec_Dia,22),28))&gt;=Cfg_Hoje,DATE(YEAR(Cfg_Hoje),MONTH(Cfg_Hoje),MIN(INDEX(Rec_Dia,22),28)),DATE(YEAR(Cfg_Hoje),MONTH(Cfg_Hoje)+1,MIN(INDEX(Rec_Dia,22),28)))))&lt;=INDEX(Rec_IFim,22),OR(INDEX(Rec_Freq,22)&lt;&gt;"Anual",MONTH(IF(DATE(YEAR(Cfg_Hoje),MONTH(Cfg_Hoje),MIN(INDEX(Rec_Dia,22),28))&gt;=Cfg_Hoje,DATE(YEAR(Cfg_Hoje),MONTH(Cfg_Hoje),MIN(INDEX(Rec_Dia,22),28)),DATE(YEAR(Cfg_Hoje),MONTH(Cfg_Hoje)+1,MIN(INDEX(Rec_Dia,22),28))))=INDEX(Rec_MesRef,22))),IF(DATE(YEAR(Cfg_Hoje),MONTH(Cfg_Hoje),MIN(INDEX(Rec_Dia,22),28))&gt;=Cfg_Hoje,DATE(YEAR(Cfg_Hoje),MONTH(Cfg_Hoje),MIN(INDEX(Rec_Dia,22),28)),DATE(YEAR(Cfg_Hoje),MONTH(Cfg_Hoje)+1,MIN(INDEX(Rec_Dia,22),28))),""))</f>
        <v/>
      </c>
      <c r="Q30" s="43">
        <f>IF(P30="",0,N(INDEX(Rec_Valor,22)))</f>
        <v>0</v>
      </c>
    </row>
    <row r="31">
      <c r="B31" s="110" t="str">
        <f>IF(AND((36-(WEEKDAY(Sel_Ini)-1))&gt;=1,(36-(WEEKDAY(Sel_Ini)-1))&lt;=Sel_Dias),(36-(WEEKDAY(Sel_Ini)-1)),"")</f>
        <v/>
      </c>
      <c r="C31" s="110" t="str">
        <f>IF(AND((37-(WEEKDAY(Sel_Ini)-1))&gt;=1,(37-(WEEKDAY(Sel_Ini)-1))&lt;=Sel_Dias),(37-(WEEKDAY(Sel_Ini)-1)),"")</f>
        <v/>
      </c>
      <c r="D31" s="110" t="str">
        <f>IF(AND((38-(WEEKDAY(Sel_Ini)-1))&gt;=1,(38-(WEEKDAY(Sel_Ini)-1))&lt;=Sel_Dias),(38-(WEEKDAY(Sel_Ini)-1)),"")</f>
        <v/>
      </c>
      <c r="E31" s="110" t="str">
        <f>IF(AND((39-(WEEKDAY(Sel_Ini)-1))&gt;=1,(39-(WEEKDAY(Sel_Ini)-1))&lt;=Sel_Dias),(39-(WEEKDAY(Sel_Ini)-1)),"")</f>
        <v/>
      </c>
      <c r="F31" s="110" t="str">
        <f>IF(AND((40-(WEEKDAY(Sel_Ini)-1))&gt;=1,(40-(WEEKDAY(Sel_Ini)-1))&lt;=Sel_Dias),(40-(WEEKDAY(Sel_Ini)-1)),"")</f>
        <v/>
      </c>
      <c r="G31" s="110" t="str">
        <f>IF(AND((41-(WEEKDAY(Sel_Ini)-1))&gt;=1,(41-(WEEKDAY(Sel_Ini)-1))&lt;=Sel_Dias),(41-(WEEKDAY(Sel_Ini)-1)),"")</f>
        <v/>
      </c>
      <c r="H31" s="110" t="str">
        <f>IF(AND((42-(WEEKDAY(Sel_Ini)-1))&gt;=1,(42-(WEEKDAY(Sel_Ini)-1))&lt;=Sel_Dias),(42-(WEEKDAY(Sel_Ini)-1)),"")</f>
        <v/>
      </c>
      <c r="L31" s="14" t="str">
        <f>IF(INDEX(Cartoes_Nome,7)="","",INDEX(Cartoes_Nome,7))</f>
        <v/>
      </c>
      <c r="M31" s="105" t="str">
        <f>IF(L31="","",DATE(INT(((YEAR(Cfg_Hoje)*12+MONTH(Cfg_Hoje)+2)-1)/12),MOD((YEAR(Cfg_Hoje)*12+MONTH(Cfg_Hoje)+2)-1,12)+1,MIN(INDEX(Cartoes_Venc,7),DAY(DATE(INT(((YEAR(Cfg_Hoje)*12+MONTH(Cfg_Hoje)+2)-1)/12),MOD((YEAR(Cfg_Hoje)*12+MONTH(Cfg_Hoje)+2)-1,12)+2,0)))))</f>
        <v/>
      </c>
      <c r="N31" s="43">
        <f>IF(L31="",0,IF(SUMIFS(L_VParc,L_Tipo,"Transferência",L_Status,"Pago",L_Desc,"*"&amp;L31&amp;"*",L_IIni,(YEAR(Cfg_Hoje)*12+MONTH(Cfg_Hoje)+2))&lt;0,0,SUMIFS(L_VParc,L_Conta,L31,L_Tipo,"Despesa",L_FIni,"&lt;="&amp;(((YEAR(Cfg_Hoje)*12+MONTH(Cfg_Hoje)+2)-IF(INDEX(Cartoes_Venc,7)&gt;INDEX(Cartoes_Fech,7),0,1))),L_FFim,"&gt;="&amp;(((YEAR(Cfg_Hoje)*12+MONTH(Cfg_Hoje)+2)-IF(INDEX(Cartoes_Venc,7)&gt;INDEX(Cartoes_Fech,7),0,1))))))</f>
        <v>0</v>
      </c>
      <c r="P31" s="105" t="str">
        <f>IF(OR(INDEX(Rec_Tipo,23)&lt;&gt;"Despesa",INDEX(Rec_Ativo,23)&lt;&gt;"Sim",INDEX(Rec_IIni,23)=0,N(INDEX(Rec_Dia,23))=0),"",IF(AND((YEAR(IF(DATE(YEAR(Cfg_Hoje),MONTH(Cfg_Hoje),MIN(INDEX(Rec_Dia,23),28))&gt;=Cfg_Hoje,DATE(YEAR(Cfg_Hoje),MONTH(Cfg_Hoje),MIN(INDEX(Rec_Dia,23),28)),DATE(YEAR(Cfg_Hoje),MONTH(Cfg_Hoje)+1,MIN(INDEX(Rec_Dia,23),28))))*12+MONTH(IF(DATE(YEAR(Cfg_Hoje),MONTH(Cfg_Hoje),MIN(INDEX(Rec_Dia,23),28))&gt;=Cfg_Hoje,DATE(YEAR(Cfg_Hoje),MONTH(Cfg_Hoje),MIN(INDEX(Rec_Dia,23),28)),DATE(YEAR(Cfg_Hoje),MONTH(Cfg_Hoje)+1,MIN(INDEX(Rec_Dia,23),28)))))&gt;=INDEX(Rec_IIni,23),(YEAR(IF(DATE(YEAR(Cfg_Hoje),MONTH(Cfg_Hoje),MIN(INDEX(Rec_Dia,23),28))&gt;=Cfg_Hoje,DATE(YEAR(Cfg_Hoje),MONTH(Cfg_Hoje),MIN(INDEX(Rec_Dia,23),28)),DATE(YEAR(Cfg_Hoje),MONTH(Cfg_Hoje)+1,MIN(INDEX(Rec_Dia,23),28))))*12+MONTH(IF(DATE(YEAR(Cfg_Hoje),MONTH(Cfg_Hoje),MIN(INDEX(Rec_Dia,23),28))&gt;=Cfg_Hoje,DATE(YEAR(Cfg_Hoje),MONTH(Cfg_Hoje),MIN(INDEX(Rec_Dia,23),28)),DATE(YEAR(Cfg_Hoje),MONTH(Cfg_Hoje)+1,MIN(INDEX(Rec_Dia,23),28)))))&lt;=INDEX(Rec_IFim,23),OR(INDEX(Rec_Freq,23)&lt;&gt;"Anual",MONTH(IF(DATE(YEAR(Cfg_Hoje),MONTH(Cfg_Hoje),MIN(INDEX(Rec_Dia,23),28))&gt;=Cfg_Hoje,DATE(YEAR(Cfg_Hoje),MONTH(Cfg_Hoje),MIN(INDEX(Rec_Dia,23),28)),DATE(YEAR(Cfg_Hoje),MONTH(Cfg_Hoje)+1,MIN(INDEX(Rec_Dia,23),28))))=INDEX(Rec_MesRef,23))),IF(DATE(YEAR(Cfg_Hoje),MONTH(Cfg_Hoje),MIN(INDEX(Rec_Dia,23),28))&gt;=Cfg_Hoje,DATE(YEAR(Cfg_Hoje),MONTH(Cfg_Hoje),MIN(INDEX(Rec_Dia,23),28)),DATE(YEAR(Cfg_Hoje),MONTH(Cfg_Hoje)+1,MIN(INDEX(Rec_Dia,23),28))),""))</f>
        <v/>
      </c>
      <c r="Q31" s="43">
        <f>IF(P31="",0,N(INDEX(Rec_Valor,23)))</f>
        <v>0</v>
      </c>
    </row>
    <row r="32" ht="20" customHeight="1">
      <c r="B32" s="111" t="str">
        <f>IF(B31="","",SUMIFS(L_VParc,L_Tipo,"Despesa",L_FIni,0,L_IIni,"&lt;="&amp;Sel_Idx,L_IFim,"&gt;="&amp;Sel_Idx,L_Dia,B31)+IF(Sel_Idx&gt;Cfg_Idx,(SUMIFS(Rec_Valor,Rec_Tipo,"Despesa",Rec_Ativo,"Sim",Rec_Dia,B31,Rec_IIni,"&lt;="&amp;(Sel_Idx),Rec_IFim,"&gt;="&amp;(Sel_Idx),Rec_Freq,"&lt;&gt;Anual")+SUMIFS(Rec_Valor,Rec_Tipo,"Despesa",Rec_Ativo,"Sim",Rec_Dia,B31,Rec_IIni,"&lt;="&amp;(Sel_Idx),Rec_IFim,"&gt;="&amp;(Sel_Idx),Rec_Freq,"Anual",Rec_MesRef,MOD((Sel_Idx)-1,12)+1)),0)+SUMIFS($D$85:$D$92,$C$85:$C$92,B31))</f>
        <v/>
      </c>
      <c r="C32" s="111" t="str">
        <f>IF(C31="","",SUMIFS(L_VParc,L_Tipo,"Despesa",L_FIni,0,L_IIni,"&lt;="&amp;Sel_Idx,L_IFim,"&gt;="&amp;Sel_Idx,L_Dia,C31)+IF(Sel_Idx&gt;Cfg_Idx,(SUMIFS(Rec_Valor,Rec_Tipo,"Despesa",Rec_Ativo,"Sim",Rec_Dia,C31,Rec_IIni,"&lt;="&amp;(Sel_Idx),Rec_IFim,"&gt;="&amp;(Sel_Idx),Rec_Freq,"&lt;&gt;Anual")+SUMIFS(Rec_Valor,Rec_Tipo,"Despesa",Rec_Ativo,"Sim",Rec_Dia,C31,Rec_IIni,"&lt;="&amp;(Sel_Idx),Rec_IFim,"&gt;="&amp;(Sel_Idx),Rec_Freq,"Anual",Rec_MesRef,MOD((Sel_Idx)-1,12)+1)),0)+SUMIFS($D$85:$D$92,$C$85:$C$92,C31))</f>
        <v/>
      </c>
      <c r="D32" s="111" t="str">
        <f>IF(D31="","",SUMIFS(L_VParc,L_Tipo,"Despesa",L_FIni,0,L_IIni,"&lt;="&amp;Sel_Idx,L_IFim,"&gt;="&amp;Sel_Idx,L_Dia,D31)+IF(Sel_Idx&gt;Cfg_Idx,(SUMIFS(Rec_Valor,Rec_Tipo,"Despesa",Rec_Ativo,"Sim",Rec_Dia,D31,Rec_IIni,"&lt;="&amp;(Sel_Idx),Rec_IFim,"&gt;="&amp;(Sel_Idx),Rec_Freq,"&lt;&gt;Anual")+SUMIFS(Rec_Valor,Rec_Tipo,"Despesa",Rec_Ativo,"Sim",Rec_Dia,D31,Rec_IIni,"&lt;="&amp;(Sel_Idx),Rec_IFim,"&gt;="&amp;(Sel_Idx),Rec_Freq,"Anual",Rec_MesRef,MOD((Sel_Idx)-1,12)+1)),0)+SUMIFS($D$85:$D$92,$C$85:$C$92,D31))</f>
        <v/>
      </c>
      <c r="E32" s="111" t="str">
        <f>IF(E31="","",SUMIFS(L_VParc,L_Tipo,"Despesa",L_FIni,0,L_IIni,"&lt;="&amp;Sel_Idx,L_IFim,"&gt;="&amp;Sel_Idx,L_Dia,E31)+IF(Sel_Idx&gt;Cfg_Idx,(SUMIFS(Rec_Valor,Rec_Tipo,"Despesa",Rec_Ativo,"Sim",Rec_Dia,E31,Rec_IIni,"&lt;="&amp;(Sel_Idx),Rec_IFim,"&gt;="&amp;(Sel_Idx),Rec_Freq,"&lt;&gt;Anual")+SUMIFS(Rec_Valor,Rec_Tipo,"Despesa",Rec_Ativo,"Sim",Rec_Dia,E31,Rec_IIni,"&lt;="&amp;(Sel_Idx),Rec_IFim,"&gt;="&amp;(Sel_Idx),Rec_Freq,"Anual",Rec_MesRef,MOD((Sel_Idx)-1,12)+1)),0)+SUMIFS($D$85:$D$92,$C$85:$C$92,E31))</f>
        <v/>
      </c>
      <c r="F32" s="111" t="str">
        <f>IF(F31="","",SUMIFS(L_VParc,L_Tipo,"Despesa",L_FIni,0,L_IIni,"&lt;="&amp;Sel_Idx,L_IFim,"&gt;="&amp;Sel_Idx,L_Dia,F31)+IF(Sel_Idx&gt;Cfg_Idx,(SUMIFS(Rec_Valor,Rec_Tipo,"Despesa",Rec_Ativo,"Sim",Rec_Dia,F31,Rec_IIni,"&lt;="&amp;(Sel_Idx),Rec_IFim,"&gt;="&amp;(Sel_Idx),Rec_Freq,"&lt;&gt;Anual")+SUMIFS(Rec_Valor,Rec_Tipo,"Despesa",Rec_Ativo,"Sim",Rec_Dia,F31,Rec_IIni,"&lt;="&amp;(Sel_Idx),Rec_IFim,"&gt;="&amp;(Sel_Idx),Rec_Freq,"Anual",Rec_MesRef,MOD((Sel_Idx)-1,12)+1)),0)+SUMIFS($D$85:$D$92,$C$85:$C$92,F31))</f>
        <v/>
      </c>
      <c r="G32" s="111" t="str">
        <f>IF(G31="","",SUMIFS(L_VParc,L_Tipo,"Despesa",L_FIni,0,L_IIni,"&lt;="&amp;Sel_Idx,L_IFim,"&gt;="&amp;Sel_Idx,L_Dia,G31)+IF(Sel_Idx&gt;Cfg_Idx,(SUMIFS(Rec_Valor,Rec_Tipo,"Despesa",Rec_Ativo,"Sim",Rec_Dia,G31,Rec_IIni,"&lt;="&amp;(Sel_Idx),Rec_IFim,"&gt;="&amp;(Sel_Idx),Rec_Freq,"&lt;&gt;Anual")+SUMIFS(Rec_Valor,Rec_Tipo,"Despesa",Rec_Ativo,"Sim",Rec_Dia,G31,Rec_IIni,"&lt;="&amp;(Sel_Idx),Rec_IFim,"&gt;="&amp;(Sel_Idx),Rec_Freq,"Anual",Rec_MesRef,MOD((Sel_Idx)-1,12)+1)),0)+SUMIFS($D$85:$D$92,$C$85:$C$92,G31))</f>
        <v/>
      </c>
      <c r="H32" s="111" t="str">
        <f>IF(H31="","",SUMIFS(L_VParc,L_Tipo,"Despesa",L_FIni,0,L_IIni,"&lt;="&amp;Sel_Idx,L_IFim,"&gt;="&amp;Sel_Idx,L_Dia,H31)+IF(Sel_Idx&gt;Cfg_Idx,(SUMIFS(Rec_Valor,Rec_Tipo,"Despesa",Rec_Ativo,"Sim",Rec_Dia,H31,Rec_IIni,"&lt;="&amp;(Sel_Idx),Rec_IFim,"&gt;="&amp;(Sel_Idx),Rec_Freq,"&lt;&gt;Anual")+SUMIFS(Rec_Valor,Rec_Tipo,"Despesa",Rec_Ativo,"Sim",Rec_Dia,H31,Rec_IIni,"&lt;="&amp;(Sel_Idx),Rec_IFim,"&gt;="&amp;(Sel_Idx),Rec_Freq,"Anual",Rec_MesRef,MOD((Sel_Idx)-1,12)+1)),0)+SUMIFS($D$85:$D$92,$C$85:$C$92,H31))</f>
        <v/>
      </c>
      <c r="L32" s="14" t="str">
        <f>IF(INDEX(Cartoes_Nome,8)="","",INDEX(Cartoes_Nome,8))</f>
        <v/>
      </c>
      <c r="M32" s="105" t="str">
        <f>IF(L32="","",DATE(INT(((YEAR(Cfg_Hoje)*12+MONTH(Cfg_Hoje)+2)-1)/12),MOD((YEAR(Cfg_Hoje)*12+MONTH(Cfg_Hoje)+2)-1,12)+1,MIN(INDEX(Cartoes_Venc,8),DAY(DATE(INT(((YEAR(Cfg_Hoje)*12+MONTH(Cfg_Hoje)+2)-1)/12),MOD((YEAR(Cfg_Hoje)*12+MONTH(Cfg_Hoje)+2)-1,12)+2,0)))))</f>
        <v/>
      </c>
      <c r="N32" s="43">
        <f>IF(L32="",0,IF(SUMIFS(L_VParc,L_Tipo,"Transferência",L_Status,"Pago",L_Desc,"*"&amp;L32&amp;"*",L_IIni,(YEAR(Cfg_Hoje)*12+MONTH(Cfg_Hoje)+2))&lt;0,0,SUMIFS(L_VParc,L_Conta,L32,L_Tipo,"Despesa",L_FIni,"&lt;="&amp;(((YEAR(Cfg_Hoje)*12+MONTH(Cfg_Hoje)+2)-IF(INDEX(Cartoes_Venc,8)&gt;INDEX(Cartoes_Fech,8),0,1))),L_FFim,"&gt;="&amp;(((YEAR(Cfg_Hoje)*12+MONTH(Cfg_Hoje)+2)-IF(INDEX(Cartoes_Venc,8)&gt;INDEX(Cartoes_Fech,8),0,1))))))</f>
        <v>0</v>
      </c>
      <c r="P32" s="105" t="str">
        <f>IF(OR(INDEX(Rec_Tipo,24)&lt;&gt;"Despesa",INDEX(Rec_Ativo,24)&lt;&gt;"Sim",INDEX(Rec_IIni,24)=0,N(INDEX(Rec_Dia,24))=0),"",IF(AND((YEAR(IF(DATE(YEAR(Cfg_Hoje),MONTH(Cfg_Hoje),MIN(INDEX(Rec_Dia,24),28))&gt;=Cfg_Hoje,DATE(YEAR(Cfg_Hoje),MONTH(Cfg_Hoje),MIN(INDEX(Rec_Dia,24),28)),DATE(YEAR(Cfg_Hoje),MONTH(Cfg_Hoje)+1,MIN(INDEX(Rec_Dia,24),28))))*12+MONTH(IF(DATE(YEAR(Cfg_Hoje),MONTH(Cfg_Hoje),MIN(INDEX(Rec_Dia,24),28))&gt;=Cfg_Hoje,DATE(YEAR(Cfg_Hoje),MONTH(Cfg_Hoje),MIN(INDEX(Rec_Dia,24),28)),DATE(YEAR(Cfg_Hoje),MONTH(Cfg_Hoje)+1,MIN(INDEX(Rec_Dia,24),28)))))&gt;=INDEX(Rec_IIni,24),(YEAR(IF(DATE(YEAR(Cfg_Hoje),MONTH(Cfg_Hoje),MIN(INDEX(Rec_Dia,24),28))&gt;=Cfg_Hoje,DATE(YEAR(Cfg_Hoje),MONTH(Cfg_Hoje),MIN(INDEX(Rec_Dia,24),28)),DATE(YEAR(Cfg_Hoje),MONTH(Cfg_Hoje)+1,MIN(INDEX(Rec_Dia,24),28))))*12+MONTH(IF(DATE(YEAR(Cfg_Hoje),MONTH(Cfg_Hoje),MIN(INDEX(Rec_Dia,24),28))&gt;=Cfg_Hoje,DATE(YEAR(Cfg_Hoje),MONTH(Cfg_Hoje),MIN(INDEX(Rec_Dia,24),28)),DATE(YEAR(Cfg_Hoje),MONTH(Cfg_Hoje)+1,MIN(INDEX(Rec_Dia,24),28)))))&lt;=INDEX(Rec_IFim,24),OR(INDEX(Rec_Freq,24)&lt;&gt;"Anual",MONTH(IF(DATE(YEAR(Cfg_Hoje),MONTH(Cfg_Hoje),MIN(INDEX(Rec_Dia,24),28))&gt;=Cfg_Hoje,DATE(YEAR(Cfg_Hoje),MONTH(Cfg_Hoje),MIN(INDEX(Rec_Dia,24),28)),DATE(YEAR(Cfg_Hoje),MONTH(Cfg_Hoje)+1,MIN(INDEX(Rec_Dia,24),28))))=INDEX(Rec_MesRef,24))),IF(DATE(YEAR(Cfg_Hoje),MONTH(Cfg_Hoje),MIN(INDEX(Rec_Dia,24),28))&gt;=Cfg_Hoje,DATE(YEAR(Cfg_Hoje),MONTH(Cfg_Hoje),MIN(INDEX(Rec_Dia,24),28)),DATE(YEAR(Cfg_Hoje),MONTH(Cfg_Hoje)+1,MIN(INDEX(Rec_Dia,24),28))),""))</f>
        <v/>
      </c>
      <c r="Q32" s="43">
        <f>IF(P32="",0,N(INDEX(Rec_Valor,24)))</f>
        <v>0</v>
      </c>
    </row>
    <row r="33" hidden="1">
      <c r="B33" s="112">
        <f>IF(B31="",0,SUMIFS(L_VParc,L_Tipo,"Despesa",L_FIni,0,L_IIni,"&lt;="&amp;Sel_Idx,L_IFim,"&gt;="&amp;Sel_Idx,L_Dia,B31,L_Status,"&lt;&gt;Pago")+IF(Sel_Idx&gt;Cfg_Idx,(SUMIFS(Rec_Valor,Rec_Tipo,"Despesa",Rec_Ativo,"Sim",Rec_Dia,B31,Rec_IIni,"&lt;="&amp;(Sel_Idx),Rec_IFim,"&gt;="&amp;(Sel_Idx),Rec_Freq,"&lt;&gt;Anual")+SUMIFS(Rec_Valor,Rec_Tipo,"Despesa",Rec_Ativo,"Sim",Rec_Dia,B31,Rec_IIni,"&lt;="&amp;(Sel_Idx),Rec_IFim,"&gt;="&amp;(Sel_Idx),Rec_Freq,"Anual",Rec_MesRef,MOD((Sel_Idx)-1,12)+1)),0)+SUMIFS($F$85:$F$92,$C$85:$C$92,B31))</f>
        <v>0</v>
      </c>
      <c r="C33" s="112">
        <f>IF(C31="",0,SUMIFS(L_VParc,L_Tipo,"Despesa",L_FIni,0,L_IIni,"&lt;="&amp;Sel_Idx,L_IFim,"&gt;="&amp;Sel_Idx,L_Dia,C31,L_Status,"&lt;&gt;Pago")+IF(Sel_Idx&gt;Cfg_Idx,(SUMIFS(Rec_Valor,Rec_Tipo,"Despesa",Rec_Ativo,"Sim",Rec_Dia,C31,Rec_IIni,"&lt;="&amp;(Sel_Idx),Rec_IFim,"&gt;="&amp;(Sel_Idx),Rec_Freq,"&lt;&gt;Anual")+SUMIFS(Rec_Valor,Rec_Tipo,"Despesa",Rec_Ativo,"Sim",Rec_Dia,C31,Rec_IIni,"&lt;="&amp;(Sel_Idx),Rec_IFim,"&gt;="&amp;(Sel_Idx),Rec_Freq,"Anual",Rec_MesRef,MOD((Sel_Idx)-1,12)+1)),0)+SUMIFS($F$85:$F$92,$C$85:$C$92,C31))</f>
        <v>0</v>
      </c>
      <c r="D33" s="112">
        <f>IF(D31="",0,SUMIFS(L_VParc,L_Tipo,"Despesa",L_FIni,0,L_IIni,"&lt;="&amp;Sel_Idx,L_IFim,"&gt;="&amp;Sel_Idx,L_Dia,D31,L_Status,"&lt;&gt;Pago")+IF(Sel_Idx&gt;Cfg_Idx,(SUMIFS(Rec_Valor,Rec_Tipo,"Despesa",Rec_Ativo,"Sim",Rec_Dia,D31,Rec_IIni,"&lt;="&amp;(Sel_Idx),Rec_IFim,"&gt;="&amp;(Sel_Idx),Rec_Freq,"&lt;&gt;Anual")+SUMIFS(Rec_Valor,Rec_Tipo,"Despesa",Rec_Ativo,"Sim",Rec_Dia,D31,Rec_IIni,"&lt;="&amp;(Sel_Idx),Rec_IFim,"&gt;="&amp;(Sel_Idx),Rec_Freq,"Anual",Rec_MesRef,MOD((Sel_Idx)-1,12)+1)),0)+SUMIFS($F$85:$F$92,$C$85:$C$92,D31))</f>
        <v>0</v>
      </c>
      <c r="E33" s="112">
        <f>IF(E31="",0,SUMIFS(L_VParc,L_Tipo,"Despesa",L_FIni,0,L_IIni,"&lt;="&amp;Sel_Idx,L_IFim,"&gt;="&amp;Sel_Idx,L_Dia,E31,L_Status,"&lt;&gt;Pago")+IF(Sel_Idx&gt;Cfg_Idx,(SUMIFS(Rec_Valor,Rec_Tipo,"Despesa",Rec_Ativo,"Sim",Rec_Dia,E31,Rec_IIni,"&lt;="&amp;(Sel_Idx),Rec_IFim,"&gt;="&amp;(Sel_Idx),Rec_Freq,"&lt;&gt;Anual")+SUMIFS(Rec_Valor,Rec_Tipo,"Despesa",Rec_Ativo,"Sim",Rec_Dia,E31,Rec_IIni,"&lt;="&amp;(Sel_Idx),Rec_IFim,"&gt;="&amp;(Sel_Idx),Rec_Freq,"Anual",Rec_MesRef,MOD((Sel_Idx)-1,12)+1)),0)+SUMIFS($F$85:$F$92,$C$85:$C$92,E31))</f>
        <v>0</v>
      </c>
      <c r="F33" s="112">
        <f>IF(F31="",0,SUMIFS(L_VParc,L_Tipo,"Despesa",L_FIni,0,L_IIni,"&lt;="&amp;Sel_Idx,L_IFim,"&gt;="&amp;Sel_Idx,L_Dia,F31,L_Status,"&lt;&gt;Pago")+IF(Sel_Idx&gt;Cfg_Idx,(SUMIFS(Rec_Valor,Rec_Tipo,"Despesa",Rec_Ativo,"Sim",Rec_Dia,F31,Rec_IIni,"&lt;="&amp;(Sel_Idx),Rec_IFim,"&gt;="&amp;(Sel_Idx),Rec_Freq,"&lt;&gt;Anual")+SUMIFS(Rec_Valor,Rec_Tipo,"Despesa",Rec_Ativo,"Sim",Rec_Dia,F31,Rec_IIni,"&lt;="&amp;(Sel_Idx),Rec_IFim,"&gt;="&amp;(Sel_Idx),Rec_Freq,"Anual",Rec_MesRef,MOD((Sel_Idx)-1,12)+1)),0)+SUMIFS($F$85:$F$92,$C$85:$C$92,F31))</f>
        <v>0</v>
      </c>
      <c r="G33" s="112">
        <f>IF(G31="",0,SUMIFS(L_VParc,L_Tipo,"Despesa",L_FIni,0,L_IIni,"&lt;="&amp;Sel_Idx,L_IFim,"&gt;="&amp;Sel_Idx,L_Dia,G31,L_Status,"&lt;&gt;Pago")+IF(Sel_Idx&gt;Cfg_Idx,(SUMIFS(Rec_Valor,Rec_Tipo,"Despesa",Rec_Ativo,"Sim",Rec_Dia,G31,Rec_IIni,"&lt;="&amp;(Sel_Idx),Rec_IFim,"&gt;="&amp;(Sel_Idx),Rec_Freq,"&lt;&gt;Anual")+SUMIFS(Rec_Valor,Rec_Tipo,"Despesa",Rec_Ativo,"Sim",Rec_Dia,G31,Rec_IIni,"&lt;="&amp;(Sel_Idx),Rec_IFim,"&gt;="&amp;(Sel_Idx),Rec_Freq,"Anual",Rec_MesRef,MOD((Sel_Idx)-1,12)+1)),0)+SUMIFS($F$85:$F$92,$C$85:$C$92,G31))</f>
        <v>0</v>
      </c>
      <c r="H33" s="112">
        <f>IF(H31="",0,SUMIFS(L_VParc,L_Tipo,"Despesa",L_FIni,0,L_IIni,"&lt;="&amp;Sel_Idx,L_IFim,"&gt;="&amp;Sel_Idx,L_Dia,H31,L_Status,"&lt;&gt;Pago")+IF(Sel_Idx&gt;Cfg_Idx,(SUMIFS(Rec_Valor,Rec_Tipo,"Despesa",Rec_Ativo,"Sim",Rec_Dia,H31,Rec_IIni,"&lt;="&amp;(Sel_Idx),Rec_IFim,"&gt;="&amp;(Sel_Idx),Rec_Freq,"&lt;&gt;Anual")+SUMIFS(Rec_Valor,Rec_Tipo,"Despesa",Rec_Ativo,"Sim",Rec_Dia,H31,Rec_IIni,"&lt;="&amp;(Sel_Idx),Rec_IFim,"&gt;="&amp;(Sel_Idx),Rec_Freq,"Anual",Rec_MesRef,MOD((Sel_Idx)-1,12)+1)),0)+SUMIFS($F$85:$F$92,$C$85:$C$92,H31))</f>
        <v>0</v>
      </c>
      <c r="P33" s="105" t="str">
        <f>IF(OR(INDEX(Rec_Tipo,25)&lt;&gt;"Despesa",INDEX(Rec_Ativo,25)&lt;&gt;"Sim",INDEX(Rec_IIni,25)=0,N(INDEX(Rec_Dia,25))=0),"",IF(AND((YEAR(IF(DATE(YEAR(Cfg_Hoje),MONTH(Cfg_Hoje),MIN(INDEX(Rec_Dia,25),28))&gt;=Cfg_Hoje,DATE(YEAR(Cfg_Hoje),MONTH(Cfg_Hoje),MIN(INDEX(Rec_Dia,25),28)),DATE(YEAR(Cfg_Hoje),MONTH(Cfg_Hoje)+1,MIN(INDEX(Rec_Dia,25),28))))*12+MONTH(IF(DATE(YEAR(Cfg_Hoje),MONTH(Cfg_Hoje),MIN(INDEX(Rec_Dia,25),28))&gt;=Cfg_Hoje,DATE(YEAR(Cfg_Hoje),MONTH(Cfg_Hoje),MIN(INDEX(Rec_Dia,25),28)),DATE(YEAR(Cfg_Hoje),MONTH(Cfg_Hoje)+1,MIN(INDEX(Rec_Dia,25),28)))))&gt;=INDEX(Rec_IIni,25),(YEAR(IF(DATE(YEAR(Cfg_Hoje),MONTH(Cfg_Hoje),MIN(INDEX(Rec_Dia,25),28))&gt;=Cfg_Hoje,DATE(YEAR(Cfg_Hoje),MONTH(Cfg_Hoje),MIN(INDEX(Rec_Dia,25),28)),DATE(YEAR(Cfg_Hoje),MONTH(Cfg_Hoje)+1,MIN(INDEX(Rec_Dia,25),28))))*12+MONTH(IF(DATE(YEAR(Cfg_Hoje),MONTH(Cfg_Hoje),MIN(INDEX(Rec_Dia,25),28))&gt;=Cfg_Hoje,DATE(YEAR(Cfg_Hoje),MONTH(Cfg_Hoje),MIN(INDEX(Rec_Dia,25),28)),DATE(YEAR(Cfg_Hoje),MONTH(Cfg_Hoje)+1,MIN(INDEX(Rec_Dia,25),28)))))&lt;=INDEX(Rec_IFim,25),OR(INDEX(Rec_Freq,25)&lt;&gt;"Anual",MONTH(IF(DATE(YEAR(Cfg_Hoje),MONTH(Cfg_Hoje),MIN(INDEX(Rec_Dia,25),28))&gt;=Cfg_Hoje,DATE(YEAR(Cfg_Hoje),MONTH(Cfg_Hoje),MIN(INDEX(Rec_Dia,25),28)),DATE(YEAR(Cfg_Hoje),MONTH(Cfg_Hoje)+1,MIN(INDEX(Rec_Dia,25),28))))=INDEX(Rec_MesRef,25))),IF(DATE(YEAR(Cfg_Hoje),MONTH(Cfg_Hoje),MIN(INDEX(Rec_Dia,25),28))&gt;=Cfg_Hoje,DATE(YEAR(Cfg_Hoje),MONTH(Cfg_Hoje),MIN(INDEX(Rec_Dia,25),28)),DATE(YEAR(Cfg_Hoje),MONTH(Cfg_Hoje)+1,MIN(INDEX(Rec_Dia,25),28))),""))</f>
        <v/>
      </c>
      <c r="Q33" s="43">
        <f>IF(P33="",0,N(INDEX(Rec_Valor,25)))</f>
        <v>0</v>
      </c>
    </row>
    <row r="34">
      <c r="B34" s="28" t="inlineStr">
        <is>
          <t>Cores: verde = tudo pago · azul = a pagar (mais de 7 dias) · amarelo = vence em até 7 dias · vermelho = atrasado. O valor do dia soma contas, parcelas, recorrentes futuros e faturas de cartão.</t>
        </is>
      </c>
      <c r="P34" s="105" t="str">
        <f>IF(OR(INDEX(Rec_Tipo,26)&lt;&gt;"Despesa",INDEX(Rec_Ativo,26)&lt;&gt;"Sim",INDEX(Rec_IIni,26)=0,N(INDEX(Rec_Dia,26))=0),"",IF(AND((YEAR(IF(DATE(YEAR(Cfg_Hoje),MONTH(Cfg_Hoje),MIN(INDEX(Rec_Dia,26),28))&gt;=Cfg_Hoje,DATE(YEAR(Cfg_Hoje),MONTH(Cfg_Hoje),MIN(INDEX(Rec_Dia,26),28)),DATE(YEAR(Cfg_Hoje),MONTH(Cfg_Hoje)+1,MIN(INDEX(Rec_Dia,26),28))))*12+MONTH(IF(DATE(YEAR(Cfg_Hoje),MONTH(Cfg_Hoje),MIN(INDEX(Rec_Dia,26),28))&gt;=Cfg_Hoje,DATE(YEAR(Cfg_Hoje),MONTH(Cfg_Hoje),MIN(INDEX(Rec_Dia,26),28)),DATE(YEAR(Cfg_Hoje),MONTH(Cfg_Hoje)+1,MIN(INDEX(Rec_Dia,26),28)))))&gt;=INDEX(Rec_IIni,26),(YEAR(IF(DATE(YEAR(Cfg_Hoje),MONTH(Cfg_Hoje),MIN(INDEX(Rec_Dia,26),28))&gt;=Cfg_Hoje,DATE(YEAR(Cfg_Hoje),MONTH(Cfg_Hoje),MIN(INDEX(Rec_Dia,26),28)),DATE(YEAR(Cfg_Hoje),MONTH(Cfg_Hoje)+1,MIN(INDEX(Rec_Dia,26),28))))*12+MONTH(IF(DATE(YEAR(Cfg_Hoje),MONTH(Cfg_Hoje),MIN(INDEX(Rec_Dia,26),28))&gt;=Cfg_Hoje,DATE(YEAR(Cfg_Hoje),MONTH(Cfg_Hoje),MIN(INDEX(Rec_Dia,26),28)),DATE(YEAR(Cfg_Hoje),MONTH(Cfg_Hoje)+1,MIN(INDEX(Rec_Dia,26),28)))))&lt;=INDEX(Rec_IFim,26),OR(INDEX(Rec_Freq,26)&lt;&gt;"Anual",MONTH(IF(DATE(YEAR(Cfg_Hoje),MONTH(Cfg_Hoje),MIN(INDEX(Rec_Dia,26),28))&gt;=Cfg_Hoje,DATE(YEAR(Cfg_Hoje),MONTH(Cfg_Hoje),MIN(INDEX(Rec_Dia,26),28)),DATE(YEAR(Cfg_Hoje),MONTH(Cfg_Hoje)+1,MIN(INDEX(Rec_Dia,26),28))))=INDEX(Rec_MesRef,26))),IF(DATE(YEAR(Cfg_Hoje),MONTH(Cfg_Hoje),MIN(INDEX(Rec_Dia,26),28))&gt;=Cfg_Hoje,DATE(YEAR(Cfg_Hoje),MONTH(Cfg_Hoje),MIN(INDEX(Rec_Dia,26),28)),DATE(YEAR(Cfg_Hoje),MONTH(Cfg_Hoje)+1,MIN(INDEX(Rec_Dia,26),28))),""))</f>
        <v/>
      </c>
      <c r="Q34" s="43">
        <f>IF(P34="",0,N(INDEX(Rec_Valor,26)))</f>
        <v>0</v>
      </c>
    </row>
    <row r="35">
      <c r="P35" s="105" t="str">
        <f>IF(OR(INDEX(Rec_Tipo,27)&lt;&gt;"Despesa",INDEX(Rec_Ativo,27)&lt;&gt;"Sim",INDEX(Rec_IIni,27)=0,N(INDEX(Rec_Dia,27))=0),"",IF(AND((YEAR(IF(DATE(YEAR(Cfg_Hoje),MONTH(Cfg_Hoje),MIN(INDEX(Rec_Dia,27),28))&gt;=Cfg_Hoje,DATE(YEAR(Cfg_Hoje),MONTH(Cfg_Hoje),MIN(INDEX(Rec_Dia,27),28)),DATE(YEAR(Cfg_Hoje),MONTH(Cfg_Hoje)+1,MIN(INDEX(Rec_Dia,27),28))))*12+MONTH(IF(DATE(YEAR(Cfg_Hoje),MONTH(Cfg_Hoje),MIN(INDEX(Rec_Dia,27),28))&gt;=Cfg_Hoje,DATE(YEAR(Cfg_Hoje),MONTH(Cfg_Hoje),MIN(INDEX(Rec_Dia,27),28)),DATE(YEAR(Cfg_Hoje),MONTH(Cfg_Hoje)+1,MIN(INDEX(Rec_Dia,27),28)))))&gt;=INDEX(Rec_IIni,27),(YEAR(IF(DATE(YEAR(Cfg_Hoje),MONTH(Cfg_Hoje),MIN(INDEX(Rec_Dia,27),28))&gt;=Cfg_Hoje,DATE(YEAR(Cfg_Hoje),MONTH(Cfg_Hoje),MIN(INDEX(Rec_Dia,27),28)),DATE(YEAR(Cfg_Hoje),MONTH(Cfg_Hoje)+1,MIN(INDEX(Rec_Dia,27),28))))*12+MONTH(IF(DATE(YEAR(Cfg_Hoje),MONTH(Cfg_Hoje),MIN(INDEX(Rec_Dia,27),28))&gt;=Cfg_Hoje,DATE(YEAR(Cfg_Hoje),MONTH(Cfg_Hoje),MIN(INDEX(Rec_Dia,27),28)),DATE(YEAR(Cfg_Hoje),MONTH(Cfg_Hoje)+1,MIN(INDEX(Rec_Dia,27),28)))))&lt;=INDEX(Rec_IFim,27),OR(INDEX(Rec_Freq,27)&lt;&gt;"Anual",MONTH(IF(DATE(YEAR(Cfg_Hoje),MONTH(Cfg_Hoje),MIN(INDEX(Rec_Dia,27),28))&gt;=Cfg_Hoje,DATE(YEAR(Cfg_Hoje),MONTH(Cfg_Hoje),MIN(INDEX(Rec_Dia,27),28)),DATE(YEAR(Cfg_Hoje),MONTH(Cfg_Hoje)+1,MIN(INDEX(Rec_Dia,27),28))))=INDEX(Rec_MesRef,27))),IF(DATE(YEAR(Cfg_Hoje),MONTH(Cfg_Hoje),MIN(INDEX(Rec_Dia,27),28))&gt;=Cfg_Hoje,DATE(YEAR(Cfg_Hoje),MONTH(Cfg_Hoje),MIN(INDEX(Rec_Dia,27),28)),DATE(YEAR(Cfg_Hoje),MONTH(Cfg_Hoje)+1,MIN(INDEX(Rec_Dia,27),28))),""))</f>
        <v/>
      </c>
      <c r="Q35" s="43">
        <f>IF(P35="",0,N(INDEX(Rec_Valor,27)))</f>
        <v>0</v>
      </c>
    </row>
    <row r="36">
      <c r="B36" s="6" t="inlineStr">
        <is>
          <t>3. Contas e parcelas do mês (em ordem de dia)</t>
        </is>
      </c>
      <c r="P36" s="105" t="str">
        <f>IF(OR(INDEX(Rec_Tipo,28)&lt;&gt;"Despesa",INDEX(Rec_Ativo,28)&lt;&gt;"Sim",INDEX(Rec_IIni,28)=0,N(INDEX(Rec_Dia,28))=0),"",IF(AND((YEAR(IF(DATE(YEAR(Cfg_Hoje),MONTH(Cfg_Hoje),MIN(INDEX(Rec_Dia,28),28))&gt;=Cfg_Hoje,DATE(YEAR(Cfg_Hoje),MONTH(Cfg_Hoje),MIN(INDEX(Rec_Dia,28),28)),DATE(YEAR(Cfg_Hoje),MONTH(Cfg_Hoje)+1,MIN(INDEX(Rec_Dia,28),28))))*12+MONTH(IF(DATE(YEAR(Cfg_Hoje),MONTH(Cfg_Hoje),MIN(INDEX(Rec_Dia,28),28))&gt;=Cfg_Hoje,DATE(YEAR(Cfg_Hoje),MONTH(Cfg_Hoje),MIN(INDEX(Rec_Dia,28),28)),DATE(YEAR(Cfg_Hoje),MONTH(Cfg_Hoje)+1,MIN(INDEX(Rec_Dia,28),28)))))&gt;=INDEX(Rec_IIni,28),(YEAR(IF(DATE(YEAR(Cfg_Hoje),MONTH(Cfg_Hoje),MIN(INDEX(Rec_Dia,28),28))&gt;=Cfg_Hoje,DATE(YEAR(Cfg_Hoje),MONTH(Cfg_Hoje),MIN(INDEX(Rec_Dia,28),28)),DATE(YEAR(Cfg_Hoje),MONTH(Cfg_Hoje)+1,MIN(INDEX(Rec_Dia,28),28))))*12+MONTH(IF(DATE(YEAR(Cfg_Hoje),MONTH(Cfg_Hoje),MIN(INDEX(Rec_Dia,28),28))&gt;=Cfg_Hoje,DATE(YEAR(Cfg_Hoje),MONTH(Cfg_Hoje),MIN(INDEX(Rec_Dia,28),28)),DATE(YEAR(Cfg_Hoje),MONTH(Cfg_Hoje)+1,MIN(INDEX(Rec_Dia,28),28)))))&lt;=INDEX(Rec_IFim,28),OR(INDEX(Rec_Freq,28)&lt;&gt;"Anual",MONTH(IF(DATE(YEAR(Cfg_Hoje),MONTH(Cfg_Hoje),MIN(INDEX(Rec_Dia,28),28))&gt;=Cfg_Hoje,DATE(YEAR(Cfg_Hoje),MONTH(Cfg_Hoje),MIN(INDEX(Rec_Dia,28),28)),DATE(YEAR(Cfg_Hoje),MONTH(Cfg_Hoje)+1,MIN(INDEX(Rec_Dia,28),28))))=INDEX(Rec_MesRef,28))),IF(DATE(YEAR(Cfg_Hoje),MONTH(Cfg_Hoje),MIN(INDEX(Rec_Dia,28),28))&gt;=Cfg_Hoje,DATE(YEAR(Cfg_Hoje),MONTH(Cfg_Hoje),MIN(INDEX(Rec_Dia,28),28)),DATE(YEAR(Cfg_Hoje),MONTH(Cfg_Hoje)+1,MIN(INDEX(Rec_Dia,28),28))),""))</f>
        <v/>
      </c>
      <c r="Q36" s="43">
        <f>IF(P36="",0,N(INDEX(Rec_Valor,28)))</f>
        <v>0</v>
      </c>
    </row>
    <row r="37">
      <c r="B37" s="7" t="inlineStr">
        <is>
          <t>Vencimento</t>
        </is>
      </c>
      <c r="C37" s="7" t="inlineStr">
        <is>
          <t>Descrição</t>
        </is>
      </c>
      <c r="D37" s="7" t="inlineStr">
        <is>
          <t>Categoria</t>
        </is>
      </c>
      <c r="E37" s="7" t="inlineStr">
        <is>
          <t>Conta ou Cartão</t>
        </is>
      </c>
      <c r="F37" s="7" t="inlineStr">
        <is>
          <t>Valor</t>
        </is>
      </c>
      <c r="G37" s="7" t="inlineStr">
        <is>
          <t>Status</t>
        </is>
      </c>
      <c r="H37" s="7" t="inlineStr">
        <is>
          <t>Situação</t>
        </is>
      </c>
      <c r="I37" s="7" t="inlineStr">
        <is>
          <t>Linha (apoio)</t>
        </is>
      </c>
      <c r="P37" s="105" t="str">
        <f>IF(OR(INDEX(Rec_Tipo,29)&lt;&gt;"Despesa",INDEX(Rec_Ativo,29)&lt;&gt;"Sim",INDEX(Rec_IIni,29)=0,N(INDEX(Rec_Dia,29))=0),"",IF(AND((YEAR(IF(DATE(YEAR(Cfg_Hoje),MONTH(Cfg_Hoje),MIN(INDEX(Rec_Dia,29),28))&gt;=Cfg_Hoje,DATE(YEAR(Cfg_Hoje),MONTH(Cfg_Hoje),MIN(INDEX(Rec_Dia,29),28)),DATE(YEAR(Cfg_Hoje),MONTH(Cfg_Hoje)+1,MIN(INDEX(Rec_Dia,29),28))))*12+MONTH(IF(DATE(YEAR(Cfg_Hoje),MONTH(Cfg_Hoje),MIN(INDEX(Rec_Dia,29),28))&gt;=Cfg_Hoje,DATE(YEAR(Cfg_Hoje),MONTH(Cfg_Hoje),MIN(INDEX(Rec_Dia,29),28)),DATE(YEAR(Cfg_Hoje),MONTH(Cfg_Hoje)+1,MIN(INDEX(Rec_Dia,29),28)))))&gt;=INDEX(Rec_IIni,29),(YEAR(IF(DATE(YEAR(Cfg_Hoje),MONTH(Cfg_Hoje),MIN(INDEX(Rec_Dia,29),28))&gt;=Cfg_Hoje,DATE(YEAR(Cfg_Hoje),MONTH(Cfg_Hoje),MIN(INDEX(Rec_Dia,29),28)),DATE(YEAR(Cfg_Hoje),MONTH(Cfg_Hoje)+1,MIN(INDEX(Rec_Dia,29),28))))*12+MONTH(IF(DATE(YEAR(Cfg_Hoje),MONTH(Cfg_Hoje),MIN(INDEX(Rec_Dia,29),28))&gt;=Cfg_Hoje,DATE(YEAR(Cfg_Hoje),MONTH(Cfg_Hoje),MIN(INDEX(Rec_Dia,29),28)),DATE(YEAR(Cfg_Hoje),MONTH(Cfg_Hoje)+1,MIN(INDEX(Rec_Dia,29),28)))))&lt;=INDEX(Rec_IFim,29),OR(INDEX(Rec_Freq,29)&lt;&gt;"Anual",MONTH(IF(DATE(YEAR(Cfg_Hoje),MONTH(Cfg_Hoje),MIN(INDEX(Rec_Dia,29),28))&gt;=Cfg_Hoje,DATE(YEAR(Cfg_Hoje),MONTH(Cfg_Hoje),MIN(INDEX(Rec_Dia,29),28)),DATE(YEAR(Cfg_Hoje),MONTH(Cfg_Hoje)+1,MIN(INDEX(Rec_Dia,29),28))))=INDEX(Rec_MesRef,29))),IF(DATE(YEAR(Cfg_Hoje),MONTH(Cfg_Hoje),MIN(INDEX(Rec_Dia,29),28))&gt;=Cfg_Hoje,DATE(YEAR(Cfg_Hoje),MONTH(Cfg_Hoje),MIN(INDEX(Rec_Dia,29),28)),DATE(YEAR(Cfg_Hoje),MONTH(Cfg_Hoje)+1,MIN(INDEX(Rec_Dia,29),28))),""))</f>
        <v/>
      </c>
      <c r="Q37" s="43">
        <f>IF(P37="",0,N(INDEX(Rec_Valor,29)))</f>
        <v>0</v>
      </c>
    </row>
    <row r="38">
      <c r="B38" s="93">
        <f>IF($I38=0,"",DATE(Sel_Ano,Sel_Mes,INDEX(L_Dia,$I38)))</f>
        <v>46268.0</v>
      </c>
      <c r="C38" s="14" t="str">
        <f>IF($I38=0,"",INDEX(L_Desc,$I38))</f>
        <v>Academia</v>
      </c>
      <c r="D38" s="14" t="str">
        <f>IF($I38=0,"",INDEX(L_Cat,$I38)&amp;"")</f>
        <v>Assinaturas</v>
      </c>
      <c r="E38" s="14" t="str">
        <f>IF($I38=0,"",INDEX(L_Conta,$I38)&amp;"")</f>
        <v>Conta Corrente Banco Azul</v>
      </c>
      <c r="F38" s="36">
        <f>IF($I38=0,"",INDEX(L_VParc,$I38))</f>
        <v>129</v>
      </c>
      <c r="G38" s="13" t="str">
        <f>IF($I38=0,"",INDEX(L_Status,$I38)&amp;"")</f>
        <v>Pago</v>
      </c>
      <c r="H38" s="13" t="str">
        <f>IF($I38=0,"",IF(INDEX(L_FIni,$I38)&gt;0,"Na fatura do cartão",IF(G38="Pago","✔ Pago",IF(B38&lt;Cfg_Hoje,"⚠ Atrasado",IF(B38-Cfg_Hoje&lt;=7,"Vence em "&amp;(B38-Cfg_Hoje)&amp;" dia(s)","No prazo")))))</f>
        <v>✔ Pago</v>
      </c>
      <c r="I38" s="40">
        <f>IFERROR(MATCH(1,L_CalOrdem,0),0)</f>
        <v>520</v>
      </c>
      <c r="P38" s="105" t="str">
        <f>IF(OR(INDEX(Rec_Tipo,30)&lt;&gt;"Despesa",INDEX(Rec_Ativo,30)&lt;&gt;"Sim",INDEX(Rec_IIni,30)=0,N(INDEX(Rec_Dia,30))=0),"",IF(AND((YEAR(IF(DATE(YEAR(Cfg_Hoje),MONTH(Cfg_Hoje),MIN(INDEX(Rec_Dia,30),28))&gt;=Cfg_Hoje,DATE(YEAR(Cfg_Hoje),MONTH(Cfg_Hoje),MIN(INDEX(Rec_Dia,30),28)),DATE(YEAR(Cfg_Hoje),MONTH(Cfg_Hoje)+1,MIN(INDEX(Rec_Dia,30),28))))*12+MONTH(IF(DATE(YEAR(Cfg_Hoje),MONTH(Cfg_Hoje),MIN(INDEX(Rec_Dia,30),28))&gt;=Cfg_Hoje,DATE(YEAR(Cfg_Hoje),MONTH(Cfg_Hoje),MIN(INDEX(Rec_Dia,30),28)),DATE(YEAR(Cfg_Hoje),MONTH(Cfg_Hoje)+1,MIN(INDEX(Rec_Dia,30),28)))))&gt;=INDEX(Rec_IIni,30),(YEAR(IF(DATE(YEAR(Cfg_Hoje),MONTH(Cfg_Hoje),MIN(INDEX(Rec_Dia,30),28))&gt;=Cfg_Hoje,DATE(YEAR(Cfg_Hoje),MONTH(Cfg_Hoje),MIN(INDEX(Rec_Dia,30),28)),DATE(YEAR(Cfg_Hoje),MONTH(Cfg_Hoje)+1,MIN(INDEX(Rec_Dia,30),28))))*12+MONTH(IF(DATE(YEAR(Cfg_Hoje),MONTH(Cfg_Hoje),MIN(INDEX(Rec_Dia,30),28))&gt;=Cfg_Hoje,DATE(YEAR(Cfg_Hoje),MONTH(Cfg_Hoje),MIN(INDEX(Rec_Dia,30),28)),DATE(YEAR(Cfg_Hoje),MONTH(Cfg_Hoje)+1,MIN(INDEX(Rec_Dia,30),28)))))&lt;=INDEX(Rec_IFim,30),OR(INDEX(Rec_Freq,30)&lt;&gt;"Anual",MONTH(IF(DATE(YEAR(Cfg_Hoje),MONTH(Cfg_Hoje),MIN(INDEX(Rec_Dia,30),28))&gt;=Cfg_Hoje,DATE(YEAR(Cfg_Hoje),MONTH(Cfg_Hoje),MIN(INDEX(Rec_Dia,30),28)),DATE(YEAR(Cfg_Hoje),MONTH(Cfg_Hoje)+1,MIN(INDEX(Rec_Dia,30),28))))=INDEX(Rec_MesRef,30))),IF(DATE(YEAR(Cfg_Hoje),MONTH(Cfg_Hoje),MIN(INDEX(Rec_Dia,30),28))&gt;=Cfg_Hoje,DATE(YEAR(Cfg_Hoje),MONTH(Cfg_Hoje),MIN(INDEX(Rec_Dia,30),28)),DATE(YEAR(Cfg_Hoje),MONTH(Cfg_Hoje)+1,MIN(INDEX(Rec_Dia,30),28))),""))</f>
        <v/>
      </c>
      <c r="Q38" s="43">
        <f>IF(P38="",0,N(INDEX(Rec_Valor,30)))</f>
        <v>0</v>
      </c>
    </row>
    <row r="39">
      <c r="B39" s="93">
        <f>IF($I39=0,"",DATE(Sel_Ano,Sel_Mes,INDEX(L_Dia,$I39)))</f>
        <v>46270.0</v>
      </c>
      <c r="C39" s="14" t="str">
        <f>IF($I39=0,"",INDEX(L_Desc,$I39))</f>
        <v>Bar com amigos</v>
      </c>
      <c r="D39" s="14" t="str">
        <f>IF($I39=0,"",INDEX(L_Cat,$I39)&amp;"")</f>
        <v>Lazer</v>
      </c>
      <c r="E39" s="14" t="str">
        <f>IF($I39=0,"",INDEX(L_Conta,$I39)&amp;"")</f>
        <v>Cartão Roxinho</v>
      </c>
      <c r="F39" s="36">
        <f>IF($I39=0,"",INDEX(L_VParc,$I39))</f>
        <v>96.45</v>
      </c>
      <c r="G39" s="13" t="str">
        <f>IF($I39=0,"",INDEX(L_Status,$I39)&amp;"")</f>
        <v>Pago</v>
      </c>
      <c r="H39" s="13" t="str">
        <f>IF($I39=0,"",IF(INDEX(L_FIni,$I39)&gt;0,"Na fatura do cartão",IF(G39="Pago","✔ Pago",IF(B39&lt;Cfg_Hoje,"⚠ Atrasado",IF(B39-Cfg_Hoje&lt;=7,"Vence em "&amp;(B39-Cfg_Hoje)&amp;" dia(s)","No prazo")))))</f>
        <v>Na fatura do cartão</v>
      </c>
      <c r="I39" s="40">
        <f>IFERROR(MATCH(2,L_CalOrdem,0),0)</f>
        <v>521</v>
      </c>
      <c r="P39" s="105" t="str">
        <f>IF(OR(INDEX(Rec_Tipo,31)&lt;&gt;"Despesa",INDEX(Rec_Ativo,31)&lt;&gt;"Sim",INDEX(Rec_IIni,31)=0,N(INDEX(Rec_Dia,31))=0),"",IF(AND((YEAR(IF(DATE(YEAR(Cfg_Hoje),MONTH(Cfg_Hoje),MIN(INDEX(Rec_Dia,31),28))&gt;=Cfg_Hoje,DATE(YEAR(Cfg_Hoje),MONTH(Cfg_Hoje),MIN(INDEX(Rec_Dia,31),28)),DATE(YEAR(Cfg_Hoje),MONTH(Cfg_Hoje)+1,MIN(INDEX(Rec_Dia,31),28))))*12+MONTH(IF(DATE(YEAR(Cfg_Hoje),MONTH(Cfg_Hoje),MIN(INDEX(Rec_Dia,31),28))&gt;=Cfg_Hoje,DATE(YEAR(Cfg_Hoje),MONTH(Cfg_Hoje),MIN(INDEX(Rec_Dia,31),28)),DATE(YEAR(Cfg_Hoje),MONTH(Cfg_Hoje)+1,MIN(INDEX(Rec_Dia,31),28)))))&gt;=INDEX(Rec_IIni,31),(YEAR(IF(DATE(YEAR(Cfg_Hoje),MONTH(Cfg_Hoje),MIN(INDEX(Rec_Dia,31),28))&gt;=Cfg_Hoje,DATE(YEAR(Cfg_Hoje),MONTH(Cfg_Hoje),MIN(INDEX(Rec_Dia,31),28)),DATE(YEAR(Cfg_Hoje),MONTH(Cfg_Hoje)+1,MIN(INDEX(Rec_Dia,31),28))))*12+MONTH(IF(DATE(YEAR(Cfg_Hoje),MONTH(Cfg_Hoje),MIN(INDEX(Rec_Dia,31),28))&gt;=Cfg_Hoje,DATE(YEAR(Cfg_Hoje),MONTH(Cfg_Hoje),MIN(INDEX(Rec_Dia,31),28)),DATE(YEAR(Cfg_Hoje),MONTH(Cfg_Hoje)+1,MIN(INDEX(Rec_Dia,31),28)))))&lt;=INDEX(Rec_IFim,31),OR(INDEX(Rec_Freq,31)&lt;&gt;"Anual",MONTH(IF(DATE(YEAR(Cfg_Hoje),MONTH(Cfg_Hoje),MIN(INDEX(Rec_Dia,31),28))&gt;=Cfg_Hoje,DATE(YEAR(Cfg_Hoje),MONTH(Cfg_Hoje),MIN(INDEX(Rec_Dia,31),28)),DATE(YEAR(Cfg_Hoje),MONTH(Cfg_Hoje)+1,MIN(INDEX(Rec_Dia,31),28))))=INDEX(Rec_MesRef,31))),IF(DATE(YEAR(Cfg_Hoje),MONTH(Cfg_Hoje),MIN(INDEX(Rec_Dia,31),28))&gt;=Cfg_Hoje,DATE(YEAR(Cfg_Hoje),MONTH(Cfg_Hoje),MIN(INDEX(Rec_Dia,31),28)),DATE(YEAR(Cfg_Hoje),MONTH(Cfg_Hoje)+1,MIN(INDEX(Rec_Dia,31),28))),""))</f>
        <v/>
      </c>
      <c r="Q39" s="43">
        <f>IF(P39="",0,N(INDEX(Rec_Valor,31)))</f>
        <v>0</v>
      </c>
    </row>
    <row r="40">
      <c r="B40" s="93">
        <f>IF($I40=0,"",DATE(Sel_Ano,Sel_Mes,INDEX(L_Dia,$I40)))</f>
        <v>46270.0</v>
      </c>
      <c r="C40" s="14" t="str">
        <f>IF($I40=0,"",INDEX(L_Desc,$I40))</f>
        <v>Plano de saúde</v>
      </c>
      <c r="D40" s="14" t="str">
        <f>IF($I40=0,"",INDEX(L_Cat,$I40)&amp;"")</f>
        <v>Saúde</v>
      </c>
      <c r="E40" s="14" t="str">
        <f>IF($I40=0,"",INDEX(L_Conta,$I40)&amp;"")</f>
        <v>Conta Corrente Banco Azul</v>
      </c>
      <c r="F40" s="36">
        <f>IF($I40=0,"",INDEX(L_VParc,$I40))</f>
        <v>780</v>
      </c>
      <c r="G40" s="13" t="str">
        <f>IF($I40=0,"",INDEX(L_Status,$I40)&amp;"")</f>
        <v>Pago</v>
      </c>
      <c r="H40" s="13" t="str">
        <f>IF($I40=0,"",IF(INDEX(L_FIni,$I40)&gt;0,"Na fatura do cartão",IF(G40="Pago","✔ Pago",IF(B40&lt;Cfg_Hoje,"⚠ Atrasado",IF(B40-Cfg_Hoje&lt;=7,"Vence em "&amp;(B40-Cfg_Hoje)&amp;" dia(s)","No prazo")))))</f>
        <v>✔ Pago</v>
      </c>
      <c r="I40" s="40">
        <f>IFERROR(MATCH(3,L_CalOrdem,0),0)</f>
        <v>523</v>
      </c>
      <c r="P40" s="105" t="str">
        <f>IF(OR(INDEX(Rec_Tipo,32)&lt;&gt;"Despesa",INDEX(Rec_Ativo,32)&lt;&gt;"Sim",INDEX(Rec_IIni,32)=0,N(INDEX(Rec_Dia,32))=0),"",IF(AND((YEAR(IF(DATE(YEAR(Cfg_Hoje),MONTH(Cfg_Hoje),MIN(INDEX(Rec_Dia,32),28))&gt;=Cfg_Hoje,DATE(YEAR(Cfg_Hoje),MONTH(Cfg_Hoje),MIN(INDEX(Rec_Dia,32),28)),DATE(YEAR(Cfg_Hoje),MONTH(Cfg_Hoje)+1,MIN(INDEX(Rec_Dia,32),28))))*12+MONTH(IF(DATE(YEAR(Cfg_Hoje),MONTH(Cfg_Hoje),MIN(INDEX(Rec_Dia,32),28))&gt;=Cfg_Hoje,DATE(YEAR(Cfg_Hoje),MONTH(Cfg_Hoje),MIN(INDEX(Rec_Dia,32),28)),DATE(YEAR(Cfg_Hoje),MONTH(Cfg_Hoje)+1,MIN(INDEX(Rec_Dia,32),28)))))&gt;=INDEX(Rec_IIni,32),(YEAR(IF(DATE(YEAR(Cfg_Hoje),MONTH(Cfg_Hoje),MIN(INDEX(Rec_Dia,32),28))&gt;=Cfg_Hoje,DATE(YEAR(Cfg_Hoje),MONTH(Cfg_Hoje),MIN(INDEX(Rec_Dia,32),28)),DATE(YEAR(Cfg_Hoje),MONTH(Cfg_Hoje)+1,MIN(INDEX(Rec_Dia,32),28))))*12+MONTH(IF(DATE(YEAR(Cfg_Hoje),MONTH(Cfg_Hoje),MIN(INDEX(Rec_Dia,32),28))&gt;=Cfg_Hoje,DATE(YEAR(Cfg_Hoje),MONTH(Cfg_Hoje),MIN(INDEX(Rec_Dia,32),28)),DATE(YEAR(Cfg_Hoje),MONTH(Cfg_Hoje)+1,MIN(INDEX(Rec_Dia,32),28)))))&lt;=INDEX(Rec_IFim,32),OR(INDEX(Rec_Freq,32)&lt;&gt;"Anual",MONTH(IF(DATE(YEAR(Cfg_Hoje),MONTH(Cfg_Hoje),MIN(INDEX(Rec_Dia,32),28))&gt;=Cfg_Hoje,DATE(YEAR(Cfg_Hoje),MONTH(Cfg_Hoje),MIN(INDEX(Rec_Dia,32),28)),DATE(YEAR(Cfg_Hoje),MONTH(Cfg_Hoje)+1,MIN(INDEX(Rec_Dia,32),28))))=INDEX(Rec_MesRef,32))),IF(DATE(YEAR(Cfg_Hoje),MONTH(Cfg_Hoje),MIN(INDEX(Rec_Dia,32),28))&gt;=Cfg_Hoje,DATE(YEAR(Cfg_Hoje),MONTH(Cfg_Hoje),MIN(INDEX(Rec_Dia,32),28)),DATE(YEAR(Cfg_Hoje),MONTH(Cfg_Hoje)+1,MIN(INDEX(Rec_Dia,32),28))),""))</f>
        <v/>
      </c>
      <c r="Q40" s="43">
        <f>IF(P40="",0,N(INDEX(Rec_Valor,32)))</f>
        <v>0</v>
      </c>
    </row>
    <row r="41">
      <c r="B41" s="93">
        <f>IF($I41=0,"",DATE(Sel_Ano,Sel_Mes,INDEX(L_Dia,$I41)))</f>
        <v>46271.0</v>
      </c>
      <c r="C41" s="14" t="str">
        <f>IF($I41=0,"",INDEX(L_Desc,$I41))</f>
        <v>Supermercado</v>
      </c>
      <c r="D41" s="14" t="str">
        <f>IF($I41=0,"",INDEX(L_Cat,$I41)&amp;"")</f>
        <v>Alimentação</v>
      </c>
      <c r="E41" s="14" t="str">
        <f>IF($I41=0,"",INDEX(L_Conta,$I41)&amp;"")</f>
        <v>Cartão Azul Gold</v>
      </c>
      <c r="F41" s="36">
        <f>IF($I41=0,"",INDEX(L_VParc,$I41))</f>
        <v>333.77</v>
      </c>
      <c r="G41" s="13" t="str">
        <f>IF($I41=0,"",INDEX(L_Status,$I41)&amp;"")</f>
        <v>Pago</v>
      </c>
      <c r="H41" s="13" t="str">
        <f>IF($I41=0,"",IF(INDEX(L_FIni,$I41)&gt;0,"Na fatura do cartão",IF(G41="Pago","✔ Pago",IF(B41&lt;Cfg_Hoje,"⚠ Atrasado",IF(B41-Cfg_Hoje&lt;=7,"Vence em "&amp;(B41-Cfg_Hoje)&amp;" dia(s)","No prazo")))))</f>
        <v>Na fatura do cartão</v>
      </c>
      <c r="I41" s="40">
        <f>IFERROR(MATCH(4,L_CalOrdem,0),0)</f>
        <v>532</v>
      </c>
      <c r="P41" s="105" t="str">
        <f>IF(OR(INDEX(Rec_Tipo,33)&lt;&gt;"Despesa",INDEX(Rec_Ativo,33)&lt;&gt;"Sim",INDEX(Rec_IIni,33)=0,N(INDEX(Rec_Dia,33))=0),"",IF(AND((YEAR(IF(DATE(YEAR(Cfg_Hoje),MONTH(Cfg_Hoje),MIN(INDEX(Rec_Dia,33),28))&gt;=Cfg_Hoje,DATE(YEAR(Cfg_Hoje),MONTH(Cfg_Hoje),MIN(INDEX(Rec_Dia,33),28)),DATE(YEAR(Cfg_Hoje),MONTH(Cfg_Hoje)+1,MIN(INDEX(Rec_Dia,33),28))))*12+MONTH(IF(DATE(YEAR(Cfg_Hoje),MONTH(Cfg_Hoje),MIN(INDEX(Rec_Dia,33),28))&gt;=Cfg_Hoje,DATE(YEAR(Cfg_Hoje),MONTH(Cfg_Hoje),MIN(INDEX(Rec_Dia,33),28)),DATE(YEAR(Cfg_Hoje),MONTH(Cfg_Hoje)+1,MIN(INDEX(Rec_Dia,33),28)))))&gt;=INDEX(Rec_IIni,33),(YEAR(IF(DATE(YEAR(Cfg_Hoje),MONTH(Cfg_Hoje),MIN(INDEX(Rec_Dia,33),28))&gt;=Cfg_Hoje,DATE(YEAR(Cfg_Hoje),MONTH(Cfg_Hoje),MIN(INDEX(Rec_Dia,33),28)),DATE(YEAR(Cfg_Hoje),MONTH(Cfg_Hoje)+1,MIN(INDEX(Rec_Dia,33),28))))*12+MONTH(IF(DATE(YEAR(Cfg_Hoje),MONTH(Cfg_Hoje),MIN(INDEX(Rec_Dia,33),28))&gt;=Cfg_Hoje,DATE(YEAR(Cfg_Hoje),MONTH(Cfg_Hoje),MIN(INDEX(Rec_Dia,33),28)),DATE(YEAR(Cfg_Hoje),MONTH(Cfg_Hoje)+1,MIN(INDEX(Rec_Dia,33),28)))))&lt;=INDEX(Rec_IFim,33),OR(INDEX(Rec_Freq,33)&lt;&gt;"Anual",MONTH(IF(DATE(YEAR(Cfg_Hoje),MONTH(Cfg_Hoje),MIN(INDEX(Rec_Dia,33),28))&gt;=Cfg_Hoje,DATE(YEAR(Cfg_Hoje),MONTH(Cfg_Hoje),MIN(INDEX(Rec_Dia,33),28)),DATE(YEAR(Cfg_Hoje),MONTH(Cfg_Hoje)+1,MIN(INDEX(Rec_Dia,33),28))))=INDEX(Rec_MesRef,33))),IF(DATE(YEAR(Cfg_Hoje),MONTH(Cfg_Hoje),MIN(INDEX(Rec_Dia,33),28))&gt;=Cfg_Hoje,DATE(YEAR(Cfg_Hoje),MONTH(Cfg_Hoje),MIN(INDEX(Rec_Dia,33),28)),DATE(YEAR(Cfg_Hoje),MONTH(Cfg_Hoje)+1,MIN(INDEX(Rec_Dia,33),28))),""))</f>
        <v/>
      </c>
      <c r="Q41" s="43">
        <f>IF(P41="",0,N(INDEX(Rec_Valor,33)))</f>
        <v>0</v>
      </c>
    </row>
    <row r="42">
      <c r="B42" s="93">
        <f>IF($I42=0,"",DATE(Sel_Ano,Sel_Mes,INDEX(L_Dia,$I42)))</f>
        <v>46272.0</v>
      </c>
      <c r="C42" s="14" t="str">
        <f>IF($I42=0,"",INDEX(L_Desc,$I42))</f>
        <v>Despesa diversa</v>
      </c>
      <c r="D42" s="14" t="str">
        <f>IF($I42=0,"",INDEX(L_Cat,$I42)&amp;"")</f>
        <v>Outros</v>
      </c>
      <c r="E42" s="14" t="str">
        <f>IF($I42=0,"",INDEX(L_Conta,$I42)&amp;"")</f>
        <v>Conta Corrente Banco Azul</v>
      </c>
      <c r="F42" s="36">
        <f>IF($I42=0,"",INDEX(L_VParc,$I42))</f>
        <v>72.27</v>
      </c>
      <c r="G42" s="13" t="str">
        <f>IF($I42=0,"",INDEX(L_Status,$I42)&amp;"")</f>
        <v>Pago</v>
      </c>
      <c r="H42" s="13" t="str">
        <f>IF($I42=0,"",IF(INDEX(L_FIni,$I42)&gt;0,"Na fatura do cartão",IF(G42="Pago","✔ Pago",IF(B42&lt;Cfg_Hoje,"⚠ Atrasado",IF(B42-Cfg_Hoje&lt;=7,"Vence em "&amp;(B42-Cfg_Hoje)&amp;" dia(s)","No prazo")))))</f>
        <v>✔ Pago</v>
      </c>
      <c r="I42" s="40">
        <f>IFERROR(MATCH(5,L_CalOrdem,0),0)</f>
        <v>533</v>
      </c>
      <c r="P42" s="105" t="str">
        <f>IF(OR(INDEX(Rec_Tipo,34)&lt;&gt;"Despesa",INDEX(Rec_Ativo,34)&lt;&gt;"Sim",INDEX(Rec_IIni,34)=0,N(INDEX(Rec_Dia,34))=0),"",IF(AND((YEAR(IF(DATE(YEAR(Cfg_Hoje),MONTH(Cfg_Hoje),MIN(INDEX(Rec_Dia,34),28))&gt;=Cfg_Hoje,DATE(YEAR(Cfg_Hoje),MONTH(Cfg_Hoje),MIN(INDEX(Rec_Dia,34),28)),DATE(YEAR(Cfg_Hoje),MONTH(Cfg_Hoje)+1,MIN(INDEX(Rec_Dia,34),28))))*12+MONTH(IF(DATE(YEAR(Cfg_Hoje),MONTH(Cfg_Hoje),MIN(INDEX(Rec_Dia,34),28))&gt;=Cfg_Hoje,DATE(YEAR(Cfg_Hoje),MONTH(Cfg_Hoje),MIN(INDEX(Rec_Dia,34),28)),DATE(YEAR(Cfg_Hoje),MONTH(Cfg_Hoje)+1,MIN(INDEX(Rec_Dia,34),28)))))&gt;=INDEX(Rec_IIni,34),(YEAR(IF(DATE(YEAR(Cfg_Hoje),MONTH(Cfg_Hoje),MIN(INDEX(Rec_Dia,34),28))&gt;=Cfg_Hoje,DATE(YEAR(Cfg_Hoje),MONTH(Cfg_Hoje),MIN(INDEX(Rec_Dia,34),28)),DATE(YEAR(Cfg_Hoje),MONTH(Cfg_Hoje)+1,MIN(INDEX(Rec_Dia,34),28))))*12+MONTH(IF(DATE(YEAR(Cfg_Hoje),MONTH(Cfg_Hoje),MIN(INDEX(Rec_Dia,34),28))&gt;=Cfg_Hoje,DATE(YEAR(Cfg_Hoje),MONTH(Cfg_Hoje),MIN(INDEX(Rec_Dia,34),28)),DATE(YEAR(Cfg_Hoje),MONTH(Cfg_Hoje)+1,MIN(INDEX(Rec_Dia,34),28)))))&lt;=INDEX(Rec_IFim,34),OR(INDEX(Rec_Freq,34)&lt;&gt;"Anual",MONTH(IF(DATE(YEAR(Cfg_Hoje),MONTH(Cfg_Hoje),MIN(INDEX(Rec_Dia,34),28))&gt;=Cfg_Hoje,DATE(YEAR(Cfg_Hoje),MONTH(Cfg_Hoje),MIN(INDEX(Rec_Dia,34),28)),DATE(YEAR(Cfg_Hoje),MONTH(Cfg_Hoje)+1,MIN(INDEX(Rec_Dia,34),28))))=INDEX(Rec_MesRef,34))),IF(DATE(YEAR(Cfg_Hoje),MONTH(Cfg_Hoje),MIN(INDEX(Rec_Dia,34),28))&gt;=Cfg_Hoje,DATE(YEAR(Cfg_Hoje),MONTH(Cfg_Hoje),MIN(INDEX(Rec_Dia,34),28)),DATE(YEAR(Cfg_Hoje),MONTH(Cfg_Hoje)+1,MIN(INDEX(Rec_Dia,34),28))),""))</f>
        <v/>
      </c>
      <c r="Q42" s="43">
        <f>IF(P42="",0,N(INDEX(Rec_Valor,34)))</f>
        <v>0</v>
      </c>
    </row>
    <row r="43">
      <c r="B43" s="93">
        <f>IF($I43=0,"",DATE(Sel_Ano,Sel_Mes,INDEX(L_Dia,$I43)))</f>
        <v>46272.0</v>
      </c>
      <c r="C43" s="14" t="str">
        <f>IF($I43=0,"",INDEX(L_Desc,$I43))</f>
        <v>Doação mensal</v>
      </c>
      <c r="D43" s="14" t="str">
        <f>IF($I43=0,"",INDEX(L_Cat,$I43)&amp;"")</f>
        <v>Doações</v>
      </c>
      <c r="E43" s="14" t="str">
        <f>IF($I43=0,"",INDEX(L_Conta,$I43)&amp;"")</f>
        <v>Conta Corrente Banco Azul</v>
      </c>
      <c r="F43" s="36">
        <f>IF($I43=0,"",INDEX(L_VParc,$I43))</f>
        <v>100</v>
      </c>
      <c r="G43" s="13" t="str">
        <f>IF($I43=0,"",INDEX(L_Status,$I43)&amp;"")</f>
        <v>Pago</v>
      </c>
      <c r="H43" s="13" t="str">
        <f>IF($I43=0,"",IF(INDEX(L_FIni,$I43)&gt;0,"Na fatura do cartão",IF(G43="Pago","✔ Pago",IF(B43&lt;Cfg_Hoje,"⚠ Atrasado",IF(B43-Cfg_Hoje&lt;=7,"Vence em "&amp;(B43-Cfg_Hoje)&amp;" dia(s)","No prazo")))))</f>
        <v>✔ Pago</v>
      </c>
      <c r="I43" s="40">
        <f>IFERROR(MATCH(6,L_CalOrdem,0),0)</f>
        <v>534</v>
      </c>
      <c r="P43" s="105" t="str">
        <f>IF(OR(INDEX(Rec_Tipo,35)&lt;&gt;"Despesa",INDEX(Rec_Ativo,35)&lt;&gt;"Sim",INDEX(Rec_IIni,35)=0,N(INDEX(Rec_Dia,35))=0),"",IF(AND((YEAR(IF(DATE(YEAR(Cfg_Hoje),MONTH(Cfg_Hoje),MIN(INDEX(Rec_Dia,35),28))&gt;=Cfg_Hoje,DATE(YEAR(Cfg_Hoje),MONTH(Cfg_Hoje),MIN(INDEX(Rec_Dia,35),28)),DATE(YEAR(Cfg_Hoje),MONTH(Cfg_Hoje)+1,MIN(INDEX(Rec_Dia,35),28))))*12+MONTH(IF(DATE(YEAR(Cfg_Hoje),MONTH(Cfg_Hoje),MIN(INDEX(Rec_Dia,35),28))&gt;=Cfg_Hoje,DATE(YEAR(Cfg_Hoje),MONTH(Cfg_Hoje),MIN(INDEX(Rec_Dia,35),28)),DATE(YEAR(Cfg_Hoje),MONTH(Cfg_Hoje)+1,MIN(INDEX(Rec_Dia,35),28)))))&gt;=INDEX(Rec_IIni,35),(YEAR(IF(DATE(YEAR(Cfg_Hoje),MONTH(Cfg_Hoje),MIN(INDEX(Rec_Dia,35),28))&gt;=Cfg_Hoje,DATE(YEAR(Cfg_Hoje),MONTH(Cfg_Hoje),MIN(INDEX(Rec_Dia,35),28)),DATE(YEAR(Cfg_Hoje),MONTH(Cfg_Hoje)+1,MIN(INDEX(Rec_Dia,35),28))))*12+MONTH(IF(DATE(YEAR(Cfg_Hoje),MONTH(Cfg_Hoje),MIN(INDEX(Rec_Dia,35),28))&gt;=Cfg_Hoje,DATE(YEAR(Cfg_Hoje),MONTH(Cfg_Hoje),MIN(INDEX(Rec_Dia,35),28)),DATE(YEAR(Cfg_Hoje),MONTH(Cfg_Hoje)+1,MIN(INDEX(Rec_Dia,35),28)))))&lt;=INDEX(Rec_IFim,35),OR(INDEX(Rec_Freq,35)&lt;&gt;"Anual",MONTH(IF(DATE(YEAR(Cfg_Hoje),MONTH(Cfg_Hoje),MIN(INDEX(Rec_Dia,35),28))&gt;=Cfg_Hoje,DATE(YEAR(Cfg_Hoje),MONTH(Cfg_Hoje),MIN(INDEX(Rec_Dia,35),28)),DATE(YEAR(Cfg_Hoje),MONTH(Cfg_Hoje)+1,MIN(INDEX(Rec_Dia,35),28))))=INDEX(Rec_MesRef,35))),IF(DATE(YEAR(Cfg_Hoje),MONTH(Cfg_Hoje),MIN(INDEX(Rec_Dia,35),28))&gt;=Cfg_Hoje,DATE(YEAR(Cfg_Hoje),MONTH(Cfg_Hoje),MIN(INDEX(Rec_Dia,35),28)),DATE(YEAR(Cfg_Hoje),MONTH(Cfg_Hoje)+1,MIN(INDEX(Rec_Dia,35),28))),""))</f>
        <v/>
      </c>
      <c r="Q43" s="43">
        <f>IF(P43="",0,N(INDEX(Rec_Valor,35)))</f>
        <v>0</v>
      </c>
    </row>
    <row r="44">
      <c r="B44" s="93">
        <f>IF($I44=0,"",DATE(Sel_Ano,Sel_Mes,INDEX(L_Dia,$I44)))</f>
        <v>46273.0</v>
      </c>
      <c r="C44" s="14" t="str">
        <f>IF($I44=0,"",INDEX(L_Desc,$I44))</f>
        <v>Geladeira nova (10x)</v>
      </c>
      <c r="D44" s="14" t="str">
        <f>IF($I44=0,"",INDEX(L_Cat,$I44)&amp;"")</f>
        <v>Moradia</v>
      </c>
      <c r="E44" s="14" t="str">
        <f>IF($I44=0,"",INDEX(L_Conta,$I44)&amp;"")</f>
        <v>Cartão Azul Gold</v>
      </c>
      <c r="F44" s="36">
        <f>IF($I44=0,"",INDEX(L_VParc,$I44))</f>
        <v>200</v>
      </c>
      <c r="G44" s="13" t="str">
        <f>IF($I44=0,"",INDEX(L_Status,$I44)&amp;"")</f>
        <v>Pendente</v>
      </c>
      <c r="H44" s="13" t="str">
        <f>IF($I44=0,"",IF(INDEX(L_FIni,$I44)&gt;0,"Na fatura do cartão",IF(G44="Pago","✔ Pago",IF(B44&lt;Cfg_Hoje,"⚠ Atrasado",IF(B44-Cfg_Hoje&lt;=7,"Vence em "&amp;(B44-Cfg_Hoje)&amp;" dia(s)","No prazo")))))</f>
        <v>Na fatura do cartão</v>
      </c>
      <c r="I44" s="40">
        <f>IFERROR(MATCH(7,L_CalOrdem,0),0)</f>
        <v>444</v>
      </c>
      <c r="P44" s="105" t="str">
        <f>IF(OR(INDEX(Rec_Tipo,36)&lt;&gt;"Despesa",INDEX(Rec_Ativo,36)&lt;&gt;"Sim",INDEX(Rec_IIni,36)=0,N(INDEX(Rec_Dia,36))=0),"",IF(AND((YEAR(IF(DATE(YEAR(Cfg_Hoje),MONTH(Cfg_Hoje),MIN(INDEX(Rec_Dia,36),28))&gt;=Cfg_Hoje,DATE(YEAR(Cfg_Hoje),MONTH(Cfg_Hoje),MIN(INDEX(Rec_Dia,36),28)),DATE(YEAR(Cfg_Hoje),MONTH(Cfg_Hoje)+1,MIN(INDEX(Rec_Dia,36),28))))*12+MONTH(IF(DATE(YEAR(Cfg_Hoje),MONTH(Cfg_Hoje),MIN(INDEX(Rec_Dia,36),28))&gt;=Cfg_Hoje,DATE(YEAR(Cfg_Hoje),MONTH(Cfg_Hoje),MIN(INDEX(Rec_Dia,36),28)),DATE(YEAR(Cfg_Hoje),MONTH(Cfg_Hoje)+1,MIN(INDEX(Rec_Dia,36),28)))))&gt;=INDEX(Rec_IIni,36),(YEAR(IF(DATE(YEAR(Cfg_Hoje),MONTH(Cfg_Hoje),MIN(INDEX(Rec_Dia,36),28))&gt;=Cfg_Hoje,DATE(YEAR(Cfg_Hoje),MONTH(Cfg_Hoje),MIN(INDEX(Rec_Dia,36),28)),DATE(YEAR(Cfg_Hoje),MONTH(Cfg_Hoje)+1,MIN(INDEX(Rec_Dia,36),28))))*12+MONTH(IF(DATE(YEAR(Cfg_Hoje),MONTH(Cfg_Hoje),MIN(INDEX(Rec_Dia,36),28))&gt;=Cfg_Hoje,DATE(YEAR(Cfg_Hoje),MONTH(Cfg_Hoje),MIN(INDEX(Rec_Dia,36),28)),DATE(YEAR(Cfg_Hoje),MONTH(Cfg_Hoje)+1,MIN(INDEX(Rec_Dia,36),28)))))&lt;=INDEX(Rec_IFim,36),OR(INDEX(Rec_Freq,36)&lt;&gt;"Anual",MONTH(IF(DATE(YEAR(Cfg_Hoje),MONTH(Cfg_Hoje),MIN(INDEX(Rec_Dia,36),28))&gt;=Cfg_Hoje,DATE(YEAR(Cfg_Hoje),MONTH(Cfg_Hoje),MIN(INDEX(Rec_Dia,36),28)),DATE(YEAR(Cfg_Hoje),MONTH(Cfg_Hoje)+1,MIN(INDEX(Rec_Dia,36),28))))=INDEX(Rec_MesRef,36))),IF(DATE(YEAR(Cfg_Hoje),MONTH(Cfg_Hoje),MIN(INDEX(Rec_Dia,36),28))&gt;=Cfg_Hoje,DATE(YEAR(Cfg_Hoje),MONTH(Cfg_Hoje),MIN(INDEX(Rec_Dia,36),28)),DATE(YEAR(Cfg_Hoje),MONTH(Cfg_Hoje)+1,MIN(INDEX(Rec_Dia,36),28))),""))</f>
        <v/>
      </c>
      <c r="Q44" s="43">
        <f>IF(P44="",0,N(INDEX(Rec_Valor,36)))</f>
        <v>0</v>
      </c>
    </row>
    <row r="45">
      <c r="B45" s="93">
        <f>IF($I45=0,"",DATE(Sel_Ano,Sel_Mes,INDEX(L_Dia,$I45)))</f>
        <v>46273.0</v>
      </c>
      <c r="C45" s="14" t="str">
        <f>IF($I45=0,"",INDEX(L_Desc,$I45))</f>
        <v>Curso de inglês</v>
      </c>
      <c r="D45" s="14" t="str">
        <f>IF($I45=0,"",INDEX(L_Cat,$I45)&amp;"")</f>
        <v>Educação</v>
      </c>
      <c r="E45" s="14" t="str">
        <f>IF($I45=0,"",INDEX(L_Conta,$I45)&amp;"")</f>
        <v>Conta Corrente Banco Azul</v>
      </c>
      <c r="F45" s="36">
        <f>IF($I45=0,"",INDEX(L_VParc,$I45))</f>
        <v>390</v>
      </c>
      <c r="G45" s="13" t="str">
        <f>IF($I45=0,"",INDEX(L_Status,$I45)&amp;"")</f>
        <v>Pago</v>
      </c>
      <c r="H45" s="13" t="str">
        <f>IF($I45=0,"",IF(INDEX(L_FIni,$I45)&gt;0,"Na fatura do cartão",IF(G45="Pago","✔ Pago",IF(B45&lt;Cfg_Hoje,"⚠ Atrasado",IF(B45-Cfg_Hoje&lt;=7,"Vence em "&amp;(B45-Cfg_Hoje)&amp;" dia(s)","No prazo")))))</f>
        <v>✔ Pago</v>
      </c>
      <c r="I45" s="40">
        <f>IFERROR(MATCH(8,L_CalOrdem,0),0)</f>
        <v>535</v>
      </c>
      <c r="P45" s="105" t="str">
        <f>IF(OR(INDEX(Rec_Tipo,37)&lt;&gt;"Despesa",INDEX(Rec_Ativo,37)&lt;&gt;"Sim",INDEX(Rec_IIni,37)=0,N(INDEX(Rec_Dia,37))=0),"",IF(AND((YEAR(IF(DATE(YEAR(Cfg_Hoje),MONTH(Cfg_Hoje),MIN(INDEX(Rec_Dia,37),28))&gt;=Cfg_Hoje,DATE(YEAR(Cfg_Hoje),MONTH(Cfg_Hoje),MIN(INDEX(Rec_Dia,37),28)),DATE(YEAR(Cfg_Hoje),MONTH(Cfg_Hoje)+1,MIN(INDEX(Rec_Dia,37),28))))*12+MONTH(IF(DATE(YEAR(Cfg_Hoje),MONTH(Cfg_Hoje),MIN(INDEX(Rec_Dia,37),28))&gt;=Cfg_Hoje,DATE(YEAR(Cfg_Hoje),MONTH(Cfg_Hoje),MIN(INDEX(Rec_Dia,37),28)),DATE(YEAR(Cfg_Hoje),MONTH(Cfg_Hoje)+1,MIN(INDEX(Rec_Dia,37),28)))))&gt;=INDEX(Rec_IIni,37),(YEAR(IF(DATE(YEAR(Cfg_Hoje),MONTH(Cfg_Hoje),MIN(INDEX(Rec_Dia,37),28))&gt;=Cfg_Hoje,DATE(YEAR(Cfg_Hoje),MONTH(Cfg_Hoje),MIN(INDEX(Rec_Dia,37),28)),DATE(YEAR(Cfg_Hoje),MONTH(Cfg_Hoje)+1,MIN(INDEX(Rec_Dia,37),28))))*12+MONTH(IF(DATE(YEAR(Cfg_Hoje),MONTH(Cfg_Hoje),MIN(INDEX(Rec_Dia,37),28))&gt;=Cfg_Hoje,DATE(YEAR(Cfg_Hoje),MONTH(Cfg_Hoje),MIN(INDEX(Rec_Dia,37),28)),DATE(YEAR(Cfg_Hoje),MONTH(Cfg_Hoje)+1,MIN(INDEX(Rec_Dia,37),28)))))&lt;=INDEX(Rec_IFim,37),OR(INDEX(Rec_Freq,37)&lt;&gt;"Anual",MONTH(IF(DATE(YEAR(Cfg_Hoje),MONTH(Cfg_Hoje),MIN(INDEX(Rec_Dia,37),28))&gt;=Cfg_Hoje,DATE(YEAR(Cfg_Hoje),MONTH(Cfg_Hoje),MIN(INDEX(Rec_Dia,37),28)),DATE(YEAR(Cfg_Hoje),MONTH(Cfg_Hoje)+1,MIN(INDEX(Rec_Dia,37),28))))=INDEX(Rec_MesRef,37))),IF(DATE(YEAR(Cfg_Hoje),MONTH(Cfg_Hoje),MIN(INDEX(Rec_Dia,37),28))&gt;=Cfg_Hoje,DATE(YEAR(Cfg_Hoje),MONTH(Cfg_Hoje),MIN(INDEX(Rec_Dia,37),28)),DATE(YEAR(Cfg_Hoje),MONTH(Cfg_Hoje)+1,MIN(INDEX(Rec_Dia,37),28))),""))</f>
        <v/>
      </c>
      <c r="Q45" s="43">
        <f>IF(P45="",0,N(INDEX(Rec_Valor,37)))</f>
        <v>0</v>
      </c>
    </row>
    <row r="46">
      <c r="B46" s="93">
        <f>IF($I46=0,"",DATE(Sel_Ano,Sel_Mes,INDEX(L_Dia,$I46)))</f>
        <v>46274.0</v>
      </c>
      <c r="C46" s="14" t="str">
        <f>IF($I46=0,"",INDEX(L_Desc,$I46))</f>
        <v>Ração e petiscos</v>
      </c>
      <c r="D46" s="14" t="str">
        <f>IF($I46=0,"",INDEX(L_Cat,$I46)&amp;"")</f>
        <v>Família/Pets</v>
      </c>
      <c r="E46" s="14" t="str">
        <f>IF($I46=0,"",INDEX(L_Conta,$I46)&amp;"")</f>
        <v>Cartão Azul Gold</v>
      </c>
      <c r="F46" s="36">
        <f>IF($I46=0,"",INDEX(L_VParc,$I46))</f>
        <v>207.96</v>
      </c>
      <c r="G46" s="13" t="str">
        <f>IF($I46=0,"",INDEX(L_Status,$I46)&amp;"")</f>
        <v>Pago</v>
      </c>
      <c r="H46" s="13" t="str">
        <f>IF($I46=0,"",IF(INDEX(L_FIni,$I46)&gt;0,"Na fatura do cartão",IF(G46="Pago","✔ Pago",IF(B46&lt;Cfg_Hoje,"⚠ Atrasado",IF(B46-Cfg_Hoje&lt;=7,"Vence em "&amp;(B46-Cfg_Hoje)&amp;" dia(s)","No prazo")))))</f>
        <v>Na fatura do cartão</v>
      </c>
      <c r="I46" s="40">
        <f>IFERROR(MATCH(9,L_CalOrdem,0),0)</f>
        <v>536</v>
      </c>
      <c r="P46" s="105" t="str">
        <f>IF(OR(INDEX(Rec_Tipo,38)&lt;&gt;"Despesa",INDEX(Rec_Ativo,38)&lt;&gt;"Sim",INDEX(Rec_IIni,38)=0,N(INDEX(Rec_Dia,38))=0),"",IF(AND((YEAR(IF(DATE(YEAR(Cfg_Hoje),MONTH(Cfg_Hoje),MIN(INDEX(Rec_Dia,38),28))&gt;=Cfg_Hoje,DATE(YEAR(Cfg_Hoje),MONTH(Cfg_Hoje),MIN(INDEX(Rec_Dia,38),28)),DATE(YEAR(Cfg_Hoje),MONTH(Cfg_Hoje)+1,MIN(INDEX(Rec_Dia,38),28))))*12+MONTH(IF(DATE(YEAR(Cfg_Hoje),MONTH(Cfg_Hoje),MIN(INDEX(Rec_Dia,38),28))&gt;=Cfg_Hoje,DATE(YEAR(Cfg_Hoje),MONTH(Cfg_Hoje),MIN(INDEX(Rec_Dia,38),28)),DATE(YEAR(Cfg_Hoje),MONTH(Cfg_Hoje)+1,MIN(INDEX(Rec_Dia,38),28)))))&gt;=INDEX(Rec_IIni,38),(YEAR(IF(DATE(YEAR(Cfg_Hoje),MONTH(Cfg_Hoje),MIN(INDEX(Rec_Dia,38),28))&gt;=Cfg_Hoje,DATE(YEAR(Cfg_Hoje),MONTH(Cfg_Hoje),MIN(INDEX(Rec_Dia,38),28)),DATE(YEAR(Cfg_Hoje),MONTH(Cfg_Hoje)+1,MIN(INDEX(Rec_Dia,38),28))))*12+MONTH(IF(DATE(YEAR(Cfg_Hoje),MONTH(Cfg_Hoje),MIN(INDEX(Rec_Dia,38),28))&gt;=Cfg_Hoje,DATE(YEAR(Cfg_Hoje),MONTH(Cfg_Hoje),MIN(INDEX(Rec_Dia,38),28)),DATE(YEAR(Cfg_Hoje),MONTH(Cfg_Hoje)+1,MIN(INDEX(Rec_Dia,38),28)))))&lt;=INDEX(Rec_IFim,38),OR(INDEX(Rec_Freq,38)&lt;&gt;"Anual",MONTH(IF(DATE(YEAR(Cfg_Hoje),MONTH(Cfg_Hoje),MIN(INDEX(Rec_Dia,38),28))&gt;=Cfg_Hoje,DATE(YEAR(Cfg_Hoje),MONTH(Cfg_Hoje),MIN(INDEX(Rec_Dia,38),28)),DATE(YEAR(Cfg_Hoje),MONTH(Cfg_Hoje)+1,MIN(INDEX(Rec_Dia,38),28))))=INDEX(Rec_MesRef,38))),IF(DATE(YEAR(Cfg_Hoje),MONTH(Cfg_Hoje),MIN(INDEX(Rec_Dia,38),28))&gt;=Cfg_Hoje,DATE(YEAR(Cfg_Hoje),MONTH(Cfg_Hoje),MIN(INDEX(Rec_Dia,38),28)),DATE(YEAR(Cfg_Hoje),MONTH(Cfg_Hoje)+1,MIN(INDEX(Rec_Dia,38),28))),""))</f>
        <v/>
      </c>
      <c r="Q46" s="43">
        <f>IF(P46="",0,N(INDEX(Rec_Valor,38)))</f>
        <v>0</v>
      </c>
    </row>
    <row r="47">
      <c r="B47" s="93">
        <f>IF($I47=0,"",DATE(Sel_Ano,Sel_Mes,INDEX(L_Dia,$I47)))</f>
        <v>46275.0</v>
      </c>
      <c r="C47" s="14" t="str">
        <f>IF($I47=0,"",INDEX(L_Desc,$I47))</f>
        <v>Aluguel residencial</v>
      </c>
      <c r="D47" s="14" t="str">
        <f>IF($I47=0,"",INDEX(L_Cat,$I47)&amp;"")</f>
        <v>Moradia</v>
      </c>
      <c r="E47" s="14" t="str">
        <f>IF($I47=0,"",INDEX(L_Conta,$I47)&amp;"")</f>
        <v>Conta Corrente Banco Azul</v>
      </c>
      <c r="F47" s="36">
        <f>IF($I47=0,"",INDEX(L_VParc,$I47))</f>
        <v>2400</v>
      </c>
      <c r="G47" s="13" t="str">
        <f>IF($I47=0,"",INDEX(L_Status,$I47)&amp;"")</f>
        <v>Pago</v>
      </c>
      <c r="H47" s="13" t="str">
        <f>IF($I47=0,"",IF(INDEX(L_FIni,$I47)&gt;0,"Na fatura do cartão",IF(G47="Pago","✔ Pago",IF(B47&lt;Cfg_Hoje,"⚠ Atrasado",IF(B47-Cfg_Hoje&lt;=7,"Vence em "&amp;(B47-Cfg_Hoje)&amp;" dia(s)","No prazo")))))</f>
        <v>✔ Pago</v>
      </c>
      <c r="I47" s="40">
        <f>IFERROR(MATCH(10,L_CalOrdem,0),0)</f>
        <v>538</v>
      </c>
      <c r="P47" s="105" t="str">
        <f>IF(OR(INDEX(Rec_Tipo,39)&lt;&gt;"Despesa",INDEX(Rec_Ativo,39)&lt;&gt;"Sim",INDEX(Rec_IIni,39)=0,N(INDEX(Rec_Dia,39))=0),"",IF(AND((YEAR(IF(DATE(YEAR(Cfg_Hoje),MONTH(Cfg_Hoje),MIN(INDEX(Rec_Dia,39),28))&gt;=Cfg_Hoje,DATE(YEAR(Cfg_Hoje),MONTH(Cfg_Hoje),MIN(INDEX(Rec_Dia,39),28)),DATE(YEAR(Cfg_Hoje),MONTH(Cfg_Hoje)+1,MIN(INDEX(Rec_Dia,39),28))))*12+MONTH(IF(DATE(YEAR(Cfg_Hoje),MONTH(Cfg_Hoje),MIN(INDEX(Rec_Dia,39),28))&gt;=Cfg_Hoje,DATE(YEAR(Cfg_Hoje),MONTH(Cfg_Hoje),MIN(INDEX(Rec_Dia,39),28)),DATE(YEAR(Cfg_Hoje),MONTH(Cfg_Hoje)+1,MIN(INDEX(Rec_Dia,39),28)))))&gt;=INDEX(Rec_IIni,39),(YEAR(IF(DATE(YEAR(Cfg_Hoje),MONTH(Cfg_Hoje),MIN(INDEX(Rec_Dia,39),28))&gt;=Cfg_Hoje,DATE(YEAR(Cfg_Hoje),MONTH(Cfg_Hoje),MIN(INDEX(Rec_Dia,39),28)),DATE(YEAR(Cfg_Hoje),MONTH(Cfg_Hoje)+1,MIN(INDEX(Rec_Dia,39),28))))*12+MONTH(IF(DATE(YEAR(Cfg_Hoje),MONTH(Cfg_Hoje),MIN(INDEX(Rec_Dia,39),28))&gt;=Cfg_Hoje,DATE(YEAR(Cfg_Hoje),MONTH(Cfg_Hoje),MIN(INDEX(Rec_Dia,39),28)),DATE(YEAR(Cfg_Hoje),MONTH(Cfg_Hoje)+1,MIN(INDEX(Rec_Dia,39),28)))))&lt;=INDEX(Rec_IFim,39),OR(INDEX(Rec_Freq,39)&lt;&gt;"Anual",MONTH(IF(DATE(YEAR(Cfg_Hoje),MONTH(Cfg_Hoje),MIN(INDEX(Rec_Dia,39),28))&gt;=Cfg_Hoje,DATE(YEAR(Cfg_Hoje),MONTH(Cfg_Hoje),MIN(INDEX(Rec_Dia,39),28)),DATE(YEAR(Cfg_Hoje),MONTH(Cfg_Hoje)+1,MIN(INDEX(Rec_Dia,39),28))))=INDEX(Rec_MesRef,39))),IF(DATE(YEAR(Cfg_Hoje),MONTH(Cfg_Hoje),MIN(INDEX(Rec_Dia,39),28))&gt;=Cfg_Hoje,DATE(YEAR(Cfg_Hoje),MONTH(Cfg_Hoje),MIN(INDEX(Rec_Dia,39),28)),DATE(YEAR(Cfg_Hoje),MONTH(Cfg_Hoje)+1,MIN(INDEX(Rec_Dia,39),28))),""))</f>
        <v/>
      </c>
      <c r="Q47" s="43">
        <f>IF(P47="",0,N(INDEX(Rec_Valor,39)))</f>
        <v>0</v>
      </c>
    </row>
    <row r="48">
      <c r="B48" s="93">
        <f>IF($I48=0,"",DATE(Sel_Ano,Sel_Mes,INDEX(L_Dia,$I48)))</f>
        <v>46275.0</v>
      </c>
      <c r="C48" s="14" t="str">
        <f>IF($I48=0,"",INDEX(L_Desc,$I48))</f>
        <v>Condomínio</v>
      </c>
      <c r="D48" s="14" t="str">
        <f>IF($I48=0,"",INDEX(L_Cat,$I48)&amp;"")</f>
        <v>Moradia</v>
      </c>
      <c r="E48" s="14" t="str">
        <f>IF($I48=0,"",INDEX(L_Conta,$I48)&amp;"")</f>
        <v>Conta Corrente Banco Azul</v>
      </c>
      <c r="F48" s="36">
        <f>IF($I48=0,"",INDEX(L_VParc,$I48))</f>
        <v>650</v>
      </c>
      <c r="G48" s="13" t="str">
        <f>IF($I48=0,"",INDEX(L_Status,$I48)&amp;"")</f>
        <v>Pago</v>
      </c>
      <c r="H48" s="13" t="str">
        <f>IF($I48=0,"",IF(INDEX(L_FIni,$I48)&gt;0,"Na fatura do cartão",IF(G48="Pago","✔ Pago",IF(B48&lt;Cfg_Hoje,"⚠ Atrasado",IF(B48-Cfg_Hoje&lt;=7,"Vence em "&amp;(B48-Cfg_Hoje)&amp;" dia(s)","No prazo")))))</f>
        <v>✔ Pago</v>
      </c>
      <c r="I48" s="40">
        <f>IFERROR(MATCH(11,L_CalOrdem,0),0)</f>
        <v>539</v>
      </c>
      <c r="P48" s="105" t="str">
        <f>IF(OR(INDEX(Rec_Tipo,40)&lt;&gt;"Despesa",INDEX(Rec_Ativo,40)&lt;&gt;"Sim",INDEX(Rec_IIni,40)=0,N(INDEX(Rec_Dia,40))=0),"",IF(AND((YEAR(IF(DATE(YEAR(Cfg_Hoje),MONTH(Cfg_Hoje),MIN(INDEX(Rec_Dia,40),28))&gt;=Cfg_Hoje,DATE(YEAR(Cfg_Hoje),MONTH(Cfg_Hoje),MIN(INDEX(Rec_Dia,40),28)),DATE(YEAR(Cfg_Hoje),MONTH(Cfg_Hoje)+1,MIN(INDEX(Rec_Dia,40),28))))*12+MONTH(IF(DATE(YEAR(Cfg_Hoje),MONTH(Cfg_Hoje),MIN(INDEX(Rec_Dia,40),28))&gt;=Cfg_Hoje,DATE(YEAR(Cfg_Hoje),MONTH(Cfg_Hoje),MIN(INDEX(Rec_Dia,40),28)),DATE(YEAR(Cfg_Hoje),MONTH(Cfg_Hoje)+1,MIN(INDEX(Rec_Dia,40),28)))))&gt;=INDEX(Rec_IIni,40),(YEAR(IF(DATE(YEAR(Cfg_Hoje),MONTH(Cfg_Hoje),MIN(INDEX(Rec_Dia,40),28))&gt;=Cfg_Hoje,DATE(YEAR(Cfg_Hoje),MONTH(Cfg_Hoje),MIN(INDEX(Rec_Dia,40),28)),DATE(YEAR(Cfg_Hoje),MONTH(Cfg_Hoje)+1,MIN(INDEX(Rec_Dia,40),28))))*12+MONTH(IF(DATE(YEAR(Cfg_Hoje),MONTH(Cfg_Hoje),MIN(INDEX(Rec_Dia,40),28))&gt;=Cfg_Hoje,DATE(YEAR(Cfg_Hoje),MONTH(Cfg_Hoje),MIN(INDEX(Rec_Dia,40),28)),DATE(YEAR(Cfg_Hoje),MONTH(Cfg_Hoje)+1,MIN(INDEX(Rec_Dia,40),28)))))&lt;=INDEX(Rec_IFim,40),OR(INDEX(Rec_Freq,40)&lt;&gt;"Anual",MONTH(IF(DATE(YEAR(Cfg_Hoje),MONTH(Cfg_Hoje),MIN(INDEX(Rec_Dia,40),28))&gt;=Cfg_Hoje,DATE(YEAR(Cfg_Hoje),MONTH(Cfg_Hoje),MIN(INDEX(Rec_Dia,40),28)),DATE(YEAR(Cfg_Hoje),MONTH(Cfg_Hoje)+1,MIN(INDEX(Rec_Dia,40),28))))=INDEX(Rec_MesRef,40))),IF(DATE(YEAR(Cfg_Hoje),MONTH(Cfg_Hoje),MIN(INDEX(Rec_Dia,40),28))&gt;=Cfg_Hoje,DATE(YEAR(Cfg_Hoje),MONTH(Cfg_Hoje),MIN(INDEX(Rec_Dia,40),28)),DATE(YEAR(Cfg_Hoje),MONTH(Cfg_Hoje)+1,MIN(INDEX(Rec_Dia,40),28))),""))</f>
        <v/>
      </c>
      <c r="Q48" s="43">
        <f>IF(P48="",0,N(INDEX(Rec_Valor,40)))</f>
        <v>0</v>
      </c>
    </row>
    <row r="49">
      <c r="B49" s="93">
        <f>IF($I49=0,"",DATE(Sel_Ano,Sel_Mes,INDEX(L_Dia,$I49)))</f>
        <v>46277.0</v>
      </c>
      <c r="C49" s="14" t="str">
        <f>IF($I49=0,"",INDEX(L_Desc,$I49))</f>
        <v>IPTU 2026 (10 parcelas)</v>
      </c>
      <c r="D49" s="14" t="str">
        <f>IF($I49=0,"",INDEX(L_Cat,$I49)&amp;"")</f>
        <v>Impostos e Taxas</v>
      </c>
      <c r="E49" s="14" t="str">
        <f>IF($I49=0,"",INDEX(L_Conta,$I49)&amp;"")</f>
        <v>Conta Corrente Banco Azul</v>
      </c>
      <c r="F49" s="36">
        <f>IF($I49=0,"",INDEX(L_VParc,$I49))</f>
        <v>180</v>
      </c>
      <c r="G49" s="13" t="str">
        <f>IF($I49=0,"",INDEX(L_Status,$I49)&amp;"")</f>
        <v>Pago</v>
      </c>
      <c r="H49" s="13" t="str">
        <f>IF($I49=0,"",IF(INDEX(L_FIni,$I49)&gt;0,"Na fatura do cartão",IF(G49="Pago","✔ Pago",IF(B49&lt;Cfg_Hoje,"⚠ Atrasado",IF(B49-Cfg_Hoje&lt;=7,"Vence em "&amp;(B49-Cfg_Hoje)&amp;" dia(s)","No prazo")))))</f>
        <v>✔ Pago</v>
      </c>
      <c r="I49" s="40">
        <f>IFERROR(MATCH(12,L_CalOrdem,0),0)</f>
        <v>227</v>
      </c>
    </row>
    <row r="50">
      <c r="B50" s="93">
        <f>IF($I50=0,"",DATE(Sel_Ano,Sel_Mes,INDEX(L_Dia,$I50)))</f>
        <v>46277.0</v>
      </c>
      <c r="C50" s="14" t="str">
        <f>IF($I50=0,"",INDEX(L_Desc,$I50))</f>
        <v>Notebook novo (12x)</v>
      </c>
      <c r="D50" s="14" t="str">
        <f>IF($I50=0,"",INDEX(L_Cat,$I50)&amp;"")</f>
        <v>Outros</v>
      </c>
      <c r="E50" s="14" t="str">
        <f>IF($I50=0,"",INDEX(L_Conta,$I50)&amp;"")</f>
        <v>Cartão Roxinho</v>
      </c>
      <c r="F50" s="36">
        <f>IF($I50=0,"",INDEX(L_VParc,$I50))</f>
        <v>300</v>
      </c>
      <c r="G50" s="13" t="str">
        <f>IF($I50=0,"",INDEX(L_Status,$I50)&amp;"")</f>
        <v>Pendente</v>
      </c>
      <c r="H50" s="13" t="str">
        <f>IF($I50=0,"",IF(INDEX(L_FIni,$I50)&gt;0,"Na fatura do cartão",IF(G50="Pago","✔ Pago",IF(B50&lt;Cfg_Hoje,"⚠ Atrasado",IF(B50-Cfg_Hoje&lt;=7,"Vence em "&amp;(B50-Cfg_Hoje)&amp;" dia(s)","No prazo")))))</f>
        <v>Na fatura do cartão</v>
      </c>
      <c r="I50" s="40">
        <f>IFERROR(MATCH(13,L_CalOrdem,0),0)</f>
        <v>271</v>
      </c>
    </row>
    <row r="51">
      <c r="B51" s="93">
        <f>IF($I51=0,"",DATE(Sel_Ano,Sel_Mes,INDEX(L_Dia,$I51)))</f>
        <v>46277.0</v>
      </c>
      <c r="C51" s="14" t="str">
        <f>IF($I51=0,"",INDEX(L_Desc,$I51))</f>
        <v>Streaming de música</v>
      </c>
      <c r="D51" s="14" t="str">
        <f>IF($I51=0,"",INDEX(L_Cat,$I51)&amp;"")</f>
        <v>Assinaturas</v>
      </c>
      <c r="E51" s="14" t="str">
        <f>IF($I51=0,"",INDEX(L_Conta,$I51)&amp;"")</f>
        <v>Cartão Roxinho</v>
      </c>
      <c r="F51" s="36">
        <f>IF($I51=0,"",INDEX(L_VParc,$I51))</f>
        <v>21.9</v>
      </c>
      <c r="G51" s="13" t="str">
        <f>IF($I51=0,"",INDEX(L_Status,$I51)&amp;"")</f>
        <v>Pago</v>
      </c>
      <c r="H51" s="13" t="str">
        <f>IF($I51=0,"",IF(INDEX(L_FIni,$I51)&gt;0,"Na fatura do cartão",IF(G51="Pago","✔ Pago",IF(B51&lt;Cfg_Hoje,"⚠ Atrasado",IF(B51-Cfg_Hoje&lt;=7,"Vence em "&amp;(B51-Cfg_Hoje)&amp;" dia(s)","No prazo")))))</f>
        <v>Na fatura do cartão</v>
      </c>
      <c r="I51" s="40">
        <f>IFERROR(MATCH(14,L_CalOrdem,0),0)</f>
        <v>540</v>
      </c>
    </row>
    <row r="52">
      <c r="B52" s="93">
        <f>IF($I52=0,"",DATE(Sel_Ano,Sel_Mes,INDEX(L_Dia,$I52)))</f>
        <v>46277.0</v>
      </c>
      <c r="C52" s="14" t="str">
        <f>IF($I52=0,"",INDEX(L_Desc,$I52))</f>
        <v>Streaming de vídeo</v>
      </c>
      <c r="D52" s="14" t="str">
        <f>IF($I52=0,"",INDEX(L_Cat,$I52)&amp;"")</f>
        <v>Assinaturas</v>
      </c>
      <c r="E52" s="14" t="str">
        <f>IF($I52=0,"",INDEX(L_Conta,$I52)&amp;"")</f>
        <v>Cartão Roxinho</v>
      </c>
      <c r="F52" s="36">
        <f>IF($I52=0,"",INDEX(L_VParc,$I52))</f>
        <v>55.9</v>
      </c>
      <c r="G52" s="13" t="str">
        <f>IF($I52=0,"",INDEX(L_Status,$I52)&amp;"")</f>
        <v>Pago</v>
      </c>
      <c r="H52" s="13" t="str">
        <f>IF($I52=0,"",IF(INDEX(L_FIni,$I52)&gt;0,"Na fatura do cartão",IF(G52="Pago","✔ Pago",IF(B52&lt;Cfg_Hoje,"⚠ Atrasado",IF(B52-Cfg_Hoje&lt;=7,"Vence em "&amp;(B52-Cfg_Hoje)&amp;" dia(s)","No prazo")))))</f>
        <v>Na fatura do cartão</v>
      </c>
      <c r="I52" s="40">
        <f>IFERROR(MATCH(15,L_CalOrdem,0),0)</f>
        <v>541</v>
      </c>
    </row>
    <row r="53">
      <c r="B53" s="93">
        <f>IF($I53=0,"",DATE(Sel_Ano,Sel_Mes,INDEX(L_Dia,$I53)))</f>
        <v>46278.0</v>
      </c>
      <c r="C53" s="14" t="str">
        <f>IF($I53=0,"",INDEX(L_Desc,$I53))</f>
        <v>Supermercado</v>
      </c>
      <c r="D53" s="14" t="str">
        <f>IF($I53=0,"",INDEX(L_Cat,$I53)&amp;"")</f>
        <v>Alimentação</v>
      </c>
      <c r="E53" s="14" t="str">
        <f>IF($I53=0,"",INDEX(L_Conta,$I53)&amp;"")</f>
        <v>Conta Corrente Banco Azul</v>
      </c>
      <c r="F53" s="36">
        <f>IF($I53=0,"",INDEX(L_VParc,$I53))</f>
        <v>463.33</v>
      </c>
      <c r="G53" s="13" t="str">
        <f>IF($I53=0,"",INDEX(L_Status,$I53)&amp;"")</f>
        <v>Pago</v>
      </c>
      <c r="H53" s="13" t="str">
        <f>IF($I53=0,"",IF(INDEX(L_FIni,$I53)&gt;0,"Na fatura do cartão",IF(G53="Pago","✔ Pago",IF(B53&lt;Cfg_Hoje,"⚠ Atrasado",IF(B53-Cfg_Hoje&lt;=7,"Vence em "&amp;(B53-Cfg_Hoje)&amp;" dia(s)","No prazo")))))</f>
        <v>✔ Pago</v>
      </c>
      <c r="I53" s="40">
        <f>IFERROR(MATCH(16,L_CalOrdem,0),0)</f>
        <v>542</v>
      </c>
    </row>
    <row r="54">
      <c r="B54" s="93">
        <f>IF($I54=0,"",DATE(Sel_Ano,Sel_Mes,INDEX(L_Dia,$I54)))</f>
        <v>46279.0</v>
      </c>
      <c r="C54" s="14" t="str">
        <f>IF($I54=0,"",INDEX(L_Desc,$I54))</f>
        <v>Armazenamento em nuvem</v>
      </c>
      <c r="D54" s="14" t="str">
        <f>IF($I54=0,"",INDEX(L_Cat,$I54)&amp;"")</f>
        <v>Assinaturas</v>
      </c>
      <c r="E54" s="14" t="str">
        <f>IF($I54=0,"",INDEX(L_Conta,$I54)&amp;"")</f>
        <v>Cartão Azul Gold</v>
      </c>
      <c r="F54" s="36">
        <f>IF($I54=0,"",INDEX(L_VParc,$I54))</f>
        <v>14.9</v>
      </c>
      <c r="G54" s="13" t="str">
        <f>IF($I54=0,"",INDEX(L_Status,$I54)&amp;"")</f>
        <v>Pago</v>
      </c>
      <c r="H54" s="13" t="str">
        <f>IF($I54=0,"",IF(INDEX(L_FIni,$I54)&gt;0,"Na fatura do cartão",IF(G54="Pago","✔ Pago",IF(B54&lt;Cfg_Hoje,"⚠ Atrasado",IF(B54-Cfg_Hoje&lt;=7,"Vence em "&amp;(B54-Cfg_Hoje)&amp;" dia(s)","No prazo")))))</f>
        <v>Na fatura do cartão</v>
      </c>
      <c r="I54" s="40">
        <f>IFERROR(MATCH(17,L_CalOrdem,0),0)</f>
        <v>543</v>
      </c>
    </row>
    <row r="55">
      <c r="B55" s="93">
        <f>IF($I55=0,"",DATE(Sel_Ano,Sel_Mes,INDEX(L_Dia,$I55)))</f>
        <v>46279.0</v>
      </c>
      <c r="C55" s="14" t="str">
        <f>IF($I55=0,"",INDEX(L_Desc,$I55))</f>
        <v>Combustível</v>
      </c>
      <c r="D55" s="14" t="str">
        <f>IF($I55=0,"",INDEX(L_Cat,$I55)&amp;"")</f>
        <v>Transporte</v>
      </c>
      <c r="E55" s="14" t="str">
        <f>IF($I55=0,"",INDEX(L_Conta,$I55)&amp;"")</f>
        <v>Cartão Roxinho</v>
      </c>
      <c r="F55" s="36">
        <f>IF($I55=0,"",INDEX(L_VParc,$I55))</f>
        <v>183.39</v>
      </c>
      <c r="G55" s="13" t="str">
        <f>IF($I55=0,"",INDEX(L_Status,$I55)&amp;"")</f>
        <v>Pago</v>
      </c>
      <c r="H55" s="13" t="str">
        <f>IF($I55=0,"",IF(INDEX(L_FIni,$I55)&gt;0,"Na fatura do cartão",IF(G55="Pago","✔ Pago",IF(B55&lt;Cfg_Hoje,"⚠ Atrasado",IF(B55-Cfg_Hoje&lt;=7,"Vence em "&amp;(B55-Cfg_Hoje)&amp;" dia(s)","No prazo")))))</f>
        <v>Na fatura do cartão</v>
      </c>
      <c r="I55" s="40">
        <f>IFERROR(MATCH(18,L_CalOrdem,0),0)</f>
        <v>544</v>
      </c>
    </row>
    <row r="56">
      <c r="B56" s="93">
        <f>IF($I56=0,"",DATE(Sel_Ano,Sel_Mes,INDEX(L_Dia,$I56)))</f>
        <v>46280.0</v>
      </c>
      <c r="C56" s="14" t="str">
        <f>IF($I56=0,"",INDEX(L_Desc,$I56))</f>
        <v>Conta de energia</v>
      </c>
      <c r="D56" s="14" t="str">
        <f>IF($I56=0,"",INDEX(L_Cat,$I56)&amp;"")</f>
        <v>Moradia</v>
      </c>
      <c r="E56" s="14" t="str">
        <f>IF($I56=0,"",INDEX(L_Conta,$I56)&amp;"")</f>
        <v>Conta Corrente Banco Azul</v>
      </c>
      <c r="F56" s="36">
        <f>IF($I56=0,"",INDEX(L_VParc,$I56))</f>
        <v>208.93</v>
      </c>
      <c r="G56" s="13" t="str">
        <f>IF($I56=0,"",INDEX(L_Status,$I56)&amp;"")</f>
        <v>Pago</v>
      </c>
      <c r="H56" s="13" t="str">
        <f>IF($I56=0,"",IF(INDEX(L_FIni,$I56)&gt;0,"Na fatura do cartão",IF(G56="Pago","✔ Pago",IF(B56&lt;Cfg_Hoje,"⚠ Atrasado",IF(B56-Cfg_Hoje&lt;=7,"Vence em "&amp;(B56-Cfg_Hoje)&amp;" dia(s)","No prazo")))))</f>
        <v>✔ Pago</v>
      </c>
      <c r="I56" s="40">
        <f>IFERROR(MATCH(19,L_CalOrdem,0),0)</f>
        <v>545</v>
      </c>
    </row>
    <row r="57">
      <c r="B57" s="93">
        <f>IF($I57=0,"",DATE(Sel_Ano,Sel_Mes,INDEX(L_Dia,$I57)))</f>
        <v>46280.0</v>
      </c>
      <c r="C57" s="14" t="str">
        <f>IF($I57=0,"",INDEX(L_Desc,$I57))</f>
        <v>Conta de água</v>
      </c>
      <c r="D57" s="14" t="str">
        <f>IF($I57=0,"",INDEX(L_Cat,$I57)&amp;"")</f>
        <v>Moradia</v>
      </c>
      <c r="E57" s="14" t="str">
        <f>IF($I57=0,"",INDEX(L_Conta,$I57)&amp;"")</f>
        <v>Conta Corrente Banco Azul</v>
      </c>
      <c r="F57" s="36">
        <f>IF($I57=0,"",INDEX(L_VParc,$I57))</f>
        <v>81.94</v>
      </c>
      <c r="G57" s="13" t="str">
        <f>IF($I57=0,"",INDEX(L_Status,$I57)&amp;"")</f>
        <v>Pago</v>
      </c>
      <c r="H57" s="13" t="str">
        <f>IF($I57=0,"",IF(INDEX(L_FIni,$I57)&gt;0,"Na fatura do cartão",IF(G57="Pago","✔ Pago",IF(B57&lt;Cfg_Hoje,"⚠ Atrasado",IF(B57-Cfg_Hoje&lt;=7,"Vence em "&amp;(B57-Cfg_Hoje)&amp;" dia(s)","No prazo")))))</f>
        <v>✔ Pago</v>
      </c>
      <c r="I57" s="40">
        <f>IFERROR(MATCH(20,L_CalOrdem,0),0)</f>
        <v>546</v>
      </c>
    </row>
    <row r="58">
      <c r="B58" s="93">
        <f>IF($I58=0,"",DATE(Sel_Ano,Sel_Mes,INDEX(L_Dia,$I58)))</f>
        <v>46283.0</v>
      </c>
      <c r="C58" s="14" t="str">
        <f>IF($I58=0,"",INDEX(L_Desc,$I58))</f>
        <v>Cinema</v>
      </c>
      <c r="D58" s="14" t="str">
        <f>IF($I58=0,"",INDEX(L_Cat,$I58)&amp;"")</f>
        <v>Lazer</v>
      </c>
      <c r="E58" s="14" t="str">
        <f>IF($I58=0,"",INDEX(L_Conta,$I58)&amp;"")</f>
        <v>Cartão Roxinho</v>
      </c>
      <c r="F58" s="36">
        <f>IF($I58=0,"",INDEX(L_VParc,$I58))</f>
        <v>154.74</v>
      </c>
      <c r="G58" s="13" t="str">
        <f>IF($I58=0,"",INDEX(L_Status,$I58)&amp;"")</f>
        <v>Pago</v>
      </c>
      <c r="H58" s="13" t="str">
        <f>IF($I58=0,"",IF(INDEX(L_FIni,$I58)&gt;0,"Na fatura do cartão",IF(G58="Pago","✔ Pago",IF(B58&lt;Cfg_Hoje,"⚠ Atrasado",IF(B58-Cfg_Hoje&lt;=7,"Vence em "&amp;(B58-Cfg_Hoje)&amp;" dia(s)","No prazo")))))</f>
        <v>Na fatura do cartão</v>
      </c>
      <c r="I58" s="40">
        <f>IFERROR(MATCH(21,L_CalOrdem,0),0)</f>
        <v>548</v>
      </c>
    </row>
    <row r="59">
      <c r="B59" s="93">
        <f>IF($I59=0,"",DATE(Sel_Ano,Sel_Mes,INDEX(L_Dia,$I59)))</f>
        <v>46283.0</v>
      </c>
      <c r="C59" s="14" t="str">
        <f>IF($I59=0,"",INDEX(L_Desc,$I59))</f>
        <v>Corrida de aplicativo</v>
      </c>
      <c r="D59" s="14" t="str">
        <f>IF($I59=0,"",INDEX(L_Cat,$I59)&amp;"")</f>
        <v>Transporte</v>
      </c>
      <c r="E59" s="14" t="str">
        <f>IF($I59=0,"",INDEX(L_Conta,$I59)&amp;"")</f>
        <v>Conta Corrente Banco Azul</v>
      </c>
      <c r="F59" s="36">
        <f>IF($I59=0,"",INDEX(L_VParc,$I59))</f>
        <v>38.35</v>
      </c>
      <c r="G59" s="13" t="str">
        <f>IF($I59=0,"",INDEX(L_Status,$I59)&amp;"")</f>
        <v>Pago</v>
      </c>
      <c r="H59" s="13" t="str">
        <f>IF($I59=0,"",IF(INDEX(L_FIni,$I59)&gt;0,"Na fatura do cartão",IF(G59="Pago","✔ Pago",IF(B59&lt;Cfg_Hoje,"⚠ Atrasado",IF(B59-Cfg_Hoje&lt;=7,"Vence em "&amp;(B59-Cfg_Hoje)&amp;" dia(s)","No prazo")))))</f>
        <v>✔ Pago</v>
      </c>
      <c r="I59" s="40">
        <f>IFERROR(MATCH(22,L_CalOrdem,0),0)</f>
        <v>549</v>
      </c>
    </row>
    <row r="60">
      <c r="B60" s="93">
        <f>IF($I60=0,"",DATE(Sel_Ano,Sel_Mes,INDEX(L_Dia,$I60)))</f>
        <v>46283.0</v>
      </c>
      <c r="C60" s="14" t="str">
        <f>IF($I60=0,"",INDEX(L_Desc,$I60))</f>
        <v>Hospedagem viagem de fim de semana</v>
      </c>
      <c r="D60" s="14" t="str">
        <f>IF($I60=0,"",INDEX(L_Cat,$I60)&amp;"")</f>
        <v>Lazer</v>
      </c>
      <c r="E60" s="14" t="str">
        <f>IF($I60=0,"",INDEX(L_Conta,$I60)&amp;"")</f>
        <v>Cartão Azul Gold</v>
      </c>
      <c r="F60" s="36">
        <f>IF($I60=0,"",INDEX(L_VParc,$I60))</f>
        <v>950</v>
      </c>
      <c r="G60" s="13" t="str">
        <f>IF($I60=0,"",INDEX(L_Status,$I60)&amp;"")</f>
        <v>Pago</v>
      </c>
      <c r="H60" s="13" t="str">
        <f>IF($I60=0,"",IF(INDEX(L_FIni,$I60)&gt;0,"Na fatura do cartão",IF(G60="Pago","✔ Pago",IF(B60&lt;Cfg_Hoje,"⚠ Atrasado",IF(B60-Cfg_Hoje&lt;=7,"Vence em "&amp;(B60-Cfg_Hoje)&amp;" dia(s)","No prazo")))))</f>
        <v>Na fatura do cartão</v>
      </c>
      <c r="I60" s="40">
        <f>IFERROR(MATCH(23,L_CalOrdem,0),0)</f>
        <v>550</v>
      </c>
    </row>
    <row r="61">
      <c r="B61" s="93">
        <f>IF($I61=0,"",DATE(Sel_Ano,Sel_Mes,INDEX(L_Dia,$I61)))</f>
        <v>46283.0</v>
      </c>
      <c r="C61" s="14" t="str">
        <f>IF($I61=0,"",INDEX(L_Desc,$I61))</f>
        <v>Restaurante</v>
      </c>
      <c r="D61" s="14" t="str">
        <f>IF($I61=0,"",INDEX(L_Cat,$I61)&amp;"")</f>
        <v>Alimentação</v>
      </c>
      <c r="E61" s="14" t="str">
        <f>IF($I61=0,"",INDEX(L_Conta,$I61)&amp;"")</f>
        <v>Cartão Azul Gold</v>
      </c>
      <c r="F61" s="36">
        <f>IF($I61=0,"",INDEX(L_VParc,$I61))</f>
        <v>84.14</v>
      </c>
      <c r="G61" s="13" t="str">
        <f>IF($I61=0,"",INDEX(L_Status,$I61)&amp;"")</f>
        <v>Pago</v>
      </c>
      <c r="H61" s="13" t="str">
        <f>IF($I61=0,"",IF(INDEX(L_FIni,$I61)&gt;0,"Na fatura do cartão",IF(G61="Pago","✔ Pago",IF(B61&lt;Cfg_Hoje,"⚠ Atrasado",IF(B61-Cfg_Hoje&lt;=7,"Vence em "&amp;(B61-Cfg_Hoje)&amp;" dia(s)","No prazo")))))</f>
        <v>Na fatura do cartão</v>
      </c>
      <c r="I61" s="40">
        <f>IFERROR(MATCH(24,L_CalOrdem,0),0)</f>
        <v>551</v>
      </c>
    </row>
    <row r="62">
      <c r="B62" s="93">
        <f>IF($I62=0,"",DATE(Sel_Ano,Sel_Mes,INDEX(L_Dia,$I62)))</f>
        <v>46284.0</v>
      </c>
      <c r="C62" s="14" t="str">
        <f>IF($I62=0,"",INDEX(L_Desc,$I62))</f>
        <v>Supermercado</v>
      </c>
      <c r="D62" s="14" t="str">
        <f>IF($I62=0,"",INDEX(L_Cat,$I62)&amp;"")</f>
        <v>Alimentação</v>
      </c>
      <c r="E62" s="14" t="str">
        <f>IF($I62=0,"",INDEX(L_Conta,$I62)&amp;"")</f>
        <v>Cartão Azul Gold</v>
      </c>
      <c r="F62" s="36">
        <f>IF($I62=0,"",INDEX(L_VParc,$I62))</f>
        <v>479.93</v>
      </c>
      <c r="G62" s="13" t="str">
        <f>IF($I62=0,"",INDEX(L_Status,$I62)&amp;"")</f>
        <v>Pago</v>
      </c>
      <c r="H62" s="13" t="str">
        <f>IF($I62=0,"",IF(INDEX(L_FIni,$I62)&gt;0,"Na fatura do cartão",IF(G62="Pago","✔ Pago",IF(B62&lt;Cfg_Hoje,"⚠ Atrasado",IF(B62-Cfg_Hoje&lt;=7,"Vence em "&amp;(B62-Cfg_Hoje)&amp;" dia(s)","No prazo")))))</f>
        <v>Na fatura do cartão</v>
      </c>
      <c r="I62" s="40">
        <f>IFERROR(MATCH(25,L_CalOrdem,0),0)</f>
        <v>552</v>
      </c>
    </row>
    <row r="63">
      <c r="B63" s="93">
        <f>IF($I63=0,"",DATE(Sel_Ano,Sel_Mes,INDEX(L_Dia,$I63)))</f>
        <v>46285.0</v>
      </c>
      <c r="C63" s="14" t="str">
        <f>IF($I63=0,"",INDEX(L_Desc,$I63))</f>
        <v>Passagens aéreas viagem (4x)</v>
      </c>
      <c r="D63" s="14" t="str">
        <f>IF($I63=0,"",INDEX(L_Cat,$I63)&amp;"")</f>
        <v>Lazer</v>
      </c>
      <c r="E63" s="14" t="str">
        <f>IF($I63=0,"",INDEX(L_Conta,$I63)&amp;"")</f>
        <v>Cartão Roxinho</v>
      </c>
      <c r="F63" s="36">
        <f>IF($I63=0,"",INDEX(L_VParc,$I63))</f>
        <v>450</v>
      </c>
      <c r="G63" s="13" t="str">
        <f>IF($I63=0,"",INDEX(L_Status,$I63)&amp;"")</f>
        <v>Pendente</v>
      </c>
      <c r="H63" s="13" t="str">
        <f>IF($I63=0,"",IF(INDEX(L_FIni,$I63)&gt;0,"Na fatura do cartão",IF(G63="Pago","✔ Pago",IF(B63&lt;Cfg_Hoje,"⚠ Atrasado",IF(B63-Cfg_Hoje&lt;=7,"Vence em "&amp;(B63-Cfg_Hoje)&amp;" dia(s)","No prazo")))))</f>
        <v>Na fatura do cartão</v>
      </c>
      <c r="I63" s="40">
        <f>IFERROR(MATCH(26,L_CalOrdem,0),0)</f>
        <v>511</v>
      </c>
    </row>
    <row r="64">
      <c r="B64" s="93">
        <f>IF($I64=0,"",DATE(Sel_Ano,Sel_Mes,INDEX(L_Dia,$I64)))</f>
        <v>46285.0</v>
      </c>
      <c r="C64" s="14" t="str">
        <f>IF($I64=0,"",INDEX(L_Desc,$I64))</f>
        <v>Internet fibra</v>
      </c>
      <c r="D64" s="14" t="str">
        <f>IF($I64=0,"",INDEX(L_Cat,$I64)&amp;"")</f>
        <v>Moradia</v>
      </c>
      <c r="E64" s="14" t="str">
        <f>IF($I64=0,"",INDEX(L_Conta,$I64)&amp;"")</f>
        <v>Conta Corrente Banco Azul</v>
      </c>
      <c r="F64" s="36">
        <f>IF($I64=0,"",INDEX(L_VParc,$I64))</f>
        <v>129.9</v>
      </c>
      <c r="G64" s="13" t="str">
        <f>IF($I64=0,"",INDEX(L_Status,$I64)&amp;"")</f>
        <v>Pago</v>
      </c>
      <c r="H64" s="13" t="str">
        <f>IF($I64=0,"",IF(INDEX(L_FIni,$I64)&gt;0,"Na fatura do cartão",IF(G64="Pago","✔ Pago",IF(B64&lt;Cfg_Hoje,"⚠ Atrasado",IF(B64-Cfg_Hoje&lt;=7,"Vence em "&amp;(B64-Cfg_Hoje)&amp;" dia(s)","No prazo")))))</f>
        <v>✔ Pago</v>
      </c>
      <c r="I64" s="40">
        <f>IFERROR(MATCH(27,L_CalOrdem,0),0)</f>
        <v>553</v>
      </c>
    </row>
    <row r="65">
      <c r="B65" s="93">
        <f>IF($I65=0,"",DATE(Sel_Ano,Sel_Mes,INDEX(L_Dia,$I65)))</f>
        <v>46285.0</v>
      </c>
      <c r="C65" s="14" t="str">
        <f>IF($I65=0,"",INDEX(L_Desc,$I65))</f>
        <v>Parcela financiamento do carro</v>
      </c>
      <c r="D65" s="14" t="str">
        <f>IF($I65=0,"",INDEX(L_Cat,$I65)&amp;"")</f>
        <v>Dívidas e Financiamentos</v>
      </c>
      <c r="E65" s="14" t="str">
        <f>IF($I65=0,"",INDEX(L_Conta,$I65)&amp;"")</f>
        <v>Conta Corrente Banco Azul</v>
      </c>
      <c r="F65" s="36">
        <f>IF($I65=0,"",INDEX(L_VParc,$I65))</f>
        <v>1150</v>
      </c>
      <c r="G65" s="13" t="str">
        <f>IF($I65=0,"",INDEX(L_Status,$I65)&amp;"")</f>
        <v>Pago</v>
      </c>
      <c r="H65" s="13" t="str">
        <f>IF($I65=0,"",IF(INDEX(L_FIni,$I65)&gt;0,"Na fatura do cartão",IF(G65="Pago","✔ Pago",IF(B65&lt;Cfg_Hoje,"⚠ Atrasado",IF(B65-Cfg_Hoje&lt;=7,"Vence em "&amp;(B65-Cfg_Hoje)&amp;" dia(s)","No prazo")))))</f>
        <v>✔ Pago</v>
      </c>
      <c r="I65" s="40">
        <f>IFERROR(MATCH(28,L_CalOrdem,0),0)</f>
        <v>554</v>
      </c>
    </row>
    <row r="66">
      <c r="B66" s="93">
        <f>IF($I66=0,"",DATE(Sel_Ano,Sel_Mes,INDEX(L_Dia,$I66)))</f>
        <v>46285.0</v>
      </c>
      <c r="C66" s="14" t="str">
        <f>IF($I66=0,"",INDEX(L_Desc,$I66))</f>
        <v>Restaurante</v>
      </c>
      <c r="D66" s="14" t="str">
        <f>IF($I66=0,"",INDEX(L_Cat,$I66)&amp;"")</f>
        <v>Alimentação</v>
      </c>
      <c r="E66" s="14" t="str">
        <f>IF($I66=0,"",INDEX(L_Conta,$I66)&amp;"")</f>
        <v>Cartão Azul Gold</v>
      </c>
      <c r="F66" s="36">
        <f>IF($I66=0,"",INDEX(L_VParc,$I66))</f>
        <v>56.86</v>
      </c>
      <c r="G66" s="13" t="str">
        <f>IF($I66=0,"",INDEX(L_Status,$I66)&amp;"")</f>
        <v>Pago</v>
      </c>
      <c r="H66" s="13" t="str">
        <f>IF($I66=0,"",IF(INDEX(L_FIni,$I66)&gt;0,"Na fatura do cartão",IF(G66="Pago","✔ Pago",IF(B66&lt;Cfg_Hoje,"⚠ Atrasado",IF(B66-Cfg_Hoje&lt;=7,"Vence em "&amp;(B66-Cfg_Hoje)&amp;" dia(s)","No prazo")))))</f>
        <v>Na fatura do cartão</v>
      </c>
      <c r="I66" s="40">
        <f>IFERROR(MATCH(29,L_CalOrdem,0),0)</f>
        <v>555</v>
      </c>
    </row>
    <row r="67">
      <c r="B67" s="93">
        <f>IF($I67=0,"",DATE(Sel_Ano,Sel_Mes,INDEX(L_Dia,$I67)))</f>
        <v>46287.0</v>
      </c>
      <c r="C67" s="14" t="str">
        <f>IF($I67=0,"",INDEX(L_Desc,$I67))</f>
        <v>Farmácia</v>
      </c>
      <c r="D67" s="14" t="str">
        <f>IF($I67=0,"",INDEX(L_Cat,$I67)&amp;"")</f>
        <v>Saúde</v>
      </c>
      <c r="E67" s="14" t="str">
        <f>IF($I67=0,"",INDEX(L_Conta,$I67)&amp;"")</f>
        <v>Cartão Azul Gold</v>
      </c>
      <c r="F67" s="36">
        <f>IF($I67=0,"",INDEX(L_VParc,$I67))</f>
        <v>109.25</v>
      </c>
      <c r="G67" s="13" t="str">
        <f>IF($I67=0,"",INDEX(L_Status,$I67)&amp;"")</f>
        <v>Pago</v>
      </c>
      <c r="H67" s="13" t="str">
        <f>IF($I67=0,"",IF(INDEX(L_FIni,$I67)&gt;0,"Na fatura do cartão",IF(G67="Pago","✔ Pago",IF(B67&lt;Cfg_Hoje,"⚠ Atrasado",IF(B67-Cfg_Hoje&lt;=7,"Vence em "&amp;(B67-Cfg_Hoje)&amp;" dia(s)","No prazo")))))</f>
        <v>Na fatura do cartão</v>
      </c>
      <c r="I67" s="40">
        <f>IFERROR(MATCH(30,L_CalOrdem,0),0)</f>
        <v>556</v>
      </c>
    </row>
    <row r="68">
      <c r="B68" s="93">
        <f>IF($I68=0,"",DATE(Sel_Ano,Sel_Mes,INDEX(L_Dia,$I68)))</f>
        <v>46287.0</v>
      </c>
      <c r="C68" s="14" t="str">
        <f>IF($I68=0,"",INDEX(L_Desc,$I68))</f>
        <v>Parcela empréstimo pessoal</v>
      </c>
      <c r="D68" s="14" t="str">
        <f>IF($I68=0,"",INDEX(L_Cat,$I68)&amp;"")</f>
        <v>Dívidas e Financiamentos</v>
      </c>
      <c r="E68" s="14" t="str">
        <f>IF($I68=0,"",INDEX(L_Conta,$I68)&amp;"")</f>
        <v>Conta Corrente Banco Azul</v>
      </c>
      <c r="F68" s="36">
        <f>IF($I68=0,"",INDEX(L_VParc,$I68))</f>
        <v>580</v>
      </c>
      <c r="G68" s="13" t="str">
        <f>IF($I68=0,"",INDEX(L_Status,$I68)&amp;"")</f>
        <v>Pago</v>
      </c>
      <c r="H68" s="13" t="str">
        <f>IF($I68=0,"",IF(INDEX(L_FIni,$I68)&gt;0,"Na fatura do cartão",IF(G68="Pago","✔ Pago",IF(B68&lt;Cfg_Hoje,"⚠ Atrasado",IF(B68-Cfg_Hoje&lt;=7,"Vence em "&amp;(B68-Cfg_Hoje)&amp;" dia(s)","No prazo")))))</f>
        <v>✔ Pago</v>
      </c>
      <c r="I68" s="40">
        <f>IFERROR(MATCH(31,L_CalOrdem,0),0)</f>
        <v>557</v>
      </c>
    </row>
    <row r="69">
      <c r="B69" s="93">
        <f>IF($I69=0,"",DATE(Sel_Ano,Sel_Mes,INDEX(L_Dia,$I69)))</f>
        <v>46288.0</v>
      </c>
      <c r="C69" s="14" t="str">
        <f>IF($I69=0,"",INDEX(L_Desc,$I69))</f>
        <v>Corrida de aplicativo</v>
      </c>
      <c r="D69" s="14" t="str">
        <f>IF($I69=0,"",INDEX(L_Cat,$I69)&amp;"")</f>
        <v>Transporte</v>
      </c>
      <c r="E69" s="14" t="str">
        <f>IF($I69=0,"",INDEX(L_Conta,$I69)&amp;"")</f>
        <v>Conta Corrente Banco Azul</v>
      </c>
      <c r="F69" s="36">
        <f>IF($I69=0,"",INDEX(L_VParc,$I69))</f>
        <v>32.66</v>
      </c>
      <c r="G69" s="13" t="str">
        <f>IF($I69=0,"",INDEX(L_Status,$I69)&amp;"")</f>
        <v>Pago</v>
      </c>
      <c r="H69" s="13" t="str">
        <f>IF($I69=0,"",IF(INDEX(L_FIni,$I69)&gt;0,"Na fatura do cartão",IF(G69="Pago","✔ Pago",IF(B69&lt;Cfg_Hoje,"⚠ Atrasado",IF(B69-Cfg_Hoje&lt;=7,"Vence em "&amp;(B69-Cfg_Hoje)&amp;" dia(s)","No prazo")))))</f>
        <v>✔ Pago</v>
      </c>
      <c r="I69" s="40">
        <f>IFERROR(MATCH(32,L_CalOrdem,0),0)</f>
        <v>558</v>
      </c>
    </row>
    <row r="70">
      <c r="B70" s="93">
        <f>IF($I70=0,"",DATE(Sel_Ano,Sel_Mes,INDEX(L_Dia,$I70)))</f>
        <v>46290.0</v>
      </c>
      <c r="C70" s="14" t="str">
        <f>IF($I70=0,"",INDEX(L_Desc,$I70))</f>
        <v>Consulta médica</v>
      </c>
      <c r="D70" s="14" t="str">
        <f>IF($I70=0,"",INDEX(L_Cat,$I70)&amp;"")</f>
        <v>Saúde</v>
      </c>
      <c r="E70" s="14" t="str">
        <f>IF($I70=0,"",INDEX(L_Conta,$I70)&amp;"")</f>
        <v>Conta Corrente Banco Azul</v>
      </c>
      <c r="F70" s="36">
        <f>IF($I70=0,"",INDEX(L_VParc,$I70))</f>
        <v>280</v>
      </c>
      <c r="G70" s="13" t="str">
        <f>IF($I70=0,"",INDEX(L_Status,$I70)&amp;"")</f>
        <v>Pago</v>
      </c>
      <c r="H70" s="13" t="str">
        <f>IF($I70=0,"",IF(INDEX(L_FIni,$I70)&gt;0,"Na fatura do cartão",IF(G70="Pago","✔ Pago",IF(B70&lt;Cfg_Hoje,"⚠ Atrasado",IF(B70-Cfg_Hoje&lt;=7,"Vence em "&amp;(B70-Cfg_Hoje)&amp;" dia(s)","No prazo")))))</f>
        <v>✔ Pago</v>
      </c>
      <c r="I70" s="40">
        <f>IFERROR(MATCH(33,L_CalOrdem,0),0)</f>
        <v>559</v>
      </c>
    </row>
    <row r="71">
      <c r="B71" s="93">
        <f>IF($I71=0,"",DATE(Sel_Ano,Sel_Mes,INDEX(L_Dia,$I71)))</f>
        <v>46290.0</v>
      </c>
      <c r="C71" s="14" t="str">
        <f>IF($I71=0,"",INDEX(L_Desc,$I71))</f>
        <v>Parcela renegociação da fatura</v>
      </c>
      <c r="D71" s="14" t="str">
        <f>IF($I71=0,"",INDEX(L_Cat,$I71)&amp;"")</f>
        <v>Dívidas e Financiamentos</v>
      </c>
      <c r="E71" s="14" t="str">
        <f>IF($I71=0,"",INDEX(L_Conta,$I71)&amp;"")</f>
        <v>Conta Corrente Banco Azul</v>
      </c>
      <c r="F71" s="36">
        <f>IF($I71=0,"",INDEX(L_VParc,$I71))</f>
        <v>460</v>
      </c>
      <c r="G71" s="13" t="str">
        <f>IF($I71=0,"",INDEX(L_Status,$I71)&amp;"")</f>
        <v>Pago</v>
      </c>
      <c r="H71" s="13" t="str">
        <f>IF($I71=0,"",IF(INDEX(L_FIni,$I71)&gt;0,"Na fatura do cartão",IF(G71="Pago","✔ Pago",IF(B71&lt;Cfg_Hoje,"⚠ Atrasado",IF(B71-Cfg_Hoje&lt;=7,"Vence em "&amp;(B71-Cfg_Hoje)&amp;" dia(s)","No prazo")))))</f>
        <v>✔ Pago</v>
      </c>
      <c r="I71" s="40">
        <f>IFERROR(MATCH(34,L_CalOrdem,0),0)</f>
        <v>560</v>
      </c>
    </row>
    <row r="72">
      <c r="B72" s="93">
        <f>IF($I72=0,"",DATE(Sel_Ano,Sel_Mes,INDEX(L_Dia,$I72)))</f>
        <v>46291.0</v>
      </c>
      <c r="C72" s="14" t="str">
        <f>IF($I72=0,"",INDEX(L_Desc,$I72))</f>
        <v>Combustível</v>
      </c>
      <c r="D72" s="14" t="str">
        <f>IF($I72=0,"",INDEX(L_Cat,$I72)&amp;"")</f>
        <v>Transporte</v>
      </c>
      <c r="E72" s="14" t="str">
        <f>IF($I72=0,"",INDEX(L_Conta,$I72)&amp;"")</f>
        <v>Cartão Azul Gold</v>
      </c>
      <c r="F72" s="36">
        <f>IF($I72=0,"",INDEX(L_VParc,$I72))</f>
        <v>200.43</v>
      </c>
      <c r="G72" s="13" t="str">
        <f>IF($I72=0,"",INDEX(L_Status,$I72)&amp;"")</f>
        <v>Pago</v>
      </c>
      <c r="H72" s="13" t="str">
        <f>IF($I72=0,"",IF(INDEX(L_FIni,$I72)&gt;0,"Na fatura do cartão",IF(G72="Pago","✔ Pago",IF(B72&lt;Cfg_Hoje,"⚠ Atrasado",IF(B72-Cfg_Hoje&lt;=7,"Vence em "&amp;(B72-Cfg_Hoje)&amp;" dia(s)","No prazo")))))</f>
        <v>Na fatura do cartão</v>
      </c>
      <c r="I72" s="40">
        <f>IFERROR(MATCH(35,L_CalOrdem,0),0)</f>
        <v>561</v>
      </c>
    </row>
    <row r="73">
      <c r="B73" s="93">
        <f>IF($I73=0,"",DATE(Sel_Ano,Sel_Mes,INDEX(L_Dia,$I73)))</f>
        <v>46291.0</v>
      </c>
      <c r="C73" s="14" t="str">
        <f>IF($I73=0,"",INDEX(L_Desc,$I73))</f>
        <v>Supermercado</v>
      </c>
      <c r="D73" s="14" t="str">
        <f>IF($I73=0,"",INDEX(L_Cat,$I73)&amp;"")</f>
        <v>Alimentação</v>
      </c>
      <c r="E73" s="14" t="str">
        <f>IF($I73=0,"",INDEX(L_Conta,$I73)&amp;"")</f>
        <v>Cartão Azul Gold</v>
      </c>
      <c r="F73" s="36">
        <f>IF($I73=0,"",INDEX(L_VParc,$I73))</f>
        <v>330.52</v>
      </c>
      <c r="G73" s="13" t="str">
        <f>IF($I73=0,"",INDEX(L_Status,$I73)&amp;"")</f>
        <v>Pago</v>
      </c>
      <c r="H73" s="13" t="str">
        <f>IF($I73=0,"",IF(INDEX(L_FIni,$I73)&gt;0,"Na fatura do cartão",IF(G73="Pago","✔ Pago",IF(B73&lt;Cfg_Hoje,"⚠ Atrasado",IF(B73-Cfg_Hoje&lt;=7,"Vence em "&amp;(B73-Cfg_Hoje)&amp;" dia(s)","No prazo")))))</f>
        <v>Na fatura do cartão</v>
      </c>
      <c r="I73" s="40">
        <f>IFERROR(MATCH(36,L_CalOrdem,0),0)</f>
        <v>562</v>
      </c>
    </row>
    <row r="74">
      <c r="B74" s="93">
        <f>IF($I74=0,"",DATE(Sel_Ano,Sel_Mes,INDEX(L_Dia,$I74)))</f>
        <v>46293.0</v>
      </c>
      <c r="C74" s="14" t="str">
        <f>IF($I74=0,"",INDEX(L_Desc,$I74))</f>
        <v>Corrida de aplicativo</v>
      </c>
      <c r="D74" s="14" t="str">
        <f>IF($I74=0,"",INDEX(L_Cat,$I74)&amp;"")</f>
        <v>Transporte</v>
      </c>
      <c r="E74" s="14" t="str">
        <f>IF($I74=0,"",INDEX(L_Conta,$I74)&amp;"")</f>
        <v>Conta Corrente Banco Azul</v>
      </c>
      <c r="F74" s="36">
        <f>IF($I74=0,"",INDEX(L_VParc,$I74))</f>
        <v>27.77</v>
      </c>
      <c r="G74" s="13" t="str">
        <f>IF($I74=0,"",INDEX(L_Status,$I74)&amp;"")</f>
        <v>Pago</v>
      </c>
      <c r="H74" s="13" t="str">
        <f>IF($I74=0,"",IF(INDEX(L_FIni,$I74)&gt;0,"Na fatura do cartão",IF(G74="Pago","✔ Pago",IF(B74&lt;Cfg_Hoje,"⚠ Atrasado",IF(B74-Cfg_Hoje&lt;=7,"Vence em "&amp;(B74-Cfg_Hoje)&amp;" dia(s)","No prazo")))))</f>
        <v>✔ Pago</v>
      </c>
      <c r="I74" s="40">
        <f>IFERROR(MATCH(37,L_CalOrdem,0),0)</f>
        <v>563</v>
      </c>
    </row>
    <row r="75">
      <c r="B75" s="93" t="str">
        <f>IF($I75=0,"",DATE(Sel_Ano,Sel_Mes,INDEX(L_Dia,$I75)))</f>
        <v/>
      </c>
      <c r="C75" s="14" t="str">
        <f>IF($I75=0,"",INDEX(L_Desc,$I75))</f>
        <v/>
      </c>
      <c r="D75" s="14" t="str">
        <f>IF($I75=0,"",INDEX(L_Cat,$I75)&amp;"")</f>
        <v/>
      </c>
      <c r="E75" s="14" t="str">
        <f>IF($I75=0,"",INDEX(L_Conta,$I75)&amp;"")</f>
        <v/>
      </c>
      <c r="F75" s="36" t="str">
        <f>IF($I75=0,"",INDEX(L_VParc,$I75))</f>
        <v/>
      </c>
      <c r="G75" s="13" t="str">
        <f>IF($I75=0,"",INDEX(L_Status,$I75)&amp;"")</f>
        <v/>
      </c>
      <c r="H75" s="13" t="str">
        <f>IF($I75=0,"",IF(INDEX(L_FIni,$I75)&gt;0,"Na fatura do cartão",IF(G75="Pago","✔ Pago",IF(B75&lt;Cfg_Hoje,"⚠ Atrasado",IF(B75-Cfg_Hoje&lt;=7,"Vence em "&amp;(B75-Cfg_Hoje)&amp;" dia(s)","No prazo")))))</f>
        <v/>
      </c>
      <c r="I75" s="40">
        <f>IFERROR(MATCH(38,L_CalOrdem,0),0)</f>
        <v>0</v>
      </c>
    </row>
    <row r="76">
      <c r="B76" s="93" t="str">
        <f>IF($I76=0,"",DATE(Sel_Ano,Sel_Mes,INDEX(L_Dia,$I76)))</f>
        <v/>
      </c>
      <c r="C76" s="14" t="str">
        <f>IF($I76=0,"",INDEX(L_Desc,$I76))</f>
        <v/>
      </c>
      <c r="D76" s="14" t="str">
        <f>IF($I76=0,"",INDEX(L_Cat,$I76)&amp;"")</f>
        <v/>
      </c>
      <c r="E76" s="14" t="str">
        <f>IF($I76=0,"",INDEX(L_Conta,$I76)&amp;"")</f>
        <v/>
      </c>
      <c r="F76" s="36" t="str">
        <f>IF($I76=0,"",INDEX(L_VParc,$I76))</f>
        <v/>
      </c>
      <c r="G76" s="13" t="str">
        <f>IF($I76=0,"",INDEX(L_Status,$I76)&amp;"")</f>
        <v/>
      </c>
      <c r="H76" s="13" t="str">
        <f>IF($I76=0,"",IF(INDEX(L_FIni,$I76)&gt;0,"Na fatura do cartão",IF(G76="Pago","✔ Pago",IF(B76&lt;Cfg_Hoje,"⚠ Atrasado",IF(B76-Cfg_Hoje&lt;=7,"Vence em "&amp;(B76-Cfg_Hoje)&amp;" dia(s)","No prazo")))))</f>
        <v/>
      </c>
      <c r="I76" s="40">
        <f>IFERROR(MATCH(39,L_CalOrdem,0),0)</f>
        <v>0</v>
      </c>
    </row>
    <row r="77">
      <c r="B77" s="93" t="str">
        <f>IF($I77=0,"",DATE(Sel_Ano,Sel_Mes,INDEX(L_Dia,$I77)))</f>
        <v/>
      </c>
      <c r="C77" s="14" t="str">
        <f>IF($I77=0,"",INDEX(L_Desc,$I77))</f>
        <v/>
      </c>
      <c r="D77" s="14" t="str">
        <f>IF($I77=0,"",INDEX(L_Cat,$I77)&amp;"")</f>
        <v/>
      </c>
      <c r="E77" s="14" t="str">
        <f>IF($I77=0,"",INDEX(L_Conta,$I77)&amp;"")</f>
        <v/>
      </c>
      <c r="F77" s="36" t="str">
        <f>IF($I77=0,"",INDEX(L_VParc,$I77))</f>
        <v/>
      </c>
      <c r="G77" s="13" t="str">
        <f>IF($I77=0,"",INDEX(L_Status,$I77)&amp;"")</f>
        <v/>
      </c>
      <c r="H77" s="13" t="str">
        <f>IF($I77=0,"",IF(INDEX(L_FIni,$I77)&gt;0,"Na fatura do cartão",IF(G77="Pago","✔ Pago",IF(B77&lt;Cfg_Hoje,"⚠ Atrasado",IF(B77-Cfg_Hoje&lt;=7,"Vence em "&amp;(B77-Cfg_Hoje)&amp;" dia(s)","No prazo")))))</f>
        <v/>
      </c>
      <c r="I77" s="40">
        <f>IFERROR(MATCH(40,L_CalOrdem,0),0)</f>
        <v>0</v>
      </c>
    </row>
    <row r="78">
      <c r="B78" s="28" t="inlineStr">
        <is>
          <t>Mostra até 40 itens do mês (lançamentos de despesa e parcelas). Compras no cartão aparecem na fatura abaixo.</t>
        </is>
      </c>
    </row>
    <row r="83">
      <c r="B83" s="6" t="inlineStr">
        <is>
          <t>4. Faturas de cartão com vencimento no mês</t>
        </is>
      </c>
    </row>
    <row r="84">
      <c r="B84" s="7" t="inlineStr">
        <is>
          <t>Cartão</t>
        </is>
      </c>
      <c r="C84" s="7" t="inlineStr">
        <is>
          <t>Dia do vencimento</t>
        </is>
      </c>
      <c r="D84" s="7" t="inlineStr">
        <is>
          <t>Valor da fatura</t>
        </is>
      </c>
      <c r="E84" s="7" t="inlineStr">
        <is>
          <t>Situação</t>
        </is>
      </c>
      <c r="F84" s="7" t="inlineStr">
        <is>
          <t>A pagar</t>
        </is>
      </c>
      <c r="G84" s="7" t="inlineStr">
        <is>
          <t>Paga? (apoio)</t>
        </is>
      </c>
    </row>
    <row r="85">
      <c r="B85" s="14" t="str">
        <f>IF(INDEX(Cartoes_Nome,1)="","",INDEX(Cartoes_Nome,1))</f>
        <v>Cartão Roxinho</v>
      </c>
      <c r="C85" s="69">
        <f>IF(B85="","",MIN(INDEX(Cartoes_Venc,1),Sel_Dias))</f>
        <v>5</v>
      </c>
      <c r="D85" s="43">
        <f>IF(B85="",0,SUMIFS(L_VParc,L_Conta,B85,L_Tipo,"Despesa",L_FIni,"&lt;="&amp;((Sel_Idx-IF(INDEX(Cartoes_Venc,1)&gt;INDEX(Cartoes_Fech,1),0,1))),L_FFim,"&gt;="&amp;((Sel_Idx-IF(INDEX(Cartoes_Venc,1)&gt;INDEX(Cartoes_Fech,1),0,1)))))</f>
        <v>978.97</v>
      </c>
      <c r="E85" s="13" t="str">
        <f>IF(OR(B85="",D85=0),"",IF(G85=1,"✔ Paga",IF(DATE(Sel_Ano,Sel_Mes,C85)&lt;Cfg_Hoje,"⚠ Vencida",IF(DATE(Sel_Ano,Sel_Mes,C85)-Cfg_Hoje&lt;=7,"Vence em "&amp;(DATE(Sel_Ano,Sel_Mes,C85)-Cfg_Hoje)&amp;" dia(s)","No prazo"))))</f>
        <v>✔ Paga</v>
      </c>
      <c r="F85" s="43">
        <f>IF(G85=1,0,D85)</f>
        <v>0</v>
      </c>
      <c r="G85" s="113">
        <f>IF(OR(B85="",D85=0),0,IF(SUMIFS(L_VParc,L_Tipo,"Transferência",L_Status,"Pago",L_Desc,"*"&amp;B85&amp;"*",L_IIni,Sel_Idx)&lt;0,1,0))</f>
        <v>1</v>
      </c>
    </row>
    <row r="86">
      <c r="B86" s="14" t="str">
        <f>IF(INDEX(Cartoes_Nome,2)="","",INDEX(Cartoes_Nome,2))</f>
        <v>Cartão Azul Gold</v>
      </c>
      <c r="C86" s="69">
        <f>IF(B86="","",MIN(INDEX(Cartoes_Venc,2),Sel_Dias))</f>
        <v>17</v>
      </c>
      <c r="D86" s="43">
        <f>IF(B86="",0,SUMIFS(L_VParc,L_Conta,B86,L_Tipo,"Despesa",L_FIni,"&lt;="&amp;((Sel_Idx-IF(INDEX(Cartoes_Venc,2)&gt;INDEX(Cartoes_Fech,2),0,1))),L_FFim,"&gt;="&amp;((Sel_Idx-IF(INDEX(Cartoes_Venc,2)&gt;INDEX(Cartoes_Fech,2),0,1)))))</f>
        <v>2401.21</v>
      </c>
      <c r="E86" s="13" t="str">
        <f>IF(OR(B86="",D86=0),"",IF(G86=1,"✔ Paga",IF(DATE(Sel_Ano,Sel_Mes,C86)&lt;Cfg_Hoje,"⚠ Vencida",IF(DATE(Sel_Ano,Sel_Mes,C86)-Cfg_Hoje&lt;=7,"Vence em "&amp;(DATE(Sel_Ano,Sel_Mes,C86)-Cfg_Hoje)&amp;" dia(s)","No prazo"))))</f>
        <v>✔ Paga</v>
      </c>
      <c r="F86" s="43">
        <f>IF(G86=1,0,D86)</f>
        <v>0</v>
      </c>
      <c r="G86" s="113">
        <f>IF(OR(B86="",D86=0),0,IF(SUMIFS(L_VParc,L_Tipo,"Transferência",L_Status,"Pago",L_Desc,"*"&amp;B86&amp;"*",L_IIni,Sel_Idx)&lt;0,1,0))</f>
        <v>1</v>
      </c>
    </row>
    <row r="87">
      <c r="B87" s="14" t="str">
        <f>IF(INDEX(Cartoes_Nome,3)="","",INDEX(Cartoes_Nome,3))</f>
        <v/>
      </c>
      <c r="C87" s="69" t="str">
        <f>IF(B87="","",MIN(INDEX(Cartoes_Venc,3),Sel_Dias))</f>
        <v/>
      </c>
      <c r="D87" s="43">
        <f>IF(B87="",0,SUMIFS(L_VParc,L_Conta,B87,L_Tipo,"Despesa",L_FIni,"&lt;="&amp;((Sel_Idx-IF(INDEX(Cartoes_Venc,3)&gt;INDEX(Cartoes_Fech,3),0,1))),L_FFim,"&gt;="&amp;((Sel_Idx-IF(INDEX(Cartoes_Venc,3)&gt;INDEX(Cartoes_Fech,3),0,1)))))</f>
        <v>0</v>
      </c>
      <c r="E87" s="13" t="str">
        <f>IF(OR(B87="",D87=0),"",IF(G87=1,"✔ Paga",IF(DATE(Sel_Ano,Sel_Mes,C87)&lt;Cfg_Hoje,"⚠ Vencida",IF(DATE(Sel_Ano,Sel_Mes,C87)-Cfg_Hoje&lt;=7,"Vence em "&amp;(DATE(Sel_Ano,Sel_Mes,C87)-Cfg_Hoje)&amp;" dia(s)","No prazo"))))</f>
        <v/>
      </c>
      <c r="F87" s="43">
        <f>IF(G87=1,0,D87)</f>
        <v>0</v>
      </c>
      <c r="G87" s="113">
        <f>IF(OR(B87="",D87=0),0,IF(SUMIFS(L_VParc,L_Tipo,"Transferência",L_Status,"Pago",L_Desc,"*"&amp;B87&amp;"*",L_IIni,Sel_Idx)&lt;0,1,0))</f>
        <v>0</v>
      </c>
    </row>
    <row r="88">
      <c r="B88" s="14" t="str">
        <f>IF(INDEX(Cartoes_Nome,4)="","",INDEX(Cartoes_Nome,4))</f>
        <v/>
      </c>
      <c r="C88" s="69" t="str">
        <f>IF(B88="","",MIN(INDEX(Cartoes_Venc,4),Sel_Dias))</f>
        <v/>
      </c>
      <c r="D88" s="43">
        <f>IF(B88="",0,SUMIFS(L_VParc,L_Conta,B88,L_Tipo,"Despesa",L_FIni,"&lt;="&amp;((Sel_Idx-IF(INDEX(Cartoes_Venc,4)&gt;INDEX(Cartoes_Fech,4),0,1))),L_FFim,"&gt;="&amp;((Sel_Idx-IF(INDEX(Cartoes_Venc,4)&gt;INDEX(Cartoes_Fech,4),0,1)))))</f>
        <v>0</v>
      </c>
      <c r="E88" s="13" t="str">
        <f>IF(OR(B88="",D88=0),"",IF(G88=1,"✔ Paga",IF(DATE(Sel_Ano,Sel_Mes,C88)&lt;Cfg_Hoje,"⚠ Vencida",IF(DATE(Sel_Ano,Sel_Mes,C88)-Cfg_Hoje&lt;=7,"Vence em "&amp;(DATE(Sel_Ano,Sel_Mes,C88)-Cfg_Hoje)&amp;" dia(s)","No prazo"))))</f>
        <v/>
      </c>
      <c r="F88" s="43">
        <f>IF(G88=1,0,D88)</f>
        <v>0</v>
      </c>
      <c r="G88" s="113">
        <f>IF(OR(B88="",D88=0),0,IF(SUMIFS(L_VParc,L_Tipo,"Transferência",L_Status,"Pago",L_Desc,"*"&amp;B88&amp;"*",L_IIni,Sel_Idx)&lt;0,1,0))</f>
        <v>0</v>
      </c>
    </row>
    <row r="89">
      <c r="B89" s="14" t="str">
        <f>IF(INDEX(Cartoes_Nome,5)="","",INDEX(Cartoes_Nome,5))</f>
        <v/>
      </c>
      <c r="C89" s="69" t="str">
        <f>IF(B89="","",MIN(INDEX(Cartoes_Venc,5),Sel_Dias))</f>
        <v/>
      </c>
      <c r="D89" s="43">
        <f>IF(B89="",0,SUMIFS(L_VParc,L_Conta,B89,L_Tipo,"Despesa",L_FIni,"&lt;="&amp;((Sel_Idx-IF(INDEX(Cartoes_Venc,5)&gt;INDEX(Cartoes_Fech,5),0,1))),L_FFim,"&gt;="&amp;((Sel_Idx-IF(INDEX(Cartoes_Venc,5)&gt;INDEX(Cartoes_Fech,5),0,1)))))</f>
        <v>0</v>
      </c>
      <c r="E89" s="13" t="str">
        <f>IF(OR(B89="",D89=0),"",IF(G89=1,"✔ Paga",IF(DATE(Sel_Ano,Sel_Mes,C89)&lt;Cfg_Hoje,"⚠ Vencida",IF(DATE(Sel_Ano,Sel_Mes,C89)-Cfg_Hoje&lt;=7,"Vence em "&amp;(DATE(Sel_Ano,Sel_Mes,C89)-Cfg_Hoje)&amp;" dia(s)","No prazo"))))</f>
        <v/>
      </c>
      <c r="F89" s="43">
        <f>IF(G89=1,0,D89)</f>
        <v>0</v>
      </c>
      <c r="G89" s="113">
        <f>IF(OR(B89="",D89=0),0,IF(SUMIFS(L_VParc,L_Tipo,"Transferência",L_Status,"Pago",L_Desc,"*"&amp;B89&amp;"*",L_IIni,Sel_Idx)&lt;0,1,0))</f>
        <v>0</v>
      </c>
    </row>
    <row r="90">
      <c r="B90" s="14" t="str">
        <f>IF(INDEX(Cartoes_Nome,6)="","",INDEX(Cartoes_Nome,6))</f>
        <v/>
      </c>
      <c r="C90" s="69" t="str">
        <f>IF(B90="","",MIN(INDEX(Cartoes_Venc,6),Sel_Dias))</f>
        <v/>
      </c>
      <c r="D90" s="43">
        <f>IF(B90="",0,SUMIFS(L_VParc,L_Conta,B90,L_Tipo,"Despesa",L_FIni,"&lt;="&amp;((Sel_Idx-IF(INDEX(Cartoes_Venc,6)&gt;INDEX(Cartoes_Fech,6),0,1))),L_FFim,"&gt;="&amp;((Sel_Idx-IF(INDEX(Cartoes_Venc,6)&gt;INDEX(Cartoes_Fech,6),0,1)))))</f>
        <v>0</v>
      </c>
      <c r="E90" s="13" t="str">
        <f>IF(OR(B90="",D90=0),"",IF(G90=1,"✔ Paga",IF(DATE(Sel_Ano,Sel_Mes,C90)&lt;Cfg_Hoje,"⚠ Vencida",IF(DATE(Sel_Ano,Sel_Mes,C90)-Cfg_Hoje&lt;=7,"Vence em "&amp;(DATE(Sel_Ano,Sel_Mes,C90)-Cfg_Hoje)&amp;" dia(s)","No prazo"))))</f>
        <v/>
      </c>
      <c r="F90" s="43">
        <f>IF(G90=1,0,D90)</f>
        <v>0</v>
      </c>
      <c r="G90" s="113">
        <f>IF(OR(B90="",D90=0),0,IF(SUMIFS(L_VParc,L_Tipo,"Transferência",L_Status,"Pago",L_Desc,"*"&amp;B90&amp;"*",L_IIni,Sel_Idx)&lt;0,1,0))</f>
        <v>0</v>
      </c>
    </row>
    <row r="91">
      <c r="B91" s="14" t="str">
        <f>IF(INDEX(Cartoes_Nome,7)="","",INDEX(Cartoes_Nome,7))</f>
        <v/>
      </c>
      <c r="C91" s="69" t="str">
        <f>IF(B91="","",MIN(INDEX(Cartoes_Venc,7),Sel_Dias))</f>
        <v/>
      </c>
      <c r="D91" s="43">
        <f>IF(B91="",0,SUMIFS(L_VParc,L_Conta,B91,L_Tipo,"Despesa",L_FIni,"&lt;="&amp;((Sel_Idx-IF(INDEX(Cartoes_Venc,7)&gt;INDEX(Cartoes_Fech,7),0,1))),L_FFim,"&gt;="&amp;((Sel_Idx-IF(INDEX(Cartoes_Venc,7)&gt;INDEX(Cartoes_Fech,7),0,1)))))</f>
        <v>0</v>
      </c>
      <c r="E91" s="13" t="str">
        <f>IF(OR(B91="",D91=0),"",IF(G91=1,"✔ Paga",IF(DATE(Sel_Ano,Sel_Mes,C91)&lt;Cfg_Hoje,"⚠ Vencida",IF(DATE(Sel_Ano,Sel_Mes,C91)-Cfg_Hoje&lt;=7,"Vence em "&amp;(DATE(Sel_Ano,Sel_Mes,C91)-Cfg_Hoje)&amp;" dia(s)","No prazo"))))</f>
        <v/>
      </c>
      <c r="F91" s="43">
        <f>IF(G91=1,0,D91)</f>
        <v>0</v>
      </c>
      <c r="G91" s="113">
        <f>IF(OR(B91="",D91=0),0,IF(SUMIFS(L_VParc,L_Tipo,"Transferência",L_Status,"Pago",L_Desc,"*"&amp;B91&amp;"*",L_IIni,Sel_Idx)&lt;0,1,0))</f>
        <v>0</v>
      </c>
    </row>
    <row r="92">
      <c r="B92" s="14" t="str">
        <f>IF(INDEX(Cartoes_Nome,8)="","",INDEX(Cartoes_Nome,8))</f>
        <v/>
      </c>
      <c r="C92" s="69" t="str">
        <f>IF(B92="","",MIN(INDEX(Cartoes_Venc,8),Sel_Dias))</f>
        <v/>
      </c>
      <c r="D92" s="43">
        <f>IF(B92="",0,SUMIFS(L_VParc,L_Conta,B92,L_Tipo,"Despesa",L_FIni,"&lt;="&amp;((Sel_Idx-IF(INDEX(Cartoes_Venc,8)&gt;INDEX(Cartoes_Fech,8),0,1))),L_FFim,"&gt;="&amp;((Sel_Idx-IF(INDEX(Cartoes_Venc,8)&gt;INDEX(Cartoes_Fech,8),0,1)))))</f>
        <v>0</v>
      </c>
      <c r="E92" s="13" t="str">
        <f>IF(OR(B92="",D92=0),"",IF(G92=1,"✔ Paga",IF(DATE(Sel_Ano,Sel_Mes,C92)&lt;Cfg_Hoje,"⚠ Vencida",IF(DATE(Sel_Ano,Sel_Mes,C92)-Cfg_Hoje&lt;=7,"Vence em "&amp;(DATE(Sel_Ano,Sel_Mes,C92)-Cfg_Hoje)&amp;" dia(s)","No prazo"))))</f>
        <v/>
      </c>
      <c r="F92" s="43">
        <f>IF(G92=1,0,D92)</f>
        <v>0</v>
      </c>
      <c r="G92" s="113">
        <f>IF(OR(B92="",D92=0),0,IF(SUMIFS(L_VParc,L_Tipo,"Transferência",L_Status,"Pago",L_Desc,"*"&amp;B92&amp;"*",L_IIni,Sel_Idx)&lt;0,1,0))</f>
        <v>0</v>
      </c>
    </row>
    <row r="93">
      <c r="B93" s="28" t="inlineStr">
        <is>
          <t>A fatura é considerada PAGA quando existe uma Transferência negativa no mês do vencimento com o nome do cartão na descrição (ex.: "Pagamento fatura Cartão Roxinho").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J2"/>
  </mergeCells>
  <conditionalFormatting sqref="D9">
    <cfRule type="expression" priority="1" dxfId="7" stopIfTrue="0">
      <formula>D9&gt;0</formula>
    </cfRule>
  </conditionalFormatting>
  <conditionalFormatting sqref="B16:B17">
    <cfRule type="expression" priority="2" dxfId="12" stopIfTrue="0">
      <formula>B$16=""</formula>
    </cfRule>
    <cfRule type="expression" priority="3" dxfId="29" stopIfTrue="0">
      <formula>AND(N(B$18)&gt;0,DATE(Sel_Ano,Sel_Mes,B$16)&lt;Cfg_Hoje)</formula>
    </cfRule>
    <cfRule type="expression" priority="4" dxfId="30" stopIfTrue="0">
      <formula>AND(N(B$18)&gt;0,DATE(Sel_Ano,Sel_Mes,B$16)&gt;=Cfg_Hoje,DATE(Sel_Ano,Sel_Mes,B$16)-Cfg_Hoje&lt;=7)</formula>
    </cfRule>
    <cfRule type="expression" priority="5" dxfId="31" stopIfTrue="0">
      <formula>AND(N(B$18)&gt;0,DATE(Sel_Ano,Sel_Mes,B$16)&gt;Cfg_Hoje+7)</formula>
    </cfRule>
    <cfRule type="expression" priority="6" dxfId="32" stopIfTrue="0">
      <formula>AND(N(B$17)&gt;0,N(B$18)=0)</formula>
    </cfRule>
  </conditionalFormatting>
  <conditionalFormatting sqref="C16:C17">
    <cfRule type="expression" priority="7" dxfId="12" stopIfTrue="0">
      <formula>C$16=""</formula>
    </cfRule>
    <cfRule type="expression" priority="8" dxfId="29" stopIfTrue="0">
      <formula>AND(N(C$18)&gt;0,DATE(Sel_Ano,Sel_Mes,C$16)&lt;Cfg_Hoje)</formula>
    </cfRule>
    <cfRule type="expression" priority="9" dxfId="30" stopIfTrue="0">
      <formula>AND(N(C$18)&gt;0,DATE(Sel_Ano,Sel_Mes,C$16)&gt;=Cfg_Hoje,DATE(Sel_Ano,Sel_Mes,C$16)-Cfg_Hoje&lt;=7)</formula>
    </cfRule>
    <cfRule type="expression" priority="10" dxfId="31" stopIfTrue="0">
      <formula>AND(N(C$18)&gt;0,DATE(Sel_Ano,Sel_Mes,C$16)&gt;Cfg_Hoje+7)</formula>
    </cfRule>
    <cfRule type="expression" priority="11" dxfId="32" stopIfTrue="0">
      <formula>AND(N(C$17)&gt;0,N(C$18)=0)</formula>
    </cfRule>
  </conditionalFormatting>
  <conditionalFormatting sqref="D16:D17">
    <cfRule type="expression" priority="12" dxfId="12" stopIfTrue="0">
      <formula>D$16=""</formula>
    </cfRule>
    <cfRule type="expression" priority="13" dxfId="29" stopIfTrue="0">
      <formula>AND(N(D$18)&gt;0,DATE(Sel_Ano,Sel_Mes,D$16)&lt;Cfg_Hoje)</formula>
    </cfRule>
    <cfRule type="expression" priority="14" dxfId="30" stopIfTrue="0">
      <formula>AND(N(D$18)&gt;0,DATE(Sel_Ano,Sel_Mes,D$16)&gt;=Cfg_Hoje,DATE(Sel_Ano,Sel_Mes,D$16)-Cfg_Hoje&lt;=7)</formula>
    </cfRule>
    <cfRule type="expression" priority="15" dxfId="31" stopIfTrue="0">
      <formula>AND(N(D$18)&gt;0,DATE(Sel_Ano,Sel_Mes,D$16)&gt;Cfg_Hoje+7)</formula>
    </cfRule>
    <cfRule type="expression" priority="16" dxfId="32" stopIfTrue="0">
      <formula>AND(N(D$17)&gt;0,N(D$18)=0)</formula>
    </cfRule>
  </conditionalFormatting>
  <conditionalFormatting sqref="E16:E17">
    <cfRule type="expression" priority="17" dxfId="12" stopIfTrue="0">
      <formula>E$16=""</formula>
    </cfRule>
    <cfRule type="expression" priority="18" dxfId="29" stopIfTrue="0">
      <formula>AND(N(E$18)&gt;0,DATE(Sel_Ano,Sel_Mes,E$16)&lt;Cfg_Hoje)</formula>
    </cfRule>
    <cfRule type="expression" priority="19" dxfId="30" stopIfTrue="0">
      <formula>AND(N(E$18)&gt;0,DATE(Sel_Ano,Sel_Mes,E$16)&gt;=Cfg_Hoje,DATE(Sel_Ano,Sel_Mes,E$16)-Cfg_Hoje&lt;=7)</formula>
    </cfRule>
    <cfRule type="expression" priority="20" dxfId="31" stopIfTrue="0">
      <formula>AND(N(E$18)&gt;0,DATE(Sel_Ano,Sel_Mes,E$16)&gt;Cfg_Hoje+7)</formula>
    </cfRule>
    <cfRule type="expression" priority="21" dxfId="32" stopIfTrue="0">
      <formula>AND(N(E$17)&gt;0,N(E$18)=0)</formula>
    </cfRule>
  </conditionalFormatting>
  <conditionalFormatting sqref="F16:F17">
    <cfRule type="expression" priority="22" dxfId="12" stopIfTrue="0">
      <formula>F$16=""</formula>
    </cfRule>
    <cfRule type="expression" priority="23" dxfId="29" stopIfTrue="0">
      <formula>AND(N(F$18)&gt;0,DATE(Sel_Ano,Sel_Mes,F$16)&lt;Cfg_Hoje)</formula>
    </cfRule>
    <cfRule type="expression" priority="24" dxfId="30" stopIfTrue="0">
      <formula>AND(N(F$18)&gt;0,DATE(Sel_Ano,Sel_Mes,F$16)&gt;=Cfg_Hoje,DATE(Sel_Ano,Sel_Mes,F$16)-Cfg_Hoje&lt;=7)</formula>
    </cfRule>
    <cfRule type="expression" priority="25" dxfId="31" stopIfTrue="0">
      <formula>AND(N(F$18)&gt;0,DATE(Sel_Ano,Sel_Mes,F$16)&gt;Cfg_Hoje+7)</formula>
    </cfRule>
    <cfRule type="expression" priority="26" dxfId="32" stopIfTrue="0">
      <formula>AND(N(F$17)&gt;0,N(F$18)=0)</formula>
    </cfRule>
  </conditionalFormatting>
  <conditionalFormatting sqref="G16:G17">
    <cfRule type="expression" priority="27" dxfId="12" stopIfTrue="0">
      <formula>G$16=""</formula>
    </cfRule>
    <cfRule type="expression" priority="28" dxfId="29" stopIfTrue="0">
      <formula>AND(N(G$18)&gt;0,DATE(Sel_Ano,Sel_Mes,G$16)&lt;Cfg_Hoje)</formula>
    </cfRule>
    <cfRule type="expression" priority="29" dxfId="30" stopIfTrue="0">
      <formula>AND(N(G$18)&gt;0,DATE(Sel_Ano,Sel_Mes,G$16)&gt;=Cfg_Hoje,DATE(Sel_Ano,Sel_Mes,G$16)-Cfg_Hoje&lt;=7)</formula>
    </cfRule>
    <cfRule type="expression" priority="30" dxfId="31" stopIfTrue="0">
      <formula>AND(N(G$18)&gt;0,DATE(Sel_Ano,Sel_Mes,G$16)&gt;Cfg_Hoje+7)</formula>
    </cfRule>
    <cfRule type="expression" priority="31" dxfId="32" stopIfTrue="0">
      <formula>AND(N(G$17)&gt;0,N(G$18)=0)</formula>
    </cfRule>
  </conditionalFormatting>
  <conditionalFormatting sqref="H16:H17">
    <cfRule type="expression" priority="32" dxfId="12" stopIfTrue="0">
      <formula>H$16=""</formula>
    </cfRule>
    <cfRule type="expression" priority="33" dxfId="29" stopIfTrue="0">
      <formula>AND(N(H$18)&gt;0,DATE(Sel_Ano,Sel_Mes,H$16)&lt;Cfg_Hoje)</formula>
    </cfRule>
    <cfRule type="expression" priority="34" dxfId="30" stopIfTrue="0">
      <formula>AND(N(H$18)&gt;0,DATE(Sel_Ano,Sel_Mes,H$16)&gt;=Cfg_Hoje,DATE(Sel_Ano,Sel_Mes,H$16)-Cfg_Hoje&lt;=7)</formula>
    </cfRule>
    <cfRule type="expression" priority="35" dxfId="31" stopIfTrue="0">
      <formula>AND(N(H$18)&gt;0,DATE(Sel_Ano,Sel_Mes,H$16)&gt;Cfg_Hoje+7)</formula>
    </cfRule>
    <cfRule type="expression" priority="36" dxfId="32" stopIfTrue="0">
      <formula>AND(N(H$17)&gt;0,N(H$18)=0)</formula>
    </cfRule>
  </conditionalFormatting>
  <conditionalFormatting sqref="B19:B20">
    <cfRule type="expression" priority="37" dxfId="12" stopIfTrue="0">
      <formula>B$19=""</formula>
    </cfRule>
    <cfRule type="expression" priority="38" dxfId="29" stopIfTrue="0">
      <formula>AND(N(B$21)&gt;0,DATE(Sel_Ano,Sel_Mes,B$19)&lt;Cfg_Hoje)</formula>
    </cfRule>
    <cfRule type="expression" priority="39" dxfId="30" stopIfTrue="0">
      <formula>AND(N(B$21)&gt;0,DATE(Sel_Ano,Sel_Mes,B$19)&gt;=Cfg_Hoje,DATE(Sel_Ano,Sel_Mes,B$19)-Cfg_Hoje&lt;=7)</formula>
    </cfRule>
    <cfRule type="expression" priority="40" dxfId="31" stopIfTrue="0">
      <formula>AND(N(B$21)&gt;0,DATE(Sel_Ano,Sel_Mes,B$19)&gt;Cfg_Hoje+7)</formula>
    </cfRule>
    <cfRule type="expression" priority="41" dxfId="32" stopIfTrue="0">
      <formula>AND(N(B$20)&gt;0,N(B$21)=0)</formula>
    </cfRule>
  </conditionalFormatting>
  <conditionalFormatting sqref="C19:C20">
    <cfRule type="expression" priority="42" dxfId="12" stopIfTrue="0">
      <formula>C$19=""</formula>
    </cfRule>
    <cfRule type="expression" priority="43" dxfId="29" stopIfTrue="0">
      <formula>AND(N(C$21)&gt;0,DATE(Sel_Ano,Sel_Mes,C$19)&lt;Cfg_Hoje)</formula>
    </cfRule>
    <cfRule type="expression" priority="44" dxfId="30" stopIfTrue="0">
      <formula>AND(N(C$21)&gt;0,DATE(Sel_Ano,Sel_Mes,C$19)&gt;=Cfg_Hoje,DATE(Sel_Ano,Sel_Mes,C$19)-Cfg_Hoje&lt;=7)</formula>
    </cfRule>
    <cfRule type="expression" priority="45" dxfId="31" stopIfTrue="0">
      <formula>AND(N(C$21)&gt;0,DATE(Sel_Ano,Sel_Mes,C$19)&gt;Cfg_Hoje+7)</formula>
    </cfRule>
    <cfRule type="expression" priority="46" dxfId="32" stopIfTrue="0">
      <formula>AND(N(C$20)&gt;0,N(C$21)=0)</formula>
    </cfRule>
  </conditionalFormatting>
  <conditionalFormatting sqref="D19:D20">
    <cfRule type="expression" priority="47" dxfId="12" stopIfTrue="0">
      <formula>D$19=""</formula>
    </cfRule>
    <cfRule type="expression" priority="48" dxfId="29" stopIfTrue="0">
      <formula>AND(N(D$21)&gt;0,DATE(Sel_Ano,Sel_Mes,D$19)&lt;Cfg_Hoje)</formula>
    </cfRule>
    <cfRule type="expression" priority="49" dxfId="30" stopIfTrue="0">
      <formula>AND(N(D$21)&gt;0,DATE(Sel_Ano,Sel_Mes,D$19)&gt;=Cfg_Hoje,DATE(Sel_Ano,Sel_Mes,D$19)-Cfg_Hoje&lt;=7)</formula>
    </cfRule>
    <cfRule type="expression" priority="50" dxfId="31" stopIfTrue="0">
      <formula>AND(N(D$21)&gt;0,DATE(Sel_Ano,Sel_Mes,D$19)&gt;Cfg_Hoje+7)</formula>
    </cfRule>
    <cfRule type="expression" priority="51" dxfId="32" stopIfTrue="0">
      <formula>AND(N(D$20)&gt;0,N(D$21)=0)</formula>
    </cfRule>
  </conditionalFormatting>
  <conditionalFormatting sqref="E19:E20">
    <cfRule type="expression" priority="52" dxfId="12" stopIfTrue="0">
      <formula>E$19=""</formula>
    </cfRule>
    <cfRule type="expression" priority="53" dxfId="29" stopIfTrue="0">
      <formula>AND(N(E$21)&gt;0,DATE(Sel_Ano,Sel_Mes,E$19)&lt;Cfg_Hoje)</formula>
    </cfRule>
    <cfRule type="expression" priority="54" dxfId="30" stopIfTrue="0">
      <formula>AND(N(E$21)&gt;0,DATE(Sel_Ano,Sel_Mes,E$19)&gt;=Cfg_Hoje,DATE(Sel_Ano,Sel_Mes,E$19)-Cfg_Hoje&lt;=7)</formula>
    </cfRule>
    <cfRule type="expression" priority="55" dxfId="31" stopIfTrue="0">
      <formula>AND(N(E$21)&gt;0,DATE(Sel_Ano,Sel_Mes,E$19)&gt;Cfg_Hoje+7)</formula>
    </cfRule>
    <cfRule type="expression" priority="56" dxfId="32" stopIfTrue="0">
      <formula>AND(N(E$20)&gt;0,N(E$21)=0)</formula>
    </cfRule>
  </conditionalFormatting>
  <conditionalFormatting sqref="F19:F20">
    <cfRule type="expression" priority="57" dxfId="12" stopIfTrue="0">
      <formula>F$19=""</formula>
    </cfRule>
    <cfRule type="expression" priority="58" dxfId="29" stopIfTrue="0">
      <formula>AND(N(F$21)&gt;0,DATE(Sel_Ano,Sel_Mes,F$19)&lt;Cfg_Hoje)</formula>
    </cfRule>
    <cfRule type="expression" priority="59" dxfId="30" stopIfTrue="0">
      <formula>AND(N(F$21)&gt;0,DATE(Sel_Ano,Sel_Mes,F$19)&gt;=Cfg_Hoje,DATE(Sel_Ano,Sel_Mes,F$19)-Cfg_Hoje&lt;=7)</formula>
    </cfRule>
    <cfRule type="expression" priority="60" dxfId="31" stopIfTrue="0">
      <formula>AND(N(F$21)&gt;0,DATE(Sel_Ano,Sel_Mes,F$19)&gt;Cfg_Hoje+7)</formula>
    </cfRule>
    <cfRule type="expression" priority="61" dxfId="32" stopIfTrue="0">
      <formula>AND(N(F$20)&gt;0,N(F$21)=0)</formula>
    </cfRule>
  </conditionalFormatting>
  <conditionalFormatting sqref="G19:G20">
    <cfRule type="expression" priority="62" dxfId="12" stopIfTrue="0">
      <formula>G$19=""</formula>
    </cfRule>
    <cfRule type="expression" priority="63" dxfId="29" stopIfTrue="0">
      <formula>AND(N(G$21)&gt;0,DATE(Sel_Ano,Sel_Mes,G$19)&lt;Cfg_Hoje)</formula>
    </cfRule>
    <cfRule type="expression" priority="64" dxfId="30" stopIfTrue="0">
      <formula>AND(N(G$21)&gt;0,DATE(Sel_Ano,Sel_Mes,G$19)&gt;=Cfg_Hoje,DATE(Sel_Ano,Sel_Mes,G$19)-Cfg_Hoje&lt;=7)</formula>
    </cfRule>
    <cfRule type="expression" priority="65" dxfId="31" stopIfTrue="0">
      <formula>AND(N(G$21)&gt;0,DATE(Sel_Ano,Sel_Mes,G$19)&gt;Cfg_Hoje+7)</formula>
    </cfRule>
    <cfRule type="expression" priority="66" dxfId="32" stopIfTrue="0">
      <formula>AND(N(G$20)&gt;0,N(G$21)=0)</formula>
    </cfRule>
  </conditionalFormatting>
  <conditionalFormatting sqref="H19:H20">
    <cfRule type="expression" priority="67" dxfId="12" stopIfTrue="0">
      <formula>H$19=""</formula>
    </cfRule>
    <cfRule type="expression" priority="68" dxfId="29" stopIfTrue="0">
      <formula>AND(N(H$21)&gt;0,DATE(Sel_Ano,Sel_Mes,H$19)&lt;Cfg_Hoje)</formula>
    </cfRule>
    <cfRule type="expression" priority="69" dxfId="30" stopIfTrue="0">
      <formula>AND(N(H$21)&gt;0,DATE(Sel_Ano,Sel_Mes,H$19)&gt;=Cfg_Hoje,DATE(Sel_Ano,Sel_Mes,H$19)-Cfg_Hoje&lt;=7)</formula>
    </cfRule>
    <cfRule type="expression" priority="70" dxfId="31" stopIfTrue="0">
      <formula>AND(N(H$21)&gt;0,DATE(Sel_Ano,Sel_Mes,H$19)&gt;Cfg_Hoje+7)</formula>
    </cfRule>
    <cfRule type="expression" priority="71" dxfId="32" stopIfTrue="0">
      <formula>AND(N(H$20)&gt;0,N(H$21)=0)</formula>
    </cfRule>
  </conditionalFormatting>
  <conditionalFormatting sqref="B22:B23">
    <cfRule type="expression" priority="72" dxfId="12" stopIfTrue="0">
      <formula>B$22=""</formula>
    </cfRule>
    <cfRule type="expression" priority="73" dxfId="29" stopIfTrue="0">
      <formula>AND(N(B$24)&gt;0,DATE(Sel_Ano,Sel_Mes,B$22)&lt;Cfg_Hoje)</formula>
    </cfRule>
    <cfRule type="expression" priority="74" dxfId="30" stopIfTrue="0">
      <formula>AND(N(B$24)&gt;0,DATE(Sel_Ano,Sel_Mes,B$22)&gt;=Cfg_Hoje,DATE(Sel_Ano,Sel_Mes,B$22)-Cfg_Hoje&lt;=7)</formula>
    </cfRule>
    <cfRule type="expression" priority="75" dxfId="31" stopIfTrue="0">
      <formula>AND(N(B$24)&gt;0,DATE(Sel_Ano,Sel_Mes,B$22)&gt;Cfg_Hoje+7)</formula>
    </cfRule>
    <cfRule type="expression" priority="76" dxfId="32" stopIfTrue="0">
      <formula>AND(N(B$23)&gt;0,N(B$24)=0)</formula>
    </cfRule>
  </conditionalFormatting>
  <conditionalFormatting sqref="C22:C23">
    <cfRule type="expression" priority="77" dxfId="12" stopIfTrue="0">
      <formula>C$22=""</formula>
    </cfRule>
    <cfRule type="expression" priority="78" dxfId="29" stopIfTrue="0">
      <formula>AND(N(C$24)&gt;0,DATE(Sel_Ano,Sel_Mes,C$22)&lt;Cfg_Hoje)</formula>
    </cfRule>
    <cfRule type="expression" priority="79" dxfId="30" stopIfTrue="0">
      <formula>AND(N(C$24)&gt;0,DATE(Sel_Ano,Sel_Mes,C$22)&gt;=Cfg_Hoje,DATE(Sel_Ano,Sel_Mes,C$22)-Cfg_Hoje&lt;=7)</formula>
    </cfRule>
    <cfRule type="expression" priority="80" dxfId="31" stopIfTrue="0">
      <formula>AND(N(C$24)&gt;0,DATE(Sel_Ano,Sel_Mes,C$22)&gt;Cfg_Hoje+7)</formula>
    </cfRule>
    <cfRule type="expression" priority="81" dxfId="32" stopIfTrue="0">
      <formula>AND(N(C$23)&gt;0,N(C$24)=0)</formula>
    </cfRule>
  </conditionalFormatting>
  <conditionalFormatting sqref="D22:D23">
    <cfRule type="expression" priority="82" dxfId="12" stopIfTrue="0">
      <formula>D$22=""</formula>
    </cfRule>
    <cfRule type="expression" priority="83" dxfId="29" stopIfTrue="0">
      <formula>AND(N(D$24)&gt;0,DATE(Sel_Ano,Sel_Mes,D$22)&lt;Cfg_Hoje)</formula>
    </cfRule>
    <cfRule type="expression" priority="84" dxfId="30" stopIfTrue="0">
      <formula>AND(N(D$24)&gt;0,DATE(Sel_Ano,Sel_Mes,D$22)&gt;=Cfg_Hoje,DATE(Sel_Ano,Sel_Mes,D$22)-Cfg_Hoje&lt;=7)</formula>
    </cfRule>
    <cfRule type="expression" priority="85" dxfId="31" stopIfTrue="0">
      <formula>AND(N(D$24)&gt;0,DATE(Sel_Ano,Sel_Mes,D$22)&gt;Cfg_Hoje+7)</formula>
    </cfRule>
    <cfRule type="expression" priority="86" dxfId="32" stopIfTrue="0">
      <formula>AND(N(D$23)&gt;0,N(D$24)=0)</formula>
    </cfRule>
  </conditionalFormatting>
  <conditionalFormatting sqref="E22:E23">
    <cfRule type="expression" priority="87" dxfId="12" stopIfTrue="0">
      <formula>E$22=""</formula>
    </cfRule>
    <cfRule type="expression" priority="88" dxfId="29" stopIfTrue="0">
      <formula>AND(N(E$24)&gt;0,DATE(Sel_Ano,Sel_Mes,E$22)&lt;Cfg_Hoje)</formula>
    </cfRule>
    <cfRule type="expression" priority="89" dxfId="30" stopIfTrue="0">
      <formula>AND(N(E$24)&gt;0,DATE(Sel_Ano,Sel_Mes,E$22)&gt;=Cfg_Hoje,DATE(Sel_Ano,Sel_Mes,E$22)-Cfg_Hoje&lt;=7)</formula>
    </cfRule>
    <cfRule type="expression" priority="90" dxfId="31" stopIfTrue="0">
      <formula>AND(N(E$24)&gt;0,DATE(Sel_Ano,Sel_Mes,E$22)&gt;Cfg_Hoje+7)</formula>
    </cfRule>
    <cfRule type="expression" priority="91" dxfId="32" stopIfTrue="0">
      <formula>AND(N(E$23)&gt;0,N(E$24)=0)</formula>
    </cfRule>
  </conditionalFormatting>
  <conditionalFormatting sqref="F22:F23">
    <cfRule type="expression" priority="92" dxfId="12" stopIfTrue="0">
      <formula>F$22=""</formula>
    </cfRule>
    <cfRule type="expression" priority="93" dxfId="29" stopIfTrue="0">
      <formula>AND(N(F$24)&gt;0,DATE(Sel_Ano,Sel_Mes,F$22)&lt;Cfg_Hoje)</formula>
    </cfRule>
    <cfRule type="expression" priority="94" dxfId="30" stopIfTrue="0">
      <formula>AND(N(F$24)&gt;0,DATE(Sel_Ano,Sel_Mes,F$22)&gt;=Cfg_Hoje,DATE(Sel_Ano,Sel_Mes,F$22)-Cfg_Hoje&lt;=7)</formula>
    </cfRule>
    <cfRule type="expression" priority="95" dxfId="31" stopIfTrue="0">
      <formula>AND(N(F$24)&gt;0,DATE(Sel_Ano,Sel_Mes,F$22)&gt;Cfg_Hoje+7)</formula>
    </cfRule>
    <cfRule type="expression" priority="96" dxfId="32" stopIfTrue="0">
      <formula>AND(N(F$23)&gt;0,N(F$24)=0)</formula>
    </cfRule>
  </conditionalFormatting>
  <conditionalFormatting sqref="G22:G23">
    <cfRule type="expression" priority="97" dxfId="12" stopIfTrue="0">
      <formula>G$22=""</formula>
    </cfRule>
    <cfRule type="expression" priority="98" dxfId="29" stopIfTrue="0">
      <formula>AND(N(G$24)&gt;0,DATE(Sel_Ano,Sel_Mes,G$22)&lt;Cfg_Hoje)</formula>
    </cfRule>
    <cfRule type="expression" priority="99" dxfId="30" stopIfTrue="0">
      <formula>AND(N(G$24)&gt;0,DATE(Sel_Ano,Sel_Mes,G$22)&gt;=Cfg_Hoje,DATE(Sel_Ano,Sel_Mes,G$22)-Cfg_Hoje&lt;=7)</formula>
    </cfRule>
    <cfRule type="expression" priority="100" dxfId="31" stopIfTrue="0">
      <formula>AND(N(G$24)&gt;0,DATE(Sel_Ano,Sel_Mes,G$22)&gt;Cfg_Hoje+7)</formula>
    </cfRule>
    <cfRule type="expression" priority="101" dxfId="32" stopIfTrue="0">
      <formula>AND(N(G$23)&gt;0,N(G$24)=0)</formula>
    </cfRule>
  </conditionalFormatting>
  <conditionalFormatting sqref="H22:H23">
    <cfRule type="expression" priority="102" dxfId="12" stopIfTrue="0">
      <formula>H$22=""</formula>
    </cfRule>
    <cfRule type="expression" priority="103" dxfId="29" stopIfTrue="0">
      <formula>AND(N(H$24)&gt;0,DATE(Sel_Ano,Sel_Mes,H$22)&lt;Cfg_Hoje)</formula>
    </cfRule>
    <cfRule type="expression" priority="104" dxfId="30" stopIfTrue="0">
      <formula>AND(N(H$24)&gt;0,DATE(Sel_Ano,Sel_Mes,H$22)&gt;=Cfg_Hoje,DATE(Sel_Ano,Sel_Mes,H$22)-Cfg_Hoje&lt;=7)</formula>
    </cfRule>
    <cfRule type="expression" priority="105" dxfId="31" stopIfTrue="0">
      <formula>AND(N(H$24)&gt;0,DATE(Sel_Ano,Sel_Mes,H$22)&gt;Cfg_Hoje+7)</formula>
    </cfRule>
    <cfRule type="expression" priority="106" dxfId="32" stopIfTrue="0">
      <formula>AND(N(H$23)&gt;0,N(H$24)=0)</formula>
    </cfRule>
  </conditionalFormatting>
  <conditionalFormatting sqref="B25:B26">
    <cfRule type="expression" priority="107" dxfId="12" stopIfTrue="0">
      <formula>B$25=""</formula>
    </cfRule>
    <cfRule type="expression" priority="108" dxfId="29" stopIfTrue="0">
      <formula>AND(N(B$27)&gt;0,DATE(Sel_Ano,Sel_Mes,B$25)&lt;Cfg_Hoje)</formula>
    </cfRule>
    <cfRule type="expression" priority="109" dxfId="30" stopIfTrue="0">
      <formula>AND(N(B$27)&gt;0,DATE(Sel_Ano,Sel_Mes,B$25)&gt;=Cfg_Hoje,DATE(Sel_Ano,Sel_Mes,B$25)-Cfg_Hoje&lt;=7)</formula>
    </cfRule>
    <cfRule type="expression" priority="110" dxfId="31" stopIfTrue="0">
      <formula>AND(N(B$27)&gt;0,DATE(Sel_Ano,Sel_Mes,B$25)&gt;Cfg_Hoje+7)</formula>
    </cfRule>
    <cfRule type="expression" priority="111" dxfId="32" stopIfTrue="0">
      <formula>AND(N(B$26)&gt;0,N(B$27)=0)</formula>
    </cfRule>
  </conditionalFormatting>
  <conditionalFormatting sqref="C25:C26">
    <cfRule type="expression" priority="112" dxfId="12" stopIfTrue="0">
      <formula>C$25=""</formula>
    </cfRule>
    <cfRule type="expression" priority="113" dxfId="29" stopIfTrue="0">
      <formula>AND(N(C$27)&gt;0,DATE(Sel_Ano,Sel_Mes,C$25)&lt;Cfg_Hoje)</formula>
    </cfRule>
    <cfRule type="expression" priority="114" dxfId="30" stopIfTrue="0">
      <formula>AND(N(C$27)&gt;0,DATE(Sel_Ano,Sel_Mes,C$25)&gt;=Cfg_Hoje,DATE(Sel_Ano,Sel_Mes,C$25)-Cfg_Hoje&lt;=7)</formula>
    </cfRule>
    <cfRule type="expression" priority="115" dxfId="31" stopIfTrue="0">
      <formula>AND(N(C$27)&gt;0,DATE(Sel_Ano,Sel_Mes,C$25)&gt;Cfg_Hoje+7)</formula>
    </cfRule>
    <cfRule type="expression" priority="116" dxfId="32" stopIfTrue="0">
      <formula>AND(N(C$26)&gt;0,N(C$27)=0)</formula>
    </cfRule>
  </conditionalFormatting>
  <conditionalFormatting sqref="D25:D26">
    <cfRule type="expression" priority="117" dxfId="12" stopIfTrue="0">
      <formula>D$25=""</formula>
    </cfRule>
    <cfRule type="expression" priority="118" dxfId="29" stopIfTrue="0">
      <formula>AND(N(D$27)&gt;0,DATE(Sel_Ano,Sel_Mes,D$25)&lt;Cfg_Hoje)</formula>
    </cfRule>
    <cfRule type="expression" priority="119" dxfId="30" stopIfTrue="0">
      <formula>AND(N(D$27)&gt;0,DATE(Sel_Ano,Sel_Mes,D$25)&gt;=Cfg_Hoje,DATE(Sel_Ano,Sel_Mes,D$25)-Cfg_Hoje&lt;=7)</formula>
    </cfRule>
    <cfRule type="expression" priority="120" dxfId="31" stopIfTrue="0">
      <formula>AND(N(D$27)&gt;0,DATE(Sel_Ano,Sel_Mes,D$25)&gt;Cfg_Hoje+7)</formula>
    </cfRule>
    <cfRule type="expression" priority="121" dxfId="32" stopIfTrue="0">
      <formula>AND(N(D$26)&gt;0,N(D$27)=0)</formula>
    </cfRule>
  </conditionalFormatting>
  <conditionalFormatting sqref="E25:E26">
    <cfRule type="expression" priority="122" dxfId="12" stopIfTrue="0">
      <formula>E$25=""</formula>
    </cfRule>
    <cfRule type="expression" priority="123" dxfId="29" stopIfTrue="0">
      <formula>AND(N(E$27)&gt;0,DATE(Sel_Ano,Sel_Mes,E$25)&lt;Cfg_Hoje)</formula>
    </cfRule>
    <cfRule type="expression" priority="124" dxfId="30" stopIfTrue="0">
      <formula>AND(N(E$27)&gt;0,DATE(Sel_Ano,Sel_Mes,E$25)&gt;=Cfg_Hoje,DATE(Sel_Ano,Sel_Mes,E$25)-Cfg_Hoje&lt;=7)</formula>
    </cfRule>
    <cfRule type="expression" priority="125" dxfId="31" stopIfTrue="0">
      <formula>AND(N(E$27)&gt;0,DATE(Sel_Ano,Sel_Mes,E$25)&gt;Cfg_Hoje+7)</formula>
    </cfRule>
    <cfRule type="expression" priority="126" dxfId="32" stopIfTrue="0">
      <formula>AND(N(E$26)&gt;0,N(E$27)=0)</formula>
    </cfRule>
  </conditionalFormatting>
  <conditionalFormatting sqref="F25:F26">
    <cfRule type="expression" priority="127" dxfId="12" stopIfTrue="0">
      <formula>F$25=""</formula>
    </cfRule>
    <cfRule type="expression" priority="128" dxfId="29" stopIfTrue="0">
      <formula>AND(N(F$27)&gt;0,DATE(Sel_Ano,Sel_Mes,F$25)&lt;Cfg_Hoje)</formula>
    </cfRule>
    <cfRule type="expression" priority="129" dxfId="30" stopIfTrue="0">
      <formula>AND(N(F$27)&gt;0,DATE(Sel_Ano,Sel_Mes,F$25)&gt;=Cfg_Hoje,DATE(Sel_Ano,Sel_Mes,F$25)-Cfg_Hoje&lt;=7)</formula>
    </cfRule>
    <cfRule type="expression" priority="130" dxfId="31" stopIfTrue="0">
      <formula>AND(N(F$27)&gt;0,DATE(Sel_Ano,Sel_Mes,F$25)&gt;Cfg_Hoje+7)</formula>
    </cfRule>
    <cfRule type="expression" priority="131" dxfId="32" stopIfTrue="0">
      <formula>AND(N(F$26)&gt;0,N(F$27)=0)</formula>
    </cfRule>
  </conditionalFormatting>
  <conditionalFormatting sqref="G25:G26">
    <cfRule type="expression" priority="132" dxfId="12" stopIfTrue="0">
      <formula>G$25=""</formula>
    </cfRule>
    <cfRule type="expression" priority="133" dxfId="29" stopIfTrue="0">
      <formula>AND(N(G$27)&gt;0,DATE(Sel_Ano,Sel_Mes,G$25)&lt;Cfg_Hoje)</formula>
    </cfRule>
    <cfRule type="expression" priority="134" dxfId="30" stopIfTrue="0">
      <formula>AND(N(G$27)&gt;0,DATE(Sel_Ano,Sel_Mes,G$25)&gt;=Cfg_Hoje,DATE(Sel_Ano,Sel_Mes,G$25)-Cfg_Hoje&lt;=7)</formula>
    </cfRule>
    <cfRule type="expression" priority="135" dxfId="31" stopIfTrue="0">
      <formula>AND(N(G$27)&gt;0,DATE(Sel_Ano,Sel_Mes,G$25)&gt;Cfg_Hoje+7)</formula>
    </cfRule>
    <cfRule type="expression" priority="136" dxfId="32" stopIfTrue="0">
      <formula>AND(N(G$26)&gt;0,N(G$27)=0)</formula>
    </cfRule>
  </conditionalFormatting>
  <conditionalFormatting sqref="H25:H26">
    <cfRule type="expression" priority="137" dxfId="12" stopIfTrue="0">
      <formula>H$25=""</formula>
    </cfRule>
    <cfRule type="expression" priority="138" dxfId="29" stopIfTrue="0">
      <formula>AND(N(H$27)&gt;0,DATE(Sel_Ano,Sel_Mes,H$25)&lt;Cfg_Hoje)</formula>
    </cfRule>
    <cfRule type="expression" priority="139" dxfId="30" stopIfTrue="0">
      <formula>AND(N(H$27)&gt;0,DATE(Sel_Ano,Sel_Mes,H$25)&gt;=Cfg_Hoje,DATE(Sel_Ano,Sel_Mes,H$25)-Cfg_Hoje&lt;=7)</formula>
    </cfRule>
    <cfRule type="expression" priority="140" dxfId="31" stopIfTrue="0">
      <formula>AND(N(H$27)&gt;0,DATE(Sel_Ano,Sel_Mes,H$25)&gt;Cfg_Hoje+7)</formula>
    </cfRule>
    <cfRule type="expression" priority="141" dxfId="32" stopIfTrue="0">
      <formula>AND(N(H$26)&gt;0,N(H$27)=0)</formula>
    </cfRule>
  </conditionalFormatting>
  <conditionalFormatting sqref="B28:B29">
    <cfRule type="expression" priority="142" dxfId="12" stopIfTrue="0">
      <formula>B$28=""</formula>
    </cfRule>
    <cfRule type="expression" priority="143" dxfId="29" stopIfTrue="0">
      <formula>AND(N(B$30)&gt;0,DATE(Sel_Ano,Sel_Mes,B$28)&lt;Cfg_Hoje)</formula>
    </cfRule>
    <cfRule type="expression" priority="144" dxfId="30" stopIfTrue="0">
      <formula>AND(N(B$30)&gt;0,DATE(Sel_Ano,Sel_Mes,B$28)&gt;=Cfg_Hoje,DATE(Sel_Ano,Sel_Mes,B$28)-Cfg_Hoje&lt;=7)</formula>
    </cfRule>
    <cfRule type="expression" priority="145" dxfId="31" stopIfTrue="0">
      <formula>AND(N(B$30)&gt;0,DATE(Sel_Ano,Sel_Mes,B$28)&gt;Cfg_Hoje+7)</formula>
    </cfRule>
    <cfRule type="expression" priority="146" dxfId="32" stopIfTrue="0">
      <formula>AND(N(B$29)&gt;0,N(B$30)=0)</formula>
    </cfRule>
  </conditionalFormatting>
  <conditionalFormatting sqref="C28:C29">
    <cfRule type="expression" priority="147" dxfId="12" stopIfTrue="0">
      <formula>C$28=""</formula>
    </cfRule>
    <cfRule type="expression" priority="148" dxfId="29" stopIfTrue="0">
      <formula>AND(N(C$30)&gt;0,DATE(Sel_Ano,Sel_Mes,C$28)&lt;Cfg_Hoje)</formula>
    </cfRule>
    <cfRule type="expression" priority="149" dxfId="30" stopIfTrue="0">
      <formula>AND(N(C$30)&gt;0,DATE(Sel_Ano,Sel_Mes,C$28)&gt;=Cfg_Hoje,DATE(Sel_Ano,Sel_Mes,C$28)-Cfg_Hoje&lt;=7)</formula>
    </cfRule>
    <cfRule type="expression" priority="150" dxfId="31" stopIfTrue="0">
      <formula>AND(N(C$30)&gt;0,DATE(Sel_Ano,Sel_Mes,C$28)&gt;Cfg_Hoje+7)</formula>
    </cfRule>
    <cfRule type="expression" priority="151" dxfId="32" stopIfTrue="0">
      <formula>AND(N(C$29)&gt;0,N(C$30)=0)</formula>
    </cfRule>
  </conditionalFormatting>
  <conditionalFormatting sqref="D28:D29">
    <cfRule type="expression" priority="152" dxfId="12" stopIfTrue="0">
      <formula>D$28=""</formula>
    </cfRule>
    <cfRule type="expression" priority="153" dxfId="29" stopIfTrue="0">
      <formula>AND(N(D$30)&gt;0,DATE(Sel_Ano,Sel_Mes,D$28)&lt;Cfg_Hoje)</formula>
    </cfRule>
    <cfRule type="expression" priority="154" dxfId="30" stopIfTrue="0">
      <formula>AND(N(D$30)&gt;0,DATE(Sel_Ano,Sel_Mes,D$28)&gt;=Cfg_Hoje,DATE(Sel_Ano,Sel_Mes,D$28)-Cfg_Hoje&lt;=7)</formula>
    </cfRule>
    <cfRule type="expression" priority="155" dxfId="31" stopIfTrue="0">
      <formula>AND(N(D$30)&gt;0,DATE(Sel_Ano,Sel_Mes,D$28)&gt;Cfg_Hoje+7)</formula>
    </cfRule>
    <cfRule type="expression" priority="156" dxfId="32" stopIfTrue="0">
      <formula>AND(N(D$29)&gt;0,N(D$30)=0)</formula>
    </cfRule>
  </conditionalFormatting>
  <conditionalFormatting sqref="E28:E29">
    <cfRule type="expression" priority="157" dxfId="12" stopIfTrue="0">
      <formula>E$28=""</formula>
    </cfRule>
    <cfRule type="expression" priority="158" dxfId="29" stopIfTrue="0">
      <formula>AND(N(E$30)&gt;0,DATE(Sel_Ano,Sel_Mes,E$28)&lt;Cfg_Hoje)</formula>
    </cfRule>
    <cfRule type="expression" priority="159" dxfId="30" stopIfTrue="0">
      <formula>AND(N(E$30)&gt;0,DATE(Sel_Ano,Sel_Mes,E$28)&gt;=Cfg_Hoje,DATE(Sel_Ano,Sel_Mes,E$28)-Cfg_Hoje&lt;=7)</formula>
    </cfRule>
    <cfRule type="expression" priority="160" dxfId="31" stopIfTrue="0">
      <formula>AND(N(E$30)&gt;0,DATE(Sel_Ano,Sel_Mes,E$28)&gt;Cfg_Hoje+7)</formula>
    </cfRule>
    <cfRule type="expression" priority="161" dxfId="32" stopIfTrue="0">
      <formula>AND(N(E$29)&gt;0,N(E$30)=0)</formula>
    </cfRule>
  </conditionalFormatting>
  <conditionalFormatting sqref="F28:F29">
    <cfRule type="expression" priority="162" dxfId="12" stopIfTrue="0">
      <formula>F$28=""</formula>
    </cfRule>
    <cfRule type="expression" priority="163" dxfId="29" stopIfTrue="0">
      <formula>AND(N(F$30)&gt;0,DATE(Sel_Ano,Sel_Mes,F$28)&lt;Cfg_Hoje)</formula>
    </cfRule>
    <cfRule type="expression" priority="164" dxfId="30" stopIfTrue="0">
      <formula>AND(N(F$30)&gt;0,DATE(Sel_Ano,Sel_Mes,F$28)&gt;=Cfg_Hoje,DATE(Sel_Ano,Sel_Mes,F$28)-Cfg_Hoje&lt;=7)</formula>
    </cfRule>
    <cfRule type="expression" priority="165" dxfId="31" stopIfTrue="0">
      <formula>AND(N(F$30)&gt;0,DATE(Sel_Ano,Sel_Mes,F$28)&gt;Cfg_Hoje+7)</formula>
    </cfRule>
    <cfRule type="expression" priority="166" dxfId="32" stopIfTrue="0">
      <formula>AND(N(F$29)&gt;0,N(F$30)=0)</formula>
    </cfRule>
  </conditionalFormatting>
  <conditionalFormatting sqref="G28:G29">
    <cfRule type="expression" priority="167" dxfId="12" stopIfTrue="0">
      <formula>G$28=""</formula>
    </cfRule>
    <cfRule type="expression" priority="168" dxfId="29" stopIfTrue="0">
      <formula>AND(N(G$30)&gt;0,DATE(Sel_Ano,Sel_Mes,G$28)&lt;Cfg_Hoje)</formula>
    </cfRule>
    <cfRule type="expression" priority="169" dxfId="30" stopIfTrue="0">
      <formula>AND(N(G$30)&gt;0,DATE(Sel_Ano,Sel_Mes,G$28)&gt;=Cfg_Hoje,DATE(Sel_Ano,Sel_Mes,G$28)-Cfg_Hoje&lt;=7)</formula>
    </cfRule>
    <cfRule type="expression" priority="170" dxfId="31" stopIfTrue="0">
      <formula>AND(N(G$30)&gt;0,DATE(Sel_Ano,Sel_Mes,G$28)&gt;Cfg_Hoje+7)</formula>
    </cfRule>
    <cfRule type="expression" priority="171" dxfId="32" stopIfTrue="0">
      <formula>AND(N(G$29)&gt;0,N(G$30)=0)</formula>
    </cfRule>
  </conditionalFormatting>
  <conditionalFormatting sqref="H28:H29">
    <cfRule type="expression" priority="172" dxfId="12" stopIfTrue="0">
      <formula>H$28=""</formula>
    </cfRule>
    <cfRule type="expression" priority="173" dxfId="29" stopIfTrue="0">
      <formula>AND(N(H$30)&gt;0,DATE(Sel_Ano,Sel_Mes,H$28)&lt;Cfg_Hoje)</formula>
    </cfRule>
    <cfRule type="expression" priority="174" dxfId="30" stopIfTrue="0">
      <formula>AND(N(H$30)&gt;0,DATE(Sel_Ano,Sel_Mes,H$28)&gt;=Cfg_Hoje,DATE(Sel_Ano,Sel_Mes,H$28)-Cfg_Hoje&lt;=7)</formula>
    </cfRule>
    <cfRule type="expression" priority="175" dxfId="31" stopIfTrue="0">
      <formula>AND(N(H$30)&gt;0,DATE(Sel_Ano,Sel_Mes,H$28)&gt;Cfg_Hoje+7)</formula>
    </cfRule>
    <cfRule type="expression" priority="176" dxfId="32" stopIfTrue="0">
      <formula>AND(N(H$29)&gt;0,N(H$30)=0)</formula>
    </cfRule>
  </conditionalFormatting>
  <conditionalFormatting sqref="B31:B32">
    <cfRule type="expression" priority="177" dxfId="12" stopIfTrue="0">
      <formula>B$31=""</formula>
    </cfRule>
    <cfRule type="expression" priority="178" dxfId="29" stopIfTrue="0">
      <formula>AND(N(B$33)&gt;0,DATE(Sel_Ano,Sel_Mes,B$31)&lt;Cfg_Hoje)</formula>
    </cfRule>
    <cfRule type="expression" priority="179" dxfId="30" stopIfTrue="0">
      <formula>AND(N(B$33)&gt;0,DATE(Sel_Ano,Sel_Mes,B$31)&gt;=Cfg_Hoje,DATE(Sel_Ano,Sel_Mes,B$31)-Cfg_Hoje&lt;=7)</formula>
    </cfRule>
    <cfRule type="expression" priority="180" dxfId="31" stopIfTrue="0">
      <formula>AND(N(B$33)&gt;0,DATE(Sel_Ano,Sel_Mes,B$31)&gt;Cfg_Hoje+7)</formula>
    </cfRule>
    <cfRule type="expression" priority="181" dxfId="32" stopIfTrue="0">
      <formula>AND(N(B$32)&gt;0,N(B$33)=0)</formula>
    </cfRule>
  </conditionalFormatting>
  <conditionalFormatting sqref="C31:C32">
    <cfRule type="expression" priority="182" dxfId="12" stopIfTrue="0">
      <formula>C$31=""</formula>
    </cfRule>
    <cfRule type="expression" priority="183" dxfId="29" stopIfTrue="0">
      <formula>AND(N(C$33)&gt;0,DATE(Sel_Ano,Sel_Mes,C$31)&lt;Cfg_Hoje)</formula>
    </cfRule>
    <cfRule type="expression" priority="184" dxfId="30" stopIfTrue="0">
      <formula>AND(N(C$33)&gt;0,DATE(Sel_Ano,Sel_Mes,C$31)&gt;=Cfg_Hoje,DATE(Sel_Ano,Sel_Mes,C$31)-Cfg_Hoje&lt;=7)</formula>
    </cfRule>
    <cfRule type="expression" priority="185" dxfId="31" stopIfTrue="0">
      <formula>AND(N(C$33)&gt;0,DATE(Sel_Ano,Sel_Mes,C$31)&gt;Cfg_Hoje+7)</formula>
    </cfRule>
    <cfRule type="expression" priority="186" dxfId="32" stopIfTrue="0">
      <formula>AND(N(C$32)&gt;0,N(C$33)=0)</formula>
    </cfRule>
  </conditionalFormatting>
  <conditionalFormatting sqref="D31:D32">
    <cfRule type="expression" priority="187" dxfId="12" stopIfTrue="0">
      <formula>D$31=""</formula>
    </cfRule>
    <cfRule type="expression" priority="188" dxfId="29" stopIfTrue="0">
      <formula>AND(N(D$33)&gt;0,DATE(Sel_Ano,Sel_Mes,D$31)&lt;Cfg_Hoje)</formula>
    </cfRule>
    <cfRule type="expression" priority="189" dxfId="30" stopIfTrue="0">
      <formula>AND(N(D$33)&gt;0,DATE(Sel_Ano,Sel_Mes,D$31)&gt;=Cfg_Hoje,DATE(Sel_Ano,Sel_Mes,D$31)-Cfg_Hoje&lt;=7)</formula>
    </cfRule>
    <cfRule type="expression" priority="190" dxfId="31" stopIfTrue="0">
      <formula>AND(N(D$33)&gt;0,DATE(Sel_Ano,Sel_Mes,D$31)&gt;Cfg_Hoje+7)</formula>
    </cfRule>
    <cfRule type="expression" priority="191" dxfId="32" stopIfTrue="0">
      <formula>AND(N(D$32)&gt;0,N(D$33)=0)</formula>
    </cfRule>
  </conditionalFormatting>
  <conditionalFormatting sqref="E31:E32">
    <cfRule type="expression" priority="192" dxfId="12" stopIfTrue="0">
      <formula>E$31=""</formula>
    </cfRule>
    <cfRule type="expression" priority="193" dxfId="29" stopIfTrue="0">
      <formula>AND(N(E$33)&gt;0,DATE(Sel_Ano,Sel_Mes,E$31)&lt;Cfg_Hoje)</formula>
    </cfRule>
    <cfRule type="expression" priority="194" dxfId="30" stopIfTrue="0">
      <formula>AND(N(E$33)&gt;0,DATE(Sel_Ano,Sel_Mes,E$31)&gt;=Cfg_Hoje,DATE(Sel_Ano,Sel_Mes,E$31)-Cfg_Hoje&lt;=7)</formula>
    </cfRule>
    <cfRule type="expression" priority="195" dxfId="31" stopIfTrue="0">
      <formula>AND(N(E$33)&gt;0,DATE(Sel_Ano,Sel_Mes,E$31)&gt;Cfg_Hoje+7)</formula>
    </cfRule>
    <cfRule type="expression" priority="196" dxfId="32" stopIfTrue="0">
      <formula>AND(N(E$32)&gt;0,N(E$33)=0)</formula>
    </cfRule>
  </conditionalFormatting>
  <conditionalFormatting sqref="F31:F32">
    <cfRule type="expression" priority="197" dxfId="12" stopIfTrue="0">
      <formula>F$31=""</formula>
    </cfRule>
    <cfRule type="expression" priority="198" dxfId="29" stopIfTrue="0">
      <formula>AND(N(F$33)&gt;0,DATE(Sel_Ano,Sel_Mes,F$31)&lt;Cfg_Hoje)</formula>
    </cfRule>
    <cfRule type="expression" priority="199" dxfId="30" stopIfTrue="0">
      <formula>AND(N(F$33)&gt;0,DATE(Sel_Ano,Sel_Mes,F$31)&gt;=Cfg_Hoje,DATE(Sel_Ano,Sel_Mes,F$31)-Cfg_Hoje&lt;=7)</formula>
    </cfRule>
    <cfRule type="expression" priority="200" dxfId="31" stopIfTrue="0">
      <formula>AND(N(F$33)&gt;0,DATE(Sel_Ano,Sel_Mes,F$31)&gt;Cfg_Hoje+7)</formula>
    </cfRule>
    <cfRule type="expression" priority="201" dxfId="32" stopIfTrue="0">
      <formula>AND(N(F$32)&gt;0,N(F$33)=0)</formula>
    </cfRule>
  </conditionalFormatting>
  <conditionalFormatting sqref="G31:G32">
    <cfRule type="expression" priority="202" dxfId="12" stopIfTrue="0">
      <formula>G$31=""</formula>
    </cfRule>
    <cfRule type="expression" priority="203" dxfId="29" stopIfTrue="0">
      <formula>AND(N(G$33)&gt;0,DATE(Sel_Ano,Sel_Mes,G$31)&lt;Cfg_Hoje)</formula>
    </cfRule>
    <cfRule type="expression" priority="204" dxfId="30" stopIfTrue="0">
      <formula>AND(N(G$33)&gt;0,DATE(Sel_Ano,Sel_Mes,G$31)&gt;=Cfg_Hoje,DATE(Sel_Ano,Sel_Mes,G$31)-Cfg_Hoje&lt;=7)</formula>
    </cfRule>
    <cfRule type="expression" priority="205" dxfId="31" stopIfTrue="0">
      <formula>AND(N(G$33)&gt;0,DATE(Sel_Ano,Sel_Mes,G$31)&gt;Cfg_Hoje+7)</formula>
    </cfRule>
    <cfRule type="expression" priority="206" dxfId="32" stopIfTrue="0">
      <formula>AND(N(G$32)&gt;0,N(G$33)=0)</formula>
    </cfRule>
  </conditionalFormatting>
  <conditionalFormatting sqref="H31:H32">
    <cfRule type="expression" priority="207" dxfId="12" stopIfTrue="0">
      <formula>H$31=""</formula>
    </cfRule>
    <cfRule type="expression" priority="208" dxfId="29" stopIfTrue="0">
      <formula>AND(N(H$33)&gt;0,DATE(Sel_Ano,Sel_Mes,H$31)&lt;Cfg_Hoje)</formula>
    </cfRule>
    <cfRule type="expression" priority="209" dxfId="30" stopIfTrue="0">
      <formula>AND(N(H$33)&gt;0,DATE(Sel_Ano,Sel_Mes,H$31)&gt;=Cfg_Hoje,DATE(Sel_Ano,Sel_Mes,H$31)-Cfg_Hoje&lt;=7)</formula>
    </cfRule>
    <cfRule type="expression" priority="210" dxfId="31" stopIfTrue="0">
      <formula>AND(N(H$33)&gt;0,DATE(Sel_Ano,Sel_Mes,H$31)&gt;Cfg_Hoje+7)</formula>
    </cfRule>
    <cfRule type="expression" priority="211" dxfId="32" stopIfTrue="0">
      <formula>AND(N(H$32)&gt;0,N(H$33)=0)</formula>
    </cfRule>
  </conditionalFormatting>
  <conditionalFormatting sqref="B38:H38">
    <cfRule type="expression" priority="212" dxfId="29" stopIfTrue="0">
      <formula>$H38="⚠ Atrasado"</formula>
    </cfRule>
    <cfRule type="expression" priority="213" dxfId="30" stopIfTrue="0">
      <formula>LEFT($H38,5)="Vence"</formula>
    </cfRule>
    <cfRule type="expression" priority="214" dxfId="32" stopIfTrue="0">
      <formula>$H38="✔ Pago"</formula>
    </cfRule>
  </conditionalFormatting>
  <conditionalFormatting sqref="B39:H39">
    <cfRule type="expression" priority="215" dxfId="29" stopIfTrue="0">
      <formula>$H39="⚠ Atrasado"</formula>
    </cfRule>
    <cfRule type="expression" priority="216" dxfId="30" stopIfTrue="0">
      <formula>LEFT($H39,5)="Vence"</formula>
    </cfRule>
    <cfRule type="expression" priority="217" dxfId="32" stopIfTrue="0">
      <formula>$H39="✔ Pago"</formula>
    </cfRule>
  </conditionalFormatting>
  <conditionalFormatting sqref="B40:H40">
    <cfRule type="expression" priority="218" dxfId="29" stopIfTrue="0">
      <formula>$H40="⚠ Atrasado"</formula>
    </cfRule>
    <cfRule type="expression" priority="219" dxfId="30" stopIfTrue="0">
      <formula>LEFT($H40,5)="Vence"</formula>
    </cfRule>
    <cfRule type="expression" priority="220" dxfId="32" stopIfTrue="0">
      <formula>$H40="✔ Pago"</formula>
    </cfRule>
  </conditionalFormatting>
  <conditionalFormatting sqref="B41:H41">
    <cfRule type="expression" priority="221" dxfId="29" stopIfTrue="0">
      <formula>$H41="⚠ Atrasado"</formula>
    </cfRule>
    <cfRule type="expression" priority="222" dxfId="30" stopIfTrue="0">
      <formula>LEFT($H41,5)="Vence"</formula>
    </cfRule>
    <cfRule type="expression" priority="223" dxfId="32" stopIfTrue="0">
      <formula>$H41="✔ Pago"</formula>
    </cfRule>
  </conditionalFormatting>
  <conditionalFormatting sqref="B42:H42">
    <cfRule type="expression" priority="224" dxfId="29" stopIfTrue="0">
      <formula>$H42="⚠ Atrasado"</formula>
    </cfRule>
    <cfRule type="expression" priority="225" dxfId="30" stopIfTrue="0">
      <formula>LEFT($H42,5)="Vence"</formula>
    </cfRule>
    <cfRule type="expression" priority="226" dxfId="32" stopIfTrue="0">
      <formula>$H42="✔ Pago"</formula>
    </cfRule>
  </conditionalFormatting>
  <conditionalFormatting sqref="B43:H43">
    <cfRule type="expression" priority="227" dxfId="29" stopIfTrue="0">
      <formula>$H43="⚠ Atrasado"</formula>
    </cfRule>
    <cfRule type="expression" priority="228" dxfId="30" stopIfTrue="0">
      <formula>LEFT($H43,5)="Vence"</formula>
    </cfRule>
    <cfRule type="expression" priority="229" dxfId="32" stopIfTrue="0">
      <formula>$H43="✔ Pago"</formula>
    </cfRule>
  </conditionalFormatting>
  <conditionalFormatting sqref="B44:H44">
    <cfRule type="expression" priority="230" dxfId="29" stopIfTrue="0">
      <formula>$H44="⚠ Atrasado"</formula>
    </cfRule>
    <cfRule type="expression" priority="231" dxfId="30" stopIfTrue="0">
      <formula>LEFT($H44,5)="Vence"</formula>
    </cfRule>
    <cfRule type="expression" priority="232" dxfId="32" stopIfTrue="0">
      <formula>$H44="✔ Pago"</formula>
    </cfRule>
  </conditionalFormatting>
  <conditionalFormatting sqref="B45:H45">
    <cfRule type="expression" priority="233" dxfId="29" stopIfTrue="0">
      <formula>$H45="⚠ Atrasado"</formula>
    </cfRule>
    <cfRule type="expression" priority="234" dxfId="30" stopIfTrue="0">
      <formula>LEFT($H45,5)="Vence"</formula>
    </cfRule>
    <cfRule type="expression" priority="235" dxfId="32" stopIfTrue="0">
      <formula>$H45="✔ Pago"</formula>
    </cfRule>
  </conditionalFormatting>
  <conditionalFormatting sqref="B46:H46">
    <cfRule type="expression" priority="236" dxfId="29" stopIfTrue="0">
      <formula>$H46="⚠ Atrasado"</formula>
    </cfRule>
    <cfRule type="expression" priority="237" dxfId="30" stopIfTrue="0">
      <formula>LEFT($H46,5)="Vence"</formula>
    </cfRule>
    <cfRule type="expression" priority="238" dxfId="32" stopIfTrue="0">
      <formula>$H46="✔ Pago"</formula>
    </cfRule>
  </conditionalFormatting>
  <conditionalFormatting sqref="B47:H47">
    <cfRule type="expression" priority="239" dxfId="29" stopIfTrue="0">
      <formula>$H47="⚠ Atrasado"</formula>
    </cfRule>
    <cfRule type="expression" priority="240" dxfId="30" stopIfTrue="0">
      <formula>LEFT($H47,5)="Vence"</formula>
    </cfRule>
    <cfRule type="expression" priority="241" dxfId="32" stopIfTrue="0">
      <formula>$H47="✔ Pago"</formula>
    </cfRule>
  </conditionalFormatting>
  <conditionalFormatting sqref="B48:H48">
    <cfRule type="expression" priority="242" dxfId="29" stopIfTrue="0">
      <formula>$H48="⚠ Atrasado"</formula>
    </cfRule>
    <cfRule type="expression" priority="243" dxfId="30" stopIfTrue="0">
      <formula>LEFT($H48,5)="Vence"</formula>
    </cfRule>
    <cfRule type="expression" priority="244" dxfId="32" stopIfTrue="0">
      <formula>$H48="✔ Pago"</formula>
    </cfRule>
  </conditionalFormatting>
  <conditionalFormatting sqref="B49:H49">
    <cfRule type="expression" priority="245" dxfId="29" stopIfTrue="0">
      <formula>$H49="⚠ Atrasado"</formula>
    </cfRule>
    <cfRule type="expression" priority="246" dxfId="30" stopIfTrue="0">
      <formula>LEFT($H49,5)="Vence"</formula>
    </cfRule>
    <cfRule type="expression" priority="247" dxfId="32" stopIfTrue="0">
      <formula>$H49="✔ Pago"</formula>
    </cfRule>
  </conditionalFormatting>
  <conditionalFormatting sqref="B50:H50">
    <cfRule type="expression" priority="248" dxfId="29" stopIfTrue="0">
      <formula>$H50="⚠ Atrasado"</formula>
    </cfRule>
    <cfRule type="expression" priority="249" dxfId="30" stopIfTrue="0">
      <formula>LEFT($H50,5)="Vence"</formula>
    </cfRule>
    <cfRule type="expression" priority="250" dxfId="32" stopIfTrue="0">
      <formula>$H50="✔ Pago"</formula>
    </cfRule>
  </conditionalFormatting>
  <conditionalFormatting sqref="B51:H51">
    <cfRule type="expression" priority="251" dxfId="29" stopIfTrue="0">
      <formula>$H51="⚠ Atrasado"</formula>
    </cfRule>
    <cfRule type="expression" priority="252" dxfId="30" stopIfTrue="0">
      <formula>LEFT($H51,5)="Vence"</formula>
    </cfRule>
    <cfRule type="expression" priority="253" dxfId="32" stopIfTrue="0">
      <formula>$H51="✔ Pago"</formula>
    </cfRule>
  </conditionalFormatting>
  <conditionalFormatting sqref="B52:H52">
    <cfRule type="expression" priority="254" dxfId="29" stopIfTrue="0">
      <formula>$H52="⚠ Atrasado"</formula>
    </cfRule>
    <cfRule type="expression" priority="255" dxfId="30" stopIfTrue="0">
      <formula>LEFT($H52,5)="Vence"</formula>
    </cfRule>
    <cfRule type="expression" priority="256" dxfId="32" stopIfTrue="0">
      <formula>$H52="✔ Pago"</formula>
    </cfRule>
  </conditionalFormatting>
  <conditionalFormatting sqref="B53:H53">
    <cfRule type="expression" priority="257" dxfId="29" stopIfTrue="0">
      <formula>$H53="⚠ Atrasado"</formula>
    </cfRule>
    <cfRule type="expression" priority="258" dxfId="30" stopIfTrue="0">
      <formula>LEFT($H53,5)="Vence"</formula>
    </cfRule>
    <cfRule type="expression" priority="259" dxfId="32" stopIfTrue="0">
      <formula>$H53="✔ Pago"</formula>
    </cfRule>
  </conditionalFormatting>
  <conditionalFormatting sqref="B54:H54">
    <cfRule type="expression" priority="260" dxfId="29" stopIfTrue="0">
      <formula>$H54="⚠ Atrasado"</formula>
    </cfRule>
    <cfRule type="expression" priority="261" dxfId="30" stopIfTrue="0">
      <formula>LEFT($H54,5)="Vence"</formula>
    </cfRule>
    <cfRule type="expression" priority="262" dxfId="32" stopIfTrue="0">
      <formula>$H54="✔ Pago"</formula>
    </cfRule>
  </conditionalFormatting>
  <conditionalFormatting sqref="B55:H55">
    <cfRule type="expression" priority="263" dxfId="29" stopIfTrue="0">
      <formula>$H55="⚠ Atrasado"</formula>
    </cfRule>
    <cfRule type="expression" priority="264" dxfId="30" stopIfTrue="0">
      <formula>LEFT($H55,5)="Vence"</formula>
    </cfRule>
    <cfRule type="expression" priority="265" dxfId="32" stopIfTrue="0">
      <formula>$H55="✔ Pago"</formula>
    </cfRule>
  </conditionalFormatting>
  <conditionalFormatting sqref="B56:H56">
    <cfRule type="expression" priority="266" dxfId="29" stopIfTrue="0">
      <formula>$H56="⚠ Atrasado"</formula>
    </cfRule>
    <cfRule type="expression" priority="267" dxfId="30" stopIfTrue="0">
      <formula>LEFT($H56,5)="Vence"</formula>
    </cfRule>
    <cfRule type="expression" priority="268" dxfId="32" stopIfTrue="0">
      <formula>$H56="✔ Pago"</formula>
    </cfRule>
  </conditionalFormatting>
  <conditionalFormatting sqref="B57:H57">
    <cfRule type="expression" priority="269" dxfId="29" stopIfTrue="0">
      <formula>$H57="⚠ Atrasado"</formula>
    </cfRule>
    <cfRule type="expression" priority="270" dxfId="30" stopIfTrue="0">
      <formula>LEFT($H57,5)="Vence"</formula>
    </cfRule>
    <cfRule type="expression" priority="271" dxfId="32" stopIfTrue="0">
      <formula>$H57="✔ Pago"</formula>
    </cfRule>
  </conditionalFormatting>
  <conditionalFormatting sqref="B58:H58">
    <cfRule type="expression" priority="272" dxfId="29" stopIfTrue="0">
      <formula>$H58="⚠ Atrasado"</formula>
    </cfRule>
    <cfRule type="expression" priority="273" dxfId="30" stopIfTrue="0">
      <formula>LEFT($H58,5)="Vence"</formula>
    </cfRule>
    <cfRule type="expression" priority="274" dxfId="32" stopIfTrue="0">
      <formula>$H58="✔ Pago"</formula>
    </cfRule>
  </conditionalFormatting>
  <conditionalFormatting sqref="B59:H59">
    <cfRule type="expression" priority="275" dxfId="29" stopIfTrue="0">
      <formula>$H59="⚠ Atrasado"</formula>
    </cfRule>
    <cfRule type="expression" priority="276" dxfId="30" stopIfTrue="0">
      <formula>LEFT($H59,5)="Vence"</formula>
    </cfRule>
    <cfRule type="expression" priority="277" dxfId="32" stopIfTrue="0">
      <formula>$H59="✔ Pago"</formula>
    </cfRule>
  </conditionalFormatting>
  <conditionalFormatting sqref="B60:H60">
    <cfRule type="expression" priority="278" dxfId="29" stopIfTrue="0">
      <formula>$H60="⚠ Atrasado"</formula>
    </cfRule>
    <cfRule type="expression" priority="279" dxfId="30" stopIfTrue="0">
      <formula>LEFT($H60,5)="Vence"</formula>
    </cfRule>
    <cfRule type="expression" priority="280" dxfId="32" stopIfTrue="0">
      <formula>$H60="✔ Pago"</formula>
    </cfRule>
  </conditionalFormatting>
  <conditionalFormatting sqref="B61:H61">
    <cfRule type="expression" priority="281" dxfId="29" stopIfTrue="0">
      <formula>$H61="⚠ Atrasado"</formula>
    </cfRule>
    <cfRule type="expression" priority="282" dxfId="30" stopIfTrue="0">
      <formula>LEFT($H61,5)="Vence"</formula>
    </cfRule>
    <cfRule type="expression" priority="283" dxfId="32" stopIfTrue="0">
      <formula>$H61="✔ Pago"</formula>
    </cfRule>
  </conditionalFormatting>
  <conditionalFormatting sqref="B62:H62">
    <cfRule type="expression" priority="284" dxfId="29" stopIfTrue="0">
      <formula>$H62="⚠ Atrasado"</formula>
    </cfRule>
    <cfRule type="expression" priority="285" dxfId="30" stopIfTrue="0">
      <formula>LEFT($H62,5)="Vence"</formula>
    </cfRule>
    <cfRule type="expression" priority="286" dxfId="32" stopIfTrue="0">
      <formula>$H62="✔ Pago"</formula>
    </cfRule>
  </conditionalFormatting>
  <conditionalFormatting sqref="B63:H63">
    <cfRule type="expression" priority="287" dxfId="29" stopIfTrue="0">
      <formula>$H63="⚠ Atrasado"</formula>
    </cfRule>
    <cfRule type="expression" priority="288" dxfId="30" stopIfTrue="0">
      <formula>LEFT($H63,5)="Vence"</formula>
    </cfRule>
    <cfRule type="expression" priority="289" dxfId="32" stopIfTrue="0">
      <formula>$H63="✔ Pago"</formula>
    </cfRule>
  </conditionalFormatting>
  <conditionalFormatting sqref="B64:H64">
    <cfRule type="expression" priority="290" dxfId="29" stopIfTrue="0">
      <formula>$H64="⚠ Atrasado"</formula>
    </cfRule>
    <cfRule type="expression" priority="291" dxfId="30" stopIfTrue="0">
      <formula>LEFT($H64,5)="Vence"</formula>
    </cfRule>
    <cfRule type="expression" priority="292" dxfId="32" stopIfTrue="0">
      <formula>$H64="✔ Pago"</formula>
    </cfRule>
  </conditionalFormatting>
  <conditionalFormatting sqref="B65:H65">
    <cfRule type="expression" priority="293" dxfId="29" stopIfTrue="0">
      <formula>$H65="⚠ Atrasado"</formula>
    </cfRule>
    <cfRule type="expression" priority="294" dxfId="30" stopIfTrue="0">
      <formula>LEFT($H65,5)="Vence"</formula>
    </cfRule>
    <cfRule type="expression" priority="295" dxfId="32" stopIfTrue="0">
      <formula>$H65="✔ Pago"</formula>
    </cfRule>
  </conditionalFormatting>
  <conditionalFormatting sqref="B66:H66">
    <cfRule type="expression" priority="296" dxfId="29" stopIfTrue="0">
      <formula>$H66="⚠ Atrasado"</formula>
    </cfRule>
    <cfRule type="expression" priority="297" dxfId="30" stopIfTrue="0">
      <formula>LEFT($H66,5)="Vence"</formula>
    </cfRule>
    <cfRule type="expression" priority="298" dxfId="32" stopIfTrue="0">
      <formula>$H66="✔ Pago"</formula>
    </cfRule>
  </conditionalFormatting>
  <conditionalFormatting sqref="B67:H67">
    <cfRule type="expression" priority="299" dxfId="29" stopIfTrue="0">
      <formula>$H67="⚠ Atrasado"</formula>
    </cfRule>
    <cfRule type="expression" priority="300" dxfId="30" stopIfTrue="0">
      <formula>LEFT($H67,5)="Vence"</formula>
    </cfRule>
    <cfRule type="expression" priority="301" dxfId="32" stopIfTrue="0">
      <formula>$H67="✔ Pago"</formula>
    </cfRule>
  </conditionalFormatting>
  <conditionalFormatting sqref="B68:H68">
    <cfRule type="expression" priority="302" dxfId="29" stopIfTrue="0">
      <formula>$H68="⚠ Atrasado"</formula>
    </cfRule>
    <cfRule type="expression" priority="303" dxfId="30" stopIfTrue="0">
      <formula>LEFT($H68,5)="Vence"</formula>
    </cfRule>
    <cfRule type="expression" priority="304" dxfId="32" stopIfTrue="0">
      <formula>$H68="✔ Pago"</formula>
    </cfRule>
  </conditionalFormatting>
  <conditionalFormatting sqref="B69:H69">
    <cfRule type="expression" priority="305" dxfId="29" stopIfTrue="0">
      <formula>$H69="⚠ Atrasado"</formula>
    </cfRule>
    <cfRule type="expression" priority="306" dxfId="30" stopIfTrue="0">
      <formula>LEFT($H69,5)="Vence"</formula>
    </cfRule>
    <cfRule type="expression" priority="307" dxfId="32" stopIfTrue="0">
      <formula>$H69="✔ Pago"</formula>
    </cfRule>
  </conditionalFormatting>
  <conditionalFormatting sqref="B70:H70">
    <cfRule type="expression" priority="308" dxfId="29" stopIfTrue="0">
      <formula>$H70="⚠ Atrasado"</formula>
    </cfRule>
    <cfRule type="expression" priority="309" dxfId="30" stopIfTrue="0">
      <formula>LEFT($H70,5)="Vence"</formula>
    </cfRule>
    <cfRule type="expression" priority="310" dxfId="32" stopIfTrue="0">
      <formula>$H70="✔ Pago"</formula>
    </cfRule>
  </conditionalFormatting>
  <conditionalFormatting sqref="B71:H71">
    <cfRule type="expression" priority="311" dxfId="29" stopIfTrue="0">
      <formula>$H71="⚠ Atrasado"</formula>
    </cfRule>
    <cfRule type="expression" priority="312" dxfId="30" stopIfTrue="0">
      <formula>LEFT($H71,5)="Vence"</formula>
    </cfRule>
    <cfRule type="expression" priority="313" dxfId="32" stopIfTrue="0">
      <formula>$H71="✔ Pago"</formula>
    </cfRule>
  </conditionalFormatting>
  <conditionalFormatting sqref="B72:H72">
    <cfRule type="expression" priority="314" dxfId="29" stopIfTrue="0">
      <formula>$H72="⚠ Atrasado"</formula>
    </cfRule>
    <cfRule type="expression" priority="315" dxfId="30" stopIfTrue="0">
      <formula>LEFT($H72,5)="Vence"</formula>
    </cfRule>
    <cfRule type="expression" priority="316" dxfId="32" stopIfTrue="0">
      <formula>$H72="✔ Pago"</formula>
    </cfRule>
  </conditionalFormatting>
  <conditionalFormatting sqref="B73:H73">
    <cfRule type="expression" priority="317" dxfId="29" stopIfTrue="0">
      <formula>$H73="⚠ Atrasado"</formula>
    </cfRule>
    <cfRule type="expression" priority="318" dxfId="30" stopIfTrue="0">
      <formula>LEFT($H73,5)="Vence"</formula>
    </cfRule>
    <cfRule type="expression" priority="319" dxfId="32" stopIfTrue="0">
      <formula>$H73="✔ Pago"</formula>
    </cfRule>
  </conditionalFormatting>
  <conditionalFormatting sqref="B74:H74">
    <cfRule type="expression" priority="320" dxfId="29" stopIfTrue="0">
      <formula>$H74="⚠ Atrasado"</formula>
    </cfRule>
    <cfRule type="expression" priority="321" dxfId="30" stopIfTrue="0">
      <formula>LEFT($H74,5)="Vence"</formula>
    </cfRule>
    <cfRule type="expression" priority="322" dxfId="32" stopIfTrue="0">
      <formula>$H74="✔ Pago"</formula>
    </cfRule>
  </conditionalFormatting>
  <conditionalFormatting sqref="B75:H75">
    <cfRule type="expression" priority="323" dxfId="29" stopIfTrue="0">
      <formula>$H75="⚠ Atrasado"</formula>
    </cfRule>
    <cfRule type="expression" priority="324" dxfId="30" stopIfTrue="0">
      <formula>LEFT($H75,5)="Vence"</formula>
    </cfRule>
    <cfRule type="expression" priority="325" dxfId="32" stopIfTrue="0">
      <formula>$H75="✔ Pago"</formula>
    </cfRule>
  </conditionalFormatting>
  <conditionalFormatting sqref="B76:H76">
    <cfRule type="expression" priority="326" dxfId="29" stopIfTrue="0">
      <formula>$H76="⚠ Atrasado"</formula>
    </cfRule>
    <cfRule type="expression" priority="327" dxfId="30" stopIfTrue="0">
      <formula>LEFT($H76,5)="Vence"</formula>
    </cfRule>
    <cfRule type="expression" priority="328" dxfId="32" stopIfTrue="0">
      <formula>$H76="✔ Pago"</formula>
    </cfRule>
  </conditionalFormatting>
  <conditionalFormatting sqref="B77:H77">
    <cfRule type="expression" priority="329" dxfId="29" stopIfTrue="0">
      <formula>$H77="⚠ Atrasado"</formula>
    </cfRule>
    <cfRule type="expression" priority="330" dxfId="30" stopIfTrue="0">
      <formula>LEFT($H77,5)="Vence"</formula>
    </cfRule>
    <cfRule type="expression" priority="331" dxfId="32" stopIfTrue="0">
      <formula>$H77="✔ Pago"</formula>
    </cfRule>
  </conditionalFormatting>
  <conditionalFormatting sqref="B85:F85">
    <cfRule type="expression" priority="332" dxfId="29" stopIfTrue="0">
      <formula>$E85="⚠ Vencida"</formula>
    </cfRule>
    <cfRule type="expression" priority="333" dxfId="30" stopIfTrue="0">
      <formula>LEFT($E85,5)="Vence"</formula>
    </cfRule>
    <cfRule type="expression" priority="334" dxfId="32" stopIfTrue="0">
      <formula>$E85="✔ Paga"</formula>
    </cfRule>
  </conditionalFormatting>
  <conditionalFormatting sqref="B86:F86">
    <cfRule type="expression" priority="335" dxfId="29" stopIfTrue="0">
      <formula>$E86="⚠ Vencida"</formula>
    </cfRule>
    <cfRule type="expression" priority="336" dxfId="30" stopIfTrue="0">
      <formula>LEFT($E86,5)="Vence"</formula>
    </cfRule>
    <cfRule type="expression" priority="337" dxfId="32" stopIfTrue="0">
      <formula>$E86="✔ Paga"</formula>
    </cfRule>
  </conditionalFormatting>
  <conditionalFormatting sqref="B87:F87">
    <cfRule type="expression" priority="338" dxfId="29" stopIfTrue="0">
      <formula>$E87="⚠ Vencida"</formula>
    </cfRule>
    <cfRule type="expression" priority="339" dxfId="30" stopIfTrue="0">
      <formula>LEFT($E87,5)="Vence"</formula>
    </cfRule>
    <cfRule type="expression" priority="340" dxfId="32" stopIfTrue="0">
      <formula>$E87="✔ Paga"</formula>
    </cfRule>
  </conditionalFormatting>
  <conditionalFormatting sqref="B88:F88">
    <cfRule type="expression" priority="341" dxfId="29" stopIfTrue="0">
      <formula>$E88="⚠ Vencida"</formula>
    </cfRule>
    <cfRule type="expression" priority="342" dxfId="30" stopIfTrue="0">
      <formula>LEFT($E88,5)="Vence"</formula>
    </cfRule>
    <cfRule type="expression" priority="343" dxfId="32" stopIfTrue="0">
      <formula>$E88="✔ Paga"</formula>
    </cfRule>
  </conditionalFormatting>
  <conditionalFormatting sqref="B89:F89">
    <cfRule type="expression" priority="344" dxfId="29" stopIfTrue="0">
      <formula>$E89="⚠ Vencida"</formula>
    </cfRule>
    <cfRule type="expression" priority="345" dxfId="30" stopIfTrue="0">
      <formula>LEFT($E89,5)="Vence"</formula>
    </cfRule>
    <cfRule type="expression" priority="346" dxfId="32" stopIfTrue="0">
      <formula>$E89="✔ Paga"</formula>
    </cfRule>
  </conditionalFormatting>
  <conditionalFormatting sqref="B90:F90">
    <cfRule type="expression" priority="347" dxfId="29" stopIfTrue="0">
      <formula>$E90="⚠ Vencida"</formula>
    </cfRule>
    <cfRule type="expression" priority="348" dxfId="30" stopIfTrue="0">
      <formula>LEFT($E90,5)="Vence"</formula>
    </cfRule>
    <cfRule type="expression" priority="349" dxfId="32" stopIfTrue="0">
      <formula>$E90="✔ Paga"</formula>
    </cfRule>
  </conditionalFormatting>
  <conditionalFormatting sqref="B91:F91">
    <cfRule type="expression" priority="350" dxfId="29" stopIfTrue="0">
      <formula>$E91="⚠ Vencida"</formula>
    </cfRule>
    <cfRule type="expression" priority="351" dxfId="30" stopIfTrue="0">
      <formula>LEFT($E91,5)="Vence"</formula>
    </cfRule>
    <cfRule type="expression" priority="352" dxfId="32" stopIfTrue="0">
      <formula>$E91="✔ Paga"</formula>
    </cfRule>
  </conditionalFormatting>
  <conditionalFormatting sqref="B92:F92">
    <cfRule type="expression" priority="353" dxfId="29" stopIfTrue="0">
      <formula>$E92="⚠ Vencida"</formula>
    </cfRule>
    <cfRule type="expression" priority="354" dxfId="30" stopIfTrue="0">
      <formula>LEFT($E92,5)="Vence"</formula>
    </cfRule>
    <cfRule type="expression" priority="355" dxfId="32" stopIfTrue="0">
      <formula>$E92="✔ Paga"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IMPOSTO DE RENDA'!A1" display="Imposto de Renda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108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  <col width="18" customWidth="1" min="4" max="4"/>
    <col width="18" customWidth="1" min="5" max="5"/>
    <col width="18" customWidth="1" min="6" max="6"/>
    <col width="30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IMPOSTO DE RENDA (apoio)</t>
        </is>
      </c>
    </row>
    <row r="2" ht="32" customHeight="1">
      <c r="B2" s="2" t="inlineStr">
        <is>
          <t>Organize os dados para a declaração do ano selecionado. ⚠ Apenas organização: não substitui contador nem o programa oficial da Receita Federal. Valores de limites são referência (edite conforme o ano-calendário).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Análises</t>
        </is>
      </c>
      <c r="H4" s="4" t="inlineStr">
        <is>
          <t>Backup</t>
        </is>
      </c>
    </row>
    <row r="5">
      <c r="B5" s="26" t="inlineStr">
        <is>
          <t>⬇ digite nas células azuis</t>
        </is>
      </c>
    </row>
    <row r="6">
      <c r="B6" s="6" t="inlineStr">
        <is>
          <t>1. Rendimentos tributáveis (informes de rendimentos)</t>
        </is>
      </c>
    </row>
    <row r="7">
      <c r="B7" s="7" t="inlineStr">
        <is>
          <t>Fonte pagadora</t>
        </is>
      </c>
      <c r="C7" s="7" t="inlineStr">
        <is>
          <t>CNPJ/CPF</t>
        </is>
      </c>
      <c r="D7" s="7" t="inlineStr">
        <is>
          <t>Rendimento anual</t>
        </is>
      </c>
      <c r="E7" s="7" t="inlineStr">
        <is>
          <t>IRRF retido</t>
        </is>
      </c>
    </row>
    <row r="8">
      <c r="B8" s="34" t="inlineStr">
        <is>
          <t>Empresa Exemplo S/A</t>
        </is>
      </c>
      <c r="C8" s="34" t="inlineStr">
        <is>
          <t>00.000.000/0001-00</t>
        </is>
      </c>
      <c r="D8" s="35" t="n">
        <v>102000</v>
      </c>
      <c r="E8" s="35" t="n">
        <v>11500</v>
      </c>
    </row>
    <row r="9">
      <c r="B9" s="34" t="inlineStr">
        <is>
          <t>Projetos autônomos (carnê-leão)</t>
        </is>
      </c>
      <c r="C9" s="34" t="inlineStr">
        <is>
          <t>000.000.000-00</t>
        </is>
      </c>
      <c r="D9" s="35" t="n">
        <v>7200</v>
      </c>
      <c r="E9" s="35" t="n">
        <v>0</v>
      </c>
    </row>
    <row r="10">
      <c r="B10" s="34" t="n"/>
      <c r="C10" s="34" t="n"/>
      <c r="D10" s="35" t="n"/>
      <c r="E10" s="35" t="n"/>
    </row>
    <row r="11">
      <c r="B11" s="34" t="n"/>
      <c r="C11" s="34" t="n"/>
      <c r="D11" s="35" t="n"/>
      <c r="E11" s="35" t="n"/>
    </row>
    <row r="12">
      <c r="B12" s="34" t="n"/>
      <c r="C12" s="34" t="n"/>
      <c r="D12" s="35" t="n"/>
      <c r="E12" s="35" t="n"/>
    </row>
    <row r="13">
      <c r="B13" s="34" t="n"/>
      <c r="C13" s="34" t="n"/>
      <c r="D13" s="35" t="n"/>
      <c r="E13" s="35" t="n"/>
    </row>
    <row r="14">
      <c r="B14" s="9" t="inlineStr">
        <is>
          <t>Total</t>
        </is>
      </c>
      <c r="D14" s="81">
        <f>SUM(D8:D13)</f>
        <v>109200</v>
      </c>
      <c r="E14" s="81">
        <f>SUM(E8:E13)</f>
        <v>11500</v>
      </c>
    </row>
    <row r="16">
      <c r="B16" s="6" t="inlineStr">
        <is>
          <t>2. Rendimentos isentos e não tributáveis</t>
        </is>
      </c>
    </row>
    <row r="17">
      <c r="B17" s="7" t="inlineStr">
        <is>
          <t>Descrição</t>
        </is>
      </c>
      <c r="C17" s="7" t="inlineStr">
        <is>
          <t>Fonte</t>
        </is>
      </c>
      <c r="D17" s="7" t="inlineStr">
        <is>
          <t>Valor anual</t>
        </is>
      </c>
    </row>
    <row r="18">
      <c r="B18" s="34" t="inlineStr">
        <is>
          <t>Rendimento da poupança</t>
        </is>
      </c>
      <c r="C18" s="34" t="inlineStr">
        <is>
          <t>Banco Azul</t>
        </is>
      </c>
      <c r="D18" s="35" t="n">
        <v>720</v>
      </c>
    </row>
    <row r="19">
      <c r="B19" s="34" t="inlineStr">
        <is>
          <t>Aluguel recebido (pessoa física, isento no exemplo)</t>
        </is>
      </c>
      <c r="C19" s="34" t="inlineStr">
        <is>
          <t>Inquilino</t>
        </is>
      </c>
      <c r="D19" s="35" t="n">
        <v>0</v>
      </c>
    </row>
    <row r="20">
      <c r="B20" s="34" t="n"/>
      <c r="C20" s="34" t="n"/>
      <c r="D20" s="35" t="n"/>
    </row>
    <row r="21">
      <c r="B21" s="34" t="n"/>
      <c r="C21" s="34" t="n"/>
      <c r="D21" s="35" t="n"/>
    </row>
    <row r="22">
      <c r="B22" s="34" t="n"/>
      <c r="C22" s="34" t="n"/>
      <c r="D22" s="35" t="n"/>
    </row>
    <row r="23">
      <c r="B23" s="34" t="n"/>
      <c r="C23" s="34" t="n"/>
      <c r="D23" s="35" t="n"/>
    </row>
    <row r="24">
      <c r="B24" s="9" t="inlineStr">
        <is>
          <t>Total</t>
        </is>
      </c>
      <c r="D24" s="81">
        <f>SUM(D18:D23)</f>
        <v>720</v>
      </c>
    </row>
    <row r="26">
      <c r="B26" s="6" t="inlineStr">
        <is>
          <t>3. Tributação exclusiva / definitiva (ex.: 13º, aplicações)</t>
        </is>
      </c>
    </row>
    <row r="27">
      <c r="B27" s="7" t="inlineStr">
        <is>
          <t>Descrição</t>
        </is>
      </c>
      <c r="C27" s="7" t="inlineStr">
        <is>
          <t>Fonte</t>
        </is>
      </c>
      <c r="D27" s="7" t="inlineStr">
        <is>
          <t>Valor anual</t>
        </is>
      </c>
    </row>
    <row r="28">
      <c r="B28" s="34" t="inlineStr">
        <is>
          <t>13º salário</t>
        </is>
      </c>
      <c r="C28" s="34" t="inlineStr">
        <is>
          <t>Empresa Exemplo S/A</t>
        </is>
      </c>
      <c r="D28" s="35" t="n">
        <v>8500</v>
      </c>
    </row>
    <row r="29">
      <c r="B29" s="34" t="n"/>
      <c r="C29" s="34" t="n"/>
      <c r="D29" s="35" t="n"/>
    </row>
    <row r="30">
      <c r="B30" s="34" t="n"/>
      <c r="C30" s="34" t="n"/>
      <c r="D30" s="35" t="n"/>
    </row>
    <row r="31">
      <c r="B31" s="34" t="n"/>
      <c r="C31" s="34" t="n"/>
      <c r="D31" s="35" t="n"/>
    </row>
    <row r="32">
      <c r="B32" s="34" t="n"/>
      <c r="C32" s="34" t="n"/>
      <c r="D32" s="35" t="n"/>
    </row>
    <row r="33">
      <c r="B33" s="9" t="inlineStr">
        <is>
          <t>Total</t>
        </is>
      </c>
      <c r="D33" s="81">
        <f>SUM(D28:D32)</f>
        <v>8500</v>
      </c>
    </row>
    <row r="35">
      <c r="B35" s="6" t="inlineStr">
        <is>
          <t>4. Despesas dedutíveis</t>
        </is>
      </c>
    </row>
    <row r="36" ht="32" customHeight="1">
      <c r="B36" s="7" t="inlineStr">
        <is>
          <t>Item</t>
        </is>
      </c>
      <c r="C36" s="7" t="inlineStr">
        <is>
          <t>Lançado na planilha (ano)</t>
        </is>
      </c>
      <c r="D36" s="7" t="inlineStr">
        <is>
          <t>Ajuste manual (+/−)</t>
        </is>
      </c>
      <c r="E36" s="7" t="inlineStr">
        <is>
          <t>Limite / parâmetro</t>
        </is>
      </c>
      <c r="F36" s="7" t="inlineStr">
        <is>
          <t>Dedução considerada</t>
        </is>
      </c>
    </row>
    <row r="37">
      <c r="B37" s="17" t="inlineStr">
        <is>
          <t>Saúde (sem limite)</t>
        </is>
      </c>
      <c r="C37" s="36">
        <f>SUMIFS(L_VParc,L_Tipo,"Despesa",L_Cat,"Saúde",L_Ano,Sel_Ano)</f>
        <v>9943.93</v>
      </c>
      <c r="D37" s="35" t="n"/>
      <c r="E37" s="13" t="inlineStr">
        <is>
          <t>sem limite</t>
        </is>
      </c>
      <c r="F37" s="36">
        <f>MAX(0,C37+N(D37))</f>
        <v>9943.93</v>
      </c>
    </row>
    <row r="38">
      <c r="B38" s="17" t="inlineStr">
        <is>
          <t>Educação (limite por pessoa)</t>
        </is>
      </c>
      <c r="C38" s="36">
        <f>SUMIFS(L_VParc,L_Tipo,"Despesa",L_Cat,"Educação",L_Ano,Sel_Ano)</f>
        <v>3900</v>
      </c>
      <c r="D38" s="35" t="n"/>
      <c r="E38" s="35" t="n">
        <v>3561.5</v>
      </c>
      <c r="F38" s="36">
        <f>MIN(MAX(0,C38+N(D38)),E38*(1+N(C39)))</f>
        <v>3561.5</v>
      </c>
    </row>
    <row r="39">
      <c r="B39" s="17" t="inlineStr">
        <is>
          <t>Dependentes: nº na coluna C × dedução por dependente</t>
        </is>
      </c>
      <c r="C39" s="37" t="n">
        <v>0</v>
      </c>
      <c r="E39" s="35" t="n">
        <v>2275.08</v>
      </c>
      <c r="F39" s="36">
        <f>N(C39)*E39</f>
        <v>0</v>
      </c>
    </row>
    <row r="40">
      <c r="B40" s="17" t="inlineStr">
        <is>
          <t>Previdência privada (PGBL, limite 12% da renda tributável)</t>
        </is>
      </c>
      <c r="C40" s="35" t="n"/>
      <c r="D40" s="35" t="n"/>
      <c r="E40" s="36">
        <f>0.12*IR_Trib</f>
        <v>13104</v>
      </c>
      <c r="F40" s="36">
        <f>MIN(MAX(0,N(C40)+N(D40)),E40)</f>
        <v>0</v>
      </c>
    </row>
    <row r="41">
      <c r="B41" s="9" t="inlineStr">
        <is>
          <t>Total de deduções</t>
        </is>
      </c>
      <c r="F41" s="81">
        <f>SUM(F37:F40)</f>
        <v>13505.43</v>
      </c>
    </row>
    <row r="42">
      <c r="B42" s="28" t="inlineStr">
        <is>
          <t>Educação: limite anual por pessoa (titular + dependentes) e dedução por dependente são valores de referência editáveis. Confira os valores oficiais do ano-calendário.</t>
        </is>
      </c>
    </row>
    <row r="45">
      <c r="B45" s="6" t="inlineStr">
        <is>
          <t>5. Bens e direitos</t>
        </is>
      </c>
    </row>
    <row r="46">
      <c r="B46" s="7" t="inlineStr">
        <is>
          <t>Descrição</t>
        </is>
      </c>
      <c r="C46" s="7" t="inlineStr">
        <is>
          <t>Código</t>
        </is>
      </c>
      <c r="D46" s="7" t="inlineStr">
        <is>
          <t>Valor em 31/12 do ano anterior</t>
        </is>
      </c>
      <c r="E46" s="7" t="inlineStr">
        <is>
          <t>Valor em 31/12 do ano</t>
        </is>
      </c>
    </row>
    <row r="47">
      <c r="B47" s="34" t="inlineStr">
        <is>
          <t>Apartamento residencial</t>
        </is>
      </c>
      <c r="C47" s="34" t="inlineStr">
        <is>
          <t>12-01</t>
        </is>
      </c>
      <c r="D47" s="35" t="n">
        <v>520000</v>
      </c>
      <c r="E47" s="35" t="n">
        <v>520000</v>
      </c>
    </row>
    <row r="48">
      <c r="B48" s="34" t="inlineStr">
        <is>
          <t>Veículo</t>
        </is>
      </c>
      <c r="C48" s="34" t="inlineStr">
        <is>
          <t>21-01</t>
        </is>
      </c>
      <c r="D48" s="35" t="n">
        <v>52000</v>
      </c>
      <c r="E48" s="35" t="n">
        <v>48000</v>
      </c>
    </row>
    <row r="49">
      <c r="B49" s="34" t="inlineStr">
        <is>
          <t>Conta corrente e poupança</t>
        </is>
      </c>
      <c r="C49" s="34" t="inlineStr">
        <is>
          <t>06-01</t>
        </is>
      </c>
      <c r="D49" s="35" t="n">
        <v>9000</v>
      </c>
      <c r="E49" s="35" t="n">
        <v>10450</v>
      </c>
    </row>
    <row r="50">
      <c r="B50" s="34" t="inlineStr">
        <is>
          <t>Investimentos</t>
        </is>
      </c>
      <c r="C50" s="34" t="inlineStr">
        <is>
          <t>04-02</t>
        </is>
      </c>
      <c r="D50" s="35" t="n">
        <v>80000</v>
      </c>
      <c r="E50" s="35" t="n">
        <v>106000</v>
      </c>
    </row>
    <row r="51">
      <c r="B51" s="34" t="n"/>
      <c r="C51" s="34" t="n"/>
      <c r="D51" s="35" t="n"/>
      <c r="E51" s="35" t="n"/>
    </row>
    <row r="52">
      <c r="B52" s="34" t="n"/>
      <c r="C52" s="34" t="n"/>
      <c r="D52" s="35" t="n"/>
      <c r="E52" s="35" t="n"/>
    </row>
    <row r="53">
      <c r="B53" s="34" t="n"/>
      <c r="C53" s="34" t="n"/>
      <c r="D53" s="35" t="n"/>
      <c r="E53" s="35" t="n"/>
    </row>
    <row r="54">
      <c r="B54" s="34" t="n"/>
      <c r="C54" s="34" t="n"/>
      <c r="D54" s="35" t="n"/>
      <c r="E54" s="35" t="n"/>
    </row>
    <row r="55">
      <c r="B55" s="34" t="n"/>
      <c r="C55" s="34" t="n"/>
      <c r="D55" s="35" t="n"/>
      <c r="E55" s="35" t="n"/>
    </row>
    <row r="56">
      <c r="B56" s="34" t="n"/>
      <c r="C56" s="34" t="n"/>
      <c r="D56" s="35" t="n"/>
      <c r="E56" s="35" t="n"/>
    </row>
    <row r="57">
      <c r="B57" s="9" t="inlineStr">
        <is>
          <t>Total</t>
        </is>
      </c>
      <c r="D57" s="81">
        <f>SUM(D47:D56)</f>
        <v>661000</v>
      </c>
      <c r="E57" s="81">
        <f>SUM(E47:E56)</f>
        <v>684450</v>
      </c>
    </row>
    <row r="59">
      <c r="B59" s="6" t="inlineStr">
        <is>
          <t>6. Dívidas e ônus reais</t>
        </is>
      </c>
    </row>
    <row r="60">
      <c r="B60" s="7" t="inlineStr">
        <is>
          <t>Descrição</t>
        </is>
      </c>
      <c r="C60" s="7" t="inlineStr">
        <is>
          <t>Credor</t>
        </is>
      </c>
      <c r="D60" s="7" t="inlineStr">
        <is>
          <t>Valor em 31/12 do ano anterior</t>
        </is>
      </c>
      <c r="E60" s="7" t="inlineStr">
        <is>
          <t>Valor em 31/12 do ano</t>
        </is>
      </c>
    </row>
    <row r="61">
      <c r="B61" s="34" t="inlineStr">
        <is>
          <t>Financiamento do veículo</t>
        </is>
      </c>
      <c r="C61" s="34" t="inlineStr">
        <is>
          <t>Banco Azul</t>
        </is>
      </c>
      <c r="D61" s="35" t="n">
        <v>40900</v>
      </c>
      <c r="E61" s="35" t="n">
        <v>28400</v>
      </c>
    </row>
    <row r="62">
      <c r="B62" s="34" t="n"/>
      <c r="C62" s="34" t="n"/>
      <c r="D62" s="35" t="n"/>
      <c r="E62" s="35" t="n"/>
    </row>
    <row r="63">
      <c r="B63" s="34" t="n"/>
      <c r="C63" s="34" t="n"/>
      <c r="D63" s="35" t="n"/>
      <c r="E63" s="35" t="n"/>
    </row>
    <row r="64">
      <c r="B64" s="34" t="n"/>
      <c r="C64" s="34" t="n"/>
      <c r="D64" s="35" t="n"/>
      <c r="E64" s="35" t="n"/>
    </row>
    <row r="65">
      <c r="B65" s="34" t="n"/>
      <c r="C65" s="34" t="n"/>
      <c r="D65" s="35" t="n"/>
      <c r="E65" s="35" t="n"/>
    </row>
    <row r="66">
      <c r="B66" s="9" t="inlineStr">
        <is>
          <t>Total</t>
        </is>
      </c>
      <c r="D66" s="81">
        <f>SUM(D61:D65)</f>
        <v>40900</v>
      </c>
      <c r="E66" s="81">
        <f>SUM(E61:E65)</f>
        <v>28400</v>
      </c>
    </row>
    <row r="68">
      <c r="B68" s="6" t="inlineStr">
        <is>
          <t>7. Checklist da declaração</t>
        </is>
      </c>
    </row>
    <row r="69">
      <c r="B69" s="7" t="inlineStr">
        <is>
          <t>Item</t>
        </is>
      </c>
      <c r="C69" s="7" t="inlineStr">
        <is>
          <t>Situação</t>
        </is>
      </c>
    </row>
    <row r="70">
      <c r="B70" s="17" t="inlineStr">
        <is>
          <t>Informes de rendimentos de todas as fontes pagadoras</t>
        </is>
      </c>
      <c r="C70" s="34" t="inlineStr">
        <is>
          <t>Pendente</t>
        </is>
      </c>
    </row>
    <row r="71">
      <c r="B71" s="17" t="inlineStr">
        <is>
          <t>Informes de bancos e corretoras (saldos e rendimentos)</t>
        </is>
      </c>
      <c r="C71" s="34" t="inlineStr">
        <is>
          <t>Pendente</t>
        </is>
      </c>
    </row>
    <row r="72">
      <c r="B72" s="17" t="inlineStr">
        <is>
          <t>Recibos de despesas médicas e plano de saúde</t>
        </is>
      </c>
      <c r="C72" s="34" t="inlineStr">
        <is>
          <t>Pendente</t>
        </is>
      </c>
    </row>
    <row r="73">
      <c r="B73" s="17" t="inlineStr">
        <is>
          <t>Comprovantes de educação (próprio e dependentes)</t>
        </is>
      </c>
      <c r="C73" s="34" t="inlineStr">
        <is>
          <t>Pendente</t>
        </is>
      </c>
    </row>
    <row r="74">
      <c r="B74" s="17" t="inlineStr">
        <is>
          <t>Dados de dependentes (CPF e data de nascimento)</t>
        </is>
      </c>
      <c r="C74" s="34" t="inlineStr">
        <is>
          <t>Pendente</t>
        </is>
      </c>
    </row>
    <row r="75">
      <c r="B75" s="17" t="inlineStr">
        <is>
          <t>Comprovantes de previdência privada (PGBL)</t>
        </is>
      </c>
      <c r="C75" s="34" t="inlineStr">
        <is>
          <t>Pendente</t>
        </is>
      </c>
    </row>
    <row r="76">
      <c r="B76" s="17" t="inlineStr">
        <is>
          <t>Bens e direitos: documentos de imóveis e veículos</t>
        </is>
      </c>
      <c r="C76" s="34" t="inlineStr">
        <is>
          <t>Pendente</t>
        </is>
      </c>
    </row>
    <row r="77">
      <c r="B77" s="17" t="inlineStr">
        <is>
          <t>Dívidas e financiamentos com saldo em 31/12</t>
        </is>
      </c>
      <c r="C77" s="34" t="inlineStr">
        <is>
          <t>Pendente</t>
        </is>
      </c>
    </row>
    <row r="78">
      <c r="B78" s="17" t="inlineStr">
        <is>
          <t>Aluguéis recebidos / pagos (carnê-leão, se houver)</t>
        </is>
      </c>
      <c r="C78" s="34" t="inlineStr">
        <is>
          <t>Pendente</t>
        </is>
      </c>
    </row>
    <row r="79">
      <c r="B79" s="17" t="inlineStr">
        <is>
          <t>Ganhos de capital e vendas de ativos no ano</t>
        </is>
      </c>
      <c r="C79" s="34" t="inlineStr">
        <is>
          <t>Pendente</t>
        </is>
      </c>
    </row>
    <row r="80">
      <c r="B80" s="17" t="inlineStr">
        <is>
          <t>Doações e heranças recebidas ou feitas</t>
        </is>
      </c>
      <c r="C80" s="34" t="inlineStr">
        <is>
          <t>Pendente</t>
        </is>
      </c>
    </row>
    <row r="81">
      <c r="B81" s="17" t="inlineStr">
        <is>
          <t>Conferir tudo no programa oficial e guardar o recibo</t>
        </is>
      </c>
      <c r="C81" s="34" t="inlineStr">
        <is>
          <t>Pendente</t>
        </is>
      </c>
    </row>
    <row r="82">
      <c r="B82" s="9" t="inlineStr">
        <is>
          <t>Progresso do checklist</t>
        </is>
      </c>
      <c r="C82" s="83">
        <f>IFERROR(COUNTIF(C70:C81,"Feito")/(ROWS(C70:C81)-COUNTIF(C70:C81,"Não se aplica")),0)</f>
        <v>0</v>
      </c>
    </row>
    <row r="85">
      <c r="B85" s="6" t="inlineStr">
        <is>
          <t>8. Resumo para a declaração</t>
        </is>
      </c>
    </row>
    <row r="86">
      <c r="B86" s="14" t="inlineStr">
        <is>
          <t>Rendimentos tributáveis</t>
        </is>
      </c>
      <c r="C86" s="81">
        <f>IR_Trib</f>
        <v>109200</v>
      </c>
    </row>
    <row r="87">
      <c r="B87" s="14" t="inlineStr">
        <is>
          <t>IRRF retido na fonte</t>
        </is>
      </c>
      <c r="C87" s="81">
        <f>IR_Trib2</f>
        <v>11500</v>
      </c>
    </row>
    <row r="88">
      <c r="B88" s="14" t="inlineStr">
        <is>
          <t>Rendimentos isentos e não tributáveis</t>
        </is>
      </c>
      <c r="C88" s="81">
        <f>IR_Isent</f>
        <v>720</v>
      </c>
    </row>
    <row r="89">
      <c r="B89" s="14" t="inlineStr">
        <is>
          <t>Tributação exclusiva/definitiva</t>
        </is>
      </c>
      <c r="C89" s="81">
        <f>IR_Excl</f>
        <v>8500</v>
      </c>
    </row>
    <row r="90">
      <c r="B90" s="14" t="inlineStr">
        <is>
          <t>Deduções legais (item 4)</t>
        </is>
      </c>
      <c r="C90" s="81">
        <f>IR_Deducoes</f>
        <v>13505.43</v>
      </c>
    </row>
    <row r="91">
      <c r="B91" s="14" t="inlineStr">
        <is>
          <t>Base de cálculo estimada (tributáveis − deduções)</t>
        </is>
      </c>
      <c r="C91" s="81">
        <f>MAX(0,IR_Trib-IR_Deducoes)</f>
        <v>95694.57</v>
      </c>
    </row>
    <row r="92">
      <c r="B92" s="14" t="inlineStr">
        <is>
          <t>Bens e direitos em 31/12 do ano</t>
        </is>
      </c>
      <c r="C92" s="81">
        <f>IR_Bens2</f>
        <v>684450</v>
      </c>
    </row>
    <row r="93">
      <c r="B93" s="14" t="inlineStr">
        <is>
          <t>Dívidas e ônus em 31/12 do ano</t>
        </is>
      </c>
      <c r="C93" s="81">
        <f>IR_Div2</f>
        <v>28400</v>
      </c>
    </row>
    <row r="94">
      <c r="B94" s="14" t="inlineStr">
        <is>
          <t>Variação patrimonial declarada (bens − dívidas)</t>
        </is>
      </c>
      <c r="C94" s="81">
        <f>IR_Bens2-IR_Div2-(IR_Bens-IR_Div)</f>
        <v>35950</v>
      </c>
    </row>
    <row r="97">
      <c r="B97" s="6" t="inlineStr">
        <is>
          <t>9. Conferência: receitas lançadas no ano (LANÇAMENTOS) por categoria</t>
        </is>
      </c>
    </row>
    <row r="98">
      <c r="B98" s="7" t="inlineStr">
        <is>
          <t>Categoria de receita</t>
        </is>
      </c>
      <c r="C98" s="7" t="inlineStr">
        <is>
          <t>Total lançado no ano</t>
        </is>
      </c>
    </row>
    <row r="99">
      <c r="B99" s="14" t="str">
        <f>IF(INDEX(CatR_Nome,1)="","",INDEX(CatR_Nome,1))</f>
        <v>Salário</v>
      </c>
      <c r="C99" s="43">
        <f>IF(B99="",0,SUMIFS(L_VParc,L_Tipo,"Receita",L_Cat,B99,L_Ano,Sel_Ano))</f>
        <v>108000</v>
      </c>
    </row>
    <row r="100">
      <c r="B100" s="14" t="str">
        <f>IF(INDEX(CatR_Nome,2)="","",INDEX(CatR_Nome,2))</f>
        <v>13º/Férias/PLR</v>
      </c>
      <c r="C100" s="43">
        <f>IF(B100="",0,SUMIFS(L_VParc,L_Tipo,"Receita",L_Cat,B100,L_Ano,Sel_Ano))</f>
        <v>0</v>
      </c>
    </row>
    <row r="101">
      <c r="B101" s="14" t="str">
        <f>IF(INDEX(CatR_Nome,3)="","",INDEX(CatR_Nome,3))</f>
        <v>Freelance/Extra</v>
      </c>
      <c r="C101" s="43">
        <f>IF(B101="",0,SUMIFS(L_VParc,L_Tipo,"Receita",L_Cat,B101,L_Ano,Sel_Ano))</f>
        <v>9000</v>
      </c>
    </row>
    <row r="102">
      <c r="B102" s="14" t="str">
        <f>IF(INDEX(CatR_Nome,4)="","",INDEX(CatR_Nome,4))</f>
        <v>Aluguel recebido</v>
      </c>
      <c r="C102" s="43">
        <f>IF(B102="",0,SUMIFS(L_VParc,L_Tipo,"Receita",L_Cat,B102,L_Ano,Sel_Ano))</f>
        <v>19000</v>
      </c>
    </row>
    <row r="103">
      <c r="B103" s="14" t="str">
        <f>IF(INDEX(CatR_Nome,5)="","",INDEX(CatR_Nome,5))</f>
        <v>Rendimentos</v>
      </c>
      <c r="C103" s="43">
        <f>IF(B103="",0,SUMIFS(L_VParc,L_Tipo,"Receita",L_Cat,B103,L_Ano,Sel_Ano))</f>
        <v>683.88</v>
      </c>
    </row>
    <row r="104">
      <c r="B104" s="14" t="str">
        <f>IF(INDEX(CatR_Nome,6)="","",INDEX(CatR_Nome,6))</f>
        <v>Reembolsos</v>
      </c>
      <c r="C104" s="43">
        <f>IF(B104="",0,SUMIFS(L_VParc,L_Tipo,"Receita",L_Cat,B104,L_Ano,Sel_Ano))</f>
        <v>340</v>
      </c>
    </row>
    <row r="105">
      <c r="B105" s="14" t="str">
        <f>IF(INDEX(CatR_Nome,7)="","",INDEX(CatR_Nome,7))</f>
        <v>Outros</v>
      </c>
      <c r="C105" s="43">
        <f>IF(B105="",0,SUMIFS(L_VParc,L_Tipo,"Receita",L_Cat,B105,L_Ano,Sel_Ano))</f>
        <v>0</v>
      </c>
    </row>
    <row r="106">
      <c r="B106" s="14" t="str">
        <f>IF(INDEX(CatR_Nome,8)="","",INDEX(CatR_Nome,8))</f>
        <v/>
      </c>
      <c r="C106" s="43">
        <f>IF(B106="",0,SUMIFS(L_VParc,L_Tipo,"Receita",L_Cat,B106,L_Ano,Sel_Ano))</f>
        <v>0</v>
      </c>
    </row>
    <row r="107">
      <c r="B107" s="14" t="str">
        <f>IF(INDEX(CatR_Nome,9)="","",INDEX(CatR_Nome,9))</f>
        <v/>
      </c>
      <c r="C107" s="43">
        <f>IF(B107="",0,SUMIFS(L_VParc,L_Tipo,"Receita",L_Cat,B107,L_Ano,Sel_Ano))</f>
        <v>0</v>
      </c>
    </row>
    <row r="108">
      <c r="B108" s="28" t="inlineStr">
        <is>
          <t>Use para conferir com os informes. Os valores oficiais são os dos informes de rendimentos.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H2"/>
  </mergeCells>
  <conditionalFormatting sqref="C70:C81">
    <cfRule type="expression" priority="1" dxfId="1" stopIfTrue="0">
      <formula>C70="Feito"</formula>
    </cfRule>
    <cfRule type="expression" priority="2" dxfId="0" stopIfTrue="0">
      <formula>C70="Pendente"</formula>
    </cfRule>
  </conditionalFormatting>
  <dataValidations count="1">
    <dataValidation sqref="C70:C81" showDropDown="0" showInputMessage="0" showErrorMessage="1" allowBlank="1" errorTitle="Valor inválido" error="Escolha um valor da lista." type="list">
      <formula1>=Lista_StatusIR</formula1>
    </dataValidation>
  </dataValidation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HISTÓRICO E ANÁLISES'!A1" display="Análises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tabColor rgb="002F6FD0"/>
    <outlinePr summaryBelow="1" summaryRight="1"/>
    <pageSetUpPr fitToPage="1"/>
  </sheetPr>
  <dimension ref="B1:P107"/>
  <sheetViews>
    <sheetView showGridLines="0" tabSelected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3" customWidth="1" min="15" max="15"/>
    <col width="14" customWidth="1" min="16" max="16"/>
  </cols>
  <sheetData>
    <row r="1" ht="30" customHeight="1">
      <c r="B1" s="1" t="inlineStr">
        <is>
          <t>HISTÓRICO E ANÁLISES</t>
        </is>
      </c>
    </row>
    <row r="2" ht="32" customHeight="1">
      <c r="B2" s="2" t="inlineStr">
        <is>
          <t>Onde o dinheiro foi: maiores gastos do mês, categorias, evolução de 12 meses, formas de pagamento, dias da semana, tags e assinaturas. Tudo automático, para o mês/ano escolhido no DASHBOARD.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Backup</t>
        </is>
      </c>
    </row>
    <row r="5">
      <c r="B5" s="5" t="inlineStr">
        <is>
          <t>Período:</t>
        </is>
      </c>
      <c r="C5" s="9" t="str">
        <f>Sel_Label</f>
        <v>Setembro/2026</v>
      </c>
    </row>
    <row r="7">
      <c r="B7" s="6" t="inlineStr">
        <is>
          <t>1. Os 10 maiores gastos do mês</t>
        </is>
      </c>
    </row>
    <row r="8">
      <c r="B8" s="7" t="inlineStr">
        <is>
          <t>Descrição</t>
        </is>
      </c>
      <c r="C8" s="7" t="inlineStr">
        <is>
          <t>Categoria</t>
        </is>
      </c>
      <c r="D8" s="7" t="inlineStr">
        <is>
          <t>Data da compra</t>
        </is>
      </c>
      <c r="E8" s="7" t="inlineStr">
        <is>
          <t>Valor do mês</t>
        </is>
      </c>
      <c r="F8" s="7" t="inlineStr">
        <is>
          <t>% das despesas</t>
        </is>
      </c>
      <c r="G8" s="114" t="inlineStr">
        <is>
          <t>linha (apoio)</t>
        </is>
      </c>
    </row>
    <row r="9">
      <c r="B9" s="14" t="str">
        <f>IF($G9=0,"",INDEX(L_Desc,$G9))</f>
        <v>Aluguel residencial</v>
      </c>
      <c r="C9" s="14" t="str">
        <f>IF($G9=0,"",INDEX(L_Cat,$G9))</f>
        <v>Moradia</v>
      </c>
      <c r="D9" s="93">
        <f>IF($G9=0,"",INDEX(L_Data,$G9))</f>
        <v>46275.0</v>
      </c>
      <c r="E9" s="43">
        <f>IF($G9=0,"",INDEX(L_VParc,$G9))</f>
        <v>2400</v>
      </c>
      <c r="F9" s="73">
        <f>IF($G9=0,"",IFERROR(E9/K_Desp,0))</f>
        <v>0.193793911479786</v>
      </c>
      <c r="G9" s="89">
        <f>IF(LARGE(L_DespSel,1)&gt;=1,IFERROR(MATCH(LARGE(L_DespSel,1),L_DespSel,0),0),0)</f>
        <v>538</v>
      </c>
    </row>
    <row r="10">
      <c r="B10" s="14" t="str">
        <f>IF($G10=0,"",INDEX(L_Desc,$G10))</f>
        <v>Parcela financiamento do carro</v>
      </c>
      <c r="C10" s="14" t="str">
        <f>IF($G10=0,"",INDEX(L_Cat,$G10))</f>
        <v>Dívidas e Financiamentos</v>
      </c>
      <c r="D10" s="93">
        <f>IF($G10=0,"",INDEX(L_Data,$G10))</f>
        <v>46285.0</v>
      </c>
      <c r="E10" s="43">
        <f>IF($G10=0,"",INDEX(L_VParc,$G10))</f>
        <v>1150</v>
      </c>
      <c r="F10" s="73">
        <f>IF($G10=0,"",IFERROR(E10/K_Desp,0))</f>
        <v>0.0928595825840642</v>
      </c>
      <c r="G10" s="89">
        <f>IF(LARGE(L_DespSel,2)&gt;=1,IFERROR(MATCH(LARGE(L_DespSel,2),L_DespSel,0),0),0)</f>
        <v>554</v>
      </c>
    </row>
    <row r="11">
      <c r="B11" s="14" t="str">
        <f>IF($G11=0,"",INDEX(L_Desc,$G11))</f>
        <v>Hospedagem viagem de fim de semana</v>
      </c>
      <c r="C11" s="14" t="str">
        <f>IF($G11=0,"",INDEX(L_Cat,$G11))</f>
        <v>Lazer</v>
      </c>
      <c r="D11" s="93">
        <f>IF($G11=0,"",INDEX(L_Data,$G11))</f>
        <v>46283.0</v>
      </c>
      <c r="E11" s="43">
        <f>IF($G11=0,"",INDEX(L_VParc,$G11))</f>
        <v>950</v>
      </c>
      <c r="F11" s="73">
        <f>IF($G11=0,"",IFERROR(E11/K_Desp,0))</f>
        <v>0.0767100899607487</v>
      </c>
      <c r="G11" s="89">
        <f>IF(LARGE(L_DespSel,3)&gt;=1,IFERROR(MATCH(LARGE(L_DespSel,3),L_DespSel,0),0),0)</f>
        <v>550</v>
      </c>
    </row>
    <row r="12">
      <c r="B12" s="14" t="str">
        <f>IF($G12=0,"",INDEX(L_Desc,$G12))</f>
        <v>Plano de saúde</v>
      </c>
      <c r="C12" s="14" t="str">
        <f>IF($G12=0,"",INDEX(L_Cat,$G12))</f>
        <v>Saúde</v>
      </c>
      <c r="D12" s="93">
        <f>IF($G12=0,"",INDEX(L_Data,$G12))</f>
        <v>46270.0</v>
      </c>
      <c r="E12" s="43">
        <f>IF($G12=0,"",INDEX(L_VParc,$G12))</f>
        <v>780</v>
      </c>
      <c r="F12" s="73">
        <f>IF($G12=0,"",IFERROR(E12/K_Desp,0))</f>
        <v>0.0629830212309305</v>
      </c>
      <c r="G12" s="89">
        <f>IF(LARGE(L_DespSel,4)&gt;=1,IFERROR(MATCH(LARGE(L_DespSel,4),L_DespSel,0),0),0)</f>
        <v>523</v>
      </c>
    </row>
    <row r="13">
      <c r="B13" s="14" t="str">
        <f>IF($G13=0,"",INDEX(L_Desc,$G13))</f>
        <v>Condomínio</v>
      </c>
      <c r="C13" s="14" t="str">
        <f>IF($G13=0,"",INDEX(L_Cat,$G13))</f>
        <v>Moradia</v>
      </c>
      <c r="D13" s="93">
        <f>IF($G13=0,"",INDEX(L_Data,$G13))</f>
        <v>46275.0</v>
      </c>
      <c r="E13" s="43">
        <f>IF($G13=0,"",INDEX(L_VParc,$G13))</f>
        <v>650</v>
      </c>
      <c r="F13" s="73">
        <f>IF($G13=0,"",IFERROR(E13/K_Desp,0))</f>
        <v>0.0524858510257754</v>
      </c>
      <c r="G13" s="89">
        <f>IF(LARGE(L_DespSel,5)&gt;=1,IFERROR(MATCH(LARGE(L_DespSel,5),L_DespSel,0),0),0)</f>
        <v>539</v>
      </c>
    </row>
    <row r="14">
      <c r="B14" s="14" t="str">
        <f>IF($G14=0,"",INDEX(L_Desc,$G14))</f>
        <v>Parcela empréstimo pessoal</v>
      </c>
      <c r="C14" s="14" t="str">
        <f>IF($G14=0,"",INDEX(L_Cat,$G14))</f>
        <v>Dívidas e Financiamentos</v>
      </c>
      <c r="D14" s="93">
        <f>IF($G14=0,"",INDEX(L_Data,$G14))</f>
        <v>46287.0</v>
      </c>
      <c r="E14" s="43">
        <f>IF($G14=0,"",INDEX(L_VParc,$G14))</f>
        <v>580</v>
      </c>
      <c r="F14" s="73">
        <f>IF($G14=0,"",IFERROR(E14/K_Desp,0))</f>
        <v>0.046833528607615</v>
      </c>
      <c r="G14" s="89">
        <f>IF(LARGE(L_DespSel,6)&gt;=1,IFERROR(MATCH(LARGE(L_DespSel,6),L_DespSel,0),0),0)</f>
        <v>557</v>
      </c>
    </row>
    <row r="15">
      <c r="B15" s="14" t="str">
        <f>IF($G15=0,"",INDEX(L_Desc,$G15))</f>
        <v>Supermercado</v>
      </c>
      <c r="C15" s="14" t="str">
        <f>IF($G15=0,"",INDEX(L_Cat,$G15))</f>
        <v>Alimentação</v>
      </c>
      <c r="D15" s="93">
        <f>IF($G15=0,"",INDEX(L_Data,$G15))</f>
        <v>46284.0</v>
      </c>
      <c r="E15" s="43">
        <f>IF($G15=0,"",INDEX(L_VParc,$G15))</f>
        <v>479.93</v>
      </c>
      <c r="F15" s="73">
        <f>IF($G15=0,"",IFERROR(E15/K_Desp,0))</f>
        <v>0.0387531299735391</v>
      </c>
      <c r="G15" s="89">
        <f>IF(LARGE(L_DespSel,7)&gt;=1,IFERROR(MATCH(LARGE(L_DespSel,7),L_DespSel,0),0),0)</f>
        <v>552</v>
      </c>
    </row>
    <row r="16">
      <c r="B16" s="14" t="str">
        <f>IF($G16=0,"",INDEX(L_Desc,$G16))</f>
        <v>Supermercado</v>
      </c>
      <c r="C16" s="14" t="str">
        <f>IF($G16=0,"",INDEX(L_Cat,$G16))</f>
        <v>Alimentação</v>
      </c>
      <c r="D16" s="93">
        <f>IF($G16=0,"",INDEX(L_Data,$G16))</f>
        <v>46278.0</v>
      </c>
      <c r="E16" s="43">
        <f>IF($G16=0,"",INDEX(L_VParc,$G16))</f>
        <v>463.33</v>
      </c>
      <c r="F16" s="73">
        <f>IF($G16=0,"",IFERROR(E16/K_Desp,0))</f>
        <v>0.0374127220858039</v>
      </c>
      <c r="G16" s="89">
        <f>IF(LARGE(L_DespSel,8)&gt;=1,IFERROR(MATCH(LARGE(L_DespSel,8),L_DespSel,0),0),0)</f>
        <v>542</v>
      </c>
    </row>
    <row r="17">
      <c r="B17" s="14" t="str">
        <f>IF($G17=0,"",INDEX(L_Desc,$G17))</f>
        <v>Parcela renegociação da fatura</v>
      </c>
      <c r="C17" s="14" t="str">
        <f>IF($G17=0,"",INDEX(L_Cat,$G17))</f>
        <v>Dívidas e Financiamentos</v>
      </c>
      <c r="D17" s="93">
        <f>IF($G17=0,"",INDEX(L_Data,$G17))</f>
        <v>46290.0</v>
      </c>
      <c r="E17" s="43">
        <f>IF($G17=0,"",INDEX(L_VParc,$G17))</f>
        <v>460</v>
      </c>
      <c r="F17" s="73">
        <f>IF($G17=0,"",IFERROR(E17/K_Desp,0))</f>
        <v>0.0371438330336257</v>
      </c>
      <c r="G17" s="89">
        <f>IF(LARGE(L_DespSel,9)&gt;=1,IFERROR(MATCH(LARGE(L_DespSel,9),L_DespSel,0),0),0)</f>
        <v>560</v>
      </c>
    </row>
    <row r="18">
      <c r="B18" s="14" t="str">
        <f>IF($G18=0,"",INDEX(L_Desc,$G18))</f>
        <v>Passagens aéreas viagem (4x)</v>
      </c>
      <c r="C18" s="14" t="str">
        <f>IF($G18=0,"",INDEX(L_Cat,$G18))</f>
        <v>Lazer</v>
      </c>
      <c r="D18" s="93">
        <f>IF($G18=0,"",INDEX(L_Data,$G18))</f>
        <v>46254.0</v>
      </c>
      <c r="E18" s="43">
        <f>IF($G18=0,"",INDEX(L_VParc,$G18))</f>
        <v>450</v>
      </c>
      <c r="F18" s="73">
        <f>IF($G18=0,"",IFERROR(E18/K_Desp,0))</f>
        <v>0.0363363584024599</v>
      </c>
      <c r="G18" s="89">
        <f>IF(LARGE(L_DespSel,10)&gt;=1,IFERROR(MATCH(LARGE(L_DespSel,10),L_DespSel,0),0),0)</f>
        <v>511</v>
      </c>
    </row>
    <row r="21">
      <c r="B21" s="6" t="inlineStr">
        <is>
          <t>2. Maiores categorias de despesa do mês</t>
        </is>
      </c>
    </row>
    <row r="22">
      <c r="B22" s="7" t="inlineStr">
        <is>
          <t>Categoria</t>
        </is>
      </c>
      <c r="C22" s="7" t="inlineStr">
        <is>
          <t>Valor</t>
        </is>
      </c>
      <c r="D22" s="7" t="inlineStr">
        <is>
          <t>% das despesas</t>
        </is>
      </c>
      <c r="E22" s="7" t="inlineStr">
        <is>
          <t>Planejado</t>
        </is>
      </c>
      <c r="F22" s="7" t="inlineStr">
        <is>
          <t>% do planejado</t>
        </is>
      </c>
    </row>
    <row r="23">
      <c r="B23" s="14" t="str">
        <f>INDEX(Rk_Nome,1)</f>
        <v>Moradia</v>
      </c>
      <c r="C23" s="43">
        <f>INDEX(Rk_Val,1)</f>
        <v>3670.77</v>
      </c>
      <c r="D23" s="73">
        <f>IFERROR(C23/K_Desp,0)</f>
        <v>0.296405365184439</v>
      </c>
      <c r="E23" s="43">
        <f>IFERROR(INDEX(Orc_Plan,MATCH(B23,CatD_Nome,0)),0)</f>
        <v>3600</v>
      </c>
      <c r="F23" s="73">
        <f>IF(E23=0,0,C23/E23)</f>
        <v>1.01965833333333</v>
      </c>
    </row>
    <row r="24">
      <c r="B24" s="14" t="str">
        <f>INDEX(Rk_Nome,2)</f>
        <v>Dívidas e Financiamentos</v>
      </c>
      <c r="C24" s="43">
        <f>INDEX(Rk_Val,2)</f>
        <v>2190</v>
      </c>
      <c r="D24" s="73">
        <f>IFERROR(C24/K_Desp,0)</f>
        <v>0.176836944225305</v>
      </c>
      <c r="E24" s="43">
        <f>IFERROR(INDEX(Orc_Plan,MATCH(B24,CatD_Nome,0)),0)</f>
        <v>2200</v>
      </c>
      <c r="F24" s="73">
        <f>IF(E24=0,0,C24/E24)</f>
        <v>0.995454545454546</v>
      </c>
    </row>
    <row r="25">
      <c r="B25" s="14" t="str">
        <f>INDEX(Rk_Nome,3)</f>
        <v>Alimentação</v>
      </c>
      <c r="C25" s="43">
        <f>INDEX(Rk_Val,3)</f>
        <v>1748.55</v>
      </c>
      <c r="D25" s="73">
        <f>IFERROR(C25/K_Desp,0)</f>
        <v>0.141190976632492</v>
      </c>
      <c r="E25" s="43">
        <f>IFERROR(INDEX(Orc_Plan,MATCH(B25,CatD_Nome,0)),0)</f>
        <v>1800</v>
      </c>
      <c r="F25" s="73">
        <f>IF(E25=0,0,C25/E25)</f>
        <v>0.971416666666667</v>
      </c>
    </row>
    <row r="26">
      <c r="B26" s="14" t="str">
        <f>INDEX(Rk_Nome,4)</f>
        <v>Lazer</v>
      </c>
      <c r="C26" s="43">
        <f>INDEX(Rk_Val,4)</f>
        <v>1651.19</v>
      </c>
      <c r="D26" s="73">
        <f>IFERROR(C26/K_Desp,0)</f>
        <v>0.133329403623462</v>
      </c>
      <c r="E26" s="43">
        <f>IFERROR(INDEX(Orc_Plan,MATCH(B26,CatD_Nome,0)),0)</f>
        <v>700</v>
      </c>
      <c r="F26" s="73">
        <f>IF(E26=0,0,C26/E26)</f>
        <v>2.35884285714286</v>
      </c>
    </row>
    <row r="27">
      <c r="B27" s="14" t="str">
        <f>INDEX(Rk_Nome,5)</f>
        <v>Saúde</v>
      </c>
      <c r="C27" s="43">
        <f>INDEX(Rk_Val,5)</f>
        <v>1169.25</v>
      </c>
      <c r="D27" s="73">
        <f>IFERROR(C27/K_Desp,0)</f>
        <v>0.0944139712490583</v>
      </c>
      <c r="E27" s="43">
        <f>IFERROR(INDEX(Orc_Plan,MATCH(B27,CatD_Nome,0)),0)</f>
        <v>1100</v>
      </c>
      <c r="F27" s="73">
        <f>IF(E27=0,0,C27/E27)</f>
        <v>1.06295454545455</v>
      </c>
    </row>
    <row r="28">
      <c r="B28" s="14" t="str">
        <f>INDEX(Rk_Nome,6)</f>
        <v>Transporte</v>
      </c>
      <c r="C28" s="43">
        <f>INDEX(Rk_Val,6)</f>
        <v>482.6</v>
      </c>
      <c r="D28" s="73">
        <f>IFERROR(C28/K_Desp,0)</f>
        <v>0.0389687257000603</v>
      </c>
      <c r="E28" s="43">
        <f>IFERROR(INDEX(Orc_Plan,MATCH(B28,CatD_Nome,0)),0)</f>
        <v>900</v>
      </c>
      <c r="F28" s="73">
        <f>IF(E28=0,0,C28/E28)</f>
        <v>0.536222222222222</v>
      </c>
    </row>
    <row r="29">
      <c r="B29" s="14" t="str">
        <f>INDEX(Rk_Nome,7)</f>
        <v>Educação</v>
      </c>
      <c r="C29" s="43">
        <f>INDEX(Rk_Val,7)</f>
        <v>390</v>
      </c>
      <c r="D29" s="73">
        <f>IFERROR(C29/K_Desp,0)</f>
        <v>0.0314915106154652</v>
      </c>
      <c r="E29" s="43">
        <f>IFERROR(INDEX(Orc_Plan,MATCH(B29,CatD_Nome,0)),0)</f>
        <v>450</v>
      </c>
      <c r="F29" s="73">
        <f>IF(E29=0,0,C29/E29)</f>
        <v>0.866666666666667</v>
      </c>
    </row>
    <row r="30">
      <c r="B30" s="14" t="str">
        <f>INDEX(Rk_Nome,8)</f>
        <v>Outros</v>
      </c>
      <c r="C30" s="43">
        <f>INDEX(Rk_Val,8)</f>
        <v>372.27</v>
      </c>
      <c r="D30" s="73">
        <f>IFERROR(C30/K_Desp,0)</f>
        <v>0.0300598580944083</v>
      </c>
      <c r="E30" s="43">
        <f>IFERROR(INDEX(Orc_Plan,MATCH(B30,CatD_Nome,0)),0)</f>
        <v>300</v>
      </c>
      <c r="F30" s="73">
        <f>IF(E30=0,0,C30/E30)</f>
        <v>1.2409</v>
      </c>
    </row>
    <row r="33">
      <c r="B33" s="6" t="inlineStr">
        <is>
          <t>3. Evolução de cada categoria nos últimos 12 meses (termina no mês selecionado)</t>
        </is>
      </c>
    </row>
    <row r="34">
      <c r="B34" s="7" t="inlineStr">
        <is>
          <t>Categoria</t>
        </is>
      </c>
      <c r="C34" s="7" t="str">
        <f>INDEX(Lista_MesesAb,MOD(((Sel_Idx-11))-1,12)+1)&amp;"/"&amp;RIGHT(INT((((Sel_Idx-11))-1)/12),2)</f>
        <v>Out/25</v>
      </c>
      <c r="D34" s="7" t="str">
        <f>INDEX(Lista_MesesAb,MOD(((Sel_Idx-10))-1,12)+1)&amp;"/"&amp;RIGHT(INT((((Sel_Idx-10))-1)/12),2)</f>
        <v>Nov/25</v>
      </c>
      <c r="E34" s="7" t="str">
        <f>INDEX(Lista_MesesAb,MOD(((Sel_Idx-9))-1,12)+1)&amp;"/"&amp;RIGHT(INT((((Sel_Idx-9))-1)/12),2)</f>
        <v>Dez/25</v>
      </c>
      <c r="F34" s="7" t="str">
        <f>INDEX(Lista_MesesAb,MOD(((Sel_Idx-8))-1,12)+1)&amp;"/"&amp;RIGHT(INT((((Sel_Idx-8))-1)/12),2)</f>
        <v>Jan/26</v>
      </c>
      <c r="G34" s="7" t="str">
        <f>INDEX(Lista_MesesAb,MOD(((Sel_Idx-7))-1,12)+1)&amp;"/"&amp;RIGHT(INT((((Sel_Idx-7))-1)/12),2)</f>
        <v>Fev/26</v>
      </c>
      <c r="H34" s="7" t="str">
        <f>INDEX(Lista_MesesAb,MOD(((Sel_Idx-6))-1,12)+1)&amp;"/"&amp;RIGHT(INT((((Sel_Idx-6))-1)/12),2)</f>
        <v>Mar/26</v>
      </c>
      <c r="I34" s="7" t="str">
        <f>INDEX(Lista_MesesAb,MOD(((Sel_Idx-5))-1,12)+1)&amp;"/"&amp;RIGHT(INT((((Sel_Idx-5))-1)/12),2)</f>
        <v>Abr/26</v>
      </c>
      <c r="J34" s="7" t="str">
        <f>INDEX(Lista_MesesAb,MOD(((Sel_Idx-4))-1,12)+1)&amp;"/"&amp;RIGHT(INT((((Sel_Idx-4))-1)/12),2)</f>
        <v>Mai/26</v>
      </c>
      <c r="K34" s="7" t="str">
        <f>INDEX(Lista_MesesAb,MOD(((Sel_Idx-3))-1,12)+1)&amp;"/"&amp;RIGHT(INT((((Sel_Idx-3))-1)/12),2)</f>
        <v>Jun/26</v>
      </c>
      <c r="L34" s="7" t="str">
        <f>INDEX(Lista_MesesAb,MOD(((Sel_Idx-2))-1,12)+1)&amp;"/"&amp;RIGHT(INT((((Sel_Idx-2))-1)/12),2)</f>
        <v>Jul/26</v>
      </c>
      <c r="M34" s="7" t="str">
        <f>INDEX(Lista_MesesAb,MOD(((Sel_Idx-1))-1,12)+1)&amp;"/"&amp;RIGHT(INT((((Sel_Idx-1))-1)/12),2)</f>
        <v>Ago/26</v>
      </c>
      <c r="N34" s="7" t="str">
        <f>INDEX(Lista_MesesAb,MOD(((Sel_Idx-0))-1,12)+1)&amp;"/"&amp;RIGHT(INT((((Sel_Idx-0))-1)/12),2)</f>
        <v>Set/26</v>
      </c>
      <c r="O34" s="7" t="inlineStr">
        <is>
          <t>Média</t>
        </is>
      </c>
      <c r="P34" s="7" t="inlineStr">
        <is>
          <t>Tendência</t>
        </is>
      </c>
    </row>
    <row r="35">
      <c r="B35" s="14" t="str">
        <f>IF(INDEX(CatD_Nome,1)="","",INDEX(CatD_Nome,1))</f>
        <v>Moradia</v>
      </c>
      <c r="C35" s="115">
        <f>IF($B35="",0,SUMIFS(L_VParc,L_Tipo,"Despesa",L_Cat,$B35,L_IIni,"&lt;="&amp;(Sel_Idx-11),L_IFim,"&gt;="&amp;(Sel_Idx-11)))</f>
        <v>3465.48</v>
      </c>
      <c r="D35" s="115">
        <f>IF($B35="",0,SUMIFS(L_VParc,L_Tipo,"Despesa",L_Cat,$B35,L_IIni,"&lt;="&amp;(Sel_Idx-10),L_IFim,"&gt;="&amp;(Sel_Idx-10)))</f>
        <v>3476.34</v>
      </c>
      <c r="E35" s="115">
        <f>IF($B35="",0,SUMIFS(L_VParc,L_Tipo,"Despesa",L_Cat,$B35,L_IIni,"&lt;="&amp;(Sel_Idx-9),L_IFim,"&gt;="&amp;(Sel_Idx-9)))</f>
        <v>3433.92</v>
      </c>
      <c r="F35" s="115">
        <f>IF($B35="",0,SUMIFS(L_VParc,L_Tipo,"Despesa",L_Cat,$B35,L_IIni,"&lt;="&amp;(Sel_Idx-8),L_IFim,"&gt;="&amp;(Sel_Idx-8)))</f>
        <v>3442.01</v>
      </c>
      <c r="G35" s="115">
        <f>IF($B35="",0,SUMIFS(L_VParc,L_Tipo,"Despesa",L_Cat,$B35,L_IIni,"&lt;="&amp;(Sel_Idx-7),L_IFim,"&gt;="&amp;(Sel_Idx-7)))</f>
        <v>3433.38</v>
      </c>
      <c r="H35" s="115">
        <f>IF($B35="",0,SUMIFS(L_VParc,L_Tipo,"Despesa",L_Cat,$B35,L_IIni,"&lt;="&amp;(Sel_Idx-6),L_IFim,"&gt;="&amp;(Sel_Idx-6)))</f>
        <v>3486.11</v>
      </c>
      <c r="I35" s="115">
        <f>IF($B35="",0,SUMIFS(L_VParc,L_Tipo,"Despesa",L_Cat,$B35,L_IIni,"&lt;="&amp;(Sel_Idx-5),L_IFim,"&gt;="&amp;(Sel_Idx-5)))</f>
        <v>3500.8</v>
      </c>
      <c r="J35" s="115">
        <f>IF($B35="",0,SUMIFS(L_VParc,L_Tipo,"Despesa",L_Cat,$B35,L_IIni,"&lt;="&amp;(Sel_Idx-4),L_IFim,"&gt;="&amp;(Sel_Idx-4)))</f>
        <v>3419.29</v>
      </c>
      <c r="K35" s="115">
        <f>IF($B35="",0,SUMIFS(L_VParc,L_Tipo,"Despesa",L_Cat,$B35,L_IIni,"&lt;="&amp;(Sel_Idx-3),L_IFim,"&gt;="&amp;(Sel_Idx-3)))</f>
        <v>3412.51</v>
      </c>
      <c r="L35" s="115">
        <f>IF($B35="",0,SUMIFS(L_VParc,L_Tipo,"Despesa",L_Cat,$B35,L_IIni,"&lt;="&amp;(Sel_Idx-2),L_IFim,"&gt;="&amp;(Sel_Idx-2)))</f>
        <v>3627.31</v>
      </c>
      <c r="M35" s="115">
        <f>IF($B35="",0,SUMIFS(L_VParc,L_Tipo,"Despesa",L_Cat,$B35,L_IIni,"&lt;="&amp;(Sel_Idx-1),L_IFim,"&gt;="&amp;(Sel_Idx-1)))</f>
        <v>3624.71</v>
      </c>
      <c r="N35" s="115">
        <f>IF($B35="",0,SUMIFS(L_VParc,L_Tipo,"Despesa",L_Cat,$B35,L_IIni,"&lt;="&amp;(Sel_Idx-0),L_IFim,"&gt;="&amp;(Sel_Idx-0)))</f>
        <v>3670.77</v>
      </c>
      <c r="O35" s="115">
        <f>AVERAGE(C35:N35)</f>
        <v>3499.38583333333</v>
      </c>
      <c r="P35" s="13" t="str">
        <f>IF($B35="","",IF(O35=0,"—",IF(N35&gt;O35*1.1,"▲ subindo",IF(N35&lt;O35*0.9,"▼ caindo","▬ estável"))))</f>
        <v>▬ estável</v>
      </c>
    </row>
    <row r="36">
      <c r="B36" s="14" t="str">
        <f>IF(INDEX(CatD_Nome,2)="","",INDEX(CatD_Nome,2))</f>
        <v>Alimentação</v>
      </c>
      <c r="C36" s="115">
        <f>IF($B36="",0,SUMIFS(L_VParc,L_Tipo,"Despesa",L_Cat,$B36,L_IIni,"&lt;="&amp;(Sel_Idx-11),L_IFim,"&gt;="&amp;(Sel_Idx-11)))</f>
        <v>1456.32</v>
      </c>
      <c r="D36" s="115">
        <f>IF($B36="",0,SUMIFS(L_VParc,L_Tipo,"Despesa",L_Cat,$B36,L_IIni,"&lt;="&amp;(Sel_Idx-10),L_IFim,"&gt;="&amp;(Sel_Idx-10)))</f>
        <v>1577.28</v>
      </c>
      <c r="E36" s="115">
        <f>IF($B36="",0,SUMIFS(L_VParc,L_Tipo,"Despesa",L_Cat,$B36,L_IIni,"&lt;="&amp;(Sel_Idx-9),L_IFim,"&gt;="&amp;(Sel_Idx-9)))</f>
        <v>1470.17</v>
      </c>
      <c r="F36" s="115">
        <f>IF($B36="",0,SUMIFS(L_VParc,L_Tipo,"Despesa",L_Cat,$B36,L_IIni,"&lt;="&amp;(Sel_Idx-8),L_IFim,"&gt;="&amp;(Sel_Idx-8)))</f>
        <v>1452.48</v>
      </c>
      <c r="G36" s="115">
        <f>IF($B36="",0,SUMIFS(L_VParc,L_Tipo,"Despesa",L_Cat,$B36,L_IIni,"&lt;="&amp;(Sel_Idx-7),L_IFim,"&gt;="&amp;(Sel_Idx-7)))</f>
        <v>1491.59</v>
      </c>
      <c r="H36" s="115">
        <f>IF($B36="",0,SUMIFS(L_VParc,L_Tipo,"Despesa",L_Cat,$B36,L_IIni,"&lt;="&amp;(Sel_Idx-6),L_IFim,"&gt;="&amp;(Sel_Idx-6)))</f>
        <v>1576.78</v>
      </c>
      <c r="I36" s="115">
        <f>IF($B36="",0,SUMIFS(L_VParc,L_Tipo,"Despesa",L_Cat,$B36,L_IIni,"&lt;="&amp;(Sel_Idx-5),L_IFim,"&gt;="&amp;(Sel_Idx-5)))</f>
        <v>1610.93</v>
      </c>
      <c r="J36" s="115">
        <f>IF($B36="",0,SUMIFS(L_VParc,L_Tipo,"Despesa",L_Cat,$B36,L_IIni,"&lt;="&amp;(Sel_Idx-4),L_IFim,"&gt;="&amp;(Sel_Idx-4)))</f>
        <v>1328.52</v>
      </c>
      <c r="K36" s="115">
        <f>IF($B36="",0,SUMIFS(L_VParc,L_Tipo,"Despesa",L_Cat,$B36,L_IIni,"&lt;="&amp;(Sel_Idx-3),L_IFim,"&gt;="&amp;(Sel_Idx-3)))</f>
        <v>1291.21</v>
      </c>
      <c r="L36" s="115">
        <f>IF($B36="",0,SUMIFS(L_VParc,L_Tipo,"Despesa",L_Cat,$B36,L_IIni,"&lt;="&amp;(Sel_Idx-2),L_IFim,"&gt;="&amp;(Sel_Idx-2)))</f>
        <v>1482.58</v>
      </c>
      <c r="M36" s="115">
        <f>IF($B36="",0,SUMIFS(L_VParc,L_Tipo,"Despesa",L_Cat,$B36,L_IIni,"&lt;="&amp;(Sel_Idx-1),L_IFim,"&gt;="&amp;(Sel_Idx-1)))</f>
        <v>1616.56</v>
      </c>
      <c r="N36" s="115">
        <f>IF($B36="",0,SUMIFS(L_VParc,L_Tipo,"Despesa",L_Cat,$B36,L_IIni,"&lt;="&amp;(Sel_Idx-0),L_IFim,"&gt;="&amp;(Sel_Idx-0)))</f>
        <v>1748.55</v>
      </c>
      <c r="O36" s="115">
        <f>AVERAGE(C36:N36)</f>
        <v>1508.58083333333</v>
      </c>
      <c r="P36" s="13" t="str">
        <f>IF($B36="","",IF(O36=0,"—",IF(N36&gt;O36*1.1,"▲ subindo",IF(N36&lt;O36*0.9,"▼ caindo","▬ estável"))))</f>
        <v>▲ subindo</v>
      </c>
    </row>
    <row r="37">
      <c r="B37" s="14" t="str">
        <f>IF(INDEX(CatD_Nome,3)="","",INDEX(CatD_Nome,3))</f>
        <v>Transporte</v>
      </c>
      <c r="C37" s="115">
        <f>IF($B37="",0,SUMIFS(L_VParc,L_Tipo,"Despesa",L_Cat,$B37,L_IIni,"&lt;="&amp;(Sel_Idx-11),L_IFim,"&gt;="&amp;(Sel_Idx-11)))</f>
        <v>478.22</v>
      </c>
      <c r="D37" s="115">
        <f>IF($B37="",0,SUMIFS(L_VParc,L_Tipo,"Despesa",L_Cat,$B37,L_IIni,"&lt;="&amp;(Sel_Idx-10),L_IFim,"&gt;="&amp;(Sel_Idx-10)))</f>
        <v>454.84</v>
      </c>
      <c r="E37" s="115">
        <f>IF($B37="",0,SUMIFS(L_VParc,L_Tipo,"Despesa",L_Cat,$B37,L_IIni,"&lt;="&amp;(Sel_Idx-9),L_IFim,"&gt;="&amp;(Sel_Idx-9)))</f>
        <v>442.71</v>
      </c>
      <c r="F37" s="115">
        <f>IF($B37="",0,SUMIFS(L_VParc,L_Tipo,"Despesa",L_Cat,$B37,L_IIni,"&lt;="&amp;(Sel_Idx-8),L_IFim,"&gt;="&amp;(Sel_Idx-8)))</f>
        <v>498.19</v>
      </c>
      <c r="G37" s="115">
        <f>IF($B37="",0,SUMIFS(L_VParc,L_Tipo,"Despesa",L_Cat,$B37,L_IIni,"&lt;="&amp;(Sel_Idx-7),L_IFim,"&gt;="&amp;(Sel_Idx-7)))</f>
        <v>462</v>
      </c>
      <c r="H37" s="115">
        <f>IF($B37="",0,SUMIFS(L_VParc,L_Tipo,"Despesa",L_Cat,$B37,L_IIni,"&lt;="&amp;(Sel_Idx-6),L_IFim,"&gt;="&amp;(Sel_Idx-6)))</f>
        <v>463.41</v>
      </c>
      <c r="I37" s="115">
        <f>IF($B37="",0,SUMIFS(L_VParc,L_Tipo,"Despesa",L_Cat,$B37,L_IIni,"&lt;="&amp;(Sel_Idx-5),L_IFim,"&gt;="&amp;(Sel_Idx-5)))</f>
        <v>468.94</v>
      </c>
      <c r="J37" s="115">
        <f>IF($B37="",0,SUMIFS(L_VParc,L_Tipo,"Despesa",L_Cat,$B37,L_IIni,"&lt;="&amp;(Sel_Idx-4),L_IFim,"&gt;="&amp;(Sel_Idx-4)))</f>
        <v>524.66</v>
      </c>
      <c r="K37" s="115">
        <f>IF($B37="",0,SUMIFS(L_VParc,L_Tipo,"Despesa",L_Cat,$B37,L_IIni,"&lt;="&amp;(Sel_Idx-3),L_IFim,"&gt;="&amp;(Sel_Idx-3)))</f>
        <v>423.61</v>
      </c>
      <c r="L37" s="115">
        <f>IF($B37="",0,SUMIFS(L_VParc,L_Tipo,"Despesa",L_Cat,$B37,L_IIni,"&lt;="&amp;(Sel_Idx-2),L_IFim,"&gt;="&amp;(Sel_Idx-2)))</f>
        <v>464.09</v>
      </c>
      <c r="M37" s="115">
        <f>IF($B37="",0,SUMIFS(L_VParc,L_Tipo,"Despesa",L_Cat,$B37,L_IIni,"&lt;="&amp;(Sel_Idx-1),L_IFim,"&gt;="&amp;(Sel_Idx-1)))</f>
        <v>438.06</v>
      </c>
      <c r="N37" s="115">
        <f>IF($B37="",0,SUMIFS(L_VParc,L_Tipo,"Despesa",L_Cat,$B37,L_IIni,"&lt;="&amp;(Sel_Idx-0),L_IFim,"&gt;="&amp;(Sel_Idx-0)))</f>
        <v>482.6</v>
      </c>
      <c r="O37" s="115">
        <f>AVERAGE(C37:N37)</f>
        <v>466.7775</v>
      </c>
      <c r="P37" s="13" t="str">
        <f>IF($B37="","",IF(O37=0,"—",IF(N37&gt;O37*1.1,"▲ subindo",IF(N37&lt;O37*0.9,"▼ caindo","▬ estável"))))</f>
        <v>▬ estável</v>
      </c>
    </row>
    <row r="38">
      <c r="B38" s="14" t="str">
        <f>IF(INDEX(CatD_Nome,4)="","",INDEX(CatD_Nome,4))</f>
        <v>Saúde</v>
      </c>
      <c r="C38" s="115">
        <f>IF($B38="",0,SUMIFS(L_VParc,L_Tipo,"Despesa",L_Cat,$B38,L_IIni,"&lt;="&amp;(Sel_Idx-11),L_IFim,"&gt;="&amp;(Sel_Idx-11)))</f>
        <v>821.21</v>
      </c>
      <c r="D38" s="115">
        <f>IF($B38="",0,SUMIFS(L_VParc,L_Tipo,"Despesa",L_Cat,$B38,L_IIni,"&lt;="&amp;(Sel_Idx-10),L_IFim,"&gt;="&amp;(Sel_Idx-10)))</f>
        <v>906.4</v>
      </c>
      <c r="E38" s="115">
        <f>IF($B38="",0,SUMIFS(L_VParc,L_Tipo,"Despesa",L_Cat,$B38,L_IIni,"&lt;="&amp;(Sel_Idx-9),L_IFim,"&gt;="&amp;(Sel_Idx-9)))</f>
        <v>1184.14</v>
      </c>
      <c r="F38" s="115">
        <f>IF($B38="",0,SUMIFS(L_VParc,L_Tipo,"Despesa",L_Cat,$B38,L_IIni,"&lt;="&amp;(Sel_Idx-8),L_IFim,"&gt;="&amp;(Sel_Idx-8)))</f>
        <v>893.06</v>
      </c>
      <c r="G38" s="115">
        <f>IF($B38="",0,SUMIFS(L_VParc,L_Tipo,"Despesa",L_Cat,$B38,L_IIni,"&lt;="&amp;(Sel_Idx-7),L_IFim,"&gt;="&amp;(Sel_Idx-7)))</f>
        <v>897.23</v>
      </c>
      <c r="H38" s="115">
        <f>IF($B38="",0,SUMIFS(L_VParc,L_Tipo,"Despesa",L_Cat,$B38,L_IIni,"&lt;="&amp;(Sel_Idx-6),L_IFim,"&gt;="&amp;(Sel_Idx-6)))</f>
        <v>1215.59</v>
      </c>
      <c r="I38" s="115">
        <f>IF($B38="",0,SUMIFS(L_VParc,L_Tipo,"Despesa",L_Cat,$B38,L_IIni,"&lt;="&amp;(Sel_Idx-5),L_IFim,"&gt;="&amp;(Sel_Idx-5)))</f>
        <v>925.79</v>
      </c>
      <c r="J38" s="115">
        <f>IF($B38="",0,SUMIFS(L_VParc,L_Tipo,"Despesa",L_Cat,$B38,L_IIni,"&lt;="&amp;(Sel_Idx-4),L_IFim,"&gt;="&amp;(Sel_Idx-4)))</f>
        <v>913.86</v>
      </c>
      <c r="K38" s="115">
        <f>IF($B38="",0,SUMIFS(L_VParc,L_Tipo,"Despesa",L_Cat,$B38,L_IIni,"&lt;="&amp;(Sel_Idx-3),L_IFim,"&gt;="&amp;(Sel_Idx-3)))</f>
        <v>1212.5</v>
      </c>
      <c r="L38" s="115">
        <f>IF($B38="",0,SUMIFS(L_VParc,L_Tipo,"Despesa",L_Cat,$B38,L_IIni,"&lt;="&amp;(Sel_Idx-2),L_IFim,"&gt;="&amp;(Sel_Idx-2)))</f>
        <v>930.67</v>
      </c>
      <c r="M38" s="115">
        <f>IF($B38="",0,SUMIFS(L_VParc,L_Tipo,"Despesa",L_Cat,$B38,L_IIni,"&lt;="&amp;(Sel_Idx-1),L_IFim,"&gt;="&amp;(Sel_Idx-1)))</f>
        <v>853</v>
      </c>
      <c r="N38" s="115">
        <f>IF($B38="",0,SUMIFS(L_VParc,L_Tipo,"Despesa",L_Cat,$B38,L_IIni,"&lt;="&amp;(Sel_Idx-0),L_IFim,"&gt;="&amp;(Sel_Idx-0)))</f>
        <v>1169.25</v>
      </c>
      <c r="O38" s="115">
        <f>AVERAGE(C38:N38)</f>
        <v>993.558333333333</v>
      </c>
      <c r="P38" s="13" t="str">
        <f>IF($B38="","",IF(O38=0,"—",IF(N38&gt;O38*1.1,"▲ subindo",IF(N38&lt;O38*0.9,"▼ caindo","▬ estável"))))</f>
        <v>▲ subindo</v>
      </c>
    </row>
    <row r="39">
      <c r="B39" s="14" t="str">
        <f>IF(INDEX(CatD_Nome,5)="","",INDEX(CatD_Nome,5))</f>
        <v>Educação</v>
      </c>
      <c r="C39" s="115">
        <f>IF($B39="",0,SUMIFS(L_VParc,L_Tipo,"Despesa",L_Cat,$B39,L_IIni,"&lt;="&amp;(Sel_Idx-11),L_IFim,"&gt;="&amp;(Sel_Idx-11)))</f>
        <v>390</v>
      </c>
      <c r="D39" s="115">
        <f>IF($B39="",0,SUMIFS(L_VParc,L_Tipo,"Despesa",L_Cat,$B39,L_IIni,"&lt;="&amp;(Sel_Idx-10),L_IFim,"&gt;="&amp;(Sel_Idx-10)))</f>
        <v>390</v>
      </c>
      <c r="E39" s="115">
        <f>IF($B39="",0,SUMIFS(L_VParc,L_Tipo,"Despesa",L_Cat,$B39,L_IIni,"&lt;="&amp;(Sel_Idx-9),L_IFim,"&gt;="&amp;(Sel_Idx-9)))</f>
        <v>390</v>
      </c>
      <c r="F39" s="115">
        <f>IF($B39="",0,SUMIFS(L_VParc,L_Tipo,"Despesa",L_Cat,$B39,L_IIni,"&lt;="&amp;(Sel_Idx-8),L_IFim,"&gt;="&amp;(Sel_Idx-8)))</f>
        <v>390</v>
      </c>
      <c r="G39" s="115">
        <f>IF($B39="",0,SUMIFS(L_VParc,L_Tipo,"Despesa",L_Cat,$B39,L_IIni,"&lt;="&amp;(Sel_Idx-7),L_IFim,"&gt;="&amp;(Sel_Idx-7)))</f>
        <v>390</v>
      </c>
      <c r="H39" s="115">
        <f>IF($B39="",0,SUMIFS(L_VParc,L_Tipo,"Despesa",L_Cat,$B39,L_IIni,"&lt;="&amp;(Sel_Idx-6),L_IFim,"&gt;="&amp;(Sel_Idx-6)))</f>
        <v>390</v>
      </c>
      <c r="I39" s="115">
        <f>IF($B39="",0,SUMIFS(L_VParc,L_Tipo,"Despesa",L_Cat,$B39,L_IIni,"&lt;="&amp;(Sel_Idx-5),L_IFim,"&gt;="&amp;(Sel_Idx-5)))</f>
        <v>390</v>
      </c>
      <c r="J39" s="115">
        <f>IF($B39="",0,SUMIFS(L_VParc,L_Tipo,"Despesa",L_Cat,$B39,L_IIni,"&lt;="&amp;(Sel_Idx-4),L_IFim,"&gt;="&amp;(Sel_Idx-4)))</f>
        <v>390</v>
      </c>
      <c r="K39" s="115">
        <f>IF($B39="",0,SUMIFS(L_VParc,L_Tipo,"Despesa",L_Cat,$B39,L_IIni,"&lt;="&amp;(Sel_Idx-3),L_IFim,"&gt;="&amp;(Sel_Idx-3)))</f>
        <v>390</v>
      </c>
      <c r="L39" s="115">
        <f>IF($B39="",0,SUMIFS(L_VParc,L_Tipo,"Despesa",L_Cat,$B39,L_IIni,"&lt;="&amp;(Sel_Idx-2),L_IFim,"&gt;="&amp;(Sel_Idx-2)))</f>
        <v>390</v>
      </c>
      <c r="M39" s="115">
        <f>IF($B39="",0,SUMIFS(L_VParc,L_Tipo,"Despesa",L_Cat,$B39,L_IIni,"&lt;="&amp;(Sel_Idx-1),L_IFim,"&gt;="&amp;(Sel_Idx-1)))</f>
        <v>390</v>
      </c>
      <c r="N39" s="115">
        <f>IF($B39="",0,SUMIFS(L_VParc,L_Tipo,"Despesa",L_Cat,$B39,L_IIni,"&lt;="&amp;(Sel_Idx-0),L_IFim,"&gt;="&amp;(Sel_Idx-0)))</f>
        <v>390</v>
      </c>
      <c r="O39" s="115">
        <f>AVERAGE(C39:N39)</f>
        <v>390</v>
      </c>
      <c r="P39" s="13" t="str">
        <f>IF($B39="","",IF(O39=0,"—",IF(N39&gt;O39*1.1,"▲ subindo",IF(N39&lt;O39*0.9,"▼ caindo","▬ estável"))))</f>
        <v>▬ estável</v>
      </c>
    </row>
    <row r="40">
      <c r="B40" s="14" t="str">
        <f>IF(INDEX(CatD_Nome,6)="","",INDEX(CatD_Nome,6))</f>
        <v>Lazer</v>
      </c>
      <c r="C40" s="115">
        <f>IF($B40="",0,SUMIFS(L_VParc,L_Tipo,"Despesa",L_Cat,$B40,L_IIni,"&lt;="&amp;(Sel_Idx-11),L_IFim,"&gt;="&amp;(Sel_Idx-11)))</f>
        <v>233.25</v>
      </c>
      <c r="D40" s="115">
        <f>IF($B40="",0,SUMIFS(L_VParc,L_Tipo,"Despesa",L_Cat,$B40,L_IIni,"&lt;="&amp;(Sel_Idx-10),L_IFim,"&gt;="&amp;(Sel_Idx-10)))</f>
        <v>235.8</v>
      </c>
      <c r="E40" s="115">
        <f>IF($B40="",0,SUMIFS(L_VParc,L_Tipo,"Despesa",L_Cat,$B40,L_IIni,"&lt;="&amp;(Sel_Idx-9),L_IFim,"&gt;="&amp;(Sel_Idx-9)))</f>
        <v>249.64</v>
      </c>
      <c r="F40" s="115">
        <f>IF($B40="",0,SUMIFS(L_VParc,L_Tipo,"Despesa",L_Cat,$B40,L_IIni,"&lt;="&amp;(Sel_Idx-8),L_IFim,"&gt;="&amp;(Sel_Idx-8)))</f>
        <v>273.87</v>
      </c>
      <c r="G40" s="115">
        <f>IF($B40="",0,SUMIFS(L_VParc,L_Tipo,"Despesa",L_Cat,$B40,L_IIni,"&lt;="&amp;(Sel_Idx-7),L_IFim,"&gt;="&amp;(Sel_Idx-7)))</f>
        <v>355.09</v>
      </c>
      <c r="H40" s="115">
        <f>IF($B40="",0,SUMIFS(L_VParc,L_Tipo,"Despesa",L_Cat,$B40,L_IIni,"&lt;="&amp;(Sel_Idx-6),L_IFim,"&gt;="&amp;(Sel_Idx-6)))</f>
        <v>174.02</v>
      </c>
      <c r="I40" s="115">
        <f>IF($B40="",0,SUMIFS(L_VParc,L_Tipo,"Despesa",L_Cat,$B40,L_IIni,"&lt;="&amp;(Sel_Idx-5),L_IFim,"&gt;="&amp;(Sel_Idx-5)))</f>
        <v>221.02</v>
      </c>
      <c r="J40" s="115">
        <f>IF($B40="",0,SUMIFS(L_VParc,L_Tipo,"Despesa",L_Cat,$B40,L_IIni,"&lt;="&amp;(Sel_Idx-4),L_IFim,"&gt;="&amp;(Sel_Idx-4)))</f>
        <v>149.58</v>
      </c>
      <c r="K40" s="115">
        <f>IF($B40="",0,SUMIFS(L_VParc,L_Tipo,"Despesa",L_Cat,$B40,L_IIni,"&lt;="&amp;(Sel_Idx-3),L_IFim,"&gt;="&amp;(Sel_Idx-3)))</f>
        <v>182.46</v>
      </c>
      <c r="L40" s="115">
        <f>IF($B40="",0,SUMIFS(L_VParc,L_Tipo,"Despesa",L_Cat,$B40,L_IIni,"&lt;="&amp;(Sel_Idx-2),L_IFim,"&gt;="&amp;(Sel_Idx-2)))</f>
        <v>220.76</v>
      </c>
      <c r="M40" s="115">
        <f>IF($B40="",0,SUMIFS(L_VParc,L_Tipo,"Despesa",L_Cat,$B40,L_IIni,"&lt;="&amp;(Sel_Idx-1),L_IFim,"&gt;="&amp;(Sel_Idx-1)))</f>
        <v>633.95</v>
      </c>
      <c r="N40" s="115">
        <f>IF($B40="",0,SUMIFS(L_VParc,L_Tipo,"Despesa",L_Cat,$B40,L_IIni,"&lt;="&amp;(Sel_Idx-0),L_IFim,"&gt;="&amp;(Sel_Idx-0)))</f>
        <v>1651.19</v>
      </c>
      <c r="O40" s="115">
        <f>AVERAGE(C40:N40)</f>
        <v>381.719166666667</v>
      </c>
      <c r="P40" s="13" t="str">
        <f>IF($B40="","",IF(O40=0,"—",IF(N40&gt;O40*1.1,"▲ subindo",IF(N40&lt;O40*0.9,"▼ caindo","▬ estável"))))</f>
        <v>▲ subindo</v>
      </c>
    </row>
    <row r="41">
      <c r="B41" s="14" t="str">
        <f>IF(INDEX(CatD_Nome,7)="","",INDEX(CatD_Nome,7))</f>
        <v>Assinaturas</v>
      </c>
      <c r="C41" s="115">
        <f>IF($B41="",0,SUMIFS(L_VParc,L_Tipo,"Despesa",L_Cat,$B41,L_IIni,"&lt;="&amp;(Sel_Idx-11),L_IFim,"&gt;="&amp;(Sel_Idx-11)))</f>
        <v>221.7</v>
      </c>
      <c r="D41" s="115">
        <f>IF($B41="",0,SUMIFS(L_VParc,L_Tipo,"Despesa",L_Cat,$B41,L_IIni,"&lt;="&amp;(Sel_Idx-10),L_IFim,"&gt;="&amp;(Sel_Idx-10)))</f>
        <v>221.7</v>
      </c>
      <c r="E41" s="115">
        <f>IF($B41="",0,SUMIFS(L_VParc,L_Tipo,"Despesa",L_Cat,$B41,L_IIni,"&lt;="&amp;(Sel_Idx-9),L_IFim,"&gt;="&amp;(Sel_Idx-9)))</f>
        <v>221.7</v>
      </c>
      <c r="F41" s="115">
        <f>IF($B41="",0,SUMIFS(L_VParc,L_Tipo,"Despesa",L_Cat,$B41,L_IIni,"&lt;="&amp;(Sel_Idx-8),L_IFim,"&gt;="&amp;(Sel_Idx-8)))</f>
        <v>221.7</v>
      </c>
      <c r="G41" s="115">
        <f>IF($B41="",0,SUMIFS(L_VParc,L_Tipo,"Despesa",L_Cat,$B41,L_IIni,"&lt;="&amp;(Sel_Idx-7),L_IFim,"&gt;="&amp;(Sel_Idx-7)))</f>
        <v>221.7</v>
      </c>
      <c r="H41" s="115">
        <f>IF($B41="",0,SUMIFS(L_VParc,L_Tipo,"Despesa",L_Cat,$B41,L_IIni,"&lt;="&amp;(Sel_Idx-6),L_IFim,"&gt;="&amp;(Sel_Idx-6)))</f>
        <v>221.7</v>
      </c>
      <c r="I41" s="115">
        <f>IF($B41="",0,SUMIFS(L_VParc,L_Tipo,"Despesa",L_Cat,$B41,L_IIni,"&lt;="&amp;(Sel_Idx-5),L_IFim,"&gt;="&amp;(Sel_Idx-5)))</f>
        <v>221.7</v>
      </c>
      <c r="J41" s="115">
        <f>IF($B41="",0,SUMIFS(L_VParc,L_Tipo,"Despesa",L_Cat,$B41,L_IIni,"&lt;="&amp;(Sel_Idx-4),L_IFim,"&gt;="&amp;(Sel_Idx-4)))</f>
        <v>221.7</v>
      </c>
      <c r="K41" s="115">
        <f>IF($B41="",0,SUMIFS(L_VParc,L_Tipo,"Despesa",L_Cat,$B41,L_IIni,"&lt;="&amp;(Sel_Idx-3),L_IFim,"&gt;="&amp;(Sel_Idx-3)))</f>
        <v>221.7</v>
      </c>
      <c r="L41" s="115">
        <f>IF($B41="",0,SUMIFS(L_VParc,L_Tipo,"Despesa",L_Cat,$B41,L_IIni,"&lt;="&amp;(Sel_Idx-2),L_IFim,"&gt;="&amp;(Sel_Idx-2)))</f>
        <v>221.7</v>
      </c>
      <c r="M41" s="115">
        <f>IF($B41="",0,SUMIFS(L_VParc,L_Tipo,"Despesa",L_Cat,$B41,L_IIni,"&lt;="&amp;(Sel_Idx-1),L_IFim,"&gt;="&amp;(Sel_Idx-1)))</f>
        <v>221.7</v>
      </c>
      <c r="N41" s="115">
        <f>IF($B41="",0,SUMIFS(L_VParc,L_Tipo,"Despesa",L_Cat,$B41,L_IIni,"&lt;="&amp;(Sel_Idx-0),L_IFim,"&gt;="&amp;(Sel_Idx-0)))</f>
        <v>221.7</v>
      </c>
      <c r="O41" s="115">
        <f>AVERAGE(C41:N41)</f>
        <v>221.7</v>
      </c>
      <c r="P41" s="13" t="str">
        <f>IF($B41="","",IF(O41=0,"—",IF(N41&gt;O41*1.1,"▲ subindo",IF(N41&lt;O41*0.9,"▼ caindo","▬ estável"))))</f>
        <v>▬ estável</v>
      </c>
    </row>
    <row r="42">
      <c r="B42" s="14" t="str">
        <f>IF(INDEX(CatD_Nome,8)="","",INDEX(CatD_Nome,8))</f>
        <v>Vestuário</v>
      </c>
      <c r="C42" s="115">
        <f>IF($B42="",0,SUMIFS(L_VParc,L_Tipo,"Despesa",L_Cat,$B42,L_IIni,"&lt;="&amp;(Sel_Idx-11),L_IFim,"&gt;="&amp;(Sel_Idx-11)))</f>
        <v>392.39</v>
      </c>
      <c r="D42" s="115">
        <f>IF($B42="",0,SUMIFS(L_VParc,L_Tipo,"Despesa",L_Cat,$B42,L_IIni,"&lt;="&amp;(Sel_Idx-10),L_IFim,"&gt;="&amp;(Sel_Idx-10)))</f>
        <v>0</v>
      </c>
      <c r="E42" s="115">
        <f>IF($B42="",0,SUMIFS(L_VParc,L_Tipo,"Despesa",L_Cat,$B42,L_IIni,"&lt;="&amp;(Sel_Idx-9),L_IFim,"&gt;="&amp;(Sel_Idx-9)))</f>
        <v>385.62</v>
      </c>
      <c r="F42" s="115">
        <f>IF($B42="",0,SUMIFS(L_VParc,L_Tipo,"Despesa",L_Cat,$B42,L_IIni,"&lt;="&amp;(Sel_Idx-8),L_IFim,"&gt;="&amp;(Sel_Idx-8)))</f>
        <v>0</v>
      </c>
      <c r="G42" s="115">
        <f>IF($B42="",0,SUMIFS(L_VParc,L_Tipo,"Despesa",L_Cat,$B42,L_IIni,"&lt;="&amp;(Sel_Idx-7),L_IFim,"&gt;="&amp;(Sel_Idx-7)))</f>
        <v>370.62</v>
      </c>
      <c r="H42" s="115">
        <f>IF($B42="",0,SUMIFS(L_VParc,L_Tipo,"Despesa",L_Cat,$B42,L_IIni,"&lt;="&amp;(Sel_Idx-6),L_IFim,"&gt;="&amp;(Sel_Idx-6)))</f>
        <v>0</v>
      </c>
      <c r="I42" s="115">
        <f>IF($B42="",0,SUMIFS(L_VParc,L_Tipo,"Despesa",L_Cat,$B42,L_IIni,"&lt;="&amp;(Sel_Idx-5),L_IFim,"&gt;="&amp;(Sel_Idx-5)))</f>
        <v>449.64</v>
      </c>
      <c r="J42" s="115">
        <f>IF($B42="",0,SUMIFS(L_VParc,L_Tipo,"Despesa",L_Cat,$B42,L_IIni,"&lt;="&amp;(Sel_Idx-4),L_IFim,"&gt;="&amp;(Sel_Idx-4)))</f>
        <v>0</v>
      </c>
      <c r="K42" s="115">
        <f>IF($B42="",0,SUMIFS(L_VParc,L_Tipo,"Despesa",L_Cat,$B42,L_IIni,"&lt;="&amp;(Sel_Idx-3),L_IFim,"&gt;="&amp;(Sel_Idx-3)))</f>
        <v>246.01</v>
      </c>
      <c r="L42" s="115">
        <f>IF($B42="",0,SUMIFS(L_VParc,L_Tipo,"Despesa",L_Cat,$B42,L_IIni,"&lt;="&amp;(Sel_Idx-2),L_IFim,"&gt;="&amp;(Sel_Idx-2)))</f>
        <v>0</v>
      </c>
      <c r="M42" s="115">
        <f>IF($B42="",0,SUMIFS(L_VParc,L_Tipo,"Despesa",L_Cat,$B42,L_IIni,"&lt;="&amp;(Sel_Idx-1),L_IFim,"&gt;="&amp;(Sel_Idx-1)))</f>
        <v>408.88</v>
      </c>
      <c r="N42" s="115">
        <f>IF($B42="",0,SUMIFS(L_VParc,L_Tipo,"Despesa",L_Cat,$B42,L_IIni,"&lt;="&amp;(Sel_Idx-0),L_IFim,"&gt;="&amp;(Sel_Idx-0)))</f>
        <v>0</v>
      </c>
      <c r="O42" s="115">
        <f>AVERAGE(C42:N42)</f>
        <v>187.763333333333</v>
      </c>
      <c r="P42" s="13" t="str">
        <f>IF($B42="","",IF(O42=0,"—",IF(N42&gt;O42*1.1,"▲ subindo",IF(N42&lt;O42*0.9,"▼ caindo","▬ estável"))))</f>
        <v>▼ caindo</v>
      </c>
    </row>
    <row r="43">
      <c r="B43" s="14" t="str">
        <f>IF(INDEX(CatD_Nome,9)="","",INDEX(CatD_Nome,9))</f>
        <v>Dívidas e Financiamentos</v>
      </c>
      <c r="C43" s="115">
        <f>IF($B43="",0,SUMIFS(L_VParc,L_Tipo,"Despesa",L_Cat,$B43,L_IIni,"&lt;="&amp;(Sel_Idx-11),L_IFim,"&gt;="&amp;(Sel_Idx-11)))</f>
        <v>2190</v>
      </c>
      <c r="D43" s="115">
        <f>IF($B43="",0,SUMIFS(L_VParc,L_Tipo,"Despesa",L_Cat,$B43,L_IIni,"&lt;="&amp;(Sel_Idx-10),L_IFim,"&gt;="&amp;(Sel_Idx-10)))</f>
        <v>2190</v>
      </c>
      <c r="E43" s="115">
        <f>IF($B43="",0,SUMIFS(L_VParc,L_Tipo,"Despesa",L_Cat,$B43,L_IIni,"&lt;="&amp;(Sel_Idx-9),L_IFim,"&gt;="&amp;(Sel_Idx-9)))</f>
        <v>2190</v>
      </c>
      <c r="F43" s="115">
        <f>IF($B43="",0,SUMIFS(L_VParc,L_Tipo,"Despesa",L_Cat,$B43,L_IIni,"&lt;="&amp;(Sel_Idx-8),L_IFim,"&gt;="&amp;(Sel_Idx-8)))</f>
        <v>2190</v>
      </c>
      <c r="G43" s="115">
        <f>IF($B43="",0,SUMIFS(L_VParc,L_Tipo,"Despesa",L_Cat,$B43,L_IIni,"&lt;="&amp;(Sel_Idx-7),L_IFim,"&gt;="&amp;(Sel_Idx-7)))</f>
        <v>2190</v>
      </c>
      <c r="H43" s="115">
        <f>IF($B43="",0,SUMIFS(L_VParc,L_Tipo,"Despesa",L_Cat,$B43,L_IIni,"&lt;="&amp;(Sel_Idx-6),L_IFim,"&gt;="&amp;(Sel_Idx-6)))</f>
        <v>2190</v>
      </c>
      <c r="I43" s="115">
        <f>IF($B43="",0,SUMIFS(L_VParc,L_Tipo,"Despesa",L_Cat,$B43,L_IIni,"&lt;="&amp;(Sel_Idx-5),L_IFim,"&gt;="&amp;(Sel_Idx-5)))</f>
        <v>2190</v>
      </c>
      <c r="J43" s="115">
        <f>IF($B43="",0,SUMIFS(L_VParc,L_Tipo,"Despesa",L_Cat,$B43,L_IIni,"&lt;="&amp;(Sel_Idx-4),L_IFim,"&gt;="&amp;(Sel_Idx-4)))</f>
        <v>2190</v>
      </c>
      <c r="K43" s="115">
        <f>IF($B43="",0,SUMIFS(L_VParc,L_Tipo,"Despesa",L_Cat,$B43,L_IIni,"&lt;="&amp;(Sel_Idx-3),L_IFim,"&gt;="&amp;(Sel_Idx-3)))</f>
        <v>2190</v>
      </c>
      <c r="L43" s="115">
        <f>IF($B43="",0,SUMIFS(L_VParc,L_Tipo,"Despesa",L_Cat,$B43,L_IIni,"&lt;="&amp;(Sel_Idx-2),L_IFim,"&gt;="&amp;(Sel_Idx-2)))</f>
        <v>2190</v>
      </c>
      <c r="M43" s="115">
        <f>IF($B43="",0,SUMIFS(L_VParc,L_Tipo,"Despesa",L_Cat,$B43,L_IIni,"&lt;="&amp;(Sel_Idx-1),L_IFim,"&gt;="&amp;(Sel_Idx-1)))</f>
        <v>2190</v>
      </c>
      <c r="N43" s="115">
        <f>IF($B43="",0,SUMIFS(L_VParc,L_Tipo,"Despesa",L_Cat,$B43,L_IIni,"&lt;="&amp;(Sel_Idx-0),L_IFim,"&gt;="&amp;(Sel_Idx-0)))</f>
        <v>2190</v>
      </c>
      <c r="O43" s="115">
        <f>AVERAGE(C43:N43)</f>
        <v>2190</v>
      </c>
      <c r="P43" s="13" t="str">
        <f>IF($B43="","",IF(O43=0,"—",IF(N43&gt;O43*1.1,"▲ subindo",IF(N43&lt;O43*0.9,"▼ caindo","▬ estável"))))</f>
        <v>▬ estável</v>
      </c>
    </row>
    <row r="44">
      <c r="B44" s="14" t="str">
        <f>IF(INDEX(CatD_Nome,10)="","",INDEX(CatD_Nome,10))</f>
        <v>Impostos e Taxas</v>
      </c>
      <c r="C44" s="115">
        <f>IF($B44="",0,SUMIFS(L_VParc,L_Tipo,"Despesa",L_Cat,$B44,L_IIni,"&lt;="&amp;(Sel_Idx-11),L_IFim,"&gt;="&amp;(Sel_Idx-11)))</f>
        <v>0</v>
      </c>
      <c r="D44" s="115">
        <f>IF($B44="",0,SUMIFS(L_VParc,L_Tipo,"Despesa",L_Cat,$B44,L_IIni,"&lt;="&amp;(Sel_Idx-10),L_IFim,"&gt;="&amp;(Sel_Idx-10)))</f>
        <v>0</v>
      </c>
      <c r="E44" s="115">
        <f>IF($B44="",0,SUMIFS(L_VParc,L_Tipo,"Despesa",L_Cat,$B44,L_IIni,"&lt;="&amp;(Sel_Idx-9),L_IFim,"&gt;="&amp;(Sel_Idx-9)))</f>
        <v>0</v>
      </c>
      <c r="F44" s="115">
        <f>IF($B44="",0,SUMIFS(L_VParc,L_Tipo,"Despesa",L_Cat,$B44,L_IIni,"&lt;="&amp;(Sel_Idx-8),L_IFim,"&gt;="&amp;(Sel_Idx-8)))</f>
        <v>0</v>
      </c>
      <c r="G44" s="115">
        <f>IF($B44="",0,SUMIFS(L_VParc,L_Tipo,"Despesa",L_Cat,$B44,L_IIni,"&lt;="&amp;(Sel_Idx-7),L_IFim,"&gt;="&amp;(Sel_Idx-7)))</f>
        <v>180</v>
      </c>
      <c r="H44" s="115">
        <f>IF($B44="",0,SUMIFS(L_VParc,L_Tipo,"Despesa",L_Cat,$B44,L_IIni,"&lt;="&amp;(Sel_Idx-6),L_IFim,"&gt;="&amp;(Sel_Idx-6)))</f>
        <v>180</v>
      </c>
      <c r="I44" s="115">
        <f>IF($B44="",0,SUMIFS(L_VParc,L_Tipo,"Despesa",L_Cat,$B44,L_IIni,"&lt;="&amp;(Sel_Idx-5),L_IFim,"&gt;="&amp;(Sel_Idx-5)))</f>
        <v>180</v>
      </c>
      <c r="J44" s="115">
        <f>IF($B44="",0,SUMIFS(L_VParc,L_Tipo,"Despesa",L_Cat,$B44,L_IIni,"&lt;="&amp;(Sel_Idx-4),L_IFim,"&gt;="&amp;(Sel_Idx-4)))</f>
        <v>180</v>
      </c>
      <c r="K44" s="115">
        <f>IF($B44="",0,SUMIFS(L_VParc,L_Tipo,"Despesa",L_Cat,$B44,L_IIni,"&lt;="&amp;(Sel_Idx-3),L_IFim,"&gt;="&amp;(Sel_Idx-3)))</f>
        <v>180</v>
      </c>
      <c r="L44" s="115">
        <f>IF($B44="",0,SUMIFS(L_VParc,L_Tipo,"Despesa",L_Cat,$B44,L_IIni,"&lt;="&amp;(Sel_Idx-2),L_IFim,"&gt;="&amp;(Sel_Idx-2)))</f>
        <v>180</v>
      </c>
      <c r="M44" s="115">
        <f>IF($B44="",0,SUMIFS(L_VParc,L_Tipo,"Despesa",L_Cat,$B44,L_IIni,"&lt;="&amp;(Sel_Idx-1),L_IFim,"&gt;="&amp;(Sel_Idx-1)))</f>
        <v>180</v>
      </c>
      <c r="N44" s="115">
        <f>IF($B44="",0,SUMIFS(L_VParc,L_Tipo,"Despesa",L_Cat,$B44,L_IIni,"&lt;="&amp;(Sel_Idx-0),L_IFim,"&gt;="&amp;(Sel_Idx-0)))</f>
        <v>180</v>
      </c>
      <c r="O44" s="115">
        <f>AVERAGE(C44:N44)</f>
        <v>120</v>
      </c>
      <c r="P44" s="13" t="str">
        <f>IF($B44="","",IF(O44=0,"—",IF(N44&gt;O44*1.1,"▲ subindo",IF(N44&lt;O44*0.9,"▼ caindo","▬ estável"))))</f>
        <v>▲ subindo</v>
      </c>
    </row>
    <row r="45">
      <c r="B45" s="14" t="str">
        <f>IF(INDEX(CatD_Nome,11)="","",INDEX(CatD_Nome,11))</f>
        <v>Família/Pets</v>
      </c>
      <c r="C45" s="115">
        <f>IF($B45="",0,SUMIFS(L_VParc,L_Tipo,"Despesa",L_Cat,$B45,L_IIni,"&lt;="&amp;(Sel_Idx-11),L_IFim,"&gt;="&amp;(Sel_Idx-11)))</f>
        <v>223.47</v>
      </c>
      <c r="D45" s="115">
        <f>IF($B45="",0,SUMIFS(L_VParc,L_Tipo,"Despesa",L_Cat,$B45,L_IIni,"&lt;="&amp;(Sel_Idx-10),L_IFim,"&gt;="&amp;(Sel_Idx-10)))</f>
        <v>199.61</v>
      </c>
      <c r="E45" s="115">
        <f>IF($B45="",0,SUMIFS(L_VParc,L_Tipo,"Despesa",L_Cat,$B45,L_IIni,"&lt;="&amp;(Sel_Idx-9),L_IFim,"&gt;="&amp;(Sel_Idx-9)))</f>
        <v>221.01</v>
      </c>
      <c r="F45" s="115">
        <f>IF($B45="",0,SUMIFS(L_VParc,L_Tipo,"Despesa",L_Cat,$B45,L_IIni,"&lt;="&amp;(Sel_Idx-8),L_IFim,"&gt;="&amp;(Sel_Idx-8)))</f>
        <v>230.22</v>
      </c>
      <c r="G45" s="115">
        <f>IF($B45="",0,SUMIFS(L_VParc,L_Tipo,"Despesa",L_Cat,$B45,L_IIni,"&lt;="&amp;(Sel_Idx-7),L_IFim,"&gt;="&amp;(Sel_Idx-7)))</f>
        <v>216.2</v>
      </c>
      <c r="H45" s="115">
        <f>IF($B45="",0,SUMIFS(L_VParc,L_Tipo,"Despesa",L_Cat,$B45,L_IIni,"&lt;="&amp;(Sel_Idx-6),L_IFim,"&gt;="&amp;(Sel_Idx-6)))</f>
        <v>227.61</v>
      </c>
      <c r="I45" s="115">
        <f>IF($B45="",0,SUMIFS(L_VParc,L_Tipo,"Despesa",L_Cat,$B45,L_IIni,"&lt;="&amp;(Sel_Idx-5),L_IFim,"&gt;="&amp;(Sel_Idx-5)))</f>
        <v>511.1</v>
      </c>
      <c r="J45" s="115">
        <f>IF($B45="",0,SUMIFS(L_VParc,L_Tipo,"Despesa",L_Cat,$B45,L_IIni,"&lt;="&amp;(Sel_Idx-4),L_IFim,"&gt;="&amp;(Sel_Idx-4)))</f>
        <v>208.16</v>
      </c>
      <c r="K45" s="115">
        <f>IF($B45="",0,SUMIFS(L_VParc,L_Tipo,"Despesa",L_Cat,$B45,L_IIni,"&lt;="&amp;(Sel_Idx-3),L_IFim,"&gt;="&amp;(Sel_Idx-3)))</f>
        <v>240.47</v>
      </c>
      <c r="L45" s="115">
        <f>IF($B45="",0,SUMIFS(L_VParc,L_Tipo,"Despesa",L_Cat,$B45,L_IIni,"&lt;="&amp;(Sel_Idx-2),L_IFim,"&gt;="&amp;(Sel_Idx-2)))</f>
        <v>202.55</v>
      </c>
      <c r="M45" s="115">
        <f>IF($B45="",0,SUMIFS(L_VParc,L_Tipo,"Despesa",L_Cat,$B45,L_IIni,"&lt;="&amp;(Sel_Idx-1),L_IFim,"&gt;="&amp;(Sel_Idx-1)))</f>
        <v>553.55</v>
      </c>
      <c r="N45" s="115">
        <f>IF($B45="",0,SUMIFS(L_VParc,L_Tipo,"Despesa",L_Cat,$B45,L_IIni,"&lt;="&amp;(Sel_Idx-0),L_IFim,"&gt;="&amp;(Sel_Idx-0)))</f>
        <v>207.96</v>
      </c>
      <c r="O45" s="115">
        <f>AVERAGE(C45:N45)</f>
        <v>270.159166666667</v>
      </c>
      <c r="P45" s="13" t="str">
        <f>IF($B45="","",IF(O45=0,"—",IF(N45&gt;O45*1.1,"▲ subindo",IF(N45&lt;O45*0.9,"▼ caindo","▬ estável"))))</f>
        <v>▼ caindo</v>
      </c>
    </row>
    <row r="46">
      <c r="B46" s="14" t="str">
        <f>IF(INDEX(CatD_Nome,12)="","",INDEX(CatD_Nome,12))</f>
        <v>Doações</v>
      </c>
      <c r="C46" s="115">
        <f>IF($B46="",0,SUMIFS(L_VParc,L_Tipo,"Despesa",L_Cat,$B46,L_IIni,"&lt;="&amp;(Sel_Idx-11),L_IFim,"&gt;="&amp;(Sel_Idx-11)))</f>
        <v>100</v>
      </c>
      <c r="D46" s="115">
        <f>IF($B46="",0,SUMIFS(L_VParc,L_Tipo,"Despesa",L_Cat,$B46,L_IIni,"&lt;="&amp;(Sel_Idx-10),L_IFim,"&gt;="&amp;(Sel_Idx-10)))</f>
        <v>100</v>
      </c>
      <c r="E46" s="115">
        <f>IF($B46="",0,SUMIFS(L_VParc,L_Tipo,"Despesa",L_Cat,$B46,L_IIni,"&lt;="&amp;(Sel_Idx-9),L_IFim,"&gt;="&amp;(Sel_Idx-9)))</f>
        <v>100</v>
      </c>
      <c r="F46" s="115">
        <f>IF($B46="",0,SUMIFS(L_VParc,L_Tipo,"Despesa",L_Cat,$B46,L_IIni,"&lt;="&amp;(Sel_Idx-8),L_IFim,"&gt;="&amp;(Sel_Idx-8)))</f>
        <v>100</v>
      </c>
      <c r="G46" s="115">
        <f>IF($B46="",0,SUMIFS(L_VParc,L_Tipo,"Despesa",L_Cat,$B46,L_IIni,"&lt;="&amp;(Sel_Idx-7),L_IFim,"&gt;="&amp;(Sel_Idx-7)))</f>
        <v>100</v>
      </c>
      <c r="H46" s="115">
        <f>IF($B46="",0,SUMIFS(L_VParc,L_Tipo,"Despesa",L_Cat,$B46,L_IIni,"&lt;="&amp;(Sel_Idx-6),L_IFim,"&gt;="&amp;(Sel_Idx-6)))</f>
        <v>100</v>
      </c>
      <c r="I46" s="115">
        <f>IF($B46="",0,SUMIFS(L_VParc,L_Tipo,"Despesa",L_Cat,$B46,L_IIni,"&lt;="&amp;(Sel_Idx-5),L_IFim,"&gt;="&amp;(Sel_Idx-5)))</f>
        <v>100</v>
      </c>
      <c r="J46" s="115">
        <f>IF($B46="",0,SUMIFS(L_VParc,L_Tipo,"Despesa",L_Cat,$B46,L_IIni,"&lt;="&amp;(Sel_Idx-4),L_IFim,"&gt;="&amp;(Sel_Idx-4)))</f>
        <v>100</v>
      </c>
      <c r="K46" s="115">
        <f>IF($B46="",0,SUMIFS(L_VParc,L_Tipo,"Despesa",L_Cat,$B46,L_IIni,"&lt;="&amp;(Sel_Idx-3),L_IFim,"&gt;="&amp;(Sel_Idx-3)))</f>
        <v>100</v>
      </c>
      <c r="L46" s="115">
        <f>IF($B46="",0,SUMIFS(L_VParc,L_Tipo,"Despesa",L_Cat,$B46,L_IIni,"&lt;="&amp;(Sel_Idx-2),L_IFim,"&gt;="&amp;(Sel_Idx-2)))</f>
        <v>100</v>
      </c>
      <c r="M46" s="115">
        <f>IF($B46="",0,SUMIFS(L_VParc,L_Tipo,"Despesa",L_Cat,$B46,L_IIni,"&lt;="&amp;(Sel_Idx-1),L_IFim,"&gt;="&amp;(Sel_Idx-1)))</f>
        <v>100</v>
      </c>
      <c r="N46" s="115">
        <f>IF($B46="",0,SUMIFS(L_VParc,L_Tipo,"Despesa",L_Cat,$B46,L_IIni,"&lt;="&amp;(Sel_Idx-0),L_IFim,"&gt;="&amp;(Sel_Idx-0)))</f>
        <v>100</v>
      </c>
      <c r="O46" s="115">
        <f>AVERAGE(C46:N46)</f>
        <v>100</v>
      </c>
      <c r="P46" s="13" t="str">
        <f>IF($B46="","",IF(O46=0,"—",IF(N46&gt;O46*1.1,"▲ subindo",IF(N46&lt;O46*0.9,"▼ caindo","▬ estável"))))</f>
        <v>▬ estável</v>
      </c>
    </row>
    <row r="47">
      <c r="B47" s="14" t="str">
        <f>IF(INDEX(CatD_Nome,13)="","",INDEX(CatD_Nome,13))</f>
        <v>Outros</v>
      </c>
      <c r="C47" s="115">
        <f>IF($B47="",0,SUMIFS(L_VParc,L_Tipo,"Despesa",L_Cat,$B47,L_IIni,"&lt;="&amp;(Sel_Idx-11),L_IFim,"&gt;="&amp;(Sel_Idx-11)))</f>
        <v>183.02</v>
      </c>
      <c r="D47" s="115">
        <f>IF($B47="",0,SUMIFS(L_VParc,L_Tipo,"Despesa",L_Cat,$B47,L_IIni,"&lt;="&amp;(Sel_Idx-10),L_IFim,"&gt;="&amp;(Sel_Idx-10)))</f>
        <v>175.35</v>
      </c>
      <c r="E47" s="115">
        <f>IF($B47="",0,SUMIFS(L_VParc,L_Tipo,"Despesa",L_Cat,$B47,L_IIni,"&lt;="&amp;(Sel_Idx-9),L_IFim,"&gt;="&amp;(Sel_Idx-9)))</f>
        <v>75.66</v>
      </c>
      <c r="F47" s="115">
        <f>IF($B47="",0,SUMIFS(L_VParc,L_Tipo,"Despesa",L_Cat,$B47,L_IIni,"&lt;="&amp;(Sel_Idx-8),L_IFim,"&gt;="&amp;(Sel_Idx-8)))</f>
        <v>66.23</v>
      </c>
      <c r="G47" s="115">
        <f>IF($B47="",0,SUMIFS(L_VParc,L_Tipo,"Despesa",L_Cat,$B47,L_IIni,"&lt;="&amp;(Sel_Idx-7),L_IFim,"&gt;="&amp;(Sel_Idx-7)))</f>
        <v>95.03</v>
      </c>
      <c r="H47" s="115">
        <f>IF($B47="",0,SUMIFS(L_VParc,L_Tipo,"Despesa",L_Cat,$B47,L_IIni,"&lt;="&amp;(Sel_Idx-6),L_IFim,"&gt;="&amp;(Sel_Idx-6)))</f>
        <v>484.33</v>
      </c>
      <c r="I47" s="115">
        <f>IF($B47="",0,SUMIFS(L_VParc,L_Tipo,"Despesa",L_Cat,$B47,L_IIni,"&lt;="&amp;(Sel_Idx-5),L_IFim,"&gt;="&amp;(Sel_Idx-5)))</f>
        <v>485.97</v>
      </c>
      <c r="J47" s="115">
        <f>IF($B47="",0,SUMIFS(L_VParc,L_Tipo,"Despesa",L_Cat,$B47,L_IIni,"&lt;="&amp;(Sel_Idx-4),L_IFim,"&gt;="&amp;(Sel_Idx-4)))</f>
        <v>374.68</v>
      </c>
      <c r="K47" s="115">
        <f>IF($B47="",0,SUMIFS(L_VParc,L_Tipo,"Despesa",L_Cat,$B47,L_IIni,"&lt;="&amp;(Sel_Idx-3),L_IFim,"&gt;="&amp;(Sel_Idx-3)))</f>
        <v>672.18</v>
      </c>
      <c r="L47" s="115">
        <f>IF($B47="",0,SUMIFS(L_VParc,L_Tipo,"Despesa",L_Cat,$B47,L_IIni,"&lt;="&amp;(Sel_Idx-2),L_IFim,"&gt;="&amp;(Sel_Idx-2)))</f>
        <v>432.39</v>
      </c>
      <c r="M47" s="115">
        <f>IF($B47="",0,SUMIFS(L_VParc,L_Tipo,"Despesa",L_Cat,$B47,L_IIni,"&lt;="&amp;(Sel_Idx-1),L_IFim,"&gt;="&amp;(Sel_Idx-1)))</f>
        <v>455.79</v>
      </c>
      <c r="N47" s="115">
        <f>IF($B47="",0,SUMIFS(L_VParc,L_Tipo,"Despesa",L_Cat,$B47,L_IIni,"&lt;="&amp;(Sel_Idx-0),L_IFim,"&gt;="&amp;(Sel_Idx-0)))</f>
        <v>372.27</v>
      </c>
      <c r="O47" s="115">
        <f>AVERAGE(C47:N47)</f>
        <v>322.741666666667</v>
      </c>
      <c r="P47" s="13" t="str">
        <f>IF($B47="","",IF(O47=0,"—",IF(N47&gt;O47*1.1,"▲ subindo",IF(N47&lt;O47*0.9,"▼ caindo","▬ estável"))))</f>
        <v>▲ subindo</v>
      </c>
    </row>
    <row r="48">
      <c r="B48" s="14" t="str">
        <f>IF(INDEX(CatD_Nome,14)="","",INDEX(CatD_Nome,14))</f>
        <v/>
      </c>
      <c r="C48" s="115">
        <f>IF($B48="",0,SUMIFS(L_VParc,L_Tipo,"Despesa",L_Cat,$B48,L_IIni,"&lt;="&amp;(Sel_Idx-11),L_IFim,"&gt;="&amp;(Sel_Idx-11)))</f>
        <v>0</v>
      </c>
      <c r="D48" s="115">
        <f>IF($B48="",0,SUMIFS(L_VParc,L_Tipo,"Despesa",L_Cat,$B48,L_IIni,"&lt;="&amp;(Sel_Idx-10),L_IFim,"&gt;="&amp;(Sel_Idx-10)))</f>
        <v>0</v>
      </c>
      <c r="E48" s="115">
        <f>IF($B48="",0,SUMIFS(L_VParc,L_Tipo,"Despesa",L_Cat,$B48,L_IIni,"&lt;="&amp;(Sel_Idx-9),L_IFim,"&gt;="&amp;(Sel_Idx-9)))</f>
        <v>0</v>
      </c>
      <c r="F48" s="115">
        <f>IF($B48="",0,SUMIFS(L_VParc,L_Tipo,"Despesa",L_Cat,$B48,L_IIni,"&lt;="&amp;(Sel_Idx-8),L_IFim,"&gt;="&amp;(Sel_Idx-8)))</f>
        <v>0</v>
      </c>
      <c r="G48" s="115">
        <f>IF($B48="",0,SUMIFS(L_VParc,L_Tipo,"Despesa",L_Cat,$B48,L_IIni,"&lt;="&amp;(Sel_Idx-7),L_IFim,"&gt;="&amp;(Sel_Idx-7)))</f>
        <v>0</v>
      </c>
      <c r="H48" s="115">
        <f>IF($B48="",0,SUMIFS(L_VParc,L_Tipo,"Despesa",L_Cat,$B48,L_IIni,"&lt;="&amp;(Sel_Idx-6),L_IFim,"&gt;="&amp;(Sel_Idx-6)))</f>
        <v>0</v>
      </c>
      <c r="I48" s="115">
        <f>IF($B48="",0,SUMIFS(L_VParc,L_Tipo,"Despesa",L_Cat,$B48,L_IIni,"&lt;="&amp;(Sel_Idx-5),L_IFim,"&gt;="&amp;(Sel_Idx-5)))</f>
        <v>0</v>
      </c>
      <c r="J48" s="115">
        <f>IF($B48="",0,SUMIFS(L_VParc,L_Tipo,"Despesa",L_Cat,$B48,L_IIni,"&lt;="&amp;(Sel_Idx-4),L_IFim,"&gt;="&amp;(Sel_Idx-4)))</f>
        <v>0</v>
      </c>
      <c r="K48" s="115">
        <f>IF($B48="",0,SUMIFS(L_VParc,L_Tipo,"Despesa",L_Cat,$B48,L_IIni,"&lt;="&amp;(Sel_Idx-3),L_IFim,"&gt;="&amp;(Sel_Idx-3)))</f>
        <v>0</v>
      </c>
      <c r="L48" s="115">
        <f>IF($B48="",0,SUMIFS(L_VParc,L_Tipo,"Despesa",L_Cat,$B48,L_IIni,"&lt;="&amp;(Sel_Idx-2),L_IFim,"&gt;="&amp;(Sel_Idx-2)))</f>
        <v>0</v>
      </c>
      <c r="M48" s="115">
        <f>IF($B48="",0,SUMIFS(L_VParc,L_Tipo,"Despesa",L_Cat,$B48,L_IIni,"&lt;="&amp;(Sel_Idx-1),L_IFim,"&gt;="&amp;(Sel_Idx-1)))</f>
        <v>0</v>
      </c>
      <c r="N48" s="115">
        <f>IF($B48="",0,SUMIFS(L_VParc,L_Tipo,"Despesa",L_Cat,$B48,L_IIni,"&lt;="&amp;(Sel_Idx-0),L_IFim,"&gt;="&amp;(Sel_Idx-0)))</f>
        <v>0</v>
      </c>
      <c r="O48" s="115">
        <f>AVERAGE(C48:N48)</f>
        <v>0</v>
      </c>
      <c r="P48" s="13" t="str">
        <f>IF($B48="","",IF(O48=0,"—",IF(N48&gt;O48*1.1,"▲ subindo",IF(N48&lt;O48*0.9,"▼ caindo","▬ estável"))))</f>
        <v/>
      </c>
    </row>
    <row r="49">
      <c r="B49" s="14" t="str">
        <f>IF(INDEX(CatD_Nome,15)="","",INDEX(CatD_Nome,15))</f>
        <v/>
      </c>
      <c r="C49" s="115">
        <f>IF($B49="",0,SUMIFS(L_VParc,L_Tipo,"Despesa",L_Cat,$B49,L_IIni,"&lt;="&amp;(Sel_Idx-11),L_IFim,"&gt;="&amp;(Sel_Idx-11)))</f>
        <v>0</v>
      </c>
      <c r="D49" s="115">
        <f>IF($B49="",0,SUMIFS(L_VParc,L_Tipo,"Despesa",L_Cat,$B49,L_IIni,"&lt;="&amp;(Sel_Idx-10),L_IFim,"&gt;="&amp;(Sel_Idx-10)))</f>
        <v>0</v>
      </c>
      <c r="E49" s="115">
        <f>IF($B49="",0,SUMIFS(L_VParc,L_Tipo,"Despesa",L_Cat,$B49,L_IIni,"&lt;="&amp;(Sel_Idx-9),L_IFim,"&gt;="&amp;(Sel_Idx-9)))</f>
        <v>0</v>
      </c>
      <c r="F49" s="115">
        <f>IF($B49="",0,SUMIFS(L_VParc,L_Tipo,"Despesa",L_Cat,$B49,L_IIni,"&lt;="&amp;(Sel_Idx-8),L_IFim,"&gt;="&amp;(Sel_Idx-8)))</f>
        <v>0</v>
      </c>
      <c r="G49" s="115">
        <f>IF($B49="",0,SUMIFS(L_VParc,L_Tipo,"Despesa",L_Cat,$B49,L_IIni,"&lt;="&amp;(Sel_Idx-7),L_IFim,"&gt;="&amp;(Sel_Idx-7)))</f>
        <v>0</v>
      </c>
      <c r="H49" s="115">
        <f>IF($B49="",0,SUMIFS(L_VParc,L_Tipo,"Despesa",L_Cat,$B49,L_IIni,"&lt;="&amp;(Sel_Idx-6),L_IFim,"&gt;="&amp;(Sel_Idx-6)))</f>
        <v>0</v>
      </c>
      <c r="I49" s="115">
        <f>IF($B49="",0,SUMIFS(L_VParc,L_Tipo,"Despesa",L_Cat,$B49,L_IIni,"&lt;="&amp;(Sel_Idx-5),L_IFim,"&gt;="&amp;(Sel_Idx-5)))</f>
        <v>0</v>
      </c>
      <c r="J49" s="115">
        <f>IF($B49="",0,SUMIFS(L_VParc,L_Tipo,"Despesa",L_Cat,$B49,L_IIni,"&lt;="&amp;(Sel_Idx-4),L_IFim,"&gt;="&amp;(Sel_Idx-4)))</f>
        <v>0</v>
      </c>
      <c r="K49" s="115">
        <f>IF($B49="",0,SUMIFS(L_VParc,L_Tipo,"Despesa",L_Cat,$B49,L_IIni,"&lt;="&amp;(Sel_Idx-3),L_IFim,"&gt;="&amp;(Sel_Idx-3)))</f>
        <v>0</v>
      </c>
      <c r="L49" s="115">
        <f>IF($B49="",0,SUMIFS(L_VParc,L_Tipo,"Despesa",L_Cat,$B49,L_IIni,"&lt;="&amp;(Sel_Idx-2),L_IFim,"&gt;="&amp;(Sel_Idx-2)))</f>
        <v>0</v>
      </c>
      <c r="M49" s="115">
        <f>IF($B49="",0,SUMIFS(L_VParc,L_Tipo,"Despesa",L_Cat,$B49,L_IIni,"&lt;="&amp;(Sel_Idx-1),L_IFim,"&gt;="&amp;(Sel_Idx-1)))</f>
        <v>0</v>
      </c>
      <c r="N49" s="115">
        <f>IF($B49="",0,SUMIFS(L_VParc,L_Tipo,"Despesa",L_Cat,$B49,L_IIni,"&lt;="&amp;(Sel_Idx-0),L_IFim,"&gt;="&amp;(Sel_Idx-0)))</f>
        <v>0</v>
      </c>
      <c r="O49" s="115">
        <f>AVERAGE(C49:N49)</f>
        <v>0</v>
      </c>
      <c r="P49" s="13" t="str">
        <f>IF($B49="","",IF(O49=0,"—",IF(N49&gt;O49*1.1,"▲ subindo",IF(N49&lt;O49*0.9,"▼ caindo","▬ estável"))))</f>
        <v/>
      </c>
    </row>
    <row r="50">
      <c r="B50" s="14" t="str">
        <f>IF(INDEX(CatD_Nome,16)="","",INDEX(CatD_Nome,16))</f>
        <v/>
      </c>
      <c r="C50" s="115">
        <f>IF($B50="",0,SUMIFS(L_VParc,L_Tipo,"Despesa",L_Cat,$B50,L_IIni,"&lt;="&amp;(Sel_Idx-11),L_IFim,"&gt;="&amp;(Sel_Idx-11)))</f>
        <v>0</v>
      </c>
      <c r="D50" s="115">
        <f>IF($B50="",0,SUMIFS(L_VParc,L_Tipo,"Despesa",L_Cat,$B50,L_IIni,"&lt;="&amp;(Sel_Idx-10),L_IFim,"&gt;="&amp;(Sel_Idx-10)))</f>
        <v>0</v>
      </c>
      <c r="E50" s="115">
        <f>IF($B50="",0,SUMIFS(L_VParc,L_Tipo,"Despesa",L_Cat,$B50,L_IIni,"&lt;="&amp;(Sel_Idx-9),L_IFim,"&gt;="&amp;(Sel_Idx-9)))</f>
        <v>0</v>
      </c>
      <c r="F50" s="115">
        <f>IF($B50="",0,SUMIFS(L_VParc,L_Tipo,"Despesa",L_Cat,$B50,L_IIni,"&lt;="&amp;(Sel_Idx-8),L_IFim,"&gt;="&amp;(Sel_Idx-8)))</f>
        <v>0</v>
      </c>
      <c r="G50" s="115">
        <f>IF($B50="",0,SUMIFS(L_VParc,L_Tipo,"Despesa",L_Cat,$B50,L_IIni,"&lt;="&amp;(Sel_Idx-7),L_IFim,"&gt;="&amp;(Sel_Idx-7)))</f>
        <v>0</v>
      </c>
      <c r="H50" s="115">
        <f>IF($B50="",0,SUMIFS(L_VParc,L_Tipo,"Despesa",L_Cat,$B50,L_IIni,"&lt;="&amp;(Sel_Idx-6),L_IFim,"&gt;="&amp;(Sel_Idx-6)))</f>
        <v>0</v>
      </c>
      <c r="I50" s="115">
        <f>IF($B50="",0,SUMIFS(L_VParc,L_Tipo,"Despesa",L_Cat,$B50,L_IIni,"&lt;="&amp;(Sel_Idx-5),L_IFim,"&gt;="&amp;(Sel_Idx-5)))</f>
        <v>0</v>
      </c>
      <c r="J50" s="115">
        <f>IF($B50="",0,SUMIFS(L_VParc,L_Tipo,"Despesa",L_Cat,$B50,L_IIni,"&lt;="&amp;(Sel_Idx-4),L_IFim,"&gt;="&amp;(Sel_Idx-4)))</f>
        <v>0</v>
      </c>
      <c r="K50" s="115">
        <f>IF($B50="",0,SUMIFS(L_VParc,L_Tipo,"Despesa",L_Cat,$B50,L_IIni,"&lt;="&amp;(Sel_Idx-3),L_IFim,"&gt;="&amp;(Sel_Idx-3)))</f>
        <v>0</v>
      </c>
      <c r="L50" s="115">
        <f>IF($B50="",0,SUMIFS(L_VParc,L_Tipo,"Despesa",L_Cat,$B50,L_IIni,"&lt;="&amp;(Sel_Idx-2),L_IFim,"&gt;="&amp;(Sel_Idx-2)))</f>
        <v>0</v>
      </c>
      <c r="M50" s="115">
        <f>IF($B50="",0,SUMIFS(L_VParc,L_Tipo,"Despesa",L_Cat,$B50,L_IIni,"&lt;="&amp;(Sel_Idx-1),L_IFim,"&gt;="&amp;(Sel_Idx-1)))</f>
        <v>0</v>
      </c>
      <c r="N50" s="115">
        <f>IF($B50="",0,SUMIFS(L_VParc,L_Tipo,"Despesa",L_Cat,$B50,L_IIni,"&lt;="&amp;(Sel_Idx-0),L_IFim,"&gt;="&amp;(Sel_Idx-0)))</f>
        <v>0</v>
      </c>
      <c r="O50" s="115">
        <f>AVERAGE(C50:N50)</f>
        <v>0</v>
      </c>
      <c r="P50" s="13" t="str">
        <f>IF($B50="","",IF(O50=0,"—",IF(N50&gt;O50*1.1,"▲ subindo",IF(N50&lt;O50*0.9,"▼ caindo","▬ estável"))))</f>
        <v/>
      </c>
    </row>
    <row r="51">
      <c r="B51" s="14" t="str">
        <f>IF(INDEX(CatD_Nome,17)="","",INDEX(CatD_Nome,17))</f>
        <v/>
      </c>
      <c r="C51" s="115">
        <f>IF($B51="",0,SUMIFS(L_VParc,L_Tipo,"Despesa",L_Cat,$B51,L_IIni,"&lt;="&amp;(Sel_Idx-11),L_IFim,"&gt;="&amp;(Sel_Idx-11)))</f>
        <v>0</v>
      </c>
      <c r="D51" s="115">
        <f>IF($B51="",0,SUMIFS(L_VParc,L_Tipo,"Despesa",L_Cat,$B51,L_IIni,"&lt;="&amp;(Sel_Idx-10),L_IFim,"&gt;="&amp;(Sel_Idx-10)))</f>
        <v>0</v>
      </c>
      <c r="E51" s="115">
        <f>IF($B51="",0,SUMIFS(L_VParc,L_Tipo,"Despesa",L_Cat,$B51,L_IIni,"&lt;="&amp;(Sel_Idx-9),L_IFim,"&gt;="&amp;(Sel_Idx-9)))</f>
        <v>0</v>
      </c>
      <c r="F51" s="115">
        <f>IF($B51="",0,SUMIFS(L_VParc,L_Tipo,"Despesa",L_Cat,$B51,L_IIni,"&lt;="&amp;(Sel_Idx-8),L_IFim,"&gt;="&amp;(Sel_Idx-8)))</f>
        <v>0</v>
      </c>
      <c r="G51" s="115">
        <f>IF($B51="",0,SUMIFS(L_VParc,L_Tipo,"Despesa",L_Cat,$B51,L_IIni,"&lt;="&amp;(Sel_Idx-7),L_IFim,"&gt;="&amp;(Sel_Idx-7)))</f>
        <v>0</v>
      </c>
      <c r="H51" s="115">
        <f>IF($B51="",0,SUMIFS(L_VParc,L_Tipo,"Despesa",L_Cat,$B51,L_IIni,"&lt;="&amp;(Sel_Idx-6),L_IFim,"&gt;="&amp;(Sel_Idx-6)))</f>
        <v>0</v>
      </c>
      <c r="I51" s="115">
        <f>IF($B51="",0,SUMIFS(L_VParc,L_Tipo,"Despesa",L_Cat,$B51,L_IIni,"&lt;="&amp;(Sel_Idx-5),L_IFim,"&gt;="&amp;(Sel_Idx-5)))</f>
        <v>0</v>
      </c>
      <c r="J51" s="115">
        <f>IF($B51="",0,SUMIFS(L_VParc,L_Tipo,"Despesa",L_Cat,$B51,L_IIni,"&lt;="&amp;(Sel_Idx-4),L_IFim,"&gt;="&amp;(Sel_Idx-4)))</f>
        <v>0</v>
      </c>
      <c r="K51" s="115">
        <f>IF($B51="",0,SUMIFS(L_VParc,L_Tipo,"Despesa",L_Cat,$B51,L_IIni,"&lt;="&amp;(Sel_Idx-3),L_IFim,"&gt;="&amp;(Sel_Idx-3)))</f>
        <v>0</v>
      </c>
      <c r="L51" s="115">
        <f>IF($B51="",0,SUMIFS(L_VParc,L_Tipo,"Despesa",L_Cat,$B51,L_IIni,"&lt;="&amp;(Sel_Idx-2),L_IFim,"&gt;="&amp;(Sel_Idx-2)))</f>
        <v>0</v>
      </c>
      <c r="M51" s="115">
        <f>IF($B51="",0,SUMIFS(L_VParc,L_Tipo,"Despesa",L_Cat,$B51,L_IIni,"&lt;="&amp;(Sel_Idx-1),L_IFim,"&gt;="&amp;(Sel_Idx-1)))</f>
        <v>0</v>
      </c>
      <c r="N51" s="115">
        <f>IF($B51="",0,SUMIFS(L_VParc,L_Tipo,"Despesa",L_Cat,$B51,L_IIni,"&lt;="&amp;(Sel_Idx-0),L_IFim,"&gt;="&amp;(Sel_Idx-0)))</f>
        <v>0</v>
      </c>
      <c r="O51" s="115">
        <f>AVERAGE(C51:N51)</f>
        <v>0</v>
      </c>
      <c r="P51" s="13" t="str">
        <f>IF($B51="","",IF(O51=0,"—",IF(N51&gt;O51*1.1,"▲ subindo",IF(N51&lt;O51*0.9,"▼ caindo","▬ estável"))))</f>
        <v/>
      </c>
    </row>
    <row r="52">
      <c r="B52" s="14" t="str">
        <f>IF(INDEX(CatD_Nome,18)="","",INDEX(CatD_Nome,18))</f>
        <v/>
      </c>
      <c r="C52" s="115">
        <f>IF($B52="",0,SUMIFS(L_VParc,L_Tipo,"Despesa",L_Cat,$B52,L_IIni,"&lt;="&amp;(Sel_Idx-11),L_IFim,"&gt;="&amp;(Sel_Idx-11)))</f>
        <v>0</v>
      </c>
      <c r="D52" s="115">
        <f>IF($B52="",0,SUMIFS(L_VParc,L_Tipo,"Despesa",L_Cat,$B52,L_IIni,"&lt;="&amp;(Sel_Idx-10),L_IFim,"&gt;="&amp;(Sel_Idx-10)))</f>
        <v>0</v>
      </c>
      <c r="E52" s="115">
        <f>IF($B52="",0,SUMIFS(L_VParc,L_Tipo,"Despesa",L_Cat,$B52,L_IIni,"&lt;="&amp;(Sel_Idx-9),L_IFim,"&gt;="&amp;(Sel_Idx-9)))</f>
        <v>0</v>
      </c>
      <c r="F52" s="115">
        <f>IF($B52="",0,SUMIFS(L_VParc,L_Tipo,"Despesa",L_Cat,$B52,L_IIni,"&lt;="&amp;(Sel_Idx-8),L_IFim,"&gt;="&amp;(Sel_Idx-8)))</f>
        <v>0</v>
      </c>
      <c r="G52" s="115">
        <f>IF($B52="",0,SUMIFS(L_VParc,L_Tipo,"Despesa",L_Cat,$B52,L_IIni,"&lt;="&amp;(Sel_Idx-7),L_IFim,"&gt;="&amp;(Sel_Idx-7)))</f>
        <v>0</v>
      </c>
      <c r="H52" s="115">
        <f>IF($B52="",0,SUMIFS(L_VParc,L_Tipo,"Despesa",L_Cat,$B52,L_IIni,"&lt;="&amp;(Sel_Idx-6),L_IFim,"&gt;="&amp;(Sel_Idx-6)))</f>
        <v>0</v>
      </c>
      <c r="I52" s="115">
        <f>IF($B52="",0,SUMIFS(L_VParc,L_Tipo,"Despesa",L_Cat,$B52,L_IIni,"&lt;="&amp;(Sel_Idx-5),L_IFim,"&gt;="&amp;(Sel_Idx-5)))</f>
        <v>0</v>
      </c>
      <c r="J52" s="115">
        <f>IF($B52="",0,SUMIFS(L_VParc,L_Tipo,"Despesa",L_Cat,$B52,L_IIni,"&lt;="&amp;(Sel_Idx-4),L_IFim,"&gt;="&amp;(Sel_Idx-4)))</f>
        <v>0</v>
      </c>
      <c r="K52" s="115">
        <f>IF($B52="",0,SUMIFS(L_VParc,L_Tipo,"Despesa",L_Cat,$B52,L_IIni,"&lt;="&amp;(Sel_Idx-3),L_IFim,"&gt;="&amp;(Sel_Idx-3)))</f>
        <v>0</v>
      </c>
      <c r="L52" s="115">
        <f>IF($B52="",0,SUMIFS(L_VParc,L_Tipo,"Despesa",L_Cat,$B52,L_IIni,"&lt;="&amp;(Sel_Idx-2),L_IFim,"&gt;="&amp;(Sel_Idx-2)))</f>
        <v>0</v>
      </c>
      <c r="M52" s="115">
        <f>IF($B52="",0,SUMIFS(L_VParc,L_Tipo,"Despesa",L_Cat,$B52,L_IIni,"&lt;="&amp;(Sel_Idx-1),L_IFim,"&gt;="&amp;(Sel_Idx-1)))</f>
        <v>0</v>
      </c>
      <c r="N52" s="115">
        <f>IF($B52="",0,SUMIFS(L_VParc,L_Tipo,"Despesa",L_Cat,$B52,L_IIni,"&lt;="&amp;(Sel_Idx-0),L_IFim,"&gt;="&amp;(Sel_Idx-0)))</f>
        <v>0</v>
      </c>
      <c r="O52" s="115">
        <f>AVERAGE(C52:N52)</f>
        <v>0</v>
      </c>
      <c r="P52" s="13" t="str">
        <f>IF($B52="","",IF(O52=0,"—",IF(N52&gt;O52*1.1,"▲ subindo",IF(N52&lt;O52*0.9,"▼ caindo","▬ estável"))))</f>
        <v/>
      </c>
    </row>
    <row r="55">
      <c r="B55" s="6" t="inlineStr">
        <is>
          <t>4. Gastos por forma de pagamento (mês selecionado)</t>
        </is>
      </c>
      <c r="F55" s="6" t="inlineStr">
        <is>
          <t>5. Gastos por dia da semana (mês)</t>
        </is>
      </c>
    </row>
    <row r="56">
      <c r="B56" s="7" t="inlineStr">
        <is>
          <t>Forma de pagamento</t>
        </is>
      </c>
      <c r="C56" s="7" t="inlineStr">
        <is>
          <t>Valor</t>
        </is>
      </c>
      <c r="D56" s="7" t="inlineStr">
        <is>
          <t>% do total</t>
        </is>
      </c>
      <c r="F56" s="7" t="inlineStr">
        <is>
          <t>Dia</t>
        </is>
      </c>
      <c r="G56" s="7" t="inlineStr">
        <is>
          <t>Valor</t>
        </is>
      </c>
      <c r="H56" s="7" t="inlineStr">
        <is>
          <t>% do total</t>
        </is>
      </c>
    </row>
    <row r="57">
      <c r="B57" s="14" t="str">
        <f>IF(INDEX(Forma_Nome,1)="","",INDEX(Forma_Nome,1))</f>
        <v>Pix</v>
      </c>
      <c r="C57" s="43">
        <f>IF(B57="",0,SUMIFS(L_VParc,L_Tipo,"Despesa",L_Forma,$B57,L_IIni,"&lt;="&amp;(Sel_Idx),L_IFim,"&gt;="&amp;(Sel_Idx)))</f>
        <v>551.05</v>
      </c>
      <c r="D57" s="73">
        <f>IFERROR(C57/K_Desp,0)</f>
        <v>0.04449588955039</v>
      </c>
      <c r="F57" s="14" t="str">
        <f>INDEX(Lista_DiaSem,1)</f>
        <v>Domingo</v>
      </c>
      <c r="G57" s="43">
        <f>SUMIFS(L_VParc,L_Tipo,"Despesa",L_Sem,1,L_IIni,"&lt;="&amp;(Sel_Idx),L_IFim,"&gt;="&amp;(Sel_Idx))</f>
        <v>2133.86</v>
      </c>
      <c r="H57" s="73">
        <f>IFERROR(G57/K_Desp,0)</f>
        <v>0.17230378164594</v>
      </c>
    </row>
    <row r="58">
      <c r="B58" s="14" t="str">
        <f>IF(INDEX(Forma_Nome,2)="","",INDEX(Forma_Nome,2))</f>
        <v>Débito</v>
      </c>
      <c r="C58" s="43">
        <f>IF(B58="",0,SUMIFS(L_VParc,L_Tipo,"Despesa",L_Forma,$B58,L_IIni,"&lt;="&amp;(Sel_Idx),L_IFim,"&gt;="&amp;(Sel_Idx)))</f>
        <v>463.33</v>
      </c>
      <c r="D58" s="73">
        <f>IFERROR(C58/K_Desp,0)</f>
        <v>0.0374127220858039</v>
      </c>
      <c r="F58" s="14" t="str">
        <f>INDEX(Lista_DiaSem,2)</f>
        <v>Segunda</v>
      </c>
      <c r="G58" s="43">
        <f>SUMIFS(L_VParc,L_Tipo,"Despesa",L_Sem,2,L_IIni,"&lt;="&amp;(Sel_Idx),L_IFim,"&gt;="&amp;(Sel_Idx))</f>
        <v>398.33</v>
      </c>
      <c r="H58" s="73">
        <f>IFERROR(G58/K_Desp,0)</f>
        <v>0.0321641369832263</v>
      </c>
    </row>
    <row r="59">
      <c r="B59" s="14" t="str">
        <f>IF(INDEX(Forma_Nome,3)="","",INDEX(Forma_Nome,3))</f>
        <v>Crédito</v>
      </c>
      <c r="C59" s="43">
        <f>IF(B59="",0,SUMIFS(L_VParc,L_Tipo,"Despesa",L_Forma,$B59,L_IIni,"&lt;="&amp;(Sel_Idx),L_IFim,"&gt;="&amp;(Sel_Idx)))</f>
        <v>4230.14</v>
      </c>
      <c r="D59" s="73">
        <f>IFERROR(C59/K_Desp,0)</f>
        <v>0.341573073627959</v>
      </c>
      <c r="F59" s="14" t="str">
        <f>INDEX(Lista_DiaSem,3)</f>
        <v>Terça</v>
      </c>
      <c r="G59" s="43">
        <f>SUMIFS(L_VParc,L_Tipo,"Despesa",L_Sem,3,L_IIni,"&lt;="&amp;(Sel_Idx),L_IFim,"&gt;="&amp;(Sel_Idx))</f>
        <v>1370.12</v>
      </c>
      <c r="H59" s="73">
        <f>IFERROR(G59/K_Desp,0)</f>
        <v>0.110633714165285</v>
      </c>
    </row>
    <row r="60">
      <c r="B60" s="14" t="str">
        <f>IF(INDEX(Forma_Nome,4)="","",INDEX(Forma_Nome,4))</f>
        <v>Dinheiro</v>
      </c>
      <c r="C60" s="43">
        <f>IF(B60="",0,SUMIFS(L_VParc,L_Tipo,"Despesa",L_Forma,$B60,L_IIni,"&lt;="&amp;(Sel_Idx),L_IFim,"&gt;="&amp;(Sel_Idx)))</f>
        <v>0</v>
      </c>
      <c r="D60" s="73">
        <f>IFERROR(C60/K_Desp,0)</f>
        <v>0</v>
      </c>
      <c r="F60" s="14" t="str">
        <f>INDEX(Lista_DiaSem,4)</f>
        <v>Quarta</v>
      </c>
      <c r="G60" s="43">
        <f>SUMIFS(L_VParc,L_Tipo,"Despesa",L_Sem,4,L_IIni,"&lt;="&amp;(Sel_Idx),L_IFim,"&gt;="&amp;(Sel_Idx))</f>
        <v>440.62</v>
      </c>
      <c r="H60" s="73">
        <f>IFERROR(G60/K_Desp,0)</f>
        <v>0.0355789471984264</v>
      </c>
    </row>
    <row r="61">
      <c r="B61" s="14" t="str">
        <f>IF(INDEX(Forma_Nome,5)="","",INDEX(Forma_Nome,5))</f>
        <v>Boleto</v>
      </c>
      <c r="C61" s="43">
        <f>IF(B61="",0,SUMIFS(L_VParc,L_Tipo,"Despesa",L_Forma,$B61,L_IIni,"&lt;="&amp;(Sel_Idx),L_IFim,"&gt;="&amp;(Sel_Idx)))</f>
        <v>4080</v>
      </c>
      <c r="D61" s="73">
        <f>IFERROR(C61/K_Desp,0)</f>
        <v>0.329449649515636</v>
      </c>
      <c r="F61" s="14" t="str">
        <f>INDEX(Lista_DiaSem,5)</f>
        <v>Quinta</v>
      </c>
      <c r="G61" s="43">
        <f>SUMIFS(L_VParc,L_Tipo,"Despesa",L_Sem,5,L_IIni,"&lt;="&amp;(Sel_Idx),L_IFim,"&gt;="&amp;(Sel_Idx))</f>
        <v>4109</v>
      </c>
      <c r="H61" s="73">
        <f>IFERROR(G61/K_Desp,0)</f>
        <v>0.331791325946017</v>
      </c>
    </row>
    <row r="62">
      <c r="B62" s="14" t="str">
        <f>IF(INDEX(Forma_Nome,6)="","",INDEX(Forma_Nome,6))</f>
        <v>Débito automático</v>
      </c>
      <c r="C62" s="43">
        <f>IF(B62="",0,SUMIFS(L_VParc,L_Tipo,"Despesa",L_Forma,$B62,L_IIni,"&lt;="&amp;(Sel_Idx),L_IFim,"&gt;="&amp;(Sel_Idx)))</f>
        <v>3059.77</v>
      </c>
      <c r="D62" s="73">
        <f>IFERROR(C62/K_Desp,0)</f>
        <v>0.24706866522021</v>
      </c>
      <c r="F62" s="14" t="str">
        <f>INDEX(Lista_DiaSem,6)</f>
        <v>Sexta</v>
      </c>
      <c r="G62" s="43">
        <f>SUMIFS(L_VParc,L_Tipo,"Despesa",L_Sem,6,L_IIni,"&lt;="&amp;(Sel_Idx),L_IFim,"&gt;="&amp;(Sel_Idx))</f>
        <v>1967.23</v>
      </c>
      <c r="H62" s="73">
        <f>IFERROR(G62/K_Desp,0)</f>
        <v>0.158848831866825</v>
      </c>
    </row>
    <row r="63">
      <c r="B63" s="14" t="str">
        <f>IF(INDEX(Forma_Nome,7)="","",INDEX(Forma_Nome,7))</f>
        <v>Transferência</v>
      </c>
      <c r="C63" s="43">
        <f>IF(B63="",0,SUMIFS(L_VParc,L_Tipo,"Despesa",L_Forma,$B63,L_IIni,"&lt;="&amp;(Sel_Idx),L_IFim,"&gt;="&amp;(Sel_Idx)))</f>
        <v>0</v>
      </c>
      <c r="D63" s="73">
        <f>IFERROR(C63/K_Desp,0)</f>
        <v>0</v>
      </c>
      <c r="F63" s="14" t="str">
        <f>INDEX(Lista_DiaSem,7)</f>
        <v>Sábado</v>
      </c>
      <c r="G63" s="43">
        <f>SUMIFS(L_VParc,L_Tipo,"Despesa",L_Sem,7,L_IIni,"&lt;="&amp;(Sel_Idx),L_IFim,"&gt;="&amp;(Sel_Idx))</f>
        <v>1965.13</v>
      </c>
      <c r="H63" s="73">
        <f>IFERROR(G63/K_Desp,0)</f>
        <v>0.15867926219428</v>
      </c>
    </row>
    <row r="64">
      <c r="B64" s="14" t="str">
        <f>IF(INDEX(Forma_Nome,8)="","",INDEX(Forma_Nome,8))</f>
        <v/>
      </c>
      <c r="C64" s="43">
        <f>IF(B64="",0,SUMIFS(L_VParc,L_Tipo,"Despesa",L_Forma,$B64,L_IIni,"&lt;="&amp;(Sel_Idx),L_IFim,"&gt;="&amp;(Sel_Idx)))</f>
        <v>0</v>
      </c>
      <c r="D64" s="73">
        <f>IFERROR(C64/K_Desp,0)</f>
        <v>0</v>
      </c>
    </row>
    <row r="65">
      <c r="B65" s="14" t="str">
        <f>IF(INDEX(Forma_Nome,9)="","",INDEX(Forma_Nome,9))</f>
        <v/>
      </c>
      <c r="C65" s="43">
        <f>IF(B65="",0,SUMIFS(L_VParc,L_Tipo,"Despesa",L_Forma,$B65,L_IIni,"&lt;="&amp;(Sel_Idx),L_IFim,"&gt;="&amp;(Sel_Idx)))</f>
        <v>0</v>
      </c>
      <c r="D65" s="73">
        <f>IFERROR(C65/K_Desp,0)</f>
        <v>0</v>
      </c>
    </row>
    <row r="66">
      <c r="B66" s="14" t="str">
        <f>IF(INDEX(Forma_Nome,10)="","",INDEX(Forma_Nome,10))</f>
        <v/>
      </c>
      <c r="C66" s="43">
        <f>IF(B66="",0,SUMIFS(L_VParc,L_Tipo,"Despesa",L_Forma,$B66,L_IIni,"&lt;="&amp;(Sel_Idx),L_IFim,"&gt;="&amp;(Sel_Idx)))</f>
        <v>0</v>
      </c>
      <c r="D66" s="73">
        <f>IFERROR(C66/K_Desp,0)</f>
        <v>0</v>
      </c>
    </row>
    <row r="67">
      <c r="B67" s="14" t="inlineStr">
        <is>
          <t>Sem forma informada</t>
        </is>
      </c>
      <c r="C67" s="43">
        <f>K_Desp-SUM(C57:C66)</f>
        <v>0</v>
      </c>
      <c r="D67" s="73">
        <f>IFERROR(C67/K_Desp,0)</f>
        <v>0</v>
      </c>
    </row>
    <row r="70">
      <c r="B70" s="6" t="inlineStr">
        <is>
          <t>6. Gastos por tag (ano selecionado)</t>
        </is>
      </c>
    </row>
    <row r="71">
      <c r="B71" s="7" t="inlineStr">
        <is>
          <t>Tag</t>
        </is>
      </c>
      <c r="C71" s="7" t="inlineStr">
        <is>
          <t>Valor no ano</t>
        </is>
      </c>
      <c r="D71" s="7" t="inlineStr">
        <is>
          <t>Nº de lançamentos</t>
        </is>
      </c>
    </row>
    <row r="72">
      <c r="B72" s="14" t="str">
        <f>IF(INDEX(Tag_Nome,1)="","",INDEX(Tag_Nome,1))</f>
        <v>#viagem</v>
      </c>
      <c r="C72" s="43">
        <f>IF(B72="",0,SUMIFS(L_VParc,L_Tipo,"Despesa",L_Tag,B72,L_Ano,Sel_Ano))</f>
        <v>1400</v>
      </c>
      <c r="D72" s="40">
        <f>IF(B72="",0,COUNTIFS(L_Tag,B72,L_Ano,Sel_Ano))</f>
        <v>2</v>
      </c>
    </row>
    <row r="73">
      <c r="B73" s="14" t="str">
        <f>IF(INDEX(Tag_Nome,2)="","",INDEX(Tag_Nome,2))</f>
        <v>#presente</v>
      </c>
      <c r="C73" s="43">
        <f>IF(B73="",0,SUMIFS(L_VParc,L_Tipo,"Despesa",L_Tag,B73,L_Ano,Sel_Ano))</f>
        <v>280</v>
      </c>
      <c r="D73" s="40">
        <f>IF(B73="",0,COUNTIFS(L_Tag,B73,L_Ano,Sel_Ano))</f>
        <v>1</v>
      </c>
    </row>
    <row r="74">
      <c r="B74" s="14" t="str">
        <f>IF(INDEX(Tag_Nome,3)="","",INDEX(Tag_Nome,3))</f>
        <v>#reforma</v>
      </c>
      <c r="C74" s="43">
        <f>IF(B74="",0,SUMIFS(L_VParc,L_Tipo,"Despesa",L_Tag,B74,L_Ano,Sel_Ano))</f>
        <v>0</v>
      </c>
      <c r="D74" s="40">
        <f>IF(B74="",0,COUNTIFS(L_Tag,B74,L_Ano,Sel_Ano))</f>
        <v>0</v>
      </c>
    </row>
    <row r="75">
      <c r="B75" s="14" t="str">
        <f>IF(INDEX(Tag_Nome,4)="","",INDEX(Tag_Nome,4))</f>
        <v>#natal</v>
      </c>
      <c r="C75" s="43">
        <f>IF(B75="",0,SUMIFS(L_VParc,L_Tipo,"Despesa",L_Tag,B75,L_Ano,Sel_Ano))</f>
        <v>0</v>
      </c>
      <c r="D75" s="40">
        <f>IF(B75="",0,COUNTIFS(L_Tag,B75,L_Ano,Sel_Ano))</f>
        <v>0</v>
      </c>
    </row>
    <row r="76">
      <c r="B76" s="14" t="str">
        <f>IF(INDEX(Tag_Nome,5)="","",INDEX(Tag_Nome,5))</f>
        <v>#trabalho</v>
      </c>
      <c r="C76" s="43">
        <f>IF(B76="",0,SUMIFS(L_VParc,L_Tipo,"Despesa",L_Tag,B76,L_Ano,Sel_Ano))</f>
        <v>0</v>
      </c>
      <c r="D76" s="40">
        <f>IF(B76="",0,COUNTIFS(L_Tag,B76,L_Ano,Sel_Ano))</f>
        <v>0</v>
      </c>
    </row>
    <row r="77">
      <c r="B77" s="14" t="str">
        <f>IF(INDEX(Tag_Nome,6)="","",INDEX(Tag_Nome,6))</f>
        <v/>
      </c>
      <c r="C77" s="43">
        <f>IF(B77="",0,SUMIFS(L_VParc,L_Tipo,"Despesa",L_Tag,B77,L_Ano,Sel_Ano))</f>
        <v>0</v>
      </c>
      <c r="D77" s="40">
        <f>IF(B77="",0,COUNTIFS(L_Tag,B77,L_Ano,Sel_Ano))</f>
        <v>0</v>
      </c>
    </row>
    <row r="78">
      <c r="B78" s="14" t="str">
        <f>IF(INDEX(Tag_Nome,7)="","",INDEX(Tag_Nome,7))</f>
        <v/>
      </c>
      <c r="C78" s="43">
        <f>IF(B78="",0,SUMIFS(L_VParc,L_Tipo,"Despesa",L_Tag,B78,L_Ano,Sel_Ano))</f>
        <v>0</v>
      </c>
      <c r="D78" s="40">
        <f>IF(B78="",0,COUNTIFS(L_Tag,B78,L_Ano,Sel_Ano))</f>
        <v>0</v>
      </c>
    </row>
    <row r="79">
      <c r="B79" s="14" t="str">
        <f>IF(INDEX(Tag_Nome,8)="","",INDEX(Tag_Nome,8))</f>
        <v/>
      </c>
      <c r="C79" s="43">
        <f>IF(B79="",0,SUMIFS(L_VParc,L_Tipo,"Despesa",L_Tag,B79,L_Ano,Sel_Ano))</f>
        <v>0</v>
      </c>
      <c r="D79" s="40">
        <f>IF(B79="",0,COUNTIFS(L_Tag,B79,L_Ano,Sel_Ano))</f>
        <v>0</v>
      </c>
    </row>
    <row r="80">
      <c r="B80" s="14" t="str">
        <f>IF(INDEX(Tag_Nome,9)="","",INDEX(Tag_Nome,9))</f>
        <v/>
      </c>
      <c r="C80" s="43">
        <f>IF(B80="",0,SUMIFS(L_VParc,L_Tipo,"Despesa",L_Tag,B80,L_Ano,Sel_Ano))</f>
        <v>0</v>
      </c>
      <c r="D80" s="40">
        <f>IF(B80="",0,COUNTIFS(L_Tag,B80,L_Ano,Sel_Ano))</f>
        <v>0</v>
      </c>
    </row>
    <row r="81">
      <c r="B81" s="14" t="str">
        <f>IF(INDEX(Tag_Nome,10)="","",INDEX(Tag_Nome,10))</f>
        <v/>
      </c>
      <c r="C81" s="43">
        <f>IF(B81="",0,SUMIFS(L_VParc,L_Tipo,"Despesa",L_Tag,B81,L_Ano,Sel_Ano))</f>
        <v>0</v>
      </c>
      <c r="D81" s="40">
        <f>IF(B81="",0,COUNTIFS(L_Tag,B81,L_Ano,Sel_Ano))</f>
        <v>0</v>
      </c>
    </row>
    <row r="82">
      <c r="B82" s="14" t="str">
        <f>IF(INDEX(Tag_Nome,11)="","",INDEX(Tag_Nome,11))</f>
        <v/>
      </c>
      <c r="C82" s="43">
        <f>IF(B82="",0,SUMIFS(L_VParc,L_Tipo,"Despesa",L_Tag,B82,L_Ano,Sel_Ano))</f>
        <v>0</v>
      </c>
      <c r="D82" s="40">
        <f>IF(B82="",0,COUNTIFS(L_Tag,B82,L_Ano,Sel_Ano))</f>
        <v>0</v>
      </c>
    </row>
    <row r="83">
      <c r="B83" s="14" t="str">
        <f>IF(INDEX(Tag_Nome,12)="","",INDEX(Tag_Nome,12))</f>
        <v/>
      </c>
      <c r="C83" s="43">
        <f>IF(B83="",0,SUMIFS(L_VParc,L_Tipo,"Despesa",L_Tag,B83,L_Ano,Sel_Ano))</f>
        <v>0</v>
      </c>
      <c r="D83" s="40">
        <f>IF(B83="",0,COUNTIFS(L_Tag,B83,L_Ano,Sel_Ano))</f>
        <v>0</v>
      </c>
    </row>
    <row r="84">
      <c r="B84" s="14" t="str">
        <f>IF(INDEX(Tag_Nome,13)="","",INDEX(Tag_Nome,13))</f>
        <v/>
      </c>
      <c r="C84" s="43">
        <f>IF(B84="",0,SUMIFS(L_VParc,L_Tipo,"Despesa",L_Tag,B84,L_Ano,Sel_Ano))</f>
        <v>0</v>
      </c>
      <c r="D84" s="40">
        <f>IF(B84="",0,COUNTIFS(L_Tag,B84,L_Ano,Sel_Ano))</f>
        <v>0</v>
      </c>
    </row>
    <row r="85">
      <c r="B85" s="14" t="str">
        <f>IF(INDEX(Tag_Nome,14)="","",INDEX(Tag_Nome,14))</f>
        <v/>
      </c>
      <c r="C85" s="43">
        <f>IF(B85="",0,SUMIFS(L_VParc,L_Tipo,"Despesa",L_Tag,B85,L_Ano,Sel_Ano))</f>
        <v>0</v>
      </c>
      <c r="D85" s="40">
        <f>IF(B85="",0,COUNTIFS(L_Tag,B85,L_Ano,Sel_Ano))</f>
        <v>0</v>
      </c>
    </row>
    <row r="86">
      <c r="B86" s="14" t="str">
        <f>IF(INDEX(Tag_Nome,15)="","",INDEX(Tag_Nome,15))</f>
        <v/>
      </c>
      <c r="C86" s="43">
        <f>IF(B86="",0,SUMIFS(L_VParc,L_Tipo,"Despesa",L_Tag,B86,L_Ano,Sel_Ano))</f>
        <v>0</v>
      </c>
      <c r="D86" s="40">
        <f>IF(B86="",0,COUNTIFS(L_Tag,B86,L_Ano,Sel_Ano))</f>
        <v>0</v>
      </c>
    </row>
    <row r="89">
      <c r="B89" s="6" t="inlineStr">
        <is>
          <t>7. Assinaturas ativas (RECORRENTES com categoria "Assinaturas")</t>
        </is>
      </c>
    </row>
    <row r="90">
      <c r="B90" s="7" t="inlineStr">
        <is>
          <t>Assinatura</t>
        </is>
      </c>
      <c r="C90" s="7" t="inlineStr">
        <is>
          <t>Valor</t>
        </is>
      </c>
      <c r="D90" s="7" t="inlineStr">
        <is>
          <t>Frequência</t>
        </is>
      </c>
      <c r="E90" s="7" t="inlineStr">
        <is>
          <t>Custo anual</t>
        </is>
      </c>
      <c r="G90" s="114" t="inlineStr">
        <is>
          <t>linha (apoio)</t>
        </is>
      </c>
    </row>
    <row r="91">
      <c r="B91" s="14" t="str">
        <f>IF($G91=0,"",INDEX(Rec_Desc,$G91))</f>
        <v>Streaming de vídeo</v>
      </c>
      <c r="C91" s="43">
        <f>IF($G91=0,"",INDEX(Rec_Valor,$G91))</f>
        <v>55.9</v>
      </c>
      <c r="D91" s="13" t="str">
        <f>IF($G91=0,"",INDEX(Rec_Freq,$G91)&amp;"")</f>
        <v>Mensal</v>
      </c>
      <c r="E91" s="43">
        <f>IF($G91=0,"",INDEX(Rec_Anual,$G91))</f>
        <v>670.8</v>
      </c>
      <c r="G91" s="89">
        <f>IFERROR(MATCH(1,Rec_AssinOrd,0),0)</f>
        <v>9</v>
      </c>
    </row>
    <row r="92">
      <c r="B92" s="14" t="str">
        <f>IF($G92=0,"",INDEX(Rec_Desc,$G92))</f>
        <v>Streaming de música</v>
      </c>
      <c r="C92" s="43">
        <f>IF($G92=0,"",INDEX(Rec_Valor,$G92))</f>
        <v>21.9</v>
      </c>
      <c r="D92" s="13" t="str">
        <f>IF($G92=0,"",INDEX(Rec_Freq,$G92)&amp;"")</f>
        <v>Mensal</v>
      </c>
      <c r="E92" s="43">
        <f>IF($G92=0,"",INDEX(Rec_Anual,$G92))</f>
        <v>262.8</v>
      </c>
      <c r="G92" s="89">
        <f>IFERROR(MATCH(2,Rec_AssinOrd,0),0)</f>
        <v>10</v>
      </c>
    </row>
    <row r="93">
      <c r="B93" s="14" t="str">
        <f>IF($G93=0,"",INDEX(Rec_Desc,$G93))</f>
        <v>Armazenamento em nuvem</v>
      </c>
      <c r="C93" s="43">
        <f>IF($G93=0,"",INDEX(Rec_Valor,$G93))</f>
        <v>14.9</v>
      </c>
      <c r="D93" s="13" t="str">
        <f>IF($G93=0,"",INDEX(Rec_Freq,$G93)&amp;"")</f>
        <v>Mensal</v>
      </c>
      <c r="E93" s="43">
        <f>IF($G93=0,"",INDEX(Rec_Anual,$G93))</f>
        <v>178.8</v>
      </c>
      <c r="G93" s="89">
        <f>IFERROR(MATCH(3,Rec_AssinOrd,0),0)</f>
        <v>11</v>
      </c>
    </row>
    <row r="94">
      <c r="B94" s="14" t="str">
        <f>IF($G94=0,"",INDEX(Rec_Desc,$G94))</f>
        <v>Academia</v>
      </c>
      <c r="C94" s="43">
        <f>IF($G94=0,"",INDEX(Rec_Valor,$G94))</f>
        <v>129</v>
      </c>
      <c r="D94" s="13" t="str">
        <f>IF($G94=0,"",INDEX(Rec_Freq,$G94)&amp;"")</f>
        <v>Mensal</v>
      </c>
      <c r="E94" s="43">
        <f>IF($G94=0,"",INDEX(Rec_Anual,$G94))</f>
        <v>1548</v>
      </c>
      <c r="G94" s="89">
        <f>IFERROR(MATCH(4,Rec_AssinOrd,0),0)</f>
        <v>12</v>
      </c>
    </row>
    <row r="95">
      <c r="B95" s="14" t="str">
        <f>IF($G95=0,"",INDEX(Rec_Desc,$G95))</f>
        <v/>
      </c>
      <c r="C95" s="43" t="str">
        <f>IF($G95=0,"",INDEX(Rec_Valor,$G95))</f>
        <v/>
      </c>
      <c r="D95" s="13" t="str">
        <f>IF($G95=0,"",INDEX(Rec_Freq,$G95)&amp;"")</f>
        <v/>
      </c>
      <c r="E95" s="43" t="str">
        <f>IF($G95=0,"",INDEX(Rec_Anual,$G95))</f>
        <v/>
      </c>
      <c r="G95" s="89">
        <f>IFERROR(MATCH(5,Rec_AssinOrd,0),0)</f>
        <v>0</v>
      </c>
    </row>
    <row r="96">
      <c r="B96" s="14" t="str">
        <f>IF($G96=0,"",INDEX(Rec_Desc,$G96))</f>
        <v/>
      </c>
      <c r="C96" s="43" t="str">
        <f>IF($G96=0,"",INDEX(Rec_Valor,$G96))</f>
        <v/>
      </c>
      <c r="D96" s="13" t="str">
        <f>IF($G96=0,"",INDEX(Rec_Freq,$G96)&amp;"")</f>
        <v/>
      </c>
      <c r="E96" s="43" t="str">
        <f>IF($G96=0,"",INDEX(Rec_Anual,$G96))</f>
        <v/>
      </c>
      <c r="G96" s="89">
        <f>IFERROR(MATCH(6,Rec_AssinOrd,0),0)</f>
        <v>0</v>
      </c>
    </row>
    <row r="97">
      <c r="B97" s="14" t="str">
        <f>IF($G97=0,"",INDEX(Rec_Desc,$G97))</f>
        <v/>
      </c>
      <c r="C97" s="43" t="str">
        <f>IF($G97=0,"",INDEX(Rec_Valor,$G97))</f>
        <v/>
      </c>
      <c r="D97" s="13" t="str">
        <f>IF($G97=0,"",INDEX(Rec_Freq,$G97)&amp;"")</f>
        <v/>
      </c>
      <c r="E97" s="43" t="str">
        <f>IF($G97=0,"",INDEX(Rec_Anual,$G97))</f>
        <v/>
      </c>
      <c r="G97" s="89">
        <f>IFERROR(MATCH(7,Rec_AssinOrd,0),0)</f>
        <v>0</v>
      </c>
    </row>
    <row r="98">
      <c r="B98" s="14" t="str">
        <f>IF($G98=0,"",INDEX(Rec_Desc,$G98))</f>
        <v/>
      </c>
      <c r="C98" s="43" t="str">
        <f>IF($G98=0,"",INDEX(Rec_Valor,$G98))</f>
        <v/>
      </c>
      <c r="D98" s="13" t="str">
        <f>IF($G98=0,"",INDEX(Rec_Freq,$G98)&amp;"")</f>
        <v/>
      </c>
      <c r="E98" s="43" t="str">
        <f>IF($G98=0,"",INDEX(Rec_Anual,$G98))</f>
        <v/>
      </c>
      <c r="G98" s="89">
        <f>IFERROR(MATCH(8,Rec_AssinOrd,0),0)</f>
        <v>0</v>
      </c>
    </row>
    <row r="99">
      <c r="B99" s="14" t="str">
        <f>IF($G99=0,"",INDEX(Rec_Desc,$G99))</f>
        <v/>
      </c>
      <c r="C99" s="43" t="str">
        <f>IF($G99=0,"",INDEX(Rec_Valor,$G99))</f>
        <v/>
      </c>
      <c r="D99" s="13" t="str">
        <f>IF($G99=0,"",INDEX(Rec_Freq,$G99)&amp;"")</f>
        <v/>
      </c>
      <c r="E99" s="43" t="str">
        <f>IF($G99=0,"",INDEX(Rec_Anual,$G99))</f>
        <v/>
      </c>
      <c r="G99" s="89">
        <f>IFERROR(MATCH(9,Rec_AssinOrd,0),0)</f>
        <v>0</v>
      </c>
    </row>
    <row r="100">
      <c r="B100" s="14" t="str">
        <f>IF($G100=0,"",INDEX(Rec_Desc,$G100))</f>
        <v/>
      </c>
      <c r="C100" s="43" t="str">
        <f>IF($G100=0,"",INDEX(Rec_Valor,$G100))</f>
        <v/>
      </c>
      <c r="D100" s="13" t="str">
        <f>IF($G100=0,"",INDEX(Rec_Freq,$G100)&amp;"")</f>
        <v/>
      </c>
      <c r="E100" s="43" t="str">
        <f>IF($G100=0,"",INDEX(Rec_Anual,$G100))</f>
        <v/>
      </c>
      <c r="G100" s="89">
        <f>IFERROR(MATCH(10,Rec_AssinOrd,0),0)</f>
        <v>0</v>
      </c>
    </row>
    <row r="101">
      <c r="B101" s="14" t="str">
        <f>IF($G101=0,"",INDEX(Rec_Desc,$G101))</f>
        <v/>
      </c>
      <c r="C101" s="43" t="str">
        <f>IF($G101=0,"",INDEX(Rec_Valor,$G101))</f>
        <v/>
      </c>
      <c r="D101" s="13" t="str">
        <f>IF($G101=0,"",INDEX(Rec_Freq,$G101)&amp;"")</f>
        <v/>
      </c>
      <c r="E101" s="43" t="str">
        <f>IF($G101=0,"",INDEX(Rec_Anual,$G101))</f>
        <v/>
      </c>
      <c r="G101" s="89">
        <f>IFERROR(MATCH(11,Rec_AssinOrd,0),0)</f>
        <v>0</v>
      </c>
    </row>
    <row r="102">
      <c r="B102" s="14" t="str">
        <f>IF($G102=0,"",INDEX(Rec_Desc,$G102))</f>
        <v/>
      </c>
      <c r="C102" s="43" t="str">
        <f>IF($G102=0,"",INDEX(Rec_Valor,$G102))</f>
        <v/>
      </c>
      <c r="D102" s="13" t="str">
        <f>IF($G102=0,"",INDEX(Rec_Freq,$G102)&amp;"")</f>
        <v/>
      </c>
      <c r="E102" s="43" t="str">
        <f>IF($G102=0,"",INDEX(Rec_Anual,$G102))</f>
        <v/>
      </c>
      <c r="G102" s="89">
        <f>IFERROR(MATCH(12,Rec_AssinOrd,0),0)</f>
        <v>0</v>
      </c>
    </row>
    <row r="103">
      <c r="B103" s="14" t="str">
        <f>IF($G103=0,"",INDEX(Rec_Desc,$G103))</f>
        <v/>
      </c>
      <c r="C103" s="43" t="str">
        <f>IF($G103=0,"",INDEX(Rec_Valor,$G103))</f>
        <v/>
      </c>
      <c r="D103" s="13" t="str">
        <f>IF($G103=0,"",INDEX(Rec_Freq,$G103)&amp;"")</f>
        <v/>
      </c>
      <c r="E103" s="43" t="str">
        <f>IF($G103=0,"",INDEX(Rec_Anual,$G103))</f>
        <v/>
      </c>
      <c r="G103" s="89">
        <f>IFERROR(MATCH(13,Rec_AssinOrd,0),0)</f>
        <v>0</v>
      </c>
    </row>
    <row r="104">
      <c r="B104" s="14" t="str">
        <f>IF($G104=0,"",INDEX(Rec_Desc,$G104))</f>
        <v/>
      </c>
      <c r="C104" s="43" t="str">
        <f>IF($G104=0,"",INDEX(Rec_Valor,$G104))</f>
        <v/>
      </c>
      <c r="D104" s="13" t="str">
        <f>IF($G104=0,"",INDEX(Rec_Freq,$G104)&amp;"")</f>
        <v/>
      </c>
      <c r="E104" s="43" t="str">
        <f>IF($G104=0,"",INDEX(Rec_Anual,$G104))</f>
        <v/>
      </c>
      <c r="G104" s="89">
        <f>IFERROR(MATCH(14,Rec_AssinOrd,0),0)</f>
        <v>0</v>
      </c>
    </row>
    <row r="105">
      <c r="B105" s="14" t="str">
        <f>IF($G105=0,"",INDEX(Rec_Desc,$G105))</f>
        <v/>
      </c>
      <c r="C105" s="43" t="str">
        <f>IF($G105=0,"",INDEX(Rec_Valor,$G105))</f>
        <v/>
      </c>
      <c r="D105" s="13" t="str">
        <f>IF($G105=0,"",INDEX(Rec_Freq,$G105)&amp;"")</f>
        <v/>
      </c>
      <c r="E105" s="43" t="str">
        <f>IF($G105=0,"",INDEX(Rec_Anual,$G105))</f>
        <v/>
      </c>
      <c r="G105" s="89">
        <f>IFERROR(MATCH(15,Rec_AssinOrd,0),0)</f>
        <v>0</v>
      </c>
    </row>
    <row r="106">
      <c r="B106" s="9" t="inlineStr">
        <is>
          <t>CUSTO ANUAL TOTAL DAS ASSINATURAS</t>
        </is>
      </c>
      <c r="E106" s="79">
        <f>SUMIFS(Rec_Anual,Rec_Assin,1)</f>
        <v>2660.4</v>
      </c>
    </row>
    <row r="107">
      <c r="B107" s="14" t="inlineStr">
        <is>
          <t>Custo mensal equivalente</t>
        </is>
      </c>
      <c r="E107" s="43">
        <f>E106/12</f>
        <v>221.7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O2"/>
  </mergeCells>
  <conditionalFormatting sqref="E9:E18">
    <cfRule type="dataBar" priority="1">
      <dataBar>
        <cfvo type="num" val="0"/>
        <cfvo type="max"/>
        <color rgb="00D64545"/>
      </dataBar>
    </cfRule>
  </conditionalFormatting>
  <conditionalFormatting sqref="C23:C30">
    <cfRule type="dataBar" priority="2">
      <dataBar>
        <cfvo type="num" val="0"/>
        <cfvo type="max"/>
        <color rgb="002F6FD0"/>
      </dataBar>
    </cfRule>
  </conditionalFormatting>
  <conditionalFormatting sqref="C35:N35">
    <cfRule type="colorScale" priority="3">
      <colorScale>
        <cfvo type="min"/>
        <cfvo type="max"/>
        <color rgb="00FFFFFF"/>
        <color rgb="00F2A93B"/>
      </colorScale>
    </cfRule>
  </conditionalFormatting>
  <conditionalFormatting sqref="B35:P35">
    <cfRule type="expression" priority="4" dxfId="12" stopIfTrue="0">
      <formula>$B35=""</formula>
    </cfRule>
  </conditionalFormatting>
  <conditionalFormatting sqref="C36:N36">
    <cfRule type="colorScale" priority="5">
      <colorScale>
        <cfvo type="min"/>
        <cfvo type="max"/>
        <color rgb="00FFFFFF"/>
        <color rgb="00F2A93B"/>
      </colorScale>
    </cfRule>
  </conditionalFormatting>
  <conditionalFormatting sqref="B36:P36">
    <cfRule type="expression" priority="6" dxfId="12" stopIfTrue="0">
      <formula>$B36=""</formula>
    </cfRule>
  </conditionalFormatting>
  <conditionalFormatting sqref="C37:N37">
    <cfRule type="colorScale" priority="7">
      <colorScale>
        <cfvo type="min"/>
        <cfvo type="max"/>
        <color rgb="00FFFFFF"/>
        <color rgb="00F2A93B"/>
      </colorScale>
    </cfRule>
  </conditionalFormatting>
  <conditionalFormatting sqref="B37:P37">
    <cfRule type="expression" priority="8" dxfId="12" stopIfTrue="0">
      <formula>$B37=""</formula>
    </cfRule>
  </conditionalFormatting>
  <conditionalFormatting sqref="C38:N38">
    <cfRule type="colorScale" priority="9">
      <colorScale>
        <cfvo type="min"/>
        <cfvo type="max"/>
        <color rgb="00FFFFFF"/>
        <color rgb="00F2A93B"/>
      </colorScale>
    </cfRule>
  </conditionalFormatting>
  <conditionalFormatting sqref="B38:P38">
    <cfRule type="expression" priority="10" dxfId="12" stopIfTrue="0">
      <formula>$B38=""</formula>
    </cfRule>
  </conditionalFormatting>
  <conditionalFormatting sqref="C39:N39">
    <cfRule type="colorScale" priority="11">
      <colorScale>
        <cfvo type="min"/>
        <cfvo type="max"/>
        <color rgb="00FFFFFF"/>
        <color rgb="00F2A93B"/>
      </colorScale>
    </cfRule>
  </conditionalFormatting>
  <conditionalFormatting sqref="B39:P39">
    <cfRule type="expression" priority="12" dxfId="12" stopIfTrue="0">
      <formula>$B39=""</formula>
    </cfRule>
  </conditionalFormatting>
  <conditionalFormatting sqref="C40:N40">
    <cfRule type="colorScale" priority="13">
      <colorScale>
        <cfvo type="min"/>
        <cfvo type="max"/>
        <color rgb="00FFFFFF"/>
        <color rgb="00F2A93B"/>
      </colorScale>
    </cfRule>
  </conditionalFormatting>
  <conditionalFormatting sqref="B40:P40">
    <cfRule type="expression" priority="14" dxfId="12" stopIfTrue="0">
      <formula>$B40=""</formula>
    </cfRule>
  </conditionalFormatting>
  <conditionalFormatting sqref="C41:N41">
    <cfRule type="colorScale" priority="15">
      <colorScale>
        <cfvo type="min"/>
        <cfvo type="max"/>
        <color rgb="00FFFFFF"/>
        <color rgb="00F2A93B"/>
      </colorScale>
    </cfRule>
  </conditionalFormatting>
  <conditionalFormatting sqref="B41:P41">
    <cfRule type="expression" priority="16" dxfId="12" stopIfTrue="0">
      <formula>$B41=""</formula>
    </cfRule>
  </conditionalFormatting>
  <conditionalFormatting sqref="C42:N42">
    <cfRule type="colorScale" priority="17">
      <colorScale>
        <cfvo type="min"/>
        <cfvo type="max"/>
        <color rgb="00FFFFFF"/>
        <color rgb="00F2A93B"/>
      </colorScale>
    </cfRule>
  </conditionalFormatting>
  <conditionalFormatting sqref="B42:P42">
    <cfRule type="expression" priority="18" dxfId="12" stopIfTrue="0">
      <formula>$B42=""</formula>
    </cfRule>
  </conditionalFormatting>
  <conditionalFormatting sqref="C43:N43">
    <cfRule type="colorScale" priority="19">
      <colorScale>
        <cfvo type="min"/>
        <cfvo type="max"/>
        <color rgb="00FFFFFF"/>
        <color rgb="00F2A93B"/>
      </colorScale>
    </cfRule>
  </conditionalFormatting>
  <conditionalFormatting sqref="B43:P43">
    <cfRule type="expression" priority="20" dxfId="12" stopIfTrue="0">
      <formula>$B43=""</formula>
    </cfRule>
  </conditionalFormatting>
  <conditionalFormatting sqref="C44:N44">
    <cfRule type="colorScale" priority="21">
      <colorScale>
        <cfvo type="min"/>
        <cfvo type="max"/>
        <color rgb="00FFFFFF"/>
        <color rgb="00F2A93B"/>
      </colorScale>
    </cfRule>
  </conditionalFormatting>
  <conditionalFormatting sqref="B44:P44">
    <cfRule type="expression" priority="22" dxfId="12" stopIfTrue="0">
      <formula>$B44=""</formula>
    </cfRule>
  </conditionalFormatting>
  <conditionalFormatting sqref="C45:N45">
    <cfRule type="colorScale" priority="23">
      <colorScale>
        <cfvo type="min"/>
        <cfvo type="max"/>
        <color rgb="00FFFFFF"/>
        <color rgb="00F2A93B"/>
      </colorScale>
    </cfRule>
  </conditionalFormatting>
  <conditionalFormatting sqref="B45:P45">
    <cfRule type="expression" priority="24" dxfId="12" stopIfTrue="0">
      <formula>$B45=""</formula>
    </cfRule>
  </conditionalFormatting>
  <conditionalFormatting sqref="C46:N46">
    <cfRule type="colorScale" priority="25">
      <colorScale>
        <cfvo type="min"/>
        <cfvo type="max"/>
        <color rgb="00FFFFFF"/>
        <color rgb="00F2A93B"/>
      </colorScale>
    </cfRule>
  </conditionalFormatting>
  <conditionalFormatting sqref="B46:P46">
    <cfRule type="expression" priority="26" dxfId="12" stopIfTrue="0">
      <formula>$B46=""</formula>
    </cfRule>
  </conditionalFormatting>
  <conditionalFormatting sqref="C47:N47">
    <cfRule type="colorScale" priority="27">
      <colorScale>
        <cfvo type="min"/>
        <cfvo type="max"/>
        <color rgb="00FFFFFF"/>
        <color rgb="00F2A93B"/>
      </colorScale>
    </cfRule>
  </conditionalFormatting>
  <conditionalFormatting sqref="B47:P47">
    <cfRule type="expression" priority="28" dxfId="12" stopIfTrue="0">
      <formula>$B47=""</formula>
    </cfRule>
  </conditionalFormatting>
  <conditionalFormatting sqref="C48:N48">
    <cfRule type="colorScale" priority="29">
      <colorScale>
        <cfvo type="min"/>
        <cfvo type="max"/>
        <color rgb="00FFFFFF"/>
        <color rgb="00F2A93B"/>
      </colorScale>
    </cfRule>
  </conditionalFormatting>
  <conditionalFormatting sqref="B48:P48">
    <cfRule type="expression" priority="30" dxfId="12" stopIfTrue="0">
      <formula>$B48=""</formula>
    </cfRule>
  </conditionalFormatting>
  <conditionalFormatting sqref="C49:N49">
    <cfRule type="colorScale" priority="31">
      <colorScale>
        <cfvo type="min"/>
        <cfvo type="max"/>
        <color rgb="00FFFFFF"/>
        <color rgb="00F2A93B"/>
      </colorScale>
    </cfRule>
  </conditionalFormatting>
  <conditionalFormatting sqref="B49:P49">
    <cfRule type="expression" priority="32" dxfId="12" stopIfTrue="0">
      <formula>$B49=""</formula>
    </cfRule>
  </conditionalFormatting>
  <conditionalFormatting sqref="C50:N50">
    <cfRule type="colorScale" priority="33">
      <colorScale>
        <cfvo type="min"/>
        <cfvo type="max"/>
        <color rgb="00FFFFFF"/>
        <color rgb="00F2A93B"/>
      </colorScale>
    </cfRule>
  </conditionalFormatting>
  <conditionalFormatting sqref="B50:P50">
    <cfRule type="expression" priority="34" dxfId="12" stopIfTrue="0">
      <formula>$B50=""</formula>
    </cfRule>
  </conditionalFormatting>
  <conditionalFormatting sqref="C51:N51">
    <cfRule type="colorScale" priority="35">
      <colorScale>
        <cfvo type="min"/>
        <cfvo type="max"/>
        <color rgb="00FFFFFF"/>
        <color rgb="00F2A93B"/>
      </colorScale>
    </cfRule>
  </conditionalFormatting>
  <conditionalFormatting sqref="B51:P51">
    <cfRule type="expression" priority="36" dxfId="12" stopIfTrue="0">
      <formula>$B51=""</formula>
    </cfRule>
  </conditionalFormatting>
  <conditionalFormatting sqref="C52:N52">
    <cfRule type="colorScale" priority="37">
      <colorScale>
        <cfvo type="min"/>
        <cfvo type="max"/>
        <color rgb="00FFFFFF"/>
        <color rgb="00F2A93B"/>
      </colorScale>
    </cfRule>
  </conditionalFormatting>
  <conditionalFormatting sqref="B52:P52">
    <cfRule type="expression" priority="38" dxfId="12" stopIfTrue="0">
      <formula>$B52=""</formula>
    </cfRule>
  </conditionalFormatting>
  <conditionalFormatting sqref="P35:P52">
    <cfRule type="expression" priority="39" dxfId="5" stopIfTrue="0">
      <formula>LEFT(P35,1)="▲"</formula>
    </cfRule>
    <cfRule type="expression" priority="40" dxfId="4" stopIfTrue="0">
      <formula>LEFT(P35,1)="▼"</formula>
    </cfRule>
  </conditionalFormatting>
  <conditionalFormatting sqref="B57:D57">
    <cfRule type="expression" priority="41" dxfId="12" stopIfTrue="0">
      <formula>$B57=""</formula>
    </cfRule>
  </conditionalFormatting>
  <conditionalFormatting sqref="B58:D58">
    <cfRule type="expression" priority="42" dxfId="12" stopIfTrue="0">
      <formula>$B58=""</formula>
    </cfRule>
  </conditionalFormatting>
  <conditionalFormatting sqref="B59:D59">
    <cfRule type="expression" priority="43" dxfId="12" stopIfTrue="0">
      <formula>$B59=""</formula>
    </cfRule>
  </conditionalFormatting>
  <conditionalFormatting sqref="B60:D60">
    <cfRule type="expression" priority="44" dxfId="12" stopIfTrue="0">
      <formula>$B60=""</formula>
    </cfRule>
  </conditionalFormatting>
  <conditionalFormatting sqref="B61:D61">
    <cfRule type="expression" priority="45" dxfId="12" stopIfTrue="0">
      <formula>$B61=""</formula>
    </cfRule>
  </conditionalFormatting>
  <conditionalFormatting sqref="B62:D62">
    <cfRule type="expression" priority="46" dxfId="12" stopIfTrue="0">
      <formula>$B62=""</formula>
    </cfRule>
  </conditionalFormatting>
  <conditionalFormatting sqref="B63:D63">
    <cfRule type="expression" priority="47" dxfId="12" stopIfTrue="0">
      <formula>$B63=""</formula>
    </cfRule>
  </conditionalFormatting>
  <conditionalFormatting sqref="B64:D64">
    <cfRule type="expression" priority="48" dxfId="12" stopIfTrue="0">
      <formula>$B64=""</formula>
    </cfRule>
  </conditionalFormatting>
  <conditionalFormatting sqref="B65:D65">
    <cfRule type="expression" priority="49" dxfId="12" stopIfTrue="0">
      <formula>$B65=""</formula>
    </cfRule>
  </conditionalFormatting>
  <conditionalFormatting sqref="B66:D66">
    <cfRule type="expression" priority="50" dxfId="12" stopIfTrue="0">
      <formula>$B66=""</formula>
    </cfRule>
  </conditionalFormatting>
  <conditionalFormatting sqref="C57:C67">
    <cfRule type="dataBar" priority="51">
      <dataBar>
        <cfvo type="num" val="0"/>
        <cfvo type="max"/>
        <color rgb="002F6FD0"/>
      </dataBar>
    </cfRule>
  </conditionalFormatting>
  <conditionalFormatting sqref="G57:G63">
    <cfRule type="dataBar" priority="52">
      <dataBar>
        <cfvo type="num" val="0"/>
        <cfvo type="max"/>
        <color rgb="00F2A93B"/>
      </dataBar>
    </cfRule>
  </conditionalFormatting>
  <conditionalFormatting sqref="B72:D72">
    <cfRule type="expression" priority="53" dxfId="12" stopIfTrue="0">
      <formula>$B72=""</formula>
    </cfRule>
  </conditionalFormatting>
  <conditionalFormatting sqref="B73:D73">
    <cfRule type="expression" priority="54" dxfId="12" stopIfTrue="0">
      <formula>$B73=""</formula>
    </cfRule>
  </conditionalFormatting>
  <conditionalFormatting sqref="B74:D74">
    <cfRule type="expression" priority="55" dxfId="12" stopIfTrue="0">
      <formula>$B74=""</formula>
    </cfRule>
  </conditionalFormatting>
  <conditionalFormatting sqref="B75:D75">
    <cfRule type="expression" priority="56" dxfId="12" stopIfTrue="0">
      <formula>$B75=""</formula>
    </cfRule>
  </conditionalFormatting>
  <conditionalFormatting sqref="B76:D76">
    <cfRule type="expression" priority="57" dxfId="12" stopIfTrue="0">
      <formula>$B76=""</formula>
    </cfRule>
  </conditionalFormatting>
  <conditionalFormatting sqref="B77:D77">
    <cfRule type="expression" priority="58" dxfId="12" stopIfTrue="0">
      <formula>$B77=""</formula>
    </cfRule>
  </conditionalFormatting>
  <conditionalFormatting sqref="B78:D78">
    <cfRule type="expression" priority="59" dxfId="12" stopIfTrue="0">
      <formula>$B78=""</formula>
    </cfRule>
  </conditionalFormatting>
  <conditionalFormatting sqref="B79:D79">
    <cfRule type="expression" priority="60" dxfId="12" stopIfTrue="0">
      <formula>$B79=""</formula>
    </cfRule>
  </conditionalFormatting>
  <conditionalFormatting sqref="B80:D80">
    <cfRule type="expression" priority="61" dxfId="12" stopIfTrue="0">
      <formula>$B80=""</formula>
    </cfRule>
  </conditionalFormatting>
  <conditionalFormatting sqref="B81:D81">
    <cfRule type="expression" priority="62" dxfId="12" stopIfTrue="0">
      <formula>$B81=""</formula>
    </cfRule>
  </conditionalFormatting>
  <conditionalFormatting sqref="B82:D82">
    <cfRule type="expression" priority="63" dxfId="12" stopIfTrue="0">
      <formula>$B82=""</formula>
    </cfRule>
  </conditionalFormatting>
  <conditionalFormatting sqref="B83:D83">
    <cfRule type="expression" priority="64" dxfId="12" stopIfTrue="0">
      <formula>$B83=""</formula>
    </cfRule>
  </conditionalFormatting>
  <conditionalFormatting sqref="B84:D84">
    <cfRule type="expression" priority="65" dxfId="12" stopIfTrue="0">
      <formula>$B84=""</formula>
    </cfRule>
  </conditionalFormatting>
  <conditionalFormatting sqref="B85:D85">
    <cfRule type="expression" priority="66" dxfId="12" stopIfTrue="0">
      <formula>$B85=""</formula>
    </cfRule>
  </conditionalFormatting>
  <conditionalFormatting sqref="B86:D86">
    <cfRule type="expression" priority="67" dxfId="12" stopIfTrue="0">
      <formula>$B86=""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B35"/>
  <sheetViews>
    <sheetView showGridLines="0" tabSelected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8" customWidth="1" min="24" max="24"/>
    <col width="28" customWidth="1" min="25" max="25"/>
    <col width="18" customWidth="1" min="27" max="27"/>
  </cols>
  <sheetData>
    <row r="1" ht="30" customHeight="1">
      <c r="B1" s="1" t="inlineStr">
        <is>
          <t>TABELAS (apoio)</t>
        </is>
      </c>
    </row>
    <row r="2" ht="32" customHeight="1">
      <c r="B2" s="2" t="inlineStr">
        <is>
          <t>Listas auxiliares usadas nas listas suspensas. Não precisa mexer aqui. Esta aba pode ficar oculta (botão direito na aba &gt; Reexibir).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6">
      <c r="B6" s="7" t="inlineStr">
        <is>
          <t>Meses</t>
        </is>
      </c>
      <c r="C6" s="7" t="inlineStr">
        <is>
          <t>MesesAb</t>
        </is>
      </c>
      <c r="D6" s="7" t="inlineStr">
        <is>
          <t>Anos</t>
        </is>
      </c>
      <c r="E6" s="7" t="inlineStr">
        <is>
          <t>Tipos</t>
        </is>
      </c>
      <c r="F6" s="7" t="inlineStr">
        <is>
          <t>Status</t>
        </is>
      </c>
      <c r="G6" s="7" t="inlineStr">
        <is>
          <t>Prioridade</t>
        </is>
      </c>
      <c r="H6" s="7" t="inlineStr">
        <is>
          <t>CatMeta</t>
        </is>
      </c>
      <c r="I6" s="7" t="inlineStr">
        <is>
          <t>TipoInv</t>
        </is>
      </c>
      <c r="J6" s="7" t="inlineStr">
        <is>
          <t>Liquidez</t>
        </is>
      </c>
      <c r="K6" s="7" t="inlineStr">
        <is>
          <t>TipoConta</t>
        </is>
      </c>
      <c r="L6" s="7" t="inlineStr">
        <is>
          <t>TipoDivida</t>
        </is>
      </c>
      <c r="M6" s="7" t="inlineStr">
        <is>
          <t>StatusDivida</t>
        </is>
      </c>
      <c r="N6" s="7" t="inlineStr">
        <is>
          <t>Sistema</t>
        </is>
      </c>
      <c r="O6" s="7" t="inlineStr">
        <is>
          <t>SimNao</t>
        </is>
      </c>
      <c r="P6" s="7" t="inlineStr">
        <is>
          <t>Freq</t>
        </is>
      </c>
      <c r="Q6" s="7" t="inlineStr">
        <is>
          <t>TipoRec</t>
        </is>
      </c>
      <c r="R6" s="7" t="inlineStr">
        <is>
          <t>Natureza</t>
        </is>
      </c>
      <c r="S6" s="7" t="inlineStr">
        <is>
          <t>Essencial</t>
        </is>
      </c>
      <c r="T6" s="7" t="inlineStr">
        <is>
          <t>Regra</t>
        </is>
      </c>
      <c r="U6" s="7" t="inlineStr">
        <is>
          <t>DiaSem</t>
        </is>
      </c>
      <c r="V6" s="7" t="inlineStr">
        <is>
          <t>StatusIR</t>
        </is>
      </c>
      <c r="X6" s="7" t="inlineStr">
        <is>
          <t>Conta ou Cartão</t>
        </is>
      </c>
      <c r="Y6" s="7" t="inlineStr">
        <is>
          <t>Categorias (todas)</t>
        </is>
      </c>
      <c r="AA6" s="7" t="inlineStr">
        <is>
          <t>Cor da meta</t>
        </is>
      </c>
      <c r="AB6" s="7" t="inlineStr">
        <is>
          <t>Hex</t>
        </is>
      </c>
    </row>
    <row r="7">
      <c r="B7" s="14" t="inlineStr">
        <is>
          <t>Janeiro</t>
        </is>
      </c>
      <c r="C7" s="14" t="inlineStr">
        <is>
          <t>Jan</t>
        </is>
      </c>
      <c r="D7" s="14" t="n">
        <v>2020</v>
      </c>
      <c r="E7" s="14" t="inlineStr">
        <is>
          <t>Receita</t>
        </is>
      </c>
      <c r="F7" s="14" t="inlineStr">
        <is>
          <t>Pago</t>
        </is>
      </c>
      <c r="G7" s="14" t="inlineStr">
        <is>
          <t>Alta</t>
        </is>
      </c>
      <c r="H7" s="14" t="inlineStr">
        <is>
          <t>Viagem</t>
        </is>
      </c>
      <c r="I7" s="14" t="inlineStr">
        <is>
          <t>Renda fixa</t>
        </is>
      </c>
      <c r="J7" s="14" t="inlineStr">
        <is>
          <t>Diária</t>
        </is>
      </c>
      <c r="K7" s="14" t="inlineStr">
        <is>
          <t>Conta corrente</t>
        </is>
      </c>
      <c r="L7" s="14" t="inlineStr">
        <is>
          <t>Empréstimo</t>
        </is>
      </c>
      <c r="M7" s="14" t="inlineStr">
        <is>
          <t>Em dia</t>
        </is>
      </c>
      <c r="N7" s="14" t="inlineStr">
        <is>
          <t>Price</t>
        </is>
      </c>
      <c r="O7" s="14" t="inlineStr">
        <is>
          <t>Sim</t>
        </is>
      </c>
      <c r="P7" s="14" t="inlineStr">
        <is>
          <t>Mensal</t>
        </is>
      </c>
      <c r="Q7" s="14" t="inlineStr">
        <is>
          <t>Receita</t>
        </is>
      </c>
      <c r="R7" s="14" t="inlineStr">
        <is>
          <t>Fixa</t>
        </is>
      </c>
      <c r="S7" s="14" t="inlineStr">
        <is>
          <t>Essencial</t>
        </is>
      </c>
      <c r="T7" s="14" t="inlineStr">
        <is>
          <t>Necessidades</t>
        </is>
      </c>
      <c r="U7" s="14" t="inlineStr">
        <is>
          <t>Domingo</t>
        </is>
      </c>
      <c r="V7" s="14" t="inlineStr">
        <is>
          <t>Feito</t>
        </is>
      </c>
      <c r="X7" s="14" t="str">
        <f>IF(1&lt;=COUNTA(Contas_Nome),INDEX(Contas_Nome,1),IF(1&lt;=COUNTA(Contas_Nome)+COUNTA(Cartoes_Nome),INDEX(Cartoes_Nome,1-COUNTA(Contas_Nome)),""))</f>
        <v>Conta Corrente Banco Azul</v>
      </c>
      <c r="Y7" s="14" t="str">
        <f>IF(1&lt;=COUNTA(CatD_Nome),INDEX(CatD_Nome,1),IF(1&lt;=COUNTA(CatD_Nome)+COUNTA(CatR_Nome),INDEX(CatR_Nome,1-COUNTA(CatD_Nome)),IF(1=COUNTA(CatD_Nome)+COUNTA(CatR_Nome)+1,"Investimento",IF(1=COUNTA(CatD_Nome)+COUNTA(CatR_Nome)+2,"Transferência",""))))</f>
        <v>Moradia</v>
      </c>
      <c r="AA7" s="116" t="inlineStr">
        <is>
          <t>Viagem</t>
        </is>
      </c>
      <c r="AB7" s="14" t="inlineStr">
        <is>
          <t>2F6FD0</t>
        </is>
      </c>
    </row>
    <row r="8">
      <c r="B8" s="14" t="inlineStr">
        <is>
          <t>Fevereiro</t>
        </is>
      </c>
      <c r="C8" s="14" t="inlineStr">
        <is>
          <t>Fev</t>
        </is>
      </c>
      <c r="D8" s="14" t="n">
        <v>2021</v>
      </c>
      <c r="E8" s="14" t="inlineStr">
        <is>
          <t>Despesa</t>
        </is>
      </c>
      <c r="F8" s="14" t="inlineStr">
        <is>
          <t>Pendente</t>
        </is>
      </c>
      <c r="G8" s="14" t="inlineStr">
        <is>
          <t>Média</t>
        </is>
      </c>
      <c r="H8" s="14" t="inlineStr">
        <is>
          <t>Carro</t>
        </is>
      </c>
      <c r="I8" s="14" t="inlineStr">
        <is>
          <t>Tesouro Direto</t>
        </is>
      </c>
      <c r="J8" s="14" t="inlineStr">
        <is>
          <t>D+1</t>
        </is>
      </c>
      <c r="K8" s="14" t="inlineStr">
        <is>
          <t>Poupança</t>
        </is>
      </c>
      <c r="L8" s="14" t="inlineStr">
        <is>
          <t>Financiamento veículo</t>
        </is>
      </c>
      <c r="M8" s="14" t="inlineStr">
        <is>
          <t>Atrasada</t>
        </is>
      </c>
      <c r="N8" s="14" t="inlineStr">
        <is>
          <t>SAC</t>
        </is>
      </c>
      <c r="O8" s="14" t="inlineStr">
        <is>
          <t>Não</t>
        </is>
      </c>
      <c r="P8" s="14" t="inlineStr">
        <is>
          <t>Anual</t>
        </is>
      </c>
      <c r="Q8" s="14" t="inlineStr">
        <is>
          <t>Despesa</t>
        </is>
      </c>
      <c r="R8" s="14" t="inlineStr">
        <is>
          <t>Variável</t>
        </is>
      </c>
      <c r="S8" s="14" t="inlineStr">
        <is>
          <t>Não essencial</t>
        </is>
      </c>
      <c r="T8" s="14" t="inlineStr">
        <is>
          <t>Desejos</t>
        </is>
      </c>
      <c r="U8" s="14" t="inlineStr">
        <is>
          <t>Segunda</t>
        </is>
      </c>
      <c r="V8" s="14" t="inlineStr">
        <is>
          <t>Pendente</t>
        </is>
      </c>
      <c r="X8" s="14" t="str">
        <f>IF(2&lt;=COUNTA(Contas_Nome),INDEX(Contas_Nome,2),IF(2&lt;=COUNTA(Contas_Nome)+COUNTA(Cartoes_Nome),INDEX(Cartoes_Nome,2-COUNTA(Contas_Nome)),""))</f>
        <v>Poupança Banco Azul</v>
      </c>
      <c r="Y8" s="14" t="str">
        <f>IF(2&lt;=COUNTA(CatD_Nome),INDEX(CatD_Nome,2),IF(2&lt;=COUNTA(CatD_Nome)+COUNTA(CatR_Nome),INDEX(CatR_Nome,2-COUNTA(CatD_Nome)),IF(2=COUNTA(CatD_Nome)+COUNTA(CatR_Nome)+1,"Investimento",IF(2=COUNTA(CatD_Nome)+COUNTA(CatR_Nome)+2,"Transferência",""))))</f>
        <v>Alimentação</v>
      </c>
      <c r="AA8" s="117" t="inlineStr">
        <is>
          <t>Carro</t>
        </is>
      </c>
      <c r="AB8" s="14" t="inlineStr">
        <is>
          <t>F2A93B</t>
        </is>
      </c>
    </row>
    <row r="9">
      <c r="B9" s="14" t="inlineStr">
        <is>
          <t>Março</t>
        </is>
      </c>
      <c r="C9" s="14" t="inlineStr">
        <is>
          <t>Mar</t>
        </is>
      </c>
      <c r="D9" s="14" t="n">
        <v>2022</v>
      </c>
      <c r="E9" s="14" t="inlineStr">
        <is>
          <t>Transferência</t>
        </is>
      </c>
      <c r="F9" s="14" t="inlineStr">
        <is>
          <t>Agendado</t>
        </is>
      </c>
      <c r="G9" s="14" t="inlineStr">
        <is>
          <t>Baixa</t>
        </is>
      </c>
      <c r="H9" s="14" t="inlineStr">
        <is>
          <t>Casa</t>
        </is>
      </c>
      <c r="I9" s="14" t="inlineStr">
        <is>
          <t>Ações</t>
        </is>
      </c>
      <c r="J9" s="14" t="inlineStr">
        <is>
          <t>D+30</t>
        </is>
      </c>
      <c r="K9" s="14" t="inlineStr">
        <is>
          <t>Carteira</t>
        </is>
      </c>
      <c r="L9" s="14" t="inlineStr">
        <is>
          <t>Financiamento imobiliário</t>
        </is>
      </c>
      <c r="M9" s="14" t="inlineStr">
        <is>
          <t>Negociando</t>
        </is>
      </c>
      <c r="N9" s="14" t="inlineStr">
        <is>
          <t>Outro</t>
        </is>
      </c>
      <c r="Q9" s="14" t="inlineStr">
        <is>
          <t>Investimento</t>
        </is>
      </c>
      <c r="T9" s="14" t="inlineStr">
        <is>
          <t>Poupança</t>
        </is>
      </c>
      <c r="U9" s="14" t="inlineStr">
        <is>
          <t>Terça</t>
        </is>
      </c>
      <c r="V9" s="14" t="inlineStr">
        <is>
          <t>Não se aplica</t>
        </is>
      </c>
      <c r="X9" s="14" t="str">
        <f>IF(3&lt;=COUNTA(Contas_Nome),INDEX(Contas_Nome,3),IF(3&lt;=COUNTA(Contas_Nome)+COUNTA(Cartoes_Nome),INDEX(Cartoes_Nome,3-COUNTA(Contas_Nome)),""))</f>
        <v>Carteira (dinheiro)</v>
      </c>
      <c r="Y9" s="14" t="str">
        <f>IF(3&lt;=COUNTA(CatD_Nome),INDEX(CatD_Nome,3),IF(3&lt;=COUNTA(CatD_Nome)+COUNTA(CatR_Nome),INDEX(CatR_Nome,3-COUNTA(CatD_Nome)),IF(3=COUNTA(CatD_Nome)+COUNTA(CatR_Nome)+1,"Investimento",IF(3=COUNTA(CatD_Nome)+COUNTA(CatR_Nome)+2,"Transferência",""))))</f>
        <v>Transporte</v>
      </c>
      <c r="AA9" s="118" t="inlineStr">
        <is>
          <t>Casa</t>
        </is>
      </c>
      <c r="AB9" s="14" t="inlineStr">
        <is>
          <t>2E9E5B</t>
        </is>
      </c>
    </row>
    <row r="10">
      <c r="B10" s="14" t="inlineStr">
        <is>
          <t>Abril</t>
        </is>
      </c>
      <c r="C10" s="14" t="inlineStr">
        <is>
          <t>Abr</t>
        </is>
      </c>
      <c r="D10" s="14" t="n">
        <v>2023</v>
      </c>
      <c r="E10" s="14" t="inlineStr">
        <is>
          <t>Investimento</t>
        </is>
      </c>
      <c r="H10" s="14" t="inlineStr">
        <is>
          <t>Reserva</t>
        </is>
      </c>
      <c r="I10" s="14" t="inlineStr">
        <is>
          <t>FIIs</t>
        </is>
      </c>
      <c r="J10" s="14" t="inlineStr">
        <is>
          <t>No vencimento</t>
        </is>
      </c>
      <c r="K10" s="14" t="inlineStr">
        <is>
          <t>Conta investimento</t>
        </is>
      </c>
      <c r="L10" s="14" t="inlineStr">
        <is>
          <t>Cartão/Fatura parcelada</t>
        </is>
      </c>
      <c r="M10" s="14" t="inlineStr">
        <is>
          <t>Quitada</t>
        </is>
      </c>
      <c r="U10" s="14" t="inlineStr">
        <is>
          <t>Quarta</t>
        </is>
      </c>
      <c r="X10" s="14" t="str">
        <f>IF(4&lt;=COUNTA(Contas_Nome),INDEX(Contas_Nome,4),IF(4&lt;=COUNTA(Contas_Nome)+COUNTA(Cartoes_Nome),INDEX(Cartoes_Nome,4-COUNTA(Contas_Nome)),""))</f>
        <v>Cartão Roxinho</v>
      </c>
      <c r="Y10" s="14" t="str">
        <f>IF(4&lt;=COUNTA(CatD_Nome),INDEX(CatD_Nome,4),IF(4&lt;=COUNTA(CatD_Nome)+COUNTA(CatR_Nome),INDEX(CatR_Nome,4-COUNTA(CatD_Nome)),IF(4=COUNTA(CatD_Nome)+COUNTA(CatR_Nome)+1,"Investimento",IF(4=COUNTA(CatD_Nome)+COUNTA(CatR_Nome)+2,"Transferência",""))))</f>
        <v>Saúde</v>
      </c>
      <c r="AA10" s="119" t="inlineStr">
        <is>
          <t>Reserva</t>
        </is>
      </c>
      <c r="AB10" s="14" t="inlineStr">
        <is>
          <t>7B5EA7</t>
        </is>
      </c>
    </row>
    <row r="11">
      <c r="B11" s="14" t="inlineStr">
        <is>
          <t>Maio</t>
        </is>
      </c>
      <c r="C11" s="14" t="inlineStr">
        <is>
          <t>Mai</t>
        </is>
      </c>
      <c r="D11" s="14" t="n">
        <v>2024</v>
      </c>
      <c r="H11" s="14" t="inlineStr">
        <is>
          <t>Quitar dívida</t>
        </is>
      </c>
      <c r="I11" s="14" t="inlineStr">
        <is>
          <t>ETFs</t>
        </is>
      </c>
      <c r="J11" s="14" t="inlineStr">
        <is>
          <t>Baixa</t>
        </is>
      </c>
      <c r="L11" s="14" t="inlineStr">
        <is>
          <t>Cheque especial</t>
        </is>
      </c>
      <c r="U11" s="14" t="inlineStr">
        <is>
          <t>Quinta</t>
        </is>
      </c>
      <c r="X11" s="14" t="str">
        <f>IF(5&lt;=COUNTA(Contas_Nome),INDEX(Contas_Nome,5),IF(5&lt;=COUNTA(Contas_Nome)+COUNTA(Cartoes_Nome),INDEX(Cartoes_Nome,5-COUNTA(Contas_Nome)),""))</f>
        <v>Cartão Azul Gold</v>
      </c>
      <c r="Y11" s="14" t="str">
        <f>IF(5&lt;=COUNTA(CatD_Nome),INDEX(CatD_Nome,5),IF(5&lt;=COUNTA(CatD_Nome)+COUNTA(CatR_Nome),INDEX(CatR_Nome,5-COUNTA(CatD_Nome)),IF(5=COUNTA(CatD_Nome)+COUNTA(CatR_Nome)+1,"Investimento",IF(5=COUNTA(CatD_Nome)+COUNTA(CatR_Nome)+2,"Transferência",""))))</f>
        <v>Educação</v>
      </c>
      <c r="AA11" s="120" t="inlineStr">
        <is>
          <t>Quitar dívida</t>
        </is>
      </c>
      <c r="AB11" s="14" t="inlineStr">
        <is>
          <t>D64545</t>
        </is>
      </c>
    </row>
    <row r="12">
      <c r="B12" s="14" t="inlineStr">
        <is>
          <t>Junho</t>
        </is>
      </c>
      <c r="C12" s="14" t="inlineStr">
        <is>
          <t>Jun</t>
        </is>
      </c>
      <c r="D12" s="14" t="n">
        <v>2025</v>
      </c>
      <c r="H12" s="14" t="inlineStr">
        <is>
          <t>Aposentadoria</t>
        </is>
      </c>
      <c r="I12" s="14" t="inlineStr">
        <is>
          <t>Cripto</t>
        </is>
      </c>
      <c r="L12" s="14" t="inlineStr">
        <is>
          <t>Outros</t>
        </is>
      </c>
      <c r="U12" s="14" t="inlineStr">
        <is>
          <t>Sexta</t>
        </is>
      </c>
      <c r="X12" s="14" t="str">
        <f>IF(6&lt;=COUNTA(Contas_Nome),INDEX(Contas_Nome,6),IF(6&lt;=COUNTA(Contas_Nome)+COUNTA(Cartoes_Nome),INDEX(Cartoes_Nome,6-COUNTA(Contas_Nome)),""))</f>
        <v/>
      </c>
      <c r="Y12" s="14" t="str">
        <f>IF(6&lt;=COUNTA(CatD_Nome),INDEX(CatD_Nome,6),IF(6&lt;=COUNTA(CatD_Nome)+COUNTA(CatR_Nome),INDEX(CatR_Nome,6-COUNTA(CatD_Nome)),IF(6=COUNTA(CatD_Nome)+COUNTA(CatR_Nome)+1,"Investimento",IF(6=COUNTA(CatD_Nome)+COUNTA(CatR_Nome)+2,"Transferência",""))))</f>
        <v>Lazer</v>
      </c>
      <c r="AA12" s="121" t="inlineStr">
        <is>
          <t>Aposentadoria</t>
        </is>
      </c>
      <c r="AB12" s="14" t="inlineStr">
        <is>
          <t>6C7A89</t>
        </is>
      </c>
    </row>
    <row r="13">
      <c r="B13" s="14" t="inlineStr">
        <is>
          <t>Julho</t>
        </is>
      </c>
      <c r="C13" s="14" t="inlineStr">
        <is>
          <t>Jul</t>
        </is>
      </c>
      <c r="D13" s="14" t="n">
        <v>2026</v>
      </c>
      <c r="H13" s="14" t="inlineStr">
        <is>
          <t>Estudos</t>
        </is>
      </c>
      <c r="I13" s="14" t="inlineStr">
        <is>
          <t>Previdência</t>
        </is>
      </c>
      <c r="U13" s="14" t="inlineStr">
        <is>
          <t>Sábado</t>
        </is>
      </c>
      <c r="X13" s="14" t="str">
        <f>IF(7&lt;=COUNTA(Contas_Nome),INDEX(Contas_Nome,7),IF(7&lt;=COUNTA(Contas_Nome)+COUNTA(Cartoes_Nome),INDEX(Cartoes_Nome,7-COUNTA(Contas_Nome)),""))</f>
        <v/>
      </c>
      <c r="Y13" s="14" t="str">
        <f>IF(7&lt;=COUNTA(CatD_Nome),INDEX(CatD_Nome,7),IF(7&lt;=COUNTA(CatD_Nome)+COUNTA(CatR_Nome),INDEX(CatR_Nome,7-COUNTA(CatD_Nome)),IF(7=COUNTA(CatD_Nome)+COUNTA(CatR_Nome)+1,"Investimento",IF(7=COUNTA(CatD_Nome)+COUNTA(CatR_Nome)+2,"Transferência",""))))</f>
        <v>Assinaturas</v>
      </c>
      <c r="AA13" s="122" t="inlineStr">
        <is>
          <t>Estudos</t>
        </is>
      </c>
      <c r="AB13" s="14" t="inlineStr">
        <is>
          <t>1ABC9C</t>
        </is>
      </c>
    </row>
    <row r="14">
      <c r="B14" s="14" t="inlineStr">
        <is>
          <t>Agosto</t>
        </is>
      </c>
      <c r="C14" s="14" t="inlineStr">
        <is>
          <t>Ago</t>
        </is>
      </c>
      <c r="D14" s="14" t="n">
        <v>2027</v>
      </c>
      <c r="H14" s="14" t="inlineStr">
        <is>
          <t>Outros</t>
        </is>
      </c>
      <c r="I14" s="14" t="inlineStr">
        <is>
          <t>Exterior</t>
        </is>
      </c>
      <c r="X14" s="14" t="str">
        <f>IF(8&lt;=COUNTA(Contas_Nome),INDEX(Contas_Nome,8),IF(8&lt;=COUNTA(Contas_Nome)+COUNTA(Cartoes_Nome),INDEX(Cartoes_Nome,8-COUNTA(Contas_Nome)),""))</f>
        <v/>
      </c>
      <c r="Y14" s="14" t="str">
        <f>IF(8&lt;=COUNTA(CatD_Nome),INDEX(CatD_Nome,8),IF(8&lt;=COUNTA(CatD_Nome)+COUNTA(CatR_Nome),INDEX(CatR_Nome,8-COUNTA(CatD_Nome)),IF(8=COUNTA(CatD_Nome)+COUNTA(CatR_Nome)+1,"Investimento",IF(8=COUNTA(CatD_Nome)+COUNTA(CatR_Nome)+2,"Transferência",""))))</f>
        <v>Vestuário</v>
      </c>
      <c r="AA14" s="123" t="inlineStr">
        <is>
          <t>Outros</t>
        </is>
      </c>
      <c r="AB14" s="14" t="inlineStr">
        <is>
          <t>A0A7B0</t>
        </is>
      </c>
    </row>
    <row r="15">
      <c r="B15" s="14" t="inlineStr">
        <is>
          <t>Setembro</t>
        </is>
      </c>
      <c r="C15" s="14" t="inlineStr">
        <is>
          <t>Set</t>
        </is>
      </c>
      <c r="D15" s="14" t="n">
        <v>2028</v>
      </c>
      <c r="I15" s="14" t="inlineStr">
        <is>
          <t>Outros</t>
        </is>
      </c>
      <c r="X15" s="14" t="str">
        <f>IF(9&lt;=COUNTA(Contas_Nome),INDEX(Contas_Nome,9),IF(9&lt;=COUNTA(Contas_Nome)+COUNTA(Cartoes_Nome),INDEX(Cartoes_Nome,9-COUNTA(Contas_Nome)),""))</f>
        <v/>
      </c>
      <c r="Y15" s="14" t="str">
        <f>IF(9&lt;=COUNTA(CatD_Nome),INDEX(CatD_Nome,9),IF(9&lt;=COUNTA(CatD_Nome)+COUNTA(CatR_Nome),INDEX(CatR_Nome,9-COUNTA(CatD_Nome)),IF(9=COUNTA(CatD_Nome)+COUNTA(CatR_Nome)+1,"Investimento",IF(9=COUNTA(CatD_Nome)+COUNTA(CatR_Nome)+2,"Transferência",""))))</f>
        <v>Dívidas e Financiamentos</v>
      </c>
    </row>
    <row r="16">
      <c r="B16" s="14" t="inlineStr">
        <is>
          <t>Outubro</t>
        </is>
      </c>
      <c r="C16" s="14" t="inlineStr">
        <is>
          <t>Out</t>
        </is>
      </c>
      <c r="D16" s="14" t="n">
        <v>2029</v>
      </c>
      <c r="X16" s="14" t="str">
        <f>IF(10&lt;=COUNTA(Contas_Nome),INDEX(Contas_Nome,10),IF(10&lt;=COUNTA(Contas_Nome)+COUNTA(Cartoes_Nome),INDEX(Cartoes_Nome,10-COUNTA(Contas_Nome)),""))</f>
        <v/>
      </c>
      <c r="Y16" s="14" t="str">
        <f>IF(10&lt;=COUNTA(CatD_Nome),INDEX(CatD_Nome,10),IF(10&lt;=COUNTA(CatD_Nome)+COUNTA(CatR_Nome),INDEX(CatR_Nome,10-COUNTA(CatD_Nome)),IF(10=COUNTA(CatD_Nome)+COUNTA(CatR_Nome)+1,"Investimento",IF(10=COUNTA(CatD_Nome)+COUNTA(CatR_Nome)+2,"Transferência",""))))</f>
        <v>Impostos e Taxas</v>
      </c>
    </row>
    <row r="17">
      <c r="B17" s="14" t="inlineStr">
        <is>
          <t>Novembro</t>
        </is>
      </c>
      <c r="C17" s="14" t="inlineStr">
        <is>
          <t>Nov</t>
        </is>
      </c>
      <c r="D17" s="14" t="n">
        <v>2030</v>
      </c>
      <c r="X17" s="14" t="str">
        <f>IF(11&lt;=COUNTA(Contas_Nome),INDEX(Contas_Nome,11),IF(11&lt;=COUNTA(Contas_Nome)+COUNTA(Cartoes_Nome),INDEX(Cartoes_Nome,11-COUNTA(Contas_Nome)),""))</f>
        <v/>
      </c>
      <c r="Y17" s="14" t="str">
        <f>IF(11&lt;=COUNTA(CatD_Nome),INDEX(CatD_Nome,11),IF(11&lt;=COUNTA(CatD_Nome)+COUNTA(CatR_Nome),INDEX(CatR_Nome,11-COUNTA(CatD_Nome)),IF(11=COUNTA(CatD_Nome)+COUNTA(CatR_Nome)+1,"Investimento",IF(11=COUNTA(CatD_Nome)+COUNTA(CatR_Nome)+2,"Transferência",""))))</f>
        <v>Família/Pets</v>
      </c>
    </row>
    <row r="18">
      <c r="B18" s="14" t="inlineStr">
        <is>
          <t>Dezembro</t>
        </is>
      </c>
      <c r="C18" s="14" t="inlineStr">
        <is>
          <t>Dez</t>
        </is>
      </c>
      <c r="D18" s="14" t="n">
        <v>2031</v>
      </c>
      <c r="X18" s="14" t="str">
        <f>IF(12&lt;=COUNTA(Contas_Nome),INDEX(Contas_Nome,12),IF(12&lt;=COUNTA(Contas_Nome)+COUNTA(Cartoes_Nome),INDEX(Cartoes_Nome,12-COUNTA(Contas_Nome)),""))</f>
        <v/>
      </c>
      <c r="Y18" s="14" t="str">
        <f>IF(12&lt;=COUNTA(CatD_Nome),INDEX(CatD_Nome,12),IF(12&lt;=COUNTA(CatD_Nome)+COUNTA(CatR_Nome),INDEX(CatR_Nome,12-COUNTA(CatD_Nome)),IF(12=COUNTA(CatD_Nome)+COUNTA(CatR_Nome)+1,"Investimento",IF(12=COUNTA(CatD_Nome)+COUNTA(CatR_Nome)+2,"Transferência",""))))</f>
        <v>Doações</v>
      </c>
    </row>
    <row r="19">
      <c r="D19" s="14" t="n">
        <v>2032</v>
      </c>
      <c r="X19" s="14" t="str">
        <f>IF(13&lt;=COUNTA(Contas_Nome),INDEX(Contas_Nome,13),IF(13&lt;=COUNTA(Contas_Nome)+COUNTA(Cartoes_Nome),INDEX(Cartoes_Nome,13-COUNTA(Contas_Nome)),""))</f>
        <v/>
      </c>
      <c r="Y19" s="14" t="str">
        <f>IF(13&lt;=COUNTA(CatD_Nome),INDEX(CatD_Nome,13),IF(13&lt;=COUNTA(CatD_Nome)+COUNTA(CatR_Nome),INDEX(CatR_Nome,13-COUNTA(CatD_Nome)),IF(13=COUNTA(CatD_Nome)+COUNTA(CatR_Nome)+1,"Investimento",IF(13=COUNTA(CatD_Nome)+COUNTA(CatR_Nome)+2,"Transferência",""))))</f>
        <v>Outros</v>
      </c>
    </row>
    <row r="20">
      <c r="D20" s="14" t="n">
        <v>2033</v>
      </c>
      <c r="X20" s="14" t="str">
        <f>IF(14&lt;=COUNTA(Contas_Nome),INDEX(Contas_Nome,14),IF(14&lt;=COUNTA(Contas_Nome)+COUNTA(Cartoes_Nome),INDEX(Cartoes_Nome,14-COUNTA(Contas_Nome)),""))</f>
        <v/>
      </c>
      <c r="Y20" s="14" t="str">
        <f>IF(14&lt;=COUNTA(CatD_Nome),INDEX(CatD_Nome,14),IF(14&lt;=COUNTA(CatD_Nome)+COUNTA(CatR_Nome),INDEX(CatR_Nome,14-COUNTA(CatD_Nome)),IF(14=COUNTA(CatD_Nome)+COUNTA(CatR_Nome)+1,"Investimento",IF(14=COUNTA(CatD_Nome)+COUNTA(CatR_Nome)+2,"Transferência",""))))</f>
        <v>Salário</v>
      </c>
    </row>
    <row r="21">
      <c r="D21" s="14" t="n">
        <v>2034</v>
      </c>
      <c r="X21" s="14" t="str">
        <f>IF(15&lt;=COUNTA(Contas_Nome),INDEX(Contas_Nome,15),IF(15&lt;=COUNTA(Contas_Nome)+COUNTA(Cartoes_Nome),INDEX(Cartoes_Nome,15-COUNTA(Contas_Nome)),""))</f>
        <v/>
      </c>
      <c r="Y21" s="14" t="str">
        <f>IF(15&lt;=COUNTA(CatD_Nome),INDEX(CatD_Nome,15),IF(15&lt;=COUNTA(CatD_Nome)+COUNTA(CatR_Nome),INDEX(CatR_Nome,15-COUNTA(CatD_Nome)),IF(15=COUNTA(CatD_Nome)+COUNTA(CatR_Nome)+1,"Investimento",IF(15=COUNTA(CatD_Nome)+COUNTA(CatR_Nome)+2,"Transferência",""))))</f>
        <v>13º/Férias/PLR</v>
      </c>
    </row>
    <row r="22">
      <c r="D22" s="14" t="n">
        <v>2035</v>
      </c>
      <c r="X22" s="14" t="str">
        <f>IF(16&lt;=COUNTA(Contas_Nome),INDEX(Contas_Nome,16),IF(16&lt;=COUNTA(Contas_Nome)+COUNTA(Cartoes_Nome),INDEX(Cartoes_Nome,16-COUNTA(Contas_Nome)),""))</f>
        <v/>
      </c>
      <c r="Y22" s="14" t="str">
        <f>IF(16&lt;=COUNTA(CatD_Nome),INDEX(CatD_Nome,16),IF(16&lt;=COUNTA(CatD_Nome)+COUNTA(CatR_Nome),INDEX(CatR_Nome,16-COUNTA(CatD_Nome)),IF(16=COUNTA(CatD_Nome)+COUNTA(CatR_Nome)+1,"Investimento",IF(16=COUNTA(CatD_Nome)+COUNTA(CatR_Nome)+2,"Transferência",""))))</f>
        <v>Freelance/Extra</v>
      </c>
    </row>
    <row r="23">
      <c r="D23" s="14" t="n">
        <v>2036</v>
      </c>
      <c r="X23" s="14" t="str">
        <f>IF(17&lt;=COUNTA(Contas_Nome),INDEX(Contas_Nome,17),IF(17&lt;=COUNTA(Contas_Nome)+COUNTA(Cartoes_Nome),INDEX(Cartoes_Nome,17-COUNTA(Contas_Nome)),""))</f>
        <v/>
      </c>
      <c r="Y23" s="14" t="str">
        <f>IF(17&lt;=COUNTA(CatD_Nome),INDEX(CatD_Nome,17),IF(17&lt;=COUNTA(CatD_Nome)+COUNTA(CatR_Nome),INDEX(CatR_Nome,17-COUNTA(CatD_Nome)),IF(17=COUNTA(CatD_Nome)+COUNTA(CatR_Nome)+1,"Investimento",IF(17=COUNTA(CatD_Nome)+COUNTA(CatR_Nome)+2,"Transferência",""))))</f>
        <v>Aluguel recebido</v>
      </c>
    </row>
    <row r="24">
      <c r="D24" s="14" t="n">
        <v>2037</v>
      </c>
      <c r="X24" s="14" t="str">
        <f>IF(18&lt;=COUNTA(Contas_Nome),INDEX(Contas_Nome,18),IF(18&lt;=COUNTA(Contas_Nome)+COUNTA(Cartoes_Nome),INDEX(Cartoes_Nome,18-COUNTA(Contas_Nome)),""))</f>
        <v/>
      </c>
      <c r="Y24" s="14" t="str">
        <f>IF(18&lt;=COUNTA(CatD_Nome),INDEX(CatD_Nome,18),IF(18&lt;=COUNTA(CatD_Nome)+COUNTA(CatR_Nome),INDEX(CatR_Nome,18-COUNTA(CatD_Nome)),IF(18=COUNTA(CatD_Nome)+COUNTA(CatR_Nome)+1,"Investimento",IF(18=COUNTA(CatD_Nome)+COUNTA(CatR_Nome)+2,"Transferência",""))))</f>
        <v>Rendimentos</v>
      </c>
    </row>
    <row r="25">
      <c r="D25" s="14" t="n">
        <v>2038</v>
      </c>
      <c r="Y25" s="14" t="str">
        <f>IF(19&lt;=COUNTA(CatD_Nome),INDEX(CatD_Nome,19),IF(19&lt;=COUNTA(CatD_Nome)+COUNTA(CatR_Nome),INDEX(CatR_Nome,19-COUNTA(CatD_Nome)),IF(19=COUNTA(CatD_Nome)+COUNTA(CatR_Nome)+1,"Investimento",IF(19=COUNTA(CatD_Nome)+COUNTA(CatR_Nome)+2,"Transferência",""))))</f>
        <v>Reembolsos</v>
      </c>
    </row>
    <row r="26">
      <c r="D26" s="14" t="n">
        <v>2039</v>
      </c>
      <c r="Y26" s="14" t="str">
        <f>IF(20&lt;=COUNTA(CatD_Nome),INDEX(CatD_Nome,20),IF(20&lt;=COUNTA(CatD_Nome)+COUNTA(CatR_Nome),INDEX(CatR_Nome,20-COUNTA(CatD_Nome)),IF(20=COUNTA(CatD_Nome)+COUNTA(CatR_Nome)+1,"Investimento",IF(20=COUNTA(CatD_Nome)+COUNTA(CatR_Nome)+2,"Transferência",""))))</f>
        <v>Outros</v>
      </c>
    </row>
    <row r="27">
      <c r="D27" s="14" t="n">
        <v>2040</v>
      </c>
      <c r="Y27" s="14" t="str">
        <f>IF(21&lt;=COUNTA(CatD_Nome),INDEX(CatD_Nome,21),IF(21&lt;=COUNTA(CatD_Nome)+COUNTA(CatR_Nome),INDEX(CatR_Nome,21-COUNTA(CatD_Nome)),IF(21=COUNTA(CatD_Nome)+COUNTA(CatR_Nome)+1,"Investimento",IF(21=COUNTA(CatD_Nome)+COUNTA(CatR_Nome)+2,"Transferência",""))))</f>
        <v>Investimento</v>
      </c>
    </row>
    <row r="28">
      <c r="Y28" s="14" t="str">
        <f>IF(22&lt;=COUNTA(CatD_Nome),INDEX(CatD_Nome,22),IF(22&lt;=COUNTA(CatD_Nome)+COUNTA(CatR_Nome),INDEX(CatR_Nome,22-COUNTA(CatD_Nome)),IF(22=COUNTA(CatD_Nome)+COUNTA(CatR_Nome)+1,"Investimento",IF(22=COUNTA(CatD_Nome)+COUNTA(CatR_Nome)+2,"Transferência",""))))</f>
        <v>Transferência</v>
      </c>
    </row>
    <row r="29">
      <c r="Y29" s="14" t="str">
        <f>IF(23&lt;=COUNTA(CatD_Nome),INDEX(CatD_Nome,23),IF(23&lt;=COUNTA(CatD_Nome)+COUNTA(CatR_Nome),INDEX(CatR_Nome,23-COUNTA(CatD_Nome)),IF(23=COUNTA(CatD_Nome)+COUNTA(CatR_Nome)+1,"Investimento",IF(23=COUNTA(CatD_Nome)+COUNTA(CatR_Nome)+2,"Transferência",""))))</f>
        <v/>
      </c>
    </row>
    <row r="30">
      <c r="Y30" s="14" t="str">
        <f>IF(24&lt;=COUNTA(CatD_Nome),INDEX(CatD_Nome,24),IF(24&lt;=COUNTA(CatD_Nome)+COUNTA(CatR_Nome),INDEX(CatR_Nome,24-COUNTA(CatD_Nome)),IF(24=COUNTA(CatD_Nome)+COUNTA(CatR_Nome)+1,"Investimento",IF(24=COUNTA(CatD_Nome)+COUNTA(CatR_Nome)+2,"Transferência",""))))</f>
        <v/>
      </c>
    </row>
    <row r="31">
      <c r="Y31" s="14" t="str">
        <f>IF(25&lt;=COUNTA(CatD_Nome),INDEX(CatD_Nome,25),IF(25&lt;=COUNTA(CatD_Nome)+COUNTA(CatR_Nome),INDEX(CatR_Nome,25-COUNTA(CatD_Nome)),IF(25=COUNTA(CatD_Nome)+COUNTA(CatR_Nome)+1,"Investimento",IF(25=COUNTA(CatD_Nome)+COUNTA(CatR_Nome)+2,"Transferência",""))))</f>
        <v/>
      </c>
    </row>
    <row r="32">
      <c r="Y32" s="14" t="str">
        <f>IF(26&lt;=COUNTA(CatD_Nome),INDEX(CatD_Nome,26),IF(26&lt;=COUNTA(CatD_Nome)+COUNTA(CatR_Nome),INDEX(CatR_Nome,26-COUNTA(CatD_Nome)),IF(26=COUNTA(CatD_Nome)+COUNTA(CatR_Nome)+1,"Investimento",IF(26=COUNTA(CatD_Nome)+COUNTA(CatR_Nome)+2,"Transferência",""))))</f>
        <v/>
      </c>
    </row>
    <row r="33">
      <c r="Y33" s="14" t="str">
        <f>IF(27&lt;=COUNTA(CatD_Nome),INDEX(CatD_Nome,27),IF(27&lt;=COUNTA(CatD_Nome)+COUNTA(CatR_Nome),INDEX(CatR_Nome,27-COUNTA(CatD_Nome)),IF(27=COUNTA(CatD_Nome)+COUNTA(CatR_Nome)+1,"Investimento",IF(27=COUNTA(CatD_Nome)+COUNTA(CatR_Nome)+2,"Transferência",""))))</f>
        <v/>
      </c>
    </row>
    <row r="34">
      <c r="Y34" s="14" t="str">
        <f>IF(28&lt;=COUNTA(CatD_Nome),INDEX(CatD_Nome,28),IF(28&lt;=COUNTA(CatD_Nome)+COUNTA(CatR_Nome),INDEX(CatR_Nome,28-COUNTA(CatD_Nome)),IF(28=COUNTA(CatD_Nome)+COUNTA(CatR_Nome)+1,"Investimento",IF(28=COUNTA(CatD_Nome)+COUNTA(CatR_Nome)+2,"Transferência",""))))</f>
        <v/>
      </c>
    </row>
    <row r="35">
      <c r="Y35" s="14" t="str">
        <f>IF(29&lt;=COUNTA(CatD_Nome),INDEX(CatD_Nome,29),IF(29&lt;=COUNTA(CatD_Nome)+COUNTA(CatR_Nome),INDEX(CatR_Nome,29-COUNTA(CatD_Nome)),IF(29=COUNTA(CatD_Nome)+COUNTA(CatR_Nome)+1,"Investimento",IF(29=COUNTA(CatD_Nome)+COUNTA(CatR_Nome)+2,"Transferência",""))))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M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I79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20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3" max="23"/>
    <col width="16" customWidth="1" min="24" max="24"/>
    <col width="16" customWidth="1" min="25" max="25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70" customWidth="1" min="34" max="34"/>
  </cols>
  <sheetData>
    <row r="1" ht="30" customHeight="1">
      <c r="B1" s="1" t="inlineStr">
        <is>
          <t>CÁLCULOS (apoio)</t>
        </is>
      </c>
    </row>
    <row r="2" ht="32" customHeight="1">
      <c r="B2" s="2" t="inlineStr">
        <is>
          <t>Valores intermediários usados pelo Dashboard e pelas demais abas. Não precisa mexer. Esta aba pode ficar oculta.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5">
      <c r="F5" s="6" t="inlineStr">
        <is>
          <t>Histórico de 24 meses terminando no mês selecionado</t>
        </is>
      </c>
      <c r="Q5" s="6" t="inlineStr">
        <is>
          <t>Média 3 meses fechados por categoria de despesa</t>
        </is>
      </c>
      <c r="W5" s="6" t="inlineStr">
        <is>
          <t>Ranking de despesas do mês (para gráficos)</t>
        </is>
      </c>
      <c r="AA5" s="6" t="inlineStr">
        <is>
          <t>Orçado x realizado (top 10)</t>
        </is>
      </c>
      <c r="AH5" s="6" t="inlineStr">
        <is>
          <t>Alertas automáticos (candidatos)</t>
        </is>
      </c>
    </row>
    <row r="6">
      <c r="F6" s="7" t="inlineStr">
        <is>
          <t>j</t>
        </is>
      </c>
      <c r="G6" s="7" t="inlineStr">
        <is>
          <t>Índice</t>
        </is>
      </c>
      <c r="H6" s="7" t="inlineStr">
        <is>
          <t>Receitas</t>
        </is>
      </c>
      <c r="I6" s="7" t="inlineStr">
        <is>
          <t>Despesas</t>
        </is>
      </c>
      <c r="J6" s="7" t="inlineStr">
        <is>
          <t>Aportes</t>
        </is>
      </c>
      <c r="K6" s="7" t="inlineStr">
        <is>
          <t>Despesa planejada</t>
        </is>
      </c>
      <c r="L6" s="7" t="inlineStr">
        <is>
          <t>Poupou?</t>
        </is>
      </c>
      <c r="M6" s="7" t="inlineStr">
        <is>
          <t>Dentro do orçamento?</t>
        </is>
      </c>
      <c r="N6" s="7" t="inlineStr">
        <is>
          <t>Aportou?</t>
        </is>
      </c>
      <c r="O6" s="7" t="inlineStr">
        <is>
          <t>Sequência</t>
        </is>
      </c>
      <c r="Q6" s="7" t="inlineStr">
        <is>
          <t>Categoria</t>
        </is>
      </c>
      <c r="R6" s="7" t="inlineStr">
        <is>
          <t>Natureza</t>
        </is>
      </c>
      <c r="S6" s="7" t="inlineStr">
        <is>
          <t>Média 3m</t>
        </is>
      </c>
      <c r="T6" s="7" t="inlineStr">
        <is>
          <t>Chave rank (mês sel.)</t>
        </is>
      </c>
      <c r="U6" s="7" t="inlineStr">
        <is>
          <t>Valor mês sel.</t>
        </is>
      </c>
      <c r="W6" s="7" t="inlineStr">
        <is>
          <t>Posição</t>
        </is>
      </c>
      <c r="X6" s="7" t="inlineStr">
        <is>
          <t>Categoria</t>
        </is>
      </c>
      <c r="Y6" s="7" t="inlineStr">
        <is>
          <t>Valor</t>
        </is>
      </c>
      <c r="AA6" s="7" t="inlineStr">
        <is>
          <t>Chave</t>
        </is>
      </c>
      <c r="AB6" s="7" t="inlineStr">
        <is>
          <t>Posição</t>
        </is>
      </c>
      <c r="AC6" s="7" t="inlineStr">
        <is>
          <t>Categoria</t>
        </is>
      </c>
      <c r="AD6" s="7" t="inlineStr">
        <is>
          <t>Orçado</t>
        </is>
      </c>
      <c r="AE6" s="7" t="inlineStr">
        <is>
          <t>Realizado</t>
        </is>
      </c>
      <c r="AH6" s="7" t="inlineStr">
        <is>
          <t>Mensagem</t>
        </is>
      </c>
      <c r="AI6" s="7" t="inlineStr">
        <is>
          <t>Contagem</t>
        </is>
      </c>
    </row>
    <row r="7">
      <c r="B7" s="6" t="inlineStr">
        <is>
          <t>Período de referência</t>
        </is>
      </c>
      <c r="F7" s="14" t="n">
        <v>0</v>
      </c>
      <c r="G7" s="14">
        <f>Sel_Idx-F7</f>
        <v>24321</v>
      </c>
      <c r="H7" s="36">
        <f>SUMIFS(L_VParc,L_Tipo,"Receita",L_IIni,"&lt;="&amp;(G7),L_IFim,"&gt;="&amp;(G7))</f>
        <v>12783.87</v>
      </c>
      <c r="I7" s="36">
        <f>SUMIFS(L_VParc,L_Tipo,"Despesa",L_IIni,"&lt;="&amp;(G7),L_IFim,"&gt;="&amp;(G7))</f>
        <v>12384.29</v>
      </c>
      <c r="J7" s="36">
        <f>SUMIFS(L_VParc,L_Tipo,"Investimento",L_IIni,"&lt;="&amp;(G7),L_IFim,"&gt;="&amp;(G7))</f>
        <v>2050</v>
      </c>
      <c r="K7" s="36">
        <f>INDEX(Orc_TotDesp,MOD(G7-1,12)+1)</f>
        <v>12600</v>
      </c>
      <c r="L7" s="14">
        <f>IF(H7&gt;0,IF((H7-I7)/H7&gt;=Cfg_MetaPoup,1,0),0)</f>
        <v>0</v>
      </c>
      <c r="M7" s="14">
        <f>IF(AND(K7&gt;0,I7&gt;0,I7&lt;=K7),1,0)</f>
        <v>1</v>
      </c>
      <c r="N7" s="14">
        <f>IF(J7&gt;0,1,0)</f>
        <v>1</v>
      </c>
      <c r="O7" s="14">
        <f>L7</f>
        <v>0</v>
      </c>
      <c r="Q7" s="14" t="str">
        <f>IF(INDEX(CatD_Nome,1)="","",INDEX(CatD_Nome,1))</f>
        <v>Moradia</v>
      </c>
      <c r="R7" s="14" t="str">
        <f>INDEX(CatD_Nat,1)&amp;""</f>
        <v>Fixa</v>
      </c>
      <c r="S7" s="36">
        <f>IF(Q7="",0,(SUMIFS(L_VParc,L_Tipo,"Despesa",L_Cat,$Q7,L_IIni,"&lt;="&amp;(Cfg_Idx-1),L_IFim,"&gt;="&amp;(Cfg_Idx-1))+SUMIFS(L_VParc,L_Tipo,"Despesa",L_Cat,$Q7,L_IIni,"&lt;="&amp;(Cfg_Idx-2),L_IFim,"&gt;="&amp;(Cfg_Idx-2))+SUMIFS(L_VParc,L_Tipo,"Despesa",L_Cat,$Q7,L_IIni,"&lt;="&amp;(Cfg_Idx-3),L_IFim,"&gt;="&amp;(Cfg_Idx-3)))/3)</f>
        <v>3640.93</v>
      </c>
      <c r="T7" s="124">
        <f>IF(INDEX(Orc_Real,1)&gt;0,INDEX(Orc_Real,1)+ROW()/1000000000,0)</f>
        <v>3670.770000007</v>
      </c>
      <c r="U7" s="36">
        <f>INDEX(Orc_Real,1)</f>
        <v>3670.77</v>
      </c>
      <c r="W7" s="14" t="n">
        <v>1</v>
      </c>
      <c r="X7" s="14" t="str">
        <f>IF(Y7&gt;0,INDEX(Q$7:Q$24,MATCH(LARGE(T$7:T$24,1),T$7:T$24,0)),"—")</f>
        <v>Moradia</v>
      </c>
      <c r="Y7" s="36">
        <f>IFERROR(INDEX(U$7:U$24,MATCH(LARGE(T$7:T$24,1),T$7:T$24,0)),0)</f>
        <v>3670.77</v>
      </c>
      <c r="AA7" s="124">
        <f>IF(OR(INDEX(Orc_Plan,1)&gt;0,INDEX(Orc_Real,1)&gt;0),MAX(INDEX(Orc_Plan,1),INDEX(Orc_Real,1))+ROW()/1000000000,0)</f>
        <v>3670.770000007</v>
      </c>
      <c r="AB7" s="14" t="n">
        <v>1</v>
      </c>
      <c r="AC7" s="14" t="str">
        <f>IFERROR(IF(LARGE(AA$7:AA$24,1)&gt;0,INDEX(Q$7:Q$24,MATCH(LARGE(AA$7:AA$24,1),AA$7:AA$24,0)),"—"),"—")</f>
        <v>Moradia</v>
      </c>
      <c r="AD7" s="36">
        <f>IFERROR(IF(LARGE(AA$7:AA$24,1)&gt;0,INDEX(Orc_Plan,MATCH(LARGE(AA$7:AA$24,1),AA$7:AA$24,0)),0),0)</f>
        <v>3600</v>
      </c>
      <c r="AE7" s="36">
        <f>IFERROR(IF(LARGE(AA$7:AA$24,1)&gt;0,INDEX(Orc_Real,MATCH(LARGE(AA$7:AA$24,1),AA$7:AA$24,0)),0),0)</f>
        <v>3670.77</v>
      </c>
      <c r="AH7" s="14" t="str">
        <f>IF(AND(K_Rec+K_Desp&gt;0,K_Saldo&lt;0),"🔴 Saldo do mês negativo: despesas superam as receitas em R$ "&amp;FIXED(-K_Saldo,0)&amp;".","")</f>
        <v/>
      </c>
      <c r="AI7" s="40">
        <f>IF(AH7&lt;&gt;"",1,0)</f>
        <v>0</v>
      </c>
    </row>
    <row r="8">
      <c r="B8" s="17" t="inlineStr">
        <is>
          <t>Ano de referência (efetivo)</t>
        </is>
      </c>
      <c r="C8" s="100">
        <f>IF(N(Cfg_AnoIn)=0,YEAR(Cfg_Hoje),Cfg_AnoIn)</f>
        <v>2026</v>
      </c>
      <c r="F8" s="14" t="n">
        <v>1</v>
      </c>
      <c r="G8" s="14">
        <f>Sel_Idx-F8</f>
        <v>24320</v>
      </c>
      <c r="H8" s="36">
        <f>SUMIFS(L_VParc,L_Tipo,"Receita",L_IIni,"&lt;="&amp;(G8),L_IFim,"&gt;="&amp;(G8))</f>
        <v>15182.06</v>
      </c>
      <c r="I8" s="36">
        <f>SUMIFS(L_VParc,L_Tipo,"Despesa",L_IIni,"&lt;="&amp;(G8),L_IFim,"&gt;="&amp;(G8))</f>
        <v>11666.2</v>
      </c>
      <c r="J8" s="36">
        <f>SUMIFS(L_VParc,L_Tipo,"Investimento",L_IIni,"&lt;="&amp;(G8),L_IFim,"&gt;="&amp;(G8))</f>
        <v>2050</v>
      </c>
      <c r="K8" s="36">
        <f>INDEX(Orc_TotDesp,MOD(G8-1,12)+1)</f>
        <v>12600</v>
      </c>
      <c r="L8" s="14">
        <f>IF(H8&gt;0,IF((H8-I8)/H8&gt;=Cfg_MetaPoup,1,0),0)</f>
        <v>1</v>
      </c>
      <c r="M8" s="14">
        <f>IF(AND(K8&gt;0,I8&gt;0,I8&lt;=K8),1,0)</f>
        <v>1</v>
      </c>
      <c r="N8" s="14">
        <f>IF(J8&gt;0,1,0)</f>
        <v>1</v>
      </c>
      <c r="O8" s="14">
        <f>IF(AND(O7=1,L8=1),2,O7)</f>
        <v>0</v>
      </c>
      <c r="Q8" s="14" t="str">
        <f>IF(INDEX(CatD_Nome,2)="","",INDEX(CatD_Nome,2))</f>
        <v>Alimentação</v>
      </c>
      <c r="R8" s="14" t="str">
        <f>INDEX(CatD_Nat,2)&amp;""</f>
        <v>Variável</v>
      </c>
      <c r="S8" s="36">
        <f>IF(Q8="",0,(SUMIFS(L_VParc,L_Tipo,"Despesa",L_Cat,$Q8,L_IIni,"&lt;="&amp;(Cfg_Idx-1),L_IFim,"&gt;="&amp;(Cfg_Idx-1))+SUMIFS(L_VParc,L_Tipo,"Despesa",L_Cat,$Q8,L_IIni,"&lt;="&amp;(Cfg_Idx-2),L_IFim,"&gt;="&amp;(Cfg_Idx-2))+SUMIFS(L_VParc,L_Tipo,"Despesa",L_Cat,$Q8,L_IIni,"&lt;="&amp;(Cfg_Idx-3),L_IFim,"&gt;="&amp;(Cfg_Idx-3)))/3)</f>
        <v>1615.89666666667</v>
      </c>
      <c r="T8" s="124">
        <f>IF(INDEX(Orc_Real,2)&gt;0,INDEX(Orc_Real,2)+ROW()/1000000000,0)</f>
        <v>1748.550000008</v>
      </c>
      <c r="U8" s="36">
        <f>INDEX(Orc_Real,2)</f>
        <v>1748.55</v>
      </c>
      <c r="W8" s="14" t="n">
        <v>2</v>
      </c>
      <c r="X8" s="14" t="str">
        <f>IF(Y8&gt;0,INDEX(Q$7:Q$24,MATCH(LARGE(T$7:T$24,2),T$7:T$24,0)),"—")</f>
        <v>Dívidas e Financiamentos</v>
      </c>
      <c r="Y8" s="36">
        <f>IFERROR(INDEX(U$7:U$24,MATCH(LARGE(T$7:T$24,2),T$7:T$24,0)),0)</f>
        <v>2190</v>
      </c>
      <c r="AA8" s="124">
        <f>IF(OR(INDEX(Orc_Plan,2)&gt;0,INDEX(Orc_Real,2)&gt;0),MAX(INDEX(Orc_Plan,2),INDEX(Orc_Real,2))+ROW()/1000000000,0)</f>
        <v>1800.000000008</v>
      </c>
      <c r="AB8" s="14" t="n">
        <v>2</v>
      </c>
      <c r="AC8" s="14" t="str">
        <f>IFERROR(IF(LARGE(AA$7:AA$24,2)&gt;0,INDEX(Q$7:Q$24,MATCH(LARGE(AA$7:AA$24,2),AA$7:AA$24,0)),"—"),"—")</f>
        <v>Dívidas e Financiamentos</v>
      </c>
      <c r="AD8" s="36">
        <f>IFERROR(IF(LARGE(AA$7:AA$24,2)&gt;0,INDEX(Orc_Plan,MATCH(LARGE(AA$7:AA$24,2),AA$7:AA$24,0)),0),0)</f>
        <v>2200</v>
      </c>
      <c r="AE8" s="36">
        <f>IFERROR(IF(LARGE(AA$7:AA$24,2)&gt;0,INDEX(Orc_Real,MATCH(LARGE(AA$7:AA$24,2),AA$7:AA$24,0)),0),0)</f>
        <v>2190</v>
      </c>
      <c r="AH8" s="14" t="str">
        <f>IF(Cal_Atraso&gt;0,"🔴 Você tem R$ "&amp;FIXED(Cal_Atraso,0)&amp;" em contas atrasadas (veja CALENDÁRIO DE CONTAS).","")</f>
        <v/>
      </c>
      <c r="AI8" s="40">
        <f>N(AI7)+IF(AH8&lt;&gt;"",1,0)</f>
        <v>0</v>
      </c>
    </row>
    <row r="9">
      <c r="B9" s="17" t="inlineStr">
        <is>
          <t>Mês atual (1-12)</t>
        </is>
      </c>
      <c r="C9" s="100">
        <f>IF(Cfg_MesIn="",MONTH(Cfg_Hoje),IFERROR(MATCH(Cfg_MesIn,Lista_Meses,0),MONTH(Cfg_Hoje)))</f>
        <v>10</v>
      </c>
      <c r="F9" s="14" t="n">
        <v>2</v>
      </c>
      <c r="G9" s="14">
        <f>Sel_Idx-F9</f>
        <v>24319</v>
      </c>
      <c r="H9" s="36">
        <f>SUMIFS(L_VParc,L_Tipo,"Receita",L_IIni,"&lt;="&amp;(G9),L_IFim,"&gt;="&amp;(G9))</f>
        <v>12779.08</v>
      </c>
      <c r="I9" s="36">
        <f>SUMIFS(L_VParc,L_Tipo,"Despesa",L_IIni,"&lt;="&amp;(G9),L_IFim,"&gt;="&amp;(G9))</f>
        <v>10442.05</v>
      </c>
      <c r="J9" s="36">
        <f>SUMIFS(L_VParc,L_Tipo,"Investimento",L_IIni,"&lt;="&amp;(G9),L_IFim,"&gt;="&amp;(G9))</f>
        <v>2050</v>
      </c>
      <c r="K9" s="36">
        <f>INDEX(Orc_TotDesp,MOD(G9-1,12)+1)</f>
        <v>12600</v>
      </c>
      <c r="L9" s="14">
        <f>IF(H9&gt;0,IF((H9-I9)/H9&gt;=Cfg_MetaPoup,1,0),0)</f>
        <v>0</v>
      </c>
      <c r="M9" s="14">
        <f>IF(AND(K9&gt;0,I9&gt;0,I9&lt;=K9),1,0)</f>
        <v>1</v>
      </c>
      <c r="N9" s="14">
        <f>IF(J9&gt;0,1,0)</f>
        <v>1</v>
      </c>
      <c r="O9" s="14">
        <f>IF(AND(O8=2,L9=1),3,O8)</f>
        <v>0</v>
      </c>
      <c r="Q9" s="14" t="str">
        <f>IF(INDEX(CatD_Nome,3)="","",INDEX(CatD_Nome,3))</f>
        <v>Transporte</v>
      </c>
      <c r="R9" s="14" t="str">
        <f>INDEX(CatD_Nat,3)&amp;""</f>
        <v>Variável</v>
      </c>
      <c r="S9" s="36">
        <f>IF(Q9="",0,(SUMIFS(L_VParc,L_Tipo,"Despesa",L_Cat,$Q9,L_IIni,"&lt;="&amp;(Cfg_Idx-1),L_IFim,"&gt;="&amp;(Cfg_Idx-1))+SUMIFS(L_VParc,L_Tipo,"Despesa",L_Cat,$Q9,L_IIni,"&lt;="&amp;(Cfg_Idx-2),L_IFim,"&gt;="&amp;(Cfg_Idx-2))+SUMIFS(L_VParc,L_Tipo,"Despesa",L_Cat,$Q9,L_IIni,"&lt;="&amp;(Cfg_Idx-3),L_IFim,"&gt;="&amp;(Cfg_Idx-3)))/3)</f>
        <v>461.583333333333</v>
      </c>
      <c r="T9" s="124">
        <f>IF(INDEX(Orc_Real,3)&gt;0,INDEX(Orc_Real,3)+ROW()/1000000000,0)</f>
        <v>482.600000009</v>
      </c>
      <c r="U9" s="36">
        <f>INDEX(Orc_Real,3)</f>
        <v>482.6</v>
      </c>
      <c r="W9" s="14" t="n">
        <v>3</v>
      </c>
      <c r="X9" s="14" t="str">
        <f>IF(Y9&gt;0,INDEX(Q$7:Q$24,MATCH(LARGE(T$7:T$24,3),T$7:T$24,0)),"—")</f>
        <v>Alimentação</v>
      </c>
      <c r="Y9" s="36">
        <f>IFERROR(INDEX(U$7:U$24,MATCH(LARGE(T$7:T$24,3),T$7:T$24,0)),0)</f>
        <v>1748.55</v>
      </c>
      <c r="AA9" s="124">
        <f>IF(OR(INDEX(Orc_Plan,3)&gt;0,INDEX(Orc_Real,3)&gt;0),MAX(INDEX(Orc_Plan,3),INDEX(Orc_Real,3))+ROW()/1000000000,0)</f>
        <v>900.000000009</v>
      </c>
      <c r="AB9" s="14" t="n">
        <v>3</v>
      </c>
      <c r="AC9" s="14" t="str">
        <f>IFERROR(IF(LARGE(AA$7:AA$24,3)&gt;0,INDEX(Q$7:Q$24,MATCH(LARGE(AA$7:AA$24,3),AA$7:AA$24,0)),"—"),"—")</f>
        <v>Alimentação</v>
      </c>
      <c r="AD9" s="36">
        <f>IFERROR(IF(LARGE(AA$7:AA$24,3)&gt;0,INDEX(Orc_Plan,MATCH(LARGE(AA$7:AA$24,3),AA$7:AA$24,0)),0),0)</f>
        <v>1800</v>
      </c>
      <c r="AE9" s="36">
        <f>IFERROR(IF(LARGE(AA$7:AA$24,3)&gt;0,INDEX(Orc_Real,MATCH(LARGE(AA$7:AA$24,3),AA$7:AA$24,0)),0),0)</f>
        <v>1748.55</v>
      </c>
      <c r="AH9" s="14" t="str">
        <f>IF(AND(K_Med3Desp&gt;0,K_ReservaMeses&lt;K_MesesAlvo),"🟡 Reserva cobre apenas "&amp;FIXED(K_ReservaMeses,1)&amp;" meses (meta: "&amp;K_MesesAlvo&amp;").","")</f>
        <v>🟡 Reserva cobre apenas 4.3 meses (meta: 6).</v>
      </c>
      <c r="AI9" s="40">
        <f>N(AI8)+IF(AH9&lt;&gt;"",1,0)</f>
        <v>1</v>
      </c>
    </row>
    <row r="10">
      <c r="B10" s="17" t="inlineStr">
        <is>
          <t>Índice do mês atual (ano*12+mês)</t>
        </is>
      </c>
      <c r="C10" s="100">
        <f>Cfg_Ano*12+Cfg_Mes</f>
        <v>24322</v>
      </c>
      <c r="F10" s="14" t="n">
        <v>3</v>
      </c>
      <c r="G10" s="14">
        <f>Sel_Idx-F10</f>
        <v>24318</v>
      </c>
      <c r="H10" s="36">
        <f>SUMIFS(L_VParc,L_Tipo,"Receita",L_IIni,"&lt;="&amp;(G10),L_IFim,"&gt;="&amp;(G10))</f>
        <v>15168.69</v>
      </c>
      <c r="I10" s="36">
        <f>SUMIFS(L_VParc,L_Tipo,"Despesa",L_IIni,"&lt;="&amp;(G10),L_IFim,"&gt;="&amp;(G10))</f>
        <v>10762.65</v>
      </c>
      <c r="J10" s="36">
        <f>SUMIFS(L_VParc,L_Tipo,"Investimento",L_IIni,"&lt;="&amp;(G10),L_IFim,"&gt;="&amp;(G10))</f>
        <v>2050</v>
      </c>
      <c r="K10" s="36">
        <f>INDEX(Orc_TotDesp,MOD(G10-1,12)+1)</f>
        <v>12600</v>
      </c>
      <c r="L10" s="14">
        <f>IF(H10&gt;0,IF((H10-I10)/H10&gt;=Cfg_MetaPoup,1,0),0)</f>
        <v>1</v>
      </c>
      <c r="M10" s="14">
        <f>IF(AND(K10&gt;0,I10&gt;0,I10&lt;=K10),1,0)</f>
        <v>1</v>
      </c>
      <c r="N10" s="14">
        <f>IF(J10&gt;0,1,0)</f>
        <v>1</v>
      </c>
      <c r="O10" s="14">
        <f>IF(AND(O9=3,L10=1),4,O9)</f>
        <v>0</v>
      </c>
      <c r="Q10" s="14" t="str">
        <f>IF(INDEX(CatD_Nome,4)="","",INDEX(CatD_Nome,4))</f>
        <v>Saúde</v>
      </c>
      <c r="R10" s="14" t="str">
        <f>INDEX(CatD_Nat,4)&amp;""</f>
        <v>Variável</v>
      </c>
      <c r="S10" s="36">
        <f>IF(Q10="",0,(SUMIFS(L_VParc,L_Tipo,"Despesa",L_Cat,$Q10,L_IIni,"&lt;="&amp;(Cfg_Idx-1),L_IFim,"&gt;="&amp;(Cfg_Idx-1))+SUMIFS(L_VParc,L_Tipo,"Despesa",L_Cat,$Q10,L_IIni,"&lt;="&amp;(Cfg_Idx-2),L_IFim,"&gt;="&amp;(Cfg_Idx-2))+SUMIFS(L_VParc,L_Tipo,"Despesa",L_Cat,$Q10,L_IIni,"&lt;="&amp;(Cfg_Idx-3),L_IFim,"&gt;="&amp;(Cfg_Idx-3)))/3)</f>
        <v>984.306666666667</v>
      </c>
      <c r="T10" s="124">
        <f>IF(INDEX(Orc_Real,4)&gt;0,INDEX(Orc_Real,4)+ROW()/1000000000,0)</f>
        <v>1169.25000001</v>
      </c>
      <c r="U10" s="36">
        <f>INDEX(Orc_Real,4)</f>
        <v>1169.25</v>
      </c>
      <c r="W10" s="14" t="n">
        <v>4</v>
      </c>
      <c r="X10" s="14" t="str">
        <f>IF(Y10&gt;0,INDEX(Q$7:Q$24,MATCH(LARGE(T$7:T$24,4),T$7:T$24,0)),"—")</f>
        <v>Lazer</v>
      </c>
      <c r="Y10" s="36">
        <f>IFERROR(INDEX(U$7:U$24,MATCH(LARGE(T$7:T$24,4),T$7:T$24,0)),0)</f>
        <v>1651.19</v>
      </c>
      <c r="AA10" s="124">
        <f>IF(OR(INDEX(Orc_Plan,4)&gt;0,INDEX(Orc_Real,4)&gt;0),MAX(INDEX(Orc_Plan,4),INDEX(Orc_Real,4))+ROW()/1000000000,0)</f>
        <v>1169.25000001</v>
      </c>
      <c r="AB10" s="14" t="n">
        <v>4</v>
      </c>
      <c r="AC10" s="14" t="str">
        <f>IFERROR(IF(LARGE(AA$7:AA$24,4)&gt;0,INDEX(Q$7:Q$24,MATCH(LARGE(AA$7:AA$24,4),AA$7:AA$24,0)),"—"),"—")</f>
        <v>Lazer</v>
      </c>
      <c r="AD10" s="36">
        <f>IFERROR(IF(LARGE(AA$7:AA$24,4)&gt;0,INDEX(Orc_Plan,MATCH(LARGE(AA$7:AA$24,4),AA$7:AA$24,0)),0),0)</f>
        <v>700</v>
      </c>
      <c r="AE10" s="36">
        <f>IFERROR(IF(LARGE(AA$7:AA$24,4)&gt;0,INDEX(Orc_Real,MATCH(LARGE(AA$7:AA$24,4),AA$7:AA$24,0)),0),0)</f>
        <v>1651.19</v>
      </c>
      <c r="AH10" s="14" t="str">
        <f>IF(AND(Div_ParcTot&gt;0,Div_PctParc&gt;Div_Lim),"🔴 Parcelas de dívidas = "&amp;ROUND(Div_PctParc*100,0)&amp;"% da renda (limite: "&amp;ROUND(Div_Lim*100,0)&amp;"%).","")</f>
        <v/>
      </c>
      <c r="AI10" s="40">
        <f>N(AI9)+IF(AH10&lt;&gt;"",1,0)</f>
        <v>1</v>
      </c>
    </row>
    <row r="11">
      <c r="B11" s="17" t="inlineStr">
        <is>
          <t>Mês selecionado no Dashboard (1-12)</t>
        </is>
      </c>
      <c r="C11" s="100">
        <f>IF(Dash_Mes="",Cfg_Mes,IFERROR(MATCH(Dash_Mes,Lista_Meses,0),Cfg_Mes))</f>
        <v>9</v>
      </c>
      <c r="F11" s="14" t="n">
        <v>4</v>
      </c>
      <c r="G11" s="14">
        <f>Sel_Idx-F11</f>
        <v>24317</v>
      </c>
      <c r="H11" s="36">
        <f>SUMIFS(L_VParc,L_Tipo,"Receita",L_IIni,"&lt;="&amp;(G11),L_IFim,"&gt;="&amp;(G11))</f>
        <v>13124.35</v>
      </c>
      <c r="I11" s="36">
        <f>SUMIFS(L_VParc,L_Tipo,"Despesa",L_IIni,"&lt;="&amp;(G11),L_IFim,"&gt;="&amp;(G11))</f>
        <v>10000.45</v>
      </c>
      <c r="J11" s="36">
        <f>SUMIFS(L_VParc,L_Tipo,"Investimento",L_IIni,"&lt;="&amp;(G11),L_IFim,"&gt;="&amp;(G11))</f>
        <v>2050</v>
      </c>
      <c r="K11" s="36">
        <f>INDEX(Orc_TotDesp,MOD(G11-1,12)+1)</f>
        <v>12600</v>
      </c>
      <c r="L11" s="14">
        <f>IF(H11&gt;0,IF((H11-I11)/H11&gt;=Cfg_MetaPoup,1,0),0)</f>
        <v>1</v>
      </c>
      <c r="M11" s="14">
        <f>IF(AND(K11&gt;0,I11&gt;0,I11&lt;=K11),1,0)</f>
        <v>1</v>
      </c>
      <c r="N11" s="14">
        <f>IF(J11&gt;0,1,0)</f>
        <v>1</v>
      </c>
      <c r="O11" s="14">
        <f>IF(AND(O10=4,L11=1),5,O10)</f>
        <v>0</v>
      </c>
      <c r="Q11" s="14" t="str">
        <f>IF(INDEX(CatD_Nome,5)="","",INDEX(CatD_Nome,5))</f>
        <v>Educação</v>
      </c>
      <c r="R11" s="14" t="str">
        <f>INDEX(CatD_Nat,5)&amp;""</f>
        <v>Fixa</v>
      </c>
      <c r="S11" s="36">
        <f>IF(Q11="",0,(SUMIFS(L_VParc,L_Tipo,"Despesa",L_Cat,$Q11,L_IIni,"&lt;="&amp;(Cfg_Idx-1),L_IFim,"&gt;="&amp;(Cfg_Idx-1))+SUMIFS(L_VParc,L_Tipo,"Despesa",L_Cat,$Q11,L_IIni,"&lt;="&amp;(Cfg_Idx-2),L_IFim,"&gt;="&amp;(Cfg_Idx-2))+SUMIFS(L_VParc,L_Tipo,"Despesa",L_Cat,$Q11,L_IIni,"&lt;="&amp;(Cfg_Idx-3),L_IFim,"&gt;="&amp;(Cfg_Idx-3)))/3)</f>
        <v>390</v>
      </c>
      <c r="T11" s="124">
        <f>IF(INDEX(Orc_Real,5)&gt;0,INDEX(Orc_Real,5)+ROW()/1000000000,0)</f>
        <v>390.000000011</v>
      </c>
      <c r="U11" s="36">
        <f>INDEX(Orc_Real,5)</f>
        <v>390</v>
      </c>
      <c r="W11" s="14" t="n">
        <v>5</v>
      </c>
      <c r="X11" s="14" t="str">
        <f>IF(Y11&gt;0,INDEX(Q$7:Q$24,MATCH(LARGE(T$7:T$24,5),T$7:T$24,0)),"—")</f>
        <v>Saúde</v>
      </c>
      <c r="Y11" s="36">
        <f>IFERROR(INDEX(U$7:U$24,MATCH(LARGE(T$7:T$24,5),T$7:T$24,0)),0)</f>
        <v>1169.25</v>
      </c>
      <c r="AA11" s="124">
        <f>IF(OR(INDEX(Orc_Plan,5)&gt;0,INDEX(Orc_Real,5)&gt;0),MAX(INDEX(Orc_Plan,5),INDEX(Orc_Real,5))+ROW()/1000000000,0)</f>
        <v>450.000000011</v>
      </c>
      <c r="AB11" s="14" t="n">
        <v>5</v>
      </c>
      <c r="AC11" s="14" t="str">
        <f>IFERROR(IF(LARGE(AA$7:AA$24,5)&gt;0,INDEX(Q$7:Q$24,MATCH(LARGE(AA$7:AA$24,5),AA$7:AA$24,0)),"—"),"—")</f>
        <v>Saúde</v>
      </c>
      <c r="AD11" s="36">
        <f>IFERROR(IF(LARGE(AA$7:AA$24,5)&gt;0,INDEX(Orc_Plan,MATCH(LARGE(AA$7:AA$24,5),AA$7:AA$24,0)),0),0)</f>
        <v>1100</v>
      </c>
      <c r="AE11" s="36">
        <f>IFERROR(IF(LARGE(AA$7:AA$24,5)&gt;0,INDEX(Orc_Real,MATCH(LARGE(AA$7:AA$24,5),AA$7:AA$24,0)),0),0)</f>
        <v>1169.25</v>
      </c>
      <c r="AH11" s="14" t="str">
        <f>IF(INDEX(Meta_Status,1)="Atrasada","🔴 Meta "&amp;INDEX(Meta_Nome,1)&amp;" está atrasada: faltam R$ "&amp;FIXED(MAX(0,INDEX(Meta_Nec,1)-INDEX(Meta_Ritmo,1)),0)&amp;" por mês para recuperar.","")</f>
        <v/>
      </c>
      <c r="AI11" s="40">
        <f>N(AI10)+IF(AH11&lt;&gt;"",1,0)</f>
        <v>1</v>
      </c>
    </row>
    <row r="12">
      <c r="B12" s="17" t="inlineStr">
        <is>
          <t>Ano selecionado no Dashboard</t>
        </is>
      </c>
      <c r="C12" s="100">
        <f>IF(N(Dash_Ano)=0,Cfg_Ano,Dash_Ano)</f>
        <v>2026</v>
      </c>
      <c r="F12" s="14" t="n">
        <v>5</v>
      </c>
      <c r="G12" s="14">
        <f>Sel_Idx-F12</f>
        <v>24316</v>
      </c>
      <c r="H12" s="36">
        <f>SUMIFS(L_VParc,L_Tipo,"Receita",L_IIni,"&lt;="&amp;(G12),L_IFim,"&gt;="&amp;(G12))</f>
        <v>15161.33</v>
      </c>
      <c r="I12" s="36">
        <f>SUMIFS(L_VParc,L_Tipo,"Despesa",L_IIni,"&lt;="&amp;(G12),L_IFim,"&gt;="&amp;(G12))</f>
        <v>11255.89</v>
      </c>
      <c r="J12" s="36">
        <f>SUMIFS(L_VParc,L_Tipo,"Investimento",L_IIni,"&lt;="&amp;(G12),L_IFim,"&gt;="&amp;(G12))</f>
        <v>2050</v>
      </c>
      <c r="K12" s="36">
        <f>INDEX(Orc_TotDesp,MOD(G12-1,12)+1)</f>
        <v>12600</v>
      </c>
      <c r="L12" s="14">
        <f>IF(H12&gt;0,IF((H12-I12)/H12&gt;=Cfg_MetaPoup,1,0),0)</f>
        <v>1</v>
      </c>
      <c r="M12" s="14">
        <f>IF(AND(K12&gt;0,I12&gt;0,I12&lt;=K12),1,0)</f>
        <v>1</v>
      </c>
      <c r="N12" s="14">
        <f>IF(J12&gt;0,1,0)</f>
        <v>1</v>
      </c>
      <c r="O12" s="14">
        <f>IF(AND(O11=5,L12=1),6,O11)</f>
        <v>0</v>
      </c>
      <c r="Q12" s="14" t="str">
        <f>IF(INDEX(CatD_Nome,6)="","",INDEX(CatD_Nome,6))</f>
        <v>Lazer</v>
      </c>
      <c r="R12" s="14" t="str">
        <f>INDEX(CatD_Nat,6)&amp;""</f>
        <v>Variável</v>
      </c>
      <c r="S12" s="36">
        <f>IF(Q12="",0,(SUMIFS(L_VParc,L_Tipo,"Despesa",L_Cat,$Q12,L_IIni,"&lt;="&amp;(Cfg_Idx-1),L_IFim,"&gt;="&amp;(Cfg_Idx-1))+SUMIFS(L_VParc,L_Tipo,"Despesa",L_Cat,$Q12,L_IIni,"&lt;="&amp;(Cfg_Idx-2),L_IFim,"&gt;="&amp;(Cfg_Idx-2))+SUMIFS(L_VParc,L_Tipo,"Despesa",L_Cat,$Q12,L_IIni,"&lt;="&amp;(Cfg_Idx-3),L_IFim,"&gt;="&amp;(Cfg_Idx-3)))/3)</f>
        <v>835.3</v>
      </c>
      <c r="T12" s="124">
        <f>IF(INDEX(Orc_Real,6)&gt;0,INDEX(Orc_Real,6)+ROW()/1000000000,0)</f>
        <v>1651.190000012</v>
      </c>
      <c r="U12" s="36">
        <f>INDEX(Orc_Real,6)</f>
        <v>1651.19</v>
      </c>
      <c r="W12" s="14" t="n">
        <v>6</v>
      </c>
      <c r="X12" s="14" t="str">
        <f>IF(Y12&gt;0,INDEX(Q$7:Q$24,MATCH(LARGE(T$7:T$24,6),T$7:T$24,0)),"—")</f>
        <v>Transporte</v>
      </c>
      <c r="Y12" s="36">
        <f>IFERROR(INDEX(U$7:U$24,MATCH(LARGE(T$7:T$24,6),T$7:T$24,0)),0)</f>
        <v>482.6</v>
      </c>
      <c r="AA12" s="124">
        <f>IF(OR(INDEX(Orc_Plan,6)&gt;0,INDEX(Orc_Real,6)&gt;0),MAX(INDEX(Orc_Plan,6),INDEX(Orc_Real,6))+ROW()/1000000000,0)</f>
        <v>1651.190000012</v>
      </c>
      <c r="AB12" s="14" t="n">
        <v>6</v>
      </c>
      <c r="AC12" s="14" t="str">
        <f>IFERROR(IF(LARGE(AA$7:AA$24,6)&gt;0,INDEX(Q$7:Q$24,MATCH(LARGE(AA$7:AA$24,6),AA$7:AA$24,0)),"—"),"—")</f>
        <v>Transporte</v>
      </c>
      <c r="AD12" s="36">
        <f>IFERROR(IF(LARGE(AA$7:AA$24,6)&gt;0,INDEX(Orc_Plan,MATCH(LARGE(AA$7:AA$24,6),AA$7:AA$24,0)),0),0)</f>
        <v>900</v>
      </c>
      <c r="AE12" s="36">
        <f>IFERROR(IF(LARGE(AA$7:AA$24,6)&gt;0,INDEX(Orc_Real,MATCH(LARGE(AA$7:AA$24,6),AA$7:AA$24,0)),0),0)</f>
        <v>482.6</v>
      </c>
      <c r="AH12" s="14" t="str">
        <f>IF(INDEX(Meta_Status,2)="Atrasada","🔴 Meta "&amp;INDEX(Meta_Nome,2)&amp;" está atrasada: faltam R$ "&amp;FIXED(MAX(0,INDEX(Meta_Nec,2)-INDEX(Meta_Ritmo,2)),0)&amp;" por mês para recuperar.","")</f>
        <v>🔴 Meta Viagem Europa está atrasada: faltam R$ 933 por mês para recuperar.</v>
      </c>
      <c r="AI12" s="40">
        <f>N(AI11)+IF(AH12&lt;&gt;"",1,0)</f>
        <v>2</v>
      </c>
    </row>
    <row r="13">
      <c r="B13" s="17" t="inlineStr">
        <is>
          <t>Índice do mês selecionado</t>
        </is>
      </c>
      <c r="C13" s="100">
        <f>Sel_Ano*12+Sel_Mes</f>
        <v>24321</v>
      </c>
      <c r="F13" s="14" t="n">
        <v>6</v>
      </c>
      <c r="G13" s="14">
        <f>Sel_Idx-F13</f>
        <v>24315</v>
      </c>
      <c r="H13" s="36">
        <f>SUMIFS(L_VParc,L_Tipo,"Receita",L_IIni,"&lt;="&amp;(G13),L_IFim,"&gt;="&amp;(G13))</f>
        <v>12771.57</v>
      </c>
      <c r="I13" s="36">
        <f>SUMIFS(L_VParc,L_Tipo,"Despesa",L_IIni,"&lt;="&amp;(G13),L_IFim,"&gt;="&amp;(G13))</f>
        <v>10709.55</v>
      </c>
      <c r="J13" s="36">
        <f>SUMIFS(L_VParc,L_Tipo,"Investimento",L_IIni,"&lt;="&amp;(G13),L_IFim,"&gt;="&amp;(G13))</f>
        <v>1650</v>
      </c>
      <c r="K13" s="36">
        <f>INDEX(Orc_TotDesp,MOD(G13-1,12)+1)</f>
        <v>12600</v>
      </c>
      <c r="L13" s="14">
        <f>IF(H13&gt;0,IF((H13-I13)/H13&gt;=Cfg_MetaPoup,1,0),0)</f>
        <v>0</v>
      </c>
      <c r="M13" s="14">
        <f>IF(AND(K13&gt;0,I13&gt;0,I13&lt;=K13),1,0)</f>
        <v>1</v>
      </c>
      <c r="N13" s="14">
        <f>IF(J13&gt;0,1,0)</f>
        <v>1</v>
      </c>
      <c r="O13" s="14">
        <f>IF(AND(O12=6,L13=1),7,O12)</f>
        <v>0</v>
      </c>
      <c r="Q13" s="14" t="str">
        <f>IF(INDEX(CatD_Nome,7)="","",INDEX(CatD_Nome,7))</f>
        <v>Assinaturas</v>
      </c>
      <c r="R13" s="14" t="str">
        <f>INDEX(CatD_Nat,7)&amp;""</f>
        <v>Fixa</v>
      </c>
      <c r="S13" s="36">
        <f>IF(Q13="",0,(SUMIFS(L_VParc,L_Tipo,"Despesa",L_Cat,$Q13,L_IIni,"&lt;="&amp;(Cfg_Idx-1),L_IFim,"&gt;="&amp;(Cfg_Idx-1))+SUMIFS(L_VParc,L_Tipo,"Despesa",L_Cat,$Q13,L_IIni,"&lt;="&amp;(Cfg_Idx-2),L_IFim,"&gt;="&amp;(Cfg_Idx-2))+SUMIFS(L_VParc,L_Tipo,"Despesa",L_Cat,$Q13,L_IIni,"&lt;="&amp;(Cfg_Idx-3),L_IFim,"&gt;="&amp;(Cfg_Idx-3)))/3)</f>
        <v>221.7</v>
      </c>
      <c r="T13" s="124">
        <f>IF(INDEX(Orc_Real,7)&gt;0,INDEX(Orc_Real,7)+ROW()/1000000000,0)</f>
        <v>221.700000013</v>
      </c>
      <c r="U13" s="36">
        <f>INDEX(Orc_Real,7)</f>
        <v>221.7</v>
      </c>
      <c r="W13" s="14" t="n">
        <v>7</v>
      </c>
      <c r="X13" s="14" t="str">
        <f>IF(Y13&gt;0,INDEX(Q$7:Q$24,MATCH(LARGE(T$7:T$24,7),T$7:T$24,0)),"—")</f>
        <v>Educação</v>
      </c>
      <c r="Y13" s="36">
        <f>IFERROR(INDEX(U$7:U$24,MATCH(LARGE(T$7:T$24,7),T$7:T$24,0)),0)</f>
        <v>390</v>
      </c>
      <c r="AA13" s="124">
        <f>IF(OR(INDEX(Orc_Plan,7)&gt;0,INDEX(Orc_Real,7)&gt;0),MAX(INDEX(Orc_Plan,7),INDEX(Orc_Real,7))+ROW()/1000000000,0)</f>
        <v>300.000000013</v>
      </c>
      <c r="AB13" s="14" t="n">
        <v>7</v>
      </c>
      <c r="AC13" s="14" t="str">
        <f>IFERROR(IF(LARGE(AA$7:AA$24,7)&gt;0,INDEX(Q$7:Q$24,MATCH(LARGE(AA$7:AA$24,7),AA$7:AA$24,0)),"—"),"—")</f>
        <v>Família/Pets</v>
      </c>
      <c r="AD13" s="36">
        <f>IFERROR(IF(LARGE(AA$7:AA$24,7)&gt;0,INDEX(Orc_Plan,MATCH(LARGE(AA$7:AA$24,7),AA$7:AA$24,0)),0),0)</f>
        <v>450</v>
      </c>
      <c r="AE13" s="36">
        <f>IFERROR(IF(LARGE(AA$7:AA$24,7)&gt;0,INDEX(Orc_Real,MATCH(LARGE(AA$7:AA$24,7),AA$7:AA$24,0)),0),0)</f>
        <v>207.96</v>
      </c>
      <c r="AH13" s="14" t="str">
        <f>IF(INDEX(Meta_Status,3)="Atrasada","🔴 Meta "&amp;INDEX(Meta_Nome,3)&amp;" está atrasada: faltam R$ "&amp;FIXED(MAX(0,INDEX(Meta_Nec,3)-INDEX(Meta_Ritmo,3)),0)&amp;" por mês para recuperar.","")</f>
        <v/>
      </c>
      <c r="AI13" s="40">
        <f>N(AI12)+IF(AH13&lt;&gt;"",1,0)</f>
        <v>2</v>
      </c>
    </row>
    <row r="14">
      <c r="B14" s="17" t="inlineStr">
        <is>
          <t>Primeiro dia do mês selecionado</t>
        </is>
      </c>
      <c r="C14" s="125">
        <f>DATE(Sel_Ano,Sel_Mes,1)</f>
        <v>46266.0</v>
      </c>
      <c r="F14" s="14" t="n">
        <v>7</v>
      </c>
      <c r="G14" s="14">
        <f>Sel_Idx-F14</f>
        <v>24314</v>
      </c>
      <c r="H14" s="36">
        <f>SUMIFS(L_VParc,L_Tipo,"Receita",L_IIni,"&lt;="&amp;(G14),L_IFim,"&gt;="&amp;(G14))</f>
        <v>14563.38</v>
      </c>
      <c r="I14" s="36">
        <f>SUMIFS(L_VParc,L_Tipo,"Despesa",L_IIni,"&lt;="&amp;(G14),L_IFim,"&gt;="&amp;(G14))</f>
        <v>10402.84</v>
      </c>
      <c r="J14" s="36">
        <f>SUMIFS(L_VParc,L_Tipo,"Investimento",L_IIni,"&lt;="&amp;(G14),L_IFim,"&gt;="&amp;(G14))</f>
        <v>1650</v>
      </c>
      <c r="K14" s="36">
        <f>INDEX(Orc_TotDesp,MOD(G14-1,12)+1)</f>
        <v>12600</v>
      </c>
      <c r="L14" s="14">
        <f>IF(H14&gt;0,IF((H14-I14)/H14&gt;=Cfg_MetaPoup,1,0),0)</f>
        <v>1</v>
      </c>
      <c r="M14" s="14">
        <f>IF(AND(K14&gt;0,I14&gt;0,I14&lt;=K14),1,0)</f>
        <v>1</v>
      </c>
      <c r="N14" s="14">
        <f>IF(J14&gt;0,1,0)</f>
        <v>1</v>
      </c>
      <c r="O14" s="14">
        <f>IF(AND(O13=7,L14=1),8,O13)</f>
        <v>0</v>
      </c>
      <c r="Q14" s="14" t="str">
        <f>IF(INDEX(CatD_Nome,8)="","",INDEX(CatD_Nome,8))</f>
        <v>Vestuário</v>
      </c>
      <c r="R14" s="14" t="str">
        <f>INDEX(CatD_Nat,8)&amp;""</f>
        <v>Variável</v>
      </c>
      <c r="S14" s="36">
        <f>IF(Q14="",0,(SUMIFS(L_VParc,L_Tipo,"Despesa",L_Cat,$Q14,L_IIni,"&lt;="&amp;(Cfg_Idx-1),L_IFim,"&gt;="&amp;(Cfg_Idx-1))+SUMIFS(L_VParc,L_Tipo,"Despesa",L_Cat,$Q14,L_IIni,"&lt;="&amp;(Cfg_Idx-2),L_IFim,"&gt;="&amp;(Cfg_Idx-2))+SUMIFS(L_VParc,L_Tipo,"Despesa",L_Cat,$Q14,L_IIni,"&lt;="&amp;(Cfg_Idx-3),L_IFim,"&gt;="&amp;(Cfg_Idx-3)))/3)</f>
        <v>136.293333333333</v>
      </c>
      <c r="T14" s="124">
        <f>IF(INDEX(Orc_Real,8)&gt;0,INDEX(Orc_Real,8)+ROW()/1000000000,0)</f>
        <v>0</v>
      </c>
      <c r="U14" s="36">
        <f>INDEX(Orc_Real,8)</f>
        <v>0</v>
      </c>
      <c r="W14" s="14" t="n">
        <v>8</v>
      </c>
      <c r="X14" s="14" t="str">
        <f>IF(Y14&gt;0,INDEX(Q$7:Q$24,MATCH(LARGE(T$7:T$24,8),T$7:T$24,0)),"—")</f>
        <v>Outros</v>
      </c>
      <c r="Y14" s="36">
        <f>IFERROR(INDEX(U$7:U$24,MATCH(LARGE(T$7:T$24,8),T$7:T$24,0)),0)</f>
        <v>372.27</v>
      </c>
      <c r="AA14" s="124">
        <f>IF(OR(INDEX(Orc_Plan,8)&gt;0,INDEX(Orc_Real,8)&gt;0),MAX(INDEX(Orc_Plan,8),INDEX(Orc_Real,8))+ROW()/1000000000,0)</f>
        <v>400.000000014</v>
      </c>
      <c r="AB14" s="14" t="n">
        <v>8</v>
      </c>
      <c r="AC14" s="14" t="str">
        <f>IFERROR(IF(LARGE(AA$7:AA$24,8)&gt;0,INDEX(Q$7:Q$24,MATCH(LARGE(AA$7:AA$24,8),AA$7:AA$24,0)),"—"),"—")</f>
        <v>Educação</v>
      </c>
      <c r="AD14" s="36">
        <f>IFERROR(IF(LARGE(AA$7:AA$24,8)&gt;0,INDEX(Orc_Plan,MATCH(LARGE(AA$7:AA$24,8),AA$7:AA$24,0)),0),0)</f>
        <v>450</v>
      </c>
      <c r="AE14" s="36">
        <f>IFERROR(IF(LARGE(AA$7:AA$24,8)&gt;0,INDEX(Orc_Real,MATCH(LARGE(AA$7:AA$24,8),AA$7:AA$24,0)),0),0)</f>
        <v>390</v>
      </c>
      <c r="AH14" s="14" t="str">
        <f>IF(INDEX(Meta_Status,4)="Atrasada","🔴 Meta "&amp;INDEX(Meta_Nome,4)&amp;" está atrasada: faltam R$ "&amp;FIXED(MAX(0,INDEX(Meta_Nec,4)-INDEX(Meta_Ritmo,4)),0)&amp;" por mês para recuperar.","")</f>
        <v>🔴 Meta Entrada do apartamento está atrasada: faltam R$ 339 por mês para recuperar.</v>
      </c>
      <c r="AI14" s="40">
        <f>N(AI13)+IF(AH14&lt;&gt;"",1,0)</f>
        <v>3</v>
      </c>
    </row>
    <row r="15">
      <c r="B15" s="17" t="inlineStr">
        <is>
          <t>Último dia do mês selecionado</t>
        </is>
      </c>
      <c r="C15" s="125">
        <f>DATE(Sel_Ano,Sel_Mes+1,1)-1</f>
        <v>46295.0</v>
      </c>
      <c r="F15" s="14" t="n">
        <v>8</v>
      </c>
      <c r="G15" s="14">
        <f>Sel_Idx-F15</f>
        <v>24313</v>
      </c>
      <c r="H15" s="36">
        <f>SUMIFS(L_VParc,L_Tipo,"Receita",L_IIni,"&lt;="&amp;(G15),L_IFim,"&gt;="&amp;(G15))</f>
        <v>12789.55</v>
      </c>
      <c r="I15" s="36">
        <f>SUMIFS(L_VParc,L_Tipo,"Despesa",L_IIni,"&lt;="&amp;(G15),L_IFim,"&gt;="&amp;(G15))</f>
        <v>9757.76</v>
      </c>
      <c r="J15" s="36">
        <f>SUMIFS(L_VParc,L_Tipo,"Investimento",L_IIni,"&lt;="&amp;(G15),L_IFim,"&gt;="&amp;(G15))</f>
        <v>1650</v>
      </c>
      <c r="K15" s="36">
        <f>INDEX(Orc_TotDesp,MOD(G15-1,12)+1)</f>
        <v>12600</v>
      </c>
      <c r="L15" s="14">
        <f>IF(H15&gt;0,IF((H15-I15)/H15&gt;=Cfg_MetaPoup,1,0),0)</f>
        <v>1</v>
      </c>
      <c r="M15" s="14">
        <f>IF(AND(K15&gt;0,I15&gt;0,I15&lt;=K15),1,0)</f>
        <v>1</v>
      </c>
      <c r="N15" s="14">
        <f>IF(J15&gt;0,1,0)</f>
        <v>1</v>
      </c>
      <c r="O15" s="14">
        <f>IF(AND(O14=8,L15=1),9,O14)</f>
        <v>0</v>
      </c>
      <c r="Q15" s="14" t="str">
        <f>IF(INDEX(CatD_Nome,9)="","",INDEX(CatD_Nome,9))</f>
        <v>Dívidas e Financiamentos</v>
      </c>
      <c r="R15" s="14" t="str">
        <f>INDEX(CatD_Nat,9)&amp;""</f>
        <v>Fixa</v>
      </c>
      <c r="S15" s="36">
        <f>IF(Q15="",0,(SUMIFS(L_VParc,L_Tipo,"Despesa",L_Cat,$Q15,L_IIni,"&lt;="&amp;(Cfg_Idx-1),L_IFim,"&gt;="&amp;(Cfg_Idx-1))+SUMIFS(L_VParc,L_Tipo,"Despesa",L_Cat,$Q15,L_IIni,"&lt;="&amp;(Cfg_Idx-2),L_IFim,"&gt;="&amp;(Cfg_Idx-2))+SUMIFS(L_VParc,L_Tipo,"Despesa",L_Cat,$Q15,L_IIni,"&lt;="&amp;(Cfg_Idx-3),L_IFim,"&gt;="&amp;(Cfg_Idx-3)))/3)</f>
        <v>2190</v>
      </c>
      <c r="T15" s="124">
        <f>IF(INDEX(Orc_Real,9)&gt;0,INDEX(Orc_Real,9)+ROW()/1000000000,0)</f>
        <v>2190.000000015</v>
      </c>
      <c r="U15" s="36">
        <f>INDEX(Orc_Real,9)</f>
        <v>2190</v>
      </c>
      <c r="W15" s="14" t="n">
        <v>9</v>
      </c>
      <c r="X15" s="14" t="inlineStr">
        <is>
          <t>Outras</t>
        </is>
      </c>
      <c r="Y15" s="36">
        <f>MAX(0,K_Desp-SUM(Y7:Y14))</f>
        <v>709.66</v>
      </c>
      <c r="AA15" s="124">
        <f>IF(OR(INDEX(Orc_Plan,9)&gt;0,INDEX(Orc_Real,9)&gt;0),MAX(INDEX(Orc_Plan,9),INDEX(Orc_Real,9))+ROW()/1000000000,0)</f>
        <v>2200.000000015</v>
      </c>
      <c r="AB15" s="14" t="n">
        <v>9</v>
      </c>
      <c r="AC15" s="14" t="str">
        <f>IFERROR(IF(LARGE(AA$7:AA$24,9)&gt;0,INDEX(Q$7:Q$24,MATCH(LARGE(AA$7:AA$24,9),AA$7:AA$24,0)),"—"),"—")</f>
        <v>Vestuário</v>
      </c>
      <c r="AD15" s="36">
        <f>IFERROR(IF(LARGE(AA$7:AA$24,9)&gt;0,INDEX(Orc_Plan,MATCH(LARGE(AA$7:AA$24,9),AA$7:AA$24,0)),0),0)</f>
        <v>400</v>
      </c>
      <c r="AE15" s="36">
        <f>IFERROR(IF(LARGE(AA$7:AA$24,9)&gt;0,INDEX(Orc_Real,MATCH(LARGE(AA$7:AA$24,9),AA$7:AA$24,0)),0),0)</f>
        <v>0</v>
      </c>
      <c r="AH15" s="14" t="str">
        <f>IF(INDEX(Meta_Status,5)="Atrasada","🔴 Meta "&amp;INDEX(Meta_Nome,5)&amp;" está atrasada: faltam R$ "&amp;FIXED(MAX(0,INDEX(Meta_Nec,5)-INDEX(Meta_Ritmo,5)),0)&amp;" por mês para recuperar.","")</f>
        <v/>
      </c>
      <c r="AI15" s="40">
        <f>N(AI14)+IF(AH15&lt;&gt;"",1,0)</f>
        <v>3</v>
      </c>
    </row>
    <row r="16">
      <c r="B16" s="17" t="inlineStr">
        <is>
          <t>Dias do mês selecionado</t>
        </is>
      </c>
      <c r="C16" s="100">
        <f>DAY(Sel_Fim)</f>
        <v>30</v>
      </c>
      <c r="F16" s="14" t="n">
        <v>9</v>
      </c>
      <c r="G16" s="14">
        <f>Sel_Idx-F16</f>
        <v>24312</v>
      </c>
      <c r="H16" s="36">
        <f>SUMIFS(L_VParc,L_Tipo,"Receita",L_IIni,"&lt;="&amp;(G16),L_IFim,"&gt;="&amp;(G16))</f>
        <v>23592.03</v>
      </c>
      <c r="I16" s="36">
        <f>SUMIFS(L_VParc,L_Tipo,"Despesa",L_IIni,"&lt;="&amp;(G16),L_IFim,"&gt;="&amp;(G16))</f>
        <v>10364.57</v>
      </c>
      <c r="J16" s="36">
        <f>SUMIFS(L_VParc,L_Tipo,"Investimento",L_IIni,"&lt;="&amp;(G16),L_IFim,"&gt;="&amp;(G16))</f>
        <v>1500</v>
      </c>
      <c r="K16" s="36">
        <f>INDEX(Orc_TotDesp,MOD(G16-1,12)+1)</f>
        <v>12600</v>
      </c>
      <c r="L16" s="14">
        <f>IF(H16&gt;0,IF((H16-I16)/H16&gt;=Cfg_MetaPoup,1,0),0)</f>
        <v>1</v>
      </c>
      <c r="M16" s="14">
        <f>IF(AND(K16&gt;0,I16&gt;0,I16&lt;=K16),1,0)</f>
        <v>1</v>
      </c>
      <c r="N16" s="14">
        <f>IF(J16&gt;0,1,0)</f>
        <v>1</v>
      </c>
      <c r="O16" s="14">
        <f>IF(AND(O15=9,L16=1),10,O15)</f>
        <v>0</v>
      </c>
      <c r="Q16" s="14" t="str">
        <f>IF(INDEX(CatD_Nome,10)="","",INDEX(CatD_Nome,10))</f>
        <v>Impostos e Taxas</v>
      </c>
      <c r="R16" s="14" t="str">
        <f>INDEX(CatD_Nat,10)&amp;""</f>
        <v>Fixa</v>
      </c>
      <c r="S16" s="36">
        <f>IF(Q16="",0,(SUMIFS(L_VParc,L_Tipo,"Despesa",L_Cat,$Q16,L_IIni,"&lt;="&amp;(Cfg_Idx-1),L_IFim,"&gt;="&amp;(Cfg_Idx-1))+SUMIFS(L_VParc,L_Tipo,"Despesa",L_Cat,$Q16,L_IIni,"&lt;="&amp;(Cfg_Idx-2),L_IFim,"&gt;="&amp;(Cfg_Idx-2))+SUMIFS(L_VParc,L_Tipo,"Despesa",L_Cat,$Q16,L_IIni,"&lt;="&amp;(Cfg_Idx-3),L_IFim,"&gt;="&amp;(Cfg_Idx-3)))/3)</f>
        <v>180</v>
      </c>
      <c r="T16" s="124">
        <f>IF(INDEX(Orc_Real,10)&gt;0,INDEX(Orc_Real,10)+ROW()/1000000000,0)</f>
        <v>180.000000016</v>
      </c>
      <c r="U16" s="36">
        <f>INDEX(Orc_Real,10)</f>
        <v>180</v>
      </c>
      <c r="AA16" s="124">
        <f>IF(OR(INDEX(Orc_Plan,10)&gt;0,INDEX(Orc_Real,10)&gt;0),MAX(INDEX(Orc_Plan,10),INDEX(Orc_Real,10))+ROW()/1000000000,0)</f>
        <v>250.000000016</v>
      </c>
      <c r="AB16" s="14" t="n">
        <v>10</v>
      </c>
      <c r="AC16" s="14" t="str">
        <f>IFERROR(IF(LARGE(AA$7:AA$24,10)&gt;0,INDEX(Q$7:Q$24,MATCH(LARGE(AA$7:AA$24,10),AA$7:AA$24,0)),"—"),"—")</f>
        <v>Outros</v>
      </c>
      <c r="AD16" s="36">
        <f>IFERROR(IF(LARGE(AA$7:AA$24,10)&gt;0,INDEX(Orc_Plan,MATCH(LARGE(AA$7:AA$24,10),AA$7:AA$24,0)),0),0)</f>
        <v>300</v>
      </c>
      <c r="AE16" s="36">
        <f>IFERROR(IF(LARGE(AA$7:AA$24,10)&gt;0,INDEX(Orc_Real,MATCH(LARGE(AA$7:AA$24,10),AA$7:AA$24,0)),0),0)</f>
        <v>372.27</v>
      </c>
      <c r="AH16" s="14" t="str">
        <f>IF(INDEX(Meta_Status,6)="Atrasada","🔴 Meta "&amp;INDEX(Meta_Nome,6)&amp;" está atrasada: faltam R$ "&amp;FIXED(MAX(0,INDEX(Meta_Nec,6)-INDEX(Meta_Ritmo,6)),0)&amp;" por mês para recuperar.","")</f>
        <v/>
      </c>
      <c r="AI16" s="40">
        <f>N(AI15)+IF(AH16&lt;&gt;"",1,0)</f>
        <v>3</v>
      </c>
    </row>
    <row r="17">
      <c r="B17" s="17" t="inlineStr">
        <is>
          <t>Nome do mês selecionado</t>
        </is>
      </c>
      <c r="C17" s="126" t="str">
        <f>INDEX(Lista_Meses,Sel_Mes)</f>
        <v>Setembro</v>
      </c>
      <c r="F17" s="14" t="n">
        <v>10</v>
      </c>
      <c r="G17" s="14">
        <f>Sel_Idx-F17</f>
        <v>24311</v>
      </c>
      <c r="H17" s="36">
        <f>SUMIFS(L_VParc,L_Tipo,"Receita",L_IIni,"&lt;="&amp;(G17),L_IFim,"&gt;="&amp;(G17))</f>
        <v>12771.08</v>
      </c>
      <c r="I17" s="36">
        <f>SUMIFS(L_VParc,L_Tipo,"Despesa",L_IIni,"&lt;="&amp;(G17),L_IFim,"&gt;="&amp;(G17))</f>
        <v>9927.32</v>
      </c>
      <c r="J17" s="36">
        <f>SUMIFS(L_VParc,L_Tipo,"Investimento",L_IIni,"&lt;="&amp;(G17),L_IFim,"&gt;="&amp;(G17))</f>
        <v>1500</v>
      </c>
      <c r="K17" s="36">
        <f>INDEX(Orc_TotDesp,MOD(G17-1,12)+1)</f>
        <v>12600</v>
      </c>
      <c r="L17" s="14">
        <f>IF(H17&gt;0,IF((H17-I17)/H17&gt;=Cfg_MetaPoup,1,0),0)</f>
        <v>1</v>
      </c>
      <c r="M17" s="14">
        <f>IF(AND(K17&gt;0,I17&gt;0,I17&lt;=K17),1,0)</f>
        <v>1</v>
      </c>
      <c r="N17" s="14">
        <f>IF(J17&gt;0,1,0)</f>
        <v>1</v>
      </c>
      <c r="O17" s="14">
        <f>IF(AND(O16=10,L17=1),11,O16)</f>
        <v>0</v>
      </c>
      <c r="Q17" s="14" t="str">
        <f>IF(INDEX(CatD_Nome,11)="","",INDEX(CatD_Nome,11))</f>
        <v>Família/Pets</v>
      </c>
      <c r="R17" s="14" t="str">
        <f>INDEX(CatD_Nat,11)&amp;""</f>
        <v>Variável</v>
      </c>
      <c r="S17" s="36">
        <f>IF(Q17="",0,(SUMIFS(L_VParc,L_Tipo,"Despesa",L_Cat,$Q17,L_IIni,"&lt;="&amp;(Cfg_Idx-1),L_IFim,"&gt;="&amp;(Cfg_Idx-1))+SUMIFS(L_VParc,L_Tipo,"Despesa",L_Cat,$Q17,L_IIni,"&lt;="&amp;(Cfg_Idx-2),L_IFim,"&gt;="&amp;(Cfg_Idx-2))+SUMIFS(L_VParc,L_Tipo,"Despesa",L_Cat,$Q17,L_IIni,"&lt;="&amp;(Cfg_Idx-3),L_IFim,"&gt;="&amp;(Cfg_Idx-3)))/3)</f>
        <v>321.353333333333</v>
      </c>
      <c r="T17" s="124">
        <f>IF(INDEX(Orc_Real,11)&gt;0,INDEX(Orc_Real,11)+ROW()/1000000000,0)</f>
        <v>207.960000017</v>
      </c>
      <c r="U17" s="36">
        <f>INDEX(Orc_Real,11)</f>
        <v>207.96</v>
      </c>
      <c r="AA17" s="124">
        <f>IF(OR(INDEX(Orc_Plan,11)&gt;0,INDEX(Orc_Real,11)&gt;0),MAX(INDEX(Orc_Plan,11),INDEX(Orc_Real,11))+ROW()/1000000000,0)</f>
        <v>450.000000017</v>
      </c>
      <c r="AH17" s="14" t="str">
        <f>IF(INDEX(Meta_Status,7)="Atrasada","🔴 Meta "&amp;INDEX(Meta_Nome,7)&amp;" está atrasada: faltam R$ "&amp;FIXED(MAX(0,INDEX(Meta_Nec,7)-INDEX(Meta_Ritmo,7)),0)&amp;" por mês para recuperar.","")</f>
        <v/>
      </c>
      <c r="AI17" s="40">
        <f>N(AI16)+IF(AH17&lt;&gt;"",1,0)</f>
        <v>3</v>
      </c>
    </row>
    <row r="18">
      <c r="B18" s="17" t="inlineStr">
        <is>
          <t>Rótulo do período</t>
        </is>
      </c>
      <c r="C18" s="126" t="str">
        <f>Sel_MesNome&amp;"/"&amp;Sel_Ano</f>
        <v>Setembro/2026</v>
      </c>
      <c r="F18" s="14" t="n">
        <v>11</v>
      </c>
      <c r="G18" s="14">
        <f>Sel_Idx-F18</f>
        <v>24310</v>
      </c>
      <c r="H18" s="36">
        <f>SUMIFS(L_VParc,L_Tipo,"Receita",L_IIni,"&lt;="&amp;(G18),L_IFim,"&gt;="&amp;(G18))</f>
        <v>12764.08</v>
      </c>
      <c r="I18" s="36">
        <f>SUMIFS(L_VParc,L_Tipo,"Despesa",L_IIni,"&lt;="&amp;(G18),L_IFim,"&gt;="&amp;(G18))</f>
        <v>10155.06</v>
      </c>
      <c r="J18" s="36">
        <f>SUMIFS(L_VParc,L_Tipo,"Investimento",L_IIni,"&lt;="&amp;(G18),L_IFim,"&gt;="&amp;(G18))</f>
        <v>1500</v>
      </c>
      <c r="K18" s="36">
        <f>INDEX(Orc_TotDesp,MOD(G18-1,12)+1)</f>
        <v>12600</v>
      </c>
      <c r="L18" s="14">
        <f>IF(H18&gt;0,IF((H18-I18)/H18&gt;=Cfg_MetaPoup,1,0),0)</f>
        <v>1</v>
      </c>
      <c r="M18" s="14">
        <f>IF(AND(K18&gt;0,I18&gt;0,I18&lt;=K18),1,0)</f>
        <v>1</v>
      </c>
      <c r="N18" s="14">
        <f>IF(J18&gt;0,1,0)</f>
        <v>1</v>
      </c>
      <c r="O18" s="14">
        <f>IF(AND(O17=11,L18=1),12,O17)</f>
        <v>0</v>
      </c>
      <c r="Q18" s="14" t="str">
        <f>IF(INDEX(CatD_Nome,12)="","",INDEX(CatD_Nome,12))</f>
        <v>Doações</v>
      </c>
      <c r="R18" s="14" t="str">
        <f>INDEX(CatD_Nat,12)&amp;""</f>
        <v>Variável</v>
      </c>
      <c r="S18" s="36">
        <f>IF(Q18="",0,(SUMIFS(L_VParc,L_Tipo,"Despesa",L_Cat,$Q18,L_IIni,"&lt;="&amp;(Cfg_Idx-1),L_IFim,"&gt;="&amp;(Cfg_Idx-1))+SUMIFS(L_VParc,L_Tipo,"Despesa",L_Cat,$Q18,L_IIni,"&lt;="&amp;(Cfg_Idx-2),L_IFim,"&gt;="&amp;(Cfg_Idx-2))+SUMIFS(L_VParc,L_Tipo,"Despesa",L_Cat,$Q18,L_IIni,"&lt;="&amp;(Cfg_Idx-3),L_IFim,"&gt;="&amp;(Cfg_Idx-3)))/3)</f>
        <v>100</v>
      </c>
      <c r="T18" s="124">
        <f>IF(INDEX(Orc_Real,12)&gt;0,INDEX(Orc_Real,12)+ROW()/1000000000,0)</f>
        <v>100.000000018</v>
      </c>
      <c r="U18" s="36">
        <f>INDEX(Orc_Real,12)</f>
        <v>100</v>
      </c>
      <c r="AA18" s="124">
        <f>IF(OR(INDEX(Orc_Plan,12)&gt;0,INDEX(Orc_Real,12)&gt;0),MAX(INDEX(Orc_Plan,12),INDEX(Orc_Real,12))+ROW()/1000000000,0)</f>
        <v>150.000000018</v>
      </c>
      <c r="AH18" s="14" t="str">
        <f>IF(INDEX(Meta_Status,8)="Atrasada","🔴 Meta "&amp;INDEX(Meta_Nome,8)&amp;" está atrasada: faltam R$ "&amp;FIXED(MAX(0,INDEX(Meta_Nec,8)-INDEX(Meta_Ritmo,8)),0)&amp;" por mês para recuperar.","")</f>
        <v/>
      </c>
      <c r="AI18" s="40">
        <f>N(AI17)+IF(AH18&lt;&gt;"",1,0)</f>
        <v>3</v>
      </c>
    </row>
    <row r="19">
      <c r="B19" s="17" t="inlineStr">
        <is>
          <t>Rótulo do mês atual</t>
        </is>
      </c>
      <c r="C19" s="126" t="str">
        <f>INDEX(Lista_Meses,Cfg_Mes)&amp;"/"&amp;Cfg_Ano</f>
        <v>Outubro/2026</v>
      </c>
      <c r="F19" s="14" t="n">
        <v>12</v>
      </c>
      <c r="G19" s="14">
        <f>Sel_Idx-F19</f>
        <v>24309</v>
      </c>
      <c r="H19" s="36">
        <f>SUMIFS(L_VParc,L_Tipo,"Receita",L_IIni,"&lt;="&amp;(G19),L_IFim,"&gt;="&amp;(G19))</f>
        <v>12764.17</v>
      </c>
      <c r="I19" s="36">
        <f>SUMIFS(L_VParc,L_Tipo,"Despesa",L_IIni,"&lt;="&amp;(G19),L_IFim,"&gt;="&amp;(G19))</f>
        <v>10133.11</v>
      </c>
      <c r="J19" s="36">
        <f>SUMIFS(L_VParc,L_Tipo,"Investimento",L_IIni,"&lt;="&amp;(G19),L_IFim,"&gt;="&amp;(G19))</f>
        <v>1500</v>
      </c>
      <c r="K19" s="36">
        <f>INDEX(Orc_TotDesp,MOD(G19-1,12)+1)</f>
        <v>12600</v>
      </c>
      <c r="L19" s="14">
        <f>IF(H19&gt;0,IF((H19-I19)/H19&gt;=Cfg_MetaPoup,1,0),0)</f>
        <v>1</v>
      </c>
      <c r="M19" s="14">
        <f>IF(AND(K19&gt;0,I19&gt;0,I19&lt;=K19),1,0)</f>
        <v>1</v>
      </c>
      <c r="N19" s="14">
        <f>IF(J19&gt;0,1,0)</f>
        <v>1</v>
      </c>
      <c r="O19" s="14">
        <f>IF(AND(O18=12,L19=1),13,O18)</f>
        <v>0</v>
      </c>
      <c r="Q19" s="14" t="str">
        <f>IF(INDEX(CatD_Nome,13)="","",INDEX(CatD_Nome,13))</f>
        <v>Outros</v>
      </c>
      <c r="R19" s="14" t="str">
        <f>INDEX(CatD_Nat,13)&amp;""</f>
        <v>Variável</v>
      </c>
      <c r="S19" s="36">
        <f>IF(Q19="",0,(SUMIFS(L_VParc,L_Tipo,"Despesa",L_Cat,$Q19,L_IIni,"&lt;="&amp;(Cfg_Idx-1),L_IFim,"&gt;="&amp;(Cfg_Idx-1))+SUMIFS(L_VParc,L_Tipo,"Despesa",L_Cat,$Q19,L_IIni,"&lt;="&amp;(Cfg_Idx-2),L_IFim,"&gt;="&amp;(Cfg_Idx-2))+SUMIFS(L_VParc,L_Tipo,"Despesa",L_Cat,$Q19,L_IIni,"&lt;="&amp;(Cfg_Idx-3),L_IFim,"&gt;="&amp;(Cfg_Idx-3)))/3)</f>
        <v>420.15</v>
      </c>
      <c r="T19" s="124">
        <f>IF(INDEX(Orc_Real,13)&gt;0,INDEX(Orc_Real,13)+ROW()/1000000000,0)</f>
        <v>372.270000019</v>
      </c>
      <c r="U19" s="36">
        <f>INDEX(Orc_Real,13)</f>
        <v>372.27</v>
      </c>
      <c r="AA19" s="124">
        <f>IF(OR(INDEX(Orc_Plan,13)&gt;0,INDEX(Orc_Real,13)&gt;0),MAX(INDEX(Orc_Plan,13),INDEX(Orc_Real,13))+ROW()/1000000000,0)</f>
        <v>372.270000019</v>
      </c>
      <c r="AH19" s="14" t="str">
        <f>IF(INDEX(Meta_Status,9)="Atrasada","🔴 Meta "&amp;INDEX(Meta_Nome,9)&amp;" está atrasada: faltam R$ "&amp;FIXED(MAX(0,INDEX(Meta_Nec,9)-INDEX(Meta_Ritmo,9)),0)&amp;" por mês para recuperar.","")</f>
        <v/>
      </c>
      <c r="AI19" s="40">
        <f>N(AI18)+IF(AH19&lt;&gt;"",1,0)</f>
        <v>3</v>
      </c>
    </row>
    <row r="20">
      <c r="F20" s="14" t="n">
        <v>13</v>
      </c>
      <c r="G20" s="14">
        <f>Sel_Idx-F20</f>
        <v>24308</v>
      </c>
      <c r="H20" s="36">
        <f>SUMIFS(L_VParc,L_Tipo,"Receita",L_IIni,"&lt;="&amp;(G20),L_IFim,"&gt;="&amp;(G20))</f>
        <v>0</v>
      </c>
      <c r="I20" s="36">
        <f>SUMIFS(L_VParc,L_Tipo,"Despesa",L_IIni,"&lt;="&amp;(G20),L_IFim,"&gt;="&amp;(G20))</f>
        <v>0</v>
      </c>
      <c r="J20" s="36">
        <f>SUMIFS(L_VParc,L_Tipo,"Investimento",L_IIni,"&lt;="&amp;(G20),L_IFim,"&gt;="&amp;(G20))</f>
        <v>0</v>
      </c>
      <c r="K20" s="36">
        <f>INDEX(Orc_TotDesp,MOD(G20-1,12)+1)</f>
        <v>12600</v>
      </c>
      <c r="L20" s="14">
        <f>IF(H20&gt;0,IF((H20-I20)/H20&gt;=Cfg_MetaPoup,1,0),0)</f>
        <v>0</v>
      </c>
      <c r="M20" s="14">
        <f>IF(AND(K20&gt;0,I20&gt;0,I20&lt;=K20),1,0)</f>
        <v>0</v>
      </c>
      <c r="N20" s="14">
        <f>IF(J20&gt;0,1,0)</f>
        <v>0</v>
      </c>
      <c r="O20" s="14">
        <f>IF(AND(O19=13,L20=1),14,O19)</f>
        <v>0</v>
      </c>
      <c r="Q20" s="14" t="str">
        <f>IF(INDEX(CatD_Nome,14)="","",INDEX(CatD_Nome,14))</f>
        <v/>
      </c>
      <c r="R20" s="14" t="str">
        <f>INDEX(CatD_Nat,14)&amp;""</f>
        <v/>
      </c>
      <c r="S20" s="36">
        <f>IF(Q20="",0,(SUMIFS(L_VParc,L_Tipo,"Despesa",L_Cat,$Q20,L_IIni,"&lt;="&amp;(Cfg_Idx-1),L_IFim,"&gt;="&amp;(Cfg_Idx-1))+SUMIFS(L_VParc,L_Tipo,"Despesa",L_Cat,$Q20,L_IIni,"&lt;="&amp;(Cfg_Idx-2),L_IFim,"&gt;="&amp;(Cfg_Idx-2))+SUMIFS(L_VParc,L_Tipo,"Despesa",L_Cat,$Q20,L_IIni,"&lt;="&amp;(Cfg_Idx-3),L_IFim,"&gt;="&amp;(Cfg_Idx-3)))/3)</f>
        <v>0</v>
      </c>
      <c r="T20" s="124">
        <f>IF(INDEX(Orc_Real,14)&gt;0,INDEX(Orc_Real,14)+ROW()/1000000000,0)</f>
        <v>0</v>
      </c>
      <c r="U20" s="36">
        <f>INDEX(Orc_Real,14)</f>
        <v>0</v>
      </c>
      <c r="AA20" s="124">
        <f>IF(OR(INDEX(Orc_Plan,14)&gt;0,INDEX(Orc_Real,14)&gt;0),MAX(INDEX(Orc_Plan,14),INDEX(Orc_Real,14))+ROW()/1000000000,0)</f>
        <v>0</v>
      </c>
      <c r="AH20" s="14" t="str">
        <f>IF(INDEX(Meta_Status,10)="Atrasada","🔴 Meta "&amp;INDEX(Meta_Nome,10)&amp;" está atrasada: faltam R$ "&amp;FIXED(MAX(0,INDEX(Meta_Nec,10)-INDEX(Meta_Ritmo,10)),0)&amp;" por mês para recuperar.","")</f>
        <v/>
      </c>
      <c r="AI20" s="40">
        <f>N(AI19)+IF(AH20&lt;&gt;"",1,0)</f>
        <v>3</v>
      </c>
    </row>
    <row r="21">
      <c r="B21" s="6" t="inlineStr">
        <is>
          <t>Conquistas</t>
        </is>
      </c>
      <c r="F21" s="14" t="n">
        <v>14</v>
      </c>
      <c r="G21" s="14">
        <f>Sel_Idx-F21</f>
        <v>24307</v>
      </c>
      <c r="H21" s="36">
        <f>SUMIFS(L_VParc,L_Tipo,"Receita",L_IIni,"&lt;="&amp;(G21),L_IFim,"&gt;="&amp;(G21))</f>
        <v>0</v>
      </c>
      <c r="I21" s="36">
        <f>SUMIFS(L_VParc,L_Tipo,"Despesa",L_IIni,"&lt;="&amp;(G21),L_IFim,"&gt;="&amp;(G21))</f>
        <v>0</v>
      </c>
      <c r="J21" s="36">
        <f>SUMIFS(L_VParc,L_Tipo,"Investimento",L_IIni,"&lt;="&amp;(G21),L_IFim,"&gt;="&amp;(G21))</f>
        <v>0</v>
      </c>
      <c r="K21" s="36">
        <f>INDEX(Orc_TotDesp,MOD(G21-1,12)+1)</f>
        <v>12600</v>
      </c>
      <c r="L21" s="14">
        <f>IF(H21&gt;0,IF((H21-I21)/H21&gt;=Cfg_MetaPoup,1,0),0)</f>
        <v>0</v>
      </c>
      <c r="M21" s="14">
        <f>IF(AND(K21&gt;0,I21&gt;0,I21&lt;=K21),1,0)</f>
        <v>0</v>
      </c>
      <c r="N21" s="14">
        <f>IF(J21&gt;0,1,0)</f>
        <v>0</v>
      </c>
      <c r="O21" s="14">
        <f>IF(AND(O20=14,L21=1),15,O20)</f>
        <v>0</v>
      </c>
      <c r="Q21" s="14" t="str">
        <f>IF(INDEX(CatD_Nome,15)="","",INDEX(CatD_Nome,15))</f>
        <v/>
      </c>
      <c r="R21" s="14" t="str">
        <f>INDEX(CatD_Nat,15)&amp;""</f>
        <v/>
      </c>
      <c r="S21" s="36">
        <f>IF(Q21="",0,(SUMIFS(L_VParc,L_Tipo,"Despesa",L_Cat,$Q21,L_IIni,"&lt;="&amp;(Cfg_Idx-1),L_IFim,"&gt;="&amp;(Cfg_Idx-1))+SUMIFS(L_VParc,L_Tipo,"Despesa",L_Cat,$Q21,L_IIni,"&lt;="&amp;(Cfg_Idx-2),L_IFim,"&gt;="&amp;(Cfg_Idx-2))+SUMIFS(L_VParc,L_Tipo,"Despesa",L_Cat,$Q21,L_IIni,"&lt;="&amp;(Cfg_Idx-3),L_IFim,"&gt;="&amp;(Cfg_Idx-3)))/3)</f>
        <v>0</v>
      </c>
      <c r="T21" s="124">
        <f>IF(INDEX(Orc_Real,15)&gt;0,INDEX(Orc_Real,15)+ROW()/1000000000,0)</f>
        <v>0</v>
      </c>
      <c r="U21" s="36">
        <f>INDEX(Orc_Real,15)</f>
        <v>0</v>
      </c>
      <c r="AA21" s="124">
        <f>IF(OR(INDEX(Orc_Plan,15)&gt;0,INDEX(Orc_Real,15)&gt;0),MAX(INDEX(Orc_Plan,15),INDEX(Orc_Real,15))+ROW()/1000000000,0)</f>
        <v>0</v>
      </c>
      <c r="AH21" s="14" t="str">
        <f>IF(INDEX(Meta_Status,11)="Atrasada","🔴 Meta "&amp;INDEX(Meta_Nome,11)&amp;" está atrasada: faltam R$ "&amp;FIXED(MAX(0,INDEX(Meta_Nec,11)-INDEX(Meta_Ritmo,11)),0)&amp;" por mês para recuperar.","")</f>
        <v/>
      </c>
      <c r="AI21" s="40">
        <f>N(AI20)+IF(AH21&lt;&gt;"",1,0)</f>
        <v>3</v>
      </c>
    </row>
    <row r="22">
      <c r="B22" s="17" t="inlineStr">
        <is>
          <t>Meses seguidos cumprindo a meta de poupança</t>
        </is>
      </c>
      <c r="C22" s="100">
        <f>O30</f>
        <v>0</v>
      </c>
      <c r="F22" s="14" t="n">
        <v>15</v>
      </c>
      <c r="G22" s="14">
        <f>Sel_Idx-F22</f>
        <v>24306</v>
      </c>
      <c r="H22" s="36">
        <f>SUMIFS(L_VParc,L_Tipo,"Receita",L_IIni,"&lt;="&amp;(G22),L_IFim,"&gt;="&amp;(G22))</f>
        <v>0</v>
      </c>
      <c r="I22" s="36">
        <f>SUMIFS(L_VParc,L_Tipo,"Despesa",L_IIni,"&lt;="&amp;(G22),L_IFim,"&gt;="&amp;(G22))</f>
        <v>0</v>
      </c>
      <c r="J22" s="36">
        <f>SUMIFS(L_VParc,L_Tipo,"Investimento",L_IIni,"&lt;="&amp;(G22),L_IFim,"&gt;="&amp;(G22))</f>
        <v>0</v>
      </c>
      <c r="K22" s="36">
        <f>INDEX(Orc_TotDesp,MOD(G22-1,12)+1)</f>
        <v>12600</v>
      </c>
      <c r="L22" s="14">
        <f>IF(H22&gt;0,IF((H22-I22)/H22&gt;=Cfg_MetaPoup,1,0),0)</f>
        <v>0</v>
      </c>
      <c r="M22" s="14">
        <f>IF(AND(K22&gt;0,I22&gt;0,I22&lt;=K22),1,0)</f>
        <v>0</v>
      </c>
      <c r="N22" s="14">
        <f>IF(J22&gt;0,1,0)</f>
        <v>0</v>
      </c>
      <c r="O22" s="14">
        <f>IF(AND(O21=15,L22=1),16,O21)</f>
        <v>0</v>
      </c>
      <c r="Q22" s="14" t="str">
        <f>IF(INDEX(CatD_Nome,16)="","",INDEX(CatD_Nome,16))</f>
        <v/>
      </c>
      <c r="R22" s="14" t="str">
        <f>INDEX(CatD_Nat,16)&amp;""</f>
        <v/>
      </c>
      <c r="S22" s="36">
        <f>IF(Q22="",0,(SUMIFS(L_VParc,L_Tipo,"Despesa",L_Cat,$Q22,L_IIni,"&lt;="&amp;(Cfg_Idx-1),L_IFim,"&gt;="&amp;(Cfg_Idx-1))+SUMIFS(L_VParc,L_Tipo,"Despesa",L_Cat,$Q22,L_IIni,"&lt;="&amp;(Cfg_Idx-2),L_IFim,"&gt;="&amp;(Cfg_Idx-2))+SUMIFS(L_VParc,L_Tipo,"Despesa",L_Cat,$Q22,L_IIni,"&lt;="&amp;(Cfg_Idx-3),L_IFim,"&gt;="&amp;(Cfg_Idx-3)))/3)</f>
        <v>0</v>
      </c>
      <c r="T22" s="124">
        <f>IF(INDEX(Orc_Real,16)&gt;0,INDEX(Orc_Real,16)+ROW()/1000000000,0)</f>
        <v>0</v>
      </c>
      <c r="U22" s="36">
        <f>INDEX(Orc_Real,16)</f>
        <v>0</v>
      </c>
      <c r="AA22" s="124">
        <f>IF(OR(INDEX(Orc_Plan,16)&gt;0,INDEX(Orc_Real,16)&gt;0),MAX(INDEX(Orc_Plan,16),INDEX(Orc_Real,16))+ROW()/1000000000,0)</f>
        <v>0</v>
      </c>
      <c r="AH22" s="14" t="str">
        <f>IF(INDEX(Meta_Status,12)="Atrasada","🔴 Meta "&amp;INDEX(Meta_Nome,12)&amp;" está atrasada: faltam R$ "&amp;FIXED(MAX(0,INDEX(Meta_Nec,12)-INDEX(Meta_Ritmo,12)),0)&amp;" por mês para recuperar.","")</f>
        <v/>
      </c>
      <c r="AI22" s="40">
        <f>N(AI21)+IF(AH22&lt;&gt;"",1,0)</f>
        <v>3</v>
      </c>
    </row>
    <row r="23">
      <c r="B23" s="17" t="inlineStr">
        <is>
          <t>Meses (de 6) dentro do orçamento</t>
        </is>
      </c>
      <c r="C23" s="100">
        <f>SUM(M7:M12)</f>
        <v>6</v>
      </c>
      <c r="F23" s="14" t="n">
        <v>16</v>
      </c>
      <c r="G23" s="14">
        <f>Sel_Idx-F23</f>
        <v>24305</v>
      </c>
      <c r="H23" s="36">
        <f>SUMIFS(L_VParc,L_Tipo,"Receita",L_IIni,"&lt;="&amp;(G23),L_IFim,"&gt;="&amp;(G23))</f>
        <v>0</v>
      </c>
      <c r="I23" s="36">
        <f>SUMIFS(L_VParc,L_Tipo,"Despesa",L_IIni,"&lt;="&amp;(G23),L_IFim,"&gt;="&amp;(G23))</f>
        <v>0</v>
      </c>
      <c r="J23" s="36">
        <f>SUMIFS(L_VParc,L_Tipo,"Investimento",L_IIni,"&lt;="&amp;(G23),L_IFim,"&gt;="&amp;(G23))</f>
        <v>0</v>
      </c>
      <c r="K23" s="36">
        <f>INDEX(Orc_TotDesp,MOD(G23-1,12)+1)</f>
        <v>12600</v>
      </c>
      <c r="L23" s="14">
        <f>IF(H23&gt;0,IF((H23-I23)/H23&gt;=Cfg_MetaPoup,1,0),0)</f>
        <v>0</v>
      </c>
      <c r="M23" s="14">
        <f>IF(AND(K23&gt;0,I23&gt;0,I23&lt;=K23),1,0)</f>
        <v>0</v>
      </c>
      <c r="N23" s="14">
        <f>IF(J23&gt;0,1,0)</f>
        <v>0</v>
      </c>
      <c r="O23" s="14">
        <f>IF(AND(O22=16,L23=1),17,O22)</f>
        <v>0</v>
      </c>
      <c r="Q23" s="14" t="str">
        <f>IF(INDEX(CatD_Nome,17)="","",INDEX(CatD_Nome,17))</f>
        <v/>
      </c>
      <c r="R23" s="14" t="str">
        <f>INDEX(CatD_Nat,17)&amp;""</f>
        <v/>
      </c>
      <c r="S23" s="36">
        <f>IF(Q23="",0,(SUMIFS(L_VParc,L_Tipo,"Despesa",L_Cat,$Q23,L_IIni,"&lt;="&amp;(Cfg_Idx-1),L_IFim,"&gt;="&amp;(Cfg_Idx-1))+SUMIFS(L_VParc,L_Tipo,"Despesa",L_Cat,$Q23,L_IIni,"&lt;="&amp;(Cfg_Idx-2),L_IFim,"&gt;="&amp;(Cfg_Idx-2))+SUMIFS(L_VParc,L_Tipo,"Despesa",L_Cat,$Q23,L_IIni,"&lt;="&amp;(Cfg_Idx-3),L_IFim,"&gt;="&amp;(Cfg_Idx-3)))/3)</f>
        <v>0</v>
      </c>
      <c r="T23" s="124">
        <f>IF(INDEX(Orc_Real,17)&gt;0,INDEX(Orc_Real,17)+ROW()/1000000000,0)</f>
        <v>0</v>
      </c>
      <c r="U23" s="36">
        <f>INDEX(Orc_Real,17)</f>
        <v>0</v>
      </c>
      <c r="AA23" s="124">
        <f>IF(OR(INDEX(Orc_Plan,17)&gt;0,INDEX(Orc_Real,17)&gt;0),MAX(INDEX(Orc_Plan,17),INDEX(Orc_Real,17))+ROW()/1000000000,0)</f>
        <v>0</v>
      </c>
      <c r="AH23" s="14" t="str">
        <f>IF(INDEX(Meta_Status,13)="Atrasada","🔴 Meta "&amp;INDEX(Meta_Nome,13)&amp;" está atrasada: faltam R$ "&amp;FIXED(MAX(0,INDEX(Meta_Nec,13)-INDEX(Meta_Ritmo,13)),0)&amp;" por mês para recuperar.","")</f>
        <v/>
      </c>
      <c r="AI23" s="40">
        <f>N(AI22)+IF(AH23&lt;&gt;"",1,0)</f>
        <v>3</v>
      </c>
    </row>
    <row r="24">
      <c r="B24" s="17" t="inlineStr">
        <is>
          <t>Meses (de 6) com aporte</t>
        </is>
      </c>
      <c r="C24" s="100">
        <f>SUM(N7:N12)</f>
        <v>6</v>
      </c>
      <c r="F24" s="14" t="n">
        <v>17</v>
      </c>
      <c r="G24" s="14">
        <f>Sel_Idx-F24</f>
        <v>24304</v>
      </c>
      <c r="H24" s="36">
        <f>SUMIFS(L_VParc,L_Tipo,"Receita",L_IIni,"&lt;="&amp;(G24),L_IFim,"&gt;="&amp;(G24))</f>
        <v>0</v>
      </c>
      <c r="I24" s="36">
        <f>SUMIFS(L_VParc,L_Tipo,"Despesa",L_IIni,"&lt;="&amp;(G24),L_IFim,"&gt;="&amp;(G24))</f>
        <v>0</v>
      </c>
      <c r="J24" s="36">
        <f>SUMIFS(L_VParc,L_Tipo,"Investimento",L_IIni,"&lt;="&amp;(G24),L_IFim,"&gt;="&amp;(G24))</f>
        <v>0</v>
      </c>
      <c r="K24" s="36">
        <f>INDEX(Orc_TotDesp,MOD(G24-1,12)+1)</f>
        <v>12600</v>
      </c>
      <c r="L24" s="14">
        <f>IF(H24&gt;0,IF((H24-I24)/H24&gt;=Cfg_MetaPoup,1,0),0)</f>
        <v>0</v>
      </c>
      <c r="M24" s="14">
        <f>IF(AND(K24&gt;0,I24&gt;0,I24&lt;=K24),1,0)</f>
        <v>0</v>
      </c>
      <c r="N24" s="14">
        <f>IF(J24&gt;0,1,0)</f>
        <v>0</v>
      </c>
      <c r="O24" s="14">
        <f>IF(AND(O23=17,L24=1),18,O23)</f>
        <v>0</v>
      </c>
      <c r="Q24" s="14" t="str">
        <f>IF(INDEX(CatD_Nome,18)="","",INDEX(CatD_Nome,18))</f>
        <v/>
      </c>
      <c r="R24" s="14" t="str">
        <f>INDEX(CatD_Nat,18)&amp;""</f>
        <v/>
      </c>
      <c r="S24" s="36">
        <f>IF(Q24="",0,(SUMIFS(L_VParc,L_Tipo,"Despesa",L_Cat,$Q24,L_IIni,"&lt;="&amp;(Cfg_Idx-1),L_IFim,"&gt;="&amp;(Cfg_Idx-1))+SUMIFS(L_VParc,L_Tipo,"Despesa",L_Cat,$Q24,L_IIni,"&lt;="&amp;(Cfg_Idx-2),L_IFim,"&gt;="&amp;(Cfg_Idx-2))+SUMIFS(L_VParc,L_Tipo,"Despesa",L_Cat,$Q24,L_IIni,"&lt;="&amp;(Cfg_Idx-3),L_IFim,"&gt;="&amp;(Cfg_Idx-3)))/3)</f>
        <v>0</v>
      </c>
      <c r="T24" s="124">
        <f>IF(INDEX(Orc_Real,18)&gt;0,INDEX(Orc_Real,18)+ROW()/1000000000,0)</f>
        <v>0</v>
      </c>
      <c r="U24" s="36">
        <f>INDEX(Orc_Real,18)</f>
        <v>0</v>
      </c>
      <c r="AA24" s="124">
        <f>IF(OR(INDEX(Orc_Plan,18)&gt;0,INDEX(Orc_Real,18)&gt;0),MAX(INDEX(Orc_Plan,18),INDEX(Orc_Real,18))+ROW()/1000000000,0)</f>
        <v>0</v>
      </c>
      <c r="AH24" s="14" t="str">
        <f>IF(INDEX(Meta_Status,14)="Atrasada","🔴 Meta "&amp;INDEX(Meta_Nome,14)&amp;" está atrasada: faltam R$ "&amp;FIXED(MAX(0,INDEX(Meta_Nec,14)-INDEX(Meta_Ritmo,14)),0)&amp;" por mês para recuperar.","")</f>
        <v/>
      </c>
      <c r="AI24" s="40">
        <f>N(AI23)+IF(AH24&lt;&gt;"",1,0)</f>
        <v>3</v>
      </c>
    </row>
    <row r="25">
      <c r="B25" s="17" t="inlineStr">
        <is>
          <t>Fração de metas no prazo</t>
        </is>
      </c>
      <c r="C25" s="127">
        <f>IF(COUNTA(Meta_Nome)=0,1,(COUNTIF(Meta_Status,"No prazo")+COUNTIF(Meta_Status,"Concluída"))/MAX(1,COUNTIF(Meta_Status,"No prazo")+COUNTIF(Meta_Status,"Concluída")+COUNTIF(Meta_Status,"Atenção")+COUNTIF(Meta_Status,"Atrasada")))</f>
        <v>0.375</v>
      </c>
      <c r="F25" s="14" t="n">
        <v>18</v>
      </c>
      <c r="G25" s="14">
        <f>Sel_Idx-F25</f>
        <v>24303</v>
      </c>
      <c r="H25" s="36">
        <f>SUMIFS(L_VParc,L_Tipo,"Receita",L_IIni,"&lt;="&amp;(G25),L_IFim,"&gt;="&amp;(G25))</f>
        <v>0</v>
      </c>
      <c r="I25" s="36">
        <f>SUMIFS(L_VParc,L_Tipo,"Despesa",L_IIni,"&lt;="&amp;(G25),L_IFim,"&gt;="&amp;(G25))</f>
        <v>0</v>
      </c>
      <c r="J25" s="36">
        <f>SUMIFS(L_VParc,L_Tipo,"Investimento",L_IIni,"&lt;="&amp;(G25),L_IFim,"&gt;="&amp;(G25))</f>
        <v>0</v>
      </c>
      <c r="K25" s="36">
        <f>INDEX(Orc_TotDesp,MOD(G25-1,12)+1)</f>
        <v>12600</v>
      </c>
      <c r="L25" s="14">
        <f>IF(H25&gt;0,IF((H25-I25)/H25&gt;=Cfg_MetaPoup,1,0),0)</f>
        <v>0</v>
      </c>
      <c r="M25" s="14">
        <f>IF(AND(K25&gt;0,I25&gt;0,I25&lt;=K25),1,0)</f>
        <v>0</v>
      </c>
      <c r="N25" s="14">
        <f>IF(J25&gt;0,1,0)</f>
        <v>0</v>
      </c>
      <c r="O25" s="14">
        <f>IF(AND(O24=18,L25=1),19,O24)</f>
        <v>0</v>
      </c>
      <c r="AH25" s="14" t="str">
        <f>IF(INDEX(Meta_Status,15)="Atrasada","🔴 Meta "&amp;INDEX(Meta_Nome,15)&amp;" está atrasada: faltam R$ "&amp;FIXED(MAX(0,INDEX(Meta_Nec,15)-INDEX(Meta_Ritmo,15)),0)&amp;" por mês para recuperar.","")</f>
        <v/>
      </c>
      <c r="AI25" s="40">
        <f>N(AI24)+IF(AH25&lt;&gt;"",1,0)</f>
        <v>3</v>
      </c>
    </row>
    <row r="26">
      <c r="B26" s="17" t="inlineStr">
        <is>
          <t>Pontuação de disciplina</t>
        </is>
      </c>
      <c r="C26" s="100">
        <f>ROUND(100*(0.4*Conq_Orc6/6+0.3*Conq_Apo6/6+0.3*Conq_Prazo),0)</f>
        <v>81</v>
      </c>
      <c r="F26" s="14" t="n">
        <v>19</v>
      </c>
      <c r="G26" s="14">
        <f>Sel_Idx-F26</f>
        <v>24302</v>
      </c>
      <c r="H26" s="36">
        <f>SUMIFS(L_VParc,L_Tipo,"Receita",L_IIni,"&lt;="&amp;(G26),L_IFim,"&gt;="&amp;(G26))</f>
        <v>0</v>
      </c>
      <c r="I26" s="36">
        <f>SUMIFS(L_VParc,L_Tipo,"Despesa",L_IIni,"&lt;="&amp;(G26),L_IFim,"&gt;="&amp;(G26))</f>
        <v>0</v>
      </c>
      <c r="J26" s="36">
        <f>SUMIFS(L_VParc,L_Tipo,"Investimento",L_IIni,"&lt;="&amp;(G26),L_IFim,"&gt;="&amp;(G26))</f>
        <v>0</v>
      </c>
      <c r="K26" s="36">
        <f>INDEX(Orc_TotDesp,MOD(G26-1,12)+1)</f>
        <v>12600</v>
      </c>
      <c r="L26" s="14">
        <f>IF(H26&gt;0,IF((H26-I26)/H26&gt;=Cfg_MetaPoup,1,0),0)</f>
        <v>0</v>
      </c>
      <c r="M26" s="14">
        <f>IF(AND(K26&gt;0,I26&gt;0,I26&lt;=K26),1,0)</f>
        <v>0</v>
      </c>
      <c r="N26" s="14">
        <f>IF(J26&gt;0,1,0)</f>
        <v>0</v>
      </c>
      <c r="O26" s="14">
        <f>IF(AND(O25=19,L26=1),20,O25)</f>
        <v>0</v>
      </c>
      <c r="AH26" s="14" t="str">
        <f>IF(AND(INDEX(Orc_Plan,1)&gt;0,INDEX(Orc_Pct,1)&gt;=1),"🔴 Orçamento de "&amp;INDEX(Orc_Cat,1)&amp;" estourado: "&amp;ROUND(INDEX(Orc_Pct,1)*100,0)&amp;"% usado.",IF(AND(INDEX(Orc_Plan,1)&gt;0,INDEX(Orc_Pct,1)&gt;=0.9),"🟡 Você já usou "&amp;ROUND(INDEX(Orc_Pct,1)*100,0)&amp;"% do orçamento de "&amp;INDEX(Orc_Cat,1)&amp;".",""))</f>
        <v>🔴 Orçamento de Moradia estourado: 102% usado.</v>
      </c>
      <c r="AI26" s="40">
        <f>N(AI25)+IF(AH26&lt;&gt;"",1,0)</f>
        <v>4</v>
      </c>
    </row>
    <row r="27">
      <c r="F27" s="14" t="n">
        <v>20</v>
      </c>
      <c r="G27" s="14">
        <f>Sel_Idx-F27</f>
        <v>24301</v>
      </c>
      <c r="H27" s="36">
        <f>SUMIFS(L_VParc,L_Tipo,"Receita",L_IIni,"&lt;="&amp;(G27),L_IFim,"&gt;="&amp;(G27))</f>
        <v>0</v>
      </c>
      <c r="I27" s="36">
        <f>SUMIFS(L_VParc,L_Tipo,"Despesa",L_IIni,"&lt;="&amp;(G27),L_IFim,"&gt;="&amp;(G27))</f>
        <v>0</v>
      </c>
      <c r="J27" s="36">
        <f>SUMIFS(L_VParc,L_Tipo,"Investimento",L_IIni,"&lt;="&amp;(G27),L_IFim,"&gt;="&amp;(G27))</f>
        <v>0</v>
      </c>
      <c r="K27" s="36">
        <f>INDEX(Orc_TotDesp,MOD(G27-1,12)+1)</f>
        <v>12600</v>
      </c>
      <c r="L27" s="14">
        <f>IF(H27&gt;0,IF((H27-I27)/H27&gt;=Cfg_MetaPoup,1,0),0)</f>
        <v>0</v>
      </c>
      <c r="M27" s="14">
        <f>IF(AND(K27&gt;0,I27&gt;0,I27&lt;=K27),1,0)</f>
        <v>0</v>
      </c>
      <c r="N27" s="14">
        <f>IF(J27&gt;0,1,0)</f>
        <v>0</v>
      </c>
      <c r="O27" s="14">
        <f>IF(AND(O26=20,L27=1),21,O26)</f>
        <v>0</v>
      </c>
      <c r="AH27" s="14" t="str">
        <f>IF(AND(INDEX(Orc_Plan,2)&gt;0,INDEX(Orc_Pct,2)&gt;=1),"🔴 Orçamento de "&amp;INDEX(Orc_Cat,2)&amp;" estourado: "&amp;ROUND(INDEX(Orc_Pct,2)*100,0)&amp;"% usado.",IF(AND(INDEX(Orc_Plan,2)&gt;0,INDEX(Orc_Pct,2)&gt;=0.9),"🟡 Você já usou "&amp;ROUND(INDEX(Orc_Pct,2)*100,0)&amp;"% do orçamento de "&amp;INDEX(Orc_Cat,2)&amp;".",""))</f>
        <v>🟡 Você já usou 97% do orçamento de Alimentação.</v>
      </c>
      <c r="AI27" s="40">
        <f>N(AI26)+IF(AH27&lt;&gt;"",1,0)</f>
        <v>5</v>
      </c>
    </row>
    <row r="28">
      <c r="B28" s="6" t="inlineStr">
        <is>
          <t>Médias para projeções</t>
        </is>
      </c>
      <c r="F28" s="14" t="n">
        <v>21</v>
      </c>
      <c r="G28" s="14">
        <f>Sel_Idx-F28</f>
        <v>24300</v>
      </c>
      <c r="H28" s="36">
        <f>SUMIFS(L_VParc,L_Tipo,"Receita",L_IIni,"&lt;="&amp;(G28),L_IFim,"&gt;="&amp;(G28))</f>
        <v>0</v>
      </c>
      <c r="I28" s="36">
        <f>SUMIFS(L_VParc,L_Tipo,"Despesa",L_IIni,"&lt;="&amp;(G28),L_IFim,"&gt;="&amp;(G28))</f>
        <v>0</v>
      </c>
      <c r="J28" s="36">
        <f>SUMIFS(L_VParc,L_Tipo,"Investimento",L_IIni,"&lt;="&amp;(G28),L_IFim,"&gt;="&amp;(G28))</f>
        <v>0</v>
      </c>
      <c r="K28" s="36">
        <f>INDEX(Orc_TotDesp,MOD(G28-1,12)+1)</f>
        <v>12600</v>
      </c>
      <c r="L28" s="14">
        <f>IF(H28&gt;0,IF((H28-I28)/H28&gt;=Cfg_MetaPoup,1,0),0)</f>
        <v>0</v>
      </c>
      <c r="M28" s="14">
        <f>IF(AND(K28&gt;0,I28&gt;0,I28&lt;=K28),1,0)</f>
        <v>0</v>
      </c>
      <c r="N28" s="14">
        <f>IF(J28&gt;0,1,0)</f>
        <v>0</v>
      </c>
      <c r="O28" s="14">
        <f>IF(AND(O27=21,L28=1),22,O27)</f>
        <v>0</v>
      </c>
      <c r="AH28" s="14" t="str">
        <f>IF(AND(INDEX(Orc_Plan,3)&gt;0,INDEX(Orc_Pct,3)&gt;=1),"🔴 Orçamento de "&amp;INDEX(Orc_Cat,3)&amp;" estourado: "&amp;ROUND(INDEX(Orc_Pct,3)*100,0)&amp;"% usado.",IF(AND(INDEX(Orc_Plan,3)&gt;0,INDEX(Orc_Pct,3)&gt;=0.9),"🟡 Você já usou "&amp;ROUND(INDEX(Orc_Pct,3)*100,0)&amp;"% do orçamento de "&amp;INDEX(Orc_Cat,3)&amp;".",""))</f>
        <v/>
      </c>
      <c r="AI28" s="40">
        <f>N(AI27)+IF(AH28&lt;&gt;"",1,0)</f>
        <v>5</v>
      </c>
    </row>
    <row r="29">
      <c r="B29" s="17" t="inlineStr">
        <is>
          <t>Média mensal de despesas (3 meses fechados)</t>
        </is>
      </c>
      <c r="C29" s="128">
        <f>(SUMIFS(L_VParc,L_Tipo,"Despesa",L_IIni,"&lt;="&amp;(Cfg_Idx-1),L_IFim,"&gt;="&amp;(Cfg_Idx-1))+SUMIFS(L_VParc,L_Tipo,"Despesa",L_IIni,"&lt;="&amp;(Cfg_Idx-2),L_IFim,"&gt;="&amp;(Cfg_Idx-2))+SUMIFS(L_VParc,L_Tipo,"Despesa",L_IIni,"&lt;="&amp;(Cfg_Idx-3),L_IFim,"&gt;="&amp;(Cfg_Idx-3)))/3</f>
        <v>11497.5133333333</v>
      </c>
      <c r="F29" s="14" t="n">
        <v>22</v>
      </c>
      <c r="G29" s="14">
        <f>Sel_Idx-F29</f>
        <v>24299</v>
      </c>
      <c r="H29" s="36">
        <f>SUMIFS(L_VParc,L_Tipo,"Receita",L_IIni,"&lt;="&amp;(G29),L_IFim,"&gt;="&amp;(G29))</f>
        <v>0</v>
      </c>
      <c r="I29" s="36">
        <f>SUMIFS(L_VParc,L_Tipo,"Despesa",L_IIni,"&lt;="&amp;(G29),L_IFim,"&gt;="&amp;(G29))</f>
        <v>0</v>
      </c>
      <c r="J29" s="36">
        <f>SUMIFS(L_VParc,L_Tipo,"Investimento",L_IIni,"&lt;="&amp;(G29),L_IFim,"&gt;="&amp;(G29))</f>
        <v>0</v>
      </c>
      <c r="K29" s="36">
        <f>INDEX(Orc_TotDesp,MOD(G29-1,12)+1)</f>
        <v>12600</v>
      </c>
      <c r="L29" s="14">
        <f>IF(H29&gt;0,IF((H29-I29)/H29&gt;=Cfg_MetaPoup,1,0),0)</f>
        <v>0</v>
      </c>
      <c r="M29" s="14">
        <f>IF(AND(K29&gt;0,I29&gt;0,I29&lt;=K29),1,0)</f>
        <v>0</v>
      </c>
      <c r="N29" s="14">
        <f>IF(J29&gt;0,1,0)</f>
        <v>0</v>
      </c>
      <c r="O29" s="14">
        <f>IF(AND(O28=22,L29=1),23,O28)</f>
        <v>0</v>
      </c>
      <c r="AH29" s="14" t="str">
        <f>IF(AND(INDEX(Orc_Plan,4)&gt;0,INDEX(Orc_Pct,4)&gt;=1),"🔴 Orçamento de "&amp;INDEX(Orc_Cat,4)&amp;" estourado: "&amp;ROUND(INDEX(Orc_Pct,4)*100,0)&amp;"% usado.",IF(AND(INDEX(Orc_Plan,4)&gt;0,INDEX(Orc_Pct,4)&gt;=0.9),"🟡 Você já usou "&amp;ROUND(INDEX(Orc_Pct,4)*100,0)&amp;"% do orçamento de "&amp;INDEX(Orc_Cat,4)&amp;".",""))</f>
        <v>🔴 Orçamento de Saúde estourado: 106% usado.</v>
      </c>
      <c r="AI29" s="40">
        <f>N(AI28)+IF(AH29&lt;&gt;"",1,0)</f>
        <v>6</v>
      </c>
    </row>
    <row r="30">
      <c r="B30" s="17" t="inlineStr">
        <is>
          <t>Média mensal de receitas (3 meses fechados)</t>
        </is>
      </c>
      <c r="C30" s="128">
        <f>(SUMIFS(L_VParc,L_Tipo,"Receita",L_IIni,"&lt;="&amp;(Cfg_Idx-1),L_IFim,"&gt;="&amp;(Cfg_Idx-1))+SUMIFS(L_VParc,L_Tipo,"Receita",L_IIni,"&lt;="&amp;(Cfg_Idx-2),L_IFim,"&gt;="&amp;(Cfg_Idx-2))+SUMIFS(L_VParc,L_Tipo,"Receita",L_IIni,"&lt;="&amp;(Cfg_Idx-3),L_IFim,"&gt;="&amp;(Cfg_Idx-3)))/3</f>
        <v>13581.67</v>
      </c>
      <c r="F30" s="14" t="n">
        <v>23</v>
      </c>
      <c r="G30" s="14">
        <f>Sel_Idx-F30</f>
        <v>24298</v>
      </c>
      <c r="H30" s="36">
        <f>SUMIFS(L_VParc,L_Tipo,"Receita",L_IIni,"&lt;="&amp;(G30),L_IFim,"&gt;="&amp;(G30))</f>
        <v>0</v>
      </c>
      <c r="I30" s="36">
        <f>SUMIFS(L_VParc,L_Tipo,"Despesa",L_IIni,"&lt;="&amp;(G30),L_IFim,"&gt;="&amp;(G30))</f>
        <v>0</v>
      </c>
      <c r="J30" s="36">
        <f>SUMIFS(L_VParc,L_Tipo,"Investimento",L_IIni,"&lt;="&amp;(G30),L_IFim,"&gt;="&amp;(G30))</f>
        <v>0</v>
      </c>
      <c r="K30" s="36">
        <f>INDEX(Orc_TotDesp,MOD(G30-1,12)+1)</f>
        <v>12600</v>
      </c>
      <c r="L30" s="14">
        <f>IF(H30&gt;0,IF((H30-I30)/H30&gt;=Cfg_MetaPoup,1,0),0)</f>
        <v>0</v>
      </c>
      <c r="M30" s="14">
        <f>IF(AND(K30&gt;0,I30&gt;0,I30&lt;=K30),1,0)</f>
        <v>0</v>
      </c>
      <c r="N30" s="14">
        <f>IF(J30&gt;0,1,0)</f>
        <v>0</v>
      </c>
      <c r="O30" s="14">
        <f>IF(AND(O29=23,L30=1),24,O29)</f>
        <v>0</v>
      </c>
      <c r="AH30" s="14" t="str">
        <f>IF(AND(INDEX(Orc_Plan,5)&gt;0,INDEX(Orc_Pct,5)&gt;=1),"🔴 Orçamento de "&amp;INDEX(Orc_Cat,5)&amp;" estourado: "&amp;ROUND(INDEX(Orc_Pct,5)*100,0)&amp;"% usado.",IF(AND(INDEX(Orc_Plan,5)&gt;0,INDEX(Orc_Pct,5)&gt;=0.9),"🟡 Você já usou "&amp;ROUND(INDEX(Orc_Pct,5)*100,0)&amp;"% do orçamento de "&amp;INDEX(Orc_Cat,5)&amp;".",""))</f>
        <v/>
      </c>
      <c r="AI30" s="40">
        <f>N(AI29)+IF(AH30&lt;&gt;"",1,0)</f>
        <v>6</v>
      </c>
    </row>
    <row r="31">
      <c r="B31" s="17" t="inlineStr">
        <is>
          <t>Média mensal das despesas variáveis</t>
        </is>
      </c>
      <c r="C31" s="128">
        <f>SUMIF(Cat_Nat,"Variável",Cat_Med3)</f>
        <v>4874.88333333333</v>
      </c>
      <c r="AH31" s="14" t="str">
        <f>IF(AND(INDEX(Orc_Plan,6)&gt;0,INDEX(Orc_Pct,6)&gt;=1),"🔴 Orçamento de "&amp;INDEX(Orc_Cat,6)&amp;" estourado: "&amp;ROUND(INDEX(Orc_Pct,6)*100,0)&amp;"% usado.",IF(AND(INDEX(Orc_Plan,6)&gt;0,INDEX(Orc_Pct,6)&gt;=0.9),"🟡 Você já usou "&amp;ROUND(INDEX(Orc_Pct,6)*100,0)&amp;"% do orçamento de "&amp;INDEX(Orc_Cat,6)&amp;".",""))</f>
        <v>🔴 Orçamento de Lazer estourado: 236% usado.</v>
      </c>
      <c r="AI31" s="40">
        <f>N(AI30)+IF(AH31&lt;&gt;"",1,0)</f>
        <v>7</v>
      </c>
    </row>
    <row r="32">
      <c r="B32" s="17" t="inlineStr">
        <is>
          <t>Média mensal das despesas fixas</t>
        </is>
      </c>
      <c r="C32" s="128">
        <f>SUMIF(Cat_Nat,"Fixa",Cat_Med3)</f>
        <v>6622.63</v>
      </c>
      <c r="AH32" s="14" t="str">
        <f>IF(AND(INDEX(Orc_Plan,7)&gt;0,INDEX(Orc_Pct,7)&gt;=1),"🔴 Orçamento de "&amp;INDEX(Orc_Cat,7)&amp;" estourado: "&amp;ROUND(INDEX(Orc_Pct,7)*100,0)&amp;"% usado.",IF(AND(INDEX(Orc_Plan,7)&gt;0,INDEX(Orc_Pct,7)&gt;=0.9),"🟡 Você já usou "&amp;ROUND(INDEX(Orc_Pct,7)*100,0)&amp;"% do orçamento de "&amp;INDEX(Orc_Cat,7)&amp;".",""))</f>
        <v/>
      </c>
      <c r="AI32" s="40">
        <f>N(AI31)+IF(AH32&lt;&gt;"",1,0)</f>
        <v>7</v>
      </c>
    </row>
    <row r="33">
      <c r="B33" s="17" t="inlineStr">
        <is>
          <t>Renda mensal considerada</t>
        </is>
      </c>
      <c r="C33" s="128">
        <f>IF(Cfg_Renda&gt;0,Cfg_Renda,K_Med3Rec)</f>
        <v>12800</v>
      </c>
      <c r="AH33" s="14" t="str">
        <f>IF(AND(INDEX(Orc_Plan,8)&gt;0,INDEX(Orc_Pct,8)&gt;=1),"🔴 Orçamento de "&amp;INDEX(Orc_Cat,8)&amp;" estourado: "&amp;ROUND(INDEX(Orc_Pct,8)*100,0)&amp;"% usado.",IF(AND(INDEX(Orc_Plan,8)&gt;0,INDEX(Orc_Pct,8)&gt;=0.9),"🟡 Você já usou "&amp;ROUND(INDEX(Orc_Pct,8)*100,0)&amp;"% do orçamento de "&amp;INDEX(Orc_Cat,8)&amp;".",""))</f>
        <v/>
      </c>
      <c r="AI33" s="40">
        <f>N(AI32)+IF(AH33&lt;&gt;"",1,0)</f>
        <v>7</v>
      </c>
    </row>
    <row r="34">
      <c r="B34" s="17" t="inlineStr">
        <is>
          <t>Saldo livre mensal (renda − despesas médias)</t>
        </is>
      </c>
      <c r="C34" s="128">
        <f>MAX(0,K_RendaBase-K_Med3Desp)</f>
        <v>1302.48666666667</v>
      </c>
      <c r="AH34" s="14" t="str">
        <f>IF(AND(INDEX(Orc_Plan,9)&gt;0,INDEX(Orc_Pct,9)&gt;=1),"🔴 Orçamento de "&amp;INDEX(Orc_Cat,9)&amp;" estourado: "&amp;ROUND(INDEX(Orc_Pct,9)*100,0)&amp;"% usado.",IF(AND(INDEX(Orc_Plan,9)&gt;0,INDEX(Orc_Pct,9)&gt;=0.9),"🟡 Você já usou "&amp;ROUND(INDEX(Orc_Pct,9)*100,0)&amp;"% do orçamento de "&amp;INDEX(Orc_Cat,9)&amp;".",""))</f>
        <v>🟡 Você já usou 100% do orçamento de Dívidas e Financiamentos.</v>
      </c>
      <c r="AI34" s="40">
        <f>N(AI33)+IF(AH34&lt;&gt;"",1,0)</f>
        <v>8</v>
      </c>
    </row>
    <row r="35">
      <c r="AH35" s="14" t="str">
        <f>IF(AND(INDEX(Orc_Plan,10)&gt;0,INDEX(Orc_Pct,10)&gt;=1),"🔴 Orçamento de "&amp;INDEX(Orc_Cat,10)&amp;" estourado: "&amp;ROUND(INDEX(Orc_Pct,10)*100,0)&amp;"% usado.",IF(AND(INDEX(Orc_Plan,10)&gt;0,INDEX(Orc_Pct,10)&gt;=0.9),"🟡 Você já usou "&amp;ROUND(INDEX(Orc_Pct,10)*100,0)&amp;"% do orçamento de "&amp;INDEX(Orc_Cat,10)&amp;".",""))</f>
        <v/>
      </c>
      <c r="AI35" s="40">
        <f>N(AI34)+IF(AH35&lt;&gt;"",1,0)</f>
        <v>8</v>
      </c>
    </row>
    <row r="36">
      <c r="B36" s="6" t="inlineStr">
        <is>
          <t>Indicadores do mês selecionado</t>
        </is>
      </c>
      <c r="AH36" s="14" t="str">
        <f>IF(AND(INDEX(Orc_Plan,11)&gt;0,INDEX(Orc_Pct,11)&gt;=1),"🔴 Orçamento de "&amp;INDEX(Orc_Cat,11)&amp;" estourado: "&amp;ROUND(INDEX(Orc_Pct,11)*100,0)&amp;"% usado.",IF(AND(INDEX(Orc_Plan,11)&gt;0,INDEX(Orc_Pct,11)&gt;=0.9),"🟡 Você já usou "&amp;ROUND(INDEX(Orc_Pct,11)*100,0)&amp;"% do orçamento de "&amp;INDEX(Orc_Cat,11)&amp;".",""))</f>
        <v/>
      </c>
      <c r="AI36" s="40">
        <f>N(AI35)+IF(AH36&lt;&gt;"",1,0)</f>
        <v>8</v>
      </c>
    </row>
    <row r="37">
      <c r="B37" s="17" t="inlineStr">
        <is>
          <t>Receitas do mês</t>
        </is>
      </c>
      <c r="C37" s="128">
        <f>SUMIFS(L_VParc,L_Tipo,"Receita",L_IIni,"&lt;="&amp;(Sel_Idx),L_IFim,"&gt;="&amp;(Sel_Idx))</f>
        <v>12783.87</v>
      </c>
      <c r="AH37" s="14" t="str">
        <f>IF(AND(INDEX(Orc_Plan,12)&gt;0,INDEX(Orc_Pct,12)&gt;=1),"🔴 Orçamento de "&amp;INDEX(Orc_Cat,12)&amp;" estourado: "&amp;ROUND(INDEX(Orc_Pct,12)*100,0)&amp;"% usado.",IF(AND(INDEX(Orc_Plan,12)&gt;0,INDEX(Orc_Pct,12)&gt;=0.9),"🟡 Você já usou "&amp;ROUND(INDEX(Orc_Pct,12)*100,0)&amp;"% do orçamento de "&amp;INDEX(Orc_Cat,12)&amp;".",""))</f>
        <v/>
      </c>
      <c r="AI37" s="40">
        <f>N(AI36)+IF(AH37&lt;&gt;"",1,0)</f>
        <v>8</v>
      </c>
    </row>
    <row r="38">
      <c r="B38" s="17" t="inlineStr">
        <is>
          <t>Receitas do mês anterior</t>
        </is>
      </c>
      <c r="C38" s="128">
        <f>SUMIFS(L_VParc,L_Tipo,"Receita",L_IIni,"&lt;="&amp;(Sel_Idx-1),L_IFim,"&gt;="&amp;(Sel_Idx-1))</f>
        <v>15182.06</v>
      </c>
      <c r="AH38" s="14" t="str">
        <f>IF(AND(INDEX(Orc_Plan,13)&gt;0,INDEX(Orc_Pct,13)&gt;=1),"🔴 Orçamento de "&amp;INDEX(Orc_Cat,13)&amp;" estourado: "&amp;ROUND(INDEX(Orc_Pct,13)*100,0)&amp;"% usado.",IF(AND(INDEX(Orc_Plan,13)&gt;0,INDEX(Orc_Pct,13)&gt;=0.9),"🟡 Você já usou "&amp;ROUND(INDEX(Orc_Pct,13)*100,0)&amp;"% do orçamento de "&amp;INDEX(Orc_Cat,13)&amp;".",""))</f>
        <v>🔴 Orçamento de Outros estourado: 124% usado.</v>
      </c>
      <c r="AI38" s="40">
        <f>N(AI37)+IF(AH38&lt;&gt;"",1,0)</f>
        <v>9</v>
      </c>
    </row>
    <row r="39">
      <c r="B39" s="17" t="inlineStr">
        <is>
          <t>Receitas do mesmo mês do ano anterior</t>
        </is>
      </c>
      <c r="C39" s="128">
        <f>SUMIFS(L_VParc,L_Tipo,"Receita",L_IIni,"&lt;="&amp;(Sel_Idx-12),L_IFim,"&gt;="&amp;(Sel_Idx-12))</f>
        <v>12764.17</v>
      </c>
      <c r="AH39" s="14" t="str">
        <f>IF(AND(INDEX(Orc_Plan,14)&gt;0,INDEX(Orc_Pct,14)&gt;=1),"🔴 Orçamento de "&amp;INDEX(Orc_Cat,14)&amp;" estourado: "&amp;ROUND(INDEX(Orc_Pct,14)*100,0)&amp;"% usado.",IF(AND(INDEX(Orc_Plan,14)&gt;0,INDEX(Orc_Pct,14)&gt;=0.9),"🟡 Você já usou "&amp;ROUND(INDEX(Orc_Pct,14)*100,0)&amp;"% do orçamento de "&amp;INDEX(Orc_Cat,14)&amp;".",""))</f>
        <v/>
      </c>
      <c r="AI39" s="40">
        <f>N(AI38)+IF(AH39&lt;&gt;"",1,0)</f>
        <v>9</v>
      </c>
    </row>
    <row r="40">
      <c r="B40" s="17" t="inlineStr">
        <is>
          <t>Despesas do mês</t>
        </is>
      </c>
      <c r="C40" s="128">
        <f>SUMIFS(L_VParc,L_Tipo,"Despesa",L_IIni,"&lt;="&amp;(Sel_Idx),L_IFim,"&gt;="&amp;(Sel_Idx))</f>
        <v>12384.29</v>
      </c>
      <c r="AH40" s="14" t="str">
        <f>IF(AND(INDEX(Orc_Plan,15)&gt;0,INDEX(Orc_Pct,15)&gt;=1),"🔴 Orçamento de "&amp;INDEX(Orc_Cat,15)&amp;" estourado: "&amp;ROUND(INDEX(Orc_Pct,15)*100,0)&amp;"% usado.",IF(AND(INDEX(Orc_Plan,15)&gt;0,INDEX(Orc_Pct,15)&gt;=0.9),"🟡 Você já usou "&amp;ROUND(INDEX(Orc_Pct,15)*100,0)&amp;"% do orçamento de "&amp;INDEX(Orc_Cat,15)&amp;".",""))</f>
        <v/>
      </c>
      <c r="AI40" s="40">
        <f>N(AI39)+IF(AH40&lt;&gt;"",1,0)</f>
        <v>9</v>
      </c>
    </row>
    <row r="41">
      <c r="B41" s="17" t="inlineStr">
        <is>
          <t>Despesas do mês anterior</t>
        </is>
      </c>
      <c r="C41" s="128">
        <f>SUMIFS(L_VParc,L_Tipo,"Despesa",L_IIni,"&lt;="&amp;(Sel_Idx-1),L_IFim,"&gt;="&amp;(Sel_Idx-1))</f>
        <v>11666.2</v>
      </c>
      <c r="AH41" s="14" t="str">
        <f>IF(AND(INDEX(Orc_Plan,16)&gt;0,INDEX(Orc_Pct,16)&gt;=1),"🔴 Orçamento de "&amp;INDEX(Orc_Cat,16)&amp;" estourado: "&amp;ROUND(INDEX(Orc_Pct,16)*100,0)&amp;"% usado.",IF(AND(INDEX(Orc_Plan,16)&gt;0,INDEX(Orc_Pct,16)&gt;=0.9),"🟡 Você já usou "&amp;ROUND(INDEX(Orc_Pct,16)*100,0)&amp;"% do orçamento de "&amp;INDEX(Orc_Cat,16)&amp;".",""))</f>
        <v/>
      </c>
      <c r="AI41" s="40">
        <f>N(AI40)+IF(AH41&lt;&gt;"",1,0)</f>
        <v>9</v>
      </c>
    </row>
    <row r="42">
      <c r="B42" s="17" t="inlineStr">
        <is>
          <t>Despesas do mesmo mês do ano anterior</t>
        </is>
      </c>
      <c r="C42" s="128">
        <f>SUMIFS(L_VParc,L_Tipo,"Despesa",L_IIni,"&lt;="&amp;(Sel_Idx-12),L_IFim,"&gt;="&amp;(Sel_Idx-12))</f>
        <v>10133.11</v>
      </c>
      <c r="AH42" s="14" t="str">
        <f>IF(AND(INDEX(Orc_Plan,17)&gt;0,INDEX(Orc_Pct,17)&gt;=1),"🔴 Orçamento de "&amp;INDEX(Orc_Cat,17)&amp;" estourado: "&amp;ROUND(INDEX(Orc_Pct,17)*100,0)&amp;"% usado.",IF(AND(INDEX(Orc_Plan,17)&gt;0,INDEX(Orc_Pct,17)&gt;=0.9),"🟡 Você já usou "&amp;ROUND(INDEX(Orc_Pct,17)*100,0)&amp;"% do orçamento de "&amp;INDEX(Orc_Cat,17)&amp;".",""))</f>
        <v/>
      </c>
      <c r="AI42" s="40">
        <f>N(AI41)+IF(AH42&lt;&gt;"",1,0)</f>
        <v>9</v>
      </c>
    </row>
    <row r="43">
      <c r="B43" s="17" t="inlineStr">
        <is>
          <t>Investimentos do mês</t>
        </is>
      </c>
      <c r="C43" s="128">
        <f>SUMIFS(L_VParc,L_Tipo,"Investimento",L_IIni,"&lt;="&amp;(Sel_Idx),L_IFim,"&gt;="&amp;(Sel_Idx))</f>
        <v>2050</v>
      </c>
      <c r="AH43" s="14" t="str">
        <f>IF(AND(INDEX(Orc_Plan,18)&gt;0,INDEX(Orc_Pct,18)&gt;=1),"🔴 Orçamento de "&amp;INDEX(Orc_Cat,18)&amp;" estourado: "&amp;ROUND(INDEX(Orc_Pct,18)*100,0)&amp;"% usado.",IF(AND(INDEX(Orc_Plan,18)&gt;0,INDEX(Orc_Pct,18)&gt;=0.9),"🟡 Você já usou "&amp;ROUND(INDEX(Orc_Pct,18)*100,0)&amp;"% do orçamento de "&amp;INDEX(Orc_Cat,18)&amp;".",""))</f>
        <v/>
      </c>
      <c r="AI43" s="40">
        <f>N(AI42)+IF(AH43&lt;&gt;"",1,0)</f>
        <v>9</v>
      </c>
    </row>
    <row r="44">
      <c r="B44" s="17" t="inlineStr">
        <is>
          <t>Investimentos do mês anterior</t>
        </is>
      </c>
      <c r="C44" s="128">
        <f>SUMIFS(L_VParc,L_Tipo,"Investimento",L_IIni,"&lt;="&amp;(Sel_Idx-1),L_IFim,"&gt;="&amp;(Sel_Idx-1))</f>
        <v>2050</v>
      </c>
      <c r="AH44" s="14" t="str">
        <f>IF(AND(INDEX(Orc_Med3,1)&gt;0,INDEX(Orc_Real,1)&gt;1.2*INDEX(Orc_Med3,1)),"🟡 Gasto com "&amp;INDEX(Orc_Cat,1)&amp;" "&amp;ROUND((INDEX(Orc_Real,1)/INDEX(Orc_Med3,1)-1)*100,0)&amp;"% acima da média dos últimos 3 meses.","")</f>
        <v/>
      </c>
      <c r="AI44" s="40">
        <f>N(AI43)+IF(AH44&lt;&gt;"",1,0)</f>
        <v>9</v>
      </c>
    </row>
    <row r="45">
      <c r="B45" s="17" t="inlineStr">
        <is>
          <t>Investimentos do mesmo mês do ano anterior</t>
        </is>
      </c>
      <c r="C45" s="128">
        <f>SUMIFS(L_VParc,L_Tipo,"Investimento",L_IIni,"&lt;="&amp;(Sel_Idx-12),L_IFim,"&gt;="&amp;(Sel_Idx-12))</f>
        <v>1500</v>
      </c>
      <c r="AH45" s="14" t="str">
        <f>IF(AND(INDEX(Orc_Med3,2)&gt;0,INDEX(Orc_Real,2)&gt;1.2*INDEX(Orc_Med3,2)),"🟡 Gasto com "&amp;INDEX(Orc_Cat,2)&amp;" "&amp;ROUND((INDEX(Orc_Real,2)/INDEX(Orc_Med3,2)-1)*100,0)&amp;"% acima da média dos últimos 3 meses.","")</f>
        <v/>
      </c>
      <c r="AI45" s="40">
        <f>N(AI44)+IF(AH45&lt;&gt;"",1,0)</f>
        <v>9</v>
      </c>
    </row>
    <row r="46">
      <c r="B46" s="17" t="inlineStr">
        <is>
          <t>Saldo do mês</t>
        </is>
      </c>
      <c r="C46" s="128">
        <f>K_Rec-K_Desp</f>
        <v>399.58</v>
      </c>
      <c r="AH46" s="14" t="str">
        <f>IF(AND(INDEX(Orc_Med3,3)&gt;0,INDEX(Orc_Real,3)&gt;1.2*INDEX(Orc_Med3,3)),"🟡 Gasto com "&amp;INDEX(Orc_Cat,3)&amp;" "&amp;ROUND((INDEX(Orc_Real,3)/INDEX(Orc_Med3,3)-1)*100,0)&amp;"% acima da média dos últimos 3 meses.","")</f>
        <v/>
      </c>
      <c r="AI46" s="40">
        <f>N(AI45)+IF(AH46&lt;&gt;"",1,0)</f>
        <v>9</v>
      </c>
    </row>
    <row r="47">
      <c r="B47" s="17" t="inlineStr">
        <is>
          <t>Saldo do mês anterior</t>
        </is>
      </c>
      <c r="C47" s="128">
        <f>K_RecAnt-K_DespAnt</f>
        <v>3515.86</v>
      </c>
      <c r="AH47" s="14" t="str">
        <f>IF(AND(INDEX(Orc_Med3,4)&gt;0,INDEX(Orc_Real,4)&gt;1.2*INDEX(Orc_Med3,4)),"🟡 Gasto com "&amp;INDEX(Orc_Cat,4)&amp;" "&amp;ROUND((INDEX(Orc_Real,4)/INDEX(Orc_Med3,4)-1)*100,0)&amp;"% acima da média dos últimos 3 meses.","")</f>
        <v/>
      </c>
      <c r="AI47" s="40">
        <f>N(AI46)+IF(AH47&lt;&gt;"",1,0)</f>
        <v>9</v>
      </c>
    </row>
    <row r="48">
      <c r="B48" s="17" t="inlineStr">
        <is>
          <t>Saldo do mesmo mês do ano anterior</t>
        </is>
      </c>
      <c r="C48" s="128">
        <f>K_RecAA-K_DespAA</f>
        <v>2631.06</v>
      </c>
      <c r="AH48" s="14" t="str">
        <f>IF(AND(INDEX(Orc_Med3,5)&gt;0,INDEX(Orc_Real,5)&gt;1.2*INDEX(Orc_Med3,5)),"🟡 Gasto com "&amp;INDEX(Orc_Cat,5)&amp;" "&amp;ROUND((INDEX(Orc_Real,5)/INDEX(Orc_Med3,5)-1)*100,0)&amp;"% acima da média dos últimos 3 meses.","")</f>
        <v/>
      </c>
      <c r="AI48" s="40">
        <f>N(AI47)+IF(AH48&lt;&gt;"",1,0)</f>
        <v>9</v>
      </c>
    </row>
    <row r="49">
      <c r="B49" s="17" t="inlineStr">
        <is>
          <t>Taxa de poupança</t>
        </is>
      </c>
      <c r="C49" s="127">
        <f>IFERROR(K_Saldo/K_Rec,0)</f>
        <v>0.0312565756691831</v>
      </c>
      <c r="AH49" s="14" t="str">
        <f>IF(AND(INDEX(Orc_Med3,6)&gt;0,INDEX(Orc_Real,6)&gt;1.2*INDEX(Orc_Med3,6)),"🟡 Gasto com "&amp;INDEX(Orc_Cat,6)&amp;" "&amp;ROUND((INDEX(Orc_Real,6)/INDEX(Orc_Med3,6)-1)*100,0)&amp;"% acima da média dos últimos 3 meses.","")</f>
        <v>🟡 Gasto com Lazer 378% acima da média dos últimos 3 meses.</v>
      </c>
      <c r="AI49" s="40">
        <f>N(AI48)+IF(AH49&lt;&gt;"",1,0)</f>
        <v>10</v>
      </c>
    </row>
    <row r="50">
      <c r="B50" s="17" t="inlineStr">
        <is>
          <t>Taxa de poupança (mês anterior)</t>
        </is>
      </c>
      <c r="C50" s="127">
        <f>IFERROR(K_SaldoAnt/K_RecAnt,0)</f>
        <v>0.231579904176377</v>
      </c>
      <c r="AH50" s="14" t="str">
        <f>IF(AND(INDEX(Orc_Med3,7)&gt;0,INDEX(Orc_Real,7)&gt;1.2*INDEX(Orc_Med3,7)),"🟡 Gasto com "&amp;INDEX(Orc_Cat,7)&amp;" "&amp;ROUND((INDEX(Orc_Real,7)/INDEX(Orc_Med3,7)-1)*100,0)&amp;"% acima da média dos últimos 3 meses.","")</f>
        <v/>
      </c>
      <c r="AI50" s="40">
        <f>N(AI49)+IF(AH50&lt;&gt;"",1,0)</f>
        <v>10</v>
      </c>
    </row>
    <row r="51">
      <c r="B51" s="17" t="inlineStr">
        <is>
          <t>Taxa de poupança (ano anterior)</t>
        </is>
      </c>
      <c r="C51" s="127">
        <f>IFERROR(K_SaldoAA/K_RecAA,0)</f>
        <v>0.206128561434077</v>
      </c>
      <c r="AH51" s="14" t="str">
        <f>IF(AND(INDEX(Orc_Med3,8)&gt;0,INDEX(Orc_Real,8)&gt;1.2*INDEX(Orc_Med3,8)),"🟡 Gasto com "&amp;INDEX(Orc_Cat,8)&amp;" "&amp;ROUND((INDEX(Orc_Real,8)/INDEX(Orc_Med3,8)-1)*100,0)&amp;"% acima da média dos últimos 3 meses.","")</f>
        <v/>
      </c>
      <c r="AI51" s="40">
        <f>N(AI50)+IF(AH51&lt;&gt;"",1,0)</f>
        <v>10</v>
      </c>
    </row>
    <row r="52">
      <c r="B52" s="17" t="inlineStr">
        <is>
          <t>Meta de poupança efetiva</t>
        </is>
      </c>
      <c r="C52" s="127">
        <f>IF(N(Cfg_MetaPoup)=0,0.2,Cfg_MetaPoup)</f>
        <v>0.2</v>
      </c>
      <c r="AH52" s="14" t="str">
        <f>IF(AND(INDEX(Orc_Med3,9)&gt;0,INDEX(Orc_Real,9)&gt;1.2*INDEX(Orc_Med3,9)),"🟡 Gasto com "&amp;INDEX(Orc_Cat,9)&amp;" "&amp;ROUND((INDEX(Orc_Real,9)/INDEX(Orc_Med3,9)-1)*100,0)&amp;"% acima da média dos últimos 3 meses.","")</f>
        <v/>
      </c>
      <c r="AI52" s="40">
        <f>N(AI51)+IF(AH52&lt;&gt;"",1,0)</f>
        <v>10</v>
      </c>
    </row>
    <row r="53">
      <c r="B53" s="17" t="inlineStr">
        <is>
          <t>Saldo total em contas</t>
        </is>
      </c>
      <c r="C53" s="128">
        <f>SUM(Contas_SaldoAtual)</f>
        <v>41099.29</v>
      </c>
      <c r="AH53" s="14" t="str">
        <f>IF(AND(INDEX(Orc_Med3,10)&gt;0,INDEX(Orc_Real,10)&gt;1.2*INDEX(Orc_Med3,10)),"🟡 Gasto com "&amp;INDEX(Orc_Cat,10)&amp;" "&amp;ROUND((INDEX(Orc_Real,10)/INDEX(Orc_Med3,10)-1)*100,0)&amp;"% acima da média dos últimos 3 meses.","")</f>
        <v/>
      </c>
      <c r="AI53" s="40">
        <f>N(AI52)+IF(AH53&lt;&gt;"",1,0)</f>
        <v>10</v>
      </c>
    </row>
    <row r="54">
      <c r="B54" s="17" t="inlineStr">
        <is>
          <t>Reserva de emergência (metas da categoria Reserva)</t>
        </is>
      </c>
      <c r="C54" s="128">
        <f>SUMIFS(Meta_Guardado,Meta_Cat,"Reserva")</f>
        <v>49100</v>
      </c>
      <c r="AH54" s="14" t="str">
        <f>IF(AND(INDEX(Orc_Med3,11)&gt;0,INDEX(Orc_Real,11)&gt;1.2*INDEX(Orc_Med3,11)),"🟡 Gasto com "&amp;INDEX(Orc_Cat,11)&amp;" "&amp;ROUND((INDEX(Orc_Real,11)/INDEX(Orc_Med3,11)-1)*100,0)&amp;"% acima da média dos últimos 3 meses.","")</f>
        <v/>
      </c>
      <c r="AI54" s="40">
        <f>N(AI53)+IF(AH54&lt;&gt;"",1,0)</f>
        <v>10</v>
      </c>
    </row>
    <row r="55">
      <c r="B55" s="17" t="inlineStr">
        <is>
          <t>Custo mensal de referência</t>
        </is>
      </c>
      <c r="C55" s="128">
        <f>IF(K_Med3Desp&gt;0,K_Med3Desp,K_RendaBase)</f>
        <v>11497.5133333333</v>
      </c>
      <c r="AH55" s="14" t="str">
        <f>IF(AND(INDEX(Orc_Med3,12)&gt;0,INDEX(Orc_Real,12)&gt;1.2*INDEX(Orc_Med3,12)),"🟡 Gasto com "&amp;INDEX(Orc_Cat,12)&amp;" "&amp;ROUND((INDEX(Orc_Real,12)/INDEX(Orc_Med3,12)-1)*100,0)&amp;"% acima da média dos últimos 3 meses.","")</f>
        <v/>
      </c>
      <c r="AI55" s="40">
        <f>N(AI54)+IF(AH55&lt;&gt;"",1,0)</f>
        <v>10</v>
      </c>
    </row>
    <row r="56">
      <c r="B56" s="17" t="inlineStr">
        <is>
          <t>Meses cobertos pela reserva</t>
        </is>
      </c>
      <c r="C56" s="129">
        <f>IFERROR(K_Reserva/K_CustoMes,0)</f>
        <v>4.27048863319431</v>
      </c>
      <c r="AH56" s="14" t="str">
        <f>IF(AND(INDEX(Orc_Med3,13)&gt;0,INDEX(Orc_Real,13)&gt;1.2*INDEX(Orc_Med3,13)),"🟡 Gasto com "&amp;INDEX(Orc_Cat,13)&amp;" "&amp;ROUND((INDEX(Orc_Real,13)/INDEX(Orc_Med3,13)-1)*100,0)&amp;"% acima da média dos últimos 3 meses.","")</f>
        <v/>
      </c>
      <c r="AI56" s="40">
        <f>N(AI55)+IF(AH56&lt;&gt;"",1,0)</f>
        <v>10</v>
      </c>
    </row>
    <row r="57">
      <c r="B57" s="17" t="inlineStr">
        <is>
          <t>Meses-alvo da reserva</t>
        </is>
      </c>
      <c r="C57" s="100">
        <f>IF(N(Cfg_MesesReserva)=0,6,Cfg_MesesReserva)</f>
        <v>6</v>
      </c>
      <c r="AH57" s="14" t="str">
        <f>IF(AND(INDEX(Orc_Med3,14)&gt;0,INDEX(Orc_Real,14)&gt;1.2*INDEX(Orc_Med3,14)),"🟡 Gasto com "&amp;INDEX(Orc_Cat,14)&amp;" "&amp;ROUND((INDEX(Orc_Real,14)/INDEX(Orc_Med3,14)-1)*100,0)&amp;"% acima da média dos últimos 3 meses.","")</f>
        <v/>
      </c>
      <c r="AI57" s="40">
        <f>N(AI56)+IF(AH57&lt;&gt;"",1,0)</f>
        <v>10</v>
      </c>
    </row>
    <row r="58">
      <c r="B58" s="17" t="inlineStr">
        <is>
          <t>% da reserva-alvo</t>
        </is>
      </c>
      <c r="C58" s="127">
        <f>IFERROR(K_Reserva/(K_MesesAlvo*K_CustoMes),0)</f>
        <v>0.711748105532385</v>
      </c>
      <c r="AH58" s="14" t="str">
        <f>IF(AND(INDEX(Orc_Med3,15)&gt;0,INDEX(Orc_Real,15)&gt;1.2*INDEX(Orc_Med3,15)),"🟡 Gasto com "&amp;INDEX(Orc_Cat,15)&amp;" "&amp;ROUND((INDEX(Orc_Real,15)/INDEX(Orc_Med3,15)-1)*100,0)&amp;"% acima da média dos últimos 3 meses.","")</f>
        <v/>
      </c>
      <c r="AI58" s="40">
        <f>N(AI57)+IF(AH58&lt;&gt;"",1,0)</f>
        <v>10</v>
      </c>
    </row>
    <row r="59">
      <c r="B59" s="17" t="inlineStr">
        <is>
          <t>Gasto médio diário</t>
        </is>
      </c>
      <c r="C59" s="128">
        <f>IFERROR(K_Desp/IF(Sel_Idx=Cfg_Idx,MAX(1,DAY(Cfg_Hoje)),Sel_Dias),0)</f>
        <v>412.809666666667</v>
      </c>
      <c r="AH59" s="14" t="str">
        <f>IF(AND(INDEX(Orc_Med3,16)&gt;0,INDEX(Orc_Real,16)&gt;1.2*INDEX(Orc_Med3,16)),"🟡 Gasto com "&amp;INDEX(Orc_Cat,16)&amp;" "&amp;ROUND((INDEX(Orc_Real,16)/INDEX(Orc_Med3,16)-1)*100,0)&amp;"% acima da média dos últimos 3 meses.","")</f>
        <v/>
      </c>
      <c r="AI59" s="40">
        <f>N(AI58)+IF(AH59&lt;&gt;"",1,0)</f>
        <v>10</v>
      </c>
    </row>
    <row r="60">
      <c r="B60" s="17" t="inlineStr">
        <is>
          <t>Dias de caixa restantes</t>
        </is>
      </c>
      <c r="C60" s="100">
        <f>IF(K_GastoDia&gt;0,MAX(0,K_SaldoContas)/K_GastoDia,0)</f>
        <v>99.5599021017757</v>
      </c>
      <c r="AH60" s="14" t="str">
        <f>IF(AND(INDEX(Orc_Med3,17)&gt;0,INDEX(Orc_Real,17)&gt;1.2*INDEX(Orc_Med3,17)),"🟡 Gasto com "&amp;INDEX(Orc_Cat,17)&amp;" "&amp;ROUND((INDEX(Orc_Real,17)/INDEX(Orc_Med3,17)-1)*100,0)&amp;"% acima da média dos últimos 3 meses.","")</f>
        <v/>
      </c>
      <c r="AI60" s="40">
        <f>N(AI59)+IF(AH60&lt;&gt;"",1,0)</f>
        <v>10</v>
      </c>
    </row>
    <row r="61">
      <c r="B61" s="17" t="inlineStr">
        <is>
          <t>Poupança/aporte planejado do mês</t>
        </is>
      </c>
      <c r="C61" s="128">
        <f>IF(N(Cfg_MetaAporte)&gt;0,Cfg_MetaAporte,K_PoupMeta*K_RendaBase)</f>
        <v>2100</v>
      </c>
      <c r="AH61" s="14" t="str">
        <f>IF(AND(INDEX(Orc_Med3,18)&gt;0,INDEX(Orc_Real,18)&gt;1.2*INDEX(Orc_Med3,18)),"🟡 Gasto com "&amp;INDEX(Orc_Cat,18)&amp;" "&amp;ROUND((INDEX(Orc_Real,18)/INDEX(Orc_Med3,18)-1)*100,0)&amp;"% acima da média dos últimos 3 meses.","")</f>
        <v/>
      </c>
      <c r="AI61" s="40">
        <f>N(AI60)+IF(AH61&lt;&gt;"",1,0)</f>
        <v>10</v>
      </c>
    </row>
    <row r="62">
      <c r="B62" s="17" t="inlineStr">
        <is>
          <t>% do aporte planejado</t>
        </is>
      </c>
      <c r="C62" s="127">
        <f>IFERROR(K_Apo/K_AporteMeta,0)</f>
        <v>0.976190476190476</v>
      </c>
      <c r="AH62" s="14" t="str">
        <f>IF(INDEX(Card_Nome,1)="","",IF(AND(INDEX(Card_FatAnt,1)&gt;0,N(INDEX(Card_VencAnt,1))-Cfg_Hoje&gt;=0,N(INDEX(Card_VencAnt,1))-Cfg_Hoje&lt;=7),"🟡 Fatura do cartão "&amp;INDEX(Card_Nome,1)&amp;" vence em "&amp;(INDEX(Card_VencAnt,1)-Cfg_Hoje)&amp;" dia(s): R$ "&amp;FIXED(INDEX(Card_FatAnt,1),0)&amp;".",""))</f>
        <v>🟡 Fatura do cartão Cartão Roxinho vence em 2 dia(s): R$ 1,262.</v>
      </c>
      <c r="AI62" s="40">
        <f>N(AI61)+IF(AH62&lt;&gt;"",1,0)</f>
        <v>11</v>
      </c>
    </row>
    <row r="63">
      <c r="AH63" s="14" t="str">
        <f>IF(INDEX(Card_Nome,1)="","",IF(INDEX(Card_Pct,1)&gt;Cfg_LimCartao,"🟡 Cartão "&amp;INDEX(Card_Nome,1)&amp;" com "&amp;ROUND(INDEX(Card_Pct,1)*100,0)&amp;"% do limite usado.",""))</f>
        <v/>
      </c>
      <c r="AI63" s="40">
        <f>N(AI62)+IF(AH63&lt;&gt;"",1,0)</f>
        <v>11</v>
      </c>
    </row>
    <row r="64">
      <c r="B64" s="6" t="inlineStr">
        <is>
          <t>Nota de saúde financeira (0 a 100)</t>
        </is>
      </c>
      <c r="AH64" s="14" t="str">
        <f>IF(INDEX(Card_Nome,2)="","",IF(AND(INDEX(Card_FatAnt,2)&gt;0,N(INDEX(Card_VencAnt,2))-Cfg_Hoje&gt;=0,N(INDEX(Card_VencAnt,2))-Cfg_Hoje&lt;=7),"🟡 Fatura do cartão "&amp;INDEX(Card_Nome,2)&amp;" vence em "&amp;(INDEX(Card_VencAnt,2)-Cfg_Hoje)&amp;" dia(s): R$ "&amp;FIXED(INDEX(Card_FatAnt,2),0)&amp;".",""))</f>
        <v/>
      </c>
      <c r="AI64" s="40">
        <f>N(AI63)+IF(AH64&lt;&gt;"",1,0)</f>
        <v>11</v>
      </c>
    </row>
    <row r="65">
      <c r="B65" s="17" t="inlineStr">
        <is>
          <t>Taxa de poupança (máx. 20)</t>
        </is>
      </c>
      <c r="C65" s="129">
        <f>20*MIN(1,MAX(0,IFERROR(K_Poup/K_PoupMeta,0)))</f>
        <v>3.12565756691831</v>
      </c>
      <c r="AH65" s="14" t="str">
        <f>IF(INDEX(Card_Nome,2)="","",IF(INDEX(Card_Pct,2)&gt;Cfg_LimCartao,"🟡 Cartão "&amp;INDEX(Card_Nome,2)&amp;" com "&amp;ROUND(INDEX(Card_Pct,2)*100,0)&amp;"% do limite usado.",""))</f>
        <v>🟡 Cartão Cartão Azul Gold com 78% do limite usado.</v>
      </c>
      <c r="AI65" s="40">
        <f>N(AI64)+IF(AH65&lt;&gt;"",1,0)</f>
        <v>12</v>
      </c>
    </row>
    <row r="66">
      <c r="B66" s="17" t="inlineStr">
        <is>
          <t>Endividamento sobre a renda (máx. 20)</t>
        </is>
      </c>
      <c r="C66" s="129">
        <f>20*MAX(0,MIN(1,(0.4-Div_PctParc)/0.3))</f>
        <v>15.2604166666667</v>
      </c>
      <c r="AH66" s="14" t="str">
        <f>IF(INDEX(Card_Nome,3)="","",IF(AND(INDEX(Card_FatAnt,3)&gt;0,N(INDEX(Card_VencAnt,3))-Cfg_Hoje&gt;=0,N(INDEX(Card_VencAnt,3))-Cfg_Hoje&lt;=7),"🟡 Fatura do cartão "&amp;INDEX(Card_Nome,3)&amp;" vence em "&amp;(INDEX(Card_VencAnt,3)-Cfg_Hoje)&amp;" dia(s): R$ "&amp;FIXED(INDEX(Card_FatAnt,3),0)&amp;".",""))</f>
        <v/>
      </c>
      <c r="AI66" s="40">
        <f>N(AI65)+IF(AH66&lt;&gt;"",1,0)</f>
        <v>12</v>
      </c>
    </row>
    <row r="67">
      <c r="B67" s="17" t="inlineStr">
        <is>
          <t>Reserva de emergência (máx. 20)</t>
        </is>
      </c>
      <c r="C67" s="129">
        <f>20*MIN(1,IFERROR(K_ReservaMeses/K_MesesAlvo,0))</f>
        <v>14.2349621106477</v>
      </c>
      <c r="AH67" s="14" t="str">
        <f>IF(INDEX(Card_Nome,3)="","",IF(INDEX(Card_Pct,3)&gt;Cfg_LimCartao,"🟡 Cartão "&amp;INDEX(Card_Nome,3)&amp;" com "&amp;ROUND(INDEX(Card_Pct,3)*100,0)&amp;"% do limite usado.",""))</f>
        <v/>
      </c>
      <c r="AI67" s="40">
        <f>N(AI66)+IF(AH67&lt;&gt;"",1,0)</f>
        <v>12</v>
      </c>
    </row>
    <row r="68">
      <c r="B68" s="17" t="inlineStr">
        <is>
          <t>Gastos dentro do orçamento (máx. 20)</t>
        </is>
      </c>
      <c r="C68" s="129">
        <f>IF(Orc_QtdPlan=0,10,20*SUMPRODUCT((Orc_Plan&gt;0)*(Orc_Real&lt;=Orc_Plan))/Orc_QtdPlan)</f>
        <v>13.8461538461538</v>
      </c>
      <c r="AH68" s="14" t="str">
        <f>IF(INDEX(Card_Nome,4)="","",IF(AND(INDEX(Card_FatAnt,4)&gt;0,N(INDEX(Card_VencAnt,4))-Cfg_Hoje&gt;=0,N(INDEX(Card_VencAnt,4))-Cfg_Hoje&lt;=7),"🟡 Fatura do cartão "&amp;INDEX(Card_Nome,4)&amp;" vence em "&amp;(INDEX(Card_VencAnt,4)-Cfg_Hoje)&amp;" dia(s): R$ "&amp;FIXED(INDEX(Card_FatAnt,4),0)&amp;".",""))</f>
        <v/>
      </c>
      <c r="AI68" s="40">
        <f>N(AI67)+IF(AH68&lt;&gt;"",1,0)</f>
        <v>12</v>
      </c>
    </row>
    <row r="69">
      <c r="B69" s="17" t="inlineStr">
        <is>
          <t>Regularidade de aportes (máx. 20)</t>
        </is>
      </c>
      <c r="C69" s="129">
        <f>20*Conq_Apo6/6</f>
        <v>20</v>
      </c>
      <c r="AH69" s="14" t="str">
        <f>IF(INDEX(Card_Nome,4)="","",IF(INDEX(Card_Pct,4)&gt;Cfg_LimCartao,"🟡 Cartão "&amp;INDEX(Card_Nome,4)&amp;" com "&amp;ROUND(INDEX(Card_Pct,4)*100,0)&amp;"% do limite usado.",""))</f>
        <v/>
      </c>
      <c r="AI69" s="40">
        <f>N(AI68)+IF(AH69&lt;&gt;"",1,0)</f>
        <v>12</v>
      </c>
    </row>
    <row r="70">
      <c r="B70" s="17" t="inlineStr">
        <is>
          <t>NOTA FINAL</t>
        </is>
      </c>
      <c r="C70" s="100">
        <f>ROUND(H_Poup+H_Div+H_Res+H_Orc+H_Apo,0)</f>
        <v>66</v>
      </c>
      <c r="AH70" s="14" t="str">
        <f>IF(INDEX(Card_Nome,5)="","",IF(AND(INDEX(Card_FatAnt,5)&gt;0,N(INDEX(Card_VencAnt,5))-Cfg_Hoje&gt;=0,N(INDEX(Card_VencAnt,5))-Cfg_Hoje&lt;=7),"🟡 Fatura do cartão "&amp;INDEX(Card_Nome,5)&amp;" vence em "&amp;(INDEX(Card_VencAnt,5)-Cfg_Hoje)&amp;" dia(s): R$ "&amp;FIXED(INDEX(Card_FatAnt,5),0)&amp;".",""))</f>
        <v/>
      </c>
      <c r="AI70" s="40">
        <f>N(AI69)+IF(AH70&lt;&gt;"",1,0)</f>
        <v>12</v>
      </c>
    </row>
    <row r="71">
      <c r="B71" s="17" t="inlineStr">
        <is>
          <t>Semáforo</t>
        </is>
      </c>
      <c r="C71" s="126" t="str">
        <f>IF(H_Nota&gt;=70,"Saudável",IF(H_Nota&gt;=40,"Atenção","Crítico"))</f>
        <v>Atenção</v>
      </c>
      <c r="AH71" s="14" t="str">
        <f>IF(INDEX(Card_Nome,5)="","",IF(INDEX(Card_Pct,5)&gt;Cfg_LimCartao,"🟡 Cartão "&amp;INDEX(Card_Nome,5)&amp;" com "&amp;ROUND(INDEX(Card_Pct,5)*100,0)&amp;"% do limite usado.",""))</f>
        <v/>
      </c>
      <c r="AI71" s="40">
        <f>N(AI70)+IF(AH71&lt;&gt;"",1,0)</f>
        <v>12</v>
      </c>
    </row>
    <row r="72">
      <c r="AH72" s="14" t="str">
        <f>IF(INDEX(Card_Nome,6)="","",IF(AND(INDEX(Card_FatAnt,6)&gt;0,N(INDEX(Card_VencAnt,6))-Cfg_Hoje&gt;=0,N(INDEX(Card_VencAnt,6))-Cfg_Hoje&lt;=7),"🟡 Fatura do cartão "&amp;INDEX(Card_Nome,6)&amp;" vence em "&amp;(INDEX(Card_VencAnt,6)-Cfg_Hoje)&amp;" dia(s): R$ "&amp;FIXED(INDEX(Card_FatAnt,6),0)&amp;".",""))</f>
        <v/>
      </c>
      <c r="AI72" s="40">
        <f>N(AI71)+IF(AH72&lt;&gt;"",1,0)</f>
        <v>12</v>
      </c>
    </row>
    <row r="73">
      <c r="AH73" s="14" t="str">
        <f>IF(INDEX(Card_Nome,6)="","",IF(INDEX(Card_Pct,6)&gt;Cfg_LimCartao,"🟡 Cartão "&amp;INDEX(Card_Nome,6)&amp;" com "&amp;ROUND(INDEX(Card_Pct,6)*100,0)&amp;"% do limite usado.",""))</f>
        <v/>
      </c>
      <c r="AI73" s="40">
        <f>N(AI72)+IF(AH73&lt;&gt;"",1,0)</f>
        <v>12</v>
      </c>
    </row>
    <row r="74">
      <c r="AH74" s="14" t="str">
        <f>IF(INDEX(Card_Nome,7)="","",IF(AND(INDEX(Card_FatAnt,7)&gt;0,N(INDEX(Card_VencAnt,7))-Cfg_Hoje&gt;=0,N(INDEX(Card_VencAnt,7))-Cfg_Hoje&lt;=7),"🟡 Fatura do cartão "&amp;INDEX(Card_Nome,7)&amp;" vence em "&amp;(INDEX(Card_VencAnt,7)-Cfg_Hoje)&amp;" dia(s): R$ "&amp;FIXED(INDEX(Card_FatAnt,7),0)&amp;".",""))</f>
        <v/>
      </c>
      <c r="AI74" s="40">
        <f>N(AI73)+IF(AH74&lt;&gt;"",1,0)</f>
        <v>12</v>
      </c>
    </row>
    <row r="75">
      <c r="AH75" s="14" t="str">
        <f>IF(INDEX(Card_Nome,7)="","",IF(INDEX(Card_Pct,7)&gt;Cfg_LimCartao,"🟡 Cartão "&amp;INDEX(Card_Nome,7)&amp;" com "&amp;ROUND(INDEX(Card_Pct,7)*100,0)&amp;"% do limite usado.",""))</f>
        <v/>
      </c>
      <c r="AI75" s="40">
        <f>N(AI74)+IF(AH75&lt;&gt;"",1,0)</f>
        <v>12</v>
      </c>
    </row>
    <row r="76">
      <c r="AH76" s="14" t="str">
        <f>IF(INDEX(Card_Nome,8)="","",IF(AND(INDEX(Card_FatAnt,8)&gt;0,N(INDEX(Card_VencAnt,8))-Cfg_Hoje&gt;=0,N(INDEX(Card_VencAnt,8))-Cfg_Hoje&lt;=7),"🟡 Fatura do cartão "&amp;INDEX(Card_Nome,8)&amp;" vence em "&amp;(INDEX(Card_VencAnt,8)-Cfg_Hoje)&amp;" dia(s): R$ "&amp;FIXED(INDEX(Card_FatAnt,8),0)&amp;".",""))</f>
        <v/>
      </c>
      <c r="AI76" s="40">
        <f>N(AI75)+IF(AH76&lt;&gt;"",1,0)</f>
        <v>12</v>
      </c>
    </row>
    <row r="77">
      <c r="AH77" s="14" t="str">
        <f>IF(INDEX(Card_Nome,8)="","",IF(INDEX(Card_Pct,8)&gt;Cfg_LimCartao,"🟡 Cartão "&amp;INDEX(Card_Nome,8)&amp;" com "&amp;ROUND(INDEX(Card_Pct,8)*100,0)&amp;"% do limite usado.",""))</f>
        <v/>
      </c>
      <c r="AI77" s="40">
        <f>N(AI76)+IF(AH77&lt;&gt;"",1,0)</f>
        <v>12</v>
      </c>
    </row>
    <row r="78">
      <c r="AH78" s="14" t="str">
        <f>IF(COUNTIF(L_Alerta,"⚠ Possível*")&gt;0,"🟡 "&amp;COUNTIF(L_Alerta,"⚠ Possível*")&amp;" lançamento(s) com possível duplicidade (veja LANÇAMENTOS).","")</f>
        <v/>
      </c>
      <c r="AI78" s="40">
        <f>N(AI77)+IF(AH78&lt;&gt;"",1,0)</f>
        <v>12</v>
      </c>
    </row>
    <row r="79">
      <c r="AH79" s="14" t="str">
        <f>IF(COUNTIF(L_Alerta,"⚠ Categoria*")&gt;0,"🟡 "&amp;COUNTIF(L_Alerta,"⚠ Categoria*")&amp;" lançamento(s) com categoria incompatível com o tipo.","")</f>
        <v/>
      </c>
      <c r="AI79" s="40">
        <f>N(AI78)+IF(AH79&lt;&gt;"",1,0)</f>
        <v>12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I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AJ418"/>
  <sheetViews>
    <sheetView showGridLines="0" tabSelected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 ht="30" customHeight="1">
      <c r="B1" s="1" t="inlineStr">
        <is>
          <t>SIM_DÍVIDAS (apoio)</t>
        </is>
      </c>
    </row>
    <row r="2" ht="32" customHeight="1">
      <c r="B2" s="2" t="inlineStr">
        <is>
          <t>Motor do simulador de quitação. Não precisa mexer. Esta aba pode ficar oculta.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  <c r="I4" s="4" t="inlineStr">
        <is>
          <t>Backup</t>
        </is>
      </c>
    </row>
    <row r="6">
      <c r="B6" s="6" t="inlineStr">
        <is>
          <t>Parâmetros (ordem de cadastro)</t>
        </is>
      </c>
    </row>
    <row r="7">
      <c r="B7" s="7" t="inlineStr">
        <is>
          <t>d</t>
        </is>
      </c>
      <c r="C7" s="7" t="inlineStr">
        <is>
          <t>Saldo</t>
        </is>
      </c>
      <c r="D7" s="7" t="inlineStr">
        <is>
          <t>Taxa</t>
        </is>
      </c>
      <c r="E7" s="7" t="inlineStr">
        <is>
          <t>Parcela</t>
        </is>
      </c>
      <c r="F7" s="7" t="inlineStr">
        <is>
          <t>Chave bola de neve</t>
        </is>
      </c>
      <c r="G7" s="7" t="inlineStr">
        <is>
          <t>Ordem BN</t>
        </is>
      </c>
      <c r="H7" s="7" t="inlineStr">
        <is>
          <t>Chave avalanche</t>
        </is>
      </c>
      <c r="I7" s="7" t="inlineStr">
        <is>
          <t>Ordem AV</t>
        </is>
      </c>
      <c r="AG7" s="7" t="inlineStr">
        <is>
          <t>Mês</t>
        </is>
      </c>
      <c r="AH7" s="7" t="inlineStr">
        <is>
          <t>Mínimo</t>
        </is>
      </c>
      <c r="AI7" s="7" t="inlineStr">
        <is>
          <t>Bola de Neve</t>
        </is>
      </c>
      <c r="AJ7" s="7" t="inlineStr">
        <is>
          <t>Avalanche</t>
        </is>
      </c>
    </row>
    <row r="8">
      <c r="B8" s="14" t="n">
        <v>1</v>
      </c>
      <c r="C8" s="36">
        <f>IF(OR(INDEX(Div_Nome,1)="",INDEX(Div_Status,1)="Quitada"),0,N(INDEX(Div_Saldo,1)))</f>
        <v>28400</v>
      </c>
      <c r="D8" s="96">
        <f>N(INDEX(Div_Taxa,1))</f>
        <v>0.02</v>
      </c>
      <c r="E8" s="36">
        <f>IF(C8&gt;0,N(INDEX(Div_Parc,1)),0)</f>
        <v>1150</v>
      </c>
      <c r="F8" s="130">
        <f>IF(C8&gt;0,C8+B8/1000000,1000000000000+B8)</f>
        <v>28400.000001</v>
      </c>
      <c r="G8" s="40">
        <f>SUMPRODUCT(--($F$8:$F$15&lt;F8))+1</f>
        <v>3</v>
      </c>
      <c r="H8" s="124">
        <f>IF(C8&gt;0,1-D8+B8/1000000000,1000000000000+B8)</f>
        <v>0.980000001</v>
      </c>
      <c r="I8" s="40">
        <f>SUMPRODUCT(--($H$8:$H$15&lt;H8))+1</f>
        <v>2</v>
      </c>
      <c r="AG8" s="40" t="n">
        <v>0</v>
      </c>
      <c r="AH8" s="36">
        <f>AC30</f>
        <v>37100</v>
      </c>
      <c r="AI8" s="36">
        <f>AC164</f>
        <v>37100</v>
      </c>
      <c r="AJ8" s="36">
        <f>AC298</f>
        <v>37100</v>
      </c>
    </row>
    <row r="9">
      <c r="B9" s="14" t="n">
        <v>2</v>
      </c>
      <c r="C9" s="36">
        <f>IF(OR(INDEX(Div_Nome,2)="",INDEX(Div_Status,2)="Quitada"),0,N(INDEX(Div_Saldo,2)))</f>
        <v>6100</v>
      </c>
      <c r="D9" s="96">
        <f>N(INDEX(Div_Taxa,2))</f>
        <v>0.016</v>
      </c>
      <c r="E9" s="36">
        <f>IF(C9&gt;0,N(INDEX(Div_Parc,2)),0)</f>
        <v>580</v>
      </c>
      <c r="F9" s="130">
        <f>IF(C9&gt;0,C9+B9/1000000,1000000000000+B9)</f>
        <v>6100.000002</v>
      </c>
      <c r="G9" s="40">
        <f>SUMPRODUCT(--($F$8:$F$15&lt;F9))+1</f>
        <v>2</v>
      </c>
      <c r="H9" s="124">
        <f>IF(C9&gt;0,1-D9+B9/1000000000,1000000000000+B9)</f>
        <v>0.984000002</v>
      </c>
      <c r="I9" s="40">
        <f>SUMPRODUCT(--($H$8:$H$15&lt;H9))+1</f>
        <v>3</v>
      </c>
      <c r="AG9" s="40" t="n">
        <v>1</v>
      </c>
      <c r="AH9" s="36">
        <f>AC31</f>
        <v>35666.6</v>
      </c>
      <c r="AI9" s="36">
        <f>AC165</f>
        <v>35066.6</v>
      </c>
      <c r="AJ9" s="36">
        <f>AC299</f>
        <v>35066.6</v>
      </c>
    </row>
    <row r="10">
      <c r="B10" s="14" t="n">
        <v>3</v>
      </c>
      <c r="C10" s="36">
        <f>IF(OR(INDEX(Div_Nome,3)="",INDEX(Div_Status,3)="Quitada"),0,N(INDEX(Div_Saldo,3)))</f>
        <v>2600</v>
      </c>
      <c r="D10" s="96">
        <f>N(INDEX(Div_Taxa,3))</f>
        <v>0.035</v>
      </c>
      <c r="E10" s="36">
        <f>IF(C10&gt;0,N(INDEX(Div_Parc,3)),0)</f>
        <v>460</v>
      </c>
      <c r="F10" s="130">
        <f>IF(C10&gt;0,C10+B10/1000000,1000000000000+B10)</f>
        <v>2600.000003</v>
      </c>
      <c r="G10" s="40">
        <f>SUMPRODUCT(--($F$8:$F$15&lt;F10))+1</f>
        <v>1</v>
      </c>
      <c r="H10" s="124">
        <f>IF(C10&gt;0,1-D10+B10/1000000000,1000000000000+B10)</f>
        <v>0.965000003</v>
      </c>
      <c r="I10" s="40">
        <f>SUMPRODUCT(--($H$8:$H$15&lt;H10))+1</f>
        <v>1</v>
      </c>
      <c r="AG10" s="40" t="n">
        <v>2</v>
      </c>
      <c r="AH10" s="36">
        <f>AC32</f>
        <v>34200.9266</v>
      </c>
      <c r="AI10" s="36">
        <f>AC166</f>
        <v>32979.9266</v>
      </c>
      <c r="AJ10" s="36">
        <f>AC300</f>
        <v>32979.9266</v>
      </c>
    </row>
    <row r="11">
      <c r="B11" s="14" t="n">
        <v>4</v>
      </c>
      <c r="C11" s="36">
        <f>IF(OR(INDEX(Div_Nome,4)="",INDEX(Div_Status,4)="Quitada"),0,N(INDEX(Div_Saldo,4)))</f>
        <v>0</v>
      </c>
      <c r="D11" s="96">
        <f>N(INDEX(Div_Taxa,4))</f>
        <v>0</v>
      </c>
      <c r="E11" s="36">
        <f>IF(C11&gt;0,N(INDEX(Div_Parc,4)),0)</f>
        <v>0</v>
      </c>
      <c r="F11" s="130">
        <f>IF(C11&gt;0,C11+B11/1000000,1000000000000+B11)</f>
        <v>1000000000004</v>
      </c>
      <c r="G11" s="40">
        <f>SUMPRODUCT(--($F$8:$F$15&lt;F11))+1</f>
        <v>4</v>
      </c>
      <c r="H11" s="124">
        <f>IF(C11&gt;0,1-D11+B11/1000000000,1000000000000+B11)</f>
        <v>1000000000004</v>
      </c>
      <c r="I11" s="40">
        <f>SUMPRODUCT(--($H$8:$H$15&lt;H11))+1</f>
        <v>4</v>
      </c>
      <c r="AG11" s="40" t="n">
        <v>3</v>
      </c>
      <c r="AH11" s="36">
        <f>AC33</f>
        <v>32702.1714806</v>
      </c>
      <c r="AI11" s="36">
        <f>AC167</f>
        <v>30838.4364806</v>
      </c>
      <c r="AJ11" s="36">
        <f>AC301</f>
        <v>30838.4364806</v>
      </c>
    </row>
    <row r="12">
      <c r="B12" s="14" t="n">
        <v>5</v>
      </c>
      <c r="C12" s="36">
        <f>IF(OR(INDEX(Div_Nome,5)="",INDEX(Div_Status,5)="Quitada"),0,N(INDEX(Div_Saldo,5)))</f>
        <v>0</v>
      </c>
      <c r="D12" s="96">
        <f>N(INDEX(Div_Taxa,5))</f>
        <v>0</v>
      </c>
      <c r="E12" s="36">
        <f>IF(C12&gt;0,N(INDEX(Div_Parc,5)),0)</f>
        <v>0</v>
      </c>
      <c r="F12" s="130">
        <f>IF(C12&gt;0,C12+B12/1000000,1000000000000+B12)</f>
        <v>1000000000005</v>
      </c>
      <c r="G12" s="40">
        <f>SUMPRODUCT(--($F$8:$F$15&lt;F12))+1</f>
        <v>5</v>
      </c>
      <c r="H12" s="124">
        <f>IF(C12&gt;0,1-D12+B12/1000000000,1000000000000+B12)</f>
        <v>1000000000005</v>
      </c>
      <c r="I12" s="40">
        <f>SUMPRODUCT(--($H$8:$H$15&lt;H12))+1</f>
        <v>5</v>
      </c>
      <c r="AG12" s="40" t="n">
        <v>4</v>
      </c>
      <c r="AH12" s="36">
        <f>AC34</f>
        <v>31169.5038696146</v>
      </c>
      <c r="AI12" s="36">
        <f>AC168</f>
        <v>28648.3268530896</v>
      </c>
      <c r="AJ12" s="36">
        <f>AC302</f>
        <v>28646.6871249896</v>
      </c>
    </row>
    <row r="13">
      <c r="B13" s="14" t="n">
        <v>6</v>
      </c>
      <c r="C13" s="36">
        <f>IF(OR(INDEX(Div_Nome,6)="",INDEX(Div_Status,6)="Quitada"),0,N(INDEX(Div_Saldo,6)))</f>
        <v>0</v>
      </c>
      <c r="D13" s="96">
        <f>N(INDEX(Div_Taxa,6))</f>
        <v>0</v>
      </c>
      <c r="E13" s="36">
        <f>IF(C13&gt;0,N(INDEX(Div_Parc,6)),0)</f>
        <v>0</v>
      </c>
      <c r="F13" s="130">
        <f>IF(C13&gt;0,C13+B13/1000000,1000000000000+B13)</f>
        <v>1000000000006</v>
      </c>
      <c r="G13" s="40">
        <f>SUMPRODUCT(--($F$8:$F$15&lt;F13))+1</f>
        <v>6</v>
      </c>
      <c r="H13" s="124">
        <f>IF(C13&gt;0,1-D13+B13/1000000000,1000000000000+B13)</f>
        <v>1000000000006</v>
      </c>
      <c r="I13" s="40">
        <f>SUMPRODUCT(--($H$8:$H$15&lt;H13))+1</f>
        <v>6</v>
      </c>
      <c r="AG13" s="40" t="n">
        <v>5</v>
      </c>
      <c r="AH13" s="36">
        <f>AC35</f>
        <v>29602.0698636078</v>
      </c>
      <c r="AI13" s="36">
        <f>AC169</f>
        <v>26420.704979315</v>
      </c>
      <c r="AJ13" s="36">
        <f>AC303</f>
        <v>26413.1264929034</v>
      </c>
    </row>
    <row r="14">
      <c r="B14" s="14" t="n">
        <v>7</v>
      </c>
      <c r="C14" s="36">
        <f>IF(OR(INDEX(Div_Nome,7)="",INDEX(Div_Status,7)="Quitada"),0,N(INDEX(Div_Saldo,7)))</f>
        <v>0</v>
      </c>
      <c r="D14" s="96">
        <f>N(INDEX(Div_Taxa,7))</f>
        <v>0</v>
      </c>
      <c r="E14" s="36">
        <f>IF(C14&gt;0,N(INDEX(Div_Parc,7)),0)</f>
        <v>0</v>
      </c>
      <c r="F14" s="130">
        <f>IF(C14&gt;0,C14+B14/1000000,1000000000000+B14)</f>
        <v>1000000000007</v>
      </c>
      <c r="G14" s="40">
        <f>SUMPRODUCT(--($F$8:$F$15&lt;F14))+1</f>
        <v>7</v>
      </c>
      <c r="H14" s="124">
        <f>IF(C14&gt;0,1-D14+B14/1000000000,1000000000000+B14)</f>
        <v>1000000000007</v>
      </c>
      <c r="I14" s="40">
        <f>SUMPRODUCT(--($H$8:$H$15&lt;H14))+1</f>
        <v>7</v>
      </c>
      <c r="AG14" s="40" t="n">
        <v>6</v>
      </c>
      <c r="AH14" s="36">
        <f>AC36</f>
        <v>27998.991727679</v>
      </c>
      <c r="AI14" s="36">
        <f>AC170</f>
        <v>24154.9212534916</v>
      </c>
      <c r="AJ14" s="36">
        <f>AC304</f>
        <v>24136.9507381822</v>
      </c>
    </row>
    <row r="15">
      <c r="B15" s="14" t="n">
        <v>8</v>
      </c>
      <c r="C15" s="36">
        <f>IF(OR(INDEX(Div_Nome,8)="",INDEX(Div_Status,8)="Quitada"),0,N(INDEX(Div_Saldo,8)))</f>
        <v>0</v>
      </c>
      <c r="D15" s="96">
        <f>N(INDEX(Div_Taxa,8))</f>
        <v>0</v>
      </c>
      <c r="E15" s="36">
        <f>IF(C15&gt;0,N(INDEX(Div_Parc,8)),0)</f>
        <v>0</v>
      </c>
      <c r="F15" s="130">
        <f>IF(C15&gt;0,C15+B15/1000000,1000000000000+B15)</f>
        <v>1000000000008</v>
      </c>
      <c r="G15" s="40">
        <f>SUMPRODUCT(--($F$8:$F$15&lt;F15))+1</f>
        <v>8</v>
      </c>
      <c r="H15" s="124">
        <f>IF(C15&gt;0,1-D15+B15/1000000000,1000000000000+B15)</f>
        <v>1000000000008</v>
      </c>
      <c r="I15" s="40">
        <f>SUMPRODUCT(--($H$8:$H$15&lt;H15))+1</f>
        <v>8</v>
      </c>
      <c r="AG15" s="40" t="n">
        <v>7</v>
      </c>
      <c r="AH15" s="36">
        <f>AC37</f>
        <v>26629.9685430871</v>
      </c>
      <c r="AI15" s="36">
        <f>AC171</f>
        <v>21848.0196785614</v>
      </c>
      <c r="AJ15" s="36">
        <f>AC305</f>
        <v>21817.3404558132</v>
      </c>
    </row>
    <row r="16">
      <c r="AG16" s="40" t="n">
        <v>8</v>
      </c>
      <c r="AH16" s="36">
        <f>AC38</f>
        <v>25422.3410280622</v>
      </c>
      <c r="AI16" s="36">
        <f>AC172</f>
        <v>19494.9800721327</v>
      </c>
      <c r="AJ16" s="36">
        <f>AC306</f>
        <v>19453.4603790428</v>
      </c>
    </row>
    <row r="17">
      <c r="B17" s="17" t="inlineStr">
        <is>
          <t>Soma das parcelas (dívidas ativas)</t>
        </is>
      </c>
      <c r="E17" s="36">
        <f>SUM(E8:E15)</f>
        <v>2190</v>
      </c>
      <c r="AG17" s="40" t="n">
        <v>9</v>
      </c>
      <c r="AH17" s="36">
        <f>AC39</f>
        <v>24192.7173325625</v>
      </c>
      <c r="AI17" s="36">
        <f>AC173</f>
        <v>17094.8796735753</v>
      </c>
      <c r="AJ17" s="36">
        <f>AC307</f>
        <v>17044.4590705627</v>
      </c>
    </row>
    <row r="18">
      <c r="B18" s="17" t="inlineStr">
        <is>
          <t>Total dos saldos</t>
        </is>
      </c>
      <c r="C18" s="36">
        <f>SUM(C8:C15)</f>
        <v>37100</v>
      </c>
      <c r="AG18" s="40" t="n">
        <v>10</v>
      </c>
      <c r="AH18" s="36">
        <f>AC40</f>
        <v>22940.6920348958</v>
      </c>
      <c r="AI18" s="36">
        <f>AC174</f>
        <v>14646.7772670468</v>
      </c>
      <c r="AJ18" s="36">
        <f>AC308</f>
        <v>14589.4686076561</v>
      </c>
    </row>
    <row r="19">
      <c r="AG19" s="40" t="n">
        <v>11</v>
      </c>
      <c r="AH19" s="36">
        <f>AC41</f>
        <v>21665.8521569668</v>
      </c>
      <c r="AI19" s="36">
        <f>AC175</f>
        <v>12149.7128123877</v>
      </c>
      <c r="AJ19" s="36">
        <f>AC309</f>
        <v>12087.6042611822</v>
      </c>
    </row>
    <row r="20">
      <c r="AG20" s="40" t="n">
        <v>12</v>
      </c>
      <c r="AH20" s="36">
        <f>AC42</f>
        <v>20594.1637782299</v>
      </c>
      <c r="AI20" s="36">
        <f>AC176</f>
        <v>9602.7070686355</v>
      </c>
      <c r="AJ20" s="36">
        <f>AC310</f>
        <v>9537.96416828085</v>
      </c>
    </row>
    <row r="21">
      <c r="AG21" s="40" t="n">
        <v>13</v>
      </c>
      <c r="AH21" s="36">
        <f>AC43</f>
        <v>19856.0470537945</v>
      </c>
      <c r="AI21" s="36">
        <f>AC177</f>
        <v>7004.76121000821</v>
      </c>
      <c r="AJ21" s="36">
        <f>AC311</f>
        <v>6938.72345164647</v>
      </c>
    </row>
    <row r="22">
      <c r="B22" s="6" t="inlineStr">
        <is>
          <t>Método: Mínimo (sem extra, sem rolagem)</t>
        </is>
      </c>
      <c r="AG22" s="40" t="n">
        <v>14</v>
      </c>
      <c r="AH22" s="36">
        <f>AC44</f>
        <v>19103.1679948704</v>
      </c>
      <c r="AI22" s="36">
        <f>AC178</f>
        <v>4354.85643420838</v>
      </c>
      <c r="AJ22" s="36">
        <f>AC312</f>
        <v>4287.4979206794</v>
      </c>
    </row>
    <row r="23">
      <c r="B23" s="17" t="inlineStr">
        <is>
          <t>Posição p</t>
        </is>
      </c>
      <c r="E23" s="40" t="n">
        <v>1</v>
      </c>
      <c r="F23" s="40" t="n">
        <v>2</v>
      </c>
      <c r="G23" s="40" t="n">
        <v>3</v>
      </c>
      <c r="H23" s="40" t="n">
        <v>4</v>
      </c>
      <c r="I23" s="40" t="n">
        <v>5</v>
      </c>
      <c r="J23" s="40" t="n">
        <v>6</v>
      </c>
      <c r="K23" s="40" t="n">
        <v>7</v>
      </c>
      <c r="L23" s="40" t="n">
        <v>8</v>
      </c>
      <c r="AG23" s="40" t="n">
        <v>15</v>
      </c>
      <c r="AH23" s="36">
        <f>AC45</f>
        <v>18335.2313547678</v>
      </c>
      <c r="AI23" s="36">
        <f>AC179</f>
        <v>1651.95356289255</v>
      </c>
      <c r="AJ23" s="36">
        <f>AC313</f>
        <v>1583.24787909299</v>
      </c>
    </row>
    <row r="24">
      <c r="B24" s="17" t="inlineStr">
        <is>
          <t>Saldo inicial</t>
        </is>
      </c>
      <c r="E24" s="36">
        <f>INDEX($C$8:$C$15,1)</f>
        <v>28400</v>
      </c>
      <c r="F24" s="36">
        <f>INDEX($C$8:$C$15,2)</f>
        <v>6100</v>
      </c>
      <c r="G24" s="36">
        <f>INDEX($C$8:$C$15,3)</f>
        <v>2600</v>
      </c>
      <c r="H24" s="36">
        <f>INDEX($C$8:$C$15,4)</f>
        <v>0</v>
      </c>
      <c r="I24" s="36">
        <f>INDEX($C$8:$C$15,5)</f>
        <v>0</v>
      </c>
      <c r="J24" s="36">
        <f>INDEX($C$8:$C$15,6)</f>
        <v>0</v>
      </c>
      <c r="K24" s="36">
        <f>INDEX($C$8:$C$15,7)</f>
        <v>0</v>
      </c>
      <c r="L24" s="36">
        <f>INDEX($C$8:$C$15,8)</f>
        <v>0</v>
      </c>
      <c r="AG24" s="40" t="n">
        <v>16</v>
      </c>
      <c r="AH24" s="36">
        <f>AC46</f>
        <v>17551.9359818632</v>
      </c>
      <c r="AI24" s="36">
        <f>AC180</f>
        <v>0</v>
      </c>
      <c r="AJ24" s="36">
        <f>AC314</f>
        <v>0</v>
      </c>
    </row>
    <row r="25">
      <c r="B25" s="17" t="inlineStr">
        <is>
          <t>Taxa mensal</t>
        </is>
      </c>
      <c r="E25" s="96">
        <f>INDEX($D$8:$D$15,1)</f>
        <v>0.02</v>
      </c>
      <c r="F25" s="96">
        <f>INDEX($D$8:$D$15,2)</f>
        <v>0.016</v>
      </c>
      <c r="G25" s="96">
        <f>INDEX($D$8:$D$15,3)</f>
        <v>0.035</v>
      </c>
      <c r="H25" s="96">
        <f>INDEX($D$8:$D$15,4)</f>
        <v>0</v>
      </c>
      <c r="I25" s="96">
        <f>INDEX($D$8:$D$15,5)</f>
        <v>0</v>
      </c>
      <c r="J25" s="96">
        <f>INDEX($D$8:$D$15,6)</f>
        <v>0</v>
      </c>
      <c r="K25" s="96">
        <f>INDEX($D$8:$D$15,7)</f>
        <v>0</v>
      </c>
      <c r="L25" s="96">
        <f>INDEX($D$8:$D$15,8)</f>
        <v>0</v>
      </c>
      <c r="AG25" s="40" t="n">
        <v>17</v>
      </c>
      <c r="AH25" s="36">
        <f>AC47</f>
        <v>16752.9747015005</v>
      </c>
      <c r="AI25" s="36">
        <f>AC181</f>
        <v>0</v>
      </c>
      <c r="AJ25" s="36">
        <f>AC315</f>
        <v>0</v>
      </c>
    </row>
    <row r="26">
      <c r="B26" s="17" t="inlineStr">
        <is>
          <t>Parcela</t>
        </is>
      </c>
      <c r="E26" s="36">
        <f>INDEX($E$8:$E$15,1)</f>
        <v>1150</v>
      </c>
      <c r="F26" s="36">
        <f>INDEX($E$8:$E$15,2)</f>
        <v>580</v>
      </c>
      <c r="G26" s="36">
        <f>INDEX($E$8:$E$15,3)</f>
        <v>460</v>
      </c>
      <c r="H26" s="36">
        <f>INDEX($E$8:$E$15,4)</f>
        <v>0</v>
      </c>
      <c r="I26" s="36">
        <f>INDEX($E$8:$E$15,5)</f>
        <v>0</v>
      </c>
      <c r="J26" s="36">
        <f>INDEX($E$8:$E$15,6)</f>
        <v>0</v>
      </c>
      <c r="K26" s="36">
        <f>INDEX($E$8:$E$15,7)</f>
        <v>0</v>
      </c>
      <c r="L26" s="36">
        <f>INDEX($E$8:$E$15,8)</f>
        <v>0</v>
      </c>
      <c r="AG26" s="40" t="n">
        <v>18</v>
      </c>
      <c r="AH26" s="36">
        <f>AC48</f>
        <v>15938.0341955305</v>
      </c>
      <c r="AI26" s="36">
        <f>AC182</f>
        <v>0</v>
      </c>
      <c r="AJ26" s="36">
        <f>AC316</f>
        <v>0</v>
      </c>
    </row>
    <row r="27">
      <c r="B27" s="17" t="inlineStr">
        <is>
          <t>Meses até quitar</t>
        </is>
      </c>
      <c r="E27" s="40">
        <f>IF(E24&lt;=0,0,IF(U150&gt;0.005,121,COUNTIF(U31:U150,"&gt;0.005")+1))</f>
        <v>35</v>
      </c>
      <c r="F27" s="40">
        <f>IF(F24&lt;=0,0,IF(V150&gt;0.005,121,COUNTIF(V31:V150,"&gt;0.005")+1))</f>
        <v>12</v>
      </c>
      <c r="G27" s="40">
        <f>IF(G24&lt;=0,0,IF(W150&gt;0.005,121,COUNTIF(W31:W150,"&gt;0.005")+1))</f>
        <v>7</v>
      </c>
      <c r="H27" s="40">
        <f>IF(H24&lt;=0,0,IF(X150&gt;0.005,121,COUNTIF(X31:X150,"&gt;0.005")+1))</f>
        <v>0</v>
      </c>
      <c r="I27" s="40">
        <f>IF(I24&lt;=0,0,IF(Y150&gt;0.005,121,COUNTIF(Y31:Y150,"&gt;0.005")+1))</f>
        <v>0</v>
      </c>
      <c r="J27" s="40">
        <f>IF(J24&lt;=0,0,IF(Z150&gt;0.005,121,COUNTIF(Z31:Z150,"&gt;0.005")+1))</f>
        <v>0</v>
      </c>
      <c r="K27" s="40">
        <f>IF(K24&lt;=0,0,IF(AA150&gt;0.005,121,COUNTIF(AA31:AA150,"&gt;0.005")+1))</f>
        <v>0</v>
      </c>
      <c r="L27" s="40">
        <f>IF(L24&lt;=0,0,IF(AB150&gt;0.005,121,COUNTIF(AB31:AB150,"&gt;0.005")+1))</f>
        <v>0</v>
      </c>
      <c r="AG27" s="40" t="n">
        <v>19</v>
      </c>
      <c r="AH27" s="36">
        <f>AC49</f>
        <v>15106.7948794411</v>
      </c>
      <c r="AI27" s="36">
        <f>AC183</f>
        <v>0</v>
      </c>
      <c r="AJ27" s="36">
        <f>AC317</f>
        <v>0</v>
      </c>
    </row>
    <row r="28">
      <c r="AG28" s="40" t="n">
        <v>20</v>
      </c>
      <c r="AH28" s="36">
        <f>AC50</f>
        <v>14258.9307770299</v>
      </c>
      <c r="AI28" s="36">
        <f>AC184</f>
        <v>0</v>
      </c>
      <c r="AJ28" s="36">
        <f>AC318</f>
        <v>0</v>
      </c>
    </row>
    <row r="29" ht="30" customHeight="1">
      <c r="B29" s="114" t="inlineStr">
        <is>
          <t>Mês</t>
        </is>
      </c>
      <c r="C29" s="114" t="inlineStr">
        <is>
          <t>Extra disponível</t>
        </is>
      </c>
      <c r="D29" s="114" t="inlineStr">
        <is>
          <t>Mínimos do mês</t>
        </is>
      </c>
      <c r="E29" s="114" t="inlineStr">
        <is>
          <t>Saldo+juros p1</t>
        </is>
      </c>
      <c r="F29" s="114" t="inlineStr">
        <is>
          <t>Saldo+juros p2</t>
        </is>
      </c>
      <c r="G29" s="114" t="inlineStr">
        <is>
          <t>Saldo+juros p3</t>
        </is>
      </c>
      <c r="H29" s="114" t="inlineStr">
        <is>
          <t>Saldo+juros p4</t>
        </is>
      </c>
      <c r="I29" s="114" t="inlineStr">
        <is>
          <t>Saldo+juros p5</t>
        </is>
      </c>
      <c r="J29" s="114" t="inlineStr">
        <is>
          <t>Saldo+juros p6</t>
        </is>
      </c>
      <c r="K29" s="114" t="inlineStr">
        <is>
          <t>Saldo+juros p7</t>
        </is>
      </c>
      <c r="L29" s="114" t="inlineStr">
        <is>
          <t>Saldo+juros p8</t>
        </is>
      </c>
      <c r="M29" s="114" t="inlineStr">
        <is>
          <t>Extra p1</t>
        </is>
      </c>
      <c r="N29" s="114" t="inlineStr">
        <is>
          <t>Extra p2</t>
        </is>
      </c>
      <c r="O29" s="114" t="inlineStr">
        <is>
          <t>Extra p3</t>
        </is>
      </c>
      <c r="P29" s="114" t="inlineStr">
        <is>
          <t>Extra p4</t>
        </is>
      </c>
      <c r="Q29" s="114" t="inlineStr">
        <is>
          <t>Extra p5</t>
        </is>
      </c>
      <c r="R29" s="114" t="inlineStr">
        <is>
          <t>Extra p6</t>
        </is>
      </c>
      <c r="S29" s="114" t="inlineStr">
        <is>
          <t>Extra p7</t>
        </is>
      </c>
      <c r="T29" s="114" t="inlineStr">
        <is>
          <t>Extra p8</t>
        </is>
      </c>
      <c r="U29" s="114" t="inlineStr">
        <is>
          <t>Saldo após p1</t>
        </is>
      </c>
      <c r="V29" s="114" t="inlineStr">
        <is>
          <t>Saldo após p2</t>
        </is>
      </c>
      <c r="W29" s="114" t="inlineStr">
        <is>
          <t>Saldo após p3</t>
        </is>
      </c>
      <c r="X29" s="114" t="inlineStr">
        <is>
          <t>Saldo após p4</t>
        </is>
      </c>
      <c r="Y29" s="114" t="inlineStr">
        <is>
          <t>Saldo após p5</t>
        </is>
      </c>
      <c r="Z29" s="114" t="inlineStr">
        <is>
          <t>Saldo após p6</t>
        </is>
      </c>
      <c r="AA29" s="114" t="inlineStr">
        <is>
          <t>Saldo após p7</t>
        </is>
      </c>
      <c r="AB29" s="114" t="inlineStr">
        <is>
          <t>Saldo após p8</t>
        </is>
      </c>
      <c r="AC29" s="114" t="inlineStr">
        <is>
          <t>Saldo total</t>
        </is>
      </c>
      <c r="AD29" s="114" t="inlineStr">
        <is>
          <t>Pago no mês</t>
        </is>
      </c>
      <c r="AG29" s="40" t="n">
        <v>21</v>
      </c>
      <c r="AH29" s="36">
        <f>AC51</f>
        <v>13394.1093925705</v>
      </c>
      <c r="AI29" s="36">
        <f>AC185</f>
        <v>0</v>
      </c>
      <c r="AJ29" s="36">
        <f>AC319</f>
        <v>0</v>
      </c>
    </row>
    <row r="30">
      <c r="B30" s="40" t="n">
        <v>0</v>
      </c>
      <c r="U30" s="36">
        <f>E$24</f>
        <v>28400</v>
      </c>
      <c r="V30" s="36">
        <f>F$24</f>
        <v>6100</v>
      </c>
      <c r="W30" s="36">
        <f>G$24</f>
        <v>2600</v>
      </c>
      <c r="X30" s="36">
        <f>H$24</f>
        <v>0</v>
      </c>
      <c r="Y30" s="36">
        <f>I$24</f>
        <v>0</v>
      </c>
      <c r="Z30" s="36">
        <f>J$24</f>
        <v>0</v>
      </c>
      <c r="AA30" s="36">
        <f>K$24</f>
        <v>0</v>
      </c>
      <c r="AB30" s="36">
        <f>L$24</f>
        <v>0</v>
      </c>
      <c r="AC30" s="36">
        <f>SUM(U30:AB30)</f>
        <v>37100</v>
      </c>
      <c r="AG30" s="40" t="n">
        <v>22</v>
      </c>
      <c r="AH30" s="36">
        <f>AC52</f>
        <v>12511.9915804219</v>
      </c>
      <c r="AI30" s="36">
        <f>AC186</f>
        <v>0</v>
      </c>
      <c r="AJ30" s="36">
        <f>AC320</f>
        <v>0</v>
      </c>
    </row>
    <row r="31">
      <c r="B31" s="40" t="n">
        <v>1</v>
      </c>
      <c r="C31" s="36" t="n">
        <v>0</v>
      </c>
      <c r="D31" s="36">
        <f>MIN(E$26,E31)+MIN(F$26,F31)+MIN(G$26,G31)+MIN(H$26,H31)+MIN(I$26,I31)+MIN(J$26,J31)+MIN(K$26,K31)+MIN(L$26,L31)</f>
        <v>2190</v>
      </c>
      <c r="E31" s="36">
        <f>U30*(1+E$25)</f>
        <v>28968</v>
      </c>
      <c r="F31" s="36">
        <f>V30*(1+F$25)</f>
        <v>6197.6</v>
      </c>
      <c r="G31" s="36">
        <f>W30*(1+G$25)</f>
        <v>2691</v>
      </c>
      <c r="H31" s="36">
        <f>X30*(1+H$25)</f>
        <v>0</v>
      </c>
      <c r="I31" s="36">
        <f>Y30*(1+I$25)</f>
        <v>0</v>
      </c>
      <c r="J31" s="36">
        <f>Z30*(1+J$25)</f>
        <v>0</v>
      </c>
      <c r="K31" s="36">
        <f>AA30*(1+K$25)</f>
        <v>0</v>
      </c>
      <c r="L31" s="36">
        <f>AB30*(1+L$25)</f>
        <v>0</v>
      </c>
      <c r="M31" s="36">
        <f>MIN(E31-MIN(E$26,E31),MAX(0,$C31-0))</f>
        <v>0</v>
      </c>
      <c r="N31" s="36">
        <f>MIN(F31-MIN(F$26,F31),MAX(0,$C31-SUM($M31:M31)))</f>
        <v>0</v>
      </c>
      <c r="O31" s="36">
        <f>MIN(G31-MIN(G$26,G31),MAX(0,$C31-SUM($M31:N31)))</f>
        <v>0</v>
      </c>
      <c r="P31" s="36">
        <f>MIN(H31-MIN(H$26,H31),MAX(0,$C31-SUM($M31:O31)))</f>
        <v>0</v>
      </c>
      <c r="Q31" s="36">
        <f>MIN(I31-MIN(I$26,I31),MAX(0,$C31-SUM($M31:P31)))</f>
        <v>0</v>
      </c>
      <c r="R31" s="36">
        <f>MIN(J31-MIN(J$26,J31),MAX(0,$C31-SUM($M31:Q31)))</f>
        <v>0</v>
      </c>
      <c r="S31" s="36">
        <f>MIN(K31-MIN(K$26,K31),MAX(0,$C31-SUM($M31:R31)))</f>
        <v>0</v>
      </c>
      <c r="T31" s="36">
        <f>MIN(L31-MIN(L$26,L31),MAX(0,$C31-SUM($M31:S31)))</f>
        <v>0</v>
      </c>
      <c r="U31" s="36">
        <f>IF(E31-MIN(E$26,E31)-M31&lt;0.005,0,E31-MIN(E$26,E31)-M31)</f>
        <v>27818</v>
      </c>
      <c r="V31" s="36">
        <f>IF(F31-MIN(F$26,F31)-N31&lt;0.005,0,F31-MIN(F$26,F31)-N31)</f>
        <v>5617.6</v>
      </c>
      <c r="W31" s="36">
        <f>IF(G31-MIN(G$26,G31)-O31&lt;0.005,0,G31-MIN(G$26,G31)-O31)</f>
        <v>2231</v>
      </c>
      <c r="X31" s="36">
        <f>IF(H31-MIN(H$26,H31)-P31&lt;0.005,0,H31-MIN(H$26,H31)-P31)</f>
        <v>0</v>
      </c>
      <c r="Y31" s="36">
        <f>IF(I31-MIN(I$26,I31)-Q31&lt;0.005,0,I31-MIN(I$26,I31)-Q31)</f>
        <v>0</v>
      </c>
      <c r="Z31" s="36">
        <f>IF(J31-MIN(J$26,J31)-R31&lt;0.005,0,J31-MIN(J$26,J31)-R31)</f>
        <v>0</v>
      </c>
      <c r="AA31" s="36">
        <f>IF(K31-MIN(K$26,K31)-S31&lt;0.005,0,K31-MIN(K$26,K31)-S31)</f>
        <v>0</v>
      </c>
      <c r="AB31" s="36">
        <f>IF(L31-MIN(L$26,L31)-T31&lt;0.005,0,L31-MIN(L$26,L31)-T31)</f>
        <v>0</v>
      </c>
      <c r="AC31" s="36">
        <f>SUM(U31:AB31)</f>
        <v>35666.6</v>
      </c>
      <c r="AD31" s="36">
        <f>D31+SUM(M31:T31)</f>
        <v>2190</v>
      </c>
      <c r="AG31" s="40" t="n">
        <v>23</v>
      </c>
      <c r="AH31" s="36">
        <f>AC53</f>
        <v>11612.2314120303</v>
      </c>
      <c r="AI31" s="36">
        <f>AC187</f>
        <v>0</v>
      </c>
      <c r="AJ31" s="36">
        <f>AC321</f>
        <v>0</v>
      </c>
    </row>
    <row r="32">
      <c r="B32" s="40" t="n">
        <v>2</v>
      </c>
      <c r="C32" s="36" t="n">
        <v>0</v>
      </c>
      <c r="D32" s="36">
        <f>MIN(E$26,E32)+MIN(F$26,F32)+MIN(G$26,G32)+MIN(H$26,H32)+MIN(I$26,I32)+MIN(J$26,J32)+MIN(K$26,K32)+MIN(L$26,L32)</f>
        <v>2190</v>
      </c>
      <c r="E32" s="36">
        <f>U31*(1+E$25)</f>
        <v>28374.36</v>
      </c>
      <c r="F32" s="36">
        <f>V31*(1+F$25)</f>
        <v>5707.4816</v>
      </c>
      <c r="G32" s="36">
        <f>W31*(1+G$25)</f>
        <v>2309.085</v>
      </c>
      <c r="H32" s="36">
        <f>X31*(1+H$25)</f>
        <v>0</v>
      </c>
      <c r="I32" s="36">
        <f>Y31*(1+I$25)</f>
        <v>0</v>
      </c>
      <c r="J32" s="36">
        <f>Z31*(1+J$25)</f>
        <v>0</v>
      </c>
      <c r="K32" s="36">
        <f>AA31*(1+K$25)</f>
        <v>0</v>
      </c>
      <c r="L32" s="36">
        <f>AB31*(1+L$25)</f>
        <v>0</v>
      </c>
      <c r="M32" s="36">
        <f>MIN(E32-MIN(E$26,E32),MAX(0,$C32-0))</f>
        <v>0</v>
      </c>
      <c r="N32" s="36">
        <f>MIN(F32-MIN(F$26,F32),MAX(0,$C32-SUM($M32:M32)))</f>
        <v>0</v>
      </c>
      <c r="O32" s="36">
        <f>MIN(G32-MIN(G$26,G32),MAX(0,$C32-SUM($M32:N32)))</f>
        <v>0</v>
      </c>
      <c r="P32" s="36">
        <f>MIN(H32-MIN(H$26,H32),MAX(0,$C32-SUM($M32:O32)))</f>
        <v>0</v>
      </c>
      <c r="Q32" s="36">
        <f>MIN(I32-MIN(I$26,I32),MAX(0,$C32-SUM($M32:P32)))</f>
        <v>0</v>
      </c>
      <c r="R32" s="36">
        <f>MIN(J32-MIN(J$26,J32),MAX(0,$C32-SUM($M32:Q32)))</f>
        <v>0</v>
      </c>
      <c r="S32" s="36">
        <f>MIN(K32-MIN(K$26,K32),MAX(0,$C32-SUM($M32:R32)))</f>
        <v>0</v>
      </c>
      <c r="T32" s="36">
        <f>MIN(L32-MIN(L$26,L32),MAX(0,$C32-SUM($M32:S32)))</f>
        <v>0</v>
      </c>
      <c r="U32" s="36">
        <f>IF(E32-MIN(E$26,E32)-M32&lt;0.005,0,E32-MIN(E$26,E32)-M32)</f>
        <v>27224.36</v>
      </c>
      <c r="V32" s="36">
        <f>IF(F32-MIN(F$26,F32)-N32&lt;0.005,0,F32-MIN(F$26,F32)-N32)</f>
        <v>5127.4816</v>
      </c>
      <c r="W32" s="36">
        <f>IF(G32-MIN(G$26,G32)-O32&lt;0.005,0,G32-MIN(G$26,G32)-O32)</f>
        <v>1849.085</v>
      </c>
      <c r="X32" s="36">
        <f>IF(H32-MIN(H$26,H32)-P32&lt;0.005,0,H32-MIN(H$26,H32)-P32)</f>
        <v>0</v>
      </c>
      <c r="Y32" s="36">
        <f>IF(I32-MIN(I$26,I32)-Q32&lt;0.005,0,I32-MIN(I$26,I32)-Q32)</f>
        <v>0</v>
      </c>
      <c r="Z32" s="36">
        <f>IF(J32-MIN(J$26,J32)-R32&lt;0.005,0,J32-MIN(J$26,J32)-R32)</f>
        <v>0</v>
      </c>
      <c r="AA32" s="36">
        <f>IF(K32-MIN(K$26,K32)-S32&lt;0.005,0,K32-MIN(K$26,K32)-S32)</f>
        <v>0</v>
      </c>
      <c r="AB32" s="36">
        <f>IF(L32-MIN(L$26,L32)-T32&lt;0.005,0,L32-MIN(L$26,L32)-T32)</f>
        <v>0</v>
      </c>
      <c r="AC32" s="36">
        <f>SUM(U32:AB32)</f>
        <v>34200.9266</v>
      </c>
      <c r="AD32" s="36">
        <f>D32+SUM(M32:T32)</f>
        <v>2190</v>
      </c>
      <c r="AG32" s="40" t="n">
        <v>24</v>
      </c>
      <c r="AH32" s="36">
        <f>AC54</f>
        <v>10694.476040271</v>
      </c>
      <c r="AI32" s="36">
        <f>AC188</f>
        <v>0</v>
      </c>
      <c r="AJ32" s="36">
        <f>AC322</f>
        <v>0</v>
      </c>
    </row>
    <row r="33">
      <c r="B33" s="40" t="n">
        <v>3</v>
      </c>
      <c r="C33" s="36" t="n">
        <v>0</v>
      </c>
      <c r="D33" s="36">
        <f>MIN(E$26,E33)+MIN(F$26,F33)+MIN(G$26,G33)+MIN(H$26,H33)+MIN(I$26,I33)+MIN(J$26,J33)+MIN(K$26,K33)+MIN(L$26,L33)</f>
        <v>2190</v>
      </c>
      <c r="E33" s="36">
        <f>U32*(1+E$25)</f>
        <v>27768.8472</v>
      </c>
      <c r="F33" s="36">
        <f>V32*(1+F$25)</f>
        <v>5209.5213056</v>
      </c>
      <c r="G33" s="36">
        <f>W32*(1+G$25)</f>
        <v>1913.802975</v>
      </c>
      <c r="H33" s="36">
        <f>X32*(1+H$25)</f>
        <v>0</v>
      </c>
      <c r="I33" s="36">
        <f>Y32*(1+I$25)</f>
        <v>0</v>
      </c>
      <c r="J33" s="36">
        <f>Z32*(1+J$25)</f>
        <v>0</v>
      </c>
      <c r="K33" s="36">
        <f>AA32*(1+K$25)</f>
        <v>0</v>
      </c>
      <c r="L33" s="36">
        <f>AB32*(1+L$25)</f>
        <v>0</v>
      </c>
      <c r="M33" s="36">
        <f>MIN(E33-MIN(E$26,E33),MAX(0,$C33-0))</f>
        <v>0</v>
      </c>
      <c r="N33" s="36">
        <f>MIN(F33-MIN(F$26,F33),MAX(0,$C33-SUM($M33:M33)))</f>
        <v>0</v>
      </c>
      <c r="O33" s="36">
        <f>MIN(G33-MIN(G$26,G33),MAX(0,$C33-SUM($M33:N33)))</f>
        <v>0</v>
      </c>
      <c r="P33" s="36">
        <f>MIN(H33-MIN(H$26,H33),MAX(0,$C33-SUM($M33:O33)))</f>
        <v>0</v>
      </c>
      <c r="Q33" s="36">
        <f>MIN(I33-MIN(I$26,I33),MAX(0,$C33-SUM($M33:P33)))</f>
        <v>0</v>
      </c>
      <c r="R33" s="36">
        <f>MIN(J33-MIN(J$26,J33),MAX(0,$C33-SUM($M33:Q33)))</f>
        <v>0</v>
      </c>
      <c r="S33" s="36">
        <f>MIN(K33-MIN(K$26,K33),MAX(0,$C33-SUM($M33:R33)))</f>
        <v>0</v>
      </c>
      <c r="T33" s="36">
        <f>MIN(L33-MIN(L$26,L33),MAX(0,$C33-SUM($M33:S33)))</f>
        <v>0</v>
      </c>
      <c r="U33" s="36">
        <f>IF(E33-MIN(E$26,E33)-M33&lt;0.005,0,E33-MIN(E$26,E33)-M33)</f>
        <v>26618.8472</v>
      </c>
      <c r="V33" s="36">
        <f>IF(F33-MIN(F$26,F33)-N33&lt;0.005,0,F33-MIN(F$26,F33)-N33)</f>
        <v>4629.5213056</v>
      </c>
      <c r="W33" s="36">
        <f>IF(G33-MIN(G$26,G33)-O33&lt;0.005,0,G33-MIN(G$26,G33)-O33)</f>
        <v>1453.802975</v>
      </c>
      <c r="X33" s="36">
        <f>IF(H33-MIN(H$26,H33)-P33&lt;0.005,0,H33-MIN(H$26,H33)-P33)</f>
        <v>0</v>
      </c>
      <c r="Y33" s="36">
        <f>IF(I33-MIN(I$26,I33)-Q33&lt;0.005,0,I33-MIN(I$26,I33)-Q33)</f>
        <v>0</v>
      </c>
      <c r="Z33" s="36">
        <f>IF(J33-MIN(J$26,J33)-R33&lt;0.005,0,J33-MIN(J$26,J33)-R33)</f>
        <v>0</v>
      </c>
      <c r="AA33" s="36">
        <f>IF(K33-MIN(K$26,K33)-S33&lt;0.005,0,K33-MIN(K$26,K33)-S33)</f>
        <v>0</v>
      </c>
      <c r="AB33" s="36">
        <f>IF(L33-MIN(L$26,L33)-T33&lt;0.005,0,L33-MIN(L$26,L33)-T33)</f>
        <v>0</v>
      </c>
      <c r="AC33" s="36">
        <f>SUM(U33:AB33)</f>
        <v>32702.1714806</v>
      </c>
      <c r="AD33" s="36">
        <f>D33+SUM(M33:T33)</f>
        <v>2190</v>
      </c>
      <c r="AG33" s="40" t="n">
        <v>25</v>
      </c>
      <c r="AH33" s="36">
        <f>AC55</f>
        <v>9758.36556107637</v>
      </c>
      <c r="AI33" s="36">
        <f>AC189</f>
        <v>0</v>
      </c>
      <c r="AJ33" s="36">
        <f>AC323</f>
        <v>0</v>
      </c>
    </row>
    <row r="34">
      <c r="B34" s="40" t="n">
        <v>4</v>
      </c>
      <c r="C34" s="36" t="n">
        <v>0</v>
      </c>
      <c r="D34" s="36">
        <f>MIN(E$26,E34)+MIN(F$26,F34)+MIN(G$26,G34)+MIN(H$26,H34)+MIN(I$26,I34)+MIN(J$26,J34)+MIN(K$26,K34)+MIN(L$26,L34)</f>
        <v>2190</v>
      </c>
      <c r="E34" s="36">
        <f>U33*(1+E$25)</f>
        <v>27151.224144</v>
      </c>
      <c r="F34" s="36">
        <f>V33*(1+F$25)</f>
        <v>4703.5936464896</v>
      </c>
      <c r="G34" s="36">
        <f>W33*(1+G$25)</f>
        <v>1504.686079125</v>
      </c>
      <c r="H34" s="36">
        <f>X33*(1+H$25)</f>
        <v>0</v>
      </c>
      <c r="I34" s="36">
        <f>Y33*(1+I$25)</f>
        <v>0</v>
      </c>
      <c r="J34" s="36">
        <f>Z33*(1+J$25)</f>
        <v>0</v>
      </c>
      <c r="K34" s="36">
        <f>AA33*(1+K$25)</f>
        <v>0</v>
      </c>
      <c r="L34" s="36">
        <f>AB33*(1+L$25)</f>
        <v>0</v>
      </c>
      <c r="M34" s="36">
        <f>MIN(E34-MIN(E$26,E34),MAX(0,$C34-0))</f>
        <v>0</v>
      </c>
      <c r="N34" s="36">
        <f>MIN(F34-MIN(F$26,F34),MAX(0,$C34-SUM($M34:M34)))</f>
        <v>0</v>
      </c>
      <c r="O34" s="36">
        <f>MIN(G34-MIN(G$26,G34),MAX(0,$C34-SUM($M34:N34)))</f>
        <v>0</v>
      </c>
      <c r="P34" s="36">
        <f>MIN(H34-MIN(H$26,H34),MAX(0,$C34-SUM($M34:O34)))</f>
        <v>0</v>
      </c>
      <c r="Q34" s="36">
        <f>MIN(I34-MIN(I$26,I34),MAX(0,$C34-SUM($M34:P34)))</f>
        <v>0</v>
      </c>
      <c r="R34" s="36">
        <f>MIN(J34-MIN(J$26,J34),MAX(0,$C34-SUM($M34:Q34)))</f>
        <v>0</v>
      </c>
      <c r="S34" s="36">
        <f>MIN(K34-MIN(K$26,K34),MAX(0,$C34-SUM($M34:R34)))</f>
        <v>0</v>
      </c>
      <c r="T34" s="36">
        <f>MIN(L34-MIN(L$26,L34),MAX(0,$C34-SUM($M34:S34)))</f>
        <v>0</v>
      </c>
      <c r="U34" s="36">
        <f>IF(E34-MIN(E$26,E34)-M34&lt;0.005,0,E34-MIN(E$26,E34)-M34)</f>
        <v>26001.224144</v>
      </c>
      <c r="V34" s="36">
        <f>IF(F34-MIN(F$26,F34)-N34&lt;0.005,0,F34-MIN(F$26,F34)-N34)</f>
        <v>4123.5936464896</v>
      </c>
      <c r="W34" s="36">
        <f>IF(G34-MIN(G$26,G34)-O34&lt;0.005,0,G34-MIN(G$26,G34)-O34)</f>
        <v>1044.686079125</v>
      </c>
      <c r="X34" s="36">
        <f>IF(H34-MIN(H$26,H34)-P34&lt;0.005,0,H34-MIN(H$26,H34)-P34)</f>
        <v>0</v>
      </c>
      <c r="Y34" s="36">
        <f>IF(I34-MIN(I$26,I34)-Q34&lt;0.005,0,I34-MIN(I$26,I34)-Q34)</f>
        <v>0</v>
      </c>
      <c r="Z34" s="36">
        <f>IF(J34-MIN(J$26,J34)-R34&lt;0.005,0,J34-MIN(J$26,J34)-R34)</f>
        <v>0</v>
      </c>
      <c r="AA34" s="36">
        <f>IF(K34-MIN(K$26,K34)-S34&lt;0.005,0,K34-MIN(K$26,K34)-S34)</f>
        <v>0</v>
      </c>
      <c r="AB34" s="36">
        <f>IF(L34-MIN(L$26,L34)-T34&lt;0.005,0,L34-MIN(L$26,L34)-T34)</f>
        <v>0</v>
      </c>
      <c r="AC34" s="36">
        <f>SUM(U34:AB34)</f>
        <v>31169.5038696146</v>
      </c>
      <c r="AD34" s="36">
        <f>D34+SUM(M34:T34)</f>
        <v>2190</v>
      </c>
      <c r="AG34" s="40" t="n">
        <v>26</v>
      </c>
      <c r="AH34" s="36">
        <f>AC56</f>
        <v>8803.5328722979</v>
      </c>
      <c r="AI34" s="36">
        <f>AC190</f>
        <v>0</v>
      </c>
      <c r="AJ34" s="36">
        <f>AC324</f>
        <v>0</v>
      </c>
    </row>
    <row r="35">
      <c r="B35" s="40" t="n">
        <v>5</v>
      </c>
      <c r="C35" s="36" t="n">
        <v>0</v>
      </c>
      <c r="D35" s="36">
        <f>MIN(E$26,E35)+MIN(F$26,F35)+MIN(G$26,G35)+MIN(H$26,H35)+MIN(I$26,I35)+MIN(J$26,J35)+MIN(K$26,K35)+MIN(L$26,L35)</f>
        <v>2190</v>
      </c>
      <c r="E35" s="36">
        <f>U34*(1+E$25)</f>
        <v>26521.24862688</v>
      </c>
      <c r="F35" s="36">
        <f>V34*(1+F$25)</f>
        <v>4189.57114483343</v>
      </c>
      <c r="G35" s="36">
        <f>W34*(1+G$25)</f>
        <v>1081.25009189437</v>
      </c>
      <c r="H35" s="36">
        <f>X34*(1+H$25)</f>
        <v>0</v>
      </c>
      <c r="I35" s="36">
        <f>Y34*(1+I$25)</f>
        <v>0</v>
      </c>
      <c r="J35" s="36">
        <f>Z34*(1+J$25)</f>
        <v>0</v>
      </c>
      <c r="K35" s="36">
        <f>AA34*(1+K$25)</f>
        <v>0</v>
      </c>
      <c r="L35" s="36">
        <f>AB34*(1+L$25)</f>
        <v>0</v>
      </c>
      <c r="M35" s="36">
        <f>MIN(E35-MIN(E$26,E35),MAX(0,$C35-0))</f>
        <v>0</v>
      </c>
      <c r="N35" s="36">
        <f>MIN(F35-MIN(F$26,F35),MAX(0,$C35-SUM($M35:M35)))</f>
        <v>0</v>
      </c>
      <c r="O35" s="36">
        <f>MIN(G35-MIN(G$26,G35),MAX(0,$C35-SUM($M35:N35)))</f>
        <v>0</v>
      </c>
      <c r="P35" s="36">
        <f>MIN(H35-MIN(H$26,H35),MAX(0,$C35-SUM($M35:O35)))</f>
        <v>0</v>
      </c>
      <c r="Q35" s="36">
        <f>MIN(I35-MIN(I$26,I35),MAX(0,$C35-SUM($M35:P35)))</f>
        <v>0</v>
      </c>
      <c r="R35" s="36">
        <f>MIN(J35-MIN(J$26,J35),MAX(0,$C35-SUM($M35:Q35)))</f>
        <v>0</v>
      </c>
      <c r="S35" s="36">
        <f>MIN(K35-MIN(K$26,K35),MAX(0,$C35-SUM($M35:R35)))</f>
        <v>0</v>
      </c>
      <c r="T35" s="36">
        <f>MIN(L35-MIN(L$26,L35),MAX(0,$C35-SUM($M35:S35)))</f>
        <v>0</v>
      </c>
      <c r="U35" s="36">
        <f>IF(E35-MIN(E$26,E35)-M35&lt;0.005,0,E35-MIN(E$26,E35)-M35)</f>
        <v>25371.24862688</v>
      </c>
      <c r="V35" s="36">
        <f>IF(F35-MIN(F$26,F35)-N35&lt;0.005,0,F35-MIN(F$26,F35)-N35)</f>
        <v>3609.57114483343</v>
      </c>
      <c r="W35" s="36">
        <f>IF(G35-MIN(G$26,G35)-O35&lt;0.005,0,G35-MIN(G$26,G35)-O35)</f>
        <v>621.250091894375</v>
      </c>
      <c r="X35" s="36">
        <f>IF(H35-MIN(H$26,H35)-P35&lt;0.005,0,H35-MIN(H$26,H35)-P35)</f>
        <v>0</v>
      </c>
      <c r="Y35" s="36">
        <f>IF(I35-MIN(I$26,I35)-Q35&lt;0.005,0,I35-MIN(I$26,I35)-Q35)</f>
        <v>0</v>
      </c>
      <c r="Z35" s="36">
        <f>IF(J35-MIN(J$26,J35)-R35&lt;0.005,0,J35-MIN(J$26,J35)-R35)</f>
        <v>0</v>
      </c>
      <c r="AA35" s="36">
        <f>IF(K35-MIN(K$26,K35)-S35&lt;0.005,0,K35-MIN(K$26,K35)-S35)</f>
        <v>0</v>
      </c>
      <c r="AB35" s="36">
        <f>IF(L35-MIN(L$26,L35)-T35&lt;0.005,0,L35-MIN(L$26,L35)-T35)</f>
        <v>0</v>
      </c>
      <c r="AC35" s="36">
        <f>SUM(U35:AB35)</f>
        <v>29602.0698636078</v>
      </c>
      <c r="AD35" s="36">
        <f>D35+SUM(M35:T35)</f>
        <v>2190</v>
      </c>
      <c r="AG35" s="40" t="n">
        <v>27</v>
      </c>
      <c r="AH35" s="36">
        <f>AC57</f>
        <v>7829.60352974386</v>
      </c>
      <c r="AI35" s="36">
        <f>AC191</f>
        <v>0</v>
      </c>
      <c r="AJ35" s="36">
        <f>AC325</f>
        <v>0</v>
      </c>
    </row>
    <row r="36">
      <c r="B36" s="40" t="n">
        <v>6</v>
      </c>
      <c r="C36" s="36" t="n">
        <v>0</v>
      </c>
      <c r="D36" s="36">
        <f>MIN(E$26,E36)+MIN(F$26,F36)+MIN(G$26,G36)+MIN(H$26,H36)+MIN(I$26,I36)+MIN(J$26,J36)+MIN(K$26,K36)+MIN(L$26,L36)</f>
        <v>2190</v>
      </c>
      <c r="E36" s="36">
        <f>U35*(1+E$25)</f>
        <v>25878.6735994176</v>
      </c>
      <c r="F36" s="36">
        <f>V35*(1+F$25)</f>
        <v>3667.32428315077</v>
      </c>
      <c r="G36" s="36">
        <f>W35*(1+G$25)</f>
        <v>642.993845110678</v>
      </c>
      <c r="H36" s="36">
        <f>X35*(1+H$25)</f>
        <v>0</v>
      </c>
      <c r="I36" s="36">
        <f>Y35*(1+I$25)</f>
        <v>0</v>
      </c>
      <c r="J36" s="36">
        <f>Z35*(1+J$25)</f>
        <v>0</v>
      </c>
      <c r="K36" s="36">
        <f>AA35*(1+K$25)</f>
        <v>0</v>
      </c>
      <c r="L36" s="36">
        <f>AB35*(1+L$25)</f>
        <v>0</v>
      </c>
      <c r="M36" s="36">
        <f>MIN(E36-MIN(E$26,E36),MAX(0,$C36-0))</f>
        <v>0</v>
      </c>
      <c r="N36" s="36">
        <f>MIN(F36-MIN(F$26,F36),MAX(0,$C36-SUM($M36:M36)))</f>
        <v>0</v>
      </c>
      <c r="O36" s="36">
        <f>MIN(G36-MIN(G$26,G36),MAX(0,$C36-SUM($M36:N36)))</f>
        <v>0</v>
      </c>
      <c r="P36" s="36">
        <f>MIN(H36-MIN(H$26,H36),MAX(0,$C36-SUM($M36:O36)))</f>
        <v>0</v>
      </c>
      <c r="Q36" s="36">
        <f>MIN(I36-MIN(I$26,I36),MAX(0,$C36-SUM($M36:P36)))</f>
        <v>0</v>
      </c>
      <c r="R36" s="36">
        <f>MIN(J36-MIN(J$26,J36),MAX(0,$C36-SUM($M36:Q36)))</f>
        <v>0</v>
      </c>
      <c r="S36" s="36">
        <f>MIN(K36-MIN(K$26,K36),MAX(0,$C36-SUM($M36:R36)))</f>
        <v>0</v>
      </c>
      <c r="T36" s="36">
        <f>MIN(L36-MIN(L$26,L36),MAX(0,$C36-SUM($M36:S36)))</f>
        <v>0</v>
      </c>
      <c r="U36" s="36">
        <f>IF(E36-MIN(E$26,E36)-M36&lt;0.005,0,E36-MIN(E$26,E36)-M36)</f>
        <v>24728.6735994176</v>
      </c>
      <c r="V36" s="36">
        <f>IF(F36-MIN(F$26,F36)-N36&lt;0.005,0,F36-MIN(F$26,F36)-N36)</f>
        <v>3087.32428315077</v>
      </c>
      <c r="W36" s="36">
        <f>IF(G36-MIN(G$26,G36)-O36&lt;0.005,0,G36-MIN(G$26,G36)-O36)</f>
        <v>182.993845110678</v>
      </c>
      <c r="X36" s="36">
        <f>IF(H36-MIN(H$26,H36)-P36&lt;0.005,0,H36-MIN(H$26,H36)-P36)</f>
        <v>0</v>
      </c>
      <c r="Y36" s="36">
        <f>IF(I36-MIN(I$26,I36)-Q36&lt;0.005,0,I36-MIN(I$26,I36)-Q36)</f>
        <v>0</v>
      </c>
      <c r="Z36" s="36">
        <f>IF(J36-MIN(J$26,J36)-R36&lt;0.005,0,J36-MIN(J$26,J36)-R36)</f>
        <v>0</v>
      </c>
      <c r="AA36" s="36">
        <f>IF(K36-MIN(K$26,K36)-S36&lt;0.005,0,K36-MIN(K$26,K36)-S36)</f>
        <v>0</v>
      </c>
      <c r="AB36" s="36">
        <f>IF(L36-MIN(L$26,L36)-T36&lt;0.005,0,L36-MIN(L$26,L36)-T36)</f>
        <v>0</v>
      </c>
      <c r="AC36" s="36">
        <f>SUM(U36:AB36)</f>
        <v>27998.991727679</v>
      </c>
      <c r="AD36" s="36">
        <f>D36+SUM(M36:T36)</f>
        <v>2190</v>
      </c>
      <c r="AG36" s="40" t="n">
        <v>28</v>
      </c>
      <c r="AH36" s="36">
        <f>AC58</f>
        <v>6836.19560033873</v>
      </c>
      <c r="AI36" s="36">
        <f>AC192</f>
        <v>0</v>
      </c>
      <c r="AJ36" s="36">
        <f>AC326</f>
        <v>0</v>
      </c>
    </row>
    <row r="37">
      <c r="B37" s="40" t="n">
        <v>7</v>
      </c>
      <c r="C37" s="36" t="n">
        <v>0</v>
      </c>
      <c r="D37" s="36">
        <f>MIN(E$26,E37)+MIN(F$26,F37)+MIN(G$26,G37)+MIN(H$26,H37)+MIN(I$26,I37)+MIN(J$26,J37)+MIN(K$26,K37)+MIN(L$26,L37)</f>
        <v>1919.39862968955</v>
      </c>
      <c r="E37" s="36">
        <f>U36*(1+E$25)</f>
        <v>25223.247071406</v>
      </c>
      <c r="F37" s="36">
        <f>V36*(1+F$25)</f>
        <v>3136.72147168118</v>
      </c>
      <c r="G37" s="36">
        <f>W36*(1+G$25)</f>
        <v>189.398629689551</v>
      </c>
      <c r="H37" s="36">
        <f>X36*(1+H$25)</f>
        <v>0</v>
      </c>
      <c r="I37" s="36">
        <f>Y36*(1+I$25)</f>
        <v>0</v>
      </c>
      <c r="J37" s="36">
        <f>Z36*(1+J$25)</f>
        <v>0</v>
      </c>
      <c r="K37" s="36">
        <f>AA36*(1+K$25)</f>
        <v>0</v>
      </c>
      <c r="L37" s="36">
        <f>AB36*(1+L$25)</f>
        <v>0</v>
      </c>
      <c r="M37" s="36">
        <f>MIN(E37-MIN(E$26,E37),MAX(0,$C37-0))</f>
        <v>0</v>
      </c>
      <c r="N37" s="36">
        <f>MIN(F37-MIN(F$26,F37),MAX(0,$C37-SUM($M37:M37)))</f>
        <v>0</v>
      </c>
      <c r="O37" s="36">
        <f>MIN(G37-MIN(G$26,G37),MAX(0,$C37-SUM($M37:N37)))</f>
        <v>0</v>
      </c>
      <c r="P37" s="36">
        <f>MIN(H37-MIN(H$26,H37),MAX(0,$C37-SUM($M37:O37)))</f>
        <v>0</v>
      </c>
      <c r="Q37" s="36">
        <f>MIN(I37-MIN(I$26,I37),MAX(0,$C37-SUM($M37:P37)))</f>
        <v>0</v>
      </c>
      <c r="R37" s="36">
        <f>MIN(J37-MIN(J$26,J37),MAX(0,$C37-SUM($M37:Q37)))</f>
        <v>0</v>
      </c>
      <c r="S37" s="36">
        <f>MIN(K37-MIN(K$26,K37),MAX(0,$C37-SUM($M37:R37)))</f>
        <v>0</v>
      </c>
      <c r="T37" s="36">
        <f>MIN(L37-MIN(L$26,L37),MAX(0,$C37-SUM($M37:S37)))</f>
        <v>0</v>
      </c>
      <c r="U37" s="36">
        <f>IF(E37-MIN(E$26,E37)-M37&lt;0.005,0,E37-MIN(E$26,E37)-M37)</f>
        <v>24073.247071406</v>
      </c>
      <c r="V37" s="36">
        <f>IF(F37-MIN(F$26,F37)-N37&lt;0.005,0,F37-MIN(F$26,F37)-N37)</f>
        <v>2556.72147168118</v>
      </c>
      <c r="W37" s="36">
        <f>IF(G37-MIN(G$26,G37)-O37&lt;0.005,0,G37-MIN(G$26,G37)-O37)</f>
        <v>0</v>
      </c>
      <c r="X37" s="36">
        <f>IF(H37-MIN(H$26,H37)-P37&lt;0.005,0,H37-MIN(H$26,H37)-P37)</f>
        <v>0</v>
      </c>
      <c r="Y37" s="36">
        <f>IF(I37-MIN(I$26,I37)-Q37&lt;0.005,0,I37-MIN(I$26,I37)-Q37)</f>
        <v>0</v>
      </c>
      <c r="Z37" s="36">
        <f>IF(J37-MIN(J$26,J37)-R37&lt;0.005,0,J37-MIN(J$26,J37)-R37)</f>
        <v>0</v>
      </c>
      <c r="AA37" s="36">
        <f>IF(K37-MIN(K$26,K37)-S37&lt;0.005,0,K37-MIN(K$26,K37)-S37)</f>
        <v>0</v>
      </c>
      <c r="AB37" s="36">
        <f>IF(L37-MIN(L$26,L37)-T37&lt;0.005,0,L37-MIN(L$26,L37)-T37)</f>
        <v>0</v>
      </c>
      <c r="AC37" s="36">
        <f>SUM(U37:AB37)</f>
        <v>26629.9685430871</v>
      </c>
      <c r="AD37" s="36">
        <f>D37+SUM(M37:T37)</f>
        <v>1919.39862968955</v>
      </c>
      <c r="AG37" s="40" t="n">
        <v>29</v>
      </c>
      <c r="AH37" s="36">
        <f>AC59</f>
        <v>5822.91951234551</v>
      </c>
      <c r="AI37" s="36">
        <f>AC193</f>
        <v>0</v>
      </c>
      <c r="AJ37" s="36">
        <f>AC327</f>
        <v>0</v>
      </c>
    </row>
    <row r="38">
      <c r="B38" s="40" t="n">
        <v>8</v>
      </c>
      <c r="C38" s="36" t="n">
        <v>0</v>
      </c>
      <c r="D38" s="36">
        <f>MIN(E$26,E38)+MIN(F$26,F38)+MIN(G$26,G38)+MIN(H$26,H38)+MIN(I$26,I38)+MIN(J$26,J38)+MIN(K$26,K38)+MIN(L$26,L38)</f>
        <v>1730</v>
      </c>
      <c r="E38" s="36">
        <f>U37*(1+E$25)</f>
        <v>24554.7120128341</v>
      </c>
      <c r="F38" s="36">
        <f>V37*(1+F$25)</f>
        <v>2597.62901522808</v>
      </c>
      <c r="G38" s="36">
        <f>W37*(1+G$25)</f>
        <v>0</v>
      </c>
      <c r="H38" s="36">
        <f>X37*(1+H$25)</f>
        <v>0</v>
      </c>
      <c r="I38" s="36">
        <f>Y37*(1+I$25)</f>
        <v>0</v>
      </c>
      <c r="J38" s="36">
        <f>Z37*(1+J$25)</f>
        <v>0</v>
      </c>
      <c r="K38" s="36">
        <f>AA37*(1+K$25)</f>
        <v>0</v>
      </c>
      <c r="L38" s="36">
        <f>AB37*(1+L$25)</f>
        <v>0</v>
      </c>
      <c r="M38" s="36">
        <f>MIN(E38-MIN(E$26,E38),MAX(0,$C38-0))</f>
        <v>0</v>
      </c>
      <c r="N38" s="36">
        <f>MIN(F38-MIN(F$26,F38),MAX(0,$C38-SUM($M38:M38)))</f>
        <v>0</v>
      </c>
      <c r="O38" s="36">
        <f>MIN(G38-MIN(G$26,G38),MAX(0,$C38-SUM($M38:N38)))</f>
        <v>0</v>
      </c>
      <c r="P38" s="36">
        <f>MIN(H38-MIN(H$26,H38),MAX(0,$C38-SUM($M38:O38)))</f>
        <v>0</v>
      </c>
      <c r="Q38" s="36">
        <f>MIN(I38-MIN(I$26,I38),MAX(0,$C38-SUM($M38:P38)))</f>
        <v>0</v>
      </c>
      <c r="R38" s="36">
        <f>MIN(J38-MIN(J$26,J38),MAX(0,$C38-SUM($M38:Q38)))</f>
        <v>0</v>
      </c>
      <c r="S38" s="36">
        <f>MIN(K38-MIN(K$26,K38),MAX(0,$C38-SUM($M38:R38)))</f>
        <v>0</v>
      </c>
      <c r="T38" s="36">
        <f>MIN(L38-MIN(L$26,L38),MAX(0,$C38-SUM($M38:S38)))</f>
        <v>0</v>
      </c>
      <c r="U38" s="36">
        <f>IF(E38-MIN(E$26,E38)-M38&lt;0.005,0,E38-MIN(E$26,E38)-M38)</f>
        <v>23404.7120128341</v>
      </c>
      <c r="V38" s="36">
        <f>IF(F38-MIN(F$26,F38)-N38&lt;0.005,0,F38-MIN(F$26,F38)-N38)</f>
        <v>2017.62901522808</v>
      </c>
      <c r="W38" s="36">
        <f>IF(G38-MIN(G$26,G38)-O38&lt;0.005,0,G38-MIN(G$26,G38)-O38)</f>
        <v>0</v>
      </c>
      <c r="X38" s="36">
        <f>IF(H38-MIN(H$26,H38)-P38&lt;0.005,0,H38-MIN(H$26,H38)-P38)</f>
        <v>0</v>
      </c>
      <c r="Y38" s="36">
        <f>IF(I38-MIN(I$26,I38)-Q38&lt;0.005,0,I38-MIN(I$26,I38)-Q38)</f>
        <v>0</v>
      </c>
      <c r="Z38" s="36">
        <f>IF(J38-MIN(J$26,J38)-R38&lt;0.005,0,J38-MIN(J$26,J38)-R38)</f>
        <v>0</v>
      </c>
      <c r="AA38" s="36">
        <f>IF(K38-MIN(K$26,K38)-S38&lt;0.005,0,K38-MIN(K$26,K38)-S38)</f>
        <v>0</v>
      </c>
      <c r="AB38" s="36">
        <f>IF(L38-MIN(L$26,L38)-T38&lt;0.005,0,L38-MIN(L$26,L38)-T38)</f>
        <v>0</v>
      </c>
      <c r="AC38" s="36">
        <f>SUM(U38:AB38)</f>
        <v>25422.3410280622</v>
      </c>
      <c r="AD38" s="36">
        <f>D38+SUM(M38:T38)</f>
        <v>1730</v>
      </c>
      <c r="AG38" s="40" t="n">
        <v>30</v>
      </c>
      <c r="AH38" s="36">
        <f>AC60</f>
        <v>4789.37790259242</v>
      </c>
      <c r="AI38" s="36">
        <f>AC194</f>
        <v>0</v>
      </c>
      <c r="AJ38" s="36">
        <f>AC328</f>
        <v>0</v>
      </c>
    </row>
    <row r="39">
      <c r="B39" s="40" t="n">
        <v>9</v>
      </c>
      <c r="C39" s="36" t="n">
        <v>0</v>
      </c>
      <c r="D39" s="36">
        <f>MIN(E$26,E39)+MIN(F$26,F39)+MIN(G$26,G39)+MIN(H$26,H39)+MIN(I$26,I39)+MIN(J$26,J39)+MIN(K$26,K39)+MIN(L$26,L39)</f>
        <v>1730</v>
      </c>
      <c r="E39" s="36">
        <f>U38*(1+E$25)</f>
        <v>23872.8062530908</v>
      </c>
      <c r="F39" s="36">
        <f>V38*(1+F$25)</f>
        <v>2049.91107947173</v>
      </c>
      <c r="G39" s="36">
        <f>W38*(1+G$25)</f>
        <v>0</v>
      </c>
      <c r="H39" s="36">
        <f>X38*(1+H$25)</f>
        <v>0</v>
      </c>
      <c r="I39" s="36">
        <f>Y38*(1+I$25)</f>
        <v>0</v>
      </c>
      <c r="J39" s="36">
        <f>Z38*(1+J$25)</f>
        <v>0</v>
      </c>
      <c r="K39" s="36">
        <f>AA38*(1+K$25)</f>
        <v>0</v>
      </c>
      <c r="L39" s="36">
        <f>AB38*(1+L$25)</f>
        <v>0</v>
      </c>
      <c r="M39" s="36">
        <f>MIN(E39-MIN(E$26,E39),MAX(0,$C39-0))</f>
        <v>0</v>
      </c>
      <c r="N39" s="36">
        <f>MIN(F39-MIN(F$26,F39),MAX(0,$C39-SUM($M39:M39)))</f>
        <v>0</v>
      </c>
      <c r="O39" s="36">
        <f>MIN(G39-MIN(G$26,G39),MAX(0,$C39-SUM($M39:N39)))</f>
        <v>0</v>
      </c>
      <c r="P39" s="36">
        <f>MIN(H39-MIN(H$26,H39),MAX(0,$C39-SUM($M39:O39)))</f>
        <v>0</v>
      </c>
      <c r="Q39" s="36">
        <f>MIN(I39-MIN(I$26,I39),MAX(0,$C39-SUM($M39:P39)))</f>
        <v>0</v>
      </c>
      <c r="R39" s="36">
        <f>MIN(J39-MIN(J$26,J39),MAX(0,$C39-SUM($M39:Q39)))</f>
        <v>0</v>
      </c>
      <c r="S39" s="36">
        <f>MIN(K39-MIN(K$26,K39),MAX(0,$C39-SUM($M39:R39)))</f>
        <v>0</v>
      </c>
      <c r="T39" s="36">
        <f>MIN(L39-MIN(L$26,L39),MAX(0,$C39-SUM($M39:S39)))</f>
        <v>0</v>
      </c>
      <c r="U39" s="36">
        <f>IF(E39-MIN(E$26,E39)-M39&lt;0.005,0,E39-MIN(E$26,E39)-M39)</f>
        <v>22722.8062530908</v>
      </c>
      <c r="V39" s="36">
        <f>IF(F39-MIN(F$26,F39)-N39&lt;0.005,0,F39-MIN(F$26,F39)-N39)</f>
        <v>1469.91107947173</v>
      </c>
      <c r="W39" s="36">
        <f>IF(G39-MIN(G$26,G39)-O39&lt;0.005,0,G39-MIN(G$26,G39)-O39)</f>
        <v>0</v>
      </c>
      <c r="X39" s="36">
        <f>IF(H39-MIN(H$26,H39)-P39&lt;0.005,0,H39-MIN(H$26,H39)-P39)</f>
        <v>0</v>
      </c>
      <c r="Y39" s="36">
        <f>IF(I39-MIN(I$26,I39)-Q39&lt;0.005,0,I39-MIN(I$26,I39)-Q39)</f>
        <v>0</v>
      </c>
      <c r="Z39" s="36">
        <f>IF(J39-MIN(J$26,J39)-R39&lt;0.005,0,J39-MIN(J$26,J39)-R39)</f>
        <v>0</v>
      </c>
      <c r="AA39" s="36">
        <f>IF(K39-MIN(K$26,K39)-S39&lt;0.005,0,K39-MIN(K$26,K39)-S39)</f>
        <v>0</v>
      </c>
      <c r="AB39" s="36">
        <f>IF(L39-MIN(L$26,L39)-T39&lt;0.005,0,L39-MIN(L$26,L39)-T39)</f>
        <v>0</v>
      </c>
      <c r="AC39" s="36">
        <f>SUM(U39:AB39)</f>
        <v>24192.7173325625</v>
      </c>
      <c r="AD39" s="36">
        <f>D39+SUM(M39:T39)</f>
        <v>1730</v>
      </c>
      <c r="AG39" s="40" t="n">
        <v>31</v>
      </c>
      <c r="AH39" s="36">
        <f>AC61</f>
        <v>3735.16546064427</v>
      </c>
      <c r="AI39" s="36">
        <f>AC195</f>
        <v>0</v>
      </c>
      <c r="AJ39" s="36">
        <f>AC329</f>
        <v>0</v>
      </c>
    </row>
    <row r="40">
      <c r="B40" s="40" t="n">
        <v>10</v>
      </c>
      <c r="C40" s="36" t="n">
        <v>0</v>
      </c>
      <c r="D40" s="36">
        <f>MIN(E$26,E40)+MIN(F$26,F40)+MIN(G$26,G40)+MIN(H$26,H40)+MIN(I$26,I40)+MIN(J$26,J40)+MIN(K$26,K40)+MIN(L$26,L40)</f>
        <v>1730</v>
      </c>
      <c r="E40" s="36">
        <f>U39*(1+E$25)</f>
        <v>23177.2623781526</v>
      </c>
      <c r="F40" s="36">
        <f>V39*(1+F$25)</f>
        <v>1493.42965674328</v>
      </c>
      <c r="G40" s="36">
        <f>W39*(1+G$25)</f>
        <v>0</v>
      </c>
      <c r="H40" s="36">
        <f>X39*(1+H$25)</f>
        <v>0</v>
      </c>
      <c r="I40" s="36">
        <f>Y39*(1+I$25)</f>
        <v>0</v>
      </c>
      <c r="J40" s="36">
        <f>Z39*(1+J$25)</f>
        <v>0</v>
      </c>
      <c r="K40" s="36">
        <f>AA39*(1+K$25)</f>
        <v>0</v>
      </c>
      <c r="L40" s="36">
        <f>AB39*(1+L$25)</f>
        <v>0</v>
      </c>
      <c r="M40" s="36">
        <f>MIN(E40-MIN(E$26,E40),MAX(0,$C40-0))</f>
        <v>0</v>
      </c>
      <c r="N40" s="36">
        <f>MIN(F40-MIN(F$26,F40),MAX(0,$C40-SUM($M40:M40)))</f>
        <v>0</v>
      </c>
      <c r="O40" s="36">
        <f>MIN(G40-MIN(G$26,G40),MAX(0,$C40-SUM($M40:N40)))</f>
        <v>0</v>
      </c>
      <c r="P40" s="36">
        <f>MIN(H40-MIN(H$26,H40),MAX(0,$C40-SUM($M40:O40)))</f>
        <v>0</v>
      </c>
      <c r="Q40" s="36">
        <f>MIN(I40-MIN(I$26,I40),MAX(0,$C40-SUM($M40:P40)))</f>
        <v>0</v>
      </c>
      <c r="R40" s="36">
        <f>MIN(J40-MIN(J$26,J40),MAX(0,$C40-SUM($M40:Q40)))</f>
        <v>0</v>
      </c>
      <c r="S40" s="36">
        <f>MIN(K40-MIN(K$26,K40),MAX(0,$C40-SUM($M40:R40)))</f>
        <v>0</v>
      </c>
      <c r="T40" s="36">
        <f>MIN(L40-MIN(L$26,L40),MAX(0,$C40-SUM($M40:S40)))</f>
        <v>0</v>
      </c>
      <c r="U40" s="36">
        <f>IF(E40-MIN(E$26,E40)-M40&lt;0.005,0,E40-MIN(E$26,E40)-M40)</f>
        <v>22027.2623781526</v>
      </c>
      <c r="V40" s="36">
        <f>IF(F40-MIN(F$26,F40)-N40&lt;0.005,0,F40-MIN(F$26,F40)-N40)</f>
        <v>913.429656743278</v>
      </c>
      <c r="W40" s="36">
        <f>IF(G40-MIN(G$26,G40)-O40&lt;0.005,0,G40-MIN(G$26,G40)-O40)</f>
        <v>0</v>
      </c>
      <c r="X40" s="36">
        <f>IF(H40-MIN(H$26,H40)-P40&lt;0.005,0,H40-MIN(H$26,H40)-P40)</f>
        <v>0</v>
      </c>
      <c r="Y40" s="36">
        <f>IF(I40-MIN(I$26,I40)-Q40&lt;0.005,0,I40-MIN(I$26,I40)-Q40)</f>
        <v>0</v>
      </c>
      <c r="Z40" s="36">
        <f>IF(J40-MIN(J$26,J40)-R40&lt;0.005,0,J40-MIN(J$26,J40)-R40)</f>
        <v>0</v>
      </c>
      <c r="AA40" s="36">
        <f>IF(K40-MIN(K$26,K40)-S40&lt;0.005,0,K40-MIN(K$26,K40)-S40)</f>
        <v>0</v>
      </c>
      <c r="AB40" s="36">
        <f>IF(L40-MIN(L$26,L40)-T40&lt;0.005,0,L40-MIN(L$26,L40)-T40)</f>
        <v>0</v>
      </c>
      <c r="AC40" s="36">
        <f>SUM(U40:AB40)</f>
        <v>22940.6920348958</v>
      </c>
      <c r="AD40" s="36">
        <f>D40+SUM(M40:T40)</f>
        <v>1730</v>
      </c>
      <c r="AG40" s="40" t="n">
        <v>32</v>
      </c>
      <c r="AH40" s="36">
        <f>AC62</f>
        <v>2659.86876985715</v>
      </c>
      <c r="AI40" s="36">
        <f>AC196</f>
        <v>0</v>
      </c>
      <c r="AJ40" s="36">
        <f>AC330</f>
        <v>0</v>
      </c>
    </row>
    <row r="41">
      <c r="B41" s="40" t="n">
        <v>11</v>
      </c>
      <c r="C41" s="36" t="n">
        <v>0</v>
      </c>
      <c r="D41" s="36">
        <f>MIN(E$26,E41)+MIN(F$26,F41)+MIN(G$26,G41)+MIN(H$26,H41)+MIN(I$26,I41)+MIN(J$26,J41)+MIN(K$26,K41)+MIN(L$26,L41)</f>
        <v>1730</v>
      </c>
      <c r="E41" s="36">
        <f>U40*(1+E$25)</f>
        <v>22467.8076257156</v>
      </c>
      <c r="F41" s="36">
        <f>V40*(1+F$25)</f>
        <v>928.04453125117</v>
      </c>
      <c r="G41" s="36">
        <f>W40*(1+G$25)</f>
        <v>0</v>
      </c>
      <c r="H41" s="36">
        <f>X40*(1+H$25)</f>
        <v>0</v>
      </c>
      <c r="I41" s="36">
        <f>Y40*(1+I$25)</f>
        <v>0</v>
      </c>
      <c r="J41" s="36">
        <f>Z40*(1+J$25)</f>
        <v>0</v>
      </c>
      <c r="K41" s="36">
        <f>AA40*(1+K$25)</f>
        <v>0</v>
      </c>
      <c r="L41" s="36">
        <f>AB40*(1+L$25)</f>
        <v>0</v>
      </c>
      <c r="M41" s="36">
        <f>MIN(E41-MIN(E$26,E41),MAX(0,$C41-0))</f>
        <v>0</v>
      </c>
      <c r="N41" s="36">
        <f>MIN(F41-MIN(F$26,F41),MAX(0,$C41-SUM($M41:M41)))</f>
        <v>0</v>
      </c>
      <c r="O41" s="36">
        <f>MIN(G41-MIN(G$26,G41),MAX(0,$C41-SUM($M41:N41)))</f>
        <v>0</v>
      </c>
      <c r="P41" s="36">
        <f>MIN(H41-MIN(H$26,H41),MAX(0,$C41-SUM($M41:O41)))</f>
        <v>0</v>
      </c>
      <c r="Q41" s="36">
        <f>MIN(I41-MIN(I$26,I41),MAX(0,$C41-SUM($M41:P41)))</f>
        <v>0</v>
      </c>
      <c r="R41" s="36">
        <f>MIN(J41-MIN(J$26,J41),MAX(0,$C41-SUM($M41:Q41)))</f>
        <v>0</v>
      </c>
      <c r="S41" s="36">
        <f>MIN(K41-MIN(K$26,K41),MAX(0,$C41-SUM($M41:R41)))</f>
        <v>0</v>
      </c>
      <c r="T41" s="36">
        <f>MIN(L41-MIN(L$26,L41),MAX(0,$C41-SUM($M41:S41)))</f>
        <v>0</v>
      </c>
      <c r="U41" s="36">
        <f>IF(E41-MIN(E$26,E41)-M41&lt;0.005,0,E41-MIN(E$26,E41)-M41)</f>
        <v>21317.8076257156</v>
      </c>
      <c r="V41" s="36">
        <f>IF(F41-MIN(F$26,F41)-N41&lt;0.005,0,F41-MIN(F$26,F41)-N41)</f>
        <v>348.04453125117</v>
      </c>
      <c r="W41" s="36">
        <f>IF(G41-MIN(G$26,G41)-O41&lt;0.005,0,G41-MIN(G$26,G41)-O41)</f>
        <v>0</v>
      </c>
      <c r="X41" s="36">
        <f>IF(H41-MIN(H$26,H41)-P41&lt;0.005,0,H41-MIN(H$26,H41)-P41)</f>
        <v>0</v>
      </c>
      <c r="Y41" s="36">
        <f>IF(I41-MIN(I$26,I41)-Q41&lt;0.005,0,I41-MIN(I$26,I41)-Q41)</f>
        <v>0</v>
      </c>
      <c r="Z41" s="36">
        <f>IF(J41-MIN(J$26,J41)-R41&lt;0.005,0,J41-MIN(J$26,J41)-R41)</f>
        <v>0</v>
      </c>
      <c r="AA41" s="36">
        <f>IF(K41-MIN(K$26,K41)-S41&lt;0.005,0,K41-MIN(K$26,K41)-S41)</f>
        <v>0</v>
      </c>
      <c r="AB41" s="36">
        <f>IF(L41-MIN(L$26,L41)-T41&lt;0.005,0,L41-MIN(L$26,L41)-T41)</f>
        <v>0</v>
      </c>
      <c r="AC41" s="36">
        <f>SUM(U41:AB41)</f>
        <v>21665.8521569668</v>
      </c>
      <c r="AD41" s="36">
        <f>D41+SUM(M41:T41)</f>
        <v>1730</v>
      </c>
      <c r="AG41" s="40" t="n">
        <v>33</v>
      </c>
      <c r="AH41" s="36">
        <f>AC63</f>
        <v>1563.0661452543</v>
      </c>
      <c r="AI41" s="36">
        <f>AC197</f>
        <v>0</v>
      </c>
      <c r="AJ41" s="36">
        <f>AC331</f>
        <v>0</v>
      </c>
    </row>
    <row r="42">
      <c r="B42" s="40" t="n">
        <v>12</v>
      </c>
      <c r="C42" s="36" t="n">
        <v>0</v>
      </c>
      <c r="D42" s="36">
        <f>MIN(E$26,E42)+MIN(F$26,F42)+MIN(G$26,G42)+MIN(H$26,H42)+MIN(I$26,I42)+MIN(J$26,J42)+MIN(K$26,K42)+MIN(L$26,L42)</f>
        <v>1503.61324375119</v>
      </c>
      <c r="E42" s="36">
        <f>U41*(1+E$25)</f>
        <v>21744.1637782299</v>
      </c>
      <c r="F42" s="36">
        <f>V41*(1+F$25)</f>
        <v>353.613243751189</v>
      </c>
      <c r="G42" s="36">
        <f>W41*(1+G$25)</f>
        <v>0</v>
      </c>
      <c r="H42" s="36">
        <f>X41*(1+H$25)</f>
        <v>0</v>
      </c>
      <c r="I42" s="36">
        <f>Y41*(1+I$25)</f>
        <v>0</v>
      </c>
      <c r="J42" s="36">
        <f>Z41*(1+J$25)</f>
        <v>0</v>
      </c>
      <c r="K42" s="36">
        <f>AA41*(1+K$25)</f>
        <v>0</v>
      </c>
      <c r="L42" s="36">
        <f>AB41*(1+L$25)</f>
        <v>0</v>
      </c>
      <c r="M42" s="36">
        <f>MIN(E42-MIN(E$26,E42),MAX(0,$C42-0))</f>
        <v>0</v>
      </c>
      <c r="N42" s="36">
        <f>MIN(F42-MIN(F$26,F42),MAX(0,$C42-SUM($M42:M42)))</f>
        <v>0</v>
      </c>
      <c r="O42" s="36">
        <f>MIN(G42-MIN(G$26,G42),MAX(0,$C42-SUM($M42:N42)))</f>
        <v>0</v>
      </c>
      <c r="P42" s="36">
        <f>MIN(H42-MIN(H$26,H42),MAX(0,$C42-SUM($M42:O42)))</f>
        <v>0</v>
      </c>
      <c r="Q42" s="36">
        <f>MIN(I42-MIN(I$26,I42),MAX(0,$C42-SUM($M42:P42)))</f>
        <v>0</v>
      </c>
      <c r="R42" s="36">
        <f>MIN(J42-MIN(J$26,J42),MAX(0,$C42-SUM($M42:Q42)))</f>
        <v>0</v>
      </c>
      <c r="S42" s="36">
        <f>MIN(K42-MIN(K$26,K42),MAX(0,$C42-SUM($M42:R42)))</f>
        <v>0</v>
      </c>
      <c r="T42" s="36">
        <f>MIN(L42-MIN(L$26,L42),MAX(0,$C42-SUM($M42:S42)))</f>
        <v>0</v>
      </c>
      <c r="U42" s="36">
        <f>IF(E42-MIN(E$26,E42)-M42&lt;0.005,0,E42-MIN(E$26,E42)-M42)</f>
        <v>20594.1637782299</v>
      </c>
      <c r="V42" s="36">
        <f>IF(F42-MIN(F$26,F42)-N42&lt;0.005,0,F42-MIN(F$26,F42)-N42)</f>
        <v>0</v>
      </c>
      <c r="W42" s="36">
        <f>IF(G42-MIN(G$26,G42)-O42&lt;0.005,0,G42-MIN(G$26,G42)-O42)</f>
        <v>0</v>
      </c>
      <c r="X42" s="36">
        <f>IF(H42-MIN(H$26,H42)-P42&lt;0.005,0,H42-MIN(H$26,H42)-P42)</f>
        <v>0</v>
      </c>
      <c r="Y42" s="36">
        <f>IF(I42-MIN(I$26,I42)-Q42&lt;0.005,0,I42-MIN(I$26,I42)-Q42)</f>
        <v>0</v>
      </c>
      <c r="Z42" s="36">
        <f>IF(J42-MIN(J$26,J42)-R42&lt;0.005,0,J42-MIN(J$26,J42)-R42)</f>
        <v>0</v>
      </c>
      <c r="AA42" s="36">
        <f>IF(K42-MIN(K$26,K42)-S42&lt;0.005,0,K42-MIN(K$26,K42)-S42)</f>
        <v>0</v>
      </c>
      <c r="AB42" s="36">
        <f>IF(L42-MIN(L$26,L42)-T42&lt;0.005,0,L42-MIN(L$26,L42)-T42)</f>
        <v>0</v>
      </c>
      <c r="AC42" s="36">
        <f>SUM(U42:AB42)</f>
        <v>20594.1637782299</v>
      </c>
      <c r="AD42" s="36">
        <f>D42+SUM(M42:T42)</f>
        <v>1503.61324375119</v>
      </c>
      <c r="AG42" s="40" t="n">
        <v>34</v>
      </c>
      <c r="AH42" s="36">
        <f>AC64</f>
        <v>444.327468159381</v>
      </c>
      <c r="AI42" s="36">
        <f>AC198</f>
        <v>0</v>
      </c>
      <c r="AJ42" s="36">
        <f>AC332</f>
        <v>0</v>
      </c>
    </row>
    <row r="43">
      <c r="B43" s="40" t="n">
        <v>13</v>
      </c>
      <c r="C43" s="36" t="n">
        <v>0</v>
      </c>
      <c r="D43" s="36">
        <f>MIN(E$26,E43)+MIN(F$26,F43)+MIN(G$26,G43)+MIN(H$26,H43)+MIN(I$26,I43)+MIN(J$26,J43)+MIN(K$26,K43)+MIN(L$26,L43)</f>
        <v>1150</v>
      </c>
      <c r="E43" s="36">
        <f>U42*(1+E$25)</f>
        <v>21006.0470537945</v>
      </c>
      <c r="F43" s="36">
        <f>V42*(1+F$25)</f>
        <v>0</v>
      </c>
      <c r="G43" s="36">
        <f>W42*(1+G$25)</f>
        <v>0</v>
      </c>
      <c r="H43" s="36">
        <f>X42*(1+H$25)</f>
        <v>0</v>
      </c>
      <c r="I43" s="36">
        <f>Y42*(1+I$25)</f>
        <v>0</v>
      </c>
      <c r="J43" s="36">
        <f>Z42*(1+J$25)</f>
        <v>0</v>
      </c>
      <c r="K43" s="36">
        <f>AA42*(1+K$25)</f>
        <v>0</v>
      </c>
      <c r="L43" s="36">
        <f>AB42*(1+L$25)</f>
        <v>0</v>
      </c>
      <c r="M43" s="36">
        <f>MIN(E43-MIN(E$26,E43),MAX(0,$C43-0))</f>
        <v>0</v>
      </c>
      <c r="N43" s="36">
        <f>MIN(F43-MIN(F$26,F43),MAX(0,$C43-SUM($M43:M43)))</f>
        <v>0</v>
      </c>
      <c r="O43" s="36">
        <f>MIN(G43-MIN(G$26,G43),MAX(0,$C43-SUM($M43:N43)))</f>
        <v>0</v>
      </c>
      <c r="P43" s="36">
        <f>MIN(H43-MIN(H$26,H43),MAX(0,$C43-SUM($M43:O43)))</f>
        <v>0</v>
      </c>
      <c r="Q43" s="36">
        <f>MIN(I43-MIN(I$26,I43),MAX(0,$C43-SUM($M43:P43)))</f>
        <v>0</v>
      </c>
      <c r="R43" s="36">
        <f>MIN(J43-MIN(J$26,J43),MAX(0,$C43-SUM($M43:Q43)))</f>
        <v>0</v>
      </c>
      <c r="S43" s="36">
        <f>MIN(K43-MIN(K$26,K43),MAX(0,$C43-SUM($M43:R43)))</f>
        <v>0</v>
      </c>
      <c r="T43" s="36">
        <f>MIN(L43-MIN(L$26,L43),MAX(0,$C43-SUM($M43:S43)))</f>
        <v>0</v>
      </c>
      <c r="U43" s="36">
        <f>IF(E43-MIN(E$26,E43)-M43&lt;0.005,0,E43-MIN(E$26,E43)-M43)</f>
        <v>19856.0470537945</v>
      </c>
      <c r="V43" s="36">
        <f>IF(F43-MIN(F$26,F43)-N43&lt;0.005,0,F43-MIN(F$26,F43)-N43)</f>
        <v>0</v>
      </c>
      <c r="W43" s="36">
        <f>IF(G43-MIN(G$26,G43)-O43&lt;0.005,0,G43-MIN(G$26,G43)-O43)</f>
        <v>0</v>
      </c>
      <c r="X43" s="36">
        <f>IF(H43-MIN(H$26,H43)-P43&lt;0.005,0,H43-MIN(H$26,H43)-P43)</f>
        <v>0</v>
      </c>
      <c r="Y43" s="36">
        <f>IF(I43-MIN(I$26,I43)-Q43&lt;0.005,0,I43-MIN(I$26,I43)-Q43)</f>
        <v>0</v>
      </c>
      <c r="Z43" s="36">
        <f>IF(J43-MIN(J$26,J43)-R43&lt;0.005,0,J43-MIN(J$26,J43)-R43)</f>
        <v>0</v>
      </c>
      <c r="AA43" s="36">
        <f>IF(K43-MIN(K$26,K43)-S43&lt;0.005,0,K43-MIN(K$26,K43)-S43)</f>
        <v>0</v>
      </c>
      <c r="AB43" s="36">
        <f>IF(L43-MIN(L$26,L43)-T43&lt;0.005,0,L43-MIN(L$26,L43)-T43)</f>
        <v>0</v>
      </c>
      <c r="AC43" s="36">
        <f>SUM(U43:AB43)</f>
        <v>19856.0470537945</v>
      </c>
      <c r="AD43" s="36">
        <f>D43+SUM(M43:T43)</f>
        <v>1150</v>
      </c>
      <c r="AG43" s="40" t="n">
        <v>35</v>
      </c>
      <c r="AH43" s="36">
        <f>AC65</f>
        <v>0</v>
      </c>
      <c r="AI43" s="36">
        <f>AC199</f>
        <v>0</v>
      </c>
      <c r="AJ43" s="36">
        <f>AC333</f>
        <v>0</v>
      </c>
    </row>
    <row r="44">
      <c r="B44" s="40" t="n">
        <v>14</v>
      </c>
      <c r="C44" s="36" t="n">
        <v>0</v>
      </c>
      <c r="D44" s="36">
        <f>MIN(E$26,E44)+MIN(F$26,F44)+MIN(G$26,G44)+MIN(H$26,H44)+MIN(I$26,I44)+MIN(J$26,J44)+MIN(K$26,K44)+MIN(L$26,L44)</f>
        <v>1150</v>
      </c>
      <c r="E44" s="36">
        <f>U43*(1+E$25)</f>
        <v>20253.1679948704</v>
      </c>
      <c r="F44" s="36">
        <f>V43*(1+F$25)</f>
        <v>0</v>
      </c>
      <c r="G44" s="36">
        <f>W43*(1+G$25)</f>
        <v>0</v>
      </c>
      <c r="H44" s="36">
        <f>X43*(1+H$25)</f>
        <v>0</v>
      </c>
      <c r="I44" s="36">
        <f>Y43*(1+I$25)</f>
        <v>0</v>
      </c>
      <c r="J44" s="36">
        <f>Z43*(1+J$25)</f>
        <v>0</v>
      </c>
      <c r="K44" s="36">
        <f>AA43*(1+K$25)</f>
        <v>0</v>
      </c>
      <c r="L44" s="36">
        <f>AB43*(1+L$25)</f>
        <v>0</v>
      </c>
      <c r="M44" s="36">
        <f>MIN(E44-MIN(E$26,E44),MAX(0,$C44-0))</f>
        <v>0</v>
      </c>
      <c r="N44" s="36">
        <f>MIN(F44-MIN(F$26,F44),MAX(0,$C44-SUM($M44:M44)))</f>
        <v>0</v>
      </c>
      <c r="O44" s="36">
        <f>MIN(G44-MIN(G$26,G44),MAX(0,$C44-SUM($M44:N44)))</f>
        <v>0</v>
      </c>
      <c r="P44" s="36">
        <f>MIN(H44-MIN(H$26,H44),MAX(0,$C44-SUM($M44:O44)))</f>
        <v>0</v>
      </c>
      <c r="Q44" s="36">
        <f>MIN(I44-MIN(I$26,I44),MAX(0,$C44-SUM($M44:P44)))</f>
        <v>0</v>
      </c>
      <c r="R44" s="36">
        <f>MIN(J44-MIN(J$26,J44),MAX(0,$C44-SUM($M44:Q44)))</f>
        <v>0</v>
      </c>
      <c r="S44" s="36">
        <f>MIN(K44-MIN(K$26,K44),MAX(0,$C44-SUM($M44:R44)))</f>
        <v>0</v>
      </c>
      <c r="T44" s="36">
        <f>MIN(L44-MIN(L$26,L44),MAX(0,$C44-SUM($M44:S44)))</f>
        <v>0</v>
      </c>
      <c r="U44" s="36">
        <f>IF(E44-MIN(E$26,E44)-M44&lt;0.005,0,E44-MIN(E$26,E44)-M44)</f>
        <v>19103.1679948704</v>
      </c>
      <c r="V44" s="36">
        <f>IF(F44-MIN(F$26,F44)-N44&lt;0.005,0,F44-MIN(F$26,F44)-N44)</f>
        <v>0</v>
      </c>
      <c r="W44" s="36">
        <f>IF(G44-MIN(G$26,G44)-O44&lt;0.005,0,G44-MIN(G$26,G44)-O44)</f>
        <v>0</v>
      </c>
      <c r="X44" s="36">
        <f>IF(H44-MIN(H$26,H44)-P44&lt;0.005,0,H44-MIN(H$26,H44)-P44)</f>
        <v>0</v>
      </c>
      <c r="Y44" s="36">
        <f>IF(I44-MIN(I$26,I44)-Q44&lt;0.005,0,I44-MIN(I$26,I44)-Q44)</f>
        <v>0</v>
      </c>
      <c r="Z44" s="36">
        <f>IF(J44-MIN(J$26,J44)-R44&lt;0.005,0,J44-MIN(J$26,J44)-R44)</f>
        <v>0</v>
      </c>
      <c r="AA44" s="36">
        <f>IF(K44-MIN(K$26,K44)-S44&lt;0.005,0,K44-MIN(K$26,K44)-S44)</f>
        <v>0</v>
      </c>
      <c r="AB44" s="36">
        <f>IF(L44-MIN(L$26,L44)-T44&lt;0.005,0,L44-MIN(L$26,L44)-T44)</f>
        <v>0</v>
      </c>
      <c r="AC44" s="36">
        <f>SUM(U44:AB44)</f>
        <v>19103.1679948704</v>
      </c>
      <c r="AD44" s="36">
        <f>D44+SUM(M44:T44)</f>
        <v>1150</v>
      </c>
      <c r="AG44" s="40" t="n">
        <v>36</v>
      </c>
      <c r="AH44" s="36">
        <f>AC66</f>
        <v>0</v>
      </c>
      <c r="AI44" s="36">
        <f>AC200</f>
        <v>0</v>
      </c>
      <c r="AJ44" s="36">
        <f>AC334</f>
        <v>0</v>
      </c>
    </row>
    <row r="45">
      <c r="B45" s="40" t="n">
        <v>15</v>
      </c>
      <c r="C45" s="36" t="n">
        <v>0</v>
      </c>
      <c r="D45" s="36">
        <f>MIN(E$26,E45)+MIN(F$26,F45)+MIN(G$26,G45)+MIN(H$26,H45)+MIN(I$26,I45)+MIN(J$26,J45)+MIN(K$26,K45)+MIN(L$26,L45)</f>
        <v>1150</v>
      </c>
      <c r="E45" s="36">
        <f>U44*(1+E$25)</f>
        <v>19485.2313547678</v>
      </c>
      <c r="F45" s="36">
        <f>V44*(1+F$25)</f>
        <v>0</v>
      </c>
      <c r="G45" s="36">
        <f>W44*(1+G$25)</f>
        <v>0</v>
      </c>
      <c r="H45" s="36">
        <f>X44*(1+H$25)</f>
        <v>0</v>
      </c>
      <c r="I45" s="36">
        <f>Y44*(1+I$25)</f>
        <v>0</v>
      </c>
      <c r="J45" s="36">
        <f>Z44*(1+J$25)</f>
        <v>0</v>
      </c>
      <c r="K45" s="36">
        <f>AA44*(1+K$25)</f>
        <v>0</v>
      </c>
      <c r="L45" s="36">
        <f>AB44*(1+L$25)</f>
        <v>0</v>
      </c>
      <c r="M45" s="36">
        <f>MIN(E45-MIN(E$26,E45),MAX(0,$C45-0))</f>
        <v>0</v>
      </c>
      <c r="N45" s="36">
        <f>MIN(F45-MIN(F$26,F45),MAX(0,$C45-SUM($M45:M45)))</f>
        <v>0</v>
      </c>
      <c r="O45" s="36">
        <f>MIN(G45-MIN(G$26,G45),MAX(0,$C45-SUM($M45:N45)))</f>
        <v>0</v>
      </c>
      <c r="P45" s="36">
        <f>MIN(H45-MIN(H$26,H45),MAX(0,$C45-SUM($M45:O45)))</f>
        <v>0</v>
      </c>
      <c r="Q45" s="36">
        <f>MIN(I45-MIN(I$26,I45),MAX(0,$C45-SUM($M45:P45)))</f>
        <v>0</v>
      </c>
      <c r="R45" s="36">
        <f>MIN(J45-MIN(J$26,J45),MAX(0,$C45-SUM($M45:Q45)))</f>
        <v>0</v>
      </c>
      <c r="S45" s="36">
        <f>MIN(K45-MIN(K$26,K45),MAX(0,$C45-SUM($M45:R45)))</f>
        <v>0</v>
      </c>
      <c r="T45" s="36">
        <f>MIN(L45-MIN(L$26,L45),MAX(0,$C45-SUM($M45:S45)))</f>
        <v>0</v>
      </c>
      <c r="U45" s="36">
        <f>IF(E45-MIN(E$26,E45)-M45&lt;0.005,0,E45-MIN(E$26,E45)-M45)</f>
        <v>18335.2313547678</v>
      </c>
      <c r="V45" s="36">
        <f>IF(F45-MIN(F$26,F45)-N45&lt;0.005,0,F45-MIN(F$26,F45)-N45)</f>
        <v>0</v>
      </c>
      <c r="W45" s="36">
        <f>IF(G45-MIN(G$26,G45)-O45&lt;0.005,0,G45-MIN(G$26,G45)-O45)</f>
        <v>0</v>
      </c>
      <c r="X45" s="36">
        <f>IF(H45-MIN(H$26,H45)-P45&lt;0.005,0,H45-MIN(H$26,H45)-P45)</f>
        <v>0</v>
      </c>
      <c r="Y45" s="36">
        <f>IF(I45-MIN(I$26,I45)-Q45&lt;0.005,0,I45-MIN(I$26,I45)-Q45)</f>
        <v>0</v>
      </c>
      <c r="Z45" s="36">
        <f>IF(J45-MIN(J$26,J45)-R45&lt;0.005,0,J45-MIN(J$26,J45)-R45)</f>
        <v>0</v>
      </c>
      <c r="AA45" s="36">
        <f>IF(K45-MIN(K$26,K45)-S45&lt;0.005,0,K45-MIN(K$26,K45)-S45)</f>
        <v>0</v>
      </c>
      <c r="AB45" s="36">
        <f>IF(L45-MIN(L$26,L45)-T45&lt;0.005,0,L45-MIN(L$26,L45)-T45)</f>
        <v>0</v>
      </c>
      <c r="AC45" s="36">
        <f>SUM(U45:AB45)</f>
        <v>18335.2313547678</v>
      </c>
      <c r="AD45" s="36">
        <f>D45+SUM(M45:T45)</f>
        <v>1150</v>
      </c>
      <c r="AG45" s="40" t="n">
        <v>37</v>
      </c>
      <c r="AH45" s="36">
        <f>AC67</f>
        <v>0</v>
      </c>
      <c r="AI45" s="36">
        <f>AC201</f>
        <v>0</v>
      </c>
      <c r="AJ45" s="36">
        <f>AC335</f>
        <v>0</v>
      </c>
    </row>
    <row r="46">
      <c r="B46" s="40" t="n">
        <v>16</v>
      </c>
      <c r="C46" s="36" t="n">
        <v>0</v>
      </c>
      <c r="D46" s="36">
        <f>MIN(E$26,E46)+MIN(F$26,F46)+MIN(G$26,G46)+MIN(H$26,H46)+MIN(I$26,I46)+MIN(J$26,J46)+MIN(K$26,K46)+MIN(L$26,L46)</f>
        <v>1150</v>
      </c>
      <c r="E46" s="36">
        <f>U45*(1+E$25)</f>
        <v>18701.9359818632</v>
      </c>
      <c r="F46" s="36">
        <f>V45*(1+F$25)</f>
        <v>0</v>
      </c>
      <c r="G46" s="36">
        <f>W45*(1+G$25)</f>
        <v>0</v>
      </c>
      <c r="H46" s="36">
        <f>X45*(1+H$25)</f>
        <v>0</v>
      </c>
      <c r="I46" s="36">
        <f>Y45*(1+I$25)</f>
        <v>0</v>
      </c>
      <c r="J46" s="36">
        <f>Z45*(1+J$25)</f>
        <v>0</v>
      </c>
      <c r="K46" s="36">
        <f>AA45*(1+K$25)</f>
        <v>0</v>
      </c>
      <c r="L46" s="36">
        <f>AB45*(1+L$25)</f>
        <v>0</v>
      </c>
      <c r="M46" s="36">
        <f>MIN(E46-MIN(E$26,E46),MAX(0,$C46-0))</f>
        <v>0</v>
      </c>
      <c r="N46" s="36">
        <f>MIN(F46-MIN(F$26,F46),MAX(0,$C46-SUM($M46:M46)))</f>
        <v>0</v>
      </c>
      <c r="O46" s="36">
        <f>MIN(G46-MIN(G$26,G46),MAX(0,$C46-SUM($M46:N46)))</f>
        <v>0</v>
      </c>
      <c r="P46" s="36">
        <f>MIN(H46-MIN(H$26,H46),MAX(0,$C46-SUM($M46:O46)))</f>
        <v>0</v>
      </c>
      <c r="Q46" s="36">
        <f>MIN(I46-MIN(I$26,I46),MAX(0,$C46-SUM($M46:P46)))</f>
        <v>0</v>
      </c>
      <c r="R46" s="36">
        <f>MIN(J46-MIN(J$26,J46),MAX(0,$C46-SUM($M46:Q46)))</f>
        <v>0</v>
      </c>
      <c r="S46" s="36">
        <f>MIN(K46-MIN(K$26,K46),MAX(0,$C46-SUM($M46:R46)))</f>
        <v>0</v>
      </c>
      <c r="T46" s="36">
        <f>MIN(L46-MIN(L$26,L46),MAX(0,$C46-SUM($M46:S46)))</f>
        <v>0</v>
      </c>
      <c r="U46" s="36">
        <f>IF(E46-MIN(E$26,E46)-M46&lt;0.005,0,E46-MIN(E$26,E46)-M46)</f>
        <v>17551.9359818632</v>
      </c>
      <c r="V46" s="36">
        <f>IF(F46-MIN(F$26,F46)-N46&lt;0.005,0,F46-MIN(F$26,F46)-N46)</f>
        <v>0</v>
      </c>
      <c r="W46" s="36">
        <f>IF(G46-MIN(G$26,G46)-O46&lt;0.005,0,G46-MIN(G$26,G46)-O46)</f>
        <v>0</v>
      </c>
      <c r="X46" s="36">
        <f>IF(H46-MIN(H$26,H46)-P46&lt;0.005,0,H46-MIN(H$26,H46)-P46)</f>
        <v>0</v>
      </c>
      <c r="Y46" s="36">
        <f>IF(I46-MIN(I$26,I46)-Q46&lt;0.005,0,I46-MIN(I$26,I46)-Q46)</f>
        <v>0</v>
      </c>
      <c r="Z46" s="36">
        <f>IF(J46-MIN(J$26,J46)-R46&lt;0.005,0,J46-MIN(J$26,J46)-R46)</f>
        <v>0</v>
      </c>
      <c r="AA46" s="36">
        <f>IF(K46-MIN(K$26,K46)-S46&lt;0.005,0,K46-MIN(K$26,K46)-S46)</f>
        <v>0</v>
      </c>
      <c r="AB46" s="36">
        <f>IF(L46-MIN(L$26,L46)-T46&lt;0.005,0,L46-MIN(L$26,L46)-T46)</f>
        <v>0</v>
      </c>
      <c r="AC46" s="36">
        <f>SUM(U46:AB46)</f>
        <v>17551.9359818632</v>
      </c>
      <c r="AD46" s="36">
        <f>D46+SUM(M46:T46)</f>
        <v>1150</v>
      </c>
      <c r="AG46" s="40" t="n">
        <v>38</v>
      </c>
      <c r="AH46" s="36">
        <f>AC68</f>
        <v>0</v>
      </c>
      <c r="AI46" s="36">
        <f>AC202</f>
        <v>0</v>
      </c>
      <c r="AJ46" s="36">
        <f>AC336</f>
        <v>0</v>
      </c>
    </row>
    <row r="47">
      <c r="B47" s="40" t="n">
        <v>17</v>
      </c>
      <c r="C47" s="36" t="n">
        <v>0</v>
      </c>
      <c r="D47" s="36">
        <f>MIN(E$26,E47)+MIN(F$26,F47)+MIN(G$26,G47)+MIN(H$26,H47)+MIN(I$26,I47)+MIN(J$26,J47)+MIN(K$26,K47)+MIN(L$26,L47)</f>
        <v>1150</v>
      </c>
      <c r="E47" s="36">
        <f>U46*(1+E$25)</f>
        <v>17902.9747015005</v>
      </c>
      <c r="F47" s="36">
        <f>V46*(1+F$25)</f>
        <v>0</v>
      </c>
      <c r="G47" s="36">
        <f>W46*(1+G$25)</f>
        <v>0</v>
      </c>
      <c r="H47" s="36">
        <f>X46*(1+H$25)</f>
        <v>0</v>
      </c>
      <c r="I47" s="36">
        <f>Y46*(1+I$25)</f>
        <v>0</v>
      </c>
      <c r="J47" s="36">
        <f>Z46*(1+J$25)</f>
        <v>0</v>
      </c>
      <c r="K47" s="36">
        <f>AA46*(1+K$25)</f>
        <v>0</v>
      </c>
      <c r="L47" s="36">
        <f>AB46*(1+L$25)</f>
        <v>0</v>
      </c>
      <c r="M47" s="36">
        <f>MIN(E47-MIN(E$26,E47),MAX(0,$C47-0))</f>
        <v>0</v>
      </c>
      <c r="N47" s="36">
        <f>MIN(F47-MIN(F$26,F47),MAX(0,$C47-SUM($M47:M47)))</f>
        <v>0</v>
      </c>
      <c r="O47" s="36">
        <f>MIN(G47-MIN(G$26,G47),MAX(0,$C47-SUM($M47:N47)))</f>
        <v>0</v>
      </c>
      <c r="P47" s="36">
        <f>MIN(H47-MIN(H$26,H47),MAX(0,$C47-SUM($M47:O47)))</f>
        <v>0</v>
      </c>
      <c r="Q47" s="36">
        <f>MIN(I47-MIN(I$26,I47),MAX(0,$C47-SUM($M47:P47)))</f>
        <v>0</v>
      </c>
      <c r="R47" s="36">
        <f>MIN(J47-MIN(J$26,J47),MAX(0,$C47-SUM($M47:Q47)))</f>
        <v>0</v>
      </c>
      <c r="S47" s="36">
        <f>MIN(K47-MIN(K$26,K47),MAX(0,$C47-SUM($M47:R47)))</f>
        <v>0</v>
      </c>
      <c r="T47" s="36">
        <f>MIN(L47-MIN(L$26,L47),MAX(0,$C47-SUM($M47:S47)))</f>
        <v>0</v>
      </c>
      <c r="U47" s="36">
        <f>IF(E47-MIN(E$26,E47)-M47&lt;0.005,0,E47-MIN(E$26,E47)-M47)</f>
        <v>16752.9747015005</v>
      </c>
      <c r="V47" s="36">
        <f>IF(F47-MIN(F$26,F47)-N47&lt;0.005,0,F47-MIN(F$26,F47)-N47)</f>
        <v>0</v>
      </c>
      <c r="W47" s="36">
        <f>IF(G47-MIN(G$26,G47)-O47&lt;0.005,0,G47-MIN(G$26,G47)-O47)</f>
        <v>0</v>
      </c>
      <c r="X47" s="36">
        <f>IF(H47-MIN(H$26,H47)-P47&lt;0.005,0,H47-MIN(H$26,H47)-P47)</f>
        <v>0</v>
      </c>
      <c r="Y47" s="36">
        <f>IF(I47-MIN(I$26,I47)-Q47&lt;0.005,0,I47-MIN(I$26,I47)-Q47)</f>
        <v>0</v>
      </c>
      <c r="Z47" s="36">
        <f>IF(J47-MIN(J$26,J47)-R47&lt;0.005,0,J47-MIN(J$26,J47)-R47)</f>
        <v>0</v>
      </c>
      <c r="AA47" s="36">
        <f>IF(K47-MIN(K$26,K47)-S47&lt;0.005,0,K47-MIN(K$26,K47)-S47)</f>
        <v>0</v>
      </c>
      <c r="AB47" s="36">
        <f>IF(L47-MIN(L$26,L47)-T47&lt;0.005,0,L47-MIN(L$26,L47)-T47)</f>
        <v>0</v>
      </c>
      <c r="AC47" s="36">
        <f>SUM(U47:AB47)</f>
        <v>16752.9747015005</v>
      </c>
      <c r="AD47" s="36">
        <f>D47+SUM(M47:T47)</f>
        <v>1150</v>
      </c>
      <c r="AG47" s="40" t="n">
        <v>39</v>
      </c>
      <c r="AH47" s="36">
        <f>AC69</f>
        <v>0</v>
      </c>
      <c r="AI47" s="36">
        <f>AC203</f>
        <v>0</v>
      </c>
      <c r="AJ47" s="36">
        <f>AC337</f>
        <v>0</v>
      </c>
    </row>
    <row r="48">
      <c r="B48" s="40" t="n">
        <v>18</v>
      </c>
      <c r="C48" s="36" t="n">
        <v>0</v>
      </c>
      <c r="D48" s="36">
        <f>MIN(E$26,E48)+MIN(F$26,F48)+MIN(G$26,G48)+MIN(H$26,H48)+MIN(I$26,I48)+MIN(J$26,J48)+MIN(K$26,K48)+MIN(L$26,L48)</f>
        <v>1150</v>
      </c>
      <c r="E48" s="36">
        <f>U47*(1+E$25)</f>
        <v>17088.0341955305</v>
      </c>
      <c r="F48" s="36">
        <f>V47*(1+F$25)</f>
        <v>0</v>
      </c>
      <c r="G48" s="36">
        <f>W47*(1+G$25)</f>
        <v>0</v>
      </c>
      <c r="H48" s="36">
        <f>X47*(1+H$25)</f>
        <v>0</v>
      </c>
      <c r="I48" s="36">
        <f>Y47*(1+I$25)</f>
        <v>0</v>
      </c>
      <c r="J48" s="36">
        <f>Z47*(1+J$25)</f>
        <v>0</v>
      </c>
      <c r="K48" s="36">
        <f>AA47*(1+K$25)</f>
        <v>0</v>
      </c>
      <c r="L48" s="36">
        <f>AB47*(1+L$25)</f>
        <v>0</v>
      </c>
      <c r="M48" s="36">
        <f>MIN(E48-MIN(E$26,E48),MAX(0,$C48-0))</f>
        <v>0</v>
      </c>
      <c r="N48" s="36">
        <f>MIN(F48-MIN(F$26,F48),MAX(0,$C48-SUM($M48:M48)))</f>
        <v>0</v>
      </c>
      <c r="O48" s="36">
        <f>MIN(G48-MIN(G$26,G48),MAX(0,$C48-SUM($M48:N48)))</f>
        <v>0</v>
      </c>
      <c r="P48" s="36">
        <f>MIN(H48-MIN(H$26,H48),MAX(0,$C48-SUM($M48:O48)))</f>
        <v>0</v>
      </c>
      <c r="Q48" s="36">
        <f>MIN(I48-MIN(I$26,I48),MAX(0,$C48-SUM($M48:P48)))</f>
        <v>0</v>
      </c>
      <c r="R48" s="36">
        <f>MIN(J48-MIN(J$26,J48),MAX(0,$C48-SUM($M48:Q48)))</f>
        <v>0</v>
      </c>
      <c r="S48" s="36">
        <f>MIN(K48-MIN(K$26,K48),MAX(0,$C48-SUM($M48:R48)))</f>
        <v>0</v>
      </c>
      <c r="T48" s="36">
        <f>MIN(L48-MIN(L$26,L48),MAX(0,$C48-SUM($M48:S48)))</f>
        <v>0</v>
      </c>
      <c r="U48" s="36">
        <f>IF(E48-MIN(E$26,E48)-M48&lt;0.005,0,E48-MIN(E$26,E48)-M48)</f>
        <v>15938.0341955305</v>
      </c>
      <c r="V48" s="36">
        <f>IF(F48-MIN(F$26,F48)-N48&lt;0.005,0,F48-MIN(F$26,F48)-N48)</f>
        <v>0</v>
      </c>
      <c r="W48" s="36">
        <f>IF(G48-MIN(G$26,G48)-O48&lt;0.005,0,G48-MIN(G$26,G48)-O48)</f>
        <v>0</v>
      </c>
      <c r="X48" s="36">
        <f>IF(H48-MIN(H$26,H48)-P48&lt;0.005,0,H48-MIN(H$26,H48)-P48)</f>
        <v>0</v>
      </c>
      <c r="Y48" s="36">
        <f>IF(I48-MIN(I$26,I48)-Q48&lt;0.005,0,I48-MIN(I$26,I48)-Q48)</f>
        <v>0</v>
      </c>
      <c r="Z48" s="36">
        <f>IF(J48-MIN(J$26,J48)-R48&lt;0.005,0,J48-MIN(J$26,J48)-R48)</f>
        <v>0</v>
      </c>
      <c r="AA48" s="36">
        <f>IF(K48-MIN(K$26,K48)-S48&lt;0.005,0,K48-MIN(K$26,K48)-S48)</f>
        <v>0</v>
      </c>
      <c r="AB48" s="36">
        <f>IF(L48-MIN(L$26,L48)-T48&lt;0.005,0,L48-MIN(L$26,L48)-T48)</f>
        <v>0</v>
      </c>
      <c r="AC48" s="36">
        <f>SUM(U48:AB48)</f>
        <v>15938.0341955305</v>
      </c>
      <c r="AD48" s="36">
        <f>D48+SUM(M48:T48)</f>
        <v>1150</v>
      </c>
      <c r="AG48" s="40" t="n">
        <v>40</v>
      </c>
      <c r="AH48" s="36">
        <f>AC70</f>
        <v>0</v>
      </c>
      <c r="AI48" s="36">
        <f>AC204</f>
        <v>0</v>
      </c>
      <c r="AJ48" s="36">
        <f>AC338</f>
        <v>0</v>
      </c>
    </row>
    <row r="49">
      <c r="B49" s="40" t="n">
        <v>19</v>
      </c>
      <c r="C49" s="36" t="n">
        <v>0</v>
      </c>
      <c r="D49" s="36">
        <f>MIN(E$26,E49)+MIN(F$26,F49)+MIN(G$26,G49)+MIN(H$26,H49)+MIN(I$26,I49)+MIN(J$26,J49)+MIN(K$26,K49)+MIN(L$26,L49)</f>
        <v>1150</v>
      </c>
      <c r="E49" s="36">
        <f>U48*(1+E$25)</f>
        <v>16256.7948794411</v>
      </c>
      <c r="F49" s="36">
        <f>V48*(1+F$25)</f>
        <v>0</v>
      </c>
      <c r="G49" s="36">
        <f>W48*(1+G$25)</f>
        <v>0</v>
      </c>
      <c r="H49" s="36">
        <f>X48*(1+H$25)</f>
        <v>0</v>
      </c>
      <c r="I49" s="36">
        <f>Y48*(1+I$25)</f>
        <v>0</v>
      </c>
      <c r="J49" s="36">
        <f>Z48*(1+J$25)</f>
        <v>0</v>
      </c>
      <c r="K49" s="36">
        <f>AA48*(1+K$25)</f>
        <v>0</v>
      </c>
      <c r="L49" s="36">
        <f>AB48*(1+L$25)</f>
        <v>0</v>
      </c>
      <c r="M49" s="36">
        <f>MIN(E49-MIN(E$26,E49),MAX(0,$C49-0))</f>
        <v>0</v>
      </c>
      <c r="N49" s="36">
        <f>MIN(F49-MIN(F$26,F49),MAX(0,$C49-SUM($M49:M49)))</f>
        <v>0</v>
      </c>
      <c r="O49" s="36">
        <f>MIN(G49-MIN(G$26,G49),MAX(0,$C49-SUM($M49:N49)))</f>
        <v>0</v>
      </c>
      <c r="P49" s="36">
        <f>MIN(H49-MIN(H$26,H49),MAX(0,$C49-SUM($M49:O49)))</f>
        <v>0</v>
      </c>
      <c r="Q49" s="36">
        <f>MIN(I49-MIN(I$26,I49),MAX(0,$C49-SUM($M49:P49)))</f>
        <v>0</v>
      </c>
      <c r="R49" s="36">
        <f>MIN(J49-MIN(J$26,J49),MAX(0,$C49-SUM($M49:Q49)))</f>
        <v>0</v>
      </c>
      <c r="S49" s="36">
        <f>MIN(K49-MIN(K$26,K49),MAX(0,$C49-SUM($M49:R49)))</f>
        <v>0</v>
      </c>
      <c r="T49" s="36">
        <f>MIN(L49-MIN(L$26,L49),MAX(0,$C49-SUM($M49:S49)))</f>
        <v>0</v>
      </c>
      <c r="U49" s="36">
        <f>IF(E49-MIN(E$26,E49)-M49&lt;0.005,0,E49-MIN(E$26,E49)-M49)</f>
        <v>15106.7948794411</v>
      </c>
      <c r="V49" s="36">
        <f>IF(F49-MIN(F$26,F49)-N49&lt;0.005,0,F49-MIN(F$26,F49)-N49)</f>
        <v>0</v>
      </c>
      <c r="W49" s="36">
        <f>IF(G49-MIN(G$26,G49)-O49&lt;0.005,0,G49-MIN(G$26,G49)-O49)</f>
        <v>0</v>
      </c>
      <c r="X49" s="36">
        <f>IF(H49-MIN(H$26,H49)-P49&lt;0.005,0,H49-MIN(H$26,H49)-P49)</f>
        <v>0</v>
      </c>
      <c r="Y49" s="36">
        <f>IF(I49-MIN(I$26,I49)-Q49&lt;0.005,0,I49-MIN(I$26,I49)-Q49)</f>
        <v>0</v>
      </c>
      <c r="Z49" s="36">
        <f>IF(J49-MIN(J$26,J49)-R49&lt;0.005,0,J49-MIN(J$26,J49)-R49)</f>
        <v>0</v>
      </c>
      <c r="AA49" s="36">
        <f>IF(K49-MIN(K$26,K49)-S49&lt;0.005,0,K49-MIN(K$26,K49)-S49)</f>
        <v>0</v>
      </c>
      <c r="AB49" s="36">
        <f>IF(L49-MIN(L$26,L49)-T49&lt;0.005,0,L49-MIN(L$26,L49)-T49)</f>
        <v>0</v>
      </c>
      <c r="AC49" s="36">
        <f>SUM(U49:AB49)</f>
        <v>15106.7948794411</v>
      </c>
      <c r="AD49" s="36">
        <f>D49+SUM(M49:T49)</f>
        <v>1150</v>
      </c>
      <c r="AG49" s="40" t="n">
        <v>41</v>
      </c>
      <c r="AH49" s="36">
        <f>AC71</f>
        <v>0</v>
      </c>
      <c r="AI49" s="36">
        <f>AC205</f>
        <v>0</v>
      </c>
      <c r="AJ49" s="36">
        <f>AC339</f>
        <v>0</v>
      </c>
    </row>
    <row r="50">
      <c r="B50" s="40" t="n">
        <v>20</v>
      </c>
      <c r="C50" s="36" t="n">
        <v>0</v>
      </c>
      <c r="D50" s="36">
        <f>MIN(E$26,E50)+MIN(F$26,F50)+MIN(G$26,G50)+MIN(H$26,H50)+MIN(I$26,I50)+MIN(J$26,J50)+MIN(K$26,K50)+MIN(L$26,L50)</f>
        <v>1150</v>
      </c>
      <c r="E50" s="36">
        <f>U49*(1+E$25)</f>
        <v>15408.9307770299</v>
      </c>
      <c r="F50" s="36">
        <f>V49*(1+F$25)</f>
        <v>0</v>
      </c>
      <c r="G50" s="36">
        <f>W49*(1+G$25)</f>
        <v>0</v>
      </c>
      <c r="H50" s="36">
        <f>X49*(1+H$25)</f>
        <v>0</v>
      </c>
      <c r="I50" s="36">
        <f>Y49*(1+I$25)</f>
        <v>0</v>
      </c>
      <c r="J50" s="36">
        <f>Z49*(1+J$25)</f>
        <v>0</v>
      </c>
      <c r="K50" s="36">
        <f>AA49*(1+K$25)</f>
        <v>0</v>
      </c>
      <c r="L50" s="36">
        <f>AB49*(1+L$25)</f>
        <v>0</v>
      </c>
      <c r="M50" s="36">
        <f>MIN(E50-MIN(E$26,E50),MAX(0,$C50-0))</f>
        <v>0</v>
      </c>
      <c r="N50" s="36">
        <f>MIN(F50-MIN(F$26,F50),MAX(0,$C50-SUM($M50:M50)))</f>
        <v>0</v>
      </c>
      <c r="O50" s="36">
        <f>MIN(G50-MIN(G$26,G50),MAX(0,$C50-SUM($M50:N50)))</f>
        <v>0</v>
      </c>
      <c r="P50" s="36">
        <f>MIN(H50-MIN(H$26,H50),MAX(0,$C50-SUM($M50:O50)))</f>
        <v>0</v>
      </c>
      <c r="Q50" s="36">
        <f>MIN(I50-MIN(I$26,I50),MAX(0,$C50-SUM($M50:P50)))</f>
        <v>0</v>
      </c>
      <c r="R50" s="36">
        <f>MIN(J50-MIN(J$26,J50),MAX(0,$C50-SUM($M50:Q50)))</f>
        <v>0</v>
      </c>
      <c r="S50" s="36">
        <f>MIN(K50-MIN(K$26,K50),MAX(0,$C50-SUM($M50:R50)))</f>
        <v>0</v>
      </c>
      <c r="T50" s="36">
        <f>MIN(L50-MIN(L$26,L50),MAX(0,$C50-SUM($M50:S50)))</f>
        <v>0</v>
      </c>
      <c r="U50" s="36">
        <f>IF(E50-MIN(E$26,E50)-M50&lt;0.005,0,E50-MIN(E$26,E50)-M50)</f>
        <v>14258.9307770299</v>
      </c>
      <c r="V50" s="36">
        <f>IF(F50-MIN(F$26,F50)-N50&lt;0.005,0,F50-MIN(F$26,F50)-N50)</f>
        <v>0</v>
      </c>
      <c r="W50" s="36">
        <f>IF(G50-MIN(G$26,G50)-O50&lt;0.005,0,G50-MIN(G$26,G50)-O50)</f>
        <v>0</v>
      </c>
      <c r="X50" s="36">
        <f>IF(H50-MIN(H$26,H50)-P50&lt;0.005,0,H50-MIN(H$26,H50)-P50)</f>
        <v>0</v>
      </c>
      <c r="Y50" s="36">
        <f>IF(I50-MIN(I$26,I50)-Q50&lt;0.005,0,I50-MIN(I$26,I50)-Q50)</f>
        <v>0</v>
      </c>
      <c r="Z50" s="36">
        <f>IF(J50-MIN(J$26,J50)-R50&lt;0.005,0,J50-MIN(J$26,J50)-R50)</f>
        <v>0</v>
      </c>
      <c r="AA50" s="36">
        <f>IF(K50-MIN(K$26,K50)-S50&lt;0.005,0,K50-MIN(K$26,K50)-S50)</f>
        <v>0</v>
      </c>
      <c r="AB50" s="36">
        <f>IF(L50-MIN(L$26,L50)-T50&lt;0.005,0,L50-MIN(L$26,L50)-T50)</f>
        <v>0</v>
      </c>
      <c r="AC50" s="36">
        <f>SUM(U50:AB50)</f>
        <v>14258.9307770299</v>
      </c>
      <c r="AD50" s="36">
        <f>D50+SUM(M50:T50)</f>
        <v>1150</v>
      </c>
      <c r="AG50" s="40" t="n">
        <v>42</v>
      </c>
      <c r="AH50" s="36">
        <f>AC72</f>
        <v>0</v>
      </c>
      <c r="AI50" s="36">
        <f>AC206</f>
        <v>0</v>
      </c>
      <c r="AJ50" s="36">
        <f>AC340</f>
        <v>0</v>
      </c>
    </row>
    <row r="51">
      <c r="B51" s="40" t="n">
        <v>21</v>
      </c>
      <c r="C51" s="36" t="n">
        <v>0</v>
      </c>
      <c r="D51" s="36">
        <f>MIN(E$26,E51)+MIN(F$26,F51)+MIN(G$26,G51)+MIN(H$26,H51)+MIN(I$26,I51)+MIN(J$26,J51)+MIN(K$26,K51)+MIN(L$26,L51)</f>
        <v>1150</v>
      </c>
      <c r="E51" s="36">
        <f>U50*(1+E$25)</f>
        <v>14544.1093925705</v>
      </c>
      <c r="F51" s="36">
        <f>V50*(1+F$25)</f>
        <v>0</v>
      </c>
      <c r="G51" s="36">
        <f>W50*(1+G$25)</f>
        <v>0</v>
      </c>
      <c r="H51" s="36">
        <f>X50*(1+H$25)</f>
        <v>0</v>
      </c>
      <c r="I51" s="36">
        <f>Y50*(1+I$25)</f>
        <v>0</v>
      </c>
      <c r="J51" s="36">
        <f>Z50*(1+J$25)</f>
        <v>0</v>
      </c>
      <c r="K51" s="36">
        <f>AA50*(1+K$25)</f>
        <v>0</v>
      </c>
      <c r="L51" s="36">
        <f>AB50*(1+L$25)</f>
        <v>0</v>
      </c>
      <c r="M51" s="36">
        <f>MIN(E51-MIN(E$26,E51),MAX(0,$C51-0))</f>
        <v>0</v>
      </c>
      <c r="N51" s="36">
        <f>MIN(F51-MIN(F$26,F51),MAX(0,$C51-SUM($M51:M51)))</f>
        <v>0</v>
      </c>
      <c r="O51" s="36">
        <f>MIN(G51-MIN(G$26,G51),MAX(0,$C51-SUM($M51:N51)))</f>
        <v>0</v>
      </c>
      <c r="P51" s="36">
        <f>MIN(H51-MIN(H$26,H51),MAX(0,$C51-SUM($M51:O51)))</f>
        <v>0</v>
      </c>
      <c r="Q51" s="36">
        <f>MIN(I51-MIN(I$26,I51),MAX(0,$C51-SUM($M51:P51)))</f>
        <v>0</v>
      </c>
      <c r="R51" s="36">
        <f>MIN(J51-MIN(J$26,J51),MAX(0,$C51-SUM($M51:Q51)))</f>
        <v>0</v>
      </c>
      <c r="S51" s="36">
        <f>MIN(K51-MIN(K$26,K51),MAX(0,$C51-SUM($M51:R51)))</f>
        <v>0</v>
      </c>
      <c r="T51" s="36">
        <f>MIN(L51-MIN(L$26,L51),MAX(0,$C51-SUM($M51:S51)))</f>
        <v>0</v>
      </c>
      <c r="U51" s="36">
        <f>IF(E51-MIN(E$26,E51)-M51&lt;0.005,0,E51-MIN(E$26,E51)-M51)</f>
        <v>13394.1093925705</v>
      </c>
      <c r="V51" s="36">
        <f>IF(F51-MIN(F$26,F51)-N51&lt;0.005,0,F51-MIN(F$26,F51)-N51)</f>
        <v>0</v>
      </c>
      <c r="W51" s="36">
        <f>IF(G51-MIN(G$26,G51)-O51&lt;0.005,0,G51-MIN(G$26,G51)-O51)</f>
        <v>0</v>
      </c>
      <c r="X51" s="36">
        <f>IF(H51-MIN(H$26,H51)-P51&lt;0.005,0,H51-MIN(H$26,H51)-P51)</f>
        <v>0</v>
      </c>
      <c r="Y51" s="36">
        <f>IF(I51-MIN(I$26,I51)-Q51&lt;0.005,0,I51-MIN(I$26,I51)-Q51)</f>
        <v>0</v>
      </c>
      <c r="Z51" s="36">
        <f>IF(J51-MIN(J$26,J51)-R51&lt;0.005,0,J51-MIN(J$26,J51)-R51)</f>
        <v>0</v>
      </c>
      <c r="AA51" s="36">
        <f>IF(K51-MIN(K$26,K51)-S51&lt;0.005,0,K51-MIN(K$26,K51)-S51)</f>
        <v>0</v>
      </c>
      <c r="AB51" s="36">
        <f>IF(L51-MIN(L$26,L51)-T51&lt;0.005,0,L51-MIN(L$26,L51)-T51)</f>
        <v>0</v>
      </c>
      <c r="AC51" s="36">
        <f>SUM(U51:AB51)</f>
        <v>13394.1093925705</v>
      </c>
      <c r="AD51" s="36">
        <f>D51+SUM(M51:T51)</f>
        <v>1150</v>
      </c>
      <c r="AG51" s="40" t="n">
        <v>43</v>
      </c>
      <c r="AH51" s="36">
        <f>AC73</f>
        <v>0</v>
      </c>
      <c r="AI51" s="36">
        <f>AC207</f>
        <v>0</v>
      </c>
      <c r="AJ51" s="36">
        <f>AC341</f>
        <v>0</v>
      </c>
    </row>
    <row r="52">
      <c r="B52" s="40" t="n">
        <v>22</v>
      </c>
      <c r="C52" s="36" t="n">
        <v>0</v>
      </c>
      <c r="D52" s="36">
        <f>MIN(E$26,E52)+MIN(F$26,F52)+MIN(G$26,G52)+MIN(H$26,H52)+MIN(I$26,I52)+MIN(J$26,J52)+MIN(K$26,K52)+MIN(L$26,L52)</f>
        <v>1150</v>
      </c>
      <c r="E52" s="36">
        <f>U51*(1+E$25)</f>
        <v>13661.9915804219</v>
      </c>
      <c r="F52" s="36">
        <f>V51*(1+F$25)</f>
        <v>0</v>
      </c>
      <c r="G52" s="36">
        <f>W51*(1+G$25)</f>
        <v>0</v>
      </c>
      <c r="H52" s="36">
        <f>X51*(1+H$25)</f>
        <v>0</v>
      </c>
      <c r="I52" s="36">
        <f>Y51*(1+I$25)</f>
        <v>0</v>
      </c>
      <c r="J52" s="36">
        <f>Z51*(1+J$25)</f>
        <v>0</v>
      </c>
      <c r="K52" s="36">
        <f>AA51*(1+K$25)</f>
        <v>0</v>
      </c>
      <c r="L52" s="36">
        <f>AB51*(1+L$25)</f>
        <v>0</v>
      </c>
      <c r="M52" s="36">
        <f>MIN(E52-MIN(E$26,E52),MAX(0,$C52-0))</f>
        <v>0</v>
      </c>
      <c r="N52" s="36">
        <f>MIN(F52-MIN(F$26,F52),MAX(0,$C52-SUM($M52:M52)))</f>
        <v>0</v>
      </c>
      <c r="O52" s="36">
        <f>MIN(G52-MIN(G$26,G52),MAX(0,$C52-SUM($M52:N52)))</f>
        <v>0</v>
      </c>
      <c r="P52" s="36">
        <f>MIN(H52-MIN(H$26,H52),MAX(0,$C52-SUM($M52:O52)))</f>
        <v>0</v>
      </c>
      <c r="Q52" s="36">
        <f>MIN(I52-MIN(I$26,I52),MAX(0,$C52-SUM($M52:P52)))</f>
        <v>0</v>
      </c>
      <c r="R52" s="36">
        <f>MIN(J52-MIN(J$26,J52),MAX(0,$C52-SUM($M52:Q52)))</f>
        <v>0</v>
      </c>
      <c r="S52" s="36">
        <f>MIN(K52-MIN(K$26,K52),MAX(0,$C52-SUM($M52:R52)))</f>
        <v>0</v>
      </c>
      <c r="T52" s="36">
        <f>MIN(L52-MIN(L$26,L52),MAX(0,$C52-SUM($M52:S52)))</f>
        <v>0</v>
      </c>
      <c r="U52" s="36">
        <f>IF(E52-MIN(E$26,E52)-M52&lt;0.005,0,E52-MIN(E$26,E52)-M52)</f>
        <v>12511.9915804219</v>
      </c>
      <c r="V52" s="36">
        <f>IF(F52-MIN(F$26,F52)-N52&lt;0.005,0,F52-MIN(F$26,F52)-N52)</f>
        <v>0</v>
      </c>
      <c r="W52" s="36">
        <f>IF(G52-MIN(G$26,G52)-O52&lt;0.005,0,G52-MIN(G$26,G52)-O52)</f>
        <v>0</v>
      </c>
      <c r="X52" s="36">
        <f>IF(H52-MIN(H$26,H52)-P52&lt;0.005,0,H52-MIN(H$26,H52)-P52)</f>
        <v>0</v>
      </c>
      <c r="Y52" s="36">
        <f>IF(I52-MIN(I$26,I52)-Q52&lt;0.005,0,I52-MIN(I$26,I52)-Q52)</f>
        <v>0</v>
      </c>
      <c r="Z52" s="36">
        <f>IF(J52-MIN(J$26,J52)-R52&lt;0.005,0,J52-MIN(J$26,J52)-R52)</f>
        <v>0</v>
      </c>
      <c r="AA52" s="36">
        <f>IF(K52-MIN(K$26,K52)-S52&lt;0.005,0,K52-MIN(K$26,K52)-S52)</f>
        <v>0</v>
      </c>
      <c r="AB52" s="36">
        <f>IF(L52-MIN(L$26,L52)-T52&lt;0.005,0,L52-MIN(L$26,L52)-T52)</f>
        <v>0</v>
      </c>
      <c r="AC52" s="36">
        <f>SUM(U52:AB52)</f>
        <v>12511.9915804219</v>
      </c>
      <c r="AD52" s="36">
        <f>D52+SUM(M52:T52)</f>
        <v>1150</v>
      </c>
      <c r="AG52" s="40" t="n">
        <v>44</v>
      </c>
      <c r="AH52" s="36">
        <f>AC74</f>
        <v>0</v>
      </c>
      <c r="AI52" s="36">
        <f>AC208</f>
        <v>0</v>
      </c>
      <c r="AJ52" s="36">
        <f>AC342</f>
        <v>0</v>
      </c>
    </row>
    <row r="53">
      <c r="B53" s="40" t="n">
        <v>23</v>
      </c>
      <c r="C53" s="36" t="n">
        <v>0</v>
      </c>
      <c r="D53" s="36">
        <f>MIN(E$26,E53)+MIN(F$26,F53)+MIN(G$26,G53)+MIN(H$26,H53)+MIN(I$26,I53)+MIN(J$26,J53)+MIN(K$26,K53)+MIN(L$26,L53)</f>
        <v>1150</v>
      </c>
      <c r="E53" s="36">
        <f>U52*(1+E$25)</f>
        <v>12762.2314120303</v>
      </c>
      <c r="F53" s="36">
        <f>V52*(1+F$25)</f>
        <v>0</v>
      </c>
      <c r="G53" s="36">
        <f>W52*(1+G$25)</f>
        <v>0</v>
      </c>
      <c r="H53" s="36">
        <f>X52*(1+H$25)</f>
        <v>0</v>
      </c>
      <c r="I53" s="36">
        <f>Y52*(1+I$25)</f>
        <v>0</v>
      </c>
      <c r="J53" s="36">
        <f>Z52*(1+J$25)</f>
        <v>0</v>
      </c>
      <c r="K53" s="36">
        <f>AA52*(1+K$25)</f>
        <v>0</v>
      </c>
      <c r="L53" s="36">
        <f>AB52*(1+L$25)</f>
        <v>0</v>
      </c>
      <c r="M53" s="36">
        <f>MIN(E53-MIN(E$26,E53),MAX(0,$C53-0))</f>
        <v>0</v>
      </c>
      <c r="N53" s="36">
        <f>MIN(F53-MIN(F$26,F53),MAX(0,$C53-SUM($M53:M53)))</f>
        <v>0</v>
      </c>
      <c r="O53" s="36">
        <f>MIN(G53-MIN(G$26,G53),MAX(0,$C53-SUM($M53:N53)))</f>
        <v>0</v>
      </c>
      <c r="P53" s="36">
        <f>MIN(H53-MIN(H$26,H53),MAX(0,$C53-SUM($M53:O53)))</f>
        <v>0</v>
      </c>
      <c r="Q53" s="36">
        <f>MIN(I53-MIN(I$26,I53),MAX(0,$C53-SUM($M53:P53)))</f>
        <v>0</v>
      </c>
      <c r="R53" s="36">
        <f>MIN(J53-MIN(J$26,J53),MAX(0,$C53-SUM($M53:Q53)))</f>
        <v>0</v>
      </c>
      <c r="S53" s="36">
        <f>MIN(K53-MIN(K$26,K53),MAX(0,$C53-SUM($M53:R53)))</f>
        <v>0</v>
      </c>
      <c r="T53" s="36">
        <f>MIN(L53-MIN(L$26,L53),MAX(0,$C53-SUM($M53:S53)))</f>
        <v>0</v>
      </c>
      <c r="U53" s="36">
        <f>IF(E53-MIN(E$26,E53)-M53&lt;0.005,0,E53-MIN(E$26,E53)-M53)</f>
        <v>11612.2314120303</v>
      </c>
      <c r="V53" s="36">
        <f>IF(F53-MIN(F$26,F53)-N53&lt;0.005,0,F53-MIN(F$26,F53)-N53)</f>
        <v>0</v>
      </c>
      <c r="W53" s="36">
        <f>IF(G53-MIN(G$26,G53)-O53&lt;0.005,0,G53-MIN(G$26,G53)-O53)</f>
        <v>0</v>
      </c>
      <c r="X53" s="36">
        <f>IF(H53-MIN(H$26,H53)-P53&lt;0.005,0,H53-MIN(H$26,H53)-P53)</f>
        <v>0</v>
      </c>
      <c r="Y53" s="36">
        <f>IF(I53-MIN(I$26,I53)-Q53&lt;0.005,0,I53-MIN(I$26,I53)-Q53)</f>
        <v>0</v>
      </c>
      <c r="Z53" s="36">
        <f>IF(J53-MIN(J$26,J53)-R53&lt;0.005,0,J53-MIN(J$26,J53)-R53)</f>
        <v>0</v>
      </c>
      <c r="AA53" s="36">
        <f>IF(K53-MIN(K$26,K53)-S53&lt;0.005,0,K53-MIN(K$26,K53)-S53)</f>
        <v>0</v>
      </c>
      <c r="AB53" s="36">
        <f>IF(L53-MIN(L$26,L53)-T53&lt;0.005,0,L53-MIN(L$26,L53)-T53)</f>
        <v>0</v>
      </c>
      <c r="AC53" s="36">
        <f>SUM(U53:AB53)</f>
        <v>11612.2314120303</v>
      </c>
      <c r="AD53" s="36">
        <f>D53+SUM(M53:T53)</f>
        <v>1150</v>
      </c>
      <c r="AG53" s="40" t="n">
        <v>45</v>
      </c>
      <c r="AH53" s="36">
        <f>AC75</f>
        <v>0</v>
      </c>
      <c r="AI53" s="36">
        <f>AC209</f>
        <v>0</v>
      </c>
      <c r="AJ53" s="36">
        <f>AC343</f>
        <v>0</v>
      </c>
    </row>
    <row r="54">
      <c r="B54" s="40" t="n">
        <v>24</v>
      </c>
      <c r="C54" s="36" t="n">
        <v>0</v>
      </c>
      <c r="D54" s="36">
        <f>MIN(E$26,E54)+MIN(F$26,F54)+MIN(G$26,G54)+MIN(H$26,H54)+MIN(I$26,I54)+MIN(J$26,J54)+MIN(K$26,K54)+MIN(L$26,L54)</f>
        <v>1150</v>
      </c>
      <c r="E54" s="36">
        <f>U53*(1+E$25)</f>
        <v>11844.476040271</v>
      </c>
      <c r="F54" s="36">
        <f>V53*(1+F$25)</f>
        <v>0</v>
      </c>
      <c r="G54" s="36">
        <f>W53*(1+G$25)</f>
        <v>0</v>
      </c>
      <c r="H54" s="36">
        <f>X53*(1+H$25)</f>
        <v>0</v>
      </c>
      <c r="I54" s="36">
        <f>Y53*(1+I$25)</f>
        <v>0</v>
      </c>
      <c r="J54" s="36">
        <f>Z53*(1+J$25)</f>
        <v>0</v>
      </c>
      <c r="K54" s="36">
        <f>AA53*(1+K$25)</f>
        <v>0</v>
      </c>
      <c r="L54" s="36">
        <f>AB53*(1+L$25)</f>
        <v>0</v>
      </c>
      <c r="M54" s="36">
        <f>MIN(E54-MIN(E$26,E54),MAX(0,$C54-0))</f>
        <v>0</v>
      </c>
      <c r="N54" s="36">
        <f>MIN(F54-MIN(F$26,F54),MAX(0,$C54-SUM($M54:M54)))</f>
        <v>0</v>
      </c>
      <c r="O54" s="36">
        <f>MIN(G54-MIN(G$26,G54),MAX(0,$C54-SUM($M54:N54)))</f>
        <v>0</v>
      </c>
      <c r="P54" s="36">
        <f>MIN(H54-MIN(H$26,H54),MAX(0,$C54-SUM($M54:O54)))</f>
        <v>0</v>
      </c>
      <c r="Q54" s="36">
        <f>MIN(I54-MIN(I$26,I54),MAX(0,$C54-SUM($M54:P54)))</f>
        <v>0</v>
      </c>
      <c r="R54" s="36">
        <f>MIN(J54-MIN(J$26,J54),MAX(0,$C54-SUM($M54:Q54)))</f>
        <v>0</v>
      </c>
      <c r="S54" s="36">
        <f>MIN(K54-MIN(K$26,K54),MAX(0,$C54-SUM($M54:R54)))</f>
        <v>0</v>
      </c>
      <c r="T54" s="36">
        <f>MIN(L54-MIN(L$26,L54),MAX(0,$C54-SUM($M54:S54)))</f>
        <v>0</v>
      </c>
      <c r="U54" s="36">
        <f>IF(E54-MIN(E$26,E54)-M54&lt;0.005,0,E54-MIN(E$26,E54)-M54)</f>
        <v>10694.476040271</v>
      </c>
      <c r="V54" s="36">
        <f>IF(F54-MIN(F$26,F54)-N54&lt;0.005,0,F54-MIN(F$26,F54)-N54)</f>
        <v>0</v>
      </c>
      <c r="W54" s="36">
        <f>IF(G54-MIN(G$26,G54)-O54&lt;0.005,0,G54-MIN(G$26,G54)-O54)</f>
        <v>0</v>
      </c>
      <c r="X54" s="36">
        <f>IF(H54-MIN(H$26,H54)-P54&lt;0.005,0,H54-MIN(H$26,H54)-P54)</f>
        <v>0</v>
      </c>
      <c r="Y54" s="36">
        <f>IF(I54-MIN(I$26,I54)-Q54&lt;0.005,0,I54-MIN(I$26,I54)-Q54)</f>
        <v>0</v>
      </c>
      <c r="Z54" s="36">
        <f>IF(J54-MIN(J$26,J54)-R54&lt;0.005,0,J54-MIN(J$26,J54)-R54)</f>
        <v>0</v>
      </c>
      <c r="AA54" s="36">
        <f>IF(K54-MIN(K$26,K54)-S54&lt;0.005,0,K54-MIN(K$26,K54)-S54)</f>
        <v>0</v>
      </c>
      <c r="AB54" s="36">
        <f>IF(L54-MIN(L$26,L54)-T54&lt;0.005,0,L54-MIN(L$26,L54)-T54)</f>
        <v>0</v>
      </c>
      <c r="AC54" s="36">
        <f>SUM(U54:AB54)</f>
        <v>10694.476040271</v>
      </c>
      <c r="AD54" s="36">
        <f>D54+SUM(M54:T54)</f>
        <v>1150</v>
      </c>
      <c r="AG54" s="40" t="n">
        <v>46</v>
      </c>
      <c r="AH54" s="36">
        <f>AC76</f>
        <v>0</v>
      </c>
      <c r="AI54" s="36">
        <f>AC210</f>
        <v>0</v>
      </c>
      <c r="AJ54" s="36">
        <f>AC344</f>
        <v>0</v>
      </c>
    </row>
    <row r="55">
      <c r="B55" s="40" t="n">
        <v>25</v>
      </c>
      <c r="C55" s="36" t="n">
        <v>0</v>
      </c>
      <c r="D55" s="36">
        <f>MIN(E$26,E55)+MIN(F$26,F55)+MIN(G$26,G55)+MIN(H$26,H55)+MIN(I$26,I55)+MIN(J$26,J55)+MIN(K$26,K55)+MIN(L$26,L55)</f>
        <v>1150</v>
      </c>
      <c r="E55" s="36">
        <f>U54*(1+E$25)</f>
        <v>10908.3655610764</v>
      </c>
      <c r="F55" s="36">
        <f>V54*(1+F$25)</f>
        <v>0</v>
      </c>
      <c r="G55" s="36">
        <f>W54*(1+G$25)</f>
        <v>0</v>
      </c>
      <c r="H55" s="36">
        <f>X54*(1+H$25)</f>
        <v>0</v>
      </c>
      <c r="I55" s="36">
        <f>Y54*(1+I$25)</f>
        <v>0</v>
      </c>
      <c r="J55" s="36">
        <f>Z54*(1+J$25)</f>
        <v>0</v>
      </c>
      <c r="K55" s="36">
        <f>AA54*(1+K$25)</f>
        <v>0</v>
      </c>
      <c r="L55" s="36">
        <f>AB54*(1+L$25)</f>
        <v>0</v>
      </c>
      <c r="M55" s="36">
        <f>MIN(E55-MIN(E$26,E55),MAX(0,$C55-0))</f>
        <v>0</v>
      </c>
      <c r="N55" s="36">
        <f>MIN(F55-MIN(F$26,F55),MAX(0,$C55-SUM($M55:M55)))</f>
        <v>0</v>
      </c>
      <c r="O55" s="36">
        <f>MIN(G55-MIN(G$26,G55),MAX(0,$C55-SUM($M55:N55)))</f>
        <v>0</v>
      </c>
      <c r="P55" s="36">
        <f>MIN(H55-MIN(H$26,H55),MAX(0,$C55-SUM($M55:O55)))</f>
        <v>0</v>
      </c>
      <c r="Q55" s="36">
        <f>MIN(I55-MIN(I$26,I55),MAX(0,$C55-SUM($M55:P55)))</f>
        <v>0</v>
      </c>
      <c r="R55" s="36">
        <f>MIN(J55-MIN(J$26,J55),MAX(0,$C55-SUM($M55:Q55)))</f>
        <v>0</v>
      </c>
      <c r="S55" s="36">
        <f>MIN(K55-MIN(K$26,K55),MAX(0,$C55-SUM($M55:R55)))</f>
        <v>0</v>
      </c>
      <c r="T55" s="36">
        <f>MIN(L55-MIN(L$26,L55),MAX(0,$C55-SUM($M55:S55)))</f>
        <v>0</v>
      </c>
      <c r="U55" s="36">
        <f>IF(E55-MIN(E$26,E55)-M55&lt;0.005,0,E55-MIN(E$26,E55)-M55)</f>
        <v>9758.36556107637</v>
      </c>
      <c r="V55" s="36">
        <f>IF(F55-MIN(F$26,F55)-N55&lt;0.005,0,F55-MIN(F$26,F55)-N55)</f>
        <v>0</v>
      </c>
      <c r="W55" s="36">
        <f>IF(G55-MIN(G$26,G55)-O55&lt;0.005,0,G55-MIN(G$26,G55)-O55)</f>
        <v>0</v>
      </c>
      <c r="X55" s="36">
        <f>IF(H55-MIN(H$26,H55)-P55&lt;0.005,0,H55-MIN(H$26,H55)-P55)</f>
        <v>0</v>
      </c>
      <c r="Y55" s="36">
        <f>IF(I55-MIN(I$26,I55)-Q55&lt;0.005,0,I55-MIN(I$26,I55)-Q55)</f>
        <v>0</v>
      </c>
      <c r="Z55" s="36">
        <f>IF(J55-MIN(J$26,J55)-R55&lt;0.005,0,J55-MIN(J$26,J55)-R55)</f>
        <v>0</v>
      </c>
      <c r="AA55" s="36">
        <f>IF(K55-MIN(K$26,K55)-S55&lt;0.005,0,K55-MIN(K$26,K55)-S55)</f>
        <v>0</v>
      </c>
      <c r="AB55" s="36">
        <f>IF(L55-MIN(L$26,L55)-T55&lt;0.005,0,L55-MIN(L$26,L55)-T55)</f>
        <v>0</v>
      </c>
      <c r="AC55" s="36">
        <f>SUM(U55:AB55)</f>
        <v>9758.36556107637</v>
      </c>
      <c r="AD55" s="36">
        <f>D55+SUM(M55:T55)</f>
        <v>1150</v>
      </c>
      <c r="AG55" s="40" t="n">
        <v>47</v>
      </c>
      <c r="AH55" s="36">
        <f>AC77</f>
        <v>0</v>
      </c>
      <c r="AI55" s="36">
        <f>AC211</f>
        <v>0</v>
      </c>
      <c r="AJ55" s="36">
        <f>AC345</f>
        <v>0</v>
      </c>
    </row>
    <row r="56">
      <c r="B56" s="40" t="n">
        <v>26</v>
      </c>
      <c r="C56" s="36" t="n">
        <v>0</v>
      </c>
      <c r="D56" s="36">
        <f>MIN(E$26,E56)+MIN(F$26,F56)+MIN(G$26,G56)+MIN(H$26,H56)+MIN(I$26,I56)+MIN(J$26,J56)+MIN(K$26,K56)+MIN(L$26,L56)</f>
        <v>1150</v>
      </c>
      <c r="E56" s="36">
        <f>U55*(1+E$25)</f>
        <v>9953.5328722979</v>
      </c>
      <c r="F56" s="36">
        <f>V55*(1+F$25)</f>
        <v>0</v>
      </c>
      <c r="G56" s="36">
        <f>W55*(1+G$25)</f>
        <v>0</v>
      </c>
      <c r="H56" s="36">
        <f>X55*(1+H$25)</f>
        <v>0</v>
      </c>
      <c r="I56" s="36">
        <f>Y55*(1+I$25)</f>
        <v>0</v>
      </c>
      <c r="J56" s="36">
        <f>Z55*(1+J$25)</f>
        <v>0</v>
      </c>
      <c r="K56" s="36">
        <f>AA55*(1+K$25)</f>
        <v>0</v>
      </c>
      <c r="L56" s="36">
        <f>AB55*(1+L$25)</f>
        <v>0</v>
      </c>
      <c r="M56" s="36">
        <f>MIN(E56-MIN(E$26,E56),MAX(0,$C56-0))</f>
        <v>0</v>
      </c>
      <c r="N56" s="36">
        <f>MIN(F56-MIN(F$26,F56),MAX(0,$C56-SUM($M56:M56)))</f>
        <v>0</v>
      </c>
      <c r="O56" s="36">
        <f>MIN(G56-MIN(G$26,G56),MAX(0,$C56-SUM($M56:N56)))</f>
        <v>0</v>
      </c>
      <c r="P56" s="36">
        <f>MIN(H56-MIN(H$26,H56),MAX(0,$C56-SUM($M56:O56)))</f>
        <v>0</v>
      </c>
      <c r="Q56" s="36">
        <f>MIN(I56-MIN(I$26,I56),MAX(0,$C56-SUM($M56:P56)))</f>
        <v>0</v>
      </c>
      <c r="R56" s="36">
        <f>MIN(J56-MIN(J$26,J56),MAX(0,$C56-SUM($M56:Q56)))</f>
        <v>0</v>
      </c>
      <c r="S56" s="36">
        <f>MIN(K56-MIN(K$26,K56),MAX(0,$C56-SUM($M56:R56)))</f>
        <v>0</v>
      </c>
      <c r="T56" s="36">
        <f>MIN(L56-MIN(L$26,L56),MAX(0,$C56-SUM($M56:S56)))</f>
        <v>0</v>
      </c>
      <c r="U56" s="36">
        <f>IF(E56-MIN(E$26,E56)-M56&lt;0.005,0,E56-MIN(E$26,E56)-M56)</f>
        <v>8803.5328722979</v>
      </c>
      <c r="V56" s="36">
        <f>IF(F56-MIN(F$26,F56)-N56&lt;0.005,0,F56-MIN(F$26,F56)-N56)</f>
        <v>0</v>
      </c>
      <c r="W56" s="36">
        <f>IF(G56-MIN(G$26,G56)-O56&lt;0.005,0,G56-MIN(G$26,G56)-O56)</f>
        <v>0</v>
      </c>
      <c r="X56" s="36">
        <f>IF(H56-MIN(H$26,H56)-P56&lt;0.005,0,H56-MIN(H$26,H56)-P56)</f>
        <v>0</v>
      </c>
      <c r="Y56" s="36">
        <f>IF(I56-MIN(I$26,I56)-Q56&lt;0.005,0,I56-MIN(I$26,I56)-Q56)</f>
        <v>0</v>
      </c>
      <c r="Z56" s="36">
        <f>IF(J56-MIN(J$26,J56)-R56&lt;0.005,0,J56-MIN(J$26,J56)-R56)</f>
        <v>0</v>
      </c>
      <c r="AA56" s="36">
        <f>IF(K56-MIN(K$26,K56)-S56&lt;0.005,0,K56-MIN(K$26,K56)-S56)</f>
        <v>0</v>
      </c>
      <c r="AB56" s="36">
        <f>IF(L56-MIN(L$26,L56)-T56&lt;0.005,0,L56-MIN(L$26,L56)-T56)</f>
        <v>0</v>
      </c>
      <c r="AC56" s="36">
        <f>SUM(U56:AB56)</f>
        <v>8803.5328722979</v>
      </c>
      <c r="AD56" s="36">
        <f>D56+SUM(M56:T56)</f>
        <v>1150</v>
      </c>
      <c r="AG56" s="40" t="n">
        <v>48</v>
      </c>
      <c r="AH56" s="36">
        <f>AC78</f>
        <v>0</v>
      </c>
      <c r="AI56" s="36">
        <f>AC212</f>
        <v>0</v>
      </c>
      <c r="AJ56" s="36">
        <f>AC346</f>
        <v>0</v>
      </c>
    </row>
    <row r="57">
      <c r="B57" s="40" t="n">
        <v>27</v>
      </c>
      <c r="C57" s="36" t="n">
        <v>0</v>
      </c>
      <c r="D57" s="36">
        <f>MIN(E$26,E57)+MIN(F$26,F57)+MIN(G$26,G57)+MIN(H$26,H57)+MIN(I$26,I57)+MIN(J$26,J57)+MIN(K$26,K57)+MIN(L$26,L57)</f>
        <v>1150</v>
      </c>
      <c r="E57" s="36">
        <f>U56*(1+E$25)</f>
        <v>8979.60352974386</v>
      </c>
      <c r="F57" s="36">
        <f>V56*(1+F$25)</f>
        <v>0</v>
      </c>
      <c r="G57" s="36">
        <f>W56*(1+G$25)</f>
        <v>0</v>
      </c>
      <c r="H57" s="36">
        <f>X56*(1+H$25)</f>
        <v>0</v>
      </c>
      <c r="I57" s="36">
        <f>Y56*(1+I$25)</f>
        <v>0</v>
      </c>
      <c r="J57" s="36">
        <f>Z56*(1+J$25)</f>
        <v>0</v>
      </c>
      <c r="K57" s="36">
        <f>AA56*(1+K$25)</f>
        <v>0</v>
      </c>
      <c r="L57" s="36">
        <f>AB56*(1+L$25)</f>
        <v>0</v>
      </c>
      <c r="M57" s="36">
        <f>MIN(E57-MIN(E$26,E57),MAX(0,$C57-0))</f>
        <v>0</v>
      </c>
      <c r="N57" s="36">
        <f>MIN(F57-MIN(F$26,F57),MAX(0,$C57-SUM($M57:M57)))</f>
        <v>0</v>
      </c>
      <c r="O57" s="36">
        <f>MIN(G57-MIN(G$26,G57),MAX(0,$C57-SUM($M57:N57)))</f>
        <v>0</v>
      </c>
      <c r="P57" s="36">
        <f>MIN(H57-MIN(H$26,H57),MAX(0,$C57-SUM($M57:O57)))</f>
        <v>0</v>
      </c>
      <c r="Q57" s="36">
        <f>MIN(I57-MIN(I$26,I57),MAX(0,$C57-SUM($M57:P57)))</f>
        <v>0</v>
      </c>
      <c r="R57" s="36">
        <f>MIN(J57-MIN(J$26,J57),MAX(0,$C57-SUM($M57:Q57)))</f>
        <v>0</v>
      </c>
      <c r="S57" s="36">
        <f>MIN(K57-MIN(K$26,K57),MAX(0,$C57-SUM($M57:R57)))</f>
        <v>0</v>
      </c>
      <c r="T57" s="36">
        <f>MIN(L57-MIN(L$26,L57),MAX(0,$C57-SUM($M57:S57)))</f>
        <v>0</v>
      </c>
      <c r="U57" s="36">
        <f>IF(E57-MIN(E$26,E57)-M57&lt;0.005,0,E57-MIN(E$26,E57)-M57)</f>
        <v>7829.60352974386</v>
      </c>
      <c r="V57" s="36">
        <f>IF(F57-MIN(F$26,F57)-N57&lt;0.005,0,F57-MIN(F$26,F57)-N57)</f>
        <v>0</v>
      </c>
      <c r="W57" s="36">
        <f>IF(G57-MIN(G$26,G57)-O57&lt;0.005,0,G57-MIN(G$26,G57)-O57)</f>
        <v>0</v>
      </c>
      <c r="X57" s="36">
        <f>IF(H57-MIN(H$26,H57)-P57&lt;0.005,0,H57-MIN(H$26,H57)-P57)</f>
        <v>0</v>
      </c>
      <c r="Y57" s="36">
        <f>IF(I57-MIN(I$26,I57)-Q57&lt;0.005,0,I57-MIN(I$26,I57)-Q57)</f>
        <v>0</v>
      </c>
      <c r="Z57" s="36">
        <f>IF(J57-MIN(J$26,J57)-R57&lt;0.005,0,J57-MIN(J$26,J57)-R57)</f>
        <v>0</v>
      </c>
      <c r="AA57" s="36">
        <f>IF(K57-MIN(K$26,K57)-S57&lt;0.005,0,K57-MIN(K$26,K57)-S57)</f>
        <v>0</v>
      </c>
      <c r="AB57" s="36">
        <f>IF(L57-MIN(L$26,L57)-T57&lt;0.005,0,L57-MIN(L$26,L57)-T57)</f>
        <v>0</v>
      </c>
      <c r="AC57" s="36">
        <f>SUM(U57:AB57)</f>
        <v>7829.60352974386</v>
      </c>
      <c r="AD57" s="36">
        <f>D57+SUM(M57:T57)</f>
        <v>1150</v>
      </c>
      <c r="AG57" s="40" t="n">
        <v>49</v>
      </c>
      <c r="AH57" s="36">
        <f>AC79</f>
        <v>0</v>
      </c>
      <c r="AI57" s="36">
        <f>AC213</f>
        <v>0</v>
      </c>
      <c r="AJ57" s="36">
        <f>AC347</f>
        <v>0</v>
      </c>
    </row>
    <row r="58">
      <c r="B58" s="40" t="n">
        <v>28</v>
      </c>
      <c r="C58" s="36" t="n">
        <v>0</v>
      </c>
      <c r="D58" s="36">
        <f>MIN(E$26,E58)+MIN(F$26,F58)+MIN(G$26,G58)+MIN(H$26,H58)+MIN(I$26,I58)+MIN(J$26,J58)+MIN(K$26,K58)+MIN(L$26,L58)</f>
        <v>1150</v>
      </c>
      <c r="E58" s="36">
        <f>U57*(1+E$25)</f>
        <v>7986.19560033873</v>
      </c>
      <c r="F58" s="36">
        <f>V57*(1+F$25)</f>
        <v>0</v>
      </c>
      <c r="G58" s="36">
        <f>W57*(1+G$25)</f>
        <v>0</v>
      </c>
      <c r="H58" s="36">
        <f>X57*(1+H$25)</f>
        <v>0</v>
      </c>
      <c r="I58" s="36">
        <f>Y57*(1+I$25)</f>
        <v>0</v>
      </c>
      <c r="J58" s="36">
        <f>Z57*(1+J$25)</f>
        <v>0</v>
      </c>
      <c r="K58" s="36">
        <f>AA57*(1+K$25)</f>
        <v>0</v>
      </c>
      <c r="L58" s="36">
        <f>AB57*(1+L$25)</f>
        <v>0</v>
      </c>
      <c r="M58" s="36">
        <f>MIN(E58-MIN(E$26,E58),MAX(0,$C58-0))</f>
        <v>0</v>
      </c>
      <c r="N58" s="36">
        <f>MIN(F58-MIN(F$26,F58),MAX(0,$C58-SUM($M58:M58)))</f>
        <v>0</v>
      </c>
      <c r="O58" s="36">
        <f>MIN(G58-MIN(G$26,G58),MAX(0,$C58-SUM($M58:N58)))</f>
        <v>0</v>
      </c>
      <c r="P58" s="36">
        <f>MIN(H58-MIN(H$26,H58),MAX(0,$C58-SUM($M58:O58)))</f>
        <v>0</v>
      </c>
      <c r="Q58" s="36">
        <f>MIN(I58-MIN(I$26,I58),MAX(0,$C58-SUM($M58:P58)))</f>
        <v>0</v>
      </c>
      <c r="R58" s="36">
        <f>MIN(J58-MIN(J$26,J58),MAX(0,$C58-SUM($M58:Q58)))</f>
        <v>0</v>
      </c>
      <c r="S58" s="36">
        <f>MIN(K58-MIN(K$26,K58),MAX(0,$C58-SUM($M58:R58)))</f>
        <v>0</v>
      </c>
      <c r="T58" s="36">
        <f>MIN(L58-MIN(L$26,L58),MAX(0,$C58-SUM($M58:S58)))</f>
        <v>0</v>
      </c>
      <c r="U58" s="36">
        <f>IF(E58-MIN(E$26,E58)-M58&lt;0.005,0,E58-MIN(E$26,E58)-M58)</f>
        <v>6836.19560033873</v>
      </c>
      <c r="V58" s="36">
        <f>IF(F58-MIN(F$26,F58)-N58&lt;0.005,0,F58-MIN(F$26,F58)-N58)</f>
        <v>0</v>
      </c>
      <c r="W58" s="36">
        <f>IF(G58-MIN(G$26,G58)-O58&lt;0.005,0,G58-MIN(G$26,G58)-O58)</f>
        <v>0</v>
      </c>
      <c r="X58" s="36">
        <f>IF(H58-MIN(H$26,H58)-P58&lt;0.005,0,H58-MIN(H$26,H58)-P58)</f>
        <v>0</v>
      </c>
      <c r="Y58" s="36">
        <f>IF(I58-MIN(I$26,I58)-Q58&lt;0.005,0,I58-MIN(I$26,I58)-Q58)</f>
        <v>0</v>
      </c>
      <c r="Z58" s="36">
        <f>IF(J58-MIN(J$26,J58)-R58&lt;0.005,0,J58-MIN(J$26,J58)-R58)</f>
        <v>0</v>
      </c>
      <c r="AA58" s="36">
        <f>IF(K58-MIN(K$26,K58)-S58&lt;0.005,0,K58-MIN(K$26,K58)-S58)</f>
        <v>0</v>
      </c>
      <c r="AB58" s="36">
        <f>IF(L58-MIN(L$26,L58)-T58&lt;0.005,0,L58-MIN(L$26,L58)-T58)</f>
        <v>0</v>
      </c>
      <c r="AC58" s="36">
        <f>SUM(U58:AB58)</f>
        <v>6836.19560033873</v>
      </c>
      <c r="AD58" s="36">
        <f>D58+SUM(M58:T58)</f>
        <v>1150</v>
      </c>
      <c r="AG58" s="40" t="n">
        <v>50</v>
      </c>
      <c r="AH58" s="36">
        <f>AC80</f>
        <v>0</v>
      </c>
      <c r="AI58" s="36">
        <f>AC214</f>
        <v>0</v>
      </c>
      <c r="AJ58" s="36">
        <f>AC348</f>
        <v>0</v>
      </c>
    </row>
    <row r="59">
      <c r="B59" s="40" t="n">
        <v>29</v>
      </c>
      <c r="C59" s="36" t="n">
        <v>0</v>
      </c>
      <c r="D59" s="36">
        <f>MIN(E$26,E59)+MIN(F$26,F59)+MIN(G$26,G59)+MIN(H$26,H59)+MIN(I$26,I59)+MIN(J$26,J59)+MIN(K$26,K59)+MIN(L$26,L59)</f>
        <v>1150</v>
      </c>
      <c r="E59" s="36">
        <f>U58*(1+E$25)</f>
        <v>6972.91951234551</v>
      </c>
      <c r="F59" s="36">
        <f>V58*(1+F$25)</f>
        <v>0</v>
      </c>
      <c r="G59" s="36">
        <f>W58*(1+G$25)</f>
        <v>0</v>
      </c>
      <c r="H59" s="36">
        <f>X58*(1+H$25)</f>
        <v>0</v>
      </c>
      <c r="I59" s="36">
        <f>Y58*(1+I$25)</f>
        <v>0</v>
      </c>
      <c r="J59" s="36">
        <f>Z58*(1+J$25)</f>
        <v>0</v>
      </c>
      <c r="K59" s="36">
        <f>AA58*(1+K$25)</f>
        <v>0</v>
      </c>
      <c r="L59" s="36">
        <f>AB58*(1+L$25)</f>
        <v>0</v>
      </c>
      <c r="M59" s="36">
        <f>MIN(E59-MIN(E$26,E59),MAX(0,$C59-0))</f>
        <v>0</v>
      </c>
      <c r="N59" s="36">
        <f>MIN(F59-MIN(F$26,F59),MAX(0,$C59-SUM($M59:M59)))</f>
        <v>0</v>
      </c>
      <c r="O59" s="36">
        <f>MIN(G59-MIN(G$26,G59),MAX(0,$C59-SUM($M59:N59)))</f>
        <v>0</v>
      </c>
      <c r="P59" s="36">
        <f>MIN(H59-MIN(H$26,H59),MAX(0,$C59-SUM($M59:O59)))</f>
        <v>0</v>
      </c>
      <c r="Q59" s="36">
        <f>MIN(I59-MIN(I$26,I59),MAX(0,$C59-SUM($M59:P59)))</f>
        <v>0</v>
      </c>
      <c r="R59" s="36">
        <f>MIN(J59-MIN(J$26,J59),MAX(0,$C59-SUM($M59:Q59)))</f>
        <v>0</v>
      </c>
      <c r="S59" s="36">
        <f>MIN(K59-MIN(K$26,K59),MAX(0,$C59-SUM($M59:R59)))</f>
        <v>0</v>
      </c>
      <c r="T59" s="36">
        <f>MIN(L59-MIN(L$26,L59),MAX(0,$C59-SUM($M59:S59)))</f>
        <v>0</v>
      </c>
      <c r="U59" s="36">
        <f>IF(E59-MIN(E$26,E59)-M59&lt;0.005,0,E59-MIN(E$26,E59)-M59)</f>
        <v>5822.91951234551</v>
      </c>
      <c r="V59" s="36">
        <f>IF(F59-MIN(F$26,F59)-N59&lt;0.005,0,F59-MIN(F$26,F59)-N59)</f>
        <v>0</v>
      </c>
      <c r="W59" s="36">
        <f>IF(G59-MIN(G$26,G59)-O59&lt;0.005,0,G59-MIN(G$26,G59)-O59)</f>
        <v>0</v>
      </c>
      <c r="X59" s="36">
        <f>IF(H59-MIN(H$26,H59)-P59&lt;0.005,0,H59-MIN(H$26,H59)-P59)</f>
        <v>0</v>
      </c>
      <c r="Y59" s="36">
        <f>IF(I59-MIN(I$26,I59)-Q59&lt;0.005,0,I59-MIN(I$26,I59)-Q59)</f>
        <v>0</v>
      </c>
      <c r="Z59" s="36">
        <f>IF(J59-MIN(J$26,J59)-R59&lt;0.005,0,J59-MIN(J$26,J59)-R59)</f>
        <v>0</v>
      </c>
      <c r="AA59" s="36">
        <f>IF(K59-MIN(K$26,K59)-S59&lt;0.005,0,K59-MIN(K$26,K59)-S59)</f>
        <v>0</v>
      </c>
      <c r="AB59" s="36">
        <f>IF(L59-MIN(L$26,L59)-T59&lt;0.005,0,L59-MIN(L$26,L59)-T59)</f>
        <v>0</v>
      </c>
      <c r="AC59" s="36">
        <f>SUM(U59:AB59)</f>
        <v>5822.91951234551</v>
      </c>
      <c r="AD59" s="36">
        <f>D59+SUM(M59:T59)</f>
        <v>1150</v>
      </c>
      <c r="AG59" s="40" t="n">
        <v>51</v>
      </c>
      <c r="AH59" s="36">
        <f>AC81</f>
        <v>0</v>
      </c>
      <c r="AI59" s="36">
        <f>AC215</f>
        <v>0</v>
      </c>
      <c r="AJ59" s="36">
        <f>AC349</f>
        <v>0</v>
      </c>
    </row>
    <row r="60">
      <c r="B60" s="40" t="n">
        <v>30</v>
      </c>
      <c r="C60" s="36" t="n">
        <v>0</v>
      </c>
      <c r="D60" s="36">
        <f>MIN(E$26,E60)+MIN(F$26,F60)+MIN(G$26,G60)+MIN(H$26,H60)+MIN(I$26,I60)+MIN(J$26,J60)+MIN(K$26,K60)+MIN(L$26,L60)</f>
        <v>1150</v>
      </c>
      <c r="E60" s="36">
        <f>U59*(1+E$25)</f>
        <v>5939.37790259242</v>
      </c>
      <c r="F60" s="36">
        <f>V59*(1+F$25)</f>
        <v>0</v>
      </c>
      <c r="G60" s="36">
        <f>W59*(1+G$25)</f>
        <v>0</v>
      </c>
      <c r="H60" s="36">
        <f>X59*(1+H$25)</f>
        <v>0</v>
      </c>
      <c r="I60" s="36">
        <f>Y59*(1+I$25)</f>
        <v>0</v>
      </c>
      <c r="J60" s="36">
        <f>Z59*(1+J$25)</f>
        <v>0</v>
      </c>
      <c r="K60" s="36">
        <f>AA59*(1+K$25)</f>
        <v>0</v>
      </c>
      <c r="L60" s="36">
        <f>AB59*(1+L$25)</f>
        <v>0</v>
      </c>
      <c r="M60" s="36">
        <f>MIN(E60-MIN(E$26,E60),MAX(0,$C60-0))</f>
        <v>0</v>
      </c>
      <c r="N60" s="36">
        <f>MIN(F60-MIN(F$26,F60),MAX(0,$C60-SUM($M60:M60)))</f>
        <v>0</v>
      </c>
      <c r="O60" s="36">
        <f>MIN(G60-MIN(G$26,G60),MAX(0,$C60-SUM($M60:N60)))</f>
        <v>0</v>
      </c>
      <c r="P60" s="36">
        <f>MIN(H60-MIN(H$26,H60),MAX(0,$C60-SUM($M60:O60)))</f>
        <v>0</v>
      </c>
      <c r="Q60" s="36">
        <f>MIN(I60-MIN(I$26,I60),MAX(0,$C60-SUM($M60:P60)))</f>
        <v>0</v>
      </c>
      <c r="R60" s="36">
        <f>MIN(J60-MIN(J$26,J60),MAX(0,$C60-SUM($M60:Q60)))</f>
        <v>0</v>
      </c>
      <c r="S60" s="36">
        <f>MIN(K60-MIN(K$26,K60),MAX(0,$C60-SUM($M60:R60)))</f>
        <v>0</v>
      </c>
      <c r="T60" s="36">
        <f>MIN(L60-MIN(L$26,L60),MAX(0,$C60-SUM($M60:S60)))</f>
        <v>0</v>
      </c>
      <c r="U60" s="36">
        <f>IF(E60-MIN(E$26,E60)-M60&lt;0.005,0,E60-MIN(E$26,E60)-M60)</f>
        <v>4789.37790259242</v>
      </c>
      <c r="V60" s="36">
        <f>IF(F60-MIN(F$26,F60)-N60&lt;0.005,0,F60-MIN(F$26,F60)-N60)</f>
        <v>0</v>
      </c>
      <c r="W60" s="36">
        <f>IF(G60-MIN(G$26,G60)-O60&lt;0.005,0,G60-MIN(G$26,G60)-O60)</f>
        <v>0</v>
      </c>
      <c r="X60" s="36">
        <f>IF(H60-MIN(H$26,H60)-P60&lt;0.005,0,H60-MIN(H$26,H60)-P60)</f>
        <v>0</v>
      </c>
      <c r="Y60" s="36">
        <f>IF(I60-MIN(I$26,I60)-Q60&lt;0.005,0,I60-MIN(I$26,I60)-Q60)</f>
        <v>0</v>
      </c>
      <c r="Z60" s="36">
        <f>IF(J60-MIN(J$26,J60)-R60&lt;0.005,0,J60-MIN(J$26,J60)-R60)</f>
        <v>0</v>
      </c>
      <c r="AA60" s="36">
        <f>IF(K60-MIN(K$26,K60)-S60&lt;0.005,0,K60-MIN(K$26,K60)-S60)</f>
        <v>0</v>
      </c>
      <c r="AB60" s="36">
        <f>IF(L60-MIN(L$26,L60)-T60&lt;0.005,0,L60-MIN(L$26,L60)-T60)</f>
        <v>0</v>
      </c>
      <c r="AC60" s="36">
        <f>SUM(U60:AB60)</f>
        <v>4789.37790259242</v>
      </c>
      <c r="AD60" s="36">
        <f>D60+SUM(M60:T60)</f>
        <v>1150</v>
      </c>
      <c r="AG60" s="40" t="n">
        <v>52</v>
      </c>
      <c r="AH60" s="36">
        <f>AC82</f>
        <v>0</v>
      </c>
      <c r="AI60" s="36">
        <f>AC216</f>
        <v>0</v>
      </c>
      <c r="AJ60" s="36">
        <f>AC350</f>
        <v>0</v>
      </c>
    </row>
    <row r="61">
      <c r="B61" s="40" t="n">
        <v>31</v>
      </c>
      <c r="C61" s="36" t="n">
        <v>0</v>
      </c>
      <c r="D61" s="36">
        <f>MIN(E$26,E61)+MIN(F$26,F61)+MIN(G$26,G61)+MIN(H$26,H61)+MIN(I$26,I61)+MIN(J$26,J61)+MIN(K$26,K61)+MIN(L$26,L61)</f>
        <v>1150</v>
      </c>
      <c r="E61" s="36">
        <f>U60*(1+E$25)</f>
        <v>4885.16546064427</v>
      </c>
      <c r="F61" s="36">
        <f>V60*(1+F$25)</f>
        <v>0</v>
      </c>
      <c r="G61" s="36">
        <f>W60*(1+G$25)</f>
        <v>0</v>
      </c>
      <c r="H61" s="36">
        <f>X60*(1+H$25)</f>
        <v>0</v>
      </c>
      <c r="I61" s="36">
        <f>Y60*(1+I$25)</f>
        <v>0</v>
      </c>
      <c r="J61" s="36">
        <f>Z60*(1+J$25)</f>
        <v>0</v>
      </c>
      <c r="K61" s="36">
        <f>AA60*(1+K$25)</f>
        <v>0</v>
      </c>
      <c r="L61" s="36">
        <f>AB60*(1+L$25)</f>
        <v>0</v>
      </c>
      <c r="M61" s="36">
        <f>MIN(E61-MIN(E$26,E61),MAX(0,$C61-0))</f>
        <v>0</v>
      </c>
      <c r="N61" s="36">
        <f>MIN(F61-MIN(F$26,F61),MAX(0,$C61-SUM($M61:M61)))</f>
        <v>0</v>
      </c>
      <c r="O61" s="36">
        <f>MIN(G61-MIN(G$26,G61),MAX(0,$C61-SUM($M61:N61)))</f>
        <v>0</v>
      </c>
      <c r="P61" s="36">
        <f>MIN(H61-MIN(H$26,H61),MAX(0,$C61-SUM($M61:O61)))</f>
        <v>0</v>
      </c>
      <c r="Q61" s="36">
        <f>MIN(I61-MIN(I$26,I61),MAX(0,$C61-SUM($M61:P61)))</f>
        <v>0</v>
      </c>
      <c r="R61" s="36">
        <f>MIN(J61-MIN(J$26,J61),MAX(0,$C61-SUM($M61:Q61)))</f>
        <v>0</v>
      </c>
      <c r="S61" s="36">
        <f>MIN(K61-MIN(K$26,K61),MAX(0,$C61-SUM($M61:R61)))</f>
        <v>0</v>
      </c>
      <c r="T61" s="36">
        <f>MIN(L61-MIN(L$26,L61),MAX(0,$C61-SUM($M61:S61)))</f>
        <v>0</v>
      </c>
      <c r="U61" s="36">
        <f>IF(E61-MIN(E$26,E61)-M61&lt;0.005,0,E61-MIN(E$26,E61)-M61)</f>
        <v>3735.16546064427</v>
      </c>
      <c r="V61" s="36">
        <f>IF(F61-MIN(F$26,F61)-N61&lt;0.005,0,F61-MIN(F$26,F61)-N61)</f>
        <v>0</v>
      </c>
      <c r="W61" s="36">
        <f>IF(G61-MIN(G$26,G61)-O61&lt;0.005,0,G61-MIN(G$26,G61)-O61)</f>
        <v>0</v>
      </c>
      <c r="X61" s="36">
        <f>IF(H61-MIN(H$26,H61)-P61&lt;0.005,0,H61-MIN(H$26,H61)-P61)</f>
        <v>0</v>
      </c>
      <c r="Y61" s="36">
        <f>IF(I61-MIN(I$26,I61)-Q61&lt;0.005,0,I61-MIN(I$26,I61)-Q61)</f>
        <v>0</v>
      </c>
      <c r="Z61" s="36">
        <f>IF(J61-MIN(J$26,J61)-R61&lt;0.005,0,J61-MIN(J$26,J61)-R61)</f>
        <v>0</v>
      </c>
      <c r="AA61" s="36">
        <f>IF(K61-MIN(K$26,K61)-S61&lt;0.005,0,K61-MIN(K$26,K61)-S61)</f>
        <v>0</v>
      </c>
      <c r="AB61" s="36">
        <f>IF(L61-MIN(L$26,L61)-T61&lt;0.005,0,L61-MIN(L$26,L61)-T61)</f>
        <v>0</v>
      </c>
      <c r="AC61" s="36">
        <f>SUM(U61:AB61)</f>
        <v>3735.16546064427</v>
      </c>
      <c r="AD61" s="36">
        <f>D61+SUM(M61:T61)</f>
        <v>1150</v>
      </c>
      <c r="AG61" s="40" t="n">
        <v>53</v>
      </c>
      <c r="AH61" s="36">
        <f>AC83</f>
        <v>0</v>
      </c>
      <c r="AI61" s="36">
        <f>AC217</f>
        <v>0</v>
      </c>
      <c r="AJ61" s="36">
        <f>AC351</f>
        <v>0</v>
      </c>
    </row>
    <row r="62">
      <c r="B62" s="40" t="n">
        <v>32</v>
      </c>
      <c r="C62" s="36" t="n">
        <v>0</v>
      </c>
      <c r="D62" s="36">
        <f>MIN(E$26,E62)+MIN(F$26,F62)+MIN(G$26,G62)+MIN(H$26,H62)+MIN(I$26,I62)+MIN(J$26,J62)+MIN(K$26,K62)+MIN(L$26,L62)</f>
        <v>1150</v>
      </c>
      <c r="E62" s="36">
        <f>U61*(1+E$25)</f>
        <v>3809.86876985715</v>
      </c>
      <c r="F62" s="36">
        <f>V61*(1+F$25)</f>
        <v>0</v>
      </c>
      <c r="G62" s="36">
        <f>W61*(1+G$25)</f>
        <v>0</v>
      </c>
      <c r="H62" s="36">
        <f>X61*(1+H$25)</f>
        <v>0</v>
      </c>
      <c r="I62" s="36">
        <f>Y61*(1+I$25)</f>
        <v>0</v>
      </c>
      <c r="J62" s="36">
        <f>Z61*(1+J$25)</f>
        <v>0</v>
      </c>
      <c r="K62" s="36">
        <f>AA61*(1+K$25)</f>
        <v>0</v>
      </c>
      <c r="L62" s="36">
        <f>AB61*(1+L$25)</f>
        <v>0</v>
      </c>
      <c r="M62" s="36">
        <f>MIN(E62-MIN(E$26,E62),MAX(0,$C62-0))</f>
        <v>0</v>
      </c>
      <c r="N62" s="36">
        <f>MIN(F62-MIN(F$26,F62),MAX(0,$C62-SUM($M62:M62)))</f>
        <v>0</v>
      </c>
      <c r="O62" s="36">
        <f>MIN(G62-MIN(G$26,G62),MAX(0,$C62-SUM($M62:N62)))</f>
        <v>0</v>
      </c>
      <c r="P62" s="36">
        <f>MIN(H62-MIN(H$26,H62),MAX(0,$C62-SUM($M62:O62)))</f>
        <v>0</v>
      </c>
      <c r="Q62" s="36">
        <f>MIN(I62-MIN(I$26,I62),MAX(0,$C62-SUM($M62:P62)))</f>
        <v>0</v>
      </c>
      <c r="R62" s="36">
        <f>MIN(J62-MIN(J$26,J62),MAX(0,$C62-SUM($M62:Q62)))</f>
        <v>0</v>
      </c>
      <c r="S62" s="36">
        <f>MIN(K62-MIN(K$26,K62),MAX(0,$C62-SUM($M62:R62)))</f>
        <v>0</v>
      </c>
      <c r="T62" s="36">
        <f>MIN(L62-MIN(L$26,L62),MAX(0,$C62-SUM($M62:S62)))</f>
        <v>0</v>
      </c>
      <c r="U62" s="36">
        <f>IF(E62-MIN(E$26,E62)-M62&lt;0.005,0,E62-MIN(E$26,E62)-M62)</f>
        <v>2659.86876985715</v>
      </c>
      <c r="V62" s="36">
        <f>IF(F62-MIN(F$26,F62)-N62&lt;0.005,0,F62-MIN(F$26,F62)-N62)</f>
        <v>0</v>
      </c>
      <c r="W62" s="36">
        <f>IF(G62-MIN(G$26,G62)-O62&lt;0.005,0,G62-MIN(G$26,G62)-O62)</f>
        <v>0</v>
      </c>
      <c r="X62" s="36">
        <f>IF(H62-MIN(H$26,H62)-P62&lt;0.005,0,H62-MIN(H$26,H62)-P62)</f>
        <v>0</v>
      </c>
      <c r="Y62" s="36">
        <f>IF(I62-MIN(I$26,I62)-Q62&lt;0.005,0,I62-MIN(I$26,I62)-Q62)</f>
        <v>0</v>
      </c>
      <c r="Z62" s="36">
        <f>IF(J62-MIN(J$26,J62)-R62&lt;0.005,0,J62-MIN(J$26,J62)-R62)</f>
        <v>0</v>
      </c>
      <c r="AA62" s="36">
        <f>IF(K62-MIN(K$26,K62)-S62&lt;0.005,0,K62-MIN(K$26,K62)-S62)</f>
        <v>0</v>
      </c>
      <c r="AB62" s="36">
        <f>IF(L62-MIN(L$26,L62)-T62&lt;0.005,0,L62-MIN(L$26,L62)-T62)</f>
        <v>0</v>
      </c>
      <c r="AC62" s="36">
        <f>SUM(U62:AB62)</f>
        <v>2659.86876985715</v>
      </c>
      <c r="AD62" s="36">
        <f>D62+SUM(M62:T62)</f>
        <v>1150</v>
      </c>
      <c r="AG62" s="40" t="n">
        <v>54</v>
      </c>
      <c r="AH62" s="36">
        <f>AC84</f>
        <v>0</v>
      </c>
      <c r="AI62" s="36">
        <f>AC218</f>
        <v>0</v>
      </c>
      <c r="AJ62" s="36">
        <f>AC352</f>
        <v>0</v>
      </c>
    </row>
    <row r="63">
      <c r="B63" s="40" t="n">
        <v>33</v>
      </c>
      <c r="C63" s="36" t="n">
        <v>0</v>
      </c>
      <c r="D63" s="36">
        <f>MIN(E$26,E63)+MIN(F$26,F63)+MIN(G$26,G63)+MIN(H$26,H63)+MIN(I$26,I63)+MIN(J$26,J63)+MIN(K$26,K63)+MIN(L$26,L63)</f>
        <v>1150</v>
      </c>
      <c r="E63" s="36">
        <f>U62*(1+E$25)</f>
        <v>2713.0661452543</v>
      </c>
      <c r="F63" s="36">
        <f>V62*(1+F$25)</f>
        <v>0</v>
      </c>
      <c r="G63" s="36">
        <f>W62*(1+G$25)</f>
        <v>0</v>
      </c>
      <c r="H63" s="36">
        <f>X62*(1+H$25)</f>
        <v>0</v>
      </c>
      <c r="I63" s="36">
        <f>Y62*(1+I$25)</f>
        <v>0</v>
      </c>
      <c r="J63" s="36">
        <f>Z62*(1+J$25)</f>
        <v>0</v>
      </c>
      <c r="K63" s="36">
        <f>AA62*(1+K$25)</f>
        <v>0</v>
      </c>
      <c r="L63" s="36">
        <f>AB62*(1+L$25)</f>
        <v>0</v>
      </c>
      <c r="M63" s="36">
        <f>MIN(E63-MIN(E$26,E63),MAX(0,$C63-0))</f>
        <v>0</v>
      </c>
      <c r="N63" s="36">
        <f>MIN(F63-MIN(F$26,F63),MAX(0,$C63-SUM($M63:M63)))</f>
        <v>0</v>
      </c>
      <c r="O63" s="36">
        <f>MIN(G63-MIN(G$26,G63),MAX(0,$C63-SUM($M63:N63)))</f>
        <v>0</v>
      </c>
      <c r="P63" s="36">
        <f>MIN(H63-MIN(H$26,H63),MAX(0,$C63-SUM($M63:O63)))</f>
        <v>0</v>
      </c>
      <c r="Q63" s="36">
        <f>MIN(I63-MIN(I$26,I63),MAX(0,$C63-SUM($M63:P63)))</f>
        <v>0</v>
      </c>
      <c r="R63" s="36">
        <f>MIN(J63-MIN(J$26,J63),MAX(0,$C63-SUM($M63:Q63)))</f>
        <v>0</v>
      </c>
      <c r="S63" s="36">
        <f>MIN(K63-MIN(K$26,K63),MAX(0,$C63-SUM($M63:R63)))</f>
        <v>0</v>
      </c>
      <c r="T63" s="36">
        <f>MIN(L63-MIN(L$26,L63),MAX(0,$C63-SUM($M63:S63)))</f>
        <v>0</v>
      </c>
      <c r="U63" s="36">
        <f>IF(E63-MIN(E$26,E63)-M63&lt;0.005,0,E63-MIN(E$26,E63)-M63)</f>
        <v>1563.0661452543</v>
      </c>
      <c r="V63" s="36">
        <f>IF(F63-MIN(F$26,F63)-N63&lt;0.005,0,F63-MIN(F$26,F63)-N63)</f>
        <v>0</v>
      </c>
      <c r="W63" s="36">
        <f>IF(G63-MIN(G$26,G63)-O63&lt;0.005,0,G63-MIN(G$26,G63)-O63)</f>
        <v>0</v>
      </c>
      <c r="X63" s="36">
        <f>IF(H63-MIN(H$26,H63)-P63&lt;0.005,0,H63-MIN(H$26,H63)-P63)</f>
        <v>0</v>
      </c>
      <c r="Y63" s="36">
        <f>IF(I63-MIN(I$26,I63)-Q63&lt;0.005,0,I63-MIN(I$26,I63)-Q63)</f>
        <v>0</v>
      </c>
      <c r="Z63" s="36">
        <f>IF(J63-MIN(J$26,J63)-R63&lt;0.005,0,J63-MIN(J$26,J63)-R63)</f>
        <v>0</v>
      </c>
      <c r="AA63" s="36">
        <f>IF(K63-MIN(K$26,K63)-S63&lt;0.005,0,K63-MIN(K$26,K63)-S63)</f>
        <v>0</v>
      </c>
      <c r="AB63" s="36">
        <f>IF(L63-MIN(L$26,L63)-T63&lt;0.005,0,L63-MIN(L$26,L63)-T63)</f>
        <v>0</v>
      </c>
      <c r="AC63" s="36">
        <f>SUM(U63:AB63)</f>
        <v>1563.0661452543</v>
      </c>
      <c r="AD63" s="36">
        <f>D63+SUM(M63:T63)</f>
        <v>1150</v>
      </c>
      <c r="AG63" s="40" t="n">
        <v>55</v>
      </c>
      <c r="AH63" s="36">
        <f>AC85</f>
        <v>0</v>
      </c>
      <c r="AI63" s="36">
        <f>AC219</f>
        <v>0</v>
      </c>
      <c r="AJ63" s="36">
        <f>AC353</f>
        <v>0</v>
      </c>
    </row>
    <row r="64">
      <c r="B64" s="40" t="n">
        <v>34</v>
      </c>
      <c r="C64" s="36" t="n">
        <v>0</v>
      </c>
      <c r="D64" s="36">
        <f>MIN(E$26,E64)+MIN(F$26,F64)+MIN(G$26,G64)+MIN(H$26,H64)+MIN(I$26,I64)+MIN(J$26,J64)+MIN(K$26,K64)+MIN(L$26,L64)</f>
        <v>1150</v>
      </c>
      <c r="E64" s="36">
        <f>U63*(1+E$25)</f>
        <v>1594.32746815938</v>
      </c>
      <c r="F64" s="36">
        <f>V63*(1+F$25)</f>
        <v>0</v>
      </c>
      <c r="G64" s="36">
        <f>W63*(1+G$25)</f>
        <v>0</v>
      </c>
      <c r="H64" s="36">
        <f>X63*(1+H$25)</f>
        <v>0</v>
      </c>
      <c r="I64" s="36">
        <f>Y63*(1+I$25)</f>
        <v>0</v>
      </c>
      <c r="J64" s="36">
        <f>Z63*(1+J$25)</f>
        <v>0</v>
      </c>
      <c r="K64" s="36">
        <f>AA63*(1+K$25)</f>
        <v>0</v>
      </c>
      <c r="L64" s="36">
        <f>AB63*(1+L$25)</f>
        <v>0</v>
      </c>
      <c r="M64" s="36">
        <f>MIN(E64-MIN(E$26,E64),MAX(0,$C64-0))</f>
        <v>0</v>
      </c>
      <c r="N64" s="36">
        <f>MIN(F64-MIN(F$26,F64),MAX(0,$C64-SUM($M64:M64)))</f>
        <v>0</v>
      </c>
      <c r="O64" s="36">
        <f>MIN(G64-MIN(G$26,G64),MAX(0,$C64-SUM($M64:N64)))</f>
        <v>0</v>
      </c>
      <c r="P64" s="36">
        <f>MIN(H64-MIN(H$26,H64),MAX(0,$C64-SUM($M64:O64)))</f>
        <v>0</v>
      </c>
      <c r="Q64" s="36">
        <f>MIN(I64-MIN(I$26,I64),MAX(0,$C64-SUM($M64:P64)))</f>
        <v>0</v>
      </c>
      <c r="R64" s="36">
        <f>MIN(J64-MIN(J$26,J64),MAX(0,$C64-SUM($M64:Q64)))</f>
        <v>0</v>
      </c>
      <c r="S64" s="36">
        <f>MIN(K64-MIN(K$26,K64),MAX(0,$C64-SUM($M64:R64)))</f>
        <v>0</v>
      </c>
      <c r="T64" s="36">
        <f>MIN(L64-MIN(L$26,L64),MAX(0,$C64-SUM($M64:S64)))</f>
        <v>0</v>
      </c>
      <c r="U64" s="36">
        <f>IF(E64-MIN(E$26,E64)-M64&lt;0.005,0,E64-MIN(E$26,E64)-M64)</f>
        <v>444.327468159381</v>
      </c>
      <c r="V64" s="36">
        <f>IF(F64-MIN(F$26,F64)-N64&lt;0.005,0,F64-MIN(F$26,F64)-N64)</f>
        <v>0</v>
      </c>
      <c r="W64" s="36">
        <f>IF(G64-MIN(G$26,G64)-O64&lt;0.005,0,G64-MIN(G$26,G64)-O64)</f>
        <v>0</v>
      </c>
      <c r="X64" s="36">
        <f>IF(H64-MIN(H$26,H64)-P64&lt;0.005,0,H64-MIN(H$26,H64)-P64)</f>
        <v>0</v>
      </c>
      <c r="Y64" s="36">
        <f>IF(I64-MIN(I$26,I64)-Q64&lt;0.005,0,I64-MIN(I$26,I64)-Q64)</f>
        <v>0</v>
      </c>
      <c r="Z64" s="36">
        <f>IF(J64-MIN(J$26,J64)-R64&lt;0.005,0,J64-MIN(J$26,J64)-R64)</f>
        <v>0</v>
      </c>
      <c r="AA64" s="36">
        <f>IF(K64-MIN(K$26,K64)-S64&lt;0.005,0,K64-MIN(K$26,K64)-S64)</f>
        <v>0</v>
      </c>
      <c r="AB64" s="36">
        <f>IF(L64-MIN(L$26,L64)-T64&lt;0.005,0,L64-MIN(L$26,L64)-T64)</f>
        <v>0</v>
      </c>
      <c r="AC64" s="36">
        <f>SUM(U64:AB64)</f>
        <v>444.327468159381</v>
      </c>
      <c r="AD64" s="36">
        <f>D64+SUM(M64:T64)</f>
        <v>1150</v>
      </c>
      <c r="AG64" s="40" t="n">
        <v>56</v>
      </c>
      <c r="AH64" s="36">
        <f>AC86</f>
        <v>0</v>
      </c>
      <c r="AI64" s="36">
        <f>AC220</f>
        <v>0</v>
      </c>
      <c r="AJ64" s="36">
        <f>AC354</f>
        <v>0</v>
      </c>
    </row>
    <row r="65">
      <c r="B65" s="40" t="n">
        <v>35</v>
      </c>
      <c r="C65" s="36" t="n">
        <v>0</v>
      </c>
      <c r="D65" s="36">
        <f>MIN(E$26,E65)+MIN(F$26,F65)+MIN(G$26,G65)+MIN(H$26,H65)+MIN(I$26,I65)+MIN(J$26,J65)+MIN(K$26,K65)+MIN(L$26,L65)</f>
        <v>453.214017522569</v>
      </c>
      <c r="E65" s="36">
        <f>U64*(1+E$25)</f>
        <v>453.214017522569</v>
      </c>
      <c r="F65" s="36">
        <f>V64*(1+F$25)</f>
        <v>0</v>
      </c>
      <c r="G65" s="36">
        <f>W64*(1+G$25)</f>
        <v>0</v>
      </c>
      <c r="H65" s="36">
        <f>X64*(1+H$25)</f>
        <v>0</v>
      </c>
      <c r="I65" s="36">
        <f>Y64*(1+I$25)</f>
        <v>0</v>
      </c>
      <c r="J65" s="36">
        <f>Z64*(1+J$25)</f>
        <v>0</v>
      </c>
      <c r="K65" s="36">
        <f>AA64*(1+K$25)</f>
        <v>0</v>
      </c>
      <c r="L65" s="36">
        <f>AB64*(1+L$25)</f>
        <v>0</v>
      </c>
      <c r="M65" s="36">
        <f>MIN(E65-MIN(E$26,E65),MAX(0,$C65-0))</f>
        <v>0</v>
      </c>
      <c r="N65" s="36">
        <f>MIN(F65-MIN(F$26,F65),MAX(0,$C65-SUM($M65:M65)))</f>
        <v>0</v>
      </c>
      <c r="O65" s="36">
        <f>MIN(G65-MIN(G$26,G65),MAX(0,$C65-SUM($M65:N65)))</f>
        <v>0</v>
      </c>
      <c r="P65" s="36">
        <f>MIN(H65-MIN(H$26,H65),MAX(0,$C65-SUM($M65:O65)))</f>
        <v>0</v>
      </c>
      <c r="Q65" s="36">
        <f>MIN(I65-MIN(I$26,I65),MAX(0,$C65-SUM($M65:P65)))</f>
        <v>0</v>
      </c>
      <c r="R65" s="36">
        <f>MIN(J65-MIN(J$26,J65),MAX(0,$C65-SUM($M65:Q65)))</f>
        <v>0</v>
      </c>
      <c r="S65" s="36">
        <f>MIN(K65-MIN(K$26,K65),MAX(0,$C65-SUM($M65:R65)))</f>
        <v>0</v>
      </c>
      <c r="T65" s="36">
        <f>MIN(L65-MIN(L$26,L65),MAX(0,$C65-SUM($M65:S65)))</f>
        <v>0</v>
      </c>
      <c r="U65" s="36">
        <f>IF(E65-MIN(E$26,E65)-M65&lt;0.005,0,E65-MIN(E$26,E65)-M65)</f>
        <v>0</v>
      </c>
      <c r="V65" s="36">
        <f>IF(F65-MIN(F$26,F65)-N65&lt;0.005,0,F65-MIN(F$26,F65)-N65)</f>
        <v>0</v>
      </c>
      <c r="W65" s="36">
        <f>IF(G65-MIN(G$26,G65)-O65&lt;0.005,0,G65-MIN(G$26,G65)-O65)</f>
        <v>0</v>
      </c>
      <c r="X65" s="36">
        <f>IF(H65-MIN(H$26,H65)-P65&lt;0.005,0,H65-MIN(H$26,H65)-P65)</f>
        <v>0</v>
      </c>
      <c r="Y65" s="36">
        <f>IF(I65-MIN(I$26,I65)-Q65&lt;0.005,0,I65-MIN(I$26,I65)-Q65)</f>
        <v>0</v>
      </c>
      <c r="Z65" s="36">
        <f>IF(J65-MIN(J$26,J65)-R65&lt;0.005,0,J65-MIN(J$26,J65)-R65)</f>
        <v>0</v>
      </c>
      <c r="AA65" s="36">
        <f>IF(K65-MIN(K$26,K65)-S65&lt;0.005,0,K65-MIN(K$26,K65)-S65)</f>
        <v>0</v>
      </c>
      <c r="AB65" s="36">
        <f>IF(L65-MIN(L$26,L65)-T65&lt;0.005,0,L65-MIN(L$26,L65)-T65)</f>
        <v>0</v>
      </c>
      <c r="AC65" s="36">
        <f>SUM(U65:AB65)</f>
        <v>0</v>
      </c>
      <c r="AD65" s="36">
        <f>D65+SUM(M65:T65)</f>
        <v>453.214017522569</v>
      </c>
      <c r="AG65" s="40" t="n">
        <v>57</v>
      </c>
      <c r="AH65" s="36">
        <f>AC87</f>
        <v>0</v>
      </c>
      <c r="AI65" s="36">
        <f>AC221</f>
        <v>0</v>
      </c>
      <c r="AJ65" s="36">
        <f>AC355</f>
        <v>0</v>
      </c>
    </row>
    <row r="66">
      <c r="B66" s="40" t="n">
        <v>36</v>
      </c>
      <c r="C66" s="36" t="n">
        <v>0</v>
      </c>
      <c r="D66" s="36">
        <f>MIN(E$26,E66)+MIN(F$26,F66)+MIN(G$26,G66)+MIN(H$26,H66)+MIN(I$26,I66)+MIN(J$26,J66)+MIN(K$26,K66)+MIN(L$26,L66)</f>
        <v>0</v>
      </c>
      <c r="E66" s="36">
        <f>U65*(1+E$25)</f>
        <v>0</v>
      </c>
      <c r="F66" s="36">
        <f>V65*(1+F$25)</f>
        <v>0</v>
      </c>
      <c r="G66" s="36">
        <f>W65*(1+G$25)</f>
        <v>0</v>
      </c>
      <c r="H66" s="36">
        <f>X65*(1+H$25)</f>
        <v>0</v>
      </c>
      <c r="I66" s="36">
        <f>Y65*(1+I$25)</f>
        <v>0</v>
      </c>
      <c r="J66" s="36">
        <f>Z65*(1+J$25)</f>
        <v>0</v>
      </c>
      <c r="K66" s="36">
        <f>AA65*(1+K$25)</f>
        <v>0</v>
      </c>
      <c r="L66" s="36">
        <f>AB65*(1+L$25)</f>
        <v>0</v>
      </c>
      <c r="M66" s="36">
        <f>MIN(E66-MIN(E$26,E66),MAX(0,$C66-0))</f>
        <v>0</v>
      </c>
      <c r="N66" s="36">
        <f>MIN(F66-MIN(F$26,F66),MAX(0,$C66-SUM($M66:M66)))</f>
        <v>0</v>
      </c>
      <c r="O66" s="36">
        <f>MIN(G66-MIN(G$26,G66),MAX(0,$C66-SUM($M66:N66)))</f>
        <v>0</v>
      </c>
      <c r="P66" s="36">
        <f>MIN(H66-MIN(H$26,H66),MAX(0,$C66-SUM($M66:O66)))</f>
        <v>0</v>
      </c>
      <c r="Q66" s="36">
        <f>MIN(I66-MIN(I$26,I66),MAX(0,$C66-SUM($M66:P66)))</f>
        <v>0</v>
      </c>
      <c r="R66" s="36">
        <f>MIN(J66-MIN(J$26,J66),MAX(0,$C66-SUM($M66:Q66)))</f>
        <v>0</v>
      </c>
      <c r="S66" s="36">
        <f>MIN(K66-MIN(K$26,K66),MAX(0,$C66-SUM($M66:R66)))</f>
        <v>0</v>
      </c>
      <c r="T66" s="36">
        <f>MIN(L66-MIN(L$26,L66),MAX(0,$C66-SUM($M66:S66)))</f>
        <v>0</v>
      </c>
      <c r="U66" s="36">
        <f>IF(E66-MIN(E$26,E66)-M66&lt;0.005,0,E66-MIN(E$26,E66)-M66)</f>
        <v>0</v>
      </c>
      <c r="V66" s="36">
        <f>IF(F66-MIN(F$26,F66)-N66&lt;0.005,0,F66-MIN(F$26,F66)-N66)</f>
        <v>0</v>
      </c>
      <c r="W66" s="36">
        <f>IF(G66-MIN(G$26,G66)-O66&lt;0.005,0,G66-MIN(G$26,G66)-O66)</f>
        <v>0</v>
      </c>
      <c r="X66" s="36">
        <f>IF(H66-MIN(H$26,H66)-P66&lt;0.005,0,H66-MIN(H$26,H66)-P66)</f>
        <v>0</v>
      </c>
      <c r="Y66" s="36">
        <f>IF(I66-MIN(I$26,I66)-Q66&lt;0.005,0,I66-MIN(I$26,I66)-Q66)</f>
        <v>0</v>
      </c>
      <c r="Z66" s="36">
        <f>IF(J66-MIN(J$26,J66)-R66&lt;0.005,0,J66-MIN(J$26,J66)-R66)</f>
        <v>0</v>
      </c>
      <c r="AA66" s="36">
        <f>IF(K66-MIN(K$26,K66)-S66&lt;0.005,0,K66-MIN(K$26,K66)-S66)</f>
        <v>0</v>
      </c>
      <c r="AB66" s="36">
        <f>IF(L66-MIN(L$26,L66)-T66&lt;0.005,0,L66-MIN(L$26,L66)-T66)</f>
        <v>0</v>
      </c>
      <c r="AC66" s="36">
        <f>SUM(U66:AB66)</f>
        <v>0</v>
      </c>
      <c r="AD66" s="36">
        <f>D66+SUM(M66:T66)</f>
        <v>0</v>
      </c>
      <c r="AG66" s="40" t="n">
        <v>58</v>
      </c>
      <c r="AH66" s="36">
        <f>AC88</f>
        <v>0</v>
      </c>
      <c r="AI66" s="36">
        <f>AC222</f>
        <v>0</v>
      </c>
      <c r="AJ66" s="36">
        <f>AC356</f>
        <v>0</v>
      </c>
    </row>
    <row r="67">
      <c r="B67" s="40" t="n">
        <v>37</v>
      </c>
      <c r="C67" s="36" t="n">
        <v>0</v>
      </c>
      <c r="D67" s="36">
        <f>MIN(E$26,E67)+MIN(F$26,F67)+MIN(G$26,G67)+MIN(H$26,H67)+MIN(I$26,I67)+MIN(J$26,J67)+MIN(K$26,K67)+MIN(L$26,L67)</f>
        <v>0</v>
      </c>
      <c r="E67" s="36">
        <f>U66*(1+E$25)</f>
        <v>0</v>
      </c>
      <c r="F67" s="36">
        <f>V66*(1+F$25)</f>
        <v>0</v>
      </c>
      <c r="G67" s="36">
        <f>W66*(1+G$25)</f>
        <v>0</v>
      </c>
      <c r="H67" s="36">
        <f>X66*(1+H$25)</f>
        <v>0</v>
      </c>
      <c r="I67" s="36">
        <f>Y66*(1+I$25)</f>
        <v>0</v>
      </c>
      <c r="J67" s="36">
        <f>Z66*(1+J$25)</f>
        <v>0</v>
      </c>
      <c r="K67" s="36">
        <f>AA66*(1+K$25)</f>
        <v>0</v>
      </c>
      <c r="L67" s="36">
        <f>AB66*(1+L$25)</f>
        <v>0</v>
      </c>
      <c r="M67" s="36">
        <f>MIN(E67-MIN(E$26,E67),MAX(0,$C67-0))</f>
        <v>0</v>
      </c>
      <c r="N67" s="36">
        <f>MIN(F67-MIN(F$26,F67),MAX(0,$C67-SUM($M67:M67)))</f>
        <v>0</v>
      </c>
      <c r="O67" s="36">
        <f>MIN(G67-MIN(G$26,G67),MAX(0,$C67-SUM($M67:N67)))</f>
        <v>0</v>
      </c>
      <c r="P67" s="36">
        <f>MIN(H67-MIN(H$26,H67),MAX(0,$C67-SUM($M67:O67)))</f>
        <v>0</v>
      </c>
      <c r="Q67" s="36">
        <f>MIN(I67-MIN(I$26,I67),MAX(0,$C67-SUM($M67:P67)))</f>
        <v>0</v>
      </c>
      <c r="R67" s="36">
        <f>MIN(J67-MIN(J$26,J67),MAX(0,$C67-SUM($M67:Q67)))</f>
        <v>0</v>
      </c>
      <c r="S67" s="36">
        <f>MIN(K67-MIN(K$26,K67),MAX(0,$C67-SUM($M67:R67)))</f>
        <v>0</v>
      </c>
      <c r="T67" s="36">
        <f>MIN(L67-MIN(L$26,L67),MAX(0,$C67-SUM($M67:S67)))</f>
        <v>0</v>
      </c>
      <c r="U67" s="36">
        <f>IF(E67-MIN(E$26,E67)-M67&lt;0.005,0,E67-MIN(E$26,E67)-M67)</f>
        <v>0</v>
      </c>
      <c r="V67" s="36">
        <f>IF(F67-MIN(F$26,F67)-N67&lt;0.005,0,F67-MIN(F$26,F67)-N67)</f>
        <v>0</v>
      </c>
      <c r="W67" s="36">
        <f>IF(G67-MIN(G$26,G67)-O67&lt;0.005,0,G67-MIN(G$26,G67)-O67)</f>
        <v>0</v>
      </c>
      <c r="X67" s="36">
        <f>IF(H67-MIN(H$26,H67)-P67&lt;0.005,0,H67-MIN(H$26,H67)-P67)</f>
        <v>0</v>
      </c>
      <c r="Y67" s="36">
        <f>IF(I67-MIN(I$26,I67)-Q67&lt;0.005,0,I67-MIN(I$26,I67)-Q67)</f>
        <v>0</v>
      </c>
      <c r="Z67" s="36">
        <f>IF(J67-MIN(J$26,J67)-R67&lt;0.005,0,J67-MIN(J$26,J67)-R67)</f>
        <v>0</v>
      </c>
      <c r="AA67" s="36">
        <f>IF(K67-MIN(K$26,K67)-S67&lt;0.005,0,K67-MIN(K$26,K67)-S67)</f>
        <v>0</v>
      </c>
      <c r="AB67" s="36">
        <f>IF(L67-MIN(L$26,L67)-T67&lt;0.005,0,L67-MIN(L$26,L67)-T67)</f>
        <v>0</v>
      </c>
      <c r="AC67" s="36">
        <f>SUM(U67:AB67)</f>
        <v>0</v>
      </c>
      <c r="AD67" s="36">
        <f>D67+SUM(M67:T67)</f>
        <v>0</v>
      </c>
      <c r="AG67" s="40" t="n">
        <v>59</v>
      </c>
      <c r="AH67" s="36">
        <f>AC89</f>
        <v>0</v>
      </c>
      <c r="AI67" s="36">
        <f>AC223</f>
        <v>0</v>
      </c>
      <c r="AJ67" s="36">
        <f>AC357</f>
        <v>0</v>
      </c>
    </row>
    <row r="68">
      <c r="B68" s="40" t="n">
        <v>38</v>
      </c>
      <c r="C68" s="36" t="n">
        <v>0</v>
      </c>
      <c r="D68" s="36">
        <f>MIN(E$26,E68)+MIN(F$26,F68)+MIN(G$26,G68)+MIN(H$26,H68)+MIN(I$26,I68)+MIN(J$26,J68)+MIN(K$26,K68)+MIN(L$26,L68)</f>
        <v>0</v>
      </c>
      <c r="E68" s="36">
        <f>U67*(1+E$25)</f>
        <v>0</v>
      </c>
      <c r="F68" s="36">
        <f>V67*(1+F$25)</f>
        <v>0</v>
      </c>
      <c r="G68" s="36">
        <f>W67*(1+G$25)</f>
        <v>0</v>
      </c>
      <c r="H68" s="36">
        <f>X67*(1+H$25)</f>
        <v>0</v>
      </c>
      <c r="I68" s="36">
        <f>Y67*(1+I$25)</f>
        <v>0</v>
      </c>
      <c r="J68" s="36">
        <f>Z67*(1+J$25)</f>
        <v>0</v>
      </c>
      <c r="K68" s="36">
        <f>AA67*(1+K$25)</f>
        <v>0</v>
      </c>
      <c r="L68" s="36">
        <f>AB67*(1+L$25)</f>
        <v>0</v>
      </c>
      <c r="M68" s="36">
        <f>MIN(E68-MIN(E$26,E68),MAX(0,$C68-0))</f>
        <v>0</v>
      </c>
      <c r="N68" s="36">
        <f>MIN(F68-MIN(F$26,F68),MAX(0,$C68-SUM($M68:M68)))</f>
        <v>0</v>
      </c>
      <c r="O68" s="36">
        <f>MIN(G68-MIN(G$26,G68),MAX(0,$C68-SUM($M68:N68)))</f>
        <v>0</v>
      </c>
      <c r="P68" s="36">
        <f>MIN(H68-MIN(H$26,H68),MAX(0,$C68-SUM($M68:O68)))</f>
        <v>0</v>
      </c>
      <c r="Q68" s="36">
        <f>MIN(I68-MIN(I$26,I68),MAX(0,$C68-SUM($M68:P68)))</f>
        <v>0</v>
      </c>
      <c r="R68" s="36">
        <f>MIN(J68-MIN(J$26,J68),MAX(0,$C68-SUM($M68:Q68)))</f>
        <v>0</v>
      </c>
      <c r="S68" s="36">
        <f>MIN(K68-MIN(K$26,K68),MAX(0,$C68-SUM($M68:R68)))</f>
        <v>0</v>
      </c>
      <c r="T68" s="36">
        <f>MIN(L68-MIN(L$26,L68),MAX(0,$C68-SUM($M68:S68)))</f>
        <v>0</v>
      </c>
      <c r="U68" s="36">
        <f>IF(E68-MIN(E$26,E68)-M68&lt;0.005,0,E68-MIN(E$26,E68)-M68)</f>
        <v>0</v>
      </c>
      <c r="V68" s="36">
        <f>IF(F68-MIN(F$26,F68)-N68&lt;0.005,0,F68-MIN(F$26,F68)-N68)</f>
        <v>0</v>
      </c>
      <c r="W68" s="36">
        <f>IF(G68-MIN(G$26,G68)-O68&lt;0.005,0,G68-MIN(G$26,G68)-O68)</f>
        <v>0</v>
      </c>
      <c r="X68" s="36">
        <f>IF(H68-MIN(H$26,H68)-P68&lt;0.005,0,H68-MIN(H$26,H68)-P68)</f>
        <v>0</v>
      </c>
      <c r="Y68" s="36">
        <f>IF(I68-MIN(I$26,I68)-Q68&lt;0.005,0,I68-MIN(I$26,I68)-Q68)</f>
        <v>0</v>
      </c>
      <c r="Z68" s="36">
        <f>IF(J68-MIN(J$26,J68)-R68&lt;0.005,0,J68-MIN(J$26,J68)-R68)</f>
        <v>0</v>
      </c>
      <c r="AA68" s="36">
        <f>IF(K68-MIN(K$26,K68)-S68&lt;0.005,0,K68-MIN(K$26,K68)-S68)</f>
        <v>0</v>
      </c>
      <c r="AB68" s="36">
        <f>IF(L68-MIN(L$26,L68)-T68&lt;0.005,0,L68-MIN(L$26,L68)-T68)</f>
        <v>0</v>
      </c>
      <c r="AC68" s="36">
        <f>SUM(U68:AB68)</f>
        <v>0</v>
      </c>
      <c r="AD68" s="36">
        <f>D68+SUM(M68:T68)</f>
        <v>0</v>
      </c>
      <c r="AG68" s="40" t="n">
        <v>60</v>
      </c>
      <c r="AH68" s="36">
        <f>AC90</f>
        <v>0</v>
      </c>
      <c r="AI68" s="36">
        <f>AC224</f>
        <v>0</v>
      </c>
      <c r="AJ68" s="36">
        <f>AC358</f>
        <v>0</v>
      </c>
    </row>
    <row r="69">
      <c r="B69" s="40" t="n">
        <v>39</v>
      </c>
      <c r="C69" s="36" t="n">
        <v>0</v>
      </c>
      <c r="D69" s="36">
        <f>MIN(E$26,E69)+MIN(F$26,F69)+MIN(G$26,G69)+MIN(H$26,H69)+MIN(I$26,I69)+MIN(J$26,J69)+MIN(K$26,K69)+MIN(L$26,L69)</f>
        <v>0</v>
      </c>
      <c r="E69" s="36">
        <f>U68*(1+E$25)</f>
        <v>0</v>
      </c>
      <c r="F69" s="36">
        <f>V68*(1+F$25)</f>
        <v>0</v>
      </c>
      <c r="G69" s="36">
        <f>W68*(1+G$25)</f>
        <v>0</v>
      </c>
      <c r="H69" s="36">
        <f>X68*(1+H$25)</f>
        <v>0</v>
      </c>
      <c r="I69" s="36">
        <f>Y68*(1+I$25)</f>
        <v>0</v>
      </c>
      <c r="J69" s="36">
        <f>Z68*(1+J$25)</f>
        <v>0</v>
      </c>
      <c r="K69" s="36">
        <f>AA68*(1+K$25)</f>
        <v>0</v>
      </c>
      <c r="L69" s="36">
        <f>AB68*(1+L$25)</f>
        <v>0</v>
      </c>
      <c r="M69" s="36">
        <f>MIN(E69-MIN(E$26,E69),MAX(0,$C69-0))</f>
        <v>0</v>
      </c>
      <c r="N69" s="36">
        <f>MIN(F69-MIN(F$26,F69),MAX(0,$C69-SUM($M69:M69)))</f>
        <v>0</v>
      </c>
      <c r="O69" s="36">
        <f>MIN(G69-MIN(G$26,G69),MAX(0,$C69-SUM($M69:N69)))</f>
        <v>0</v>
      </c>
      <c r="P69" s="36">
        <f>MIN(H69-MIN(H$26,H69),MAX(0,$C69-SUM($M69:O69)))</f>
        <v>0</v>
      </c>
      <c r="Q69" s="36">
        <f>MIN(I69-MIN(I$26,I69),MAX(0,$C69-SUM($M69:P69)))</f>
        <v>0</v>
      </c>
      <c r="R69" s="36">
        <f>MIN(J69-MIN(J$26,J69),MAX(0,$C69-SUM($M69:Q69)))</f>
        <v>0</v>
      </c>
      <c r="S69" s="36">
        <f>MIN(K69-MIN(K$26,K69),MAX(0,$C69-SUM($M69:R69)))</f>
        <v>0</v>
      </c>
      <c r="T69" s="36">
        <f>MIN(L69-MIN(L$26,L69),MAX(0,$C69-SUM($M69:S69)))</f>
        <v>0</v>
      </c>
      <c r="U69" s="36">
        <f>IF(E69-MIN(E$26,E69)-M69&lt;0.005,0,E69-MIN(E$26,E69)-M69)</f>
        <v>0</v>
      </c>
      <c r="V69" s="36">
        <f>IF(F69-MIN(F$26,F69)-N69&lt;0.005,0,F69-MIN(F$26,F69)-N69)</f>
        <v>0</v>
      </c>
      <c r="W69" s="36">
        <f>IF(G69-MIN(G$26,G69)-O69&lt;0.005,0,G69-MIN(G$26,G69)-O69)</f>
        <v>0</v>
      </c>
      <c r="X69" s="36">
        <f>IF(H69-MIN(H$26,H69)-P69&lt;0.005,0,H69-MIN(H$26,H69)-P69)</f>
        <v>0</v>
      </c>
      <c r="Y69" s="36">
        <f>IF(I69-MIN(I$26,I69)-Q69&lt;0.005,0,I69-MIN(I$26,I69)-Q69)</f>
        <v>0</v>
      </c>
      <c r="Z69" s="36">
        <f>IF(J69-MIN(J$26,J69)-R69&lt;0.005,0,J69-MIN(J$26,J69)-R69)</f>
        <v>0</v>
      </c>
      <c r="AA69" s="36">
        <f>IF(K69-MIN(K$26,K69)-S69&lt;0.005,0,K69-MIN(K$26,K69)-S69)</f>
        <v>0</v>
      </c>
      <c r="AB69" s="36">
        <f>IF(L69-MIN(L$26,L69)-T69&lt;0.005,0,L69-MIN(L$26,L69)-T69)</f>
        <v>0</v>
      </c>
      <c r="AC69" s="36">
        <f>SUM(U69:AB69)</f>
        <v>0</v>
      </c>
      <c r="AD69" s="36">
        <f>D69+SUM(M69:T69)</f>
        <v>0</v>
      </c>
      <c r="AG69" s="40" t="n">
        <v>61</v>
      </c>
      <c r="AH69" s="36">
        <f>AC91</f>
        <v>0</v>
      </c>
      <c r="AI69" s="36">
        <f>AC225</f>
        <v>0</v>
      </c>
      <c r="AJ69" s="36">
        <f>AC359</f>
        <v>0</v>
      </c>
    </row>
    <row r="70">
      <c r="B70" s="40" t="n">
        <v>40</v>
      </c>
      <c r="C70" s="36" t="n">
        <v>0</v>
      </c>
      <c r="D70" s="36">
        <f>MIN(E$26,E70)+MIN(F$26,F70)+MIN(G$26,G70)+MIN(H$26,H70)+MIN(I$26,I70)+MIN(J$26,J70)+MIN(K$26,K70)+MIN(L$26,L70)</f>
        <v>0</v>
      </c>
      <c r="E70" s="36">
        <f>U69*(1+E$25)</f>
        <v>0</v>
      </c>
      <c r="F70" s="36">
        <f>V69*(1+F$25)</f>
        <v>0</v>
      </c>
      <c r="G70" s="36">
        <f>W69*(1+G$25)</f>
        <v>0</v>
      </c>
      <c r="H70" s="36">
        <f>X69*(1+H$25)</f>
        <v>0</v>
      </c>
      <c r="I70" s="36">
        <f>Y69*(1+I$25)</f>
        <v>0</v>
      </c>
      <c r="J70" s="36">
        <f>Z69*(1+J$25)</f>
        <v>0</v>
      </c>
      <c r="K70" s="36">
        <f>AA69*(1+K$25)</f>
        <v>0</v>
      </c>
      <c r="L70" s="36">
        <f>AB69*(1+L$25)</f>
        <v>0</v>
      </c>
      <c r="M70" s="36">
        <f>MIN(E70-MIN(E$26,E70),MAX(0,$C70-0))</f>
        <v>0</v>
      </c>
      <c r="N70" s="36">
        <f>MIN(F70-MIN(F$26,F70),MAX(0,$C70-SUM($M70:M70)))</f>
        <v>0</v>
      </c>
      <c r="O70" s="36">
        <f>MIN(G70-MIN(G$26,G70),MAX(0,$C70-SUM($M70:N70)))</f>
        <v>0</v>
      </c>
      <c r="P70" s="36">
        <f>MIN(H70-MIN(H$26,H70),MAX(0,$C70-SUM($M70:O70)))</f>
        <v>0</v>
      </c>
      <c r="Q70" s="36">
        <f>MIN(I70-MIN(I$26,I70),MAX(0,$C70-SUM($M70:P70)))</f>
        <v>0</v>
      </c>
      <c r="R70" s="36">
        <f>MIN(J70-MIN(J$26,J70),MAX(0,$C70-SUM($M70:Q70)))</f>
        <v>0</v>
      </c>
      <c r="S70" s="36">
        <f>MIN(K70-MIN(K$26,K70),MAX(0,$C70-SUM($M70:R70)))</f>
        <v>0</v>
      </c>
      <c r="T70" s="36">
        <f>MIN(L70-MIN(L$26,L70),MAX(0,$C70-SUM($M70:S70)))</f>
        <v>0</v>
      </c>
      <c r="U70" s="36">
        <f>IF(E70-MIN(E$26,E70)-M70&lt;0.005,0,E70-MIN(E$26,E70)-M70)</f>
        <v>0</v>
      </c>
      <c r="V70" s="36">
        <f>IF(F70-MIN(F$26,F70)-N70&lt;0.005,0,F70-MIN(F$26,F70)-N70)</f>
        <v>0</v>
      </c>
      <c r="W70" s="36">
        <f>IF(G70-MIN(G$26,G70)-O70&lt;0.005,0,G70-MIN(G$26,G70)-O70)</f>
        <v>0</v>
      </c>
      <c r="X70" s="36">
        <f>IF(H70-MIN(H$26,H70)-P70&lt;0.005,0,H70-MIN(H$26,H70)-P70)</f>
        <v>0</v>
      </c>
      <c r="Y70" s="36">
        <f>IF(I70-MIN(I$26,I70)-Q70&lt;0.005,0,I70-MIN(I$26,I70)-Q70)</f>
        <v>0</v>
      </c>
      <c r="Z70" s="36">
        <f>IF(J70-MIN(J$26,J70)-R70&lt;0.005,0,J70-MIN(J$26,J70)-R70)</f>
        <v>0</v>
      </c>
      <c r="AA70" s="36">
        <f>IF(K70-MIN(K$26,K70)-S70&lt;0.005,0,K70-MIN(K$26,K70)-S70)</f>
        <v>0</v>
      </c>
      <c r="AB70" s="36">
        <f>IF(L70-MIN(L$26,L70)-T70&lt;0.005,0,L70-MIN(L$26,L70)-T70)</f>
        <v>0</v>
      </c>
      <c r="AC70" s="36">
        <f>SUM(U70:AB70)</f>
        <v>0</v>
      </c>
      <c r="AD70" s="36">
        <f>D70+SUM(M70:T70)</f>
        <v>0</v>
      </c>
      <c r="AG70" s="40" t="n">
        <v>62</v>
      </c>
      <c r="AH70" s="36">
        <f>AC92</f>
        <v>0</v>
      </c>
      <c r="AI70" s="36">
        <f>AC226</f>
        <v>0</v>
      </c>
      <c r="AJ70" s="36">
        <f>AC360</f>
        <v>0</v>
      </c>
    </row>
    <row r="71">
      <c r="B71" s="40" t="n">
        <v>41</v>
      </c>
      <c r="C71" s="36" t="n">
        <v>0</v>
      </c>
      <c r="D71" s="36">
        <f>MIN(E$26,E71)+MIN(F$26,F71)+MIN(G$26,G71)+MIN(H$26,H71)+MIN(I$26,I71)+MIN(J$26,J71)+MIN(K$26,K71)+MIN(L$26,L71)</f>
        <v>0</v>
      </c>
      <c r="E71" s="36">
        <f>U70*(1+E$25)</f>
        <v>0</v>
      </c>
      <c r="F71" s="36">
        <f>V70*(1+F$25)</f>
        <v>0</v>
      </c>
      <c r="G71" s="36">
        <f>W70*(1+G$25)</f>
        <v>0</v>
      </c>
      <c r="H71" s="36">
        <f>X70*(1+H$25)</f>
        <v>0</v>
      </c>
      <c r="I71" s="36">
        <f>Y70*(1+I$25)</f>
        <v>0</v>
      </c>
      <c r="J71" s="36">
        <f>Z70*(1+J$25)</f>
        <v>0</v>
      </c>
      <c r="K71" s="36">
        <f>AA70*(1+K$25)</f>
        <v>0</v>
      </c>
      <c r="L71" s="36">
        <f>AB70*(1+L$25)</f>
        <v>0</v>
      </c>
      <c r="M71" s="36">
        <f>MIN(E71-MIN(E$26,E71),MAX(0,$C71-0))</f>
        <v>0</v>
      </c>
      <c r="N71" s="36">
        <f>MIN(F71-MIN(F$26,F71),MAX(0,$C71-SUM($M71:M71)))</f>
        <v>0</v>
      </c>
      <c r="O71" s="36">
        <f>MIN(G71-MIN(G$26,G71),MAX(0,$C71-SUM($M71:N71)))</f>
        <v>0</v>
      </c>
      <c r="P71" s="36">
        <f>MIN(H71-MIN(H$26,H71),MAX(0,$C71-SUM($M71:O71)))</f>
        <v>0</v>
      </c>
      <c r="Q71" s="36">
        <f>MIN(I71-MIN(I$26,I71),MAX(0,$C71-SUM($M71:P71)))</f>
        <v>0</v>
      </c>
      <c r="R71" s="36">
        <f>MIN(J71-MIN(J$26,J71),MAX(0,$C71-SUM($M71:Q71)))</f>
        <v>0</v>
      </c>
      <c r="S71" s="36">
        <f>MIN(K71-MIN(K$26,K71),MAX(0,$C71-SUM($M71:R71)))</f>
        <v>0</v>
      </c>
      <c r="T71" s="36">
        <f>MIN(L71-MIN(L$26,L71),MAX(0,$C71-SUM($M71:S71)))</f>
        <v>0</v>
      </c>
      <c r="U71" s="36">
        <f>IF(E71-MIN(E$26,E71)-M71&lt;0.005,0,E71-MIN(E$26,E71)-M71)</f>
        <v>0</v>
      </c>
      <c r="V71" s="36">
        <f>IF(F71-MIN(F$26,F71)-N71&lt;0.005,0,F71-MIN(F$26,F71)-N71)</f>
        <v>0</v>
      </c>
      <c r="W71" s="36">
        <f>IF(G71-MIN(G$26,G71)-O71&lt;0.005,0,G71-MIN(G$26,G71)-O71)</f>
        <v>0</v>
      </c>
      <c r="X71" s="36">
        <f>IF(H71-MIN(H$26,H71)-P71&lt;0.005,0,H71-MIN(H$26,H71)-P71)</f>
        <v>0</v>
      </c>
      <c r="Y71" s="36">
        <f>IF(I71-MIN(I$26,I71)-Q71&lt;0.005,0,I71-MIN(I$26,I71)-Q71)</f>
        <v>0</v>
      </c>
      <c r="Z71" s="36">
        <f>IF(J71-MIN(J$26,J71)-R71&lt;0.005,0,J71-MIN(J$26,J71)-R71)</f>
        <v>0</v>
      </c>
      <c r="AA71" s="36">
        <f>IF(K71-MIN(K$26,K71)-S71&lt;0.005,0,K71-MIN(K$26,K71)-S71)</f>
        <v>0</v>
      </c>
      <c r="AB71" s="36">
        <f>IF(L71-MIN(L$26,L71)-T71&lt;0.005,0,L71-MIN(L$26,L71)-T71)</f>
        <v>0</v>
      </c>
      <c r="AC71" s="36">
        <f>SUM(U71:AB71)</f>
        <v>0</v>
      </c>
      <c r="AD71" s="36">
        <f>D71+SUM(M71:T71)</f>
        <v>0</v>
      </c>
      <c r="AG71" s="40" t="n">
        <v>63</v>
      </c>
      <c r="AH71" s="36">
        <f>AC93</f>
        <v>0</v>
      </c>
      <c r="AI71" s="36">
        <f>AC227</f>
        <v>0</v>
      </c>
      <c r="AJ71" s="36">
        <f>AC361</f>
        <v>0</v>
      </c>
    </row>
    <row r="72">
      <c r="B72" s="40" t="n">
        <v>42</v>
      </c>
      <c r="C72" s="36" t="n">
        <v>0</v>
      </c>
      <c r="D72" s="36">
        <f>MIN(E$26,E72)+MIN(F$26,F72)+MIN(G$26,G72)+MIN(H$26,H72)+MIN(I$26,I72)+MIN(J$26,J72)+MIN(K$26,K72)+MIN(L$26,L72)</f>
        <v>0</v>
      </c>
      <c r="E72" s="36">
        <f>U71*(1+E$25)</f>
        <v>0</v>
      </c>
      <c r="F72" s="36">
        <f>V71*(1+F$25)</f>
        <v>0</v>
      </c>
      <c r="G72" s="36">
        <f>W71*(1+G$25)</f>
        <v>0</v>
      </c>
      <c r="H72" s="36">
        <f>X71*(1+H$25)</f>
        <v>0</v>
      </c>
      <c r="I72" s="36">
        <f>Y71*(1+I$25)</f>
        <v>0</v>
      </c>
      <c r="J72" s="36">
        <f>Z71*(1+J$25)</f>
        <v>0</v>
      </c>
      <c r="K72" s="36">
        <f>AA71*(1+K$25)</f>
        <v>0</v>
      </c>
      <c r="L72" s="36">
        <f>AB71*(1+L$25)</f>
        <v>0</v>
      </c>
      <c r="M72" s="36">
        <f>MIN(E72-MIN(E$26,E72),MAX(0,$C72-0))</f>
        <v>0</v>
      </c>
      <c r="N72" s="36">
        <f>MIN(F72-MIN(F$26,F72),MAX(0,$C72-SUM($M72:M72)))</f>
        <v>0</v>
      </c>
      <c r="O72" s="36">
        <f>MIN(G72-MIN(G$26,G72),MAX(0,$C72-SUM($M72:N72)))</f>
        <v>0</v>
      </c>
      <c r="P72" s="36">
        <f>MIN(H72-MIN(H$26,H72),MAX(0,$C72-SUM($M72:O72)))</f>
        <v>0</v>
      </c>
      <c r="Q72" s="36">
        <f>MIN(I72-MIN(I$26,I72),MAX(0,$C72-SUM($M72:P72)))</f>
        <v>0</v>
      </c>
      <c r="R72" s="36">
        <f>MIN(J72-MIN(J$26,J72),MAX(0,$C72-SUM($M72:Q72)))</f>
        <v>0</v>
      </c>
      <c r="S72" s="36">
        <f>MIN(K72-MIN(K$26,K72),MAX(0,$C72-SUM($M72:R72)))</f>
        <v>0</v>
      </c>
      <c r="T72" s="36">
        <f>MIN(L72-MIN(L$26,L72),MAX(0,$C72-SUM($M72:S72)))</f>
        <v>0</v>
      </c>
      <c r="U72" s="36">
        <f>IF(E72-MIN(E$26,E72)-M72&lt;0.005,0,E72-MIN(E$26,E72)-M72)</f>
        <v>0</v>
      </c>
      <c r="V72" s="36">
        <f>IF(F72-MIN(F$26,F72)-N72&lt;0.005,0,F72-MIN(F$26,F72)-N72)</f>
        <v>0</v>
      </c>
      <c r="W72" s="36">
        <f>IF(G72-MIN(G$26,G72)-O72&lt;0.005,0,G72-MIN(G$26,G72)-O72)</f>
        <v>0</v>
      </c>
      <c r="X72" s="36">
        <f>IF(H72-MIN(H$26,H72)-P72&lt;0.005,0,H72-MIN(H$26,H72)-P72)</f>
        <v>0</v>
      </c>
      <c r="Y72" s="36">
        <f>IF(I72-MIN(I$26,I72)-Q72&lt;0.005,0,I72-MIN(I$26,I72)-Q72)</f>
        <v>0</v>
      </c>
      <c r="Z72" s="36">
        <f>IF(J72-MIN(J$26,J72)-R72&lt;0.005,0,J72-MIN(J$26,J72)-R72)</f>
        <v>0</v>
      </c>
      <c r="AA72" s="36">
        <f>IF(K72-MIN(K$26,K72)-S72&lt;0.005,0,K72-MIN(K$26,K72)-S72)</f>
        <v>0</v>
      </c>
      <c r="AB72" s="36">
        <f>IF(L72-MIN(L$26,L72)-T72&lt;0.005,0,L72-MIN(L$26,L72)-T72)</f>
        <v>0</v>
      </c>
      <c r="AC72" s="36">
        <f>SUM(U72:AB72)</f>
        <v>0</v>
      </c>
      <c r="AD72" s="36">
        <f>D72+SUM(M72:T72)</f>
        <v>0</v>
      </c>
      <c r="AG72" s="40" t="n">
        <v>64</v>
      </c>
      <c r="AH72" s="36">
        <f>AC94</f>
        <v>0</v>
      </c>
      <c r="AI72" s="36">
        <f>AC228</f>
        <v>0</v>
      </c>
      <c r="AJ72" s="36">
        <f>AC362</f>
        <v>0</v>
      </c>
    </row>
    <row r="73">
      <c r="B73" s="40" t="n">
        <v>43</v>
      </c>
      <c r="C73" s="36" t="n">
        <v>0</v>
      </c>
      <c r="D73" s="36">
        <f>MIN(E$26,E73)+MIN(F$26,F73)+MIN(G$26,G73)+MIN(H$26,H73)+MIN(I$26,I73)+MIN(J$26,J73)+MIN(K$26,K73)+MIN(L$26,L73)</f>
        <v>0</v>
      </c>
      <c r="E73" s="36">
        <f>U72*(1+E$25)</f>
        <v>0</v>
      </c>
      <c r="F73" s="36">
        <f>V72*(1+F$25)</f>
        <v>0</v>
      </c>
      <c r="G73" s="36">
        <f>W72*(1+G$25)</f>
        <v>0</v>
      </c>
      <c r="H73" s="36">
        <f>X72*(1+H$25)</f>
        <v>0</v>
      </c>
      <c r="I73" s="36">
        <f>Y72*(1+I$25)</f>
        <v>0</v>
      </c>
      <c r="J73" s="36">
        <f>Z72*(1+J$25)</f>
        <v>0</v>
      </c>
      <c r="K73" s="36">
        <f>AA72*(1+K$25)</f>
        <v>0</v>
      </c>
      <c r="L73" s="36">
        <f>AB72*(1+L$25)</f>
        <v>0</v>
      </c>
      <c r="M73" s="36">
        <f>MIN(E73-MIN(E$26,E73),MAX(0,$C73-0))</f>
        <v>0</v>
      </c>
      <c r="N73" s="36">
        <f>MIN(F73-MIN(F$26,F73),MAX(0,$C73-SUM($M73:M73)))</f>
        <v>0</v>
      </c>
      <c r="O73" s="36">
        <f>MIN(G73-MIN(G$26,G73),MAX(0,$C73-SUM($M73:N73)))</f>
        <v>0</v>
      </c>
      <c r="P73" s="36">
        <f>MIN(H73-MIN(H$26,H73),MAX(0,$C73-SUM($M73:O73)))</f>
        <v>0</v>
      </c>
      <c r="Q73" s="36">
        <f>MIN(I73-MIN(I$26,I73),MAX(0,$C73-SUM($M73:P73)))</f>
        <v>0</v>
      </c>
      <c r="R73" s="36">
        <f>MIN(J73-MIN(J$26,J73),MAX(0,$C73-SUM($M73:Q73)))</f>
        <v>0</v>
      </c>
      <c r="S73" s="36">
        <f>MIN(K73-MIN(K$26,K73),MAX(0,$C73-SUM($M73:R73)))</f>
        <v>0</v>
      </c>
      <c r="T73" s="36">
        <f>MIN(L73-MIN(L$26,L73),MAX(0,$C73-SUM($M73:S73)))</f>
        <v>0</v>
      </c>
      <c r="U73" s="36">
        <f>IF(E73-MIN(E$26,E73)-M73&lt;0.005,0,E73-MIN(E$26,E73)-M73)</f>
        <v>0</v>
      </c>
      <c r="V73" s="36">
        <f>IF(F73-MIN(F$26,F73)-N73&lt;0.005,0,F73-MIN(F$26,F73)-N73)</f>
        <v>0</v>
      </c>
      <c r="W73" s="36">
        <f>IF(G73-MIN(G$26,G73)-O73&lt;0.005,0,G73-MIN(G$26,G73)-O73)</f>
        <v>0</v>
      </c>
      <c r="X73" s="36">
        <f>IF(H73-MIN(H$26,H73)-P73&lt;0.005,0,H73-MIN(H$26,H73)-P73)</f>
        <v>0</v>
      </c>
      <c r="Y73" s="36">
        <f>IF(I73-MIN(I$26,I73)-Q73&lt;0.005,0,I73-MIN(I$26,I73)-Q73)</f>
        <v>0</v>
      </c>
      <c r="Z73" s="36">
        <f>IF(J73-MIN(J$26,J73)-R73&lt;0.005,0,J73-MIN(J$26,J73)-R73)</f>
        <v>0</v>
      </c>
      <c r="AA73" s="36">
        <f>IF(K73-MIN(K$26,K73)-S73&lt;0.005,0,K73-MIN(K$26,K73)-S73)</f>
        <v>0</v>
      </c>
      <c r="AB73" s="36">
        <f>IF(L73-MIN(L$26,L73)-T73&lt;0.005,0,L73-MIN(L$26,L73)-T73)</f>
        <v>0</v>
      </c>
      <c r="AC73" s="36">
        <f>SUM(U73:AB73)</f>
        <v>0</v>
      </c>
      <c r="AD73" s="36">
        <f>D73+SUM(M73:T73)</f>
        <v>0</v>
      </c>
      <c r="AG73" s="40" t="n">
        <v>65</v>
      </c>
      <c r="AH73" s="36">
        <f>AC95</f>
        <v>0</v>
      </c>
      <c r="AI73" s="36">
        <f>AC229</f>
        <v>0</v>
      </c>
      <c r="AJ73" s="36">
        <f>AC363</f>
        <v>0</v>
      </c>
    </row>
    <row r="74">
      <c r="B74" s="40" t="n">
        <v>44</v>
      </c>
      <c r="C74" s="36" t="n">
        <v>0</v>
      </c>
      <c r="D74" s="36">
        <f>MIN(E$26,E74)+MIN(F$26,F74)+MIN(G$26,G74)+MIN(H$26,H74)+MIN(I$26,I74)+MIN(J$26,J74)+MIN(K$26,K74)+MIN(L$26,L74)</f>
        <v>0</v>
      </c>
      <c r="E74" s="36">
        <f>U73*(1+E$25)</f>
        <v>0</v>
      </c>
      <c r="F74" s="36">
        <f>V73*(1+F$25)</f>
        <v>0</v>
      </c>
      <c r="G74" s="36">
        <f>W73*(1+G$25)</f>
        <v>0</v>
      </c>
      <c r="H74" s="36">
        <f>X73*(1+H$25)</f>
        <v>0</v>
      </c>
      <c r="I74" s="36">
        <f>Y73*(1+I$25)</f>
        <v>0</v>
      </c>
      <c r="J74" s="36">
        <f>Z73*(1+J$25)</f>
        <v>0</v>
      </c>
      <c r="K74" s="36">
        <f>AA73*(1+K$25)</f>
        <v>0</v>
      </c>
      <c r="L74" s="36">
        <f>AB73*(1+L$25)</f>
        <v>0</v>
      </c>
      <c r="M74" s="36">
        <f>MIN(E74-MIN(E$26,E74),MAX(0,$C74-0))</f>
        <v>0</v>
      </c>
      <c r="N74" s="36">
        <f>MIN(F74-MIN(F$26,F74),MAX(0,$C74-SUM($M74:M74)))</f>
        <v>0</v>
      </c>
      <c r="O74" s="36">
        <f>MIN(G74-MIN(G$26,G74),MAX(0,$C74-SUM($M74:N74)))</f>
        <v>0</v>
      </c>
      <c r="P74" s="36">
        <f>MIN(H74-MIN(H$26,H74),MAX(0,$C74-SUM($M74:O74)))</f>
        <v>0</v>
      </c>
      <c r="Q74" s="36">
        <f>MIN(I74-MIN(I$26,I74),MAX(0,$C74-SUM($M74:P74)))</f>
        <v>0</v>
      </c>
      <c r="R74" s="36">
        <f>MIN(J74-MIN(J$26,J74),MAX(0,$C74-SUM($M74:Q74)))</f>
        <v>0</v>
      </c>
      <c r="S74" s="36">
        <f>MIN(K74-MIN(K$26,K74),MAX(0,$C74-SUM($M74:R74)))</f>
        <v>0</v>
      </c>
      <c r="T74" s="36">
        <f>MIN(L74-MIN(L$26,L74),MAX(0,$C74-SUM($M74:S74)))</f>
        <v>0</v>
      </c>
      <c r="U74" s="36">
        <f>IF(E74-MIN(E$26,E74)-M74&lt;0.005,0,E74-MIN(E$26,E74)-M74)</f>
        <v>0</v>
      </c>
      <c r="V74" s="36">
        <f>IF(F74-MIN(F$26,F74)-N74&lt;0.005,0,F74-MIN(F$26,F74)-N74)</f>
        <v>0</v>
      </c>
      <c r="W74" s="36">
        <f>IF(G74-MIN(G$26,G74)-O74&lt;0.005,0,G74-MIN(G$26,G74)-O74)</f>
        <v>0</v>
      </c>
      <c r="X74" s="36">
        <f>IF(H74-MIN(H$26,H74)-P74&lt;0.005,0,H74-MIN(H$26,H74)-P74)</f>
        <v>0</v>
      </c>
      <c r="Y74" s="36">
        <f>IF(I74-MIN(I$26,I74)-Q74&lt;0.005,0,I74-MIN(I$26,I74)-Q74)</f>
        <v>0</v>
      </c>
      <c r="Z74" s="36">
        <f>IF(J74-MIN(J$26,J74)-R74&lt;0.005,0,J74-MIN(J$26,J74)-R74)</f>
        <v>0</v>
      </c>
      <c r="AA74" s="36">
        <f>IF(K74-MIN(K$26,K74)-S74&lt;0.005,0,K74-MIN(K$26,K74)-S74)</f>
        <v>0</v>
      </c>
      <c r="AB74" s="36">
        <f>IF(L74-MIN(L$26,L74)-T74&lt;0.005,0,L74-MIN(L$26,L74)-T74)</f>
        <v>0</v>
      </c>
      <c r="AC74" s="36">
        <f>SUM(U74:AB74)</f>
        <v>0</v>
      </c>
      <c r="AD74" s="36">
        <f>D74+SUM(M74:T74)</f>
        <v>0</v>
      </c>
      <c r="AG74" s="40" t="n">
        <v>66</v>
      </c>
      <c r="AH74" s="36">
        <f>AC96</f>
        <v>0</v>
      </c>
      <c r="AI74" s="36">
        <f>AC230</f>
        <v>0</v>
      </c>
      <c r="AJ74" s="36">
        <f>AC364</f>
        <v>0</v>
      </c>
    </row>
    <row r="75">
      <c r="B75" s="40" t="n">
        <v>45</v>
      </c>
      <c r="C75" s="36" t="n">
        <v>0</v>
      </c>
      <c r="D75" s="36">
        <f>MIN(E$26,E75)+MIN(F$26,F75)+MIN(G$26,G75)+MIN(H$26,H75)+MIN(I$26,I75)+MIN(J$26,J75)+MIN(K$26,K75)+MIN(L$26,L75)</f>
        <v>0</v>
      </c>
      <c r="E75" s="36">
        <f>U74*(1+E$25)</f>
        <v>0</v>
      </c>
      <c r="F75" s="36">
        <f>V74*(1+F$25)</f>
        <v>0</v>
      </c>
      <c r="G75" s="36">
        <f>W74*(1+G$25)</f>
        <v>0</v>
      </c>
      <c r="H75" s="36">
        <f>X74*(1+H$25)</f>
        <v>0</v>
      </c>
      <c r="I75" s="36">
        <f>Y74*(1+I$25)</f>
        <v>0</v>
      </c>
      <c r="J75" s="36">
        <f>Z74*(1+J$25)</f>
        <v>0</v>
      </c>
      <c r="K75" s="36">
        <f>AA74*(1+K$25)</f>
        <v>0</v>
      </c>
      <c r="L75" s="36">
        <f>AB74*(1+L$25)</f>
        <v>0</v>
      </c>
      <c r="M75" s="36">
        <f>MIN(E75-MIN(E$26,E75),MAX(0,$C75-0))</f>
        <v>0</v>
      </c>
      <c r="N75" s="36">
        <f>MIN(F75-MIN(F$26,F75),MAX(0,$C75-SUM($M75:M75)))</f>
        <v>0</v>
      </c>
      <c r="O75" s="36">
        <f>MIN(G75-MIN(G$26,G75),MAX(0,$C75-SUM($M75:N75)))</f>
        <v>0</v>
      </c>
      <c r="P75" s="36">
        <f>MIN(H75-MIN(H$26,H75),MAX(0,$C75-SUM($M75:O75)))</f>
        <v>0</v>
      </c>
      <c r="Q75" s="36">
        <f>MIN(I75-MIN(I$26,I75),MAX(0,$C75-SUM($M75:P75)))</f>
        <v>0</v>
      </c>
      <c r="R75" s="36">
        <f>MIN(J75-MIN(J$26,J75),MAX(0,$C75-SUM($M75:Q75)))</f>
        <v>0</v>
      </c>
      <c r="S75" s="36">
        <f>MIN(K75-MIN(K$26,K75),MAX(0,$C75-SUM($M75:R75)))</f>
        <v>0</v>
      </c>
      <c r="T75" s="36">
        <f>MIN(L75-MIN(L$26,L75),MAX(0,$C75-SUM($M75:S75)))</f>
        <v>0</v>
      </c>
      <c r="U75" s="36">
        <f>IF(E75-MIN(E$26,E75)-M75&lt;0.005,0,E75-MIN(E$26,E75)-M75)</f>
        <v>0</v>
      </c>
      <c r="V75" s="36">
        <f>IF(F75-MIN(F$26,F75)-N75&lt;0.005,0,F75-MIN(F$26,F75)-N75)</f>
        <v>0</v>
      </c>
      <c r="W75" s="36">
        <f>IF(G75-MIN(G$26,G75)-O75&lt;0.005,0,G75-MIN(G$26,G75)-O75)</f>
        <v>0</v>
      </c>
      <c r="X75" s="36">
        <f>IF(H75-MIN(H$26,H75)-P75&lt;0.005,0,H75-MIN(H$26,H75)-P75)</f>
        <v>0</v>
      </c>
      <c r="Y75" s="36">
        <f>IF(I75-MIN(I$26,I75)-Q75&lt;0.005,0,I75-MIN(I$26,I75)-Q75)</f>
        <v>0</v>
      </c>
      <c r="Z75" s="36">
        <f>IF(J75-MIN(J$26,J75)-R75&lt;0.005,0,J75-MIN(J$26,J75)-R75)</f>
        <v>0</v>
      </c>
      <c r="AA75" s="36">
        <f>IF(K75-MIN(K$26,K75)-S75&lt;0.005,0,K75-MIN(K$26,K75)-S75)</f>
        <v>0</v>
      </c>
      <c r="AB75" s="36">
        <f>IF(L75-MIN(L$26,L75)-T75&lt;0.005,0,L75-MIN(L$26,L75)-T75)</f>
        <v>0</v>
      </c>
      <c r="AC75" s="36">
        <f>SUM(U75:AB75)</f>
        <v>0</v>
      </c>
      <c r="AD75" s="36">
        <f>D75+SUM(M75:T75)</f>
        <v>0</v>
      </c>
      <c r="AG75" s="40" t="n">
        <v>67</v>
      </c>
      <c r="AH75" s="36">
        <f>AC97</f>
        <v>0</v>
      </c>
      <c r="AI75" s="36">
        <f>AC231</f>
        <v>0</v>
      </c>
      <c r="AJ75" s="36">
        <f>AC365</f>
        <v>0</v>
      </c>
    </row>
    <row r="76">
      <c r="B76" s="40" t="n">
        <v>46</v>
      </c>
      <c r="C76" s="36" t="n">
        <v>0</v>
      </c>
      <c r="D76" s="36">
        <f>MIN(E$26,E76)+MIN(F$26,F76)+MIN(G$26,G76)+MIN(H$26,H76)+MIN(I$26,I76)+MIN(J$26,J76)+MIN(K$26,K76)+MIN(L$26,L76)</f>
        <v>0</v>
      </c>
      <c r="E76" s="36">
        <f>U75*(1+E$25)</f>
        <v>0</v>
      </c>
      <c r="F76" s="36">
        <f>V75*(1+F$25)</f>
        <v>0</v>
      </c>
      <c r="G76" s="36">
        <f>W75*(1+G$25)</f>
        <v>0</v>
      </c>
      <c r="H76" s="36">
        <f>X75*(1+H$25)</f>
        <v>0</v>
      </c>
      <c r="I76" s="36">
        <f>Y75*(1+I$25)</f>
        <v>0</v>
      </c>
      <c r="J76" s="36">
        <f>Z75*(1+J$25)</f>
        <v>0</v>
      </c>
      <c r="K76" s="36">
        <f>AA75*(1+K$25)</f>
        <v>0</v>
      </c>
      <c r="L76" s="36">
        <f>AB75*(1+L$25)</f>
        <v>0</v>
      </c>
      <c r="M76" s="36">
        <f>MIN(E76-MIN(E$26,E76),MAX(0,$C76-0))</f>
        <v>0</v>
      </c>
      <c r="N76" s="36">
        <f>MIN(F76-MIN(F$26,F76),MAX(0,$C76-SUM($M76:M76)))</f>
        <v>0</v>
      </c>
      <c r="O76" s="36">
        <f>MIN(G76-MIN(G$26,G76),MAX(0,$C76-SUM($M76:N76)))</f>
        <v>0</v>
      </c>
      <c r="P76" s="36">
        <f>MIN(H76-MIN(H$26,H76),MAX(0,$C76-SUM($M76:O76)))</f>
        <v>0</v>
      </c>
      <c r="Q76" s="36">
        <f>MIN(I76-MIN(I$26,I76),MAX(0,$C76-SUM($M76:P76)))</f>
        <v>0</v>
      </c>
      <c r="R76" s="36">
        <f>MIN(J76-MIN(J$26,J76),MAX(0,$C76-SUM($M76:Q76)))</f>
        <v>0</v>
      </c>
      <c r="S76" s="36">
        <f>MIN(K76-MIN(K$26,K76),MAX(0,$C76-SUM($M76:R76)))</f>
        <v>0</v>
      </c>
      <c r="T76" s="36">
        <f>MIN(L76-MIN(L$26,L76),MAX(0,$C76-SUM($M76:S76)))</f>
        <v>0</v>
      </c>
      <c r="U76" s="36">
        <f>IF(E76-MIN(E$26,E76)-M76&lt;0.005,0,E76-MIN(E$26,E76)-M76)</f>
        <v>0</v>
      </c>
      <c r="V76" s="36">
        <f>IF(F76-MIN(F$26,F76)-N76&lt;0.005,0,F76-MIN(F$26,F76)-N76)</f>
        <v>0</v>
      </c>
      <c r="W76" s="36">
        <f>IF(G76-MIN(G$26,G76)-O76&lt;0.005,0,G76-MIN(G$26,G76)-O76)</f>
        <v>0</v>
      </c>
      <c r="X76" s="36">
        <f>IF(H76-MIN(H$26,H76)-P76&lt;0.005,0,H76-MIN(H$26,H76)-P76)</f>
        <v>0</v>
      </c>
      <c r="Y76" s="36">
        <f>IF(I76-MIN(I$26,I76)-Q76&lt;0.005,0,I76-MIN(I$26,I76)-Q76)</f>
        <v>0</v>
      </c>
      <c r="Z76" s="36">
        <f>IF(J76-MIN(J$26,J76)-R76&lt;0.005,0,J76-MIN(J$26,J76)-R76)</f>
        <v>0</v>
      </c>
      <c r="AA76" s="36">
        <f>IF(K76-MIN(K$26,K76)-S76&lt;0.005,0,K76-MIN(K$26,K76)-S76)</f>
        <v>0</v>
      </c>
      <c r="AB76" s="36">
        <f>IF(L76-MIN(L$26,L76)-T76&lt;0.005,0,L76-MIN(L$26,L76)-T76)</f>
        <v>0</v>
      </c>
      <c r="AC76" s="36">
        <f>SUM(U76:AB76)</f>
        <v>0</v>
      </c>
      <c r="AD76" s="36">
        <f>D76+SUM(M76:T76)</f>
        <v>0</v>
      </c>
      <c r="AG76" s="40" t="n">
        <v>68</v>
      </c>
      <c r="AH76" s="36">
        <f>AC98</f>
        <v>0</v>
      </c>
      <c r="AI76" s="36">
        <f>AC232</f>
        <v>0</v>
      </c>
      <c r="AJ76" s="36">
        <f>AC366</f>
        <v>0</v>
      </c>
    </row>
    <row r="77">
      <c r="B77" s="40" t="n">
        <v>47</v>
      </c>
      <c r="C77" s="36" t="n">
        <v>0</v>
      </c>
      <c r="D77" s="36">
        <f>MIN(E$26,E77)+MIN(F$26,F77)+MIN(G$26,G77)+MIN(H$26,H77)+MIN(I$26,I77)+MIN(J$26,J77)+MIN(K$26,K77)+MIN(L$26,L77)</f>
        <v>0</v>
      </c>
      <c r="E77" s="36">
        <f>U76*(1+E$25)</f>
        <v>0</v>
      </c>
      <c r="F77" s="36">
        <f>V76*(1+F$25)</f>
        <v>0</v>
      </c>
      <c r="G77" s="36">
        <f>W76*(1+G$25)</f>
        <v>0</v>
      </c>
      <c r="H77" s="36">
        <f>X76*(1+H$25)</f>
        <v>0</v>
      </c>
      <c r="I77" s="36">
        <f>Y76*(1+I$25)</f>
        <v>0</v>
      </c>
      <c r="J77" s="36">
        <f>Z76*(1+J$25)</f>
        <v>0</v>
      </c>
      <c r="K77" s="36">
        <f>AA76*(1+K$25)</f>
        <v>0</v>
      </c>
      <c r="L77" s="36">
        <f>AB76*(1+L$25)</f>
        <v>0</v>
      </c>
      <c r="M77" s="36">
        <f>MIN(E77-MIN(E$26,E77),MAX(0,$C77-0))</f>
        <v>0</v>
      </c>
      <c r="N77" s="36">
        <f>MIN(F77-MIN(F$26,F77),MAX(0,$C77-SUM($M77:M77)))</f>
        <v>0</v>
      </c>
      <c r="O77" s="36">
        <f>MIN(G77-MIN(G$26,G77),MAX(0,$C77-SUM($M77:N77)))</f>
        <v>0</v>
      </c>
      <c r="P77" s="36">
        <f>MIN(H77-MIN(H$26,H77),MAX(0,$C77-SUM($M77:O77)))</f>
        <v>0</v>
      </c>
      <c r="Q77" s="36">
        <f>MIN(I77-MIN(I$26,I77),MAX(0,$C77-SUM($M77:P77)))</f>
        <v>0</v>
      </c>
      <c r="R77" s="36">
        <f>MIN(J77-MIN(J$26,J77),MAX(0,$C77-SUM($M77:Q77)))</f>
        <v>0</v>
      </c>
      <c r="S77" s="36">
        <f>MIN(K77-MIN(K$26,K77),MAX(0,$C77-SUM($M77:R77)))</f>
        <v>0</v>
      </c>
      <c r="T77" s="36">
        <f>MIN(L77-MIN(L$26,L77),MAX(0,$C77-SUM($M77:S77)))</f>
        <v>0</v>
      </c>
      <c r="U77" s="36">
        <f>IF(E77-MIN(E$26,E77)-M77&lt;0.005,0,E77-MIN(E$26,E77)-M77)</f>
        <v>0</v>
      </c>
      <c r="V77" s="36">
        <f>IF(F77-MIN(F$26,F77)-N77&lt;0.005,0,F77-MIN(F$26,F77)-N77)</f>
        <v>0</v>
      </c>
      <c r="W77" s="36">
        <f>IF(G77-MIN(G$26,G77)-O77&lt;0.005,0,G77-MIN(G$26,G77)-O77)</f>
        <v>0</v>
      </c>
      <c r="X77" s="36">
        <f>IF(H77-MIN(H$26,H77)-P77&lt;0.005,0,H77-MIN(H$26,H77)-P77)</f>
        <v>0</v>
      </c>
      <c r="Y77" s="36">
        <f>IF(I77-MIN(I$26,I77)-Q77&lt;0.005,0,I77-MIN(I$26,I77)-Q77)</f>
        <v>0</v>
      </c>
      <c r="Z77" s="36">
        <f>IF(J77-MIN(J$26,J77)-R77&lt;0.005,0,J77-MIN(J$26,J77)-R77)</f>
        <v>0</v>
      </c>
      <c r="AA77" s="36">
        <f>IF(K77-MIN(K$26,K77)-S77&lt;0.005,0,K77-MIN(K$26,K77)-S77)</f>
        <v>0</v>
      </c>
      <c r="AB77" s="36">
        <f>IF(L77-MIN(L$26,L77)-T77&lt;0.005,0,L77-MIN(L$26,L77)-T77)</f>
        <v>0</v>
      </c>
      <c r="AC77" s="36">
        <f>SUM(U77:AB77)</f>
        <v>0</v>
      </c>
      <c r="AD77" s="36">
        <f>D77+SUM(M77:T77)</f>
        <v>0</v>
      </c>
      <c r="AG77" s="40" t="n">
        <v>69</v>
      </c>
      <c r="AH77" s="36">
        <f>AC99</f>
        <v>0</v>
      </c>
      <c r="AI77" s="36">
        <f>AC233</f>
        <v>0</v>
      </c>
      <c r="AJ77" s="36">
        <f>AC367</f>
        <v>0</v>
      </c>
    </row>
    <row r="78">
      <c r="B78" s="40" t="n">
        <v>48</v>
      </c>
      <c r="C78" s="36" t="n">
        <v>0</v>
      </c>
      <c r="D78" s="36">
        <f>MIN(E$26,E78)+MIN(F$26,F78)+MIN(G$26,G78)+MIN(H$26,H78)+MIN(I$26,I78)+MIN(J$26,J78)+MIN(K$26,K78)+MIN(L$26,L78)</f>
        <v>0</v>
      </c>
      <c r="E78" s="36">
        <f>U77*(1+E$25)</f>
        <v>0</v>
      </c>
      <c r="F78" s="36">
        <f>V77*(1+F$25)</f>
        <v>0</v>
      </c>
      <c r="G78" s="36">
        <f>W77*(1+G$25)</f>
        <v>0</v>
      </c>
      <c r="H78" s="36">
        <f>X77*(1+H$25)</f>
        <v>0</v>
      </c>
      <c r="I78" s="36">
        <f>Y77*(1+I$25)</f>
        <v>0</v>
      </c>
      <c r="J78" s="36">
        <f>Z77*(1+J$25)</f>
        <v>0</v>
      </c>
      <c r="K78" s="36">
        <f>AA77*(1+K$25)</f>
        <v>0</v>
      </c>
      <c r="L78" s="36">
        <f>AB77*(1+L$25)</f>
        <v>0</v>
      </c>
      <c r="M78" s="36">
        <f>MIN(E78-MIN(E$26,E78),MAX(0,$C78-0))</f>
        <v>0</v>
      </c>
      <c r="N78" s="36">
        <f>MIN(F78-MIN(F$26,F78),MAX(0,$C78-SUM($M78:M78)))</f>
        <v>0</v>
      </c>
      <c r="O78" s="36">
        <f>MIN(G78-MIN(G$26,G78),MAX(0,$C78-SUM($M78:N78)))</f>
        <v>0</v>
      </c>
      <c r="P78" s="36">
        <f>MIN(H78-MIN(H$26,H78),MAX(0,$C78-SUM($M78:O78)))</f>
        <v>0</v>
      </c>
      <c r="Q78" s="36">
        <f>MIN(I78-MIN(I$26,I78),MAX(0,$C78-SUM($M78:P78)))</f>
        <v>0</v>
      </c>
      <c r="R78" s="36">
        <f>MIN(J78-MIN(J$26,J78),MAX(0,$C78-SUM($M78:Q78)))</f>
        <v>0</v>
      </c>
      <c r="S78" s="36">
        <f>MIN(K78-MIN(K$26,K78),MAX(0,$C78-SUM($M78:R78)))</f>
        <v>0</v>
      </c>
      <c r="T78" s="36">
        <f>MIN(L78-MIN(L$26,L78),MAX(0,$C78-SUM($M78:S78)))</f>
        <v>0</v>
      </c>
      <c r="U78" s="36">
        <f>IF(E78-MIN(E$26,E78)-M78&lt;0.005,0,E78-MIN(E$26,E78)-M78)</f>
        <v>0</v>
      </c>
      <c r="V78" s="36">
        <f>IF(F78-MIN(F$26,F78)-N78&lt;0.005,0,F78-MIN(F$26,F78)-N78)</f>
        <v>0</v>
      </c>
      <c r="W78" s="36">
        <f>IF(G78-MIN(G$26,G78)-O78&lt;0.005,0,G78-MIN(G$26,G78)-O78)</f>
        <v>0</v>
      </c>
      <c r="X78" s="36">
        <f>IF(H78-MIN(H$26,H78)-P78&lt;0.005,0,H78-MIN(H$26,H78)-P78)</f>
        <v>0</v>
      </c>
      <c r="Y78" s="36">
        <f>IF(I78-MIN(I$26,I78)-Q78&lt;0.005,0,I78-MIN(I$26,I78)-Q78)</f>
        <v>0</v>
      </c>
      <c r="Z78" s="36">
        <f>IF(J78-MIN(J$26,J78)-R78&lt;0.005,0,J78-MIN(J$26,J78)-R78)</f>
        <v>0</v>
      </c>
      <c r="AA78" s="36">
        <f>IF(K78-MIN(K$26,K78)-S78&lt;0.005,0,K78-MIN(K$26,K78)-S78)</f>
        <v>0</v>
      </c>
      <c r="AB78" s="36">
        <f>IF(L78-MIN(L$26,L78)-T78&lt;0.005,0,L78-MIN(L$26,L78)-T78)</f>
        <v>0</v>
      </c>
      <c r="AC78" s="36">
        <f>SUM(U78:AB78)</f>
        <v>0</v>
      </c>
      <c r="AD78" s="36">
        <f>D78+SUM(M78:T78)</f>
        <v>0</v>
      </c>
      <c r="AG78" s="40" t="n">
        <v>70</v>
      </c>
      <c r="AH78" s="36">
        <f>AC100</f>
        <v>0</v>
      </c>
      <c r="AI78" s="36">
        <f>AC234</f>
        <v>0</v>
      </c>
      <c r="AJ78" s="36">
        <f>AC368</f>
        <v>0</v>
      </c>
    </row>
    <row r="79">
      <c r="B79" s="40" t="n">
        <v>49</v>
      </c>
      <c r="C79" s="36" t="n">
        <v>0</v>
      </c>
      <c r="D79" s="36">
        <f>MIN(E$26,E79)+MIN(F$26,F79)+MIN(G$26,G79)+MIN(H$26,H79)+MIN(I$26,I79)+MIN(J$26,J79)+MIN(K$26,K79)+MIN(L$26,L79)</f>
        <v>0</v>
      </c>
      <c r="E79" s="36">
        <f>U78*(1+E$25)</f>
        <v>0</v>
      </c>
      <c r="F79" s="36">
        <f>V78*(1+F$25)</f>
        <v>0</v>
      </c>
      <c r="G79" s="36">
        <f>W78*(1+G$25)</f>
        <v>0</v>
      </c>
      <c r="H79" s="36">
        <f>X78*(1+H$25)</f>
        <v>0</v>
      </c>
      <c r="I79" s="36">
        <f>Y78*(1+I$25)</f>
        <v>0</v>
      </c>
      <c r="J79" s="36">
        <f>Z78*(1+J$25)</f>
        <v>0</v>
      </c>
      <c r="K79" s="36">
        <f>AA78*(1+K$25)</f>
        <v>0</v>
      </c>
      <c r="L79" s="36">
        <f>AB78*(1+L$25)</f>
        <v>0</v>
      </c>
      <c r="M79" s="36">
        <f>MIN(E79-MIN(E$26,E79),MAX(0,$C79-0))</f>
        <v>0</v>
      </c>
      <c r="N79" s="36">
        <f>MIN(F79-MIN(F$26,F79),MAX(0,$C79-SUM($M79:M79)))</f>
        <v>0</v>
      </c>
      <c r="O79" s="36">
        <f>MIN(G79-MIN(G$26,G79),MAX(0,$C79-SUM($M79:N79)))</f>
        <v>0</v>
      </c>
      <c r="P79" s="36">
        <f>MIN(H79-MIN(H$26,H79),MAX(0,$C79-SUM($M79:O79)))</f>
        <v>0</v>
      </c>
      <c r="Q79" s="36">
        <f>MIN(I79-MIN(I$26,I79),MAX(0,$C79-SUM($M79:P79)))</f>
        <v>0</v>
      </c>
      <c r="R79" s="36">
        <f>MIN(J79-MIN(J$26,J79),MAX(0,$C79-SUM($M79:Q79)))</f>
        <v>0</v>
      </c>
      <c r="S79" s="36">
        <f>MIN(K79-MIN(K$26,K79),MAX(0,$C79-SUM($M79:R79)))</f>
        <v>0</v>
      </c>
      <c r="T79" s="36">
        <f>MIN(L79-MIN(L$26,L79),MAX(0,$C79-SUM($M79:S79)))</f>
        <v>0</v>
      </c>
      <c r="U79" s="36">
        <f>IF(E79-MIN(E$26,E79)-M79&lt;0.005,0,E79-MIN(E$26,E79)-M79)</f>
        <v>0</v>
      </c>
      <c r="V79" s="36">
        <f>IF(F79-MIN(F$26,F79)-N79&lt;0.005,0,F79-MIN(F$26,F79)-N79)</f>
        <v>0</v>
      </c>
      <c r="W79" s="36">
        <f>IF(G79-MIN(G$26,G79)-O79&lt;0.005,0,G79-MIN(G$26,G79)-O79)</f>
        <v>0</v>
      </c>
      <c r="X79" s="36">
        <f>IF(H79-MIN(H$26,H79)-P79&lt;0.005,0,H79-MIN(H$26,H79)-P79)</f>
        <v>0</v>
      </c>
      <c r="Y79" s="36">
        <f>IF(I79-MIN(I$26,I79)-Q79&lt;0.005,0,I79-MIN(I$26,I79)-Q79)</f>
        <v>0</v>
      </c>
      <c r="Z79" s="36">
        <f>IF(J79-MIN(J$26,J79)-R79&lt;0.005,0,J79-MIN(J$26,J79)-R79)</f>
        <v>0</v>
      </c>
      <c r="AA79" s="36">
        <f>IF(K79-MIN(K$26,K79)-S79&lt;0.005,0,K79-MIN(K$26,K79)-S79)</f>
        <v>0</v>
      </c>
      <c r="AB79" s="36">
        <f>IF(L79-MIN(L$26,L79)-T79&lt;0.005,0,L79-MIN(L$26,L79)-T79)</f>
        <v>0</v>
      </c>
      <c r="AC79" s="36">
        <f>SUM(U79:AB79)</f>
        <v>0</v>
      </c>
      <c r="AD79" s="36">
        <f>D79+SUM(M79:T79)</f>
        <v>0</v>
      </c>
      <c r="AG79" s="40" t="n">
        <v>71</v>
      </c>
      <c r="AH79" s="36">
        <f>AC101</f>
        <v>0</v>
      </c>
      <c r="AI79" s="36">
        <f>AC235</f>
        <v>0</v>
      </c>
      <c r="AJ79" s="36">
        <f>AC369</f>
        <v>0</v>
      </c>
    </row>
    <row r="80">
      <c r="B80" s="40" t="n">
        <v>50</v>
      </c>
      <c r="C80" s="36" t="n">
        <v>0</v>
      </c>
      <c r="D80" s="36">
        <f>MIN(E$26,E80)+MIN(F$26,F80)+MIN(G$26,G80)+MIN(H$26,H80)+MIN(I$26,I80)+MIN(J$26,J80)+MIN(K$26,K80)+MIN(L$26,L80)</f>
        <v>0</v>
      </c>
      <c r="E80" s="36">
        <f>U79*(1+E$25)</f>
        <v>0</v>
      </c>
      <c r="F80" s="36">
        <f>V79*(1+F$25)</f>
        <v>0</v>
      </c>
      <c r="G80" s="36">
        <f>W79*(1+G$25)</f>
        <v>0</v>
      </c>
      <c r="H80" s="36">
        <f>X79*(1+H$25)</f>
        <v>0</v>
      </c>
      <c r="I80" s="36">
        <f>Y79*(1+I$25)</f>
        <v>0</v>
      </c>
      <c r="J80" s="36">
        <f>Z79*(1+J$25)</f>
        <v>0</v>
      </c>
      <c r="K80" s="36">
        <f>AA79*(1+K$25)</f>
        <v>0</v>
      </c>
      <c r="L80" s="36">
        <f>AB79*(1+L$25)</f>
        <v>0</v>
      </c>
      <c r="M80" s="36">
        <f>MIN(E80-MIN(E$26,E80),MAX(0,$C80-0))</f>
        <v>0</v>
      </c>
      <c r="N80" s="36">
        <f>MIN(F80-MIN(F$26,F80),MAX(0,$C80-SUM($M80:M80)))</f>
        <v>0</v>
      </c>
      <c r="O80" s="36">
        <f>MIN(G80-MIN(G$26,G80),MAX(0,$C80-SUM($M80:N80)))</f>
        <v>0</v>
      </c>
      <c r="P80" s="36">
        <f>MIN(H80-MIN(H$26,H80),MAX(0,$C80-SUM($M80:O80)))</f>
        <v>0</v>
      </c>
      <c r="Q80" s="36">
        <f>MIN(I80-MIN(I$26,I80),MAX(0,$C80-SUM($M80:P80)))</f>
        <v>0</v>
      </c>
      <c r="R80" s="36">
        <f>MIN(J80-MIN(J$26,J80),MAX(0,$C80-SUM($M80:Q80)))</f>
        <v>0</v>
      </c>
      <c r="S80" s="36">
        <f>MIN(K80-MIN(K$26,K80),MAX(0,$C80-SUM($M80:R80)))</f>
        <v>0</v>
      </c>
      <c r="T80" s="36">
        <f>MIN(L80-MIN(L$26,L80),MAX(0,$C80-SUM($M80:S80)))</f>
        <v>0</v>
      </c>
      <c r="U80" s="36">
        <f>IF(E80-MIN(E$26,E80)-M80&lt;0.005,0,E80-MIN(E$26,E80)-M80)</f>
        <v>0</v>
      </c>
      <c r="V80" s="36">
        <f>IF(F80-MIN(F$26,F80)-N80&lt;0.005,0,F80-MIN(F$26,F80)-N80)</f>
        <v>0</v>
      </c>
      <c r="W80" s="36">
        <f>IF(G80-MIN(G$26,G80)-O80&lt;0.005,0,G80-MIN(G$26,G80)-O80)</f>
        <v>0</v>
      </c>
      <c r="X80" s="36">
        <f>IF(H80-MIN(H$26,H80)-P80&lt;0.005,0,H80-MIN(H$26,H80)-P80)</f>
        <v>0</v>
      </c>
      <c r="Y80" s="36">
        <f>IF(I80-MIN(I$26,I80)-Q80&lt;0.005,0,I80-MIN(I$26,I80)-Q80)</f>
        <v>0</v>
      </c>
      <c r="Z80" s="36">
        <f>IF(J80-MIN(J$26,J80)-R80&lt;0.005,0,J80-MIN(J$26,J80)-R80)</f>
        <v>0</v>
      </c>
      <c r="AA80" s="36">
        <f>IF(K80-MIN(K$26,K80)-S80&lt;0.005,0,K80-MIN(K$26,K80)-S80)</f>
        <v>0</v>
      </c>
      <c r="AB80" s="36">
        <f>IF(L80-MIN(L$26,L80)-T80&lt;0.005,0,L80-MIN(L$26,L80)-T80)</f>
        <v>0</v>
      </c>
      <c r="AC80" s="36">
        <f>SUM(U80:AB80)</f>
        <v>0</v>
      </c>
      <c r="AD80" s="36">
        <f>D80+SUM(M80:T80)</f>
        <v>0</v>
      </c>
      <c r="AG80" s="40" t="n">
        <v>72</v>
      </c>
      <c r="AH80" s="36">
        <f>AC102</f>
        <v>0</v>
      </c>
      <c r="AI80" s="36">
        <f>AC236</f>
        <v>0</v>
      </c>
      <c r="AJ80" s="36">
        <f>AC370</f>
        <v>0</v>
      </c>
    </row>
    <row r="81">
      <c r="B81" s="40" t="n">
        <v>51</v>
      </c>
      <c r="C81" s="36" t="n">
        <v>0</v>
      </c>
      <c r="D81" s="36">
        <f>MIN(E$26,E81)+MIN(F$26,F81)+MIN(G$26,G81)+MIN(H$26,H81)+MIN(I$26,I81)+MIN(J$26,J81)+MIN(K$26,K81)+MIN(L$26,L81)</f>
        <v>0</v>
      </c>
      <c r="E81" s="36">
        <f>U80*(1+E$25)</f>
        <v>0</v>
      </c>
      <c r="F81" s="36">
        <f>V80*(1+F$25)</f>
        <v>0</v>
      </c>
      <c r="G81" s="36">
        <f>W80*(1+G$25)</f>
        <v>0</v>
      </c>
      <c r="H81" s="36">
        <f>X80*(1+H$25)</f>
        <v>0</v>
      </c>
      <c r="I81" s="36">
        <f>Y80*(1+I$25)</f>
        <v>0</v>
      </c>
      <c r="J81" s="36">
        <f>Z80*(1+J$25)</f>
        <v>0</v>
      </c>
      <c r="K81" s="36">
        <f>AA80*(1+K$25)</f>
        <v>0</v>
      </c>
      <c r="L81" s="36">
        <f>AB80*(1+L$25)</f>
        <v>0</v>
      </c>
      <c r="M81" s="36">
        <f>MIN(E81-MIN(E$26,E81),MAX(0,$C81-0))</f>
        <v>0</v>
      </c>
      <c r="N81" s="36">
        <f>MIN(F81-MIN(F$26,F81),MAX(0,$C81-SUM($M81:M81)))</f>
        <v>0</v>
      </c>
      <c r="O81" s="36">
        <f>MIN(G81-MIN(G$26,G81),MAX(0,$C81-SUM($M81:N81)))</f>
        <v>0</v>
      </c>
      <c r="P81" s="36">
        <f>MIN(H81-MIN(H$26,H81),MAX(0,$C81-SUM($M81:O81)))</f>
        <v>0</v>
      </c>
      <c r="Q81" s="36">
        <f>MIN(I81-MIN(I$26,I81),MAX(0,$C81-SUM($M81:P81)))</f>
        <v>0</v>
      </c>
      <c r="R81" s="36">
        <f>MIN(J81-MIN(J$26,J81),MAX(0,$C81-SUM($M81:Q81)))</f>
        <v>0</v>
      </c>
      <c r="S81" s="36">
        <f>MIN(K81-MIN(K$26,K81),MAX(0,$C81-SUM($M81:R81)))</f>
        <v>0</v>
      </c>
      <c r="T81" s="36">
        <f>MIN(L81-MIN(L$26,L81),MAX(0,$C81-SUM($M81:S81)))</f>
        <v>0</v>
      </c>
      <c r="U81" s="36">
        <f>IF(E81-MIN(E$26,E81)-M81&lt;0.005,0,E81-MIN(E$26,E81)-M81)</f>
        <v>0</v>
      </c>
      <c r="V81" s="36">
        <f>IF(F81-MIN(F$26,F81)-N81&lt;0.005,0,F81-MIN(F$26,F81)-N81)</f>
        <v>0</v>
      </c>
      <c r="W81" s="36">
        <f>IF(G81-MIN(G$26,G81)-O81&lt;0.005,0,G81-MIN(G$26,G81)-O81)</f>
        <v>0</v>
      </c>
      <c r="X81" s="36">
        <f>IF(H81-MIN(H$26,H81)-P81&lt;0.005,0,H81-MIN(H$26,H81)-P81)</f>
        <v>0</v>
      </c>
      <c r="Y81" s="36">
        <f>IF(I81-MIN(I$26,I81)-Q81&lt;0.005,0,I81-MIN(I$26,I81)-Q81)</f>
        <v>0</v>
      </c>
      <c r="Z81" s="36">
        <f>IF(J81-MIN(J$26,J81)-R81&lt;0.005,0,J81-MIN(J$26,J81)-R81)</f>
        <v>0</v>
      </c>
      <c r="AA81" s="36">
        <f>IF(K81-MIN(K$26,K81)-S81&lt;0.005,0,K81-MIN(K$26,K81)-S81)</f>
        <v>0</v>
      </c>
      <c r="AB81" s="36">
        <f>IF(L81-MIN(L$26,L81)-T81&lt;0.005,0,L81-MIN(L$26,L81)-T81)</f>
        <v>0</v>
      </c>
      <c r="AC81" s="36">
        <f>SUM(U81:AB81)</f>
        <v>0</v>
      </c>
      <c r="AD81" s="36">
        <f>D81+SUM(M81:T81)</f>
        <v>0</v>
      </c>
    </row>
    <row r="82">
      <c r="B82" s="40" t="n">
        <v>52</v>
      </c>
      <c r="C82" s="36" t="n">
        <v>0</v>
      </c>
      <c r="D82" s="36">
        <f>MIN(E$26,E82)+MIN(F$26,F82)+MIN(G$26,G82)+MIN(H$26,H82)+MIN(I$26,I82)+MIN(J$26,J82)+MIN(K$26,K82)+MIN(L$26,L82)</f>
        <v>0</v>
      </c>
      <c r="E82" s="36">
        <f>U81*(1+E$25)</f>
        <v>0</v>
      </c>
      <c r="F82" s="36">
        <f>V81*(1+F$25)</f>
        <v>0</v>
      </c>
      <c r="G82" s="36">
        <f>W81*(1+G$25)</f>
        <v>0</v>
      </c>
      <c r="H82" s="36">
        <f>X81*(1+H$25)</f>
        <v>0</v>
      </c>
      <c r="I82" s="36">
        <f>Y81*(1+I$25)</f>
        <v>0</v>
      </c>
      <c r="J82" s="36">
        <f>Z81*(1+J$25)</f>
        <v>0</v>
      </c>
      <c r="K82" s="36">
        <f>AA81*(1+K$25)</f>
        <v>0</v>
      </c>
      <c r="L82" s="36">
        <f>AB81*(1+L$25)</f>
        <v>0</v>
      </c>
      <c r="M82" s="36">
        <f>MIN(E82-MIN(E$26,E82),MAX(0,$C82-0))</f>
        <v>0</v>
      </c>
      <c r="N82" s="36">
        <f>MIN(F82-MIN(F$26,F82),MAX(0,$C82-SUM($M82:M82)))</f>
        <v>0</v>
      </c>
      <c r="O82" s="36">
        <f>MIN(G82-MIN(G$26,G82),MAX(0,$C82-SUM($M82:N82)))</f>
        <v>0</v>
      </c>
      <c r="P82" s="36">
        <f>MIN(H82-MIN(H$26,H82),MAX(0,$C82-SUM($M82:O82)))</f>
        <v>0</v>
      </c>
      <c r="Q82" s="36">
        <f>MIN(I82-MIN(I$26,I82),MAX(0,$C82-SUM($M82:P82)))</f>
        <v>0</v>
      </c>
      <c r="R82" s="36">
        <f>MIN(J82-MIN(J$26,J82),MAX(0,$C82-SUM($M82:Q82)))</f>
        <v>0</v>
      </c>
      <c r="S82" s="36">
        <f>MIN(K82-MIN(K$26,K82),MAX(0,$C82-SUM($M82:R82)))</f>
        <v>0</v>
      </c>
      <c r="T82" s="36">
        <f>MIN(L82-MIN(L$26,L82),MAX(0,$C82-SUM($M82:S82)))</f>
        <v>0</v>
      </c>
      <c r="U82" s="36">
        <f>IF(E82-MIN(E$26,E82)-M82&lt;0.005,0,E82-MIN(E$26,E82)-M82)</f>
        <v>0</v>
      </c>
      <c r="V82" s="36">
        <f>IF(F82-MIN(F$26,F82)-N82&lt;0.005,0,F82-MIN(F$26,F82)-N82)</f>
        <v>0</v>
      </c>
      <c r="W82" s="36">
        <f>IF(G82-MIN(G$26,G82)-O82&lt;0.005,0,G82-MIN(G$26,G82)-O82)</f>
        <v>0</v>
      </c>
      <c r="X82" s="36">
        <f>IF(H82-MIN(H$26,H82)-P82&lt;0.005,0,H82-MIN(H$26,H82)-P82)</f>
        <v>0</v>
      </c>
      <c r="Y82" s="36">
        <f>IF(I82-MIN(I$26,I82)-Q82&lt;0.005,0,I82-MIN(I$26,I82)-Q82)</f>
        <v>0</v>
      </c>
      <c r="Z82" s="36">
        <f>IF(J82-MIN(J$26,J82)-R82&lt;0.005,0,J82-MIN(J$26,J82)-R82)</f>
        <v>0</v>
      </c>
      <c r="AA82" s="36">
        <f>IF(K82-MIN(K$26,K82)-S82&lt;0.005,0,K82-MIN(K$26,K82)-S82)</f>
        <v>0</v>
      </c>
      <c r="AB82" s="36">
        <f>IF(L82-MIN(L$26,L82)-T82&lt;0.005,0,L82-MIN(L$26,L82)-T82)</f>
        <v>0</v>
      </c>
      <c r="AC82" s="36">
        <f>SUM(U82:AB82)</f>
        <v>0</v>
      </c>
      <c r="AD82" s="36">
        <f>D82+SUM(M82:T82)</f>
        <v>0</v>
      </c>
    </row>
    <row r="83">
      <c r="B83" s="40" t="n">
        <v>53</v>
      </c>
      <c r="C83" s="36" t="n">
        <v>0</v>
      </c>
      <c r="D83" s="36">
        <f>MIN(E$26,E83)+MIN(F$26,F83)+MIN(G$26,G83)+MIN(H$26,H83)+MIN(I$26,I83)+MIN(J$26,J83)+MIN(K$26,K83)+MIN(L$26,L83)</f>
        <v>0</v>
      </c>
      <c r="E83" s="36">
        <f>U82*(1+E$25)</f>
        <v>0</v>
      </c>
      <c r="F83" s="36">
        <f>V82*(1+F$25)</f>
        <v>0</v>
      </c>
      <c r="G83" s="36">
        <f>W82*(1+G$25)</f>
        <v>0</v>
      </c>
      <c r="H83" s="36">
        <f>X82*(1+H$25)</f>
        <v>0</v>
      </c>
      <c r="I83" s="36">
        <f>Y82*(1+I$25)</f>
        <v>0</v>
      </c>
      <c r="J83" s="36">
        <f>Z82*(1+J$25)</f>
        <v>0</v>
      </c>
      <c r="K83" s="36">
        <f>AA82*(1+K$25)</f>
        <v>0</v>
      </c>
      <c r="L83" s="36">
        <f>AB82*(1+L$25)</f>
        <v>0</v>
      </c>
      <c r="M83" s="36">
        <f>MIN(E83-MIN(E$26,E83),MAX(0,$C83-0))</f>
        <v>0</v>
      </c>
      <c r="N83" s="36">
        <f>MIN(F83-MIN(F$26,F83),MAX(0,$C83-SUM($M83:M83)))</f>
        <v>0</v>
      </c>
      <c r="O83" s="36">
        <f>MIN(G83-MIN(G$26,G83),MAX(0,$C83-SUM($M83:N83)))</f>
        <v>0</v>
      </c>
      <c r="P83" s="36">
        <f>MIN(H83-MIN(H$26,H83),MAX(0,$C83-SUM($M83:O83)))</f>
        <v>0</v>
      </c>
      <c r="Q83" s="36">
        <f>MIN(I83-MIN(I$26,I83),MAX(0,$C83-SUM($M83:P83)))</f>
        <v>0</v>
      </c>
      <c r="R83" s="36">
        <f>MIN(J83-MIN(J$26,J83),MAX(0,$C83-SUM($M83:Q83)))</f>
        <v>0</v>
      </c>
      <c r="S83" s="36">
        <f>MIN(K83-MIN(K$26,K83),MAX(0,$C83-SUM($M83:R83)))</f>
        <v>0</v>
      </c>
      <c r="T83" s="36">
        <f>MIN(L83-MIN(L$26,L83),MAX(0,$C83-SUM($M83:S83)))</f>
        <v>0</v>
      </c>
      <c r="U83" s="36">
        <f>IF(E83-MIN(E$26,E83)-M83&lt;0.005,0,E83-MIN(E$26,E83)-M83)</f>
        <v>0</v>
      </c>
      <c r="V83" s="36">
        <f>IF(F83-MIN(F$26,F83)-N83&lt;0.005,0,F83-MIN(F$26,F83)-N83)</f>
        <v>0</v>
      </c>
      <c r="W83" s="36">
        <f>IF(G83-MIN(G$26,G83)-O83&lt;0.005,0,G83-MIN(G$26,G83)-O83)</f>
        <v>0</v>
      </c>
      <c r="X83" s="36">
        <f>IF(H83-MIN(H$26,H83)-P83&lt;0.005,0,H83-MIN(H$26,H83)-P83)</f>
        <v>0</v>
      </c>
      <c r="Y83" s="36">
        <f>IF(I83-MIN(I$26,I83)-Q83&lt;0.005,0,I83-MIN(I$26,I83)-Q83)</f>
        <v>0</v>
      </c>
      <c r="Z83" s="36">
        <f>IF(J83-MIN(J$26,J83)-R83&lt;0.005,0,J83-MIN(J$26,J83)-R83)</f>
        <v>0</v>
      </c>
      <c r="AA83" s="36">
        <f>IF(K83-MIN(K$26,K83)-S83&lt;0.005,0,K83-MIN(K$26,K83)-S83)</f>
        <v>0</v>
      </c>
      <c r="AB83" s="36">
        <f>IF(L83-MIN(L$26,L83)-T83&lt;0.005,0,L83-MIN(L$26,L83)-T83)</f>
        <v>0</v>
      </c>
      <c r="AC83" s="36">
        <f>SUM(U83:AB83)</f>
        <v>0</v>
      </c>
      <c r="AD83" s="36">
        <f>D83+SUM(M83:T83)</f>
        <v>0</v>
      </c>
    </row>
    <row r="84">
      <c r="B84" s="40" t="n">
        <v>54</v>
      </c>
      <c r="C84" s="36" t="n">
        <v>0</v>
      </c>
      <c r="D84" s="36">
        <f>MIN(E$26,E84)+MIN(F$26,F84)+MIN(G$26,G84)+MIN(H$26,H84)+MIN(I$26,I84)+MIN(J$26,J84)+MIN(K$26,K84)+MIN(L$26,L84)</f>
        <v>0</v>
      </c>
      <c r="E84" s="36">
        <f>U83*(1+E$25)</f>
        <v>0</v>
      </c>
      <c r="F84" s="36">
        <f>V83*(1+F$25)</f>
        <v>0</v>
      </c>
      <c r="G84" s="36">
        <f>W83*(1+G$25)</f>
        <v>0</v>
      </c>
      <c r="H84" s="36">
        <f>X83*(1+H$25)</f>
        <v>0</v>
      </c>
      <c r="I84" s="36">
        <f>Y83*(1+I$25)</f>
        <v>0</v>
      </c>
      <c r="J84" s="36">
        <f>Z83*(1+J$25)</f>
        <v>0</v>
      </c>
      <c r="K84" s="36">
        <f>AA83*(1+K$25)</f>
        <v>0</v>
      </c>
      <c r="L84" s="36">
        <f>AB83*(1+L$25)</f>
        <v>0</v>
      </c>
      <c r="M84" s="36">
        <f>MIN(E84-MIN(E$26,E84),MAX(0,$C84-0))</f>
        <v>0</v>
      </c>
      <c r="N84" s="36">
        <f>MIN(F84-MIN(F$26,F84),MAX(0,$C84-SUM($M84:M84)))</f>
        <v>0</v>
      </c>
      <c r="O84" s="36">
        <f>MIN(G84-MIN(G$26,G84),MAX(0,$C84-SUM($M84:N84)))</f>
        <v>0</v>
      </c>
      <c r="P84" s="36">
        <f>MIN(H84-MIN(H$26,H84),MAX(0,$C84-SUM($M84:O84)))</f>
        <v>0</v>
      </c>
      <c r="Q84" s="36">
        <f>MIN(I84-MIN(I$26,I84),MAX(0,$C84-SUM($M84:P84)))</f>
        <v>0</v>
      </c>
      <c r="R84" s="36">
        <f>MIN(J84-MIN(J$26,J84),MAX(0,$C84-SUM($M84:Q84)))</f>
        <v>0</v>
      </c>
      <c r="S84" s="36">
        <f>MIN(K84-MIN(K$26,K84),MAX(0,$C84-SUM($M84:R84)))</f>
        <v>0</v>
      </c>
      <c r="T84" s="36">
        <f>MIN(L84-MIN(L$26,L84),MAX(0,$C84-SUM($M84:S84)))</f>
        <v>0</v>
      </c>
      <c r="U84" s="36">
        <f>IF(E84-MIN(E$26,E84)-M84&lt;0.005,0,E84-MIN(E$26,E84)-M84)</f>
        <v>0</v>
      </c>
      <c r="V84" s="36">
        <f>IF(F84-MIN(F$26,F84)-N84&lt;0.005,0,F84-MIN(F$26,F84)-N84)</f>
        <v>0</v>
      </c>
      <c r="W84" s="36">
        <f>IF(G84-MIN(G$26,G84)-O84&lt;0.005,0,G84-MIN(G$26,G84)-O84)</f>
        <v>0</v>
      </c>
      <c r="X84" s="36">
        <f>IF(H84-MIN(H$26,H84)-P84&lt;0.005,0,H84-MIN(H$26,H84)-P84)</f>
        <v>0</v>
      </c>
      <c r="Y84" s="36">
        <f>IF(I84-MIN(I$26,I84)-Q84&lt;0.005,0,I84-MIN(I$26,I84)-Q84)</f>
        <v>0</v>
      </c>
      <c r="Z84" s="36">
        <f>IF(J84-MIN(J$26,J84)-R84&lt;0.005,0,J84-MIN(J$26,J84)-R84)</f>
        <v>0</v>
      </c>
      <c r="AA84" s="36">
        <f>IF(K84-MIN(K$26,K84)-S84&lt;0.005,0,K84-MIN(K$26,K84)-S84)</f>
        <v>0</v>
      </c>
      <c r="AB84" s="36">
        <f>IF(L84-MIN(L$26,L84)-T84&lt;0.005,0,L84-MIN(L$26,L84)-T84)</f>
        <v>0</v>
      </c>
      <c r="AC84" s="36">
        <f>SUM(U84:AB84)</f>
        <v>0</v>
      </c>
      <c r="AD84" s="36">
        <f>D84+SUM(M84:T84)</f>
        <v>0</v>
      </c>
    </row>
    <row r="85">
      <c r="B85" s="40" t="n">
        <v>55</v>
      </c>
      <c r="C85" s="36" t="n">
        <v>0</v>
      </c>
      <c r="D85" s="36">
        <f>MIN(E$26,E85)+MIN(F$26,F85)+MIN(G$26,G85)+MIN(H$26,H85)+MIN(I$26,I85)+MIN(J$26,J85)+MIN(K$26,K85)+MIN(L$26,L85)</f>
        <v>0</v>
      </c>
      <c r="E85" s="36">
        <f>U84*(1+E$25)</f>
        <v>0</v>
      </c>
      <c r="F85" s="36">
        <f>V84*(1+F$25)</f>
        <v>0</v>
      </c>
      <c r="G85" s="36">
        <f>W84*(1+G$25)</f>
        <v>0</v>
      </c>
      <c r="H85" s="36">
        <f>X84*(1+H$25)</f>
        <v>0</v>
      </c>
      <c r="I85" s="36">
        <f>Y84*(1+I$25)</f>
        <v>0</v>
      </c>
      <c r="J85" s="36">
        <f>Z84*(1+J$25)</f>
        <v>0</v>
      </c>
      <c r="K85" s="36">
        <f>AA84*(1+K$25)</f>
        <v>0</v>
      </c>
      <c r="L85" s="36">
        <f>AB84*(1+L$25)</f>
        <v>0</v>
      </c>
      <c r="M85" s="36">
        <f>MIN(E85-MIN(E$26,E85),MAX(0,$C85-0))</f>
        <v>0</v>
      </c>
      <c r="N85" s="36">
        <f>MIN(F85-MIN(F$26,F85),MAX(0,$C85-SUM($M85:M85)))</f>
        <v>0</v>
      </c>
      <c r="O85" s="36">
        <f>MIN(G85-MIN(G$26,G85),MAX(0,$C85-SUM($M85:N85)))</f>
        <v>0</v>
      </c>
      <c r="P85" s="36">
        <f>MIN(H85-MIN(H$26,H85),MAX(0,$C85-SUM($M85:O85)))</f>
        <v>0</v>
      </c>
      <c r="Q85" s="36">
        <f>MIN(I85-MIN(I$26,I85),MAX(0,$C85-SUM($M85:P85)))</f>
        <v>0</v>
      </c>
      <c r="R85" s="36">
        <f>MIN(J85-MIN(J$26,J85),MAX(0,$C85-SUM($M85:Q85)))</f>
        <v>0</v>
      </c>
      <c r="S85" s="36">
        <f>MIN(K85-MIN(K$26,K85),MAX(0,$C85-SUM($M85:R85)))</f>
        <v>0</v>
      </c>
      <c r="T85" s="36">
        <f>MIN(L85-MIN(L$26,L85),MAX(0,$C85-SUM($M85:S85)))</f>
        <v>0</v>
      </c>
      <c r="U85" s="36">
        <f>IF(E85-MIN(E$26,E85)-M85&lt;0.005,0,E85-MIN(E$26,E85)-M85)</f>
        <v>0</v>
      </c>
      <c r="V85" s="36">
        <f>IF(F85-MIN(F$26,F85)-N85&lt;0.005,0,F85-MIN(F$26,F85)-N85)</f>
        <v>0</v>
      </c>
      <c r="W85" s="36">
        <f>IF(G85-MIN(G$26,G85)-O85&lt;0.005,0,G85-MIN(G$26,G85)-O85)</f>
        <v>0</v>
      </c>
      <c r="X85" s="36">
        <f>IF(H85-MIN(H$26,H85)-P85&lt;0.005,0,H85-MIN(H$26,H85)-P85)</f>
        <v>0</v>
      </c>
      <c r="Y85" s="36">
        <f>IF(I85-MIN(I$26,I85)-Q85&lt;0.005,0,I85-MIN(I$26,I85)-Q85)</f>
        <v>0</v>
      </c>
      <c r="Z85" s="36">
        <f>IF(J85-MIN(J$26,J85)-R85&lt;0.005,0,J85-MIN(J$26,J85)-R85)</f>
        <v>0</v>
      </c>
      <c r="AA85" s="36">
        <f>IF(K85-MIN(K$26,K85)-S85&lt;0.005,0,K85-MIN(K$26,K85)-S85)</f>
        <v>0</v>
      </c>
      <c r="AB85" s="36">
        <f>IF(L85-MIN(L$26,L85)-T85&lt;0.005,0,L85-MIN(L$26,L85)-T85)</f>
        <v>0</v>
      </c>
      <c r="AC85" s="36">
        <f>SUM(U85:AB85)</f>
        <v>0</v>
      </c>
      <c r="AD85" s="36">
        <f>D85+SUM(M85:T85)</f>
        <v>0</v>
      </c>
    </row>
    <row r="86">
      <c r="B86" s="40" t="n">
        <v>56</v>
      </c>
      <c r="C86" s="36" t="n">
        <v>0</v>
      </c>
      <c r="D86" s="36">
        <f>MIN(E$26,E86)+MIN(F$26,F86)+MIN(G$26,G86)+MIN(H$26,H86)+MIN(I$26,I86)+MIN(J$26,J86)+MIN(K$26,K86)+MIN(L$26,L86)</f>
        <v>0</v>
      </c>
      <c r="E86" s="36">
        <f>U85*(1+E$25)</f>
        <v>0</v>
      </c>
      <c r="F86" s="36">
        <f>V85*(1+F$25)</f>
        <v>0</v>
      </c>
      <c r="G86" s="36">
        <f>W85*(1+G$25)</f>
        <v>0</v>
      </c>
      <c r="H86" s="36">
        <f>X85*(1+H$25)</f>
        <v>0</v>
      </c>
      <c r="I86" s="36">
        <f>Y85*(1+I$25)</f>
        <v>0</v>
      </c>
      <c r="J86" s="36">
        <f>Z85*(1+J$25)</f>
        <v>0</v>
      </c>
      <c r="K86" s="36">
        <f>AA85*(1+K$25)</f>
        <v>0</v>
      </c>
      <c r="L86" s="36">
        <f>AB85*(1+L$25)</f>
        <v>0</v>
      </c>
      <c r="M86" s="36">
        <f>MIN(E86-MIN(E$26,E86),MAX(0,$C86-0))</f>
        <v>0</v>
      </c>
      <c r="N86" s="36">
        <f>MIN(F86-MIN(F$26,F86),MAX(0,$C86-SUM($M86:M86)))</f>
        <v>0</v>
      </c>
      <c r="O86" s="36">
        <f>MIN(G86-MIN(G$26,G86),MAX(0,$C86-SUM($M86:N86)))</f>
        <v>0</v>
      </c>
      <c r="P86" s="36">
        <f>MIN(H86-MIN(H$26,H86),MAX(0,$C86-SUM($M86:O86)))</f>
        <v>0</v>
      </c>
      <c r="Q86" s="36">
        <f>MIN(I86-MIN(I$26,I86),MAX(0,$C86-SUM($M86:P86)))</f>
        <v>0</v>
      </c>
      <c r="R86" s="36">
        <f>MIN(J86-MIN(J$26,J86),MAX(0,$C86-SUM($M86:Q86)))</f>
        <v>0</v>
      </c>
      <c r="S86" s="36">
        <f>MIN(K86-MIN(K$26,K86),MAX(0,$C86-SUM($M86:R86)))</f>
        <v>0</v>
      </c>
      <c r="T86" s="36">
        <f>MIN(L86-MIN(L$26,L86),MAX(0,$C86-SUM($M86:S86)))</f>
        <v>0</v>
      </c>
      <c r="U86" s="36">
        <f>IF(E86-MIN(E$26,E86)-M86&lt;0.005,0,E86-MIN(E$26,E86)-M86)</f>
        <v>0</v>
      </c>
      <c r="V86" s="36">
        <f>IF(F86-MIN(F$26,F86)-N86&lt;0.005,0,F86-MIN(F$26,F86)-N86)</f>
        <v>0</v>
      </c>
      <c r="W86" s="36">
        <f>IF(G86-MIN(G$26,G86)-O86&lt;0.005,0,G86-MIN(G$26,G86)-O86)</f>
        <v>0</v>
      </c>
      <c r="X86" s="36">
        <f>IF(H86-MIN(H$26,H86)-P86&lt;0.005,0,H86-MIN(H$26,H86)-P86)</f>
        <v>0</v>
      </c>
      <c r="Y86" s="36">
        <f>IF(I86-MIN(I$26,I86)-Q86&lt;0.005,0,I86-MIN(I$26,I86)-Q86)</f>
        <v>0</v>
      </c>
      <c r="Z86" s="36">
        <f>IF(J86-MIN(J$26,J86)-R86&lt;0.005,0,J86-MIN(J$26,J86)-R86)</f>
        <v>0</v>
      </c>
      <c r="AA86" s="36">
        <f>IF(K86-MIN(K$26,K86)-S86&lt;0.005,0,K86-MIN(K$26,K86)-S86)</f>
        <v>0</v>
      </c>
      <c r="AB86" s="36">
        <f>IF(L86-MIN(L$26,L86)-T86&lt;0.005,0,L86-MIN(L$26,L86)-T86)</f>
        <v>0</v>
      </c>
      <c r="AC86" s="36">
        <f>SUM(U86:AB86)</f>
        <v>0</v>
      </c>
      <c r="AD86" s="36">
        <f>D86+SUM(M86:T86)</f>
        <v>0</v>
      </c>
    </row>
    <row r="87">
      <c r="B87" s="40" t="n">
        <v>57</v>
      </c>
      <c r="C87" s="36" t="n">
        <v>0</v>
      </c>
      <c r="D87" s="36">
        <f>MIN(E$26,E87)+MIN(F$26,F87)+MIN(G$26,G87)+MIN(H$26,H87)+MIN(I$26,I87)+MIN(J$26,J87)+MIN(K$26,K87)+MIN(L$26,L87)</f>
        <v>0</v>
      </c>
      <c r="E87" s="36">
        <f>U86*(1+E$25)</f>
        <v>0</v>
      </c>
      <c r="F87" s="36">
        <f>V86*(1+F$25)</f>
        <v>0</v>
      </c>
      <c r="G87" s="36">
        <f>W86*(1+G$25)</f>
        <v>0</v>
      </c>
      <c r="H87" s="36">
        <f>X86*(1+H$25)</f>
        <v>0</v>
      </c>
      <c r="I87" s="36">
        <f>Y86*(1+I$25)</f>
        <v>0</v>
      </c>
      <c r="J87" s="36">
        <f>Z86*(1+J$25)</f>
        <v>0</v>
      </c>
      <c r="K87" s="36">
        <f>AA86*(1+K$25)</f>
        <v>0</v>
      </c>
      <c r="L87" s="36">
        <f>AB86*(1+L$25)</f>
        <v>0</v>
      </c>
      <c r="M87" s="36">
        <f>MIN(E87-MIN(E$26,E87),MAX(0,$C87-0))</f>
        <v>0</v>
      </c>
      <c r="N87" s="36">
        <f>MIN(F87-MIN(F$26,F87),MAX(0,$C87-SUM($M87:M87)))</f>
        <v>0</v>
      </c>
      <c r="O87" s="36">
        <f>MIN(G87-MIN(G$26,G87),MAX(0,$C87-SUM($M87:N87)))</f>
        <v>0</v>
      </c>
      <c r="P87" s="36">
        <f>MIN(H87-MIN(H$26,H87),MAX(0,$C87-SUM($M87:O87)))</f>
        <v>0</v>
      </c>
      <c r="Q87" s="36">
        <f>MIN(I87-MIN(I$26,I87),MAX(0,$C87-SUM($M87:P87)))</f>
        <v>0</v>
      </c>
      <c r="R87" s="36">
        <f>MIN(J87-MIN(J$26,J87),MAX(0,$C87-SUM($M87:Q87)))</f>
        <v>0</v>
      </c>
      <c r="S87" s="36">
        <f>MIN(K87-MIN(K$26,K87),MAX(0,$C87-SUM($M87:R87)))</f>
        <v>0</v>
      </c>
      <c r="T87" s="36">
        <f>MIN(L87-MIN(L$26,L87),MAX(0,$C87-SUM($M87:S87)))</f>
        <v>0</v>
      </c>
      <c r="U87" s="36">
        <f>IF(E87-MIN(E$26,E87)-M87&lt;0.005,0,E87-MIN(E$26,E87)-M87)</f>
        <v>0</v>
      </c>
      <c r="V87" s="36">
        <f>IF(F87-MIN(F$26,F87)-N87&lt;0.005,0,F87-MIN(F$26,F87)-N87)</f>
        <v>0</v>
      </c>
      <c r="W87" s="36">
        <f>IF(G87-MIN(G$26,G87)-O87&lt;0.005,0,G87-MIN(G$26,G87)-O87)</f>
        <v>0</v>
      </c>
      <c r="X87" s="36">
        <f>IF(H87-MIN(H$26,H87)-P87&lt;0.005,0,H87-MIN(H$26,H87)-P87)</f>
        <v>0</v>
      </c>
      <c r="Y87" s="36">
        <f>IF(I87-MIN(I$26,I87)-Q87&lt;0.005,0,I87-MIN(I$26,I87)-Q87)</f>
        <v>0</v>
      </c>
      <c r="Z87" s="36">
        <f>IF(J87-MIN(J$26,J87)-R87&lt;0.005,0,J87-MIN(J$26,J87)-R87)</f>
        <v>0</v>
      </c>
      <c r="AA87" s="36">
        <f>IF(K87-MIN(K$26,K87)-S87&lt;0.005,0,K87-MIN(K$26,K87)-S87)</f>
        <v>0</v>
      </c>
      <c r="AB87" s="36">
        <f>IF(L87-MIN(L$26,L87)-T87&lt;0.005,0,L87-MIN(L$26,L87)-T87)</f>
        <v>0</v>
      </c>
      <c r="AC87" s="36">
        <f>SUM(U87:AB87)</f>
        <v>0</v>
      </c>
      <c r="AD87" s="36">
        <f>D87+SUM(M87:T87)</f>
        <v>0</v>
      </c>
    </row>
    <row r="88">
      <c r="B88" s="40" t="n">
        <v>58</v>
      </c>
      <c r="C88" s="36" t="n">
        <v>0</v>
      </c>
      <c r="D88" s="36">
        <f>MIN(E$26,E88)+MIN(F$26,F88)+MIN(G$26,G88)+MIN(H$26,H88)+MIN(I$26,I88)+MIN(J$26,J88)+MIN(K$26,K88)+MIN(L$26,L88)</f>
        <v>0</v>
      </c>
      <c r="E88" s="36">
        <f>U87*(1+E$25)</f>
        <v>0</v>
      </c>
      <c r="F88" s="36">
        <f>V87*(1+F$25)</f>
        <v>0</v>
      </c>
      <c r="G88" s="36">
        <f>W87*(1+G$25)</f>
        <v>0</v>
      </c>
      <c r="H88" s="36">
        <f>X87*(1+H$25)</f>
        <v>0</v>
      </c>
      <c r="I88" s="36">
        <f>Y87*(1+I$25)</f>
        <v>0</v>
      </c>
      <c r="J88" s="36">
        <f>Z87*(1+J$25)</f>
        <v>0</v>
      </c>
      <c r="K88" s="36">
        <f>AA87*(1+K$25)</f>
        <v>0</v>
      </c>
      <c r="L88" s="36">
        <f>AB87*(1+L$25)</f>
        <v>0</v>
      </c>
      <c r="M88" s="36">
        <f>MIN(E88-MIN(E$26,E88),MAX(0,$C88-0))</f>
        <v>0</v>
      </c>
      <c r="N88" s="36">
        <f>MIN(F88-MIN(F$26,F88),MAX(0,$C88-SUM($M88:M88)))</f>
        <v>0</v>
      </c>
      <c r="O88" s="36">
        <f>MIN(G88-MIN(G$26,G88),MAX(0,$C88-SUM($M88:N88)))</f>
        <v>0</v>
      </c>
      <c r="P88" s="36">
        <f>MIN(H88-MIN(H$26,H88),MAX(0,$C88-SUM($M88:O88)))</f>
        <v>0</v>
      </c>
      <c r="Q88" s="36">
        <f>MIN(I88-MIN(I$26,I88),MAX(0,$C88-SUM($M88:P88)))</f>
        <v>0</v>
      </c>
      <c r="R88" s="36">
        <f>MIN(J88-MIN(J$26,J88),MAX(0,$C88-SUM($M88:Q88)))</f>
        <v>0</v>
      </c>
      <c r="S88" s="36">
        <f>MIN(K88-MIN(K$26,K88),MAX(0,$C88-SUM($M88:R88)))</f>
        <v>0</v>
      </c>
      <c r="T88" s="36">
        <f>MIN(L88-MIN(L$26,L88),MAX(0,$C88-SUM($M88:S88)))</f>
        <v>0</v>
      </c>
      <c r="U88" s="36">
        <f>IF(E88-MIN(E$26,E88)-M88&lt;0.005,0,E88-MIN(E$26,E88)-M88)</f>
        <v>0</v>
      </c>
      <c r="V88" s="36">
        <f>IF(F88-MIN(F$26,F88)-N88&lt;0.005,0,F88-MIN(F$26,F88)-N88)</f>
        <v>0</v>
      </c>
      <c r="W88" s="36">
        <f>IF(G88-MIN(G$26,G88)-O88&lt;0.005,0,G88-MIN(G$26,G88)-O88)</f>
        <v>0</v>
      </c>
      <c r="X88" s="36">
        <f>IF(H88-MIN(H$26,H88)-P88&lt;0.005,0,H88-MIN(H$26,H88)-P88)</f>
        <v>0</v>
      </c>
      <c r="Y88" s="36">
        <f>IF(I88-MIN(I$26,I88)-Q88&lt;0.005,0,I88-MIN(I$26,I88)-Q88)</f>
        <v>0</v>
      </c>
      <c r="Z88" s="36">
        <f>IF(J88-MIN(J$26,J88)-R88&lt;0.005,0,J88-MIN(J$26,J88)-R88)</f>
        <v>0</v>
      </c>
      <c r="AA88" s="36">
        <f>IF(K88-MIN(K$26,K88)-S88&lt;0.005,0,K88-MIN(K$26,K88)-S88)</f>
        <v>0</v>
      </c>
      <c r="AB88" s="36">
        <f>IF(L88-MIN(L$26,L88)-T88&lt;0.005,0,L88-MIN(L$26,L88)-T88)</f>
        <v>0</v>
      </c>
      <c r="AC88" s="36">
        <f>SUM(U88:AB88)</f>
        <v>0</v>
      </c>
      <c r="AD88" s="36">
        <f>D88+SUM(M88:T88)</f>
        <v>0</v>
      </c>
    </row>
    <row r="89">
      <c r="B89" s="40" t="n">
        <v>59</v>
      </c>
      <c r="C89" s="36" t="n">
        <v>0</v>
      </c>
      <c r="D89" s="36">
        <f>MIN(E$26,E89)+MIN(F$26,F89)+MIN(G$26,G89)+MIN(H$26,H89)+MIN(I$26,I89)+MIN(J$26,J89)+MIN(K$26,K89)+MIN(L$26,L89)</f>
        <v>0</v>
      </c>
      <c r="E89" s="36">
        <f>U88*(1+E$25)</f>
        <v>0</v>
      </c>
      <c r="F89" s="36">
        <f>V88*(1+F$25)</f>
        <v>0</v>
      </c>
      <c r="G89" s="36">
        <f>W88*(1+G$25)</f>
        <v>0</v>
      </c>
      <c r="H89" s="36">
        <f>X88*(1+H$25)</f>
        <v>0</v>
      </c>
      <c r="I89" s="36">
        <f>Y88*(1+I$25)</f>
        <v>0</v>
      </c>
      <c r="J89" s="36">
        <f>Z88*(1+J$25)</f>
        <v>0</v>
      </c>
      <c r="K89" s="36">
        <f>AA88*(1+K$25)</f>
        <v>0</v>
      </c>
      <c r="L89" s="36">
        <f>AB88*(1+L$25)</f>
        <v>0</v>
      </c>
      <c r="M89" s="36">
        <f>MIN(E89-MIN(E$26,E89),MAX(0,$C89-0))</f>
        <v>0</v>
      </c>
      <c r="N89" s="36">
        <f>MIN(F89-MIN(F$26,F89),MAX(0,$C89-SUM($M89:M89)))</f>
        <v>0</v>
      </c>
      <c r="O89" s="36">
        <f>MIN(G89-MIN(G$26,G89),MAX(0,$C89-SUM($M89:N89)))</f>
        <v>0</v>
      </c>
      <c r="P89" s="36">
        <f>MIN(H89-MIN(H$26,H89),MAX(0,$C89-SUM($M89:O89)))</f>
        <v>0</v>
      </c>
      <c r="Q89" s="36">
        <f>MIN(I89-MIN(I$26,I89),MAX(0,$C89-SUM($M89:P89)))</f>
        <v>0</v>
      </c>
      <c r="R89" s="36">
        <f>MIN(J89-MIN(J$26,J89),MAX(0,$C89-SUM($M89:Q89)))</f>
        <v>0</v>
      </c>
      <c r="S89" s="36">
        <f>MIN(K89-MIN(K$26,K89),MAX(0,$C89-SUM($M89:R89)))</f>
        <v>0</v>
      </c>
      <c r="T89" s="36">
        <f>MIN(L89-MIN(L$26,L89),MAX(0,$C89-SUM($M89:S89)))</f>
        <v>0</v>
      </c>
      <c r="U89" s="36">
        <f>IF(E89-MIN(E$26,E89)-M89&lt;0.005,0,E89-MIN(E$26,E89)-M89)</f>
        <v>0</v>
      </c>
      <c r="V89" s="36">
        <f>IF(F89-MIN(F$26,F89)-N89&lt;0.005,0,F89-MIN(F$26,F89)-N89)</f>
        <v>0</v>
      </c>
      <c r="W89" s="36">
        <f>IF(G89-MIN(G$26,G89)-O89&lt;0.005,0,G89-MIN(G$26,G89)-O89)</f>
        <v>0</v>
      </c>
      <c r="X89" s="36">
        <f>IF(H89-MIN(H$26,H89)-P89&lt;0.005,0,H89-MIN(H$26,H89)-P89)</f>
        <v>0</v>
      </c>
      <c r="Y89" s="36">
        <f>IF(I89-MIN(I$26,I89)-Q89&lt;0.005,0,I89-MIN(I$26,I89)-Q89)</f>
        <v>0</v>
      </c>
      <c r="Z89" s="36">
        <f>IF(J89-MIN(J$26,J89)-R89&lt;0.005,0,J89-MIN(J$26,J89)-R89)</f>
        <v>0</v>
      </c>
      <c r="AA89" s="36">
        <f>IF(K89-MIN(K$26,K89)-S89&lt;0.005,0,K89-MIN(K$26,K89)-S89)</f>
        <v>0</v>
      </c>
      <c r="AB89" s="36">
        <f>IF(L89-MIN(L$26,L89)-T89&lt;0.005,0,L89-MIN(L$26,L89)-T89)</f>
        <v>0</v>
      </c>
      <c r="AC89" s="36">
        <f>SUM(U89:AB89)</f>
        <v>0</v>
      </c>
      <c r="AD89" s="36">
        <f>D89+SUM(M89:T89)</f>
        <v>0</v>
      </c>
    </row>
    <row r="90">
      <c r="B90" s="40" t="n">
        <v>60</v>
      </c>
      <c r="C90" s="36" t="n">
        <v>0</v>
      </c>
      <c r="D90" s="36">
        <f>MIN(E$26,E90)+MIN(F$26,F90)+MIN(G$26,G90)+MIN(H$26,H90)+MIN(I$26,I90)+MIN(J$26,J90)+MIN(K$26,K90)+MIN(L$26,L90)</f>
        <v>0</v>
      </c>
      <c r="E90" s="36">
        <f>U89*(1+E$25)</f>
        <v>0</v>
      </c>
      <c r="F90" s="36">
        <f>V89*(1+F$25)</f>
        <v>0</v>
      </c>
      <c r="G90" s="36">
        <f>W89*(1+G$25)</f>
        <v>0</v>
      </c>
      <c r="H90" s="36">
        <f>X89*(1+H$25)</f>
        <v>0</v>
      </c>
      <c r="I90" s="36">
        <f>Y89*(1+I$25)</f>
        <v>0</v>
      </c>
      <c r="J90" s="36">
        <f>Z89*(1+J$25)</f>
        <v>0</v>
      </c>
      <c r="K90" s="36">
        <f>AA89*(1+K$25)</f>
        <v>0</v>
      </c>
      <c r="L90" s="36">
        <f>AB89*(1+L$25)</f>
        <v>0</v>
      </c>
      <c r="M90" s="36">
        <f>MIN(E90-MIN(E$26,E90),MAX(0,$C90-0))</f>
        <v>0</v>
      </c>
      <c r="N90" s="36">
        <f>MIN(F90-MIN(F$26,F90),MAX(0,$C90-SUM($M90:M90)))</f>
        <v>0</v>
      </c>
      <c r="O90" s="36">
        <f>MIN(G90-MIN(G$26,G90),MAX(0,$C90-SUM($M90:N90)))</f>
        <v>0</v>
      </c>
      <c r="P90" s="36">
        <f>MIN(H90-MIN(H$26,H90),MAX(0,$C90-SUM($M90:O90)))</f>
        <v>0</v>
      </c>
      <c r="Q90" s="36">
        <f>MIN(I90-MIN(I$26,I90),MAX(0,$C90-SUM($M90:P90)))</f>
        <v>0</v>
      </c>
      <c r="R90" s="36">
        <f>MIN(J90-MIN(J$26,J90),MAX(0,$C90-SUM($M90:Q90)))</f>
        <v>0</v>
      </c>
      <c r="S90" s="36">
        <f>MIN(K90-MIN(K$26,K90),MAX(0,$C90-SUM($M90:R90)))</f>
        <v>0</v>
      </c>
      <c r="T90" s="36">
        <f>MIN(L90-MIN(L$26,L90),MAX(0,$C90-SUM($M90:S90)))</f>
        <v>0</v>
      </c>
      <c r="U90" s="36">
        <f>IF(E90-MIN(E$26,E90)-M90&lt;0.005,0,E90-MIN(E$26,E90)-M90)</f>
        <v>0</v>
      </c>
      <c r="V90" s="36">
        <f>IF(F90-MIN(F$26,F90)-N90&lt;0.005,0,F90-MIN(F$26,F90)-N90)</f>
        <v>0</v>
      </c>
      <c r="W90" s="36">
        <f>IF(G90-MIN(G$26,G90)-O90&lt;0.005,0,G90-MIN(G$26,G90)-O90)</f>
        <v>0</v>
      </c>
      <c r="X90" s="36">
        <f>IF(H90-MIN(H$26,H90)-P90&lt;0.005,0,H90-MIN(H$26,H90)-P90)</f>
        <v>0</v>
      </c>
      <c r="Y90" s="36">
        <f>IF(I90-MIN(I$26,I90)-Q90&lt;0.005,0,I90-MIN(I$26,I90)-Q90)</f>
        <v>0</v>
      </c>
      <c r="Z90" s="36">
        <f>IF(J90-MIN(J$26,J90)-R90&lt;0.005,0,J90-MIN(J$26,J90)-R90)</f>
        <v>0</v>
      </c>
      <c r="AA90" s="36">
        <f>IF(K90-MIN(K$26,K90)-S90&lt;0.005,0,K90-MIN(K$26,K90)-S90)</f>
        <v>0</v>
      </c>
      <c r="AB90" s="36">
        <f>IF(L90-MIN(L$26,L90)-T90&lt;0.005,0,L90-MIN(L$26,L90)-T90)</f>
        <v>0</v>
      </c>
      <c r="AC90" s="36">
        <f>SUM(U90:AB90)</f>
        <v>0</v>
      </c>
      <c r="AD90" s="36">
        <f>D90+SUM(M90:T90)</f>
        <v>0</v>
      </c>
    </row>
    <row r="91">
      <c r="B91" s="40" t="n">
        <v>61</v>
      </c>
      <c r="C91" s="36" t="n">
        <v>0</v>
      </c>
      <c r="D91" s="36">
        <f>MIN(E$26,E91)+MIN(F$26,F91)+MIN(G$26,G91)+MIN(H$26,H91)+MIN(I$26,I91)+MIN(J$26,J91)+MIN(K$26,K91)+MIN(L$26,L91)</f>
        <v>0</v>
      </c>
      <c r="E91" s="36">
        <f>U90*(1+E$25)</f>
        <v>0</v>
      </c>
      <c r="F91" s="36">
        <f>V90*(1+F$25)</f>
        <v>0</v>
      </c>
      <c r="G91" s="36">
        <f>W90*(1+G$25)</f>
        <v>0</v>
      </c>
      <c r="H91" s="36">
        <f>X90*(1+H$25)</f>
        <v>0</v>
      </c>
      <c r="I91" s="36">
        <f>Y90*(1+I$25)</f>
        <v>0</v>
      </c>
      <c r="J91" s="36">
        <f>Z90*(1+J$25)</f>
        <v>0</v>
      </c>
      <c r="K91" s="36">
        <f>AA90*(1+K$25)</f>
        <v>0</v>
      </c>
      <c r="L91" s="36">
        <f>AB90*(1+L$25)</f>
        <v>0</v>
      </c>
      <c r="M91" s="36">
        <f>MIN(E91-MIN(E$26,E91),MAX(0,$C91-0))</f>
        <v>0</v>
      </c>
      <c r="N91" s="36">
        <f>MIN(F91-MIN(F$26,F91),MAX(0,$C91-SUM($M91:M91)))</f>
        <v>0</v>
      </c>
      <c r="O91" s="36">
        <f>MIN(G91-MIN(G$26,G91),MAX(0,$C91-SUM($M91:N91)))</f>
        <v>0</v>
      </c>
      <c r="P91" s="36">
        <f>MIN(H91-MIN(H$26,H91),MAX(0,$C91-SUM($M91:O91)))</f>
        <v>0</v>
      </c>
      <c r="Q91" s="36">
        <f>MIN(I91-MIN(I$26,I91),MAX(0,$C91-SUM($M91:P91)))</f>
        <v>0</v>
      </c>
      <c r="R91" s="36">
        <f>MIN(J91-MIN(J$26,J91),MAX(0,$C91-SUM($M91:Q91)))</f>
        <v>0</v>
      </c>
      <c r="S91" s="36">
        <f>MIN(K91-MIN(K$26,K91),MAX(0,$C91-SUM($M91:R91)))</f>
        <v>0</v>
      </c>
      <c r="T91" s="36">
        <f>MIN(L91-MIN(L$26,L91),MAX(0,$C91-SUM($M91:S91)))</f>
        <v>0</v>
      </c>
      <c r="U91" s="36">
        <f>IF(E91-MIN(E$26,E91)-M91&lt;0.005,0,E91-MIN(E$26,E91)-M91)</f>
        <v>0</v>
      </c>
      <c r="V91" s="36">
        <f>IF(F91-MIN(F$26,F91)-N91&lt;0.005,0,F91-MIN(F$26,F91)-N91)</f>
        <v>0</v>
      </c>
      <c r="W91" s="36">
        <f>IF(G91-MIN(G$26,G91)-O91&lt;0.005,0,G91-MIN(G$26,G91)-O91)</f>
        <v>0</v>
      </c>
      <c r="X91" s="36">
        <f>IF(H91-MIN(H$26,H91)-P91&lt;0.005,0,H91-MIN(H$26,H91)-P91)</f>
        <v>0</v>
      </c>
      <c r="Y91" s="36">
        <f>IF(I91-MIN(I$26,I91)-Q91&lt;0.005,0,I91-MIN(I$26,I91)-Q91)</f>
        <v>0</v>
      </c>
      <c r="Z91" s="36">
        <f>IF(J91-MIN(J$26,J91)-R91&lt;0.005,0,J91-MIN(J$26,J91)-R91)</f>
        <v>0</v>
      </c>
      <c r="AA91" s="36">
        <f>IF(K91-MIN(K$26,K91)-S91&lt;0.005,0,K91-MIN(K$26,K91)-S91)</f>
        <v>0</v>
      </c>
      <c r="AB91" s="36">
        <f>IF(L91-MIN(L$26,L91)-T91&lt;0.005,0,L91-MIN(L$26,L91)-T91)</f>
        <v>0</v>
      </c>
      <c r="AC91" s="36">
        <f>SUM(U91:AB91)</f>
        <v>0</v>
      </c>
      <c r="AD91" s="36">
        <f>D91+SUM(M91:T91)</f>
        <v>0</v>
      </c>
    </row>
    <row r="92">
      <c r="B92" s="40" t="n">
        <v>62</v>
      </c>
      <c r="C92" s="36" t="n">
        <v>0</v>
      </c>
      <c r="D92" s="36">
        <f>MIN(E$26,E92)+MIN(F$26,F92)+MIN(G$26,G92)+MIN(H$26,H92)+MIN(I$26,I92)+MIN(J$26,J92)+MIN(K$26,K92)+MIN(L$26,L92)</f>
        <v>0</v>
      </c>
      <c r="E92" s="36">
        <f>U91*(1+E$25)</f>
        <v>0</v>
      </c>
      <c r="F92" s="36">
        <f>V91*(1+F$25)</f>
        <v>0</v>
      </c>
      <c r="G92" s="36">
        <f>W91*(1+G$25)</f>
        <v>0</v>
      </c>
      <c r="H92" s="36">
        <f>X91*(1+H$25)</f>
        <v>0</v>
      </c>
      <c r="I92" s="36">
        <f>Y91*(1+I$25)</f>
        <v>0</v>
      </c>
      <c r="J92" s="36">
        <f>Z91*(1+J$25)</f>
        <v>0</v>
      </c>
      <c r="K92" s="36">
        <f>AA91*(1+K$25)</f>
        <v>0</v>
      </c>
      <c r="L92" s="36">
        <f>AB91*(1+L$25)</f>
        <v>0</v>
      </c>
      <c r="M92" s="36">
        <f>MIN(E92-MIN(E$26,E92),MAX(0,$C92-0))</f>
        <v>0</v>
      </c>
      <c r="N92" s="36">
        <f>MIN(F92-MIN(F$26,F92),MAX(0,$C92-SUM($M92:M92)))</f>
        <v>0</v>
      </c>
      <c r="O92" s="36">
        <f>MIN(G92-MIN(G$26,G92),MAX(0,$C92-SUM($M92:N92)))</f>
        <v>0</v>
      </c>
      <c r="P92" s="36">
        <f>MIN(H92-MIN(H$26,H92),MAX(0,$C92-SUM($M92:O92)))</f>
        <v>0</v>
      </c>
      <c r="Q92" s="36">
        <f>MIN(I92-MIN(I$26,I92),MAX(0,$C92-SUM($M92:P92)))</f>
        <v>0</v>
      </c>
      <c r="R92" s="36">
        <f>MIN(J92-MIN(J$26,J92),MAX(0,$C92-SUM($M92:Q92)))</f>
        <v>0</v>
      </c>
      <c r="S92" s="36">
        <f>MIN(K92-MIN(K$26,K92),MAX(0,$C92-SUM($M92:R92)))</f>
        <v>0</v>
      </c>
      <c r="T92" s="36">
        <f>MIN(L92-MIN(L$26,L92),MAX(0,$C92-SUM($M92:S92)))</f>
        <v>0</v>
      </c>
      <c r="U92" s="36">
        <f>IF(E92-MIN(E$26,E92)-M92&lt;0.005,0,E92-MIN(E$26,E92)-M92)</f>
        <v>0</v>
      </c>
      <c r="V92" s="36">
        <f>IF(F92-MIN(F$26,F92)-N92&lt;0.005,0,F92-MIN(F$26,F92)-N92)</f>
        <v>0</v>
      </c>
      <c r="W92" s="36">
        <f>IF(G92-MIN(G$26,G92)-O92&lt;0.005,0,G92-MIN(G$26,G92)-O92)</f>
        <v>0</v>
      </c>
      <c r="X92" s="36">
        <f>IF(H92-MIN(H$26,H92)-P92&lt;0.005,0,H92-MIN(H$26,H92)-P92)</f>
        <v>0</v>
      </c>
      <c r="Y92" s="36">
        <f>IF(I92-MIN(I$26,I92)-Q92&lt;0.005,0,I92-MIN(I$26,I92)-Q92)</f>
        <v>0</v>
      </c>
      <c r="Z92" s="36">
        <f>IF(J92-MIN(J$26,J92)-R92&lt;0.005,0,J92-MIN(J$26,J92)-R92)</f>
        <v>0</v>
      </c>
      <c r="AA92" s="36">
        <f>IF(K92-MIN(K$26,K92)-S92&lt;0.005,0,K92-MIN(K$26,K92)-S92)</f>
        <v>0</v>
      </c>
      <c r="AB92" s="36">
        <f>IF(L92-MIN(L$26,L92)-T92&lt;0.005,0,L92-MIN(L$26,L92)-T92)</f>
        <v>0</v>
      </c>
      <c r="AC92" s="36">
        <f>SUM(U92:AB92)</f>
        <v>0</v>
      </c>
      <c r="AD92" s="36">
        <f>D92+SUM(M92:T92)</f>
        <v>0</v>
      </c>
    </row>
    <row r="93">
      <c r="B93" s="40" t="n">
        <v>63</v>
      </c>
      <c r="C93" s="36" t="n">
        <v>0</v>
      </c>
      <c r="D93" s="36">
        <f>MIN(E$26,E93)+MIN(F$26,F93)+MIN(G$26,G93)+MIN(H$26,H93)+MIN(I$26,I93)+MIN(J$26,J93)+MIN(K$26,K93)+MIN(L$26,L93)</f>
        <v>0</v>
      </c>
      <c r="E93" s="36">
        <f>U92*(1+E$25)</f>
        <v>0</v>
      </c>
      <c r="F93" s="36">
        <f>V92*(1+F$25)</f>
        <v>0</v>
      </c>
      <c r="G93" s="36">
        <f>W92*(1+G$25)</f>
        <v>0</v>
      </c>
      <c r="H93" s="36">
        <f>X92*(1+H$25)</f>
        <v>0</v>
      </c>
      <c r="I93" s="36">
        <f>Y92*(1+I$25)</f>
        <v>0</v>
      </c>
      <c r="J93" s="36">
        <f>Z92*(1+J$25)</f>
        <v>0</v>
      </c>
      <c r="K93" s="36">
        <f>AA92*(1+K$25)</f>
        <v>0</v>
      </c>
      <c r="L93" s="36">
        <f>AB92*(1+L$25)</f>
        <v>0</v>
      </c>
      <c r="M93" s="36">
        <f>MIN(E93-MIN(E$26,E93),MAX(0,$C93-0))</f>
        <v>0</v>
      </c>
      <c r="N93" s="36">
        <f>MIN(F93-MIN(F$26,F93),MAX(0,$C93-SUM($M93:M93)))</f>
        <v>0</v>
      </c>
      <c r="O93" s="36">
        <f>MIN(G93-MIN(G$26,G93),MAX(0,$C93-SUM($M93:N93)))</f>
        <v>0</v>
      </c>
      <c r="P93" s="36">
        <f>MIN(H93-MIN(H$26,H93),MAX(0,$C93-SUM($M93:O93)))</f>
        <v>0</v>
      </c>
      <c r="Q93" s="36">
        <f>MIN(I93-MIN(I$26,I93),MAX(0,$C93-SUM($M93:P93)))</f>
        <v>0</v>
      </c>
      <c r="R93" s="36">
        <f>MIN(J93-MIN(J$26,J93),MAX(0,$C93-SUM($M93:Q93)))</f>
        <v>0</v>
      </c>
      <c r="S93" s="36">
        <f>MIN(K93-MIN(K$26,K93),MAX(0,$C93-SUM($M93:R93)))</f>
        <v>0</v>
      </c>
      <c r="T93" s="36">
        <f>MIN(L93-MIN(L$26,L93),MAX(0,$C93-SUM($M93:S93)))</f>
        <v>0</v>
      </c>
      <c r="U93" s="36">
        <f>IF(E93-MIN(E$26,E93)-M93&lt;0.005,0,E93-MIN(E$26,E93)-M93)</f>
        <v>0</v>
      </c>
      <c r="V93" s="36">
        <f>IF(F93-MIN(F$26,F93)-N93&lt;0.005,0,F93-MIN(F$26,F93)-N93)</f>
        <v>0</v>
      </c>
      <c r="W93" s="36">
        <f>IF(G93-MIN(G$26,G93)-O93&lt;0.005,0,G93-MIN(G$26,G93)-O93)</f>
        <v>0</v>
      </c>
      <c r="X93" s="36">
        <f>IF(H93-MIN(H$26,H93)-P93&lt;0.005,0,H93-MIN(H$26,H93)-P93)</f>
        <v>0</v>
      </c>
      <c r="Y93" s="36">
        <f>IF(I93-MIN(I$26,I93)-Q93&lt;0.005,0,I93-MIN(I$26,I93)-Q93)</f>
        <v>0</v>
      </c>
      <c r="Z93" s="36">
        <f>IF(J93-MIN(J$26,J93)-R93&lt;0.005,0,J93-MIN(J$26,J93)-R93)</f>
        <v>0</v>
      </c>
      <c r="AA93" s="36">
        <f>IF(K93-MIN(K$26,K93)-S93&lt;0.005,0,K93-MIN(K$26,K93)-S93)</f>
        <v>0</v>
      </c>
      <c r="AB93" s="36">
        <f>IF(L93-MIN(L$26,L93)-T93&lt;0.005,0,L93-MIN(L$26,L93)-T93)</f>
        <v>0</v>
      </c>
      <c r="AC93" s="36">
        <f>SUM(U93:AB93)</f>
        <v>0</v>
      </c>
      <c r="AD93" s="36">
        <f>D93+SUM(M93:T93)</f>
        <v>0</v>
      </c>
    </row>
    <row r="94">
      <c r="B94" s="40" t="n">
        <v>64</v>
      </c>
      <c r="C94" s="36" t="n">
        <v>0</v>
      </c>
      <c r="D94" s="36">
        <f>MIN(E$26,E94)+MIN(F$26,F94)+MIN(G$26,G94)+MIN(H$26,H94)+MIN(I$26,I94)+MIN(J$26,J94)+MIN(K$26,K94)+MIN(L$26,L94)</f>
        <v>0</v>
      </c>
      <c r="E94" s="36">
        <f>U93*(1+E$25)</f>
        <v>0</v>
      </c>
      <c r="F94" s="36">
        <f>V93*(1+F$25)</f>
        <v>0</v>
      </c>
      <c r="G94" s="36">
        <f>W93*(1+G$25)</f>
        <v>0</v>
      </c>
      <c r="H94" s="36">
        <f>X93*(1+H$25)</f>
        <v>0</v>
      </c>
      <c r="I94" s="36">
        <f>Y93*(1+I$25)</f>
        <v>0</v>
      </c>
      <c r="J94" s="36">
        <f>Z93*(1+J$25)</f>
        <v>0</v>
      </c>
      <c r="K94" s="36">
        <f>AA93*(1+K$25)</f>
        <v>0</v>
      </c>
      <c r="L94" s="36">
        <f>AB93*(1+L$25)</f>
        <v>0</v>
      </c>
      <c r="M94" s="36">
        <f>MIN(E94-MIN(E$26,E94),MAX(0,$C94-0))</f>
        <v>0</v>
      </c>
      <c r="N94" s="36">
        <f>MIN(F94-MIN(F$26,F94),MAX(0,$C94-SUM($M94:M94)))</f>
        <v>0</v>
      </c>
      <c r="O94" s="36">
        <f>MIN(G94-MIN(G$26,G94),MAX(0,$C94-SUM($M94:N94)))</f>
        <v>0</v>
      </c>
      <c r="P94" s="36">
        <f>MIN(H94-MIN(H$26,H94),MAX(0,$C94-SUM($M94:O94)))</f>
        <v>0</v>
      </c>
      <c r="Q94" s="36">
        <f>MIN(I94-MIN(I$26,I94),MAX(0,$C94-SUM($M94:P94)))</f>
        <v>0</v>
      </c>
      <c r="R94" s="36">
        <f>MIN(J94-MIN(J$26,J94),MAX(0,$C94-SUM($M94:Q94)))</f>
        <v>0</v>
      </c>
      <c r="S94" s="36">
        <f>MIN(K94-MIN(K$26,K94),MAX(0,$C94-SUM($M94:R94)))</f>
        <v>0</v>
      </c>
      <c r="T94" s="36">
        <f>MIN(L94-MIN(L$26,L94),MAX(0,$C94-SUM($M94:S94)))</f>
        <v>0</v>
      </c>
      <c r="U94" s="36">
        <f>IF(E94-MIN(E$26,E94)-M94&lt;0.005,0,E94-MIN(E$26,E94)-M94)</f>
        <v>0</v>
      </c>
      <c r="V94" s="36">
        <f>IF(F94-MIN(F$26,F94)-N94&lt;0.005,0,F94-MIN(F$26,F94)-N94)</f>
        <v>0</v>
      </c>
      <c r="W94" s="36">
        <f>IF(G94-MIN(G$26,G94)-O94&lt;0.005,0,G94-MIN(G$26,G94)-O94)</f>
        <v>0</v>
      </c>
      <c r="X94" s="36">
        <f>IF(H94-MIN(H$26,H94)-P94&lt;0.005,0,H94-MIN(H$26,H94)-P94)</f>
        <v>0</v>
      </c>
      <c r="Y94" s="36">
        <f>IF(I94-MIN(I$26,I94)-Q94&lt;0.005,0,I94-MIN(I$26,I94)-Q94)</f>
        <v>0</v>
      </c>
      <c r="Z94" s="36">
        <f>IF(J94-MIN(J$26,J94)-R94&lt;0.005,0,J94-MIN(J$26,J94)-R94)</f>
        <v>0</v>
      </c>
      <c r="AA94" s="36">
        <f>IF(K94-MIN(K$26,K94)-S94&lt;0.005,0,K94-MIN(K$26,K94)-S94)</f>
        <v>0</v>
      </c>
      <c r="AB94" s="36">
        <f>IF(L94-MIN(L$26,L94)-T94&lt;0.005,0,L94-MIN(L$26,L94)-T94)</f>
        <v>0</v>
      </c>
      <c r="AC94" s="36">
        <f>SUM(U94:AB94)</f>
        <v>0</v>
      </c>
      <c r="AD94" s="36">
        <f>D94+SUM(M94:T94)</f>
        <v>0</v>
      </c>
    </row>
    <row r="95">
      <c r="B95" s="40" t="n">
        <v>65</v>
      </c>
      <c r="C95" s="36" t="n">
        <v>0</v>
      </c>
      <c r="D95" s="36">
        <f>MIN(E$26,E95)+MIN(F$26,F95)+MIN(G$26,G95)+MIN(H$26,H95)+MIN(I$26,I95)+MIN(J$26,J95)+MIN(K$26,K95)+MIN(L$26,L95)</f>
        <v>0</v>
      </c>
      <c r="E95" s="36">
        <f>U94*(1+E$25)</f>
        <v>0</v>
      </c>
      <c r="F95" s="36">
        <f>V94*(1+F$25)</f>
        <v>0</v>
      </c>
      <c r="G95" s="36">
        <f>W94*(1+G$25)</f>
        <v>0</v>
      </c>
      <c r="H95" s="36">
        <f>X94*(1+H$25)</f>
        <v>0</v>
      </c>
      <c r="I95" s="36">
        <f>Y94*(1+I$25)</f>
        <v>0</v>
      </c>
      <c r="J95" s="36">
        <f>Z94*(1+J$25)</f>
        <v>0</v>
      </c>
      <c r="K95" s="36">
        <f>AA94*(1+K$25)</f>
        <v>0</v>
      </c>
      <c r="L95" s="36">
        <f>AB94*(1+L$25)</f>
        <v>0</v>
      </c>
      <c r="M95" s="36">
        <f>MIN(E95-MIN(E$26,E95),MAX(0,$C95-0))</f>
        <v>0</v>
      </c>
      <c r="N95" s="36">
        <f>MIN(F95-MIN(F$26,F95),MAX(0,$C95-SUM($M95:M95)))</f>
        <v>0</v>
      </c>
      <c r="O95" s="36">
        <f>MIN(G95-MIN(G$26,G95),MAX(0,$C95-SUM($M95:N95)))</f>
        <v>0</v>
      </c>
      <c r="P95" s="36">
        <f>MIN(H95-MIN(H$26,H95),MAX(0,$C95-SUM($M95:O95)))</f>
        <v>0</v>
      </c>
      <c r="Q95" s="36">
        <f>MIN(I95-MIN(I$26,I95),MAX(0,$C95-SUM($M95:P95)))</f>
        <v>0</v>
      </c>
      <c r="R95" s="36">
        <f>MIN(J95-MIN(J$26,J95),MAX(0,$C95-SUM($M95:Q95)))</f>
        <v>0</v>
      </c>
      <c r="S95" s="36">
        <f>MIN(K95-MIN(K$26,K95),MAX(0,$C95-SUM($M95:R95)))</f>
        <v>0</v>
      </c>
      <c r="T95" s="36">
        <f>MIN(L95-MIN(L$26,L95),MAX(0,$C95-SUM($M95:S95)))</f>
        <v>0</v>
      </c>
      <c r="U95" s="36">
        <f>IF(E95-MIN(E$26,E95)-M95&lt;0.005,0,E95-MIN(E$26,E95)-M95)</f>
        <v>0</v>
      </c>
      <c r="V95" s="36">
        <f>IF(F95-MIN(F$26,F95)-N95&lt;0.005,0,F95-MIN(F$26,F95)-N95)</f>
        <v>0</v>
      </c>
      <c r="W95" s="36">
        <f>IF(G95-MIN(G$26,G95)-O95&lt;0.005,0,G95-MIN(G$26,G95)-O95)</f>
        <v>0</v>
      </c>
      <c r="X95" s="36">
        <f>IF(H95-MIN(H$26,H95)-P95&lt;0.005,0,H95-MIN(H$26,H95)-P95)</f>
        <v>0</v>
      </c>
      <c r="Y95" s="36">
        <f>IF(I95-MIN(I$26,I95)-Q95&lt;0.005,0,I95-MIN(I$26,I95)-Q95)</f>
        <v>0</v>
      </c>
      <c r="Z95" s="36">
        <f>IF(J95-MIN(J$26,J95)-R95&lt;0.005,0,J95-MIN(J$26,J95)-R95)</f>
        <v>0</v>
      </c>
      <c r="AA95" s="36">
        <f>IF(K95-MIN(K$26,K95)-S95&lt;0.005,0,K95-MIN(K$26,K95)-S95)</f>
        <v>0</v>
      </c>
      <c r="AB95" s="36">
        <f>IF(L95-MIN(L$26,L95)-T95&lt;0.005,0,L95-MIN(L$26,L95)-T95)</f>
        <v>0</v>
      </c>
      <c r="AC95" s="36">
        <f>SUM(U95:AB95)</f>
        <v>0</v>
      </c>
      <c r="AD95" s="36">
        <f>D95+SUM(M95:T95)</f>
        <v>0</v>
      </c>
    </row>
    <row r="96">
      <c r="B96" s="40" t="n">
        <v>66</v>
      </c>
      <c r="C96" s="36" t="n">
        <v>0</v>
      </c>
      <c r="D96" s="36">
        <f>MIN(E$26,E96)+MIN(F$26,F96)+MIN(G$26,G96)+MIN(H$26,H96)+MIN(I$26,I96)+MIN(J$26,J96)+MIN(K$26,K96)+MIN(L$26,L96)</f>
        <v>0</v>
      </c>
      <c r="E96" s="36">
        <f>U95*(1+E$25)</f>
        <v>0</v>
      </c>
      <c r="F96" s="36">
        <f>V95*(1+F$25)</f>
        <v>0</v>
      </c>
      <c r="G96" s="36">
        <f>W95*(1+G$25)</f>
        <v>0</v>
      </c>
      <c r="H96" s="36">
        <f>X95*(1+H$25)</f>
        <v>0</v>
      </c>
      <c r="I96" s="36">
        <f>Y95*(1+I$25)</f>
        <v>0</v>
      </c>
      <c r="J96" s="36">
        <f>Z95*(1+J$25)</f>
        <v>0</v>
      </c>
      <c r="K96" s="36">
        <f>AA95*(1+K$25)</f>
        <v>0</v>
      </c>
      <c r="L96" s="36">
        <f>AB95*(1+L$25)</f>
        <v>0</v>
      </c>
      <c r="M96" s="36">
        <f>MIN(E96-MIN(E$26,E96),MAX(0,$C96-0))</f>
        <v>0</v>
      </c>
      <c r="N96" s="36">
        <f>MIN(F96-MIN(F$26,F96),MAX(0,$C96-SUM($M96:M96)))</f>
        <v>0</v>
      </c>
      <c r="O96" s="36">
        <f>MIN(G96-MIN(G$26,G96),MAX(0,$C96-SUM($M96:N96)))</f>
        <v>0</v>
      </c>
      <c r="P96" s="36">
        <f>MIN(H96-MIN(H$26,H96),MAX(0,$C96-SUM($M96:O96)))</f>
        <v>0</v>
      </c>
      <c r="Q96" s="36">
        <f>MIN(I96-MIN(I$26,I96),MAX(0,$C96-SUM($M96:P96)))</f>
        <v>0</v>
      </c>
      <c r="R96" s="36">
        <f>MIN(J96-MIN(J$26,J96),MAX(0,$C96-SUM($M96:Q96)))</f>
        <v>0</v>
      </c>
      <c r="S96" s="36">
        <f>MIN(K96-MIN(K$26,K96),MAX(0,$C96-SUM($M96:R96)))</f>
        <v>0</v>
      </c>
      <c r="T96" s="36">
        <f>MIN(L96-MIN(L$26,L96),MAX(0,$C96-SUM($M96:S96)))</f>
        <v>0</v>
      </c>
      <c r="U96" s="36">
        <f>IF(E96-MIN(E$26,E96)-M96&lt;0.005,0,E96-MIN(E$26,E96)-M96)</f>
        <v>0</v>
      </c>
      <c r="V96" s="36">
        <f>IF(F96-MIN(F$26,F96)-N96&lt;0.005,0,F96-MIN(F$26,F96)-N96)</f>
        <v>0</v>
      </c>
      <c r="W96" s="36">
        <f>IF(G96-MIN(G$26,G96)-O96&lt;0.005,0,G96-MIN(G$26,G96)-O96)</f>
        <v>0</v>
      </c>
      <c r="X96" s="36">
        <f>IF(H96-MIN(H$26,H96)-P96&lt;0.005,0,H96-MIN(H$26,H96)-P96)</f>
        <v>0</v>
      </c>
      <c r="Y96" s="36">
        <f>IF(I96-MIN(I$26,I96)-Q96&lt;0.005,0,I96-MIN(I$26,I96)-Q96)</f>
        <v>0</v>
      </c>
      <c r="Z96" s="36">
        <f>IF(J96-MIN(J$26,J96)-R96&lt;0.005,0,J96-MIN(J$26,J96)-R96)</f>
        <v>0</v>
      </c>
      <c r="AA96" s="36">
        <f>IF(K96-MIN(K$26,K96)-S96&lt;0.005,0,K96-MIN(K$26,K96)-S96)</f>
        <v>0</v>
      </c>
      <c r="AB96" s="36">
        <f>IF(L96-MIN(L$26,L96)-T96&lt;0.005,0,L96-MIN(L$26,L96)-T96)</f>
        <v>0</v>
      </c>
      <c r="AC96" s="36">
        <f>SUM(U96:AB96)</f>
        <v>0</v>
      </c>
      <c r="AD96" s="36">
        <f>D96+SUM(M96:T96)</f>
        <v>0</v>
      </c>
    </row>
    <row r="97">
      <c r="B97" s="40" t="n">
        <v>67</v>
      </c>
      <c r="C97" s="36" t="n">
        <v>0</v>
      </c>
      <c r="D97" s="36">
        <f>MIN(E$26,E97)+MIN(F$26,F97)+MIN(G$26,G97)+MIN(H$26,H97)+MIN(I$26,I97)+MIN(J$26,J97)+MIN(K$26,K97)+MIN(L$26,L97)</f>
        <v>0</v>
      </c>
      <c r="E97" s="36">
        <f>U96*(1+E$25)</f>
        <v>0</v>
      </c>
      <c r="F97" s="36">
        <f>V96*(1+F$25)</f>
        <v>0</v>
      </c>
      <c r="G97" s="36">
        <f>W96*(1+G$25)</f>
        <v>0</v>
      </c>
      <c r="H97" s="36">
        <f>X96*(1+H$25)</f>
        <v>0</v>
      </c>
      <c r="I97" s="36">
        <f>Y96*(1+I$25)</f>
        <v>0</v>
      </c>
      <c r="J97" s="36">
        <f>Z96*(1+J$25)</f>
        <v>0</v>
      </c>
      <c r="K97" s="36">
        <f>AA96*(1+K$25)</f>
        <v>0</v>
      </c>
      <c r="L97" s="36">
        <f>AB96*(1+L$25)</f>
        <v>0</v>
      </c>
      <c r="M97" s="36">
        <f>MIN(E97-MIN(E$26,E97),MAX(0,$C97-0))</f>
        <v>0</v>
      </c>
      <c r="N97" s="36">
        <f>MIN(F97-MIN(F$26,F97),MAX(0,$C97-SUM($M97:M97)))</f>
        <v>0</v>
      </c>
      <c r="O97" s="36">
        <f>MIN(G97-MIN(G$26,G97),MAX(0,$C97-SUM($M97:N97)))</f>
        <v>0</v>
      </c>
      <c r="P97" s="36">
        <f>MIN(H97-MIN(H$26,H97),MAX(0,$C97-SUM($M97:O97)))</f>
        <v>0</v>
      </c>
      <c r="Q97" s="36">
        <f>MIN(I97-MIN(I$26,I97),MAX(0,$C97-SUM($M97:P97)))</f>
        <v>0</v>
      </c>
      <c r="R97" s="36">
        <f>MIN(J97-MIN(J$26,J97),MAX(0,$C97-SUM($M97:Q97)))</f>
        <v>0</v>
      </c>
      <c r="S97" s="36">
        <f>MIN(K97-MIN(K$26,K97),MAX(0,$C97-SUM($M97:R97)))</f>
        <v>0</v>
      </c>
      <c r="T97" s="36">
        <f>MIN(L97-MIN(L$26,L97),MAX(0,$C97-SUM($M97:S97)))</f>
        <v>0</v>
      </c>
      <c r="U97" s="36">
        <f>IF(E97-MIN(E$26,E97)-M97&lt;0.005,0,E97-MIN(E$26,E97)-M97)</f>
        <v>0</v>
      </c>
      <c r="V97" s="36">
        <f>IF(F97-MIN(F$26,F97)-N97&lt;0.005,0,F97-MIN(F$26,F97)-N97)</f>
        <v>0</v>
      </c>
      <c r="W97" s="36">
        <f>IF(G97-MIN(G$26,G97)-O97&lt;0.005,0,G97-MIN(G$26,G97)-O97)</f>
        <v>0</v>
      </c>
      <c r="X97" s="36">
        <f>IF(H97-MIN(H$26,H97)-P97&lt;0.005,0,H97-MIN(H$26,H97)-P97)</f>
        <v>0</v>
      </c>
      <c r="Y97" s="36">
        <f>IF(I97-MIN(I$26,I97)-Q97&lt;0.005,0,I97-MIN(I$26,I97)-Q97)</f>
        <v>0</v>
      </c>
      <c r="Z97" s="36">
        <f>IF(J97-MIN(J$26,J97)-R97&lt;0.005,0,J97-MIN(J$26,J97)-R97)</f>
        <v>0</v>
      </c>
      <c r="AA97" s="36">
        <f>IF(K97-MIN(K$26,K97)-S97&lt;0.005,0,K97-MIN(K$26,K97)-S97)</f>
        <v>0</v>
      </c>
      <c r="AB97" s="36">
        <f>IF(L97-MIN(L$26,L97)-T97&lt;0.005,0,L97-MIN(L$26,L97)-T97)</f>
        <v>0</v>
      </c>
      <c r="AC97" s="36">
        <f>SUM(U97:AB97)</f>
        <v>0</v>
      </c>
      <c r="AD97" s="36">
        <f>D97+SUM(M97:T97)</f>
        <v>0</v>
      </c>
    </row>
    <row r="98">
      <c r="B98" s="40" t="n">
        <v>68</v>
      </c>
      <c r="C98" s="36" t="n">
        <v>0</v>
      </c>
      <c r="D98" s="36">
        <f>MIN(E$26,E98)+MIN(F$26,F98)+MIN(G$26,G98)+MIN(H$26,H98)+MIN(I$26,I98)+MIN(J$26,J98)+MIN(K$26,K98)+MIN(L$26,L98)</f>
        <v>0</v>
      </c>
      <c r="E98" s="36">
        <f>U97*(1+E$25)</f>
        <v>0</v>
      </c>
      <c r="F98" s="36">
        <f>V97*(1+F$25)</f>
        <v>0</v>
      </c>
      <c r="G98" s="36">
        <f>W97*(1+G$25)</f>
        <v>0</v>
      </c>
      <c r="H98" s="36">
        <f>X97*(1+H$25)</f>
        <v>0</v>
      </c>
      <c r="I98" s="36">
        <f>Y97*(1+I$25)</f>
        <v>0</v>
      </c>
      <c r="J98" s="36">
        <f>Z97*(1+J$25)</f>
        <v>0</v>
      </c>
      <c r="K98" s="36">
        <f>AA97*(1+K$25)</f>
        <v>0</v>
      </c>
      <c r="L98" s="36">
        <f>AB97*(1+L$25)</f>
        <v>0</v>
      </c>
      <c r="M98" s="36">
        <f>MIN(E98-MIN(E$26,E98),MAX(0,$C98-0))</f>
        <v>0</v>
      </c>
      <c r="N98" s="36">
        <f>MIN(F98-MIN(F$26,F98),MAX(0,$C98-SUM($M98:M98)))</f>
        <v>0</v>
      </c>
      <c r="O98" s="36">
        <f>MIN(G98-MIN(G$26,G98),MAX(0,$C98-SUM($M98:N98)))</f>
        <v>0</v>
      </c>
      <c r="P98" s="36">
        <f>MIN(H98-MIN(H$26,H98),MAX(0,$C98-SUM($M98:O98)))</f>
        <v>0</v>
      </c>
      <c r="Q98" s="36">
        <f>MIN(I98-MIN(I$26,I98),MAX(0,$C98-SUM($M98:P98)))</f>
        <v>0</v>
      </c>
      <c r="R98" s="36">
        <f>MIN(J98-MIN(J$26,J98),MAX(0,$C98-SUM($M98:Q98)))</f>
        <v>0</v>
      </c>
      <c r="S98" s="36">
        <f>MIN(K98-MIN(K$26,K98),MAX(0,$C98-SUM($M98:R98)))</f>
        <v>0</v>
      </c>
      <c r="T98" s="36">
        <f>MIN(L98-MIN(L$26,L98),MAX(0,$C98-SUM($M98:S98)))</f>
        <v>0</v>
      </c>
      <c r="U98" s="36">
        <f>IF(E98-MIN(E$26,E98)-M98&lt;0.005,0,E98-MIN(E$26,E98)-M98)</f>
        <v>0</v>
      </c>
      <c r="V98" s="36">
        <f>IF(F98-MIN(F$26,F98)-N98&lt;0.005,0,F98-MIN(F$26,F98)-N98)</f>
        <v>0</v>
      </c>
      <c r="W98" s="36">
        <f>IF(G98-MIN(G$26,G98)-O98&lt;0.005,0,G98-MIN(G$26,G98)-O98)</f>
        <v>0</v>
      </c>
      <c r="X98" s="36">
        <f>IF(H98-MIN(H$26,H98)-P98&lt;0.005,0,H98-MIN(H$26,H98)-P98)</f>
        <v>0</v>
      </c>
      <c r="Y98" s="36">
        <f>IF(I98-MIN(I$26,I98)-Q98&lt;0.005,0,I98-MIN(I$26,I98)-Q98)</f>
        <v>0</v>
      </c>
      <c r="Z98" s="36">
        <f>IF(J98-MIN(J$26,J98)-R98&lt;0.005,0,J98-MIN(J$26,J98)-R98)</f>
        <v>0</v>
      </c>
      <c r="AA98" s="36">
        <f>IF(K98-MIN(K$26,K98)-S98&lt;0.005,0,K98-MIN(K$26,K98)-S98)</f>
        <v>0</v>
      </c>
      <c r="AB98" s="36">
        <f>IF(L98-MIN(L$26,L98)-T98&lt;0.005,0,L98-MIN(L$26,L98)-T98)</f>
        <v>0</v>
      </c>
      <c r="AC98" s="36">
        <f>SUM(U98:AB98)</f>
        <v>0</v>
      </c>
      <c r="AD98" s="36">
        <f>D98+SUM(M98:T98)</f>
        <v>0</v>
      </c>
    </row>
    <row r="99">
      <c r="B99" s="40" t="n">
        <v>69</v>
      </c>
      <c r="C99" s="36" t="n">
        <v>0</v>
      </c>
      <c r="D99" s="36">
        <f>MIN(E$26,E99)+MIN(F$26,F99)+MIN(G$26,G99)+MIN(H$26,H99)+MIN(I$26,I99)+MIN(J$26,J99)+MIN(K$26,K99)+MIN(L$26,L99)</f>
        <v>0</v>
      </c>
      <c r="E99" s="36">
        <f>U98*(1+E$25)</f>
        <v>0</v>
      </c>
      <c r="F99" s="36">
        <f>V98*(1+F$25)</f>
        <v>0</v>
      </c>
      <c r="G99" s="36">
        <f>W98*(1+G$25)</f>
        <v>0</v>
      </c>
      <c r="H99" s="36">
        <f>X98*(1+H$25)</f>
        <v>0</v>
      </c>
      <c r="I99" s="36">
        <f>Y98*(1+I$25)</f>
        <v>0</v>
      </c>
      <c r="J99" s="36">
        <f>Z98*(1+J$25)</f>
        <v>0</v>
      </c>
      <c r="K99" s="36">
        <f>AA98*(1+K$25)</f>
        <v>0</v>
      </c>
      <c r="L99" s="36">
        <f>AB98*(1+L$25)</f>
        <v>0</v>
      </c>
      <c r="M99" s="36">
        <f>MIN(E99-MIN(E$26,E99),MAX(0,$C99-0))</f>
        <v>0</v>
      </c>
      <c r="N99" s="36">
        <f>MIN(F99-MIN(F$26,F99),MAX(0,$C99-SUM($M99:M99)))</f>
        <v>0</v>
      </c>
      <c r="O99" s="36">
        <f>MIN(G99-MIN(G$26,G99),MAX(0,$C99-SUM($M99:N99)))</f>
        <v>0</v>
      </c>
      <c r="P99" s="36">
        <f>MIN(H99-MIN(H$26,H99),MAX(0,$C99-SUM($M99:O99)))</f>
        <v>0</v>
      </c>
      <c r="Q99" s="36">
        <f>MIN(I99-MIN(I$26,I99),MAX(0,$C99-SUM($M99:P99)))</f>
        <v>0</v>
      </c>
      <c r="R99" s="36">
        <f>MIN(J99-MIN(J$26,J99),MAX(0,$C99-SUM($M99:Q99)))</f>
        <v>0</v>
      </c>
      <c r="S99" s="36">
        <f>MIN(K99-MIN(K$26,K99),MAX(0,$C99-SUM($M99:R99)))</f>
        <v>0</v>
      </c>
      <c r="T99" s="36">
        <f>MIN(L99-MIN(L$26,L99),MAX(0,$C99-SUM($M99:S99)))</f>
        <v>0</v>
      </c>
      <c r="U99" s="36">
        <f>IF(E99-MIN(E$26,E99)-M99&lt;0.005,0,E99-MIN(E$26,E99)-M99)</f>
        <v>0</v>
      </c>
      <c r="V99" s="36">
        <f>IF(F99-MIN(F$26,F99)-N99&lt;0.005,0,F99-MIN(F$26,F99)-N99)</f>
        <v>0</v>
      </c>
      <c r="W99" s="36">
        <f>IF(G99-MIN(G$26,G99)-O99&lt;0.005,0,G99-MIN(G$26,G99)-O99)</f>
        <v>0</v>
      </c>
      <c r="X99" s="36">
        <f>IF(H99-MIN(H$26,H99)-P99&lt;0.005,0,H99-MIN(H$26,H99)-P99)</f>
        <v>0</v>
      </c>
      <c r="Y99" s="36">
        <f>IF(I99-MIN(I$26,I99)-Q99&lt;0.005,0,I99-MIN(I$26,I99)-Q99)</f>
        <v>0</v>
      </c>
      <c r="Z99" s="36">
        <f>IF(J99-MIN(J$26,J99)-R99&lt;0.005,0,J99-MIN(J$26,J99)-R99)</f>
        <v>0</v>
      </c>
      <c r="AA99" s="36">
        <f>IF(K99-MIN(K$26,K99)-S99&lt;0.005,0,K99-MIN(K$26,K99)-S99)</f>
        <v>0</v>
      </c>
      <c r="AB99" s="36">
        <f>IF(L99-MIN(L$26,L99)-T99&lt;0.005,0,L99-MIN(L$26,L99)-T99)</f>
        <v>0</v>
      </c>
      <c r="AC99" s="36">
        <f>SUM(U99:AB99)</f>
        <v>0</v>
      </c>
      <c r="AD99" s="36">
        <f>D99+SUM(M99:T99)</f>
        <v>0</v>
      </c>
    </row>
    <row r="100">
      <c r="B100" s="40" t="n">
        <v>70</v>
      </c>
      <c r="C100" s="36" t="n">
        <v>0</v>
      </c>
      <c r="D100" s="36">
        <f>MIN(E$26,E100)+MIN(F$26,F100)+MIN(G$26,G100)+MIN(H$26,H100)+MIN(I$26,I100)+MIN(J$26,J100)+MIN(K$26,K100)+MIN(L$26,L100)</f>
        <v>0</v>
      </c>
      <c r="E100" s="36">
        <f>U99*(1+E$25)</f>
        <v>0</v>
      </c>
      <c r="F100" s="36">
        <f>V99*(1+F$25)</f>
        <v>0</v>
      </c>
      <c r="G100" s="36">
        <f>W99*(1+G$25)</f>
        <v>0</v>
      </c>
      <c r="H100" s="36">
        <f>X99*(1+H$25)</f>
        <v>0</v>
      </c>
      <c r="I100" s="36">
        <f>Y99*(1+I$25)</f>
        <v>0</v>
      </c>
      <c r="J100" s="36">
        <f>Z99*(1+J$25)</f>
        <v>0</v>
      </c>
      <c r="K100" s="36">
        <f>AA99*(1+K$25)</f>
        <v>0</v>
      </c>
      <c r="L100" s="36">
        <f>AB99*(1+L$25)</f>
        <v>0</v>
      </c>
      <c r="M100" s="36">
        <f>MIN(E100-MIN(E$26,E100),MAX(0,$C100-0))</f>
        <v>0</v>
      </c>
      <c r="N100" s="36">
        <f>MIN(F100-MIN(F$26,F100),MAX(0,$C100-SUM($M100:M100)))</f>
        <v>0</v>
      </c>
      <c r="O100" s="36">
        <f>MIN(G100-MIN(G$26,G100),MAX(0,$C100-SUM($M100:N100)))</f>
        <v>0</v>
      </c>
      <c r="P100" s="36">
        <f>MIN(H100-MIN(H$26,H100),MAX(0,$C100-SUM($M100:O100)))</f>
        <v>0</v>
      </c>
      <c r="Q100" s="36">
        <f>MIN(I100-MIN(I$26,I100),MAX(0,$C100-SUM($M100:P100)))</f>
        <v>0</v>
      </c>
      <c r="R100" s="36">
        <f>MIN(J100-MIN(J$26,J100),MAX(0,$C100-SUM($M100:Q100)))</f>
        <v>0</v>
      </c>
      <c r="S100" s="36">
        <f>MIN(K100-MIN(K$26,K100),MAX(0,$C100-SUM($M100:R100)))</f>
        <v>0</v>
      </c>
      <c r="T100" s="36">
        <f>MIN(L100-MIN(L$26,L100),MAX(0,$C100-SUM($M100:S100)))</f>
        <v>0</v>
      </c>
      <c r="U100" s="36">
        <f>IF(E100-MIN(E$26,E100)-M100&lt;0.005,0,E100-MIN(E$26,E100)-M100)</f>
        <v>0</v>
      </c>
      <c r="V100" s="36">
        <f>IF(F100-MIN(F$26,F100)-N100&lt;0.005,0,F100-MIN(F$26,F100)-N100)</f>
        <v>0</v>
      </c>
      <c r="W100" s="36">
        <f>IF(G100-MIN(G$26,G100)-O100&lt;0.005,0,G100-MIN(G$26,G100)-O100)</f>
        <v>0</v>
      </c>
      <c r="X100" s="36">
        <f>IF(H100-MIN(H$26,H100)-P100&lt;0.005,0,H100-MIN(H$26,H100)-P100)</f>
        <v>0</v>
      </c>
      <c r="Y100" s="36">
        <f>IF(I100-MIN(I$26,I100)-Q100&lt;0.005,0,I100-MIN(I$26,I100)-Q100)</f>
        <v>0</v>
      </c>
      <c r="Z100" s="36">
        <f>IF(J100-MIN(J$26,J100)-R100&lt;0.005,0,J100-MIN(J$26,J100)-R100)</f>
        <v>0</v>
      </c>
      <c r="AA100" s="36">
        <f>IF(K100-MIN(K$26,K100)-S100&lt;0.005,0,K100-MIN(K$26,K100)-S100)</f>
        <v>0</v>
      </c>
      <c r="AB100" s="36">
        <f>IF(L100-MIN(L$26,L100)-T100&lt;0.005,0,L100-MIN(L$26,L100)-T100)</f>
        <v>0</v>
      </c>
      <c r="AC100" s="36">
        <f>SUM(U100:AB100)</f>
        <v>0</v>
      </c>
      <c r="AD100" s="36">
        <f>D100+SUM(M100:T100)</f>
        <v>0</v>
      </c>
    </row>
    <row r="101">
      <c r="B101" s="40" t="n">
        <v>71</v>
      </c>
      <c r="C101" s="36" t="n">
        <v>0</v>
      </c>
      <c r="D101" s="36">
        <f>MIN(E$26,E101)+MIN(F$26,F101)+MIN(G$26,G101)+MIN(H$26,H101)+MIN(I$26,I101)+MIN(J$26,J101)+MIN(K$26,K101)+MIN(L$26,L101)</f>
        <v>0</v>
      </c>
      <c r="E101" s="36">
        <f>U100*(1+E$25)</f>
        <v>0</v>
      </c>
      <c r="F101" s="36">
        <f>V100*(1+F$25)</f>
        <v>0</v>
      </c>
      <c r="G101" s="36">
        <f>W100*(1+G$25)</f>
        <v>0</v>
      </c>
      <c r="H101" s="36">
        <f>X100*(1+H$25)</f>
        <v>0</v>
      </c>
      <c r="I101" s="36">
        <f>Y100*(1+I$25)</f>
        <v>0</v>
      </c>
      <c r="J101" s="36">
        <f>Z100*(1+J$25)</f>
        <v>0</v>
      </c>
      <c r="K101" s="36">
        <f>AA100*(1+K$25)</f>
        <v>0</v>
      </c>
      <c r="L101" s="36">
        <f>AB100*(1+L$25)</f>
        <v>0</v>
      </c>
      <c r="M101" s="36">
        <f>MIN(E101-MIN(E$26,E101),MAX(0,$C101-0))</f>
        <v>0</v>
      </c>
      <c r="N101" s="36">
        <f>MIN(F101-MIN(F$26,F101),MAX(0,$C101-SUM($M101:M101)))</f>
        <v>0</v>
      </c>
      <c r="O101" s="36">
        <f>MIN(G101-MIN(G$26,G101),MAX(0,$C101-SUM($M101:N101)))</f>
        <v>0</v>
      </c>
      <c r="P101" s="36">
        <f>MIN(H101-MIN(H$26,H101),MAX(0,$C101-SUM($M101:O101)))</f>
        <v>0</v>
      </c>
      <c r="Q101" s="36">
        <f>MIN(I101-MIN(I$26,I101),MAX(0,$C101-SUM($M101:P101)))</f>
        <v>0</v>
      </c>
      <c r="R101" s="36">
        <f>MIN(J101-MIN(J$26,J101),MAX(0,$C101-SUM($M101:Q101)))</f>
        <v>0</v>
      </c>
      <c r="S101" s="36">
        <f>MIN(K101-MIN(K$26,K101),MAX(0,$C101-SUM($M101:R101)))</f>
        <v>0</v>
      </c>
      <c r="T101" s="36">
        <f>MIN(L101-MIN(L$26,L101),MAX(0,$C101-SUM($M101:S101)))</f>
        <v>0</v>
      </c>
      <c r="U101" s="36">
        <f>IF(E101-MIN(E$26,E101)-M101&lt;0.005,0,E101-MIN(E$26,E101)-M101)</f>
        <v>0</v>
      </c>
      <c r="V101" s="36">
        <f>IF(F101-MIN(F$26,F101)-N101&lt;0.005,0,F101-MIN(F$26,F101)-N101)</f>
        <v>0</v>
      </c>
      <c r="W101" s="36">
        <f>IF(G101-MIN(G$26,G101)-O101&lt;0.005,0,G101-MIN(G$26,G101)-O101)</f>
        <v>0</v>
      </c>
      <c r="X101" s="36">
        <f>IF(H101-MIN(H$26,H101)-P101&lt;0.005,0,H101-MIN(H$26,H101)-P101)</f>
        <v>0</v>
      </c>
      <c r="Y101" s="36">
        <f>IF(I101-MIN(I$26,I101)-Q101&lt;0.005,0,I101-MIN(I$26,I101)-Q101)</f>
        <v>0</v>
      </c>
      <c r="Z101" s="36">
        <f>IF(J101-MIN(J$26,J101)-R101&lt;0.005,0,J101-MIN(J$26,J101)-R101)</f>
        <v>0</v>
      </c>
      <c r="AA101" s="36">
        <f>IF(K101-MIN(K$26,K101)-S101&lt;0.005,0,K101-MIN(K$26,K101)-S101)</f>
        <v>0</v>
      </c>
      <c r="AB101" s="36">
        <f>IF(L101-MIN(L$26,L101)-T101&lt;0.005,0,L101-MIN(L$26,L101)-T101)</f>
        <v>0</v>
      </c>
      <c r="AC101" s="36">
        <f>SUM(U101:AB101)</f>
        <v>0</v>
      </c>
      <c r="AD101" s="36">
        <f>D101+SUM(M101:T101)</f>
        <v>0</v>
      </c>
    </row>
    <row r="102">
      <c r="B102" s="40" t="n">
        <v>72</v>
      </c>
      <c r="C102" s="36" t="n">
        <v>0</v>
      </c>
      <c r="D102" s="36">
        <f>MIN(E$26,E102)+MIN(F$26,F102)+MIN(G$26,G102)+MIN(H$26,H102)+MIN(I$26,I102)+MIN(J$26,J102)+MIN(K$26,K102)+MIN(L$26,L102)</f>
        <v>0</v>
      </c>
      <c r="E102" s="36">
        <f>U101*(1+E$25)</f>
        <v>0</v>
      </c>
      <c r="F102" s="36">
        <f>V101*(1+F$25)</f>
        <v>0</v>
      </c>
      <c r="G102" s="36">
        <f>W101*(1+G$25)</f>
        <v>0</v>
      </c>
      <c r="H102" s="36">
        <f>X101*(1+H$25)</f>
        <v>0</v>
      </c>
      <c r="I102" s="36">
        <f>Y101*(1+I$25)</f>
        <v>0</v>
      </c>
      <c r="J102" s="36">
        <f>Z101*(1+J$25)</f>
        <v>0</v>
      </c>
      <c r="K102" s="36">
        <f>AA101*(1+K$25)</f>
        <v>0</v>
      </c>
      <c r="L102" s="36">
        <f>AB101*(1+L$25)</f>
        <v>0</v>
      </c>
      <c r="M102" s="36">
        <f>MIN(E102-MIN(E$26,E102),MAX(0,$C102-0))</f>
        <v>0</v>
      </c>
      <c r="N102" s="36">
        <f>MIN(F102-MIN(F$26,F102),MAX(0,$C102-SUM($M102:M102)))</f>
        <v>0</v>
      </c>
      <c r="O102" s="36">
        <f>MIN(G102-MIN(G$26,G102),MAX(0,$C102-SUM($M102:N102)))</f>
        <v>0</v>
      </c>
      <c r="P102" s="36">
        <f>MIN(H102-MIN(H$26,H102),MAX(0,$C102-SUM($M102:O102)))</f>
        <v>0</v>
      </c>
      <c r="Q102" s="36">
        <f>MIN(I102-MIN(I$26,I102),MAX(0,$C102-SUM($M102:P102)))</f>
        <v>0</v>
      </c>
      <c r="R102" s="36">
        <f>MIN(J102-MIN(J$26,J102),MAX(0,$C102-SUM($M102:Q102)))</f>
        <v>0</v>
      </c>
      <c r="S102" s="36">
        <f>MIN(K102-MIN(K$26,K102),MAX(0,$C102-SUM($M102:R102)))</f>
        <v>0</v>
      </c>
      <c r="T102" s="36">
        <f>MIN(L102-MIN(L$26,L102),MAX(0,$C102-SUM($M102:S102)))</f>
        <v>0</v>
      </c>
      <c r="U102" s="36">
        <f>IF(E102-MIN(E$26,E102)-M102&lt;0.005,0,E102-MIN(E$26,E102)-M102)</f>
        <v>0</v>
      </c>
      <c r="V102" s="36">
        <f>IF(F102-MIN(F$26,F102)-N102&lt;0.005,0,F102-MIN(F$26,F102)-N102)</f>
        <v>0</v>
      </c>
      <c r="W102" s="36">
        <f>IF(G102-MIN(G$26,G102)-O102&lt;0.005,0,G102-MIN(G$26,G102)-O102)</f>
        <v>0</v>
      </c>
      <c r="X102" s="36">
        <f>IF(H102-MIN(H$26,H102)-P102&lt;0.005,0,H102-MIN(H$26,H102)-P102)</f>
        <v>0</v>
      </c>
      <c r="Y102" s="36">
        <f>IF(I102-MIN(I$26,I102)-Q102&lt;0.005,0,I102-MIN(I$26,I102)-Q102)</f>
        <v>0</v>
      </c>
      <c r="Z102" s="36">
        <f>IF(J102-MIN(J$26,J102)-R102&lt;0.005,0,J102-MIN(J$26,J102)-R102)</f>
        <v>0</v>
      </c>
      <c r="AA102" s="36">
        <f>IF(K102-MIN(K$26,K102)-S102&lt;0.005,0,K102-MIN(K$26,K102)-S102)</f>
        <v>0</v>
      </c>
      <c r="AB102" s="36">
        <f>IF(L102-MIN(L$26,L102)-T102&lt;0.005,0,L102-MIN(L$26,L102)-T102)</f>
        <v>0</v>
      </c>
      <c r="AC102" s="36">
        <f>SUM(U102:AB102)</f>
        <v>0</v>
      </c>
      <c r="AD102" s="36">
        <f>D102+SUM(M102:T102)</f>
        <v>0</v>
      </c>
    </row>
    <row r="103">
      <c r="B103" s="40" t="n">
        <v>73</v>
      </c>
      <c r="C103" s="36" t="n">
        <v>0</v>
      </c>
      <c r="D103" s="36">
        <f>MIN(E$26,E103)+MIN(F$26,F103)+MIN(G$26,G103)+MIN(H$26,H103)+MIN(I$26,I103)+MIN(J$26,J103)+MIN(K$26,K103)+MIN(L$26,L103)</f>
        <v>0</v>
      </c>
      <c r="E103" s="36">
        <f>U102*(1+E$25)</f>
        <v>0</v>
      </c>
      <c r="F103" s="36">
        <f>V102*(1+F$25)</f>
        <v>0</v>
      </c>
      <c r="G103" s="36">
        <f>W102*(1+G$25)</f>
        <v>0</v>
      </c>
      <c r="H103" s="36">
        <f>X102*(1+H$25)</f>
        <v>0</v>
      </c>
      <c r="I103" s="36">
        <f>Y102*(1+I$25)</f>
        <v>0</v>
      </c>
      <c r="J103" s="36">
        <f>Z102*(1+J$25)</f>
        <v>0</v>
      </c>
      <c r="K103" s="36">
        <f>AA102*(1+K$25)</f>
        <v>0</v>
      </c>
      <c r="L103" s="36">
        <f>AB102*(1+L$25)</f>
        <v>0</v>
      </c>
      <c r="M103" s="36">
        <f>MIN(E103-MIN(E$26,E103),MAX(0,$C103-0))</f>
        <v>0</v>
      </c>
      <c r="N103" s="36">
        <f>MIN(F103-MIN(F$26,F103),MAX(0,$C103-SUM($M103:M103)))</f>
        <v>0</v>
      </c>
      <c r="O103" s="36">
        <f>MIN(G103-MIN(G$26,G103),MAX(0,$C103-SUM($M103:N103)))</f>
        <v>0</v>
      </c>
      <c r="P103" s="36">
        <f>MIN(H103-MIN(H$26,H103),MAX(0,$C103-SUM($M103:O103)))</f>
        <v>0</v>
      </c>
      <c r="Q103" s="36">
        <f>MIN(I103-MIN(I$26,I103),MAX(0,$C103-SUM($M103:P103)))</f>
        <v>0</v>
      </c>
      <c r="R103" s="36">
        <f>MIN(J103-MIN(J$26,J103),MAX(0,$C103-SUM($M103:Q103)))</f>
        <v>0</v>
      </c>
      <c r="S103" s="36">
        <f>MIN(K103-MIN(K$26,K103),MAX(0,$C103-SUM($M103:R103)))</f>
        <v>0</v>
      </c>
      <c r="T103" s="36">
        <f>MIN(L103-MIN(L$26,L103),MAX(0,$C103-SUM($M103:S103)))</f>
        <v>0</v>
      </c>
      <c r="U103" s="36">
        <f>IF(E103-MIN(E$26,E103)-M103&lt;0.005,0,E103-MIN(E$26,E103)-M103)</f>
        <v>0</v>
      </c>
      <c r="V103" s="36">
        <f>IF(F103-MIN(F$26,F103)-N103&lt;0.005,0,F103-MIN(F$26,F103)-N103)</f>
        <v>0</v>
      </c>
      <c r="W103" s="36">
        <f>IF(G103-MIN(G$26,G103)-O103&lt;0.005,0,G103-MIN(G$26,G103)-O103)</f>
        <v>0</v>
      </c>
      <c r="X103" s="36">
        <f>IF(H103-MIN(H$26,H103)-P103&lt;0.005,0,H103-MIN(H$26,H103)-P103)</f>
        <v>0</v>
      </c>
      <c r="Y103" s="36">
        <f>IF(I103-MIN(I$26,I103)-Q103&lt;0.005,0,I103-MIN(I$26,I103)-Q103)</f>
        <v>0</v>
      </c>
      <c r="Z103" s="36">
        <f>IF(J103-MIN(J$26,J103)-R103&lt;0.005,0,J103-MIN(J$26,J103)-R103)</f>
        <v>0</v>
      </c>
      <c r="AA103" s="36">
        <f>IF(K103-MIN(K$26,K103)-S103&lt;0.005,0,K103-MIN(K$26,K103)-S103)</f>
        <v>0</v>
      </c>
      <c r="AB103" s="36">
        <f>IF(L103-MIN(L$26,L103)-T103&lt;0.005,0,L103-MIN(L$26,L103)-T103)</f>
        <v>0</v>
      </c>
      <c r="AC103" s="36">
        <f>SUM(U103:AB103)</f>
        <v>0</v>
      </c>
      <c r="AD103" s="36">
        <f>D103+SUM(M103:T103)</f>
        <v>0</v>
      </c>
    </row>
    <row r="104">
      <c r="B104" s="40" t="n">
        <v>74</v>
      </c>
      <c r="C104" s="36" t="n">
        <v>0</v>
      </c>
      <c r="D104" s="36">
        <f>MIN(E$26,E104)+MIN(F$26,F104)+MIN(G$26,G104)+MIN(H$26,H104)+MIN(I$26,I104)+MIN(J$26,J104)+MIN(K$26,K104)+MIN(L$26,L104)</f>
        <v>0</v>
      </c>
      <c r="E104" s="36">
        <f>U103*(1+E$25)</f>
        <v>0</v>
      </c>
      <c r="F104" s="36">
        <f>V103*(1+F$25)</f>
        <v>0</v>
      </c>
      <c r="G104" s="36">
        <f>W103*(1+G$25)</f>
        <v>0</v>
      </c>
      <c r="H104" s="36">
        <f>X103*(1+H$25)</f>
        <v>0</v>
      </c>
      <c r="I104" s="36">
        <f>Y103*(1+I$25)</f>
        <v>0</v>
      </c>
      <c r="J104" s="36">
        <f>Z103*(1+J$25)</f>
        <v>0</v>
      </c>
      <c r="K104" s="36">
        <f>AA103*(1+K$25)</f>
        <v>0</v>
      </c>
      <c r="L104" s="36">
        <f>AB103*(1+L$25)</f>
        <v>0</v>
      </c>
      <c r="M104" s="36">
        <f>MIN(E104-MIN(E$26,E104),MAX(0,$C104-0))</f>
        <v>0</v>
      </c>
      <c r="N104" s="36">
        <f>MIN(F104-MIN(F$26,F104),MAX(0,$C104-SUM($M104:M104)))</f>
        <v>0</v>
      </c>
      <c r="O104" s="36">
        <f>MIN(G104-MIN(G$26,G104),MAX(0,$C104-SUM($M104:N104)))</f>
        <v>0</v>
      </c>
      <c r="P104" s="36">
        <f>MIN(H104-MIN(H$26,H104),MAX(0,$C104-SUM($M104:O104)))</f>
        <v>0</v>
      </c>
      <c r="Q104" s="36">
        <f>MIN(I104-MIN(I$26,I104),MAX(0,$C104-SUM($M104:P104)))</f>
        <v>0</v>
      </c>
      <c r="R104" s="36">
        <f>MIN(J104-MIN(J$26,J104),MAX(0,$C104-SUM($M104:Q104)))</f>
        <v>0</v>
      </c>
      <c r="S104" s="36">
        <f>MIN(K104-MIN(K$26,K104),MAX(0,$C104-SUM($M104:R104)))</f>
        <v>0</v>
      </c>
      <c r="T104" s="36">
        <f>MIN(L104-MIN(L$26,L104),MAX(0,$C104-SUM($M104:S104)))</f>
        <v>0</v>
      </c>
      <c r="U104" s="36">
        <f>IF(E104-MIN(E$26,E104)-M104&lt;0.005,0,E104-MIN(E$26,E104)-M104)</f>
        <v>0</v>
      </c>
      <c r="V104" s="36">
        <f>IF(F104-MIN(F$26,F104)-N104&lt;0.005,0,F104-MIN(F$26,F104)-N104)</f>
        <v>0</v>
      </c>
      <c r="W104" s="36">
        <f>IF(G104-MIN(G$26,G104)-O104&lt;0.005,0,G104-MIN(G$26,G104)-O104)</f>
        <v>0</v>
      </c>
      <c r="X104" s="36">
        <f>IF(H104-MIN(H$26,H104)-P104&lt;0.005,0,H104-MIN(H$26,H104)-P104)</f>
        <v>0</v>
      </c>
      <c r="Y104" s="36">
        <f>IF(I104-MIN(I$26,I104)-Q104&lt;0.005,0,I104-MIN(I$26,I104)-Q104)</f>
        <v>0</v>
      </c>
      <c r="Z104" s="36">
        <f>IF(J104-MIN(J$26,J104)-R104&lt;0.005,0,J104-MIN(J$26,J104)-R104)</f>
        <v>0</v>
      </c>
      <c r="AA104" s="36">
        <f>IF(K104-MIN(K$26,K104)-S104&lt;0.005,0,K104-MIN(K$26,K104)-S104)</f>
        <v>0</v>
      </c>
      <c r="AB104" s="36">
        <f>IF(L104-MIN(L$26,L104)-T104&lt;0.005,0,L104-MIN(L$26,L104)-T104)</f>
        <v>0</v>
      </c>
      <c r="AC104" s="36">
        <f>SUM(U104:AB104)</f>
        <v>0</v>
      </c>
      <c r="AD104" s="36">
        <f>D104+SUM(M104:T104)</f>
        <v>0</v>
      </c>
    </row>
    <row r="105">
      <c r="B105" s="40" t="n">
        <v>75</v>
      </c>
      <c r="C105" s="36" t="n">
        <v>0</v>
      </c>
      <c r="D105" s="36">
        <f>MIN(E$26,E105)+MIN(F$26,F105)+MIN(G$26,G105)+MIN(H$26,H105)+MIN(I$26,I105)+MIN(J$26,J105)+MIN(K$26,K105)+MIN(L$26,L105)</f>
        <v>0</v>
      </c>
      <c r="E105" s="36">
        <f>U104*(1+E$25)</f>
        <v>0</v>
      </c>
      <c r="F105" s="36">
        <f>V104*(1+F$25)</f>
        <v>0</v>
      </c>
      <c r="G105" s="36">
        <f>W104*(1+G$25)</f>
        <v>0</v>
      </c>
      <c r="H105" s="36">
        <f>X104*(1+H$25)</f>
        <v>0</v>
      </c>
      <c r="I105" s="36">
        <f>Y104*(1+I$25)</f>
        <v>0</v>
      </c>
      <c r="J105" s="36">
        <f>Z104*(1+J$25)</f>
        <v>0</v>
      </c>
      <c r="K105" s="36">
        <f>AA104*(1+K$25)</f>
        <v>0</v>
      </c>
      <c r="L105" s="36">
        <f>AB104*(1+L$25)</f>
        <v>0</v>
      </c>
      <c r="M105" s="36">
        <f>MIN(E105-MIN(E$26,E105),MAX(0,$C105-0))</f>
        <v>0</v>
      </c>
      <c r="N105" s="36">
        <f>MIN(F105-MIN(F$26,F105),MAX(0,$C105-SUM($M105:M105)))</f>
        <v>0</v>
      </c>
      <c r="O105" s="36">
        <f>MIN(G105-MIN(G$26,G105),MAX(0,$C105-SUM($M105:N105)))</f>
        <v>0</v>
      </c>
      <c r="P105" s="36">
        <f>MIN(H105-MIN(H$26,H105),MAX(0,$C105-SUM($M105:O105)))</f>
        <v>0</v>
      </c>
      <c r="Q105" s="36">
        <f>MIN(I105-MIN(I$26,I105),MAX(0,$C105-SUM($M105:P105)))</f>
        <v>0</v>
      </c>
      <c r="R105" s="36">
        <f>MIN(J105-MIN(J$26,J105),MAX(0,$C105-SUM($M105:Q105)))</f>
        <v>0</v>
      </c>
      <c r="S105" s="36">
        <f>MIN(K105-MIN(K$26,K105),MAX(0,$C105-SUM($M105:R105)))</f>
        <v>0</v>
      </c>
      <c r="T105" s="36">
        <f>MIN(L105-MIN(L$26,L105),MAX(0,$C105-SUM($M105:S105)))</f>
        <v>0</v>
      </c>
      <c r="U105" s="36">
        <f>IF(E105-MIN(E$26,E105)-M105&lt;0.005,0,E105-MIN(E$26,E105)-M105)</f>
        <v>0</v>
      </c>
      <c r="V105" s="36">
        <f>IF(F105-MIN(F$26,F105)-N105&lt;0.005,0,F105-MIN(F$26,F105)-N105)</f>
        <v>0</v>
      </c>
      <c r="W105" s="36">
        <f>IF(G105-MIN(G$26,G105)-O105&lt;0.005,0,G105-MIN(G$26,G105)-O105)</f>
        <v>0</v>
      </c>
      <c r="X105" s="36">
        <f>IF(H105-MIN(H$26,H105)-P105&lt;0.005,0,H105-MIN(H$26,H105)-P105)</f>
        <v>0</v>
      </c>
      <c r="Y105" s="36">
        <f>IF(I105-MIN(I$26,I105)-Q105&lt;0.005,0,I105-MIN(I$26,I105)-Q105)</f>
        <v>0</v>
      </c>
      <c r="Z105" s="36">
        <f>IF(J105-MIN(J$26,J105)-R105&lt;0.005,0,J105-MIN(J$26,J105)-R105)</f>
        <v>0</v>
      </c>
      <c r="AA105" s="36">
        <f>IF(K105-MIN(K$26,K105)-S105&lt;0.005,0,K105-MIN(K$26,K105)-S105)</f>
        <v>0</v>
      </c>
      <c r="AB105" s="36">
        <f>IF(L105-MIN(L$26,L105)-T105&lt;0.005,0,L105-MIN(L$26,L105)-T105)</f>
        <v>0</v>
      </c>
      <c r="AC105" s="36">
        <f>SUM(U105:AB105)</f>
        <v>0</v>
      </c>
      <c r="AD105" s="36">
        <f>D105+SUM(M105:T105)</f>
        <v>0</v>
      </c>
    </row>
    <row r="106">
      <c r="B106" s="40" t="n">
        <v>76</v>
      </c>
      <c r="C106" s="36" t="n">
        <v>0</v>
      </c>
      <c r="D106" s="36">
        <f>MIN(E$26,E106)+MIN(F$26,F106)+MIN(G$26,G106)+MIN(H$26,H106)+MIN(I$26,I106)+MIN(J$26,J106)+MIN(K$26,K106)+MIN(L$26,L106)</f>
        <v>0</v>
      </c>
      <c r="E106" s="36">
        <f>U105*(1+E$25)</f>
        <v>0</v>
      </c>
      <c r="F106" s="36">
        <f>V105*(1+F$25)</f>
        <v>0</v>
      </c>
      <c r="G106" s="36">
        <f>W105*(1+G$25)</f>
        <v>0</v>
      </c>
      <c r="H106" s="36">
        <f>X105*(1+H$25)</f>
        <v>0</v>
      </c>
      <c r="I106" s="36">
        <f>Y105*(1+I$25)</f>
        <v>0</v>
      </c>
      <c r="J106" s="36">
        <f>Z105*(1+J$25)</f>
        <v>0</v>
      </c>
      <c r="K106" s="36">
        <f>AA105*(1+K$25)</f>
        <v>0</v>
      </c>
      <c r="L106" s="36">
        <f>AB105*(1+L$25)</f>
        <v>0</v>
      </c>
      <c r="M106" s="36">
        <f>MIN(E106-MIN(E$26,E106),MAX(0,$C106-0))</f>
        <v>0</v>
      </c>
      <c r="N106" s="36">
        <f>MIN(F106-MIN(F$26,F106),MAX(0,$C106-SUM($M106:M106)))</f>
        <v>0</v>
      </c>
      <c r="O106" s="36">
        <f>MIN(G106-MIN(G$26,G106),MAX(0,$C106-SUM($M106:N106)))</f>
        <v>0</v>
      </c>
      <c r="P106" s="36">
        <f>MIN(H106-MIN(H$26,H106),MAX(0,$C106-SUM($M106:O106)))</f>
        <v>0</v>
      </c>
      <c r="Q106" s="36">
        <f>MIN(I106-MIN(I$26,I106),MAX(0,$C106-SUM($M106:P106)))</f>
        <v>0</v>
      </c>
      <c r="R106" s="36">
        <f>MIN(J106-MIN(J$26,J106),MAX(0,$C106-SUM($M106:Q106)))</f>
        <v>0</v>
      </c>
      <c r="S106" s="36">
        <f>MIN(K106-MIN(K$26,K106),MAX(0,$C106-SUM($M106:R106)))</f>
        <v>0</v>
      </c>
      <c r="T106" s="36">
        <f>MIN(L106-MIN(L$26,L106),MAX(0,$C106-SUM($M106:S106)))</f>
        <v>0</v>
      </c>
      <c r="U106" s="36">
        <f>IF(E106-MIN(E$26,E106)-M106&lt;0.005,0,E106-MIN(E$26,E106)-M106)</f>
        <v>0</v>
      </c>
      <c r="V106" s="36">
        <f>IF(F106-MIN(F$26,F106)-N106&lt;0.005,0,F106-MIN(F$26,F106)-N106)</f>
        <v>0</v>
      </c>
      <c r="W106" s="36">
        <f>IF(G106-MIN(G$26,G106)-O106&lt;0.005,0,G106-MIN(G$26,G106)-O106)</f>
        <v>0</v>
      </c>
      <c r="X106" s="36">
        <f>IF(H106-MIN(H$26,H106)-P106&lt;0.005,0,H106-MIN(H$26,H106)-P106)</f>
        <v>0</v>
      </c>
      <c r="Y106" s="36">
        <f>IF(I106-MIN(I$26,I106)-Q106&lt;0.005,0,I106-MIN(I$26,I106)-Q106)</f>
        <v>0</v>
      </c>
      <c r="Z106" s="36">
        <f>IF(J106-MIN(J$26,J106)-R106&lt;0.005,0,J106-MIN(J$26,J106)-R106)</f>
        <v>0</v>
      </c>
      <c r="AA106" s="36">
        <f>IF(K106-MIN(K$26,K106)-S106&lt;0.005,0,K106-MIN(K$26,K106)-S106)</f>
        <v>0</v>
      </c>
      <c r="AB106" s="36">
        <f>IF(L106-MIN(L$26,L106)-T106&lt;0.005,0,L106-MIN(L$26,L106)-T106)</f>
        <v>0</v>
      </c>
      <c r="AC106" s="36">
        <f>SUM(U106:AB106)</f>
        <v>0</v>
      </c>
      <c r="AD106" s="36">
        <f>D106+SUM(M106:T106)</f>
        <v>0</v>
      </c>
    </row>
    <row r="107">
      <c r="B107" s="40" t="n">
        <v>77</v>
      </c>
      <c r="C107" s="36" t="n">
        <v>0</v>
      </c>
      <c r="D107" s="36">
        <f>MIN(E$26,E107)+MIN(F$26,F107)+MIN(G$26,G107)+MIN(H$26,H107)+MIN(I$26,I107)+MIN(J$26,J107)+MIN(K$26,K107)+MIN(L$26,L107)</f>
        <v>0</v>
      </c>
      <c r="E107" s="36">
        <f>U106*(1+E$25)</f>
        <v>0</v>
      </c>
      <c r="F107" s="36">
        <f>V106*(1+F$25)</f>
        <v>0</v>
      </c>
      <c r="G107" s="36">
        <f>W106*(1+G$25)</f>
        <v>0</v>
      </c>
      <c r="H107" s="36">
        <f>X106*(1+H$25)</f>
        <v>0</v>
      </c>
      <c r="I107" s="36">
        <f>Y106*(1+I$25)</f>
        <v>0</v>
      </c>
      <c r="J107" s="36">
        <f>Z106*(1+J$25)</f>
        <v>0</v>
      </c>
      <c r="K107" s="36">
        <f>AA106*(1+K$25)</f>
        <v>0</v>
      </c>
      <c r="L107" s="36">
        <f>AB106*(1+L$25)</f>
        <v>0</v>
      </c>
      <c r="M107" s="36">
        <f>MIN(E107-MIN(E$26,E107),MAX(0,$C107-0))</f>
        <v>0</v>
      </c>
      <c r="N107" s="36">
        <f>MIN(F107-MIN(F$26,F107),MAX(0,$C107-SUM($M107:M107)))</f>
        <v>0</v>
      </c>
      <c r="O107" s="36">
        <f>MIN(G107-MIN(G$26,G107),MAX(0,$C107-SUM($M107:N107)))</f>
        <v>0</v>
      </c>
      <c r="P107" s="36">
        <f>MIN(H107-MIN(H$26,H107),MAX(0,$C107-SUM($M107:O107)))</f>
        <v>0</v>
      </c>
      <c r="Q107" s="36">
        <f>MIN(I107-MIN(I$26,I107),MAX(0,$C107-SUM($M107:P107)))</f>
        <v>0</v>
      </c>
      <c r="R107" s="36">
        <f>MIN(J107-MIN(J$26,J107),MAX(0,$C107-SUM($M107:Q107)))</f>
        <v>0</v>
      </c>
      <c r="S107" s="36">
        <f>MIN(K107-MIN(K$26,K107),MAX(0,$C107-SUM($M107:R107)))</f>
        <v>0</v>
      </c>
      <c r="T107" s="36">
        <f>MIN(L107-MIN(L$26,L107),MAX(0,$C107-SUM($M107:S107)))</f>
        <v>0</v>
      </c>
      <c r="U107" s="36">
        <f>IF(E107-MIN(E$26,E107)-M107&lt;0.005,0,E107-MIN(E$26,E107)-M107)</f>
        <v>0</v>
      </c>
      <c r="V107" s="36">
        <f>IF(F107-MIN(F$26,F107)-N107&lt;0.005,0,F107-MIN(F$26,F107)-N107)</f>
        <v>0</v>
      </c>
      <c r="W107" s="36">
        <f>IF(G107-MIN(G$26,G107)-O107&lt;0.005,0,G107-MIN(G$26,G107)-O107)</f>
        <v>0</v>
      </c>
      <c r="X107" s="36">
        <f>IF(H107-MIN(H$26,H107)-P107&lt;0.005,0,H107-MIN(H$26,H107)-P107)</f>
        <v>0</v>
      </c>
      <c r="Y107" s="36">
        <f>IF(I107-MIN(I$26,I107)-Q107&lt;0.005,0,I107-MIN(I$26,I107)-Q107)</f>
        <v>0</v>
      </c>
      <c r="Z107" s="36">
        <f>IF(J107-MIN(J$26,J107)-R107&lt;0.005,0,J107-MIN(J$26,J107)-R107)</f>
        <v>0</v>
      </c>
      <c r="AA107" s="36">
        <f>IF(K107-MIN(K$26,K107)-S107&lt;0.005,0,K107-MIN(K$26,K107)-S107)</f>
        <v>0</v>
      </c>
      <c r="AB107" s="36">
        <f>IF(L107-MIN(L$26,L107)-T107&lt;0.005,0,L107-MIN(L$26,L107)-T107)</f>
        <v>0</v>
      </c>
      <c r="AC107" s="36">
        <f>SUM(U107:AB107)</f>
        <v>0</v>
      </c>
      <c r="AD107" s="36">
        <f>D107+SUM(M107:T107)</f>
        <v>0</v>
      </c>
    </row>
    <row r="108">
      <c r="B108" s="40" t="n">
        <v>78</v>
      </c>
      <c r="C108" s="36" t="n">
        <v>0</v>
      </c>
      <c r="D108" s="36">
        <f>MIN(E$26,E108)+MIN(F$26,F108)+MIN(G$26,G108)+MIN(H$26,H108)+MIN(I$26,I108)+MIN(J$26,J108)+MIN(K$26,K108)+MIN(L$26,L108)</f>
        <v>0</v>
      </c>
      <c r="E108" s="36">
        <f>U107*(1+E$25)</f>
        <v>0</v>
      </c>
      <c r="F108" s="36">
        <f>V107*(1+F$25)</f>
        <v>0</v>
      </c>
      <c r="G108" s="36">
        <f>W107*(1+G$25)</f>
        <v>0</v>
      </c>
      <c r="H108" s="36">
        <f>X107*(1+H$25)</f>
        <v>0</v>
      </c>
      <c r="I108" s="36">
        <f>Y107*(1+I$25)</f>
        <v>0</v>
      </c>
      <c r="J108" s="36">
        <f>Z107*(1+J$25)</f>
        <v>0</v>
      </c>
      <c r="K108" s="36">
        <f>AA107*(1+K$25)</f>
        <v>0</v>
      </c>
      <c r="L108" s="36">
        <f>AB107*(1+L$25)</f>
        <v>0</v>
      </c>
      <c r="M108" s="36">
        <f>MIN(E108-MIN(E$26,E108),MAX(0,$C108-0))</f>
        <v>0</v>
      </c>
      <c r="N108" s="36">
        <f>MIN(F108-MIN(F$26,F108),MAX(0,$C108-SUM($M108:M108)))</f>
        <v>0</v>
      </c>
      <c r="O108" s="36">
        <f>MIN(G108-MIN(G$26,G108),MAX(0,$C108-SUM($M108:N108)))</f>
        <v>0</v>
      </c>
      <c r="P108" s="36">
        <f>MIN(H108-MIN(H$26,H108),MAX(0,$C108-SUM($M108:O108)))</f>
        <v>0</v>
      </c>
      <c r="Q108" s="36">
        <f>MIN(I108-MIN(I$26,I108),MAX(0,$C108-SUM($M108:P108)))</f>
        <v>0</v>
      </c>
      <c r="R108" s="36">
        <f>MIN(J108-MIN(J$26,J108),MAX(0,$C108-SUM($M108:Q108)))</f>
        <v>0</v>
      </c>
      <c r="S108" s="36">
        <f>MIN(K108-MIN(K$26,K108),MAX(0,$C108-SUM($M108:R108)))</f>
        <v>0</v>
      </c>
      <c r="T108" s="36">
        <f>MIN(L108-MIN(L$26,L108),MAX(0,$C108-SUM($M108:S108)))</f>
        <v>0</v>
      </c>
      <c r="U108" s="36">
        <f>IF(E108-MIN(E$26,E108)-M108&lt;0.005,0,E108-MIN(E$26,E108)-M108)</f>
        <v>0</v>
      </c>
      <c r="V108" s="36">
        <f>IF(F108-MIN(F$26,F108)-N108&lt;0.005,0,F108-MIN(F$26,F108)-N108)</f>
        <v>0</v>
      </c>
      <c r="W108" s="36">
        <f>IF(G108-MIN(G$26,G108)-O108&lt;0.005,0,G108-MIN(G$26,G108)-O108)</f>
        <v>0</v>
      </c>
      <c r="X108" s="36">
        <f>IF(H108-MIN(H$26,H108)-P108&lt;0.005,0,H108-MIN(H$26,H108)-P108)</f>
        <v>0</v>
      </c>
      <c r="Y108" s="36">
        <f>IF(I108-MIN(I$26,I108)-Q108&lt;0.005,0,I108-MIN(I$26,I108)-Q108)</f>
        <v>0</v>
      </c>
      <c r="Z108" s="36">
        <f>IF(J108-MIN(J$26,J108)-R108&lt;0.005,0,J108-MIN(J$26,J108)-R108)</f>
        <v>0</v>
      </c>
      <c r="AA108" s="36">
        <f>IF(K108-MIN(K$26,K108)-S108&lt;0.005,0,K108-MIN(K$26,K108)-S108)</f>
        <v>0</v>
      </c>
      <c r="AB108" s="36">
        <f>IF(L108-MIN(L$26,L108)-T108&lt;0.005,0,L108-MIN(L$26,L108)-T108)</f>
        <v>0</v>
      </c>
      <c r="AC108" s="36">
        <f>SUM(U108:AB108)</f>
        <v>0</v>
      </c>
      <c r="AD108" s="36">
        <f>D108+SUM(M108:T108)</f>
        <v>0</v>
      </c>
    </row>
    <row r="109">
      <c r="B109" s="40" t="n">
        <v>79</v>
      </c>
      <c r="C109" s="36" t="n">
        <v>0</v>
      </c>
      <c r="D109" s="36">
        <f>MIN(E$26,E109)+MIN(F$26,F109)+MIN(G$26,G109)+MIN(H$26,H109)+MIN(I$26,I109)+MIN(J$26,J109)+MIN(K$26,K109)+MIN(L$26,L109)</f>
        <v>0</v>
      </c>
      <c r="E109" s="36">
        <f>U108*(1+E$25)</f>
        <v>0</v>
      </c>
      <c r="F109" s="36">
        <f>V108*(1+F$25)</f>
        <v>0</v>
      </c>
      <c r="G109" s="36">
        <f>W108*(1+G$25)</f>
        <v>0</v>
      </c>
      <c r="H109" s="36">
        <f>X108*(1+H$25)</f>
        <v>0</v>
      </c>
      <c r="I109" s="36">
        <f>Y108*(1+I$25)</f>
        <v>0</v>
      </c>
      <c r="J109" s="36">
        <f>Z108*(1+J$25)</f>
        <v>0</v>
      </c>
      <c r="K109" s="36">
        <f>AA108*(1+K$25)</f>
        <v>0</v>
      </c>
      <c r="L109" s="36">
        <f>AB108*(1+L$25)</f>
        <v>0</v>
      </c>
      <c r="M109" s="36">
        <f>MIN(E109-MIN(E$26,E109),MAX(0,$C109-0))</f>
        <v>0</v>
      </c>
      <c r="N109" s="36">
        <f>MIN(F109-MIN(F$26,F109),MAX(0,$C109-SUM($M109:M109)))</f>
        <v>0</v>
      </c>
      <c r="O109" s="36">
        <f>MIN(G109-MIN(G$26,G109),MAX(0,$C109-SUM($M109:N109)))</f>
        <v>0</v>
      </c>
      <c r="P109" s="36">
        <f>MIN(H109-MIN(H$26,H109),MAX(0,$C109-SUM($M109:O109)))</f>
        <v>0</v>
      </c>
      <c r="Q109" s="36">
        <f>MIN(I109-MIN(I$26,I109),MAX(0,$C109-SUM($M109:P109)))</f>
        <v>0</v>
      </c>
      <c r="R109" s="36">
        <f>MIN(J109-MIN(J$26,J109),MAX(0,$C109-SUM($M109:Q109)))</f>
        <v>0</v>
      </c>
      <c r="S109" s="36">
        <f>MIN(K109-MIN(K$26,K109),MAX(0,$C109-SUM($M109:R109)))</f>
        <v>0</v>
      </c>
      <c r="T109" s="36">
        <f>MIN(L109-MIN(L$26,L109),MAX(0,$C109-SUM($M109:S109)))</f>
        <v>0</v>
      </c>
      <c r="U109" s="36">
        <f>IF(E109-MIN(E$26,E109)-M109&lt;0.005,0,E109-MIN(E$26,E109)-M109)</f>
        <v>0</v>
      </c>
      <c r="V109" s="36">
        <f>IF(F109-MIN(F$26,F109)-N109&lt;0.005,0,F109-MIN(F$26,F109)-N109)</f>
        <v>0</v>
      </c>
      <c r="W109" s="36">
        <f>IF(G109-MIN(G$26,G109)-O109&lt;0.005,0,G109-MIN(G$26,G109)-O109)</f>
        <v>0</v>
      </c>
      <c r="X109" s="36">
        <f>IF(H109-MIN(H$26,H109)-P109&lt;0.005,0,H109-MIN(H$26,H109)-P109)</f>
        <v>0</v>
      </c>
      <c r="Y109" s="36">
        <f>IF(I109-MIN(I$26,I109)-Q109&lt;0.005,0,I109-MIN(I$26,I109)-Q109)</f>
        <v>0</v>
      </c>
      <c r="Z109" s="36">
        <f>IF(J109-MIN(J$26,J109)-R109&lt;0.005,0,J109-MIN(J$26,J109)-R109)</f>
        <v>0</v>
      </c>
      <c r="AA109" s="36">
        <f>IF(K109-MIN(K$26,K109)-S109&lt;0.005,0,K109-MIN(K$26,K109)-S109)</f>
        <v>0</v>
      </c>
      <c r="AB109" s="36">
        <f>IF(L109-MIN(L$26,L109)-T109&lt;0.005,0,L109-MIN(L$26,L109)-T109)</f>
        <v>0</v>
      </c>
      <c r="AC109" s="36">
        <f>SUM(U109:AB109)</f>
        <v>0</v>
      </c>
      <c r="AD109" s="36">
        <f>D109+SUM(M109:T109)</f>
        <v>0</v>
      </c>
    </row>
    <row r="110">
      <c r="B110" s="40" t="n">
        <v>80</v>
      </c>
      <c r="C110" s="36" t="n">
        <v>0</v>
      </c>
      <c r="D110" s="36">
        <f>MIN(E$26,E110)+MIN(F$26,F110)+MIN(G$26,G110)+MIN(H$26,H110)+MIN(I$26,I110)+MIN(J$26,J110)+MIN(K$26,K110)+MIN(L$26,L110)</f>
        <v>0</v>
      </c>
      <c r="E110" s="36">
        <f>U109*(1+E$25)</f>
        <v>0</v>
      </c>
      <c r="F110" s="36">
        <f>V109*(1+F$25)</f>
        <v>0</v>
      </c>
      <c r="G110" s="36">
        <f>W109*(1+G$25)</f>
        <v>0</v>
      </c>
      <c r="H110" s="36">
        <f>X109*(1+H$25)</f>
        <v>0</v>
      </c>
      <c r="I110" s="36">
        <f>Y109*(1+I$25)</f>
        <v>0</v>
      </c>
      <c r="J110" s="36">
        <f>Z109*(1+J$25)</f>
        <v>0</v>
      </c>
      <c r="K110" s="36">
        <f>AA109*(1+K$25)</f>
        <v>0</v>
      </c>
      <c r="L110" s="36">
        <f>AB109*(1+L$25)</f>
        <v>0</v>
      </c>
      <c r="M110" s="36">
        <f>MIN(E110-MIN(E$26,E110),MAX(0,$C110-0))</f>
        <v>0</v>
      </c>
      <c r="N110" s="36">
        <f>MIN(F110-MIN(F$26,F110),MAX(0,$C110-SUM($M110:M110)))</f>
        <v>0</v>
      </c>
      <c r="O110" s="36">
        <f>MIN(G110-MIN(G$26,G110),MAX(0,$C110-SUM($M110:N110)))</f>
        <v>0</v>
      </c>
      <c r="P110" s="36">
        <f>MIN(H110-MIN(H$26,H110),MAX(0,$C110-SUM($M110:O110)))</f>
        <v>0</v>
      </c>
      <c r="Q110" s="36">
        <f>MIN(I110-MIN(I$26,I110),MAX(0,$C110-SUM($M110:P110)))</f>
        <v>0</v>
      </c>
      <c r="R110" s="36">
        <f>MIN(J110-MIN(J$26,J110),MAX(0,$C110-SUM($M110:Q110)))</f>
        <v>0</v>
      </c>
      <c r="S110" s="36">
        <f>MIN(K110-MIN(K$26,K110),MAX(0,$C110-SUM($M110:R110)))</f>
        <v>0</v>
      </c>
      <c r="T110" s="36">
        <f>MIN(L110-MIN(L$26,L110),MAX(0,$C110-SUM($M110:S110)))</f>
        <v>0</v>
      </c>
      <c r="U110" s="36">
        <f>IF(E110-MIN(E$26,E110)-M110&lt;0.005,0,E110-MIN(E$26,E110)-M110)</f>
        <v>0</v>
      </c>
      <c r="V110" s="36">
        <f>IF(F110-MIN(F$26,F110)-N110&lt;0.005,0,F110-MIN(F$26,F110)-N110)</f>
        <v>0</v>
      </c>
      <c r="W110" s="36">
        <f>IF(G110-MIN(G$26,G110)-O110&lt;0.005,0,G110-MIN(G$26,G110)-O110)</f>
        <v>0</v>
      </c>
      <c r="X110" s="36">
        <f>IF(H110-MIN(H$26,H110)-P110&lt;0.005,0,H110-MIN(H$26,H110)-P110)</f>
        <v>0</v>
      </c>
      <c r="Y110" s="36">
        <f>IF(I110-MIN(I$26,I110)-Q110&lt;0.005,0,I110-MIN(I$26,I110)-Q110)</f>
        <v>0</v>
      </c>
      <c r="Z110" s="36">
        <f>IF(J110-MIN(J$26,J110)-R110&lt;0.005,0,J110-MIN(J$26,J110)-R110)</f>
        <v>0</v>
      </c>
      <c r="AA110" s="36">
        <f>IF(K110-MIN(K$26,K110)-S110&lt;0.005,0,K110-MIN(K$26,K110)-S110)</f>
        <v>0</v>
      </c>
      <c r="AB110" s="36">
        <f>IF(L110-MIN(L$26,L110)-T110&lt;0.005,0,L110-MIN(L$26,L110)-T110)</f>
        <v>0</v>
      </c>
      <c r="AC110" s="36">
        <f>SUM(U110:AB110)</f>
        <v>0</v>
      </c>
      <c r="AD110" s="36">
        <f>D110+SUM(M110:T110)</f>
        <v>0</v>
      </c>
    </row>
    <row r="111">
      <c r="B111" s="40" t="n">
        <v>81</v>
      </c>
      <c r="C111" s="36" t="n">
        <v>0</v>
      </c>
      <c r="D111" s="36">
        <f>MIN(E$26,E111)+MIN(F$26,F111)+MIN(G$26,G111)+MIN(H$26,H111)+MIN(I$26,I111)+MIN(J$26,J111)+MIN(K$26,K111)+MIN(L$26,L111)</f>
        <v>0</v>
      </c>
      <c r="E111" s="36">
        <f>U110*(1+E$25)</f>
        <v>0</v>
      </c>
      <c r="F111" s="36">
        <f>V110*(1+F$25)</f>
        <v>0</v>
      </c>
      <c r="G111" s="36">
        <f>W110*(1+G$25)</f>
        <v>0</v>
      </c>
      <c r="H111" s="36">
        <f>X110*(1+H$25)</f>
        <v>0</v>
      </c>
      <c r="I111" s="36">
        <f>Y110*(1+I$25)</f>
        <v>0</v>
      </c>
      <c r="J111" s="36">
        <f>Z110*(1+J$25)</f>
        <v>0</v>
      </c>
      <c r="K111" s="36">
        <f>AA110*(1+K$25)</f>
        <v>0</v>
      </c>
      <c r="L111" s="36">
        <f>AB110*(1+L$25)</f>
        <v>0</v>
      </c>
      <c r="M111" s="36">
        <f>MIN(E111-MIN(E$26,E111),MAX(0,$C111-0))</f>
        <v>0</v>
      </c>
      <c r="N111" s="36">
        <f>MIN(F111-MIN(F$26,F111),MAX(0,$C111-SUM($M111:M111)))</f>
        <v>0</v>
      </c>
      <c r="O111" s="36">
        <f>MIN(G111-MIN(G$26,G111),MAX(0,$C111-SUM($M111:N111)))</f>
        <v>0</v>
      </c>
      <c r="P111" s="36">
        <f>MIN(H111-MIN(H$26,H111),MAX(0,$C111-SUM($M111:O111)))</f>
        <v>0</v>
      </c>
      <c r="Q111" s="36">
        <f>MIN(I111-MIN(I$26,I111),MAX(0,$C111-SUM($M111:P111)))</f>
        <v>0</v>
      </c>
      <c r="R111" s="36">
        <f>MIN(J111-MIN(J$26,J111),MAX(0,$C111-SUM($M111:Q111)))</f>
        <v>0</v>
      </c>
      <c r="S111" s="36">
        <f>MIN(K111-MIN(K$26,K111),MAX(0,$C111-SUM($M111:R111)))</f>
        <v>0</v>
      </c>
      <c r="T111" s="36">
        <f>MIN(L111-MIN(L$26,L111),MAX(0,$C111-SUM($M111:S111)))</f>
        <v>0</v>
      </c>
      <c r="U111" s="36">
        <f>IF(E111-MIN(E$26,E111)-M111&lt;0.005,0,E111-MIN(E$26,E111)-M111)</f>
        <v>0</v>
      </c>
      <c r="V111" s="36">
        <f>IF(F111-MIN(F$26,F111)-N111&lt;0.005,0,F111-MIN(F$26,F111)-N111)</f>
        <v>0</v>
      </c>
      <c r="W111" s="36">
        <f>IF(G111-MIN(G$26,G111)-O111&lt;0.005,0,G111-MIN(G$26,G111)-O111)</f>
        <v>0</v>
      </c>
      <c r="X111" s="36">
        <f>IF(H111-MIN(H$26,H111)-P111&lt;0.005,0,H111-MIN(H$26,H111)-P111)</f>
        <v>0</v>
      </c>
      <c r="Y111" s="36">
        <f>IF(I111-MIN(I$26,I111)-Q111&lt;0.005,0,I111-MIN(I$26,I111)-Q111)</f>
        <v>0</v>
      </c>
      <c r="Z111" s="36">
        <f>IF(J111-MIN(J$26,J111)-R111&lt;0.005,0,J111-MIN(J$26,J111)-R111)</f>
        <v>0</v>
      </c>
      <c r="AA111" s="36">
        <f>IF(K111-MIN(K$26,K111)-S111&lt;0.005,0,K111-MIN(K$26,K111)-S111)</f>
        <v>0</v>
      </c>
      <c r="AB111" s="36">
        <f>IF(L111-MIN(L$26,L111)-T111&lt;0.005,0,L111-MIN(L$26,L111)-T111)</f>
        <v>0</v>
      </c>
      <c r="AC111" s="36">
        <f>SUM(U111:AB111)</f>
        <v>0</v>
      </c>
      <c r="AD111" s="36">
        <f>D111+SUM(M111:T111)</f>
        <v>0</v>
      </c>
    </row>
    <row r="112">
      <c r="B112" s="40" t="n">
        <v>82</v>
      </c>
      <c r="C112" s="36" t="n">
        <v>0</v>
      </c>
      <c r="D112" s="36">
        <f>MIN(E$26,E112)+MIN(F$26,F112)+MIN(G$26,G112)+MIN(H$26,H112)+MIN(I$26,I112)+MIN(J$26,J112)+MIN(K$26,K112)+MIN(L$26,L112)</f>
        <v>0</v>
      </c>
      <c r="E112" s="36">
        <f>U111*(1+E$25)</f>
        <v>0</v>
      </c>
      <c r="F112" s="36">
        <f>V111*(1+F$25)</f>
        <v>0</v>
      </c>
      <c r="G112" s="36">
        <f>W111*(1+G$25)</f>
        <v>0</v>
      </c>
      <c r="H112" s="36">
        <f>X111*(1+H$25)</f>
        <v>0</v>
      </c>
      <c r="I112" s="36">
        <f>Y111*(1+I$25)</f>
        <v>0</v>
      </c>
      <c r="J112" s="36">
        <f>Z111*(1+J$25)</f>
        <v>0</v>
      </c>
      <c r="K112" s="36">
        <f>AA111*(1+K$25)</f>
        <v>0</v>
      </c>
      <c r="L112" s="36">
        <f>AB111*(1+L$25)</f>
        <v>0</v>
      </c>
      <c r="M112" s="36">
        <f>MIN(E112-MIN(E$26,E112),MAX(0,$C112-0))</f>
        <v>0</v>
      </c>
      <c r="N112" s="36">
        <f>MIN(F112-MIN(F$26,F112),MAX(0,$C112-SUM($M112:M112)))</f>
        <v>0</v>
      </c>
      <c r="O112" s="36">
        <f>MIN(G112-MIN(G$26,G112),MAX(0,$C112-SUM($M112:N112)))</f>
        <v>0</v>
      </c>
      <c r="P112" s="36">
        <f>MIN(H112-MIN(H$26,H112),MAX(0,$C112-SUM($M112:O112)))</f>
        <v>0</v>
      </c>
      <c r="Q112" s="36">
        <f>MIN(I112-MIN(I$26,I112),MAX(0,$C112-SUM($M112:P112)))</f>
        <v>0</v>
      </c>
      <c r="R112" s="36">
        <f>MIN(J112-MIN(J$26,J112),MAX(0,$C112-SUM($M112:Q112)))</f>
        <v>0</v>
      </c>
      <c r="S112" s="36">
        <f>MIN(K112-MIN(K$26,K112),MAX(0,$C112-SUM($M112:R112)))</f>
        <v>0</v>
      </c>
      <c r="T112" s="36">
        <f>MIN(L112-MIN(L$26,L112),MAX(0,$C112-SUM($M112:S112)))</f>
        <v>0</v>
      </c>
      <c r="U112" s="36">
        <f>IF(E112-MIN(E$26,E112)-M112&lt;0.005,0,E112-MIN(E$26,E112)-M112)</f>
        <v>0</v>
      </c>
      <c r="V112" s="36">
        <f>IF(F112-MIN(F$26,F112)-N112&lt;0.005,0,F112-MIN(F$26,F112)-N112)</f>
        <v>0</v>
      </c>
      <c r="W112" s="36">
        <f>IF(G112-MIN(G$26,G112)-O112&lt;0.005,0,G112-MIN(G$26,G112)-O112)</f>
        <v>0</v>
      </c>
      <c r="X112" s="36">
        <f>IF(H112-MIN(H$26,H112)-P112&lt;0.005,0,H112-MIN(H$26,H112)-P112)</f>
        <v>0</v>
      </c>
      <c r="Y112" s="36">
        <f>IF(I112-MIN(I$26,I112)-Q112&lt;0.005,0,I112-MIN(I$26,I112)-Q112)</f>
        <v>0</v>
      </c>
      <c r="Z112" s="36">
        <f>IF(J112-MIN(J$26,J112)-R112&lt;0.005,0,J112-MIN(J$26,J112)-R112)</f>
        <v>0</v>
      </c>
      <c r="AA112" s="36">
        <f>IF(K112-MIN(K$26,K112)-S112&lt;0.005,0,K112-MIN(K$26,K112)-S112)</f>
        <v>0</v>
      </c>
      <c r="AB112" s="36">
        <f>IF(L112-MIN(L$26,L112)-T112&lt;0.005,0,L112-MIN(L$26,L112)-T112)</f>
        <v>0</v>
      </c>
      <c r="AC112" s="36">
        <f>SUM(U112:AB112)</f>
        <v>0</v>
      </c>
      <c r="AD112" s="36">
        <f>D112+SUM(M112:T112)</f>
        <v>0</v>
      </c>
    </row>
    <row r="113">
      <c r="B113" s="40" t="n">
        <v>83</v>
      </c>
      <c r="C113" s="36" t="n">
        <v>0</v>
      </c>
      <c r="D113" s="36">
        <f>MIN(E$26,E113)+MIN(F$26,F113)+MIN(G$26,G113)+MIN(H$26,H113)+MIN(I$26,I113)+MIN(J$26,J113)+MIN(K$26,K113)+MIN(L$26,L113)</f>
        <v>0</v>
      </c>
      <c r="E113" s="36">
        <f>U112*(1+E$25)</f>
        <v>0</v>
      </c>
      <c r="F113" s="36">
        <f>V112*(1+F$25)</f>
        <v>0</v>
      </c>
      <c r="G113" s="36">
        <f>W112*(1+G$25)</f>
        <v>0</v>
      </c>
      <c r="H113" s="36">
        <f>X112*(1+H$25)</f>
        <v>0</v>
      </c>
      <c r="I113" s="36">
        <f>Y112*(1+I$25)</f>
        <v>0</v>
      </c>
      <c r="J113" s="36">
        <f>Z112*(1+J$25)</f>
        <v>0</v>
      </c>
      <c r="K113" s="36">
        <f>AA112*(1+K$25)</f>
        <v>0</v>
      </c>
      <c r="L113" s="36">
        <f>AB112*(1+L$25)</f>
        <v>0</v>
      </c>
      <c r="M113" s="36">
        <f>MIN(E113-MIN(E$26,E113),MAX(0,$C113-0))</f>
        <v>0</v>
      </c>
      <c r="N113" s="36">
        <f>MIN(F113-MIN(F$26,F113),MAX(0,$C113-SUM($M113:M113)))</f>
        <v>0</v>
      </c>
      <c r="O113" s="36">
        <f>MIN(G113-MIN(G$26,G113),MAX(0,$C113-SUM($M113:N113)))</f>
        <v>0</v>
      </c>
      <c r="P113" s="36">
        <f>MIN(H113-MIN(H$26,H113),MAX(0,$C113-SUM($M113:O113)))</f>
        <v>0</v>
      </c>
      <c r="Q113" s="36">
        <f>MIN(I113-MIN(I$26,I113),MAX(0,$C113-SUM($M113:P113)))</f>
        <v>0</v>
      </c>
      <c r="R113" s="36">
        <f>MIN(J113-MIN(J$26,J113),MAX(0,$C113-SUM($M113:Q113)))</f>
        <v>0</v>
      </c>
      <c r="S113" s="36">
        <f>MIN(K113-MIN(K$26,K113),MAX(0,$C113-SUM($M113:R113)))</f>
        <v>0</v>
      </c>
      <c r="T113" s="36">
        <f>MIN(L113-MIN(L$26,L113),MAX(0,$C113-SUM($M113:S113)))</f>
        <v>0</v>
      </c>
      <c r="U113" s="36">
        <f>IF(E113-MIN(E$26,E113)-M113&lt;0.005,0,E113-MIN(E$26,E113)-M113)</f>
        <v>0</v>
      </c>
      <c r="V113" s="36">
        <f>IF(F113-MIN(F$26,F113)-N113&lt;0.005,0,F113-MIN(F$26,F113)-N113)</f>
        <v>0</v>
      </c>
      <c r="W113" s="36">
        <f>IF(G113-MIN(G$26,G113)-O113&lt;0.005,0,G113-MIN(G$26,G113)-O113)</f>
        <v>0</v>
      </c>
      <c r="X113" s="36">
        <f>IF(H113-MIN(H$26,H113)-P113&lt;0.005,0,H113-MIN(H$26,H113)-P113)</f>
        <v>0</v>
      </c>
      <c r="Y113" s="36">
        <f>IF(I113-MIN(I$26,I113)-Q113&lt;0.005,0,I113-MIN(I$26,I113)-Q113)</f>
        <v>0</v>
      </c>
      <c r="Z113" s="36">
        <f>IF(J113-MIN(J$26,J113)-R113&lt;0.005,0,J113-MIN(J$26,J113)-R113)</f>
        <v>0</v>
      </c>
      <c r="AA113" s="36">
        <f>IF(K113-MIN(K$26,K113)-S113&lt;0.005,0,K113-MIN(K$26,K113)-S113)</f>
        <v>0</v>
      </c>
      <c r="AB113" s="36">
        <f>IF(L113-MIN(L$26,L113)-T113&lt;0.005,0,L113-MIN(L$26,L113)-T113)</f>
        <v>0</v>
      </c>
      <c r="AC113" s="36">
        <f>SUM(U113:AB113)</f>
        <v>0</v>
      </c>
      <c r="AD113" s="36">
        <f>D113+SUM(M113:T113)</f>
        <v>0</v>
      </c>
    </row>
    <row r="114">
      <c r="B114" s="40" t="n">
        <v>84</v>
      </c>
      <c r="C114" s="36" t="n">
        <v>0</v>
      </c>
      <c r="D114" s="36">
        <f>MIN(E$26,E114)+MIN(F$26,F114)+MIN(G$26,G114)+MIN(H$26,H114)+MIN(I$26,I114)+MIN(J$26,J114)+MIN(K$26,K114)+MIN(L$26,L114)</f>
        <v>0</v>
      </c>
      <c r="E114" s="36">
        <f>U113*(1+E$25)</f>
        <v>0</v>
      </c>
      <c r="F114" s="36">
        <f>V113*(1+F$25)</f>
        <v>0</v>
      </c>
      <c r="G114" s="36">
        <f>W113*(1+G$25)</f>
        <v>0</v>
      </c>
      <c r="H114" s="36">
        <f>X113*(1+H$25)</f>
        <v>0</v>
      </c>
      <c r="I114" s="36">
        <f>Y113*(1+I$25)</f>
        <v>0</v>
      </c>
      <c r="J114" s="36">
        <f>Z113*(1+J$25)</f>
        <v>0</v>
      </c>
      <c r="K114" s="36">
        <f>AA113*(1+K$25)</f>
        <v>0</v>
      </c>
      <c r="L114" s="36">
        <f>AB113*(1+L$25)</f>
        <v>0</v>
      </c>
      <c r="M114" s="36">
        <f>MIN(E114-MIN(E$26,E114),MAX(0,$C114-0))</f>
        <v>0</v>
      </c>
      <c r="N114" s="36">
        <f>MIN(F114-MIN(F$26,F114),MAX(0,$C114-SUM($M114:M114)))</f>
        <v>0</v>
      </c>
      <c r="O114" s="36">
        <f>MIN(G114-MIN(G$26,G114),MAX(0,$C114-SUM($M114:N114)))</f>
        <v>0</v>
      </c>
      <c r="P114" s="36">
        <f>MIN(H114-MIN(H$26,H114),MAX(0,$C114-SUM($M114:O114)))</f>
        <v>0</v>
      </c>
      <c r="Q114" s="36">
        <f>MIN(I114-MIN(I$26,I114),MAX(0,$C114-SUM($M114:P114)))</f>
        <v>0</v>
      </c>
      <c r="R114" s="36">
        <f>MIN(J114-MIN(J$26,J114),MAX(0,$C114-SUM($M114:Q114)))</f>
        <v>0</v>
      </c>
      <c r="S114" s="36">
        <f>MIN(K114-MIN(K$26,K114),MAX(0,$C114-SUM($M114:R114)))</f>
        <v>0</v>
      </c>
      <c r="T114" s="36">
        <f>MIN(L114-MIN(L$26,L114),MAX(0,$C114-SUM($M114:S114)))</f>
        <v>0</v>
      </c>
      <c r="U114" s="36">
        <f>IF(E114-MIN(E$26,E114)-M114&lt;0.005,0,E114-MIN(E$26,E114)-M114)</f>
        <v>0</v>
      </c>
      <c r="V114" s="36">
        <f>IF(F114-MIN(F$26,F114)-N114&lt;0.005,0,F114-MIN(F$26,F114)-N114)</f>
        <v>0</v>
      </c>
      <c r="W114" s="36">
        <f>IF(G114-MIN(G$26,G114)-O114&lt;0.005,0,G114-MIN(G$26,G114)-O114)</f>
        <v>0</v>
      </c>
      <c r="X114" s="36">
        <f>IF(H114-MIN(H$26,H114)-P114&lt;0.005,0,H114-MIN(H$26,H114)-P114)</f>
        <v>0</v>
      </c>
      <c r="Y114" s="36">
        <f>IF(I114-MIN(I$26,I114)-Q114&lt;0.005,0,I114-MIN(I$26,I114)-Q114)</f>
        <v>0</v>
      </c>
      <c r="Z114" s="36">
        <f>IF(J114-MIN(J$26,J114)-R114&lt;0.005,0,J114-MIN(J$26,J114)-R114)</f>
        <v>0</v>
      </c>
      <c r="AA114" s="36">
        <f>IF(K114-MIN(K$26,K114)-S114&lt;0.005,0,K114-MIN(K$26,K114)-S114)</f>
        <v>0</v>
      </c>
      <c r="AB114" s="36">
        <f>IF(L114-MIN(L$26,L114)-T114&lt;0.005,0,L114-MIN(L$26,L114)-T114)</f>
        <v>0</v>
      </c>
      <c r="AC114" s="36">
        <f>SUM(U114:AB114)</f>
        <v>0</v>
      </c>
      <c r="AD114" s="36">
        <f>D114+SUM(M114:T114)</f>
        <v>0</v>
      </c>
    </row>
    <row r="115">
      <c r="B115" s="40" t="n">
        <v>85</v>
      </c>
      <c r="C115" s="36" t="n">
        <v>0</v>
      </c>
      <c r="D115" s="36">
        <f>MIN(E$26,E115)+MIN(F$26,F115)+MIN(G$26,G115)+MIN(H$26,H115)+MIN(I$26,I115)+MIN(J$26,J115)+MIN(K$26,K115)+MIN(L$26,L115)</f>
        <v>0</v>
      </c>
      <c r="E115" s="36">
        <f>U114*(1+E$25)</f>
        <v>0</v>
      </c>
      <c r="F115" s="36">
        <f>V114*(1+F$25)</f>
        <v>0</v>
      </c>
      <c r="G115" s="36">
        <f>W114*(1+G$25)</f>
        <v>0</v>
      </c>
      <c r="H115" s="36">
        <f>X114*(1+H$25)</f>
        <v>0</v>
      </c>
      <c r="I115" s="36">
        <f>Y114*(1+I$25)</f>
        <v>0</v>
      </c>
      <c r="J115" s="36">
        <f>Z114*(1+J$25)</f>
        <v>0</v>
      </c>
      <c r="K115" s="36">
        <f>AA114*(1+K$25)</f>
        <v>0</v>
      </c>
      <c r="L115" s="36">
        <f>AB114*(1+L$25)</f>
        <v>0</v>
      </c>
      <c r="M115" s="36">
        <f>MIN(E115-MIN(E$26,E115),MAX(0,$C115-0))</f>
        <v>0</v>
      </c>
      <c r="N115" s="36">
        <f>MIN(F115-MIN(F$26,F115),MAX(0,$C115-SUM($M115:M115)))</f>
        <v>0</v>
      </c>
      <c r="O115" s="36">
        <f>MIN(G115-MIN(G$26,G115),MAX(0,$C115-SUM($M115:N115)))</f>
        <v>0</v>
      </c>
      <c r="P115" s="36">
        <f>MIN(H115-MIN(H$26,H115),MAX(0,$C115-SUM($M115:O115)))</f>
        <v>0</v>
      </c>
      <c r="Q115" s="36">
        <f>MIN(I115-MIN(I$26,I115),MAX(0,$C115-SUM($M115:P115)))</f>
        <v>0</v>
      </c>
      <c r="R115" s="36">
        <f>MIN(J115-MIN(J$26,J115),MAX(0,$C115-SUM($M115:Q115)))</f>
        <v>0</v>
      </c>
      <c r="S115" s="36">
        <f>MIN(K115-MIN(K$26,K115),MAX(0,$C115-SUM($M115:R115)))</f>
        <v>0</v>
      </c>
      <c r="T115" s="36">
        <f>MIN(L115-MIN(L$26,L115),MAX(0,$C115-SUM($M115:S115)))</f>
        <v>0</v>
      </c>
      <c r="U115" s="36">
        <f>IF(E115-MIN(E$26,E115)-M115&lt;0.005,0,E115-MIN(E$26,E115)-M115)</f>
        <v>0</v>
      </c>
      <c r="V115" s="36">
        <f>IF(F115-MIN(F$26,F115)-N115&lt;0.005,0,F115-MIN(F$26,F115)-N115)</f>
        <v>0</v>
      </c>
      <c r="W115" s="36">
        <f>IF(G115-MIN(G$26,G115)-O115&lt;0.005,0,G115-MIN(G$26,G115)-O115)</f>
        <v>0</v>
      </c>
      <c r="X115" s="36">
        <f>IF(H115-MIN(H$26,H115)-P115&lt;0.005,0,H115-MIN(H$26,H115)-P115)</f>
        <v>0</v>
      </c>
      <c r="Y115" s="36">
        <f>IF(I115-MIN(I$26,I115)-Q115&lt;0.005,0,I115-MIN(I$26,I115)-Q115)</f>
        <v>0</v>
      </c>
      <c r="Z115" s="36">
        <f>IF(J115-MIN(J$26,J115)-R115&lt;0.005,0,J115-MIN(J$26,J115)-R115)</f>
        <v>0</v>
      </c>
      <c r="AA115" s="36">
        <f>IF(K115-MIN(K$26,K115)-S115&lt;0.005,0,K115-MIN(K$26,K115)-S115)</f>
        <v>0</v>
      </c>
      <c r="AB115" s="36">
        <f>IF(L115-MIN(L$26,L115)-T115&lt;0.005,0,L115-MIN(L$26,L115)-T115)</f>
        <v>0</v>
      </c>
      <c r="AC115" s="36">
        <f>SUM(U115:AB115)</f>
        <v>0</v>
      </c>
      <c r="AD115" s="36">
        <f>D115+SUM(M115:T115)</f>
        <v>0</v>
      </c>
    </row>
    <row r="116">
      <c r="B116" s="40" t="n">
        <v>86</v>
      </c>
      <c r="C116" s="36" t="n">
        <v>0</v>
      </c>
      <c r="D116" s="36">
        <f>MIN(E$26,E116)+MIN(F$26,F116)+MIN(G$26,G116)+MIN(H$26,H116)+MIN(I$26,I116)+MIN(J$26,J116)+MIN(K$26,K116)+MIN(L$26,L116)</f>
        <v>0</v>
      </c>
      <c r="E116" s="36">
        <f>U115*(1+E$25)</f>
        <v>0</v>
      </c>
      <c r="F116" s="36">
        <f>V115*(1+F$25)</f>
        <v>0</v>
      </c>
      <c r="G116" s="36">
        <f>W115*(1+G$25)</f>
        <v>0</v>
      </c>
      <c r="H116" s="36">
        <f>X115*(1+H$25)</f>
        <v>0</v>
      </c>
      <c r="I116" s="36">
        <f>Y115*(1+I$25)</f>
        <v>0</v>
      </c>
      <c r="J116" s="36">
        <f>Z115*(1+J$25)</f>
        <v>0</v>
      </c>
      <c r="K116" s="36">
        <f>AA115*(1+K$25)</f>
        <v>0</v>
      </c>
      <c r="L116" s="36">
        <f>AB115*(1+L$25)</f>
        <v>0</v>
      </c>
      <c r="M116" s="36">
        <f>MIN(E116-MIN(E$26,E116),MAX(0,$C116-0))</f>
        <v>0</v>
      </c>
      <c r="N116" s="36">
        <f>MIN(F116-MIN(F$26,F116),MAX(0,$C116-SUM($M116:M116)))</f>
        <v>0</v>
      </c>
      <c r="O116" s="36">
        <f>MIN(G116-MIN(G$26,G116),MAX(0,$C116-SUM($M116:N116)))</f>
        <v>0</v>
      </c>
      <c r="P116" s="36">
        <f>MIN(H116-MIN(H$26,H116),MAX(0,$C116-SUM($M116:O116)))</f>
        <v>0</v>
      </c>
      <c r="Q116" s="36">
        <f>MIN(I116-MIN(I$26,I116),MAX(0,$C116-SUM($M116:P116)))</f>
        <v>0</v>
      </c>
      <c r="R116" s="36">
        <f>MIN(J116-MIN(J$26,J116),MAX(0,$C116-SUM($M116:Q116)))</f>
        <v>0</v>
      </c>
      <c r="S116" s="36">
        <f>MIN(K116-MIN(K$26,K116),MAX(0,$C116-SUM($M116:R116)))</f>
        <v>0</v>
      </c>
      <c r="T116" s="36">
        <f>MIN(L116-MIN(L$26,L116),MAX(0,$C116-SUM($M116:S116)))</f>
        <v>0</v>
      </c>
      <c r="U116" s="36">
        <f>IF(E116-MIN(E$26,E116)-M116&lt;0.005,0,E116-MIN(E$26,E116)-M116)</f>
        <v>0</v>
      </c>
      <c r="V116" s="36">
        <f>IF(F116-MIN(F$26,F116)-N116&lt;0.005,0,F116-MIN(F$26,F116)-N116)</f>
        <v>0</v>
      </c>
      <c r="W116" s="36">
        <f>IF(G116-MIN(G$26,G116)-O116&lt;0.005,0,G116-MIN(G$26,G116)-O116)</f>
        <v>0</v>
      </c>
      <c r="X116" s="36">
        <f>IF(H116-MIN(H$26,H116)-P116&lt;0.005,0,H116-MIN(H$26,H116)-P116)</f>
        <v>0</v>
      </c>
      <c r="Y116" s="36">
        <f>IF(I116-MIN(I$26,I116)-Q116&lt;0.005,0,I116-MIN(I$26,I116)-Q116)</f>
        <v>0</v>
      </c>
      <c r="Z116" s="36">
        <f>IF(J116-MIN(J$26,J116)-R116&lt;0.005,0,J116-MIN(J$26,J116)-R116)</f>
        <v>0</v>
      </c>
      <c r="AA116" s="36">
        <f>IF(K116-MIN(K$26,K116)-S116&lt;0.005,0,K116-MIN(K$26,K116)-S116)</f>
        <v>0</v>
      </c>
      <c r="AB116" s="36">
        <f>IF(L116-MIN(L$26,L116)-T116&lt;0.005,0,L116-MIN(L$26,L116)-T116)</f>
        <v>0</v>
      </c>
      <c r="AC116" s="36">
        <f>SUM(U116:AB116)</f>
        <v>0</v>
      </c>
      <c r="AD116" s="36">
        <f>D116+SUM(M116:T116)</f>
        <v>0</v>
      </c>
    </row>
    <row r="117">
      <c r="B117" s="40" t="n">
        <v>87</v>
      </c>
      <c r="C117" s="36" t="n">
        <v>0</v>
      </c>
      <c r="D117" s="36">
        <f>MIN(E$26,E117)+MIN(F$26,F117)+MIN(G$26,G117)+MIN(H$26,H117)+MIN(I$26,I117)+MIN(J$26,J117)+MIN(K$26,K117)+MIN(L$26,L117)</f>
        <v>0</v>
      </c>
      <c r="E117" s="36">
        <f>U116*(1+E$25)</f>
        <v>0</v>
      </c>
      <c r="F117" s="36">
        <f>V116*(1+F$25)</f>
        <v>0</v>
      </c>
      <c r="G117" s="36">
        <f>W116*(1+G$25)</f>
        <v>0</v>
      </c>
      <c r="H117" s="36">
        <f>X116*(1+H$25)</f>
        <v>0</v>
      </c>
      <c r="I117" s="36">
        <f>Y116*(1+I$25)</f>
        <v>0</v>
      </c>
      <c r="J117" s="36">
        <f>Z116*(1+J$25)</f>
        <v>0</v>
      </c>
      <c r="K117" s="36">
        <f>AA116*(1+K$25)</f>
        <v>0</v>
      </c>
      <c r="L117" s="36">
        <f>AB116*(1+L$25)</f>
        <v>0</v>
      </c>
      <c r="M117" s="36">
        <f>MIN(E117-MIN(E$26,E117),MAX(0,$C117-0))</f>
        <v>0</v>
      </c>
      <c r="N117" s="36">
        <f>MIN(F117-MIN(F$26,F117),MAX(0,$C117-SUM($M117:M117)))</f>
        <v>0</v>
      </c>
      <c r="O117" s="36">
        <f>MIN(G117-MIN(G$26,G117),MAX(0,$C117-SUM($M117:N117)))</f>
        <v>0</v>
      </c>
      <c r="P117" s="36">
        <f>MIN(H117-MIN(H$26,H117),MAX(0,$C117-SUM($M117:O117)))</f>
        <v>0</v>
      </c>
      <c r="Q117" s="36">
        <f>MIN(I117-MIN(I$26,I117),MAX(0,$C117-SUM($M117:P117)))</f>
        <v>0</v>
      </c>
      <c r="R117" s="36">
        <f>MIN(J117-MIN(J$26,J117),MAX(0,$C117-SUM($M117:Q117)))</f>
        <v>0</v>
      </c>
      <c r="S117" s="36">
        <f>MIN(K117-MIN(K$26,K117),MAX(0,$C117-SUM($M117:R117)))</f>
        <v>0</v>
      </c>
      <c r="T117" s="36">
        <f>MIN(L117-MIN(L$26,L117),MAX(0,$C117-SUM($M117:S117)))</f>
        <v>0</v>
      </c>
      <c r="U117" s="36">
        <f>IF(E117-MIN(E$26,E117)-M117&lt;0.005,0,E117-MIN(E$26,E117)-M117)</f>
        <v>0</v>
      </c>
      <c r="V117" s="36">
        <f>IF(F117-MIN(F$26,F117)-N117&lt;0.005,0,F117-MIN(F$26,F117)-N117)</f>
        <v>0</v>
      </c>
      <c r="W117" s="36">
        <f>IF(G117-MIN(G$26,G117)-O117&lt;0.005,0,G117-MIN(G$26,G117)-O117)</f>
        <v>0</v>
      </c>
      <c r="X117" s="36">
        <f>IF(H117-MIN(H$26,H117)-P117&lt;0.005,0,H117-MIN(H$26,H117)-P117)</f>
        <v>0</v>
      </c>
      <c r="Y117" s="36">
        <f>IF(I117-MIN(I$26,I117)-Q117&lt;0.005,0,I117-MIN(I$26,I117)-Q117)</f>
        <v>0</v>
      </c>
      <c r="Z117" s="36">
        <f>IF(J117-MIN(J$26,J117)-R117&lt;0.005,0,J117-MIN(J$26,J117)-R117)</f>
        <v>0</v>
      </c>
      <c r="AA117" s="36">
        <f>IF(K117-MIN(K$26,K117)-S117&lt;0.005,0,K117-MIN(K$26,K117)-S117)</f>
        <v>0</v>
      </c>
      <c r="AB117" s="36">
        <f>IF(L117-MIN(L$26,L117)-T117&lt;0.005,0,L117-MIN(L$26,L117)-T117)</f>
        <v>0</v>
      </c>
      <c r="AC117" s="36">
        <f>SUM(U117:AB117)</f>
        <v>0</v>
      </c>
      <c r="AD117" s="36">
        <f>D117+SUM(M117:T117)</f>
        <v>0</v>
      </c>
    </row>
    <row r="118">
      <c r="B118" s="40" t="n">
        <v>88</v>
      </c>
      <c r="C118" s="36" t="n">
        <v>0</v>
      </c>
      <c r="D118" s="36">
        <f>MIN(E$26,E118)+MIN(F$26,F118)+MIN(G$26,G118)+MIN(H$26,H118)+MIN(I$26,I118)+MIN(J$26,J118)+MIN(K$26,K118)+MIN(L$26,L118)</f>
        <v>0</v>
      </c>
      <c r="E118" s="36">
        <f>U117*(1+E$25)</f>
        <v>0</v>
      </c>
      <c r="F118" s="36">
        <f>V117*(1+F$25)</f>
        <v>0</v>
      </c>
      <c r="G118" s="36">
        <f>W117*(1+G$25)</f>
        <v>0</v>
      </c>
      <c r="H118" s="36">
        <f>X117*(1+H$25)</f>
        <v>0</v>
      </c>
      <c r="I118" s="36">
        <f>Y117*(1+I$25)</f>
        <v>0</v>
      </c>
      <c r="J118" s="36">
        <f>Z117*(1+J$25)</f>
        <v>0</v>
      </c>
      <c r="K118" s="36">
        <f>AA117*(1+K$25)</f>
        <v>0</v>
      </c>
      <c r="L118" s="36">
        <f>AB117*(1+L$25)</f>
        <v>0</v>
      </c>
      <c r="M118" s="36">
        <f>MIN(E118-MIN(E$26,E118),MAX(0,$C118-0))</f>
        <v>0</v>
      </c>
      <c r="N118" s="36">
        <f>MIN(F118-MIN(F$26,F118),MAX(0,$C118-SUM($M118:M118)))</f>
        <v>0</v>
      </c>
      <c r="O118" s="36">
        <f>MIN(G118-MIN(G$26,G118),MAX(0,$C118-SUM($M118:N118)))</f>
        <v>0</v>
      </c>
      <c r="P118" s="36">
        <f>MIN(H118-MIN(H$26,H118),MAX(0,$C118-SUM($M118:O118)))</f>
        <v>0</v>
      </c>
      <c r="Q118" s="36">
        <f>MIN(I118-MIN(I$26,I118),MAX(0,$C118-SUM($M118:P118)))</f>
        <v>0</v>
      </c>
      <c r="R118" s="36">
        <f>MIN(J118-MIN(J$26,J118),MAX(0,$C118-SUM($M118:Q118)))</f>
        <v>0</v>
      </c>
      <c r="S118" s="36">
        <f>MIN(K118-MIN(K$26,K118),MAX(0,$C118-SUM($M118:R118)))</f>
        <v>0</v>
      </c>
      <c r="T118" s="36">
        <f>MIN(L118-MIN(L$26,L118),MAX(0,$C118-SUM($M118:S118)))</f>
        <v>0</v>
      </c>
      <c r="U118" s="36">
        <f>IF(E118-MIN(E$26,E118)-M118&lt;0.005,0,E118-MIN(E$26,E118)-M118)</f>
        <v>0</v>
      </c>
      <c r="V118" s="36">
        <f>IF(F118-MIN(F$26,F118)-N118&lt;0.005,0,F118-MIN(F$26,F118)-N118)</f>
        <v>0</v>
      </c>
      <c r="W118" s="36">
        <f>IF(G118-MIN(G$26,G118)-O118&lt;0.005,0,G118-MIN(G$26,G118)-O118)</f>
        <v>0</v>
      </c>
      <c r="X118" s="36">
        <f>IF(H118-MIN(H$26,H118)-P118&lt;0.005,0,H118-MIN(H$26,H118)-P118)</f>
        <v>0</v>
      </c>
      <c r="Y118" s="36">
        <f>IF(I118-MIN(I$26,I118)-Q118&lt;0.005,0,I118-MIN(I$26,I118)-Q118)</f>
        <v>0</v>
      </c>
      <c r="Z118" s="36">
        <f>IF(J118-MIN(J$26,J118)-R118&lt;0.005,0,J118-MIN(J$26,J118)-R118)</f>
        <v>0</v>
      </c>
      <c r="AA118" s="36">
        <f>IF(K118-MIN(K$26,K118)-S118&lt;0.005,0,K118-MIN(K$26,K118)-S118)</f>
        <v>0</v>
      </c>
      <c r="AB118" s="36">
        <f>IF(L118-MIN(L$26,L118)-T118&lt;0.005,0,L118-MIN(L$26,L118)-T118)</f>
        <v>0</v>
      </c>
      <c r="AC118" s="36">
        <f>SUM(U118:AB118)</f>
        <v>0</v>
      </c>
      <c r="AD118" s="36">
        <f>D118+SUM(M118:T118)</f>
        <v>0</v>
      </c>
    </row>
    <row r="119">
      <c r="B119" s="40" t="n">
        <v>89</v>
      </c>
      <c r="C119" s="36" t="n">
        <v>0</v>
      </c>
      <c r="D119" s="36">
        <f>MIN(E$26,E119)+MIN(F$26,F119)+MIN(G$26,G119)+MIN(H$26,H119)+MIN(I$26,I119)+MIN(J$26,J119)+MIN(K$26,K119)+MIN(L$26,L119)</f>
        <v>0</v>
      </c>
      <c r="E119" s="36">
        <f>U118*(1+E$25)</f>
        <v>0</v>
      </c>
      <c r="F119" s="36">
        <f>V118*(1+F$25)</f>
        <v>0</v>
      </c>
      <c r="G119" s="36">
        <f>W118*(1+G$25)</f>
        <v>0</v>
      </c>
      <c r="H119" s="36">
        <f>X118*(1+H$25)</f>
        <v>0</v>
      </c>
      <c r="I119" s="36">
        <f>Y118*(1+I$25)</f>
        <v>0</v>
      </c>
      <c r="J119" s="36">
        <f>Z118*(1+J$25)</f>
        <v>0</v>
      </c>
      <c r="K119" s="36">
        <f>AA118*(1+K$25)</f>
        <v>0</v>
      </c>
      <c r="L119" s="36">
        <f>AB118*(1+L$25)</f>
        <v>0</v>
      </c>
      <c r="M119" s="36">
        <f>MIN(E119-MIN(E$26,E119),MAX(0,$C119-0))</f>
        <v>0</v>
      </c>
      <c r="N119" s="36">
        <f>MIN(F119-MIN(F$26,F119),MAX(0,$C119-SUM($M119:M119)))</f>
        <v>0</v>
      </c>
      <c r="O119" s="36">
        <f>MIN(G119-MIN(G$26,G119),MAX(0,$C119-SUM($M119:N119)))</f>
        <v>0</v>
      </c>
      <c r="P119" s="36">
        <f>MIN(H119-MIN(H$26,H119),MAX(0,$C119-SUM($M119:O119)))</f>
        <v>0</v>
      </c>
      <c r="Q119" s="36">
        <f>MIN(I119-MIN(I$26,I119),MAX(0,$C119-SUM($M119:P119)))</f>
        <v>0</v>
      </c>
      <c r="R119" s="36">
        <f>MIN(J119-MIN(J$26,J119),MAX(0,$C119-SUM($M119:Q119)))</f>
        <v>0</v>
      </c>
      <c r="S119" s="36">
        <f>MIN(K119-MIN(K$26,K119),MAX(0,$C119-SUM($M119:R119)))</f>
        <v>0</v>
      </c>
      <c r="T119" s="36">
        <f>MIN(L119-MIN(L$26,L119),MAX(0,$C119-SUM($M119:S119)))</f>
        <v>0</v>
      </c>
      <c r="U119" s="36">
        <f>IF(E119-MIN(E$26,E119)-M119&lt;0.005,0,E119-MIN(E$26,E119)-M119)</f>
        <v>0</v>
      </c>
      <c r="V119" s="36">
        <f>IF(F119-MIN(F$26,F119)-N119&lt;0.005,0,F119-MIN(F$26,F119)-N119)</f>
        <v>0</v>
      </c>
      <c r="W119" s="36">
        <f>IF(G119-MIN(G$26,G119)-O119&lt;0.005,0,G119-MIN(G$26,G119)-O119)</f>
        <v>0</v>
      </c>
      <c r="X119" s="36">
        <f>IF(H119-MIN(H$26,H119)-P119&lt;0.005,0,H119-MIN(H$26,H119)-P119)</f>
        <v>0</v>
      </c>
      <c r="Y119" s="36">
        <f>IF(I119-MIN(I$26,I119)-Q119&lt;0.005,0,I119-MIN(I$26,I119)-Q119)</f>
        <v>0</v>
      </c>
      <c r="Z119" s="36">
        <f>IF(J119-MIN(J$26,J119)-R119&lt;0.005,0,J119-MIN(J$26,J119)-R119)</f>
        <v>0</v>
      </c>
      <c r="AA119" s="36">
        <f>IF(K119-MIN(K$26,K119)-S119&lt;0.005,0,K119-MIN(K$26,K119)-S119)</f>
        <v>0</v>
      </c>
      <c r="AB119" s="36">
        <f>IF(L119-MIN(L$26,L119)-T119&lt;0.005,0,L119-MIN(L$26,L119)-T119)</f>
        <v>0</v>
      </c>
      <c r="AC119" s="36">
        <f>SUM(U119:AB119)</f>
        <v>0</v>
      </c>
      <c r="AD119" s="36">
        <f>D119+SUM(M119:T119)</f>
        <v>0</v>
      </c>
    </row>
    <row r="120">
      <c r="B120" s="40" t="n">
        <v>90</v>
      </c>
      <c r="C120" s="36" t="n">
        <v>0</v>
      </c>
      <c r="D120" s="36">
        <f>MIN(E$26,E120)+MIN(F$26,F120)+MIN(G$26,G120)+MIN(H$26,H120)+MIN(I$26,I120)+MIN(J$26,J120)+MIN(K$26,K120)+MIN(L$26,L120)</f>
        <v>0</v>
      </c>
      <c r="E120" s="36">
        <f>U119*(1+E$25)</f>
        <v>0</v>
      </c>
      <c r="F120" s="36">
        <f>V119*(1+F$25)</f>
        <v>0</v>
      </c>
      <c r="G120" s="36">
        <f>W119*(1+G$25)</f>
        <v>0</v>
      </c>
      <c r="H120" s="36">
        <f>X119*(1+H$25)</f>
        <v>0</v>
      </c>
      <c r="I120" s="36">
        <f>Y119*(1+I$25)</f>
        <v>0</v>
      </c>
      <c r="J120" s="36">
        <f>Z119*(1+J$25)</f>
        <v>0</v>
      </c>
      <c r="K120" s="36">
        <f>AA119*(1+K$25)</f>
        <v>0</v>
      </c>
      <c r="L120" s="36">
        <f>AB119*(1+L$25)</f>
        <v>0</v>
      </c>
      <c r="M120" s="36">
        <f>MIN(E120-MIN(E$26,E120),MAX(0,$C120-0))</f>
        <v>0</v>
      </c>
      <c r="N120" s="36">
        <f>MIN(F120-MIN(F$26,F120),MAX(0,$C120-SUM($M120:M120)))</f>
        <v>0</v>
      </c>
      <c r="O120" s="36">
        <f>MIN(G120-MIN(G$26,G120),MAX(0,$C120-SUM($M120:N120)))</f>
        <v>0</v>
      </c>
      <c r="P120" s="36">
        <f>MIN(H120-MIN(H$26,H120),MAX(0,$C120-SUM($M120:O120)))</f>
        <v>0</v>
      </c>
      <c r="Q120" s="36">
        <f>MIN(I120-MIN(I$26,I120),MAX(0,$C120-SUM($M120:P120)))</f>
        <v>0</v>
      </c>
      <c r="R120" s="36">
        <f>MIN(J120-MIN(J$26,J120),MAX(0,$C120-SUM($M120:Q120)))</f>
        <v>0</v>
      </c>
      <c r="S120" s="36">
        <f>MIN(K120-MIN(K$26,K120),MAX(0,$C120-SUM($M120:R120)))</f>
        <v>0</v>
      </c>
      <c r="T120" s="36">
        <f>MIN(L120-MIN(L$26,L120),MAX(0,$C120-SUM($M120:S120)))</f>
        <v>0</v>
      </c>
      <c r="U120" s="36">
        <f>IF(E120-MIN(E$26,E120)-M120&lt;0.005,0,E120-MIN(E$26,E120)-M120)</f>
        <v>0</v>
      </c>
      <c r="V120" s="36">
        <f>IF(F120-MIN(F$26,F120)-N120&lt;0.005,0,F120-MIN(F$26,F120)-N120)</f>
        <v>0</v>
      </c>
      <c r="W120" s="36">
        <f>IF(G120-MIN(G$26,G120)-O120&lt;0.005,0,G120-MIN(G$26,G120)-O120)</f>
        <v>0</v>
      </c>
      <c r="X120" s="36">
        <f>IF(H120-MIN(H$26,H120)-P120&lt;0.005,0,H120-MIN(H$26,H120)-P120)</f>
        <v>0</v>
      </c>
      <c r="Y120" s="36">
        <f>IF(I120-MIN(I$26,I120)-Q120&lt;0.005,0,I120-MIN(I$26,I120)-Q120)</f>
        <v>0</v>
      </c>
      <c r="Z120" s="36">
        <f>IF(J120-MIN(J$26,J120)-R120&lt;0.005,0,J120-MIN(J$26,J120)-R120)</f>
        <v>0</v>
      </c>
      <c r="AA120" s="36">
        <f>IF(K120-MIN(K$26,K120)-S120&lt;0.005,0,K120-MIN(K$26,K120)-S120)</f>
        <v>0</v>
      </c>
      <c r="AB120" s="36">
        <f>IF(L120-MIN(L$26,L120)-T120&lt;0.005,0,L120-MIN(L$26,L120)-T120)</f>
        <v>0</v>
      </c>
      <c r="AC120" s="36">
        <f>SUM(U120:AB120)</f>
        <v>0</v>
      </c>
      <c r="AD120" s="36">
        <f>D120+SUM(M120:T120)</f>
        <v>0</v>
      </c>
    </row>
    <row r="121">
      <c r="B121" s="40" t="n">
        <v>91</v>
      </c>
      <c r="C121" s="36" t="n">
        <v>0</v>
      </c>
      <c r="D121" s="36">
        <f>MIN(E$26,E121)+MIN(F$26,F121)+MIN(G$26,G121)+MIN(H$26,H121)+MIN(I$26,I121)+MIN(J$26,J121)+MIN(K$26,K121)+MIN(L$26,L121)</f>
        <v>0</v>
      </c>
      <c r="E121" s="36">
        <f>U120*(1+E$25)</f>
        <v>0</v>
      </c>
      <c r="F121" s="36">
        <f>V120*(1+F$25)</f>
        <v>0</v>
      </c>
      <c r="G121" s="36">
        <f>W120*(1+G$25)</f>
        <v>0</v>
      </c>
      <c r="H121" s="36">
        <f>X120*(1+H$25)</f>
        <v>0</v>
      </c>
      <c r="I121" s="36">
        <f>Y120*(1+I$25)</f>
        <v>0</v>
      </c>
      <c r="J121" s="36">
        <f>Z120*(1+J$25)</f>
        <v>0</v>
      </c>
      <c r="K121" s="36">
        <f>AA120*(1+K$25)</f>
        <v>0</v>
      </c>
      <c r="L121" s="36">
        <f>AB120*(1+L$25)</f>
        <v>0</v>
      </c>
      <c r="M121" s="36">
        <f>MIN(E121-MIN(E$26,E121),MAX(0,$C121-0))</f>
        <v>0</v>
      </c>
      <c r="N121" s="36">
        <f>MIN(F121-MIN(F$26,F121),MAX(0,$C121-SUM($M121:M121)))</f>
        <v>0</v>
      </c>
      <c r="O121" s="36">
        <f>MIN(G121-MIN(G$26,G121),MAX(0,$C121-SUM($M121:N121)))</f>
        <v>0</v>
      </c>
      <c r="P121" s="36">
        <f>MIN(H121-MIN(H$26,H121),MAX(0,$C121-SUM($M121:O121)))</f>
        <v>0</v>
      </c>
      <c r="Q121" s="36">
        <f>MIN(I121-MIN(I$26,I121),MAX(0,$C121-SUM($M121:P121)))</f>
        <v>0</v>
      </c>
      <c r="R121" s="36">
        <f>MIN(J121-MIN(J$26,J121),MAX(0,$C121-SUM($M121:Q121)))</f>
        <v>0</v>
      </c>
      <c r="S121" s="36">
        <f>MIN(K121-MIN(K$26,K121),MAX(0,$C121-SUM($M121:R121)))</f>
        <v>0</v>
      </c>
      <c r="T121" s="36">
        <f>MIN(L121-MIN(L$26,L121),MAX(0,$C121-SUM($M121:S121)))</f>
        <v>0</v>
      </c>
      <c r="U121" s="36">
        <f>IF(E121-MIN(E$26,E121)-M121&lt;0.005,0,E121-MIN(E$26,E121)-M121)</f>
        <v>0</v>
      </c>
      <c r="V121" s="36">
        <f>IF(F121-MIN(F$26,F121)-N121&lt;0.005,0,F121-MIN(F$26,F121)-N121)</f>
        <v>0</v>
      </c>
      <c r="W121" s="36">
        <f>IF(G121-MIN(G$26,G121)-O121&lt;0.005,0,G121-MIN(G$26,G121)-O121)</f>
        <v>0</v>
      </c>
      <c r="X121" s="36">
        <f>IF(H121-MIN(H$26,H121)-P121&lt;0.005,0,H121-MIN(H$26,H121)-P121)</f>
        <v>0</v>
      </c>
      <c r="Y121" s="36">
        <f>IF(I121-MIN(I$26,I121)-Q121&lt;0.005,0,I121-MIN(I$26,I121)-Q121)</f>
        <v>0</v>
      </c>
      <c r="Z121" s="36">
        <f>IF(J121-MIN(J$26,J121)-R121&lt;0.005,0,J121-MIN(J$26,J121)-R121)</f>
        <v>0</v>
      </c>
      <c r="AA121" s="36">
        <f>IF(K121-MIN(K$26,K121)-S121&lt;0.005,0,K121-MIN(K$26,K121)-S121)</f>
        <v>0</v>
      </c>
      <c r="AB121" s="36">
        <f>IF(L121-MIN(L$26,L121)-T121&lt;0.005,0,L121-MIN(L$26,L121)-T121)</f>
        <v>0</v>
      </c>
      <c r="AC121" s="36">
        <f>SUM(U121:AB121)</f>
        <v>0</v>
      </c>
      <c r="AD121" s="36">
        <f>D121+SUM(M121:T121)</f>
        <v>0</v>
      </c>
    </row>
    <row r="122">
      <c r="B122" s="40" t="n">
        <v>92</v>
      </c>
      <c r="C122" s="36" t="n">
        <v>0</v>
      </c>
      <c r="D122" s="36">
        <f>MIN(E$26,E122)+MIN(F$26,F122)+MIN(G$26,G122)+MIN(H$26,H122)+MIN(I$26,I122)+MIN(J$26,J122)+MIN(K$26,K122)+MIN(L$26,L122)</f>
        <v>0</v>
      </c>
      <c r="E122" s="36">
        <f>U121*(1+E$25)</f>
        <v>0</v>
      </c>
      <c r="F122" s="36">
        <f>V121*(1+F$25)</f>
        <v>0</v>
      </c>
      <c r="G122" s="36">
        <f>W121*(1+G$25)</f>
        <v>0</v>
      </c>
      <c r="H122" s="36">
        <f>X121*(1+H$25)</f>
        <v>0</v>
      </c>
      <c r="I122" s="36">
        <f>Y121*(1+I$25)</f>
        <v>0</v>
      </c>
      <c r="J122" s="36">
        <f>Z121*(1+J$25)</f>
        <v>0</v>
      </c>
      <c r="K122" s="36">
        <f>AA121*(1+K$25)</f>
        <v>0</v>
      </c>
      <c r="L122" s="36">
        <f>AB121*(1+L$25)</f>
        <v>0</v>
      </c>
      <c r="M122" s="36">
        <f>MIN(E122-MIN(E$26,E122),MAX(0,$C122-0))</f>
        <v>0</v>
      </c>
      <c r="N122" s="36">
        <f>MIN(F122-MIN(F$26,F122),MAX(0,$C122-SUM($M122:M122)))</f>
        <v>0</v>
      </c>
      <c r="O122" s="36">
        <f>MIN(G122-MIN(G$26,G122),MAX(0,$C122-SUM($M122:N122)))</f>
        <v>0</v>
      </c>
      <c r="P122" s="36">
        <f>MIN(H122-MIN(H$26,H122),MAX(0,$C122-SUM($M122:O122)))</f>
        <v>0</v>
      </c>
      <c r="Q122" s="36">
        <f>MIN(I122-MIN(I$26,I122),MAX(0,$C122-SUM($M122:P122)))</f>
        <v>0</v>
      </c>
      <c r="R122" s="36">
        <f>MIN(J122-MIN(J$26,J122),MAX(0,$C122-SUM($M122:Q122)))</f>
        <v>0</v>
      </c>
      <c r="S122" s="36">
        <f>MIN(K122-MIN(K$26,K122),MAX(0,$C122-SUM($M122:R122)))</f>
        <v>0</v>
      </c>
      <c r="T122" s="36">
        <f>MIN(L122-MIN(L$26,L122),MAX(0,$C122-SUM($M122:S122)))</f>
        <v>0</v>
      </c>
      <c r="U122" s="36">
        <f>IF(E122-MIN(E$26,E122)-M122&lt;0.005,0,E122-MIN(E$26,E122)-M122)</f>
        <v>0</v>
      </c>
      <c r="V122" s="36">
        <f>IF(F122-MIN(F$26,F122)-N122&lt;0.005,0,F122-MIN(F$26,F122)-N122)</f>
        <v>0</v>
      </c>
      <c r="W122" s="36">
        <f>IF(G122-MIN(G$26,G122)-O122&lt;0.005,0,G122-MIN(G$26,G122)-O122)</f>
        <v>0</v>
      </c>
      <c r="X122" s="36">
        <f>IF(H122-MIN(H$26,H122)-P122&lt;0.005,0,H122-MIN(H$26,H122)-P122)</f>
        <v>0</v>
      </c>
      <c r="Y122" s="36">
        <f>IF(I122-MIN(I$26,I122)-Q122&lt;0.005,0,I122-MIN(I$26,I122)-Q122)</f>
        <v>0</v>
      </c>
      <c r="Z122" s="36">
        <f>IF(J122-MIN(J$26,J122)-R122&lt;0.005,0,J122-MIN(J$26,J122)-R122)</f>
        <v>0</v>
      </c>
      <c r="AA122" s="36">
        <f>IF(K122-MIN(K$26,K122)-S122&lt;0.005,0,K122-MIN(K$26,K122)-S122)</f>
        <v>0</v>
      </c>
      <c r="AB122" s="36">
        <f>IF(L122-MIN(L$26,L122)-T122&lt;0.005,0,L122-MIN(L$26,L122)-T122)</f>
        <v>0</v>
      </c>
      <c r="AC122" s="36">
        <f>SUM(U122:AB122)</f>
        <v>0</v>
      </c>
      <c r="AD122" s="36">
        <f>D122+SUM(M122:T122)</f>
        <v>0</v>
      </c>
    </row>
    <row r="123">
      <c r="B123" s="40" t="n">
        <v>93</v>
      </c>
      <c r="C123" s="36" t="n">
        <v>0</v>
      </c>
      <c r="D123" s="36">
        <f>MIN(E$26,E123)+MIN(F$26,F123)+MIN(G$26,G123)+MIN(H$26,H123)+MIN(I$26,I123)+MIN(J$26,J123)+MIN(K$26,K123)+MIN(L$26,L123)</f>
        <v>0</v>
      </c>
      <c r="E123" s="36">
        <f>U122*(1+E$25)</f>
        <v>0</v>
      </c>
      <c r="F123" s="36">
        <f>V122*(1+F$25)</f>
        <v>0</v>
      </c>
      <c r="G123" s="36">
        <f>W122*(1+G$25)</f>
        <v>0</v>
      </c>
      <c r="H123" s="36">
        <f>X122*(1+H$25)</f>
        <v>0</v>
      </c>
      <c r="I123" s="36">
        <f>Y122*(1+I$25)</f>
        <v>0</v>
      </c>
      <c r="J123" s="36">
        <f>Z122*(1+J$25)</f>
        <v>0</v>
      </c>
      <c r="K123" s="36">
        <f>AA122*(1+K$25)</f>
        <v>0</v>
      </c>
      <c r="L123" s="36">
        <f>AB122*(1+L$25)</f>
        <v>0</v>
      </c>
      <c r="M123" s="36">
        <f>MIN(E123-MIN(E$26,E123),MAX(0,$C123-0))</f>
        <v>0</v>
      </c>
      <c r="N123" s="36">
        <f>MIN(F123-MIN(F$26,F123),MAX(0,$C123-SUM($M123:M123)))</f>
        <v>0</v>
      </c>
      <c r="O123" s="36">
        <f>MIN(G123-MIN(G$26,G123),MAX(0,$C123-SUM($M123:N123)))</f>
        <v>0</v>
      </c>
      <c r="P123" s="36">
        <f>MIN(H123-MIN(H$26,H123),MAX(0,$C123-SUM($M123:O123)))</f>
        <v>0</v>
      </c>
      <c r="Q123" s="36">
        <f>MIN(I123-MIN(I$26,I123),MAX(0,$C123-SUM($M123:P123)))</f>
        <v>0</v>
      </c>
      <c r="R123" s="36">
        <f>MIN(J123-MIN(J$26,J123),MAX(0,$C123-SUM($M123:Q123)))</f>
        <v>0</v>
      </c>
      <c r="S123" s="36">
        <f>MIN(K123-MIN(K$26,K123),MAX(0,$C123-SUM($M123:R123)))</f>
        <v>0</v>
      </c>
      <c r="T123" s="36">
        <f>MIN(L123-MIN(L$26,L123),MAX(0,$C123-SUM($M123:S123)))</f>
        <v>0</v>
      </c>
      <c r="U123" s="36">
        <f>IF(E123-MIN(E$26,E123)-M123&lt;0.005,0,E123-MIN(E$26,E123)-M123)</f>
        <v>0</v>
      </c>
      <c r="V123" s="36">
        <f>IF(F123-MIN(F$26,F123)-N123&lt;0.005,0,F123-MIN(F$26,F123)-N123)</f>
        <v>0</v>
      </c>
      <c r="W123" s="36">
        <f>IF(G123-MIN(G$26,G123)-O123&lt;0.005,0,G123-MIN(G$26,G123)-O123)</f>
        <v>0</v>
      </c>
      <c r="X123" s="36">
        <f>IF(H123-MIN(H$26,H123)-P123&lt;0.005,0,H123-MIN(H$26,H123)-P123)</f>
        <v>0</v>
      </c>
      <c r="Y123" s="36">
        <f>IF(I123-MIN(I$26,I123)-Q123&lt;0.005,0,I123-MIN(I$26,I123)-Q123)</f>
        <v>0</v>
      </c>
      <c r="Z123" s="36">
        <f>IF(J123-MIN(J$26,J123)-R123&lt;0.005,0,J123-MIN(J$26,J123)-R123)</f>
        <v>0</v>
      </c>
      <c r="AA123" s="36">
        <f>IF(K123-MIN(K$26,K123)-S123&lt;0.005,0,K123-MIN(K$26,K123)-S123)</f>
        <v>0</v>
      </c>
      <c r="AB123" s="36">
        <f>IF(L123-MIN(L$26,L123)-T123&lt;0.005,0,L123-MIN(L$26,L123)-T123)</f>
        <v>0</v>
      </c>
      <c r="AC123" s="36">
        <f>SUM(U123:AB123)</f>
        <v>0</v>
      </c>
      <c r="AD123" s="36">
        <f>D123+SUM(M123:T123)</f>
        <v>0</v>
      </c>
    </row>
    <row r="124">
      <c r="B124" s="40" t="n">
        <v>94</v>
      </c>
      <c r="C124" s="36" t="n">
        <v>0</v>
      </c>
      <c r="D124" s="36">
        <f>MIN(E$26,E124)+MIN(F$26,F124)+MIN(G$26,G124)+MIN(H$26,H124)+MIN(I$26,I124)+MIN(J$26,J124)+MIN(K$26,K124)+MIN(L$26,L124)</f>
        <v>0</v>
      </c>
      <c r="E124" s="36">
        <f>U123*(1+E$25)</f>
        <v>0</v>
      </c>
      <c r="F124" s="36">
        <f>V123*(1+F$25)</f>
        <v>0</v>
      </c>
      <c r="G124" s="36">
        <f>W123*(1+G$25)</f>
        <v>0</v>
      </c>
      <c r="H124" s="36">
        <f>X123*(1+H$25)</f>
        <v>0</v>
      </c>
      <c r="I124" s="36">
        <f>Y123*(1+I$25)</f>
        <v>0</v>
      </c>
      <c r="J124" s="36">
        <f>Z123*(1+J$25)</f>
        <v>0</v>
      </c>
      <c r="K124" s="36">
        <f>AA123*(1+K$25)</f>
        <v>0</v>
      </c>
      <c r="L124" s="36">
        <f>AB123*(1+L$25)</f>
        <v>0</v>
      </c>
      <c r="M124" s="36">
        <f>MIN(E124-MIN(E$26,E124),MAX(0,$C124-0))</f>
        <v>0</v>
      </c>
      <c r="N124" s="36">
        <f>MIN(F124-MIN(F$26,F124),MAX(0,$C124-SUM($M124:M124)))</f>
        <v>0</v>
      </c>
      <c r="O124" s="36">
        <f>MIN(G124-MIN(G$26,G124),MAX(0,$C124-SUM($M124:N124)))</f>
        <v>0</v>
      </c>
      <c r="P124" s="36">
        <f>MIN(H124-MIN(H$26,H124),MAX(0,$C124-SUM($M124:O124)))</f>
        <v>0</v>
      </c>
      <c r="Q124" s="36">
        <f>MIN(I124-MIN(I$26,I124),MAX(0,$C124-SUM($M124:P124)))</f>
        <v>0</v>
      </c>
      <c r="R124" s="36">
        <f>MIN(J124-MIN(J$26,J124),MAX(0,$C124-SUM($M124:Q124)))</f>
        <v>0</v>
      </c>
      <c r="S124" s="36">
        <f>MIN(K124-MIN(K$26,K124),MAX(0,$C124-SUM($M124:R124)))</f>
        <v>0</v>
      </c>
      <c r="T124" s="36">
        <f>MIN(L124-MIN(L$26,L124),MAX(0,$C124-SUM($M124:S124)))</f>
        <v>0</v>
      </c>
      <c r="U124" s="36">
        <f>IF(E124-MIN(E$26,E124)-M124&lt;0.005,0,E124-MIN(E$26,E124)-M124)</f>
        <v>0</v>
      </c>
      <c r="V124" s="36">
        <f>IF(F124-MIN(F$26,F124)-N124&lt;0.005,0,F124-MIN(F$26,F124)-N124)</f>
        <v>0</v>
      </c>
      <c r="W124" s="36">
        <f>IF(G124-MIN(G$26,G124)-O124&lt;0.005,0,G124-MIN(G$26,G124)-O124)</f>
        <v>0</v>
      </c>
      <c r="X124" s="36">
        <f>IF(H124-MIN(H$26,H124)-P124&lt;0.005,0,H124-MIN(H$26,H124)-P124)</f>
        <v>0</v>
      </c>
      <c r="Y124" s="36">
        <f>IF(I124-MIN(I$26,I124)-Q124&lt;0.005,0,I124-MIN(I$26,I124)-Q124)</f>
        <v>0</v>
      </c>
      <c r="Z124" s="36">
        <f>IF(J124-MIN(J$26,J124)-R124&lt;0.005,0,J124-MIN(J$26,J124)-R124)</f>
        <v>0</v>
      </c>
      <c r="AA124" s="36">
        <f>IF(K124-MIN(K$26,K124)-S124&lt;0.005,0,K124-MIN(K$26,K124)-S124)</f>
        <v>0</v>
      </c>
      <c r="AB124" s="36">
        <f>IF(L124-MIN(L$26,L124)-T124&lt;0.005,0,L124-MIN(L$26,L124)-T124)</f>
        <v>0</v>
      </c>
      <c r="AC124" s="36">
        <f>SUM(U124:AB124)</f>
        <v>0</v>
      </c>
      <c r="AD124" s="36">
        <f>D124+SUM(M124:T124)</f>
        <v>0</v>
      </c>
    </row>
    <row r="125">
      <c r="B125" s="40" t="n">
        <v>95</v>
      </c>
      <c r="C125" s="36" t="n">
        <v>0</v>
      </c>
      <c r="D125" s="36">
        <f>MIN(E$26,E125)+MIN(F$26,F125)+MIN(G$26,G125)+MIN(H$26,H125)+MIN(I$26,I125)+MIN(J$26,J125)+MIN(K$26,K125)+MIN(L$26,L125)</f>
        <v>0</v>
      </c>
      <c r="E125" s="36">
        <f>U124*(1+E$25)</f>
        <v>0</v>
      </c>
      <c r="F125" s="36">
        <f>V124*(1+F$25)</f>
        <v>0</v>
      </c>
      <c r="G125" s="36">
        <f>W124*(1+G$25)</f>
        <v>0</v>
      </c>
      <c r="H125" s="36">
        <f>X124*(1+H$25)</f>
        <v>0</v>
      </c>
      <c r="I125" s="36">
        <f>Y124*(1+I$25)</f>
        <v>0</v>
      </c>
      <c r="J125" s="36">
        <f>Z124*(1+J$25)</f>
        <v>0</v>
      </c>
      <c r="K125" s="36">
        <f>AA124*(1+K$25)</f>
        <v>0</v>
      </c>
      <c r="L125" s="36">
        <f>AB124*(1+L$25)</f>
        <v>0</v>
      </c>
      <c r="M125" s="36">
        <f>MIN(E125-MIN(E$26,E125),MAX(0,$C125-0))</f>
        <v>0</v>
      </c>
      <c r="N125" s="36">
        <f>MIN(F125-MIN(F$26,F125),MAX(0,$C125-SUM($M125:M125)))</f>
        <v>0</v>
      </c>
      <c r="O125" s="36">
        <f>MIN(G125-MIN(G$26,G125),MAX(0,$C125-SUM($M125:N125)))</f>
        <v>0</v>
      </c>
      <c r="P125" s="36">
        <f>MIN(H125-MIN(H$26,H125),MAX(0,$C125-SUM($M125:O125)))</f>
        <v>0</v>
      </c>
      <c r="Q125" s="36">
        <f>MIN(I125-MIN(I$26,I125),MAX(0,$C125-SUM($M125:P125)))</f>
        <v>0</v>
      </c>
      <c r="R125" s="36">
        <f>MIN(J125-MIN(J$26,J125),MAX(0,$C125-SUM($M125:Q125)))</f>
        <v>0</v>
      </c>
      <c r="S125" s="36">
        <f>MIN(K125-MIN(K$26,K125),MAX(0,$C125-SUM($M125:R125)))</f>
        <v>0</v>
      </c>
      <c r="T125" s="36">
        <f>MIN(L125-MIN(L$26,L125),MAX(0,$C125-SUM($M125:S125)))</f>
        <v>0</v>
      </c>
      <c r="U125" s="36">
        <f>IF(E125-MIN(E$26,E125)-M125&lt;0.005,0,E125-MIN(E$26,E125)-M125)</f>
        <v>0</v>
      </c>
      <c r="V125" s="36">
        <f>IF(F125-MIN(F$26,F125)-N125&lt;0.005,0,F125-MIN(F$26,F125)-N125)</f>
        <v>0</v>
      </c>
      <c r="W125" s="36">
        <f>IF(G125-MIN(G$26,G125)-O125&lt;0.005,0,G125-MIN(G$26,G125)-O125)</f>
        <v>0</v>
      </c>
      <c r="X125" s="36">
        <f>IF(H125-MIN(H$26,H125)-P125&lt;0.005,0,H125-MIN(H$26,H125)-P125)</f>
        <v>0</v>
      </c>
      <c r="Y125" s="36">
        <f>IF(I125-MIN(I$26,I125)-Q125&lt;0.005,0,I125-MIN(I$26,I125)-Q125)</f>
        <v>0</v>
      </c>
      <c r="Z125" s="36">
        <f>IF(J125-MIN(J$26,J125)-R125&lt;0.005,0,J125-MIN(J$26,J125)-R125)</f>
        <v>0</v>
      </c>
      <c r="AA125" s="36">
        <f>IF(K125-MIN(K$26,K125)-S125&lt;0.005,0,K125-MIN(K$26,K125)-S125)</f>
        <v>0</v>
      </c>
      <c r="AB125" s="36">
        <f>IF(L125-MIN(L$26,L125)-T125&lt;0.005,0,L125-MIN(L$26,L125)-T125)</f>
        <v>0</v>
      </c>
      <c r="AC125" s="36">
        <f>SUM(U125:AB125)</f>
        <v>0</v>
      </c>
      <c r="AD125" s="36">
        <f>D125+SUM(M125:T125)</f>
        <v>0</v>
      </c>
    </row>
    <row r="126">
      <c r="B126" s="40" t="n">
        <v>96</v>
      </c>
      <c r="C126" s="36" t="n">
        <v>0</v>
      </c>
      <c r="D126" s="36">
        <f>MIN(E$26,E126)+MIN(F$26,F126)+MIN(G$26,G126)+MIN(H$26,H126)+MIN(I$26,I126)+MIN(J$26,J126)+MIN(K$26,K126)+MIN(L$26,L126)</f>
        <v>0</v>
      </c>
      <c r="E126" s="36">
        <f>U125*(1+E$25)</f>
        <v>0</v>
      </c>
      <c r="F126" s="36">
        <f>V125*(1+F$25)</f>
        <v>0</v>
      </c>
      <c r="G126" s="36">
        <f>W125*(1+G$25)</f>
        <v>0</v>
      </c>
      <c r="H126" s="36">
        <f>X125*(1+H$25)</f>
        <v>0</v>
      </c>
      <c r="I126" s="36">
        <f>Y125*(1+I$25)</f>
        <v>0</v>
      </c>
      <c r="J126" s="36">
        <f>Z125*(1+J$25)</f>
        <v>0</v>
      </c>
      <c r="K126" s="36">
        <f>AA125*(1+K$25)</f>
        <v>0</v>
      </c>
      <c r="L126" s="36">
        <f>AB125*(1+L$25)</f>
        <v>0</v>
      </c>
      <c r="M126" s="36">
        <f>MIN(E126-MIN(E$26,E126),MAX(0,$C126-0))</f>
        <v>0</v>
      </c>
      <c r="N126" s="36">
        <f>MIN(F126-MIN(F$26,F126),MAX(0,$C126-SUM($M126:M126)))</f>
        <v>0</v>
      </c>
      <c r="O126" s="36">
        <f>MIN(G126-MIN(G$26,G126),MAX(0,$C126-SUM($M126:N126)))</f>
        <v>0</v>
      </c>
      <c r="P126" s="36">
        <f>MIN(H126-MIN(H$26,H126),MAX(0,$C126-SUM($M126:O126)))</f>
        <v>0</v>
      </c>
      <c r="Q126" s="36">
        <f>MIN(I126-MIN(I$26,I126),MAX(0,$C126-SUM($M126:P126)))</f>
        <v>0</v>
      </c>
      <c r="R126" s="36">
        <f>MIN(J126-MIN(J$26,J126),MAX(0,$C126-SUM($M126:Q126)))</f>
        <v>0</v>
      </c>
      <c r="S126" s="36">
        <f>MIN(K126-MIN(K$26,K126),MAX(0,$C126-SUM($M126:R126)))</f>
        <v>0</v>
      </c>
      <c r="T126" s="36">
        <f>MIN(L126-MIN(L$26,L126),MAX(0,$C126-SUM($M126:S126)))</f>
        <v>0</v>
      </c>
      <c r="U126" s="36">
        <f>IF(E126-MIN(E$26,E126)-M126&lt;0.005,0,E126-MIN(E$26,E126)-M126)</f>
        <v>0</v>
      </c>
      <c r="V126" s="36">
        <f>IF(F126-MIN(F$26,F126)-N126&lt;0.005,0,F126-MIN(F$26,F126)-N126)</f>
        <v>0</v>
      </c>
      <c r="W126" s="36">
        <f>IF(G126-MIN(G$26,G126)-O126&lt;0.005,0,G126-MIN(G$26,G126)-O126)</f>
        <v>0</v>
      </c>
      <c r="X126" s="36">
        <f>IF(H126-MIN(H$26,H126)-P126&lt;0.005,0,H126-MIN(H$26,H126)-P126)</f>
        <v>0</v>
      </c>
      <c r="Y126" s="36">
        <f>IF(I126-MIN(I$26,I126)-Q126&lt;0.005,0,I126-MIN(I$26,I126)-Q126)</f>
        <v>0</v>
      </c>
      <c r="Z126" s="36">
        <f>IF(J126-MIN(J$26,J126)-R126&lt;0.005,0,J126-MIN(J$26,J126)-R126)</f>
        <v>0</v>
      </c>
      <c r="AA126" s="36">
        <f>IF(K126-MIN(K$26,K126)-S126&lt;0.005,0,K126-MIN(K$26,K126)-S126)</f>
        <v>0</v>
      </c>
      <c r="AB126" s="36">
        <f>IF(L126-MIN(L$26,L126)-T126&lt;0.005,0,L126-MIN(L$26,L126)-T126)</f>
        <v>0</v>
      </c>
      <c r="AC126" s="36">
        <f>SUM(U126:AB126)</f>
        <v>0</v>
      </c>
      <c r="AD126" s="36">
        <f>D126+SUM(M126:T126)</f>
        <v>0</v>
      </c>
    </row>
    <row r="127">
      <c r="B127" s="40" t="n">
        <v>97</v>
      </c>
      <c r="C127" s="36" t="n">
        <v>0</v>
      </c>
      <c r="D127" s="36">
        <f>MIN(E$26,E127)+MIN(F$26,F127)+MIN(G$26,G127)+MIN(H$26,H127)+MIN(I$26,I127)+MIN(J$26,J127)+MIN(K$26,K127)+MIN(L$26,L127)</f>
        <v>0</v>
      </c>
      <c r="E127" s="36">
        <f>U126*(1+E$25)</f>
        <v>0</v>
      </c>
      <c r="F127" s="36">
        <f>V126*(1+F$25)</f>
        <v>0</v>
      </c>
      <c r="G127" s="36">
        <f>W126*(1+G$25)</f>
        <v>0</v>
      </c>
      <c r="H127" s="36">
        <f>X126*(1+H$25)</f>
        <v>0</v>
      </c>
      <c r="I127" s="36">
        <f>Y126*(1+I$25)</f>
        <v>0</v>
      </c>
      <c r="J127" s="36">
        <f>Z126*(1+J$25)</f>
        <v>0</v>
      </c>
      <c r="K127" s="36">
        <f>AA126*(1+K$25)</f>
        <v>0</v>
      </c>
      <c r="L127" s="36">
        <f>AB126*(1+L$25)</f>
        <v>0</v>
      </c>
      <c r="M127" s="36">
        <f>MIN(E127-MIN(E$26,E127),MAX(0,$C127-0))</f>
        <v>0</v>
      </c>
      <c r="N127" s="36">
        <f>MIN(F127-MIN(F$26,F127),MAX(0,$C127-SUM($M127:M127)))</f>
        <v>0</v>
      </c>
      <c r="O127" s="36">
        <f>MIN(G127-MIN(G$26,G127),MAX(0,$C127-SUM($M127:N127)))</f>
        <v>0</v>
      </c>
      <c r="P127" s="36">
        <f>MIN(H127-MIN(H$26,H127),MAX(0,$C127-SUM($M127:O127)))</f>
        <v>0</v>
      </c>
      <c r="Q127" s="36">
        <f>MIN(I127-MIN(I$26,I127),MAX(0,$C127-SUM($M127:P127)))</f>
        <v>0</v>
      </c>
      <c r="R127" s="36">
        <f>MIN(J127-MIN(J$26,J127),MAX(0,$C127-SUM($M127:Q127)))</f>
        <v>0</v>
      </c>
      <c r="S127" s="36">
        <f>MIN(K127-MIN(K$26,K127),MAX(0,$C127-SUM($M127:R127)))</f>
        <v>0</v>
      </c>
      <c r="T127" s="36">
        <f>MIN(L127-MIN(L$26,L127),MAX(0,$C127-SUM($M127:S127)))</f>
        <v>0</v>
      </c>
      <c r="U127" s="36">
        <f>IF(E127-MIN(E$26,E127)-M127&lt;0.005,0,E127-MIN(E$26,E127)-M127)</f>
        <v>0</v>
      </c>
      <c r="V127" s="36">
        <f>IF(F127-MIN(F$26,F127)-N127&lt;0.005,0,F127-MIN(F$26,F127)-N127)</f>
        <v>0</v>
      </c>
      <c r="W127" s="36">
        <f>IF(G127-MIN(G$26,G127)-O127&lt;0.005,0,G127-MIN(G$26,G127)-O127)</f>
        <v>0</v>
      </c>
      <c r="X127" s="36">
        <f>IF(H127-MIN(H$26,H127)-P127&lt;0.005,0,H127-MIN(H$26,H127)-P127)</f>
        <v>0</v>
      </c>
      <c r="Y127" s="36">
        <f>IF(I127-MIN(I$26,I127)-Q127&lt;0.005,0,I127-MIN(I$26,I127)-Q127)</f>
        <v>0</v>
      </c>
      <c r="Z127" s="36">
        <f>IF(J127-MIN(J$26,J127)-R127&lt;0.005,0,J127-MIN(J$26,J127)-R127)</f>
        <v>0</v>
      </c>
      <c r="AA127" s="36">
        <f>IF(K127-MIN(K$26,K127)-S127&lt;0.005,0,K127-MIN(K$26,K127)-S127)</f>
        <v>0</v>
      </c>
      <c r="AB127" s="36">
        <f>IF(L127-MIN(L$26,L127)-T127&lt;0.005,0,L127-MIN(L$26,L127)-T127)</f>
        <v>0</v>
      </c>
      <c r="AC127" s="36">
        <f>SUM(U127:AB127)</f>
        <v>0</v>
      </c>
      <c r="AD127" s="36">
        <f>D127+SUM(M127:T127)</f>
        <v>0</v>
      </c>
    </row>
    <row r="128">
      <c r="B128" s="40" t="n">
        <v>98</v>
      </c>
      <c r="C128" s="36" t="n">
        <v>0</v>
      </c>
      <c r="D128" s="36">
        <f>MIN(E$26,E128)+MIN(F$26,F128)+MIN(G$26,G128)+MIN(H$26,H128)+MIN(I$26,I128)+MIN(J$26,J128)+MIN(K$26,K128)+MIN(L$26,L128)</f>
        <v>0</v>
      </c>
      <c r="E128" s="36">
        <f>U127*(1+E$25)</f>
        <v>0</v>
      </c>
      <c r="F128" s="36">
        <f>V127*(1+F$25)</f>
        <v>0</v>
      </c>
      <c r="G128" s="36">
        <f>W127*(1+G$25)</f>
        <v>0</v>
      </c>
      <c r="H128" s="36">
        <f>X127*(1+H$25)</f>
        <v>0</v>
      </c>
      <c r="I128" s="36">
        <f>Y127*(1+I$25)</f>
        <v>0</v>
      </c>
      <c r="J128" s="36">
        <f>Z127*(1+J$25)</f>
        <v>0</v>
      </c>
      <c r="K128" s="36">
        <f>AA127*(1+K$25)</f>
        <v>0</v>
      </c>
      <c r="L128" s="36">
        <f>AB127*(1+L$25)</f>
        <v>0</v>
      </c>
      <c r="M128" s="36">
        <f>MIN(E128-MIN(E$26,E128),MAX(0,$C128-0))</f>
        <v>0</v>
      </c>
      <c r="N128" s="36">
        <f>MIN(F128-MIN(F$26,F128),MAX(0,$C128-SUM($M128:M128)))</f>
        <v>0</v>
      </c>
      <c r="O128" s="36">
        <f>MIN(G128-MIN(G$26,G128),MAX(0,$C128-SUM($M128:N128)))</f>
        <v>0</v>
      </c>
      <c r="P128" s="36">
        <f>MIN(H128-MIN(H$26,H128),MAX(0,$C128-SUM($M128:O128)))</f>
        <v>0</v>
      </c>
      <c r="Q128" s="36">
        <f>MIN(I128-MIN(I$26,I128),MAX(0,$C128-SUM($M128:P128)))</f>
        <v>0</v>
      </c>
      <c r="R128" s="36">
        <f>MIN(J128-MIN(J$26,J128),MAX(0,$C128-SUM($M128:Q128)))</f>
        <v>0</v>
      </c>
      <c r="S128" s="36">
        <f>MIN(K128-MIN(K$26,K128),MAX(0,$C128-SUM($M128:R128)))</f>
        <v>0</v>
      </c>
      <c r="T128" s="36">
        <f>MIN(L128-MIN(L$26,L128),MAX(0,$C128-SUM($M128:S128)))</f>
        <v>0</v>
      </c>
      <c r="U128" s="36">
        <f>IF(E128-MIN(E$26,E128)-M128&lt;0.005,0,E128-MIN(E$26,E128)-M128)</f>
        <v>0</v>
      </c>
      <c r="V128" s="36">
        <f>IF(F128-MIN(F$26,F128)-N128&lt;0.005,0,F128-MIN(F$26,F128)-N128)</f>
        <v>0</v>
      </c>
      <c r="W128" s="36">
        <f>IF(G128-MIN(G$26,G128)-O128&lt;0.005,0,G128-MIN(G$26,G128)-O128)</f>
        <v>0</v>
      </c>
      <c r="X128" s="36">
        <f>IF(H128-MIN(H$26,H128)-P128&lt;0.005,0,H128-MIN(H$26,H128)-P128)</f>
        <v>0</v>
      </c>
      <c r="Y128" s="36">
        <f>IF(I128-MIN(I$26,I128)-Q128&lt;0.005,0,I128-MIN(I$26,I128)-Q128)</f>
        <v>0</v>
      </c>
      <c r="Z128" s="36">
        <f>IF(J128-MIN(J$26,J128)-R128&lt;0.005,0,J128-MIN(J$26,J128)-R128)</f>
        <v>0</v>
      </c>
      <c r="AA128" s="36">
        <f>IF(K128-MIN(K$26,K128)-S128&lt;0.005,0,K128-MIN(K$26,K128)-S128)</f>
        <v>0</v>
      </c>
      <c r="AB128" s="36">
        <f>IF(L128-MIN(L$26,L128)-T128&lt;0.005,0,L128-MIN(L$26,L128)-T128)</f>
        <v>0</v>
      </c>
      <c r="AC128" s="36">
        <f>SUM(U128:AB128)</f>
        <v>0</v>
      </c>
      <c r="AD128" s="36">
        <f>D128+SUM(M128:T128)</f>
        <v>0</v>
      </c>
    </row>
    <row r="129">
      <c r="B129" s="40" t="n">
        <v>99</v>
      </c>
      <c r="C129" s="36" t="n">
        <v>0</v>
      </c>
      <c r="D129" s="36">
        <f>MIN(E$26,E129)+MIN(F$26,F129)+MIN(G$26,G129)+MIN(H$26,H129)+MIN(I$26,I129)+MIN(J$26,J129)+MIN(K$26,K129)+MIN(L$26,L129)</f>
        <v>0</v>
      </c>
      <c r="E129" s="36">
        <f>U128*(1+E$25)</f>
        <v>0</v>
      </c>
      <c r="F129" s="36">
        <f>V128*(1+F$25)</f>
        <v>0</v>
      </c>
      <c r="G129" s="36">
        <f>W128*(1+G$25)</f>
        <v>0</v>
      </c>
      <c r="H129" s="36">
        <f>X128*(1+H$25)</f>
        <v>0</v>
      </c>
      <c r="I129" s="36">
        <f>Y128*(1+I$25)</f>
        <v>0</v>
      </c>
      <c r="J129" s="36">
        <f>Z128*(1+J$25)</f>
        <v>0</v>
      </c>
      <c r="K129" s="36">
        <f>AA128*(1+K$25)</f>
        <v>0</v>
      </c>
      <c r="L129" s="36">
        <f>AB128*(1+L$25)</f>
        <v>0</v>
      </c>
      <c r="M129" s="36">
        <f>MIN(E129-MIN(E$26,E129),MAX(0,$C129-0))</f>
        <v>0</v>
      </c>
      <c r="N129" s="36">
        <f>MIN(F129-MIN(F$26,F129),MAX(0,$C129-SUM($M129:M129)))</f>
        <v>0</v>
      </c>
      <c r="O129" s="36">
        <f>MIN(G129-MIN(G$26,G129),MAX(0,$C129-SUM($M129:N129)))</f>
        <v>0</v>
      </c>
      <c r="P129" s="36">
        <f>MIN(H129-MIN(H$26,H129),MAX(0,$C129-SUM($M129:O129)))</f>
        <v>0</v>
      </c>
      <c r="Q129" s="36">
        <f>MIN(I129-MIN(I$26,I129),MAX(0,$C129-SUM($M129:P129)))</f>
        <v>0</v>
      </c>
      <c r="R129" s="36">
        <f>MIN(J129-MIN(J$26,J129),MAX(0,$C129-SUM($M129:Q129)))</f>
        <v>0</v>
      </c>
      <c r="S129" s="36">
        <f>MIN(K129-MIN(K$26,K129),MAX(0,$C129-SUM($M129:R129)))</f>
        <v>0</v>
      </c>
      <c r="T129" s="36">
        <f>MIN(L129-MIN(L$26,L129),MAX(0,$C129-SUM($M129:S129)))</f>
        <v>0</v>
      </c>
      <c r="U129" s="36">
        <f>IF(E129-MIN(E$26,E129)-M129&lt;0.005,0,E129-MIN(E$26,E129)-M129)</f>
        <v>0</v>
      </c>
      <c r="V129" s="36">
        <f>IF(F129-MIN(F$26,F129)-N129&lt;0.005,0,F129-MIN(F$26,F129)-N129)</f>
        <v>0</v>
      </c>
      <c r="W129" s="36">
        <f>IF(G129-MIN(G$26,G129)-O129&lt;0.005,0,G129-MIN(G$26,G129)-O129)</f>
        <v>0</v>
      </c>
      <c r="X129" s="36">
        <f>IF(H129-MIN(H$26,H129)-P129&lt;0.005,0,H129-MIN(H$26,H129)-P129)</f>
        <v>0</v>
      </c>
      <c r="Y129" s="36">
        <f>IF(I129-MIN(I$26,I129)-Q129&lt;0.005,0,I129-MIN(I$26,I129)-Q129)</f>
        <v>0</v>
      </c>
      <c r="Z129" s="36">
        <f>IF(J129-MIN(J$26,J129)-R129&lt;0.005,0,J129-MIN(J$26,J129)-R129)</f>
        <v>0</v>
      </c>
      <c r="AA129" s="36">
        <f>IF(K129-MIN(K$26,K129)-S129&lt;0.005,0,K129-MIN(K$26,K129)-S129)</f>
        <v>0</v>
      </c>
      <c r="AB129" s="36">
        <f>IF(L129-MIN(L$26,L129)-T129&lt;0.005,0,L129-MIN(L$26,L129)-T129)</f>
        <v>0</v>
      </c>
      <c r="AC129" s="36">
        <f>SUM(U129:AB129)</f>
        <v>0</v>
      </c>
      <c r="AD129" s="36">
        <f>D129+SUM(M129:T129)</f>
        <v>0</v>
      </c>
    </row>
    <row r="130">
      <c r="B130" s="40" t="n">
        <v>100</v>
      </c>
      <c r="C130" s="36" t="n">
        <v>0</v>
      </c>
      <c r="D130" s="36">
        <f>MIN(E$26,E130)+MIN(F$26,F130)+MIN(G$26,G130)+MIN(H$26,H130)+MIN(I$26,I130)+MIN(J$26,J130)+MIN(K$26,K130)+MIN(L$26,L130)</f>
        <v>0</v>
      </c>
      <c r="E130" s="36">
        <f>U129*(1+E$25)</f>
        <v>0</v>
      </c>
      <c r="F130" s="36">
        <f>V129*(1+F$25)</f>
        <v>0</v>
      </c>
      <c r="G130" s="36">
        <f>W129*(1+G$25)</f>
        <v>0</v>
      </c>
      <c r="H130" s="36">
        <f>X129*(1+H$25)</f>
        <v>0</v>
      </c>
      <c r="I130" s="36">
        <f>Y129*(1+I$25)</f>
        <v>0</v>
      </c>
      <c r="J130" s="36">
        <f>Z129*(1+J$25)</f>
        <v>0</v>
      </c>
      <c r="K130" s="36">
        <f>AA129*(1+K$25)</f>
        <v>0</v>
      </c>
      <c r="L130" s="36">
        <f>AB129*(1+L$25)</f>
        <v>0</v>
      </c>
      <c r="M130" s="36">
        <f>MIN(E130-MIN(E$26,E130),MAX(0,$C130-0))</f>
        <v>0</v>
      </c>
      <c r="N130" s="36">
        <f>MIN(F130-MIN(F$26,F130),MAX(0,$C130-SUM($M130:M130)))</f>
        <v>0</v>
      </c>
      <c r="O130" s="36">
        <f>MIN(G130-MIN(G$26,G130),MAX(0,$C130-SUM($M130:N130)))</f>
        <v>0</v>
      </c>
      <c r="P130" s="36">
        <f>MIN(H130-MIN(H$26,H130),MAX(0,$C130-SUM($M130:O130)))</f>
        <v>0</v>
      </c>
      <c r="Q130" s="36">
        <f>MIN(I130-MIN(I$26,I130),MAX(0,$C130-SUM($M130:P130)))</f>
        <v>0</v>
      </c>
      <c r="R130" s="36">
        <f>MIN(J130-MIN(J$26,J130),MAX(0,$C130-SUM($M130:Q130)))</f>
        <v>0</v>
      </c>
      <c r="S130" s="36">
        <f>MIN(K130-MIN(K$26,K130),MAX(0,$C130-SUM($M130:R130)))</f>
        <v>0</v>
      </c>
      <c r="T130" s="36">
        <f>MIN(L130-MIN(L$26,L130),MAX(0,$C130-SUM($M130:S130)))</f>
        <v>0</v>
      </c>
      <c r="U130" s="36">
        <f>IF(E130-MIN(E$26,E130)-M130&lt;0.005,0,E130-MIN(E$26,E130)-M130)</f>
        <v>0</v>
      </c>
      <c r="V130" s="36">
        <f>IF(F130-MIN(F$26,F130)-N130&lt;0.005,0,F130-MIN(F$26,F130)-N130)</f>
        <v>0</v>
      </c>
      <c r="W130" s="36">
        <f>IF(G130-MIN(G$26,G130)-O130&lt;0.005,0,G130-MIN(G$26,G130)-O130)</f>
        <v>0</v>
      </c>
      <c r="X130" s="36">
        <f>IF(H130-MIN(H$26,H130)-P130&lt;0.005,0,H130-MIN(H$26,H130)-P130)</f>
        <v>0</v>
      </c>
      <c r="Y130" s="36">
        <f>IF(I130-MIN(I$26,I130)-Q130&lt;0.005,0,I130-MIN(I$26,I130)-Q130)</f>
        <v>0</v>
      </c>
      <c r="Z130" s="36">
        <f>IF(J130-MIN(J$26,J130)-R130&lt;0.005,0,J130-MIN(J$26,J130)-R130)</f>
        <v>0</v>
      </c>
      <c r="AA130" s="36">
        <f>IF(K130-MIN(K$26,K130)-S130&lt;0.005,0,K130-MIN(K$26,K130)-S130)</f>
        <v>0</v>
      </c>
      <c r="AB130" s="36">
        <f>IF(L130-MIN(L$26,L130)-T130&lt;0.005,0,L130-MIN(L$26,L130)-T130)</f>
        <v>0</v>
      </c>
      <c r="AC130" s="36">
        <f>SUM(U130:AB130)</f>
        <v>0</v>
      </c>
      <c r="AD130" s="36">
        <f>D130+SUM(M130:T130)</f>
        <v>0</v>
      </c>
    </row>
    <row r="131">
      <c r="B131" s="40" t="n">
        <v>101</v>
      </c>
      <c r="C131" s="36" t="n">
        <v>0</v>
      </c>
      <c r="D131" s="36">
        <f>MIN(E$26,E131)+MIN(F$26,F131)+MIN(G$26,G131)+MIN(H$26,H131)+MIN(I$26,I131)+MIN(J$26,J131)+MIN(K$26,K131)+MIN(L$26,L131)</f>
        <v>0</v>
      </c>
      <c r="E131" s="36">
        <f>U130*(1+E$25)</f>
        <v>0</v>
      </c>
      <c r="F131" s="36">
        <f>V130*(1+F$25)</f>
        <v>0</v>
      </c>
      <c r="G131" s="36">
        <f>W130*(1+G$25)</f>
        <v>0</v>
      </c>
      <c r="H131" s="36">
        <f>X130*(1+H$25)</f>
        <v>0</v>
      </c>
      <c r="I131" s="36">
        <f>Y130*(1+I$25)</f>
        <v>0</v>
      </c>
      <c r="J131" s="36">
        <f>Z130*(1+J$25)</f>
        <v>0</v>
      </c>
      <c r="K131" s="36">
        <f>AA130*(1+K$25)</f>
        <v>0</v>
      </c>
      <c r="L131" s="36">
        <f>AB130*(1+L$25)</f>
        <v>0</v>
      </c>
      <c r="M131" s="36">
        <f>MIN(E131-MIN(E$26,E131),MAX(0,$C131-0))</f>
        <v>0</v>
      </c>
      <c r="N131" s="36">
        <f>MIN(F131-MIN(F$26,F131),MAX(0,$C131-SUM($M131:M131)))</f>
        <v>0</v>
      </c>
      <c r="O131" s="36">
        <f>MIN(G131-MIN(G$26,G131),MAX(0,$C131-SUM($M131:N131)))</f>
        <v>0</v>
      </c>
      <c r="P131" s="36">
        <f>MIN(H131-MIN(H$26,H131),MAX(0,$C131-SUM($M131:O131)))</f>
        <v>0</v>
      </c>
      <c r="Q131" s="36">
        <f>MIN(I131-MIN(I$26,I131),MAX(0,$C131-SUM($M131:P131)))</f>
        <v>0</v>
      </c>
      <c r="R131" s="36">
        <f>MIN(J131-MIN(J$26,J131),MAX(0,$C131-SUM($M131:Q131)))</f>
        <v>0</v>
      </c>
      <c r="S131" s="36">
        <f>MIN(K131-MIN(K$26,K131),MAX(0,$C131-SUM($M131:R131)))</f>
        <v>0</v>
      </c>
      <c r="T131" s="36">
        <f>MIN(L131-MIN(L$26,L131),MAX(0,$C131-SUM($M131:S131)))</f>
        <v>0</v>
      </c>
      <c r="U131" s="36">
        <f>IF(E131-MIN(E$26,E131)-M131&lt;0.005,0,E131-MIN(E$26,E131)-M131)</f>
        <v>0</v>
      </c>
      <c r="V131" s="36">
        <f>IF(F131-MIN(F$26,F131)-N131&lt;0.005,0,F131-MIN(F$26,F131)-N131)</f>
        <v>0</v>
      </c>
      <c r="W131" s="36">
        <f>IF(G131-MIN(G$26,G131)-O131&lt;0.005,0,G131-MIN(G$26,G131)-O131)</f>
        <v>0</v>
      </c>
      <c r="X131" s="36">
        <f>IF(H131-MIN(H$26,H131)-P131&lt;0.005,0,H131-MIN(H$26,H131)-P131)</f>
        <v>0</v>
      </c>
      <c r="Y131" s="36">
        <f>IF(I131-MIN(I$26,I131)-Q131&lt;0.005,0,I131-MIN(I$26,I131)-Q131)</f>
        <v>0</v>
      </c>
      <c r="Z131" s="36">
        <f>IF(J131-MIN(J$26,J131)-R131&lt;0.005,0,J131-MIN(J$26,J131)-R131)</f>
        <v>0</v>
      </c>
      <c r="AA131" s="36">
        <f>IF(K131-MIN(K$26,K131)-S131&lt;0.005,0,K131-MIN(K$26,K131)-S131)</f>
        <v>0</v>
      </c>
      <c r="AB131" s="36">
        <f>IF(L131-MIN(L$26,L131)-T131&lt;0.005,0,L131-MIN(L$26,L131)-T131)</f>
        <v>0</v>
      </c>
      <c r="AC131" s="36">
        <f>SUM(U131:AB131)</f>
        <v>0</v>
      </c>
      <c r="AD131" s="36">
        <f>D131+SUM(M131:T131)</f>
        <v>0</v>
      </c>
    </row>
    <row r="132">
      <c r="B132" s="40" t="n">
        <v>102</v>
      </c>
      <c r="C132" s="36" t="n">
        <v>0</v>
      </c>
      <c r="D132" s="36">
        <f>MIN(E$26,E132)+MIN(F$26,F132)+MIN(G$26,G132)+MIN(H$26,H132)+MIN(I$26,I132)+MIN(J$26,J132)+MIN(K$26,K132)+MIN(L$26,L132)</f>
        <v>0</v>
      </c>
      <c r="E132" s="36">
        <f>U131*(1+E$25)</f>
        <v>0</v>
      </c>
      <c r="F132" s="36">
        <f>V131*(1+F$25)</f>
        <v>0</v>
      </c>
      <c r="G132" s="36">
        <f>W131*(1+G$25)</f>
        <v>0</v>
      </c>
      <c r="H132" s="36">
        <f>X131*(1+H$25)</f>
        <v>0</v>
      </c>
      <c r="I132" s="36">
        <f>Y131*(1+I$25)</f>
        <v>0</v>
      </c>
      <c r="J132" s="36">
        <f>Z131*(1+J$25)</f>
        <v>0</v>
      </c>
      <c r="K132" s="36">
        <f>AA131*(1+K$25)</f>
        <v>0</v>
      </c>
      <c r="L132" s="36">
        <f>AB131*(1+L$25)</f>
        <v>0</v>
      </c>
      <c r="M132" s="36">
        <f>MIN(E132-MIN(E$26,E132),MAX(0,$C132-0))</f>
        <v>0</v>
      </c>
      <c r="N132" s="36">
        <f>MIN(F132-MIN(F$26,F132),MAX(0,$C132-SUM($M132:M132)))</f>
        <v>0</v>
      </c>
      <c r="O132" s="36">
        <f>MIN(G132-MIN(G$26,G132),MAX(0,$C132-SUM($M132:N132)))</f>
        <v>0</v>
      </c>
      <c r="P132" s="36">
        <f>MIN(H132-MIN(H$26,H132),MAX(0,$C132-SUM($M132:O132)))</f>
        <v>0</v>
      </c>
      <c r="Q132" s="36">
        <f>MIN(I132-MIN(I$26,I132),MAX(0,$C132-SUM($M132:P132)))</f>
        <v>0</v>
      </c>
      <c r="R132" s="36">
        <f>MIN(J132-MIN(J$26,J132),MAX(0,$C132-SUM($M132:Q132)))</f>
        <v>0</v>
      </c>
      <c r="S132" s="36">
        <f>MIN(K132-MIN(K$26,K132),MAX(0,$C132-SUM($M132:R132)))</f>
        <v>0</v>
      </c>
      <c r="T132" s="36">
        <f>MIN(L132-MIN(L$26,L132),MAX(0,$C132-SUM($M132:S132)))</f>
        <v>0</v>
      </c>
      <c r="U132" s="36">
        <f>IF(E132-MIN(E$26,E132)-M132&lt;0.005,0,E132-MIN(E$26,E132)-M132)</f>
        <v>0</v>
      </c>
      <c r="V132" s="36">
        <f>IF(F132-MIN(F$26,F132)-N132&lt;0.005,0,F132-MIN(F$26,F132)-N132)</f>
        <v>0</v>
      </c>
      <c r="W132" s="36">
        <f>IF(G132-MIN(G$26,G132)-O132&lt;0.005,0,G132-MIN(G$26,G132)-O132)</f>
        <v>0</v>
      </c>
      <c r="X132" s="36">
        <f>IF(H132-MIN(H$26,H132)-P132&lt;0.005,0,H132-MIN(H$26,H132)-P132)</f>
        <v>0</v>
      </c>
      <c r="Y132" s="36">
        <f>IF(I132-MIN(I$26,I132)-Q132&lt;0.005,0,I132-MIN(I$26,I132)-Q132)</f>
        <v>0</v>
      </c>
      <c r="Z132" s="36">
        <f>IF(J132-MIN(J$26,J132)-R132&lt;0.005,0,J132-MIN(J$26,J132)-R132)</f>
        <v>0</v>
      </c>
      <c r="AA132" s="36">
        <f>IF(K132-MIN(K$26,K132)-S132&lt;0.005,0,K132-MIN(K$26,K132)-S132)</f>
        <v>0</v>
      </c>
      <c r="AB132" s="36">
        <f>IF(L132-MIN(L$26,L132)-T132&lt;0.005,0,L132-MIN(L$26,L132)-T132)</f>
        <v>0</v>
      </c>
      <c r="AC132" s="36">
        <f>SUM(U132:AB132)</f>
        <v>0</v>
      </c>
      <c r="AD132" s="36">
        <f>D132+SUM(M132:T132)</f>
        <v>0</v>
      </c>
    </row>
    <row r="133">
      <c r="B133" s="40" t="n">
        <v>103</v>
      </c>
      <c r="C133" s="36" t="n">
        <v>0</v>
      </c>
      <c r="D133" s="36">
        <f>MIN(E$26,E133)+MIN(F$26,F133)+MIN(G$26,G133)+MIN(H$26,H133)+MIN(I$26,I133)+MIN(J$26,J133)+MIN(K$26,K133)+MIN(L$26,L133)</f>
        <v>0</v>
      </c>
      <c r="E133" s="36">
        <f>U132*(1+E$25)</f>
        <v>0</v>
      </c>
      <c r="F133" s="36">
        <f>V132*(1+F$25)</f>
        <v>0</v>
      </c>
      <c r="G133" s="36">
        <f>W132*(1+G$25)</f>
        <v>0</v>
      </c>
      <c r="H133" s="36">
        <f>X132*(1+H$25)</f>
        <v>0</v>
      </c>
      <c r="I133" s="36">
        <f>Y132*(1+I$25)</f>
        <v>0</v>
      </c>
      <c r="J133" s="36">
        <f>Z132*(1+J$25)</f>
        <v>0</v>
      </c>
      <c r="K133" s="36">
        <f>AA132*(1+K$25)</f>
        <v>0</v>
      </c>
      <c r="L133" s="36">
        <f>AB132*(1+L$25)</f>
        <v>0</v>
      </c>
      <c r="M133" s="36">
        <f>MIN(E133-MIN(E$26,E133),MAX(0,$C133-0))</f>
        <v>0</v>
      </c>
      <c r="N133" s="36">
        <f>MIN(F133-MIN(F$26,F133),MAX(0,$C133-SUM($M133:M133)))</f>
        <v>0</v>
      </c>
      <c r="O133" s="36">
        <f>MIN(G133-MIN(G$26,G133),MAX(0,$C133-SUM($M133:N133)))</f>
        <v>0</v>
      </c>
      <c r="P133" s="36">
        <f>MIN(H133-MIN(H$26,H133),MAX(0,$C133-SUM($M133:O133)))</f>
        <v>0</v>
      </c>
      <c r="Q133" s="36">
        <f>MIN(I133-MIN(I$26,I133),MAX(0,$C133-SUM($M133:P133)))</f>
        <v>0</v>
      </c>
      <c r="R133" s="36">
        <f>MIN(J133-MIN(J$26,J133),MAX(0,$C133-SUM($M133:Q133)))</f>
        <v>0</v>
      </c>
      <c r="S133" s="36">
        <f>MIN(K133-MIN(K$26,K133),MAX(0,$C133-SUM($M133:R133)))</f>
        <v>0</v>
      </c>
      <c r="T133" s="36">
        <f>MIN(L133-MIN(L$26,L133),MAX(0,$C133-SUM($M133:S133)))</f>
        <v>0</v>
      </c>
      <c r="U133" s="36">
        <f>IF(E133-MIN(E$26,E133)-M133&lt;0.005,0,E133-MIN(E$26,E133)-M133)</f>
        <v>0</v>
      </c>
      <c r="V133" s="36">
        <f>IF(F133-MIN(F$26,F133)-N133&lt;0.005,0,F133-MIN(F$26,F133)-N133)</f>
        <v>0</v>
      </c>
      <c r="W133" s="36">
        <f>IF(G133-MIN(G$26,G133)-O133&lt;0.005,0,G133-MIN(G$26,G133)-O133)</f>
        <v>0</v>
      </c>
      <c r="X133" s="36">
        <f>IF(H133-MIN(H$26,H133)-P133&lt;0.005,0,H133-MIN(H$26,H133)-P133)</f>
        <v>0</v>
      </c>
      <c r="Y133" s="36">
        <f>IF(I133-MIN(I$26,I133)-Q133&lt;0.005,0,I133-MIN(I$26,I133)-Q133)</f>
        <v>0</v>
      </c>
      <c r="Z133" s="36">
        <f>IF(J133-MIN(J$26,J133)-R133&lt;0.005,0,J133-MIN(J$26,J133)-R133)</f>
        <v>0</v>
      </c>
      <c r="AA133" s="36">
        <f>IF(K133-MIN(K$26,K133)-S133&lt;0.005,0,K133-MIN(K$26,K133)-S133)</f>
        <v>0</v>
      </c>
      <c r="AB133" s="36">
        <f>IF(L133-MIN(L$26,L133)-T133&lt;0.005,0,L133-MIN(L$26,L133)-T133)</f>
        <v>0</v>
      </c>
      <c r="AC133" s="36">
        <f>SUM(U133:AB133)</f>
        <v>0</v>
      </c>
      <c r="AD133" s="36">
        <f>D133+SUM(M133:T133)</f>
        <v>0</v>
      </c>
    </row>
    <row r="134">
      <c r="B134" s="40" t="n">
        <v>104</v>
      </c>
      <c r="C134" s="36" t="n">
        <v>0</v>
      </c>
      <c r="D134" s="36">
        <f>MIN(E$26,E134)+MIN(F$26,F134)+MIN(G$26,G134)+MIN(H$26,H134)+MIN(I$26,I134)+MIN(J$26,J134)+MIN(K$26,K134)+MIN(L$26,L134)</f>
        <v>0</v>
      </c>
      <c r="E134" s="36">
        <f>U133*(1+E$25)</f>
        <v>0</v>
      </c>
      <c r="F134" s="36">
        <f>V133*(1+F$25)</f>
        <v>0</v>
      </c>
      <c r="G134" s="36">
        <f>W133*(1+G$25)</f>
        <v>0</v>
      </c>
      <c r="H134" s="36">
        <f>X133*(1+H$25)</f>
        <v>0</v>
      </c>
      <c r="I134" s="36">
        <f>Y133*(1+I$25)</f>
        <v>0</v>
      </c>
      <c r="J134" s="36">
        <f>Z133*(1+J$25)</f>
        <v>0</v>
      </c>
      <c r="K134" s="36">
        <f>AA133*(1+K$25)</f>
        <v>0</v>
      </c>
      <c r="L134" s="36">
        <f>AB133*(1+L$25)</f>
        <v>0</v>
      </c>
      <c r="M134" s="36">
        <f>MIN(E134-MIN(E$26,E134),MAX(0,$C134-0))</f>
        <v>0</v>
      </c>
      <c r="N134" s="36">
        <f>MIN(F134-MIN(F$26,F134),MAX(0,$C134-SUM($M134:M134)))</f>
        <v>0</v>
      </c>
      <c r="O134" s="36">
        <f>MIN(G134-MIN(G$26,G134),MAX(0,$C134-SUM($M134:N134)))</f>
        <v>0</v>
      </c>
      <c r="P134" s="36">
        <f>MIN(H134-MIN(H$26,H134),MAX(0,$C134-SUM($M134:O134)))</f>
        <v>0</v>
      </c>
      <c r="Q134" s="36">
        <f>MIN(I134-MIN(I$26,I134),MAX(0,$C134-SUM($M134:P134)))</f>
        <v>0</v>
      </c>
      <c r="R134" s="36">
        <f>MIN(J134-MIN(J$26,J134),MAX(0,$C134-SUM($M134:Q134)))</f>
        <v>0</v>
      </c>
      <c r="S134" s="36">
        <f>MIN(K134-MIN(K$26,K134),MAX(0,$C134-SUM($M134:R134)))</f>
        <v>0</v>
      </c>
      <c r="T134" s="36">
        <f>MIN(L134-MIN(L$26,L134),MAX(0,$C134-SUM($M134:S134)))</f>
        <v>0</v>
      </c>
      <c r="U134" s="36">
        <f>IF(E134-MIN(E$26,E134)-M134&lt;0.005,0,E134-MIN(E$26,E134)-M134)</f>
        <v>0</v>
      </c>
      <c r="V134" s="36">
        <f>IF(F134-MIN(F$26,F134)-N134&lt;0.005,0,F134-MIN(F$26,F134)-N134)</f>
        <v>0</v>
      </c>
      <c r="W134" s="36">
        <f>IF(G134-MIN(G$26,G134)-O134&lt;0.005,0,G134-MIN(G$26,G134)-O134)</f>
        <v>0</v>
      </c>
      <c r="X134" s="36">
        <f>IF(H134-MIN(H$26,H134)-P134&lt;0.005,0,H134-MIN(H$26,H134)-P134)</f>
        <v>0</v>
      </c>
      <c r="Y134" s="36">
        <f>IF(I134-MIN(I$26,I134)-Q134&lt;0.005,0,I134-MIN(I$26,I134)-Q134)</f>
        <v>0</v>
      </c>
      <c r="Z134" s="36">
        <f>IF(J134-MIN(J$26,J134)-R134&lt;0.005,0,J134-MIN(J$26,J134)-R134)</f>
        <v>0</v>
      </c>
      <c r="AA134" s="36">
        <f>IF(K134-MIN(K$26,K134)-S134&lt;0.005,0,K134-MIN(K$26,K134)-S134)</f>
        <v>0</v>
      </c>
      <c r="AB134" s="36">
        <f>IF(L134-MIN(L$26,L134)-T134&lt;0.005,0,L134-MIN(L$26,L134)-T134)</f>
        <v>0</v>
      </c>
      <c r="AC134" s="36">
        <f>SUM(U134:AB134)</f>
        <v>0</v>
      </c>
      <c r="AD134" s="36">
        <f>D134+SUM(M134:T134)</f>
        <v>0</v>
      </c>
    </row>
    <row r="135">
      <c r="B135" s="40" t="n">
        <v>105</v>
      </c>
      <c r="C135" s="36" t="n">
        <v>0</v>
      </c>
      <c r="D135" s="36">
        <f>MIN(E$26,E135)+MIN(F$26,F135)+MIN(G$26,G135)+MIN(H$26,H135)+MIN(I$26,I135)+MIN(J$26,J135)+MIN(K$26,K135)+MIN(L$26,L135)</f>
        <v>0</v>
      </c>
      <c r="E135" s="36">
        <f>U134*(1+E$25)</f>
        <v>0</v>
      </c>
      <c r="F135" s="36">
        <f>V134*(1+F$25)</f>
        <v>0</v>
      </c>
      <c r="G135" s="36">
        <f>W134*(1+G$25)</f>
        <v>0</v>
      </c>
      <c r="H135" s="36">
        <f>X134*(1+H$25)</f>
        <v>0</v>
      </c>
      <c r="I135" s="36">
        <f>Y134*(1+I$25)</f>
        <v>0</v>
      </c>
      <c r="J135" s="36">
        <f>Z134*(1+J$25)</f>
        <v>0</v>
      </c>
      <c r="K135" s="36">
        <f>AA134*(1+K$25)</f>
        <v>0</v>
      </c>
      <c r="L135" s="36">
        <f>AB134*(1+L$25)</f>
        <v>0</v>
      </c>
      <c r="M135" s="36">
        <f>MIN(E135-MIN(E$26,E135),MAX(0,$C135-0))</f>
        <v>0</v>
      </c>
      <c r="N135" s="36">
        <f>MIN(F135-MIN(F$26,F135),MAX(0,$C135-SUM($M135:M135)))</f>
        <v>0</v>
      </c>
      <c r="O135" s="36">
        <f>MIN(G135-MIN(G$26,G135),MAX(0,$C135-SUM($M135:N135)))</f>
        <v>0</v>
      </c>
      <c r="P135" s="36">
        <f>MIN(H135-MIN(H$26,H135),MAX(0,$C135-SUM($M135:O135)))</f>
        <v>0</v>
      </c>
      <c r="Q135" s="36">
        <f>MIN(I135-MIN(I$26,I135),MAX(0,$C135-SUM($M135:P135)))</f>
        <v>0</v>
      </c>
      <c r="R135" s="36">
        <f>MIN(J135-MIN(J$26,J135),MAX(0,$C135-SUM($M135:Q135)))</f>
        <v>0</v>
      </c>
      <c r="S135" s="36">
        <f>MIN(K135-MIN(K$26,K135),MAX(0,$C135-SUM($M135:R135)))</f>
        <v>0</v>
      </c>
      <c r="T135" s="36">
        <f>MIN(L135-MIN(L$26,L135),MAX(0,$C135-SUM($M135:S135)))</f>
        <v>0</v>
      </c>
      <c r="U135" s="36">
        <f>IF(E135-MIN(E$26,E135)-M135&lt;0.005,0,E135-MIN(E$26,E135)-M135)</f>
        <v>0</v>
      </c>
      <c r="V135" s="36">
        <f>IF(F135-MIN(F$26,F135)-N135&lt;0.005,0,F135-MIN(F$26,F135)-N135)</f>
        <v>0</v>
      </c>
      <c r="W135" s="36">
        <f>IF(G135-MIN(G$26,G135)-O135&lt;0.005,0,G135-MIN(G$26,G135)-O135)</f>
        <v>0</v>
      </c>
      <c r="X135" s="36">
        <f>IF(H135-MIN(H$26,H135)-P135&lt;0.005,0,H135-MIN(H$26,H135)-P135)</f>
        <v>0</v>
      </c>
      <c r="Y135" s="36">
        <f>IF(I135-MIN(I$26,I135)-Q135&lt;0.005,0,I135-MIN(I$26,I135)-Q135)</f>
        <v>0</v>
      </c>
      <c r="Z135" s="36">
        <f>IF(J135-MIN(J$26,J135)-R135&lt;0.005,0,J135-MIN(J$26,J135)-R135)</f>
        <v>0</v>
      </c>
      <c r="AA135" s="36">
        <f>IF(K135-MIN(K$26,K135)-S135&lt;0.005,0,K135-MIN(K$26,K135)-S135)</f>
        <v>0</v>
      </c>
      <c r="AB135" s="36">
        <f>IF(L135-MIN(L$26,L135)-T135&lt;0.005,0,L135-MIN(L$26,L135)-T135)</f>
        <v>0</v>
      </c>
      <c r="AC135" s="36">
        <f>SUM(U135:AB135)</f>
        <v>0</v>
      </c>
      <c r="AD135" s="36">
        <f>D135+SUM(M135:T135)</f>
        <v>0</v>
      </c>
    </row>
    <row r="136">
      <c r="B136" s="40" t="n">
        <v>106</v>
      </c>
      <c r="C136" s="36" t="n">
        <v>0</v>
      </c>
      <c r="D136" s="36">
        <f>MIN(E$26,E136)+MIN(F$26,F136)+MIN(G$26,G136)+MIN(H$26,H136)+MIN(I$26,I136)+MIN(J$26,J136)+MIN(K$26,K136)+MIN(L$26,L136)</f>
        <v>0</v>
      </c>
      <c r="E136" s="36">
        <f>U135*(1+E$25)</f>
        <v>0</v>
      </c>
      <c r="F136" s="36">
        <f>V135*(1+F$25)</f>
        <v>0</v>
      </c>
      <c r="G136" s="36">
        <f>W135*(1+G$25)</f>
        <v>0</v>
      </c>
      <c r="H136" s="36">
        <f>X135*(1+H$25)</f>
        <v>0</v>
      </c>
      <c r="I136" s="36">
        <f>Y135*(1+I$25)</f>
        <v>0</v>
      </c>
      <c r="J136" s="36">
        <f>Z135*(1+J$25)</f>
        <v>0</v>
      </c>
      <c r="K136" s="36">
        <f>AA135*(1+K$25)</f>
        <v>0</v>
      </c>
      <c r="L136" s="36">
        <f>AB135*(1+L$25)</f>
        <v>0</v>
      </c>
      <c r="M136" s="36">
        <f>MIN(E136-MIN(E$26,E136),MAX(0,$C136-0))</f>
        <v>0</v>
      </c>
      <c r="N136" s="36">
        <f>MIN(F136-MIN(F$26,F136),MAX(0,$C136-SUM($M136:M136)))</f>
        <v>0</v>
      </c>
      <c r="O136" s="36">
        <f>MIN(G136-MIN(G$26,G136),MAX(0,$C136-SUM($M136:N136)))</f>
        <v>0</v>
      </c>
      <c r="P136" s="36">
        <f>MIN(H136-MIN(H$26,H136),MAX(0,$C136-SUM($M136:O136)))</f>
        <v>0</v>
      </c>
      <c r="Q136" s="36">
        <f>MIN(I136-MIN(I$26,I136),MAX(0,$C136-SUM($M136:P136)))</f>
        <v>0</v>
      </c>
      <c r="R136" s="36">
        <f>MIN(J136-MIN(J$26,J136),MAX(0,$C136-SUM($M136:Q136)))</f>
        <v>0</v>
      </c>
      <c r="S136" s="36">
        <f>MIN(K136-MIN(K$26,K136),MAX(0,$C136-SUM($M136:R136)))</f>
        <v>0</v>
      </c>
      <c r="T136" s="36">
        <f>MIN(L136-MIN(L$26,L136),MAX(0,$C136-SUM($M136:S136)))</f>
        <v>0</v>
      </c>
      <c r="U136" s="36">
        <f>IF(E136-MIN(E$26,E136)-M136&lt;0.005,0,E136-MIN(E$26,E136)-M136)</f>
        <v>0</v>
      </c>
      <c r="V136" s="36">
        <f>IF(F136-MIN(F$26,F136)-N136&lt;0.005,0,F136-MIN(F$26,F136)-N136)</f>
        <v>0</v>
      </c>
      <c r="W136" s="36">
        <f>IF(G136-MIN(G$26,G136)-O136&lt;0.005,0,G136-MIN(G$26,G136)-O136)</f>
        <v>0</v>
      </c>
      <c r="X136" s="36">
        <f>IF(H136-MIN(H$26,H136)-P136&lt;0.005,0,H136-MIN(H$26,H136)-P136)</f>
        <v>0</v>
      </c>
      <c r="Y136" s="36">
        <f>IF(I136-MIN(I$26,I136)-Q136&lt;0.005,0,I136-MIN(I$26,I136)-Q136)</f>
        <v>0</v>
      </c>
      <c r="Z136" s="36">
        <f>IF(J136-MIN(J$26,J136)-R136&lt;0.005,0,J136-MIN(J$26,J136)-R136)</f>
        <v>0</v>
      </c>
      <c r="AA136" s="36">
        <f>IF(K136-MIN(K$26,K136)-S136&lt;0.005,0,K136-MIN(K$26,K136)-S136)</f>
        <v>0</v>
      </c>
      <c r="AB136" s="36">
        <f>IF(L136-MIN(L$26,L136)-T136&lt;0.005,0,L136-MIN(L$26,L136)-T136)</f>
        <v>0</v>
      </c>
      <c r="AC136" s="36">
        <f>SUM(U136:AB136)</f>
        <v>0</v>
      </c>
      <c r="AD136" s="36">
        <f>D136+SUM(M136:T136)</f>
        <v>0</v>
      </c>
    </row>
    <row r="137">
      <c r="B137" s="40" t="n">
        <v>107</v>
      </c>
      <c r="C137" s="36" t="n">
        <v>0</v>
      </c>
      <c r="D137" s="36">
        <f>MIN(E$26,E137)+MIN(F$26,F137)+MIN(G$26,G137)+MIN(H$26,H137)+MIN(I$26,I137)+MIN(J$26,J137)+MIN(K$26,K137)+MIN(L$26,L137)</f>
        <v>0</v>
      </c>
      <c r="E137" s="36">
        <f>U136*(1+E$25)</f>
        <v>0</v>
      </c>
      <c r="F137" s="36">
        <f>V136*(1+F$25)</f>
        <v>0</v>
      </c>
      <c r="G137" s="36">
        <f>W136*(1+G$25)</f>
        <v>0</v>
      </c>
      <c r="H137" s="36">
        <f>X136*(1+H$25)</f>
        <v>0</v>
      </c>
      <c r="I137" s="36">
        <f>Y136*(1+I$25)</f>
        <v>0</v>
      </c>
      <c r="J137" s="36">
        <f>Z136*(1+J$25)</f>
        <v>0</v>
      </c>
      <c r="K137" s="36">
        <f>AA136*(1+K$25)</f>
        <v>0</v>
      </c>
      <c r="L137" s="36">
        <f>AB136*(1+L$25)</f>
        <v>0</v>
      </c>
      <c r="M137" s="36">
        <f>MIN(E137-MIN(E$26,E137),MAX(0,$C137-0))</f>
        <v>0</v>
      </c>
      <c r="N137" s="36">
        <f>MIN(F137-MIN(F$26,F137),MAX(0,$C137-SUM($M137:M137)))</f>
        <v>0</v>
      </c>
      <c r="O137" s="36">
        <f>MIN(G137-MIN(G$26,G137),MAX(0,$C137-SUM($M137:N137)))</f>
        <v>0</v>
      </c>
      <c r="P137" s="36">
        <f>MIN(H137-MIN(H$26,H137),MAX(0,$C137-SUM($M137:O137)))</f>
        <v>0</v>
      </c>
      <c r="Q137" s="36">
        <f>MIN(I137-MIN(I$26,I137),MAX(0,$C137-SUM($M137:P137)))</f>
        <v>0</v>
      </c>
      <c r="R137" s="36">
        <f>MIN(J137-MIN(J$26,J137),MAX(0,$C137-SUM($M137:Q137)))</f>
        <v>0</v>
      </c>
      <c r="S137" s="36">
        <f>MIN(K137-MIN(K$26,K137),MAX(0,$C137-SUM($M137:R137)))</f>
        <v>0</v>
      </c>
      <c r="T137" s="36">
        <f>MIN(L137-MIN(L$26,L137),MAX(0,$C137-SUM($M137:S137)))</f>
        <v>0</v>
      </c>
      <c r="U137" s="36">
        <f>IF(E137-MIN(E$26,E137)-M137&lt;0.005,0,E137-MIN(E$26,E137)-M137)</f>
        <v>0</v>
      </c>
      <c r="V137" s="36">
        <f>IF(F137-MIN(F$26,F137)-N137&lt;0.005,0,F137-MIN(F$26,F137)-N137)</f>
        <v>0</v>
      </c>
      <c r="W137" s="36">
        <f>IF(G137-MIN(G$26,G137)-O137&lt;0.005,0,G137-MIN(G$26,G137)-O137)</f>
        <v>0</v>
      </c>
      <c r="X137" s="36">
        <f>IF(H137-MIN(H$26,H137)-P137&lt;0.005,0,H137-MIN(H$26,H137)-P137)</f>
        <v>0</v>
      </c>
      <c r="Y137" s="36">
        <f>IF(I137-MIN(I$26,I137)-Q137&lt;0.005,0,I137-MIN(I$26,I137)-Q137)</f>
        <v>0</v>
      </c>
      <c r="Z137" s="36">
        <f>IF(J137-MIN(J$26,J137)-R137&lt;0.005,0,J137-MIN(J$26,J137)-R137)</f>
        <v>0</v>
      </c>
      <c r="AA137" s="36">
        <f>IF(K137-MIN(K$26,K137)-S137&lt;0.005,0,K137-MIN(K$26,K137)-S137)</f>
        <v>0</v>
      </c>
      <c r="AB137" s="36">
        <f>IF(L137-MIN(L$26,L137)-T137&lt;0.005,0,L137-MIN(L$26,L137)-T137)</f>
        <v>0</v>
      </c>
      <c r="AC137" s="36">
        <f>SUM(U137:AB137)</f>
        <v>0</v>
      </c>
      <c r="AD137" s="36">
        <f>D137+SUM(M137:T137)</f>
        <v>0</v>
      </c>
    </row>
    <row r="138">
      <c r="B138" s="40" t="n">
        <v>108</v>
      </c>
      <c r="C138" s="36" t="n">
        <v>0</v>
      </c>
      <c r="D138" s="36">
        <f>MIN(E$26,E138)+MIN(F$26,F138)+MIN(G$26,G138)+MIN(H$26,H138)+MIN(I$26,I138)+MIN(J$26,J138)+MIN(K$26,K138)+MIN(L$26,L138)</f>
        <v>0</v>
      </c>
      <c r="E138" s="36">
        <f>U137*(1+E$25)</f>
        <v>0</v>
      </c>
      <c r="F138" s="36">
        <f>V137*(1+F$25)</f>
        <v>0</v>
      </c>
      <c r="G138" s="36">
        <f>W137*(1+G$25)</f>
        <v>0</v>
      </c>
      <c r="H138" s="36">
        <f>X137*(1+H$25)</f>
        <v>0</v>
      </c>
      <c r="I138" s="36">
        <f>Y137*(1+I$25)</f>
        <v>0</v>
      </c>
      <c r="J138" s="36">
        <f>Z137*(1+J$25)</f>
        <v>0</v>
      </c>
      <c r="K138" s="36">
        <f>AA137*(1+K$25)</f>
        <v>0</v>
      </c>
      <c r="L138" s="36">
        <f>AB137*(1+L$25)</f>
        <v>0</v>
      </c>
      <c r="M138" s="36">
        <f>MIN(E138-MIN(E$26,E138),MAX(0,$C138-0))</f>
        <v>0</v>
      </c>
      <c r="N138" s="36">
        <f>MIN(F138-MIN(F$26,F138),MAX(0,$C138-SUM($M138:M138)))</f>
        <v>0</v>
      </c>
      <c r="O138" s="36">
        <f>MIN(G138-MIN(G$26,G138),MAX(0,$C138-SUM($M138:N138)))</f>
        <v>0</v>
      </c>
      <c r="P138" s="36">
        <f>MIN(H138-MIN(H$26,H138),MAX(0,$C138-SUM($M138:O138)))</f>
        <v>0</v>
      </c>
      <c r="Q138" s="36">
        <f>MIN(I138-MIN(I$26,I138),MAX(0,$C138-SUM($M138:P138)))</f>
        <v>0</v>
      </c>
      <c r="R138" s="36">
        <f>MIN(J138-MIN(J$26,J138),MAX(0,$C138-SUM($M138:Q138)))</f>
        <v>0</v>
      </c>
      <c r="S138" s="36">
        <f>MIN(K138-MIN(K$26,K138),MAX(0,$C138-SUM($M138:R138)))</f>
        <v>0</v>
      </c>
      <c r="T138" s="36">
        <f>MIN(L138-MIN(L$26,L138),MAX(0,$C138-SUM($M138:S138)))</f>
        <v>0</v>
      </c>
      <c r="U138" s="36">
        <f>IF(E138-MIN(E$26,E138)-M138&lt;0.005,0,E138-MIN(E$26,E138)-M138)</f>
        <v>0</v>
      </c>
      <c r="V138" s="36">
        <f>IF(F138-MIN(F$26,F138)-N138&lt;0.005,0,F138-MIN(F$26,F138)-N138)</f>
        <v>0</v>
      </c>
      <c r="W138" s="36">
        <f>IF(G138-MIN(G$26,G138)-O138&lt;0.005,0,G138-MIN(G$26,G138)-O138)</f>
        <v>0</v>
      </c>
      <c r="X138" s="36">
        <f>IF(H138-MIN(H$26,H138)-P138&lt;0.005,0,H138-MIN(H$26,H138)-P138)</f>
        <v>0</v>
      </c>
      <c r="Y138" s="36">
        <f>IF(I138-MIN(I$26,I138)-Q138&lt;0.005,0,I138-MIN(I$26,I138)-Q138)</f>
        <v>0</v>
      </c>
      <c r="Z138" s="36">
        <f>IF(J138-MIN(J$26,J138)-R138&lt;0.005,0,J138-MIN(J$26,J138)-R138)</f>
        <v>0</v>
      </c>
      <c r="AA138" s="36">
        <f>IF(K138-MIN(K$26,K138)-S138&lt;0.005,0,K138-MIN(K$26,K138)-S138)</f>
        <v>0</v>
      </c>
      <c r="AB138" s="36">
        <f>IF(L138-MIN(L$26,L138)-T138&lt;0.005,0,L138-MIN(L$26,L138)-T138)</f>
        <v>0</v>
      </c>
      <c r="AC138" s="36">
        <f>SUM(U138:AB138)</f>
        <v>0</v>
      </c>
      <c r="AD138" s="36">
        <f>D138+SUM(M138:T138)</f>
        <v>0</v>
      </c>
    </row>
    <row r="139">
      <c r="B139" s="40" t="n">
        <v>109</v>
      </c>
      <c r="C139" s="36" t="n">
        <v>0</v>
      </c>
      <c r="D139" s="36">
        <f>MIN(E$26,E139)+MIN(F$26,F139)+MIN(G$26,G139)+MIN(H$26,H139)+MIN(I$26,I139)+MIN(J$26,J139)+MIN(K$26,K139)+MIN(L$26,L139)</f>
        <v>0</v>
      </c>
      <c r="E139" s="36">
        <f>U138*(1+E$25)</f>
        <v>0</v>
      </c>
      <c r="F139" s="36">
        <f>V138*(1+F$25)</f>
        <v>0</v>
      </c>
      <c r="G139" s="36">
        <f>W138*(1+G$25)</f>
        <v>0</v>
      </c>
      <c r="H139" s="36">
        <f>X138*(1+H$25)</f>
        <v>0</v>
      </c>
      <c r="I139" s="36">
        <f>Y138*(1+I$25)</f>
        <v>0</v>
      </c>
      <c r="J139" s="36">
        <f>Z138*(1+J$25)</f>
        <v>0</v>
      </c>
      <c r="K139" s="36">
        <f>AA138*(1+K$25)</f>
        <v>0</v>
      </c>
      <c r="L139" s="36">
        <f>AB138*(1+L$25)</f>
        <v>0</v>
      </c>
      <c r="M139" s="36">
        <f>MIN(E139-MIN(E$26,E139),MAX(0,$C139-0))</f>
        <v>0</v>
      </c>
      <c r="N139" s="36">
        <f>MIN(F139-MIN(F$26,F139),MAX(0,$C139-SUM($M139:M139)))</f>
        <v>0</v>
      </c>
      <c r="O139" s="36">
        <f>MIN(G139-MIN(G$26,G139),MAX(0,$C139-SUM($M139:N139)))</f>
        <v>0</v>
      </c>
      <c r="P139" s="36">
        <f>MIN(H139-MIN(H$26,H139),MAX(0,$C139-SUM($M139:O139)))</f>
        <v>0</v>
      </c>
      <c r="Q139" s="36">
        <f>MIN(I139-MIN(I$26,I139),MAX(0,$C139-SUM($M139:P139)))</f>
        <v>0</v>
      </c>
      <c r="R139" s="36">
        <f>MIN(J139-MIN(J$26,J139),MAX(0,$C139-SUM($M139:Q139)))</f>
        <v>0</v>
      </c>
      <c r="S139" s="36">
        <f>MIN(K139-MIN(K$26,K139),MAX(0,$C139-SUM($M139:R139)))</f>
        <v>0</v>
      </c>
      <c r="T139" s="36">
        <f>MIN(L139-MIN(L$26,L139),MAX(0,$C139-SUM($M139:S139)))</f>
        <v>0</v>
      </c>
      <c r="U139" s="36">
        <f>IF(E139-MIN(E$26,E139)-M139&lt;0.005,0,E139-MIN(E$26,E139)-M139)</f>
        <v>0</v>
      </c>
      <c r="V139" s="36">
        <f>IF(F139-MIN(F$26,F139)-N139&lt;0.005,0,F139-MIN(F$26,F139)-N139)</f>
        <v>0</v>
      </c>
      <c r="W139" s="36">
        <f>IF(G139-MIN(G$26,G139)-O139&lt;0.005,0,G139-MIN(G$26,G139)-O139)</f>
        <v>0</v>
      </c>
      <c r="X139" s="36">
        <f>IF(H139-MIN(H$26,H139)-P139&lt;0.005,0,H139-MIN(H$26,H139)-P139)</f>
        <v>0</v>
      </c>
      <c r="Y139" s="36">
        <f>IF(I139-MIN(I$26,I139)-Q139&lt;0.005,0,I139-MIN(I$26,I139)-Q139)</f>
        <v>0</v>
      </c>
      <c r="Z139" s="36">
        <f>IF(J139-MIN(J$26,J139)-R139&lt;0.005,0,J139-MIN(J$26,J139)-R139)</f>
        <v>0</v>
      </c>
      <c r="AA139" s="36">
        <f>IF(K139-MIN(K$26,K139)-S139&lt;0.005,0,K139-MIN(K$26,K139)-S139)</f>
        <v>0</v>
      </c>
      <c r="AB139" s="36">
        <f>IF(L139-MIN(L$26,L139)-T139&lt;0.005,0,L139-MIN(L$26,L139)-T139)</f>
        <v>0</v>
      </c>
      <c r="AC139" s="36">
        <f>SUM(U139:AB139)</f>
        <v>0</v>
      </c>
      <c r="AD139" s="36">
        <f>D139+SUM(M139:T139)</f>
        <v>0</v>
      </c>
    </row>
    <row r="140">
      <c r="B140" s="40" t="n">
        <v>110</v>
      </c>
      <c r="C140" s="36" t="n">
        <v>0</v>
      </c>
      <c r="D140" s="36">
        <f>MIN(E$26,E140)+MIN(F$26,F140)+MIN(G$26,G140)+MIN(H$26,H140)+MIN(I$26,I140)+MIN(J$26,J140)+MIN(K$26,K140)+MIN(L$26,L140)</f>
        <v>0</v>
      </c>
      <c r="E140" s="36">
        <f>U139*(1+E$25)</f>
        <v>0</v>
      </c>
      <c r="F140" s="36">
        <f>V139*(1+F$25)</f>
        <v>0</v>
      </c>
      <c r="G140" s="36">
        <f>W139*(1+G$25)</f>
        <v>0</v>
      </c>
      <c r="H140" s="36">
        <f>X139*(1+H$25)</f>
        <v>0</v>
      </c>
      <c r="I140" s="36">
        <f>Y139*(1+I$25)</f>
        <v>0</v>
      </c>
      <c r="J140" s="36">
        <f>Z139*(1+J$25)</f>
        <v>0</v>
      </c>
      <c r="K140" s="36">
        <f>AA139*(1+K$25)</f>
        <v>0</v>
      </c>
      <c r="L140" s="36">
        <f>AB139*(1+L$25)</f>
        <v>0</v>
      </c>
      <c r="M140" s="36">
        <f>MIN(E140-MIN(E$26,E140),MAX(0,$C140-0))</f>
        <v>0</v>
      </c>
      <c r="N140" s="36">
        <f>MIN(F140-MIN(F$26,F140),MAX(0,$C140-SUM($M140:M140)))</f>
        <v>0</v>
      </c>
      <c r="O140" s="36">
        <f>MIN(G140-MIN(G$26,G140),MAX(0,$C140-SUM($M140:N140)))</f>
        <v>0</v>
      </c>
      <c r="P140" s="36">
        <f>MIN(H140-MIN(H$26,H140),MAX(0,$C140-SUM($M140:O140)))</f>
        <v>0</v>
      </c>
      <c r="Q140" s="36">
        <f>MIN(I140-MIN(I$26,I140),MAX(0,$C140-SUM($M140:P140)))</f>
        <v>0</v>
      </c>
      <c r="R140" s="36">
        <f>MIN(J140-MIN(J$26,J140),MAX(0,$C140-SUM($M140:Q140)))</f>
        <v>0</v>
      </c>
      <c r="S140" s="36">
        <f>MIN(K140-MIN(K$26,K140),MAX(0,$C140-SUM($M140:R140)))</f>
        <v>0</v>
      </c>
      <c r="T140" s="36">
        <f>MIN(L140-MIN(L$26,L140),MAX(0,$C140-SUM($M140:S140)))</f>
        <v>0</v>
      </c>
      <c r="U140" s="36">
        <f>IF(E140-MIN(E$26,E140)-M140&lt;0.005,0,E140-MIN(E$26,E140)-M140)</f>
        <v>0</v>
      </c>
      <c r="V140" s="36">
        <f>IF(F140-MIN(F$26,F140)-N140&lt;0.005,0,F140-MIN(F$26,F140)-N140)</f>
        <v>0</v>
      </c>
      <c r="W140" s="36">
        <f>IF(G140-MIN(G$26,G140)-O140&lt;0.005,0,G140-MIN(G$26,G140)-O140)</f>
        <v>0</v>
      </c>
      <c r="X140" s="36">
        <f>IF(H140-MIN(H$26,H140)-P140&lt;0.005,0,H140-MIN(H$26,H140)-P140)</f>
        <v>0</v>
      </c>
      <c r="Y140" s="36">
        <f>IF(I140-MIN(I$26,I140)-Q140&lt;0.005,0,I140-MIN(I$26,I140)-Q140)</f>
        <v>0</v>
      </c>
      <c r="Z140" s="36">
        <f>IF(J140-MIN(J$26,J140)-R140&lt;0.005,0,J140-MIN(J$26,J140)-R140)</f>
        <v>0</v>
      </c>
      <c r="AA140" s="36">
        <f>IF(K140-MIN(K$26,K140)-S140&lt;0.005,0,K140-MIN(K$26,K140)-S140)</f>
        <v>0</v>
      </c>
      <c r="AB140" s="36">
        <f>IF(L140-MIN(L$26,L140)-T140&lt;0.005,0,L140-MIN(L$26,L140)-T140)</f>
        <v>0</v>
      </c>
      <c r="AC140" s="36">
        <f>SUM(U140:AB140)</f>
        <v>0</v>
      </c>
      <c r="AD140" s="36">
        <f>D140+SUM(M140:T140)</f>
        <v>0</v>
      </c>
    </row>
    <row r="141">
      <c r="B141" s="40" t="n">
        <v>111</v>
      </c>
      <c r="C141" s="36" t="n">
        <v>0</v>
      </c>
      <c r="D141" s="36">
        <f>MIN(E$26,E141)+MIN(F$26,F141)+MIN(G$26,G141)+MIN(H$26,H141)+MIN(I$26,I141)+MIN(J$26,J141)+MIN(K$26,K141)+MIN(L$26,L141)</f>
        <v>0</v>
      </c>
      <c r="E141" s="36">
        <f>U140*(1+E$25)</f>
        <v>0</v>
      </c>
      <c r="F141" s="36">
        <f>V140*(1+F$25)</f>
        <v>0</v>
      </c>
      <c r="G141" s="36">
        <f>W140*(1+G$25)</f>
        <v>0</v>
      </c>
      <c r="H141" s="36">
        <f>X140*(1+H$25)</f>
        <v>0</v>
      </c>
      <c r="I141" s="36">
        <f>Y140*(1+I$25)</f>
        <v>0</v>
      </c>
      <c r="J141" s="36">
        <f>Z140*(1+J$25)</f>
        <v>0</v>
      </c>
      <c r="K141" s="36">
        <f>AA140*(1+K$25)</f>
        <v>0</v>
      </c>
      <c r="L141" s="36">
        <f>AB140*(1+L$25)</f>
        <v>0</v>
      </c>
      <c r="M141" s="36">
        <f>MIN(E141-MIN(E$26,E141),MAX(0,$C141-0))</f>
        <v>0</v>
      </c>
      <c r="N141" s="36">
        <f>MIN(F141-MIN(F$26,F141),MAX(0,$C141-SUM($M141:M141)))</f>
        <v>0</v>
      </c>
      <c r="O141" s="36">
        <f>MIN(G141-MIN(G$26,G141),MAX(0,$C141-SUM($M141:N141)))</f>
        <v>0</v>
      </c>
      <c r="P141" s="36">
        <f>MIN(H141-MIN(H$26,H141),MAX(0,$C141-SUM($M141:O141)))</f>
        <v>0</v>
      </c>
      <c r="Q141" s="36">
        <f>MIN(I141-MIN(I$26,I141),MAX(0,$C141-SUM($M141:P141)))</f>
        <v>0</v>
      </c>
      <c r="R141" s="36">
        <f>MIN(J141-MIN(J$26,J141),MAX(0,$C141-SUM($M141:Q141)))</f>
        <v>0</v>
      </c>
      <c r="S141" s="36">
        <f>MIN(K141-MIN(K$26,K141),MAX(0,$C141-SUM($M141:R141)))</f>
        <v>0</v>
      </c>
      <c r="T141" s="36">
        <f>MIN(L141-MIN(L$26,L141),MAX(0,$C141-SUM($M141:S141)))</f>
        <v>0</v>
      </c>
      <c r="U141" s="36">
        <f>IF(E141-MIN(E$26,E141)-M141&lt;0.005,0,E141-MIN(E$26,E141)-M141)</f>
        <v>0</v>
      </c>
      <c r="V141" s="36">
        <f>IF(F141-MIN(F$26,F141)-N141&lt;0.005,0,F141-MIN(F$26,F141)-N141)</f>
        <v>0</v>
      </c>
      <c r="W141" s="36">
        <f>IF(G141-MIN(G$26,G141)-O141&lt;0.005,0,G141-MIN(G$26,G141)-O141)</f>
        <v>0</v>
      </c>
      <c r="X141" s="36">
        <f>IF(H141-MIN(H$26,H141)-P141&lt;0.005,0,H141-MIN(H$26,H141)-P141)</f>
        <v>0</v>
      </c>
      <c r="Y141" s="36">
        <f>IF(I141-MIN(I$26,I141)-Q141&lt;0.005,0,I141-MIN(I$26,I141)-Q141)</f>
        <v>0</v>
      </c>
      <c r="Z141" s="36">
        <f>IF(J141-MIN(J$26,J141)-R141&lt;0.005,0,J141-MIN(J$26,J141)-R141)</f>
        <v>0</v>
      </c>
      <c r="AA141" s="36">
        <f>IF(K141-MIN(K$26,K141)-S141&lt;0.005,0,K141-MIN(K$26,K141)-S141)</f>
        <v>0</v>
      </c>
      <c r="AB141" s="36">
        <f>IF(L141-MIN(L$26,L141)-T141&lt;0.005,0,L141-MIN(L$26,L141)-T141)</f>
        <v>0</v>
      </c>
      <c r="AC141" s="36">
        <f>SUM(U141:AB141)</f>
        <v>0</v>
      </c>
      <c r="AD141" s="36">
        <f>D141+SUM(M141:T141)</f>
        <v>0</v>
      </c>
    </row>
    <row r="142">
      <c r="B142" s="40" t="n">
        <v>112</v>
      </c>
      <c r="C142" s="36" t="n">
        <v>0</v>
      </c>
      <c r="D142" s="36">
        <f>MIN(E$26,E142)+MIN(F$26,F142)+MIN(G$26,G142)+MIN(H$26,H142)+MIN(I$26,I142)+MIN(J$26,J142)+MIN(K$26,K142)+MIN(L$26,L142)</f>
        <v>0</v>
      </c>
      <c r="E142" s="36">
        <f>U141*(1+E$25)</f>
        <v>0</v>
      </c>
      <c r="F142" s="36">
        <f>V141*(1+F$25)</f>
        <v>0</v>
      </c>
      <c r="G142" s="36">
        <f>W141*(1+G$25)</f>
        <v>0</v>
      </c>
      <c r="H142" s="36">
        <f>X141*(1+H$25)</f>
        <v>0</v>
      </c>
      <c r="I142" s="36">
        <f>Y141*(1+I$25)</f>
        <v>0</v>
      </c>
      <c r="J142" s="36">
        <f>Z141*(1+J$25)</f>
        <v>0</v>
      </c>
      <c r="K142" s="36">
        <f>AA141*(1+K$25)</f>
        <v>0</v>
      </c>
      <c r="L142" s="36">
        <f>AB141*(1+L$25)</f>
        <v>0</v>
      </c>
      <c r="M142" s="36">
        <f>MIN(E142-MIN(E$26,E142),MAX(0,$C142-0))</f>
        <v>0</v>
      </c>
      <c r="N142" s="36">
        <f>MIN(F142-MIN(F$26,F142),MAX(0,$C142-SUM($M142:M142)))</f>
        <v>0</v>
      </c>
      <c r="O142" s="36">
        <f>MIN(G142-MIN(G$26,G142),MAX(0,$C142-SUM($M142:N142)))</f>
        <v>0</v>
      </c>
      <c r="P142" s="36">
        <f>MIN(H142-MIN(H$26,H142),MAX(0,$C142-SUM($M142:O142)))</f>
        <v>0</v>
      </c>
      <c r="Q142" s="36">
        <f>MIN(I142-MIN(I$26,I142),MAX(0,$C142-SUM($M142:P142)))</f>
        <v>0</v>
      </c>
      <c r="R142" s="36">
        <f>MIN(J142-MIN(J$26,J142),MAX(0,$C142-SUM($M142:Q142)))</f>
        <v>0</v>
      </c>
      <c r="S142" s="36">
        <f>MIN(K142-MIN(K$26,K142),MAX(0,$C142-SUM($M142:R142)))</f>
        <v>0</v>
      </c>
      <c r="T142" s="36">
        <f>MIN(L142-MIN(L$26,L142),MAX(0,$C142-SUM($M142:S142)))</f>
        <v>0</v>
      </c>
      <c r="U142" s="36">
        <f>IF(E142-MIN(E$26,E142)-M142&lt;0.005,0,E142-MIN(E$26,E142)-M142)</f>
        <v>0</v>
      </c>
      <c r="V142" s="36">
        <f>IF(F142-MIN(F$26,F142)-N142&lt;0.005,0,F142-MIN(F$26,F142)-N142)</f>
        <v>0</v>
      </c>
      <c r="W142" s="36">
        <f>IF(G142-MIN(G$26,G142)-O142&lt;0.005,0,G142-MIN(G$26,G142)-O142)</f>
        <v>0</v>
      </c>
      <c r="X142" s="36">
        <f>IF(H142-MIN(H$26,H142)-P142&lt;0.005,0,H142-MIN(H$26,H142)-P142)</f>
        <v>0</v>
      </c>
      <c r="Y142" s="36">
        <f>IF(I142-MIN(I$26,I142)-Q142&lt;0.005,0,I142-MIN(I$26,I142)-Q142)</f>
        <v>0</v>
      </c>
      <c r="Z142" s="36">
        <f>IF(J142-MIN(J$26,J142)-R142&lt;0.005,0,J142-MIN(J$26,J142)-R142)</f>
        <v>0</v>
      </c>
      <c r="AA142" s="36">
        <f>IF(K142-MIN(K$26,K142)-S142&lt;0.005,0,K142-MIN(K$26,K142)-S142)</f>
        <v>0</v>
      </c>
      <c r="AB142" s="36">
        <f>IF(L142-MIN(L$26,L142)-T142&lt;0.005,0,L142-MIN(L$26,L142)-T142)</f>
        <v>0</v>
      </c>
      <c r="AC142" s="36">
        <f>SUM(U142:AB142)</f>
        <v>0</v>
      </c>
      <c r="AD142" s="36">
        <f>D142+SUM(M142:T142)</f>
        <v>0</v>
      </c>
    </row>
    <row r="143">
      <c r="B143" s="40" t="n">
        <v>113</v>
      </c>
      <c r="C143" s="36" t="n">
        <v>0</v>
      </c>
      <c r="D143" s="36">
        <f>MIN(E$26,E143)+MIN(F$26,F143)+MIN(G$26,G143)+MIN(H$26,H143)+MIN(I$26,I143)+MIN(J$26,J143)+MIN(K$26,K143)+MIN(L$26,L143)</f>
        <v>0</v>
      </c>
      <c r="E143" s="36">
        <f>U142*(1+E$25)</f>
        <v>0</v>
      </c>
      <c r="F143" s="36">
        <f>V142*(1+F$25)</f>
        <v>0</v>
      </c>
      <c r="G143" s="36">
        <f>W142*(1+G$25)</f>
        <v>0</v>
      </c>
      <c r="H143" s="36">
        <f>X142*(1+H$25)</f>
        <v>0</v>
      </c>
      <c r="I143" s="36">
        <f>Y142*(1+I$25)</f>
        <v>0</v>
      </c>
      <c r="J143" s="36">
        <f>Z142*(1+J$25)</f>
        <v>0</v>
      </c>
      <c r="K143" s="36">
        <f>AA142*(1+K$25)</f>
        <v>0</v>
      </c>
      <c r="L143" s="36">
        <f>AB142*(1+L$25)</f>
        <v>0</v>
      </c>
      <c r="M143" s="36">
        <f>MIN(E143-MIN(E$26,E143),MAX(0,$C143-0))</f>
        <v>0</v>
      </c>
      <c r="N143" s="36">
        <f>MIN(F143-MIN(F$26,F143),MAX(0,$C143-SUM($M143:M143)))</f>
        <v>0</v>
      </c>
      <c r="O143" s="36">
        <f>MIN(G143-MIN(G$26,G143),MAX(0,$C143-SUM($M143:N143)))</f>
        <v>0</v>
      </c>
      <c r="P143" s="36">
        <f>MIN(H143-MIN(H$26,H143),MAX(0,$C143-SUM($M143:O143)))</f>
        <v>0</v>
      </c>
      <c r="Q143" s="36">
        <f>MIN(I143-MIN(I$26,I143),MAX(0,$C143-SUM($M143:P143)))</f>
        <v>0</v>
      </c>
      <c r="R143" s="36">
        <f>MIN(J143-MIN(J$26,J143),MAX(0,$C143-SUM($M143:Q143)))</f>
        <v>0</v>
      </c>
      <c r="S143" s="36">
        <f>MIN(K143-MIN(K$26,K143),MAX(0,$C143-SUM($M143:R143)))</f>
        <v>0</v>
      </c>
      <c r="T143" s="36">
        <f>MIN(L143-MIN(L$26,L143),MAX(0,$C143-SUM($M143:S143)))</f>
        <v>0</v>
      </c>
      <c r="U143" s="36">
        <f>IF(E143-MIN(E$26,E143)-M143&lt;0.005,0,E143-MIN(E$26,E143)-M143)</f>
        <v>0</v>
      </c>
      <c r="V143" s="36">
        <f>IF(F143-MIN(F$26,F143)-N143&lt;0.005,0,F143-MIN(F$26,F143)-N143)</f>
        <v>0</v>
      </c>
      <c r="W143" s="36">
        <f>IF(G143-MIN(G$26,G143)-O143&lt;0.005,0,G143-MIN(G$26,G143)-O143)</f>
        <v>0</v>
      </c>
      <c r="X143" s="36">
        <f>IF(H143-MIN(H$26,H143)-P143&lt;0.005,0,H143-MIN(H$26,H143)-P143)</f>
        <v>0</v>
      </c>
      <c r="Y143" s="36">
        <f>IF(I143-MIN(I$26,I143)-Q143&lt;0.005,0,I143-MIN(I$26,I143)-Q143)</f>
        <v>0</v>
      </c>
      <c r="Z143" s="36">
        <f>IF(J143-MIN(J$26,J143)-R143&lt;0.005,0,J143-MIN(J$26,J143)-R143)</f>
        <v>0</v>
      </c>
      <c r="AA143" s="36">
        <f>IF(K143-MIN(K$26,K143)-S143&lt;0.005,0,K143-MIN(K$26,K143)-S143)</f>
        <v>0</v>
      </c>
      <c r="AB143" s="36">
        <f>IF(L143-MIN(L$26,L143)-T143&lt;0.005,0,L143-MIN(L$26,L143)-T143)</f>
        <v>0</v>
      </c>
      <c r="AC143" s="36">
        <f>SUM(U143:AB143)</f>
        <v>0</v>
      </c>
      <c r="AD143" s="36">
        <f>D143+SUM(M143:T143)</f>
        <v>0</v>
      </c>
    </row>
    <row r="144">
      <c r="B144" s="40" t="n">
        <v>114</v>
      </c>
      <c r="C144" s="36" t="n">
        <v>0</v>
      </c>
      <c r="D144" s="36">
        <f>MIN(E$26,E144)+MIN(F$26,F144)+MIN(G$26,G144)+MIN(H$26,H144)+MIN(I$26,I144)+MIN(J$26,J144)+MIN(K$26,K144)+MIN(L$26,L144)</f>
        <v>0</v>
      </c>
      <c r="E144" s="36">
        <f>U143*(1+E$25)</f>
        <v>0</v>
      </c>
      <c r="F144" s="36">
        <f>V143*(1+F$25)</f>
        <v>0</v>
      </c>
      <c r="G144" s="36">
        <f>W143*(1+G$25)</f>
        <v>0</v>
      </c>
      <c r="H144" s="36">
        <f>X143*(1+H$25)</f>
        <v>0</v>
      </c>
      <c r="I144" s="36">
        <f>Y143*(1+I$25)</f>
        <v>0</v>
      </c>
      <c r="J144" s="36">
        <f>Z143*(1+J$25)</f>
        <v>0</v>
      </c>
      <c r="K144" s="36">
        <f>AA143*(1+K$25)</f>
        <v>0</v>
      </c>
      <c r="L144" s="36">
        <f>AB143*(1+L$25)</f>
        <v>0</v>
      </c>
      <c r="M144" s="36">
        <f>MIN(E144-MIN(E$26,E144),MAX(0,$C144-0))</f>
        <v>0</v>
      </c>
      <c r="N144" s="36">
        <f>MIN(F144-MIN(F$26,F144),MAX(0,$C144-SUM($M144:M144)))</f>
        <v>0</v>
      </c>
      <c r="O144" s="36">
        <f>MIN(G144-MIN(G$26,G144),MAX(0,$C144-SUM($M144:N144)))</f>
        <v>0</v>
      </c>
      <c r="P144" s="36">
        <f>MIN(H144-MIN(H$26,H144),MAX(0,$C144-SUM($M144:O144)))</f>
        <v>0</v>
      </c>
      <c r="Q144" s="36">
        <f>MIN(I144-MIN(I$26,I144),MAX(0,$C144-SUM($M144:P144)))</f>
        <v>0</v>
      </c>
      <c r="R144" s="36">
        <f>MIN(J144-MIN(J$26,J144),MAX(0,$C144-SUM($M144:Q144)))</f>
        <v>0</v>
      </c>
      <c r="S144" s="36">
        <f>MIN(K144-MIN(K$26,K144),MAX(0,$C144-SUM($M144:R144)))</f>
        <v>0</v>
      </c>
      <c r="T144" s="36">
        <f>MIN(L144-MIN(L$26,L144),MAX(0,$C144-SUM($M144:S144)))</f>
        <v>0</v>
      </c>
      <c r="U144" s="36">
        <f>IF(E144-MIN(E$26,E144)-M144&lt;0.005,0,E144-MIN(E$26,E144)-M144)</f>
        <v>0</v>
      </c>
      <c r="V144" s="36">
        <f>IF(F144-MIN(F$26,F144)-N144&lt;0.005,0,F144-MIN(F$26,F144)-N144)</f>
        <v>0</v>
      </c>
      <c r="W144" s="36">
        <f>IF(G144-MIN(G$26,G144)-O144&lt;0.005,0,G144-MIN(G$26,G144)-O144)</f>
        <v>0</v>
      </c>
      <c r="X144" s="36">
        <f>IF(H144-MIN(H$26,H144)-P144&lt;0.005,0,H144-MIN(H$26,H144)-P144)</f>
        <v>0</v>
      </c>
      <c r="Y144" s="36">
        <f>IF(I144-MIN(I$26,I144)-Q144&lt;0.005,0,I144-MIN(I$26,I144)-Q144)</f>
        <v>0</v>
      </c>
      <c r="Z144" s="36">
        <f>IF(J144-MIN(J$26,J144)-R144&lt;0.005,0,J144-MIN(J$26,J144)-R144)</f>
        <v>0</v>
      </c>
      <c r="AA144" s="36">
        <f>IF(K144-MIN(K$26,K144)-S144&lt;0.005,0,K144-MIN(K$26,K144)-S144)</f>
        <v>0</v>
      </c>
      <c r="AB144" s="36">
        <f>IF(L144-MIN(L$26,L144)-T144&lt;0.005,0,L144-MIN(L$26,L144)-T144)</f>
        <v>0</v>
      </c>
      <c r="AC144" s="36">
        <f>SUM(U144:AB144)</f>
        <v>0</v>
      </c>
      <c r="AD144" s="36">
        <f>D144+SUM(M144:T144)</f>
        <v>0</v>
      </c>
    </row>
    <row r="145">
      <c r="B145" s="40" t="n">
        <v>115</v>
      </c>
      <c r="C145" s="36" t="n">
        <v>0</v>
      </c>
      <c r="D145" s="36">
        <f>MIN(E$26,E145)+MIN(F$26,F145)+MIN(G$26,G145)+MIN(H$26,H145)+MIN(I$26,I145)+MIN(J$26,J145)+MIN(K$26,K145)+MIN(L$26,L145)</f>
        <v>0</v>
      </c>
      <c r="E145" s="36">
        <f>U144*(1+E$25)</f>
        <v>0</v>
      </c>
      <c r="F145" s="36">
        <f>V144*(1+F$25)</f>
        <v>0</v>
      </c>
      <c r="G145" s="36">
        <f>W144*(1+G$25)</f>
        <v>0</v>
      </c>
      <c r="H145" s="36">
        <f>X144*(1+H$25)</f>
        <v>0</v>
      </c>
      <c r="I145" s="36">
        <f>Y144*(1+I$25)</f>
        <v>0</v>
      </c>
      <c r="J145" s="36">
        <f>Z144*(1+J$25)</f>
        <v>0</v>
      </c>
      <c r="K145" s="36">
        <f>AA144*(1+K$25)</f>
        <v>0</v>
      </c>
      <c r="L145" s="36">
        <f>AB144*(1+L$25)</f>
        <v>0</v>
      </c>
      <c r="M145" s="36">
        <f>MIN(E145-MIN(E$26,E145),MAX(0,$C145-0))</f>
        <v>0</v>
      </c>
      <c r="N145" s="36">
        <f>MIN(F145-MIN(F$26,F145),MAX(0,$C145-SUM($M145:M145)))</f>
        <v>0</v>
      </c>
      <c r="O145" s="36">
        <f>MIN(G145-MIN(G$26,G145),MAX(0,$C145-SUM($M145:N145)))</f>
        <v>0</v>
      </c>
      <c r="P145" s="36">
        <f>MIN(H145-MIN(H$26,H145),MAX(0,$C145-SUM($M145:O145)))</f>
        <v>0</v>
      </c>
      <c r="Q145" s="36">
        <f>MIN(I145-MIN(I$26,I145),MAX(0,$C145-SUM($M145:P145)))</f>
        <v>0</v>
      </c>
      <c r="R145" s="36">
        <f>MIN(J145-MIN(J$26,J145),MAX(0,$C145-SUM($M145:Q145)))</f>
        <v>0</v>
      </c>
      <c r="S145" s="36">
        <f>MIN(K145-MIN(K$26,K145),MAX(0,$C145-SUM($M145:R145)))</f>
        <v>0</v>
      </c>
      <c r="T145" s="36">
        <f>MIN(L145-MIN(L$26,L145),MAX(0,$C145-SUM($M145:S145)))</f>
        <v>0</v>
      </c>
      <c r="U145" s="36">
        <f>IF(E145-MIN(E$26,E145)-M145&lt;0.005,0,E145-MIN(E$26,E145)-M145)</f>
        <v>0</v>
      </c>
      <c r="V145" s="36">
        <f>IF(F145-MIN(F$26,F145)-N145&lt;0.005,0,F145-MIN(F$26,F145)-N145)</f>
        <v>0</v>
      </c>
      <c r="W145" s="36">
        <f>IF(G145-MIN(G$26,G145)-O145&lt;0.005,0,G145-MIN(G$26,G145)-O145)</f>
        <v>0</v>
      </c>
      <c r="X145" s="36">
        <f>IF(H145-MIN(H$26,H145)-P145&lt;0.005,0,H145-MIN(H$26,H145)-P145)</f>
        <v>0</v>
      </c>
      <c r="Y145" s="36">
        <f>IF(I145-MIN(I$26,I145)-Q145&lt;0.005,0,I145-MIN(I$26,I145)-Q145)</f>
        <v>0</v>
      </c>
      <c r="Z145" s="36">
        <f>IF(J145-MIN(J$26,J145)-R145&lt;0.005,0,J145-MIN(J$26,J145)-R145)</f>
        <v>0</v>
      </c>
      <c r="AA145" s="36">
        <f>IF(K145-MIN(K$26,K145)-S145&lt;0.005,0,K145-MIN(K$26,K145)-S145)</f>
        <v>0</v>
      </c>
      <c r="AB145" s="36">
        <f>IF(L145-MIN(L$26,L145)-T145&lt;0.005,0,L145-MIN(L$26,L145)-T145)</f>
        <v>0</v>
      </c>
      <c r="AC145" s="36">
        <f>SUM(U145:AB145)</f>
        <v>0</v>
      </c>
      <c r="AD145" s="36">
        <f>D145+SUM(M145:T145)</f>
        <v>0</v>
      </c>
    </row>
    <row r="146">
      <c r="B146" s="40" t="n">
        <v>116</v>
      </c>
      <c r="C146" s="36" t="n">
        <v>0</v>
      </c>
      <c r="D146" s="36">
        <f>MIN(E$26,E146)+MIN(F$26,F146)+MIN(G$26,G146)+MIN(H$26,H146)+MIN(I$26,I146)+MIN(J$26,J146)+MIN(K$26,K146)+MIN(L$26,L146)</f>
        <v>0</v>
      </c>
      <c r="E146" s="36">
        <f>U145*(1+E$25)</f>
        <v>0</v>
      </c>
      <c r="F146" s="36">
        <f>V145*(1+F$25)</f>
        <v>0</v>
      </c>
      <c r="G146" s="36">
        <f>W145*(1+G$25)</f>
        <v>0</v>
      </c>
      <c r="H146" s="36">
        <f>X145*(1+H$25)</f>
        <v>0</v>
      </c>
      <c r="I146" s="36">
        <f>Y145*(1+I$25)</f>
        <v>0</v>
      </c>
      <c r="J146" s="36">
        <f>Z145*(1+J$25)</f>
        <v>0</v>
      </c>
      <c r="K146" s="36">
        <f>AA145*(1+K$25)</f>
        <v>0</v>
      </c>
      <c r="L146" s="36">
        <f>AB145*(1+L$25)</f>
        <v>0</v>
      </c>
      <c r="M146" s="36">
        <f>MIN(E146-MIN(E$26,E146),MAX(0,$C146-0))</f>
        <v>0</v>
      </c>
      <c r="N146" s="36">
        <f>MIN(F146-MIN(F$26,F146),MAX(0,$C146-SUM($M146:M146)))</f>
        <v>0</v>
      </c>
      <c r="O146" s="36">
        <f>MIN(G146-MIN(G$26,G146),MAX(0,$C146-SUM($M146:N146)))</f>
        <v>0</v>
      </c>
      <c r="P146" s="36">
        <f>MIN(H146-MIN(H$26,H146),MAX(0,$C146-SUM($M146:O146)))</f>
        <v>0</v>
      </c>
      <c r="Q146" s="36">
        <f>MIN(I146-MIN(I$26,I146),MAX(0,$C146-SUM($M146:P146)))</f>
        <v>0</v>
      </c>
      <c r="R146" s="36">
        <f>MIN(J146-MIN(J$26,J146),MAX(0,$C146-SUM($M146:Q146)))</f>
        <v>0</v>
      </c>
      <c r="S146" s="36">
        <f>MIN(K146-MIN(K$26,K146),MAX(0,$C146-SUM($M146:R146)))</f>
        <v>0</v>
      </c>
      <c r="T146" s="36">
        <f>MIN(L146-MIN(L$26,L146),MAX(0,$C146-SUM($M146:S146)))</f>
        <v>0</v>
      </c>
      <c r="U146" s="36">
        <f>IF(E146-MIN(E$26,E146)-M146&lt;0.005,0,E146-MIN(E$26,E146)-M146)</f>
        <v>0</v>
      </c>
      <c r="V146" s="36">
        <f>IF(F146-MIN(F$26,F146)-N146&lt;0.005,0,F146-MIN(F$26,F146)-N146)</f>
        <v>0</v>
      </c>
      <c r="W146" s="36">
        <f>IF(G146-MIN(G$26,G146)-O146&lt;0.005,0,G146-MIN(G$26,G146)-O146)</f>
        <v>0</v>
      </c>
      <c r="X146" s="36">
        <f>IF(H146-MIN(H$26,H146)-P146&lt;0.005,0,H146-MIN(H$26,H146)-P146)</f>
        <v>0</v>
      </c>
      <c r="Y146" s="36">
        <f>IF(I146-MIN(I$26,I146)-Q146&lt;0.005,0,I146-MIN(I$26,I146)-Q146)</f>
        <v>0</v>
      </c>
      <c r="Z146" s="36">
        <f>IF(J146-MIN(J$26,J146)-R146&lt;0.005,0,J146-MIN(J$26,J146)-R146)</f>
        <v>0</v>
      </c>
      <c r="AA146" s="36">
        <f>IF(K146-MIN(K$26,K146)-S146&lt;0.005,0,K146-MIN(K$26,K146)-S146)</f>
        <v>0</v>
      </c>
      <c r="AB146" s="36">
        <f>IF(L146-MIN(L$26,L146)-T146&lt;0.005,0,L146-MIN(L$26,L146)-T146)</f>
        <v>0</v>
      </c>
      <c r="AC146" s="36">
        <f>SUM(U146:AB146)</f>
        <v>0</v>
      </c>
      <c r="AD146" s="36">
        <f>D146+SUM(M146:T146)</f>
        <v>0</v>
      </c>
    </row>
    <row r="147">
      <c r="B147" s="40" t="n">
        <v>117</v>
      </c>
      <c r="C147" s="36" t="n">
        <v>0</v>
      </c>
      <c r="D147" s="36">
        <f>MIN(E$26,E147)+MIN(F$26,F147)+MIN(G$26,G147)+MIN(H$26,H147)+MIN(I$26,I147)+MIN(J$26,J147)+MIN(K$26,K147)+MIN(L$26,L147)</f>
        <v>0</v>
      </c>
      <c r="E147" s="36">
        <f>U146*(1+E$25)</f>
        <v>0</v>
      </c>
      <c r="F147" s="36">
        <f>V146*(1+F$25)</f>
        <v>0</v>
      </c>
      <c r="G147" s="36">
        <f>W146*(1+G$25)</f>
        <v>0</v>
      </c>
      <c r="H147" s="36">
        <f>X146*(1+H$25)</f>
        <v>0</v>
      </c>
      <c r="I147" s="36">
        <f>Y146*(1+I$25)</f>
        <v>0</v>
      </c>
      <c r="J147" s="36">
        <f>Z146*(1+J$25)</f>
        <v>0</v>
      </c>
      <c r="K147" s="36">
        <f>AA146*(1+K$25)</f>
        <v>0</v>
      </c>
      <c r="L147" s="36">
        <f>AB146*(1+L$25)</f>
        <v>0</v>
      </c>
      <c r="M147" s="36">
        <f>MIN(E147-MIN(E$26,E147),MAX(0,$C147-0))</f>
        <v>0</v>
      </c>
      <c r="N147" s="36">
        <f>MIN(F147-MIN(F$26,F147),MAX(0,$C147-SUM($M147:M147)))</f>
        <v>0</v>
      </c>
      <c r="O147" s="36">
        <f>MIN(G147-MIN(G$26,G147),MAX(0,$C147-SUM($M147:N147)))</f>
        <v>0</v>
      </c>
      <c r="P147" s="36">
        <f>MIN(H147-MIN(H$26,H147),MAX(0,$C147-SUM($M147:O147)))</f>
        <v>0</v>
      </c>
      <c r="Q147" s="36">
        <f>MIN(I147-MIN(I$26,I147),MAX(0,$C147-SUM($M147:P147)))</f>
        <v>0</v>
      </c>
      <c r="R147" s="36">
        <f>MIN(J147-MIN(J$26,J147),MAX(0,$C147-SUM($M147:Q147)))</f>
        <v>0</v>
      </c>
      <c r="S147" s="36">
        <f>MIN(K147-MIN(K$26,K147),MAX(0,$C147-SUM($M147:R147)))</f>
        <v>0</v>
      </c>
      <c r="T147" s="36">
        <f>MIN(L147-MIN(L$26,L147),MAX(0,$C147-SUM($M147:S147)))</f>
        <v>0</v>
      </c>
      <c r="U147" s="36">
        <f>IF(E147-MIN(E$26,E147)-M147&lt;0.005,0,E147-MIN(E$26,E147)-M147)</f>
        <v>0</v>
      </c>
      <c r="V147" s="36">
        <f>IF(F147-MIN(F$26,F147)-N147&lt;0.005,0,F147-MIN(F$26,F147)-N147)</f>
        <v>0</v>
      </c>
      <c r="W147" s="36">
        <f>IF(G147-MIN(G$26,G147)-O147&lt;0.005,0,G147-MIN(G$26,G147)-O147)</f>
        <v>0</v>
      </c>
      <c r="X147" s="36">
        <f>IF(H147-MIN(H$26,H147)-P147&lt;0.005,0,H147-MIN(H$26,H147)-P147)</f>
        <v>0</v>
      </c>
      <c r="Y147" s="36">
        <f>IF(I147-MIN(I$26,I147)-Q147&lt;0.005,0,I147-MIN(I$26,I147)-Q147)</f>
        <v>0</v>
      </c>
      <c r="Z147" s="36">
        <f>IF(J147-MIN(J$26,J147)-R147&lt;0.005,0,J147-MIN(J$26,J147)-R147)</f>
        <v>0</v>
      </c>
      <c r="AA147" s="36">
        <f>IF(K147-MIN(K$26,K147)-S147&lt;0.005,0,K147-MIN(K$26,K147)-S147)</f>
        <v>0</v>
      </c>
      <c r="AB147" s="36">
        <f>IF(L147-MIN(L$26,L147)-T147&lt;0.005,0,L147-MIN(L$26,L147)-T147)</f>
        <v>0</v>
      </c>
      <c r="AC147" s="36">
        <f>SUM(U147:AB147)</f>
        <v>0</v>
      </c>
      <c r="AD147" s="36">
        <f>D147+SUM(M147:T147)</f>
        <v>0</v>
      </c>
    </row>
    <row r="148">
      <c r="B148" s="40" t="n">
        <v>118</v>
      </c>
      <c r="C148" s="36" t="n">
        <v>0</v>
      </c>
      <c r="D148" s="36">
        <f>MIN(E$26,E148)+MIN(F$26,F148)+MIN(G$26,G148)+MIN(H$26,H148)+MIN(I$26,I148)+MIN(J$26,J148)+MIN(K$26,K148)+MIN(L$26,L148)</f>
        <v>0</v>
      </c>
      <c r="E148" s="36">
        <f>U147*(1+E$25)</f>
        <v>0</v>
      </c>
      <c r="F148" s="36">
        <f>V147*(1+F$25)</f>
        <v>0</v>
      </c>
      <c r="G148" s="36">
        <f>W147*(1+G$25)</f>
        <v>0</v>
      </c>
      <c r="H148" s="36">
        <f>X147*(1+H$25)</f>
        <v>0</v>
      </c>
      <c r="I148" s="36">
        <f>Y147*(1+I$25)</f>
        <v>0</v>
      </c>
      <c r="J148" s="36">
        <f>Z147*(1+J$25)</f>
        <v>0</v>
      </c>
      <c r="K148" s="36">
        <f>AA147*(1+K$25)</f>
        <v>0</v>
      </c>
      <c r="L148" s="36">
        <f>AB147*(1+L$25)</f>
        <v>0</v>
      </c>
      <c r="M148" s="36">
        <f>MIN(E148-MIN(E$26,E148),MAX(0,$C148-0))</f>
        <v>0</v>
      </c>
      <c r="N148" s="36">
        <f>MIN(F148-MIN(F$26,F148),MAX(0,$C148-SUM($M148:M148)))</f>
        <v>0</v>
      </c>
      <c r="O148" s="36">
        <f>MIN(G148-MIN(G$26,G148),MAX(0,$C148-SUM($M148:N148)))</f>
        <v>0</v>
      </c>
      <c r="P148" s="36">
        <f>MIN(H148-MIN(H$26,H148),MAX(0,$C148-SUM($M148:O148)))</f>
        <v>0</v>
      </c>
      <c r="Q148" s="36">
        <f>MIN(I148-MIN(I$26,I148),MAX(0,$C148-SUM($M148:P148)))</f>
        <v>0</v>
      </c>
      <c r="R148" s="36">
        <f>MIN(J148-MIN(J$26,J148),MAX(0,$C148-SUM($M148:Q148)))</f>
        <v>0</v>
      </c>
      <c r="S148" s="36">
        <f>MIN(K148-MIN(K$26,K148),MAX(0,$C148-SUM($M148:R148)))</f>
        <v>0</v>
      </c>
      <c r="T148" s="36">
        <f>MIN(L148-MIN(L$26,L148),MAX(0,$C148-SUM($M148:S148)))</f>
        <v>0</v>
      </c>
      <c r="U148" s="36">
        <f>IF(E148-MIN(E$26,E148)-M148&lt;0.005,0,E148-MIN(E$26,E148)-M148)</f>
        <v>0</v>
      </c>
      <c r="V148" s="36">
        <f>IF(F148-MIN(F$26,F148)-N148&lt;0.005,0,F148-MIN(F$26,F148)-N148)</f>
        <v>0</v>
      </c>
      <c r="W148" s="36">
        <f>IF(G148-MIN(G$26,G148)-O148&lt;0.005,0,G148-MIN(G$26,G148)-O148)</f>
        <v>0</v>
      </c>
      <c r="X148" s="36">
        <f>IF(H148-MIN(H$26,H148)-P148&lt;0.005,0,H148-MIN(H$26,H148)-P148)</f>
        <v>0</v>
      </c>
      <c r="Y148" s="36">
        <f>IF(I148-MIN(I$26,I148)-Q148&lt;0.005,0,I148-MIN(I$26,I148)-Q148)</f>
        <v>0</v>
      </c>
      <c r="Z148" s="36">
        <f>IF(J148-MIN(J$26,J148)-R148&lt;0.005,0,J148-MIN(J$26,J148)-R148)</f>
        <v>0</v>
      </c>
      <c r="AA148" s="36">
        <f>IF(K148-MIN(K$26,K148)-S148&lt;0.005,0,K148-MIN(K$26,K148)-S148)</f>
        <v>0</v>
      </c>
      <c r="AB148" s="36">
        <f>IF(L148-MIN(L$26,L148)-T148&lt;0.005,0,L148-MIN(L$26,L148)-T148)</f>
        <v>0</v>
      </c>
      <c r="AC148" s="36">
        <f>SUM(U148:AB148)</f>
        <v>0</v>
      </c>
      <c r="AD148" s="36">
        <f>D148+SUM(M148:T148)</f>
        <v>0</v>
      </c>
    </row>
    <row r="149">
      <c r="B149" s="40" t="n">
        <v>119</v>
      </c>
      <c r="C149" s="36" t="n">
        <v>0</v>
      </c>
      <c r="D149" s="36">
        <f>MIN(E$26,E149)+MIN(F$26,F149)+MIN(G$26,G149)+MIN(H$26,H149)+MIN(I$26,I149)+MIN(J$26,J149)+MIN(K$26,K149)+MIN(L$26,L149)</f>
        <v>0</v>
      </c>
      <c r="E149" s="36">
        <f>U148*(1+E$25)</f>
        <v>0</v>
      </c>
      <c r="F149" s="36">
        <f>V148*(1+F$25)</f>
        <v>0</v>
      </c>
      <c r="G149" s="36">
        <f>W148*(1+G$25)</f>
        <v>0</v>
      </c>
      <c r="H149" s="36">
        <f>X148*(1+H$25)</f>
        <v>0</v>
      </c>
      <c r="I149" s="36">
        <f>Y148*(1+I$25)</f>
        <v>0</v>
      </c>
      <c r="J149" s="36">
        <f>Z148*(1+J$25)</f>
        <v>0</v>
      </c>
      <c r="K149" s="36">
        <f>AA148*(1+K$25)</f>
        <v>0</v>
      </c>
      <c r="L149" s="36">
        <f>AB148*(1+L$25)</f>
        <v>0</v>
      </c>
      <c r="M149" s="36">
        <f>MIN(E149-MIN(E$26,E149),MAX(0,$C149-0))</f>
        <v>0</v>
      </c>
      <c r="N149" s="36">
        <f>MIN(F149-MIN(F$26,F149),MAX(0,$C149-SUM($M149:M149)))</f>
        <v>0</v>
      </c>
      <c r="O149" s="36">
        <f>MIN(G149-MIN(G$26,G149),MAX(0,$C149-SUM($M149:N149)))</f>
        <v>0</v>
      </c>
      <c r="P149" s="36">
        <f>MIN(H149-MIN(H$26,H149),MAX(0,$C149-SUM($M149:O149)))</f>
        <v>0</v>
      </c>
      <c r="Q149" s="36">
        <f>MIN(I149-MIN(I$26,I149),MAX(0,$C149-SUM($M149:P149)))</f>
        <v>0</v>
      </c>
      <c r="R149" s="36">
        <f>MIN(J149-MIN(J$26,J149),MAX(0,$C149-SUM($M149:Q149)))</f>
        <v>0</v>
      </c>
      <c r="S149" s="36">
        <f>MIN(K149-MIN(K$26,K149),MAX(0,$C149-SUM($M149:R149)))</f>
        <v>0</v>
      </c>
      <c r="T149" s="36">
        <f>MIN(L149-MIN(L$26,L149),MAX(0,$C149-SUM($M149:S149)))</f>
        <v>0</v>
      </c>
      <c r="U149" s="36">
        <f>IF(E149-MIN(E$26,E149)-M149&lt;0.005,0,E149-MIN(E$26,E149)-M149)</f>
        <v>0</v>
      </c>
      <c r="V149" s="36">
        <f>IF(F149-MIN(F$26,F149)-N149&lt;0.005,0,F149-MIN(F$26,F149)-N149)</f>
        <v>0</v>
      </c>
      <c r="W149" s="36">
        <f>IF(G149-MIN(G$26,G149)-O149&lt;0.005,0,G149-MIN(G$26,G149)-O149)</f>
        <v>0</v>
      </c>
      <c r="X149" s="36">
        <f>IF(H149-MIN(H$26,H149)-P149&lt;0.005,0,H149-MIN(H$26,H149)-P149)</f>
        <v>0</v>
      </c>
      <c r="Y149" s="36">
        <f>IF(I149-MIN(I$26,I149)-Q149&lt;0.005,0,I149-MIN(I$26,I149)-Q149)</f>
        <v>0</v>
      </c>
      <c r="Z149" s="36">
        <f>IF(J149-MIN(J$26,J149)-R149&lt;0.005,0,J149-MIN(J$26,J149)-R149)</f>
        <v>0</v>
      </c>
      <c r="AA149" s="36">
        <f>IF(K149-MIN(K$26,K149)-S149&lt;0.005,0,K149-MIN(K$26,K149)-S149)</f>
        <v>0</v>
      </c>
      <c r="AB149" s="36">
        <f>IF(L149-MIN(L$26,L149)-T149&lt;0.005,0,L149-MIN(L$26,L149)-T149)</f>
        <v>0</v>
      </c>
      <c r="AC149" s="36">
        <f>SUM(U149:AB149)</f>
        <v>0</v>
      </c>
      <c r="AD149" s="36">
        <f>D149+SUM(M149:T149)</f>
        <v>0</v>
      </c>
    </row>
    <row r="150">
      <c r="B150" s="40" t="n">
        <v>120</v>
      </c>
      <c r="C150" s="36" t="n">
        <v>0</v>
      </c>
      <c r="D150" s="36">
        <f>MIN(E$26,E150)+MIN(F$26,F150)+MIN(G$26,G150)+MIN(H$26,H150)+MIN(I$26,I150)+MIN(J$26,J150)+MIN(K$26,K150)+MIN(L$26,L150)</f>
        <v>0</v>
      </c>
      <c r="E150" s="36">
        <f>U149*(1+E$25)</f>
        <v>0</v>
      </c>
      <c r="F150" s="36">
        <f>V149*(1+F$25)</f>
        <v>0</v>
      </c>
      <c r="G150" s="36">
        <f>W149*(1+G$25)</f>
        <v>0</v>
      </c>
      <c r="H150" s="36">
        <f>X149*(1+H$25)</f>
        <v>0</v>
      </c>
      <c r="I150" s="36">
        <f>Y149*(1+I$25)</f>
        <v>0</v>
      </c>
      <c r="J150" s="36">
        <f>Z149*(1+J$25)</f>
        <v>0</v>
      </c>
      <c r="K150" s="36">
        <f>AA149*(1+K$25)</f>
        <v>0</v>
      </c>
      <c r="L150" s="36">
        <f>AB149*(1+L$25)</f>
        <v>0</v>
      </c>
      <c r="M150" s="36">
        <f>MIN(E150-MIN(E$26,E150),MAX(0,$C150-0))</f>
        <v>0</v>
      </c>
      <c r="N150" s="36">
        <f>MIN(F150-MIN(F$26,F150),MAX(0,$C150-SUM($M150:M150)))</f>
        <v>0</v>
      </c>
      <c r="O150" s="36">
        <f>MIN(G150-MIN(G$26,G150),MAX(0,$C150-SUM($M150:N150)))</f>
        <v>0</v>
      </c>
      <c r="P150" s="36">
        <f>MIN(H150-MIN(H$26,H150),MAX(0,$C150-SUM($M150:O150)))</f>
        <v>0</v>
      </c>
      <c r="Q150" s="36">
        <f>MIN(I150-MIN(I$26,I150),MAX(0,$C150-SUM($M150:P150)))</f>
        <v>0</v>
      </c>
      <c r="R150" s="36">
        <f>MIN(J150-MIN(J$26,J150),MAX(0,$C150-SUM($M150:Q150)))</f>
        <v>0</v>
      </c>
      <c r="S150" s="36">
        <f>MIN(K150-MIN(K$26,K150),MAX(0,$C150-SUM($M150:R150)))</f>
        <v>0</v>
      </c>
      <c r="T150" s="36">
        <f>MIN(L150-MIN(L$26,L150),MAX(0,$C150-SUM($M150:S150)))</f>
        <v>0</v>
      </c>
      <c r="U150" s="36">
        <f>IF(E150-MIN(E$26,E150)-M150&lt;0.005,0,E150-MIN(E$26,E150)-M150)</f>
        <v>0</v>
      </c>
      <c r="V150" s="36">
        <f>IF(F150-MIN(F$26,F150)-N150&lt;0.005,0,F150-MIN(F$26,F150)-N150)</f>
        <v>0</v>
      </c>
      <c r="W150" s="36">
        <f>IF(G150-MIN(G$26,G150)-O150&lt;0.005,0,G150-MIN(G$26,G150)-O150)</f>
        <v>0</v>
      </c>
      <c r="X150" s="36">
        <f>IF(H150-MIN(H$26,H150)-P150&lt;0.005,0,H150-MIN(H$26,H150)-P150)</f>
        <v>0</v>
      </c>
      <c r="Y150" s="36">
        <f>IF(I150-MIN(I$26,I150)-Q150&lt;0.005,0,I150-MIN(I$26,I150)-Q150)</f>
        <v>0</v>
      </c>
      <c r="Z150" s="36">
        <f>IF(J150-MIN(J$26,J150)-R150&lt;0.005,0,J150-MIN(J$26,J150)-R150)</f>
        <v>0</v>
      </c>
      <c r="AA150" s="36">
        <f>IF(K150-MIN(K$26,K150)-S150&lt;0.005,0,K150-MIN(K$26,K150)-S150)</f>
        <v>0</v>
      </c>
      <c r="AB150" s="36">
        <f>IF(L150-MIN(L$26,L150)-T150&lt;0.005,0,L150-MIN(L$26,L150)-T150)</f>
        <v>0</v>
      </c>
      <c r="AC150" s="36">
        <f>SUM(U150:AB150)</f>
        <v>0</v>
      </c>
      <c r="AD150" s="36">
        <f>D150+SUM(M150:T150)</f>
        <v>0</v>
      </c>
    </row>
    <row r="156">
      <c r="B156" s="6" t="inlineStr">
        <is>
          <t>Método: Bola de Neve</t>
        </is>
      </c>
    </row>
    <row r="157">
      <c r="B157" s="17" t="inlineStr">
        <is>
          <t>Posição p</t>
        </is>
      </c>
      <c r="E157" s="40" t="n">
        <v>1</v>
      </c>
      <c r="F157" s="40" t="n">
        <v>2</v>
      </c>
      <c r="G157" s="40" t="n">
        <v>3</v>
      </c>
      <c r="H157" s="40" t="n">
        <v>4</v>
      </c>
      <c r="I157" s="40" t="n">
        <v>5</v>
      </c>
      <c r="J157" s="40" t="n">
        <v>6</v>
      </c>
      <c r="K157" s="40" t="n">
        <v>7</v>
      </c>
      <c r="L157" s="40" t="n">
        <v>8</v>
      </c>
    </row>
    <row r="158">
      <c r="B158" s="17" t="inlineStr">
        <is>
          <t>Saldo inicial</t>
        </is>
      </c>
      <c r="E158" s="36">
        <f>INDEX($C$8:$C$15,MATCH(1,Sim_RankSnow,0))</f>
        <v>2600</v>
      </c>
      <c r="F158" s="36">
        <f>INDEX($C$8:$C$15,MATCH(2,Sim_RankSnow,0))</f>
        <v>6100</v>
      </c>
      <c r="G158" s="36">
        <f>INDEX($C$8:$C$15,MATCH(3,Sim_RankSnow,0))</f>
        <v>28400</v>
      </c>
      <c r="H158" s="36">
        <f>INDEX($C$8:$C$15,MATCH(4,Sim_RankSnow,0))</f>
        <v>0</v>
      </c>
      <c r="I158" s="36">
        <f>INDEX($C$8:$C$15,MATCH(5,Sim_RankSnow,0))</f>
        <v>0</v>
      </c>
      <c r="J158" s="36">
        <f>INDEX($C$8:$C$15,MATCH(6,Sim_RankSnow,0))</f>
        <v>0</v>
      </c>
      <c r="K158" s="36">
        <f>INDEX($C$8:$C$15,MATCH(7,Sim_RankSnow,0))</f>
        <v>0</v>
      </c>
      <c r="L158" s="36">
        <f>INDEX($C$8:$C$15,MATCH(8,Sim_RankSnow,0))</f>
        <v>0</v>
      </c>
    </row>
    <row r="159">
      <c r="B159" s="17" t="inlineStr">
        <is>
          <t>Taxa mensal</t>
        </is>
      </c>
      <c r="E159" s="96">
        <f>INDEX($D$8:$D$15,MATCH(1,Sim_RankSnow,0))</f>
        <v>0.035</v>
      </c>
      <c r="F159" s="96">
        <f>INDEX($D$8:$D$15,MATCH(2,Sim_RankSnow,0))</f>
        <v>0.016</v>
      </c>
      <c r="G159" s="96">
        <f>INDEX($D$8:$D$15,MATCH(3,Sim_RankSnow,0))</f>
        <v>0.02</v>
      </c>
      <c r="H159" s="96">
        <f>INDEX($D$8:$D$15,MATCH(4,Sim_RankSnow,0))</f>
        <v>0</v>
      </c>
      <c r="I159" s="96">
        <f>INDEX($D$8:$D$15,MATCH(5,Sim_RankSnow,0))</f>
        <v>0</v>
      </c>
      <c r="J159" s="96">
        <f>INDEX($D$8:$D$15,MATCH(6,Sim_RankSnow,0))</f>
        <v>0</v>
      </c>
      <c r="K159" s="96">
        <f>INDEX($D$8:$D$15,MATCH(7,Sim_RankSnow,0))</f>
        <v>0</v>
      </c>
      <c r="L159" s="96">
        <f>INDEX($D$8:$D$15,MATCH(8,Sim_RankSnow,0))</f>
        <v>0</v>
      </c>
    </row>
    <row r="160">
      <c r="B160" s="17" t="inlineStr">
        <is>
          <t>Parcela</t>
        </is>
      </c>
      <c r="E160" s="36">
        <f>INDEX($E$8:$E$15,MATCH(1,Sim_RankSnow,0))</f>
        <v>460</v>
      </c>
      <c r="F160" s="36">
        <f>INDEX($E$8:$E$15,MATCH(2,Sim_RankSnow,0))</f>
        <v>580</v>
      </c>
      <c r="G160" s="36">
        <f>INDEX($E$8:$E$15,MATCH(3,Sim_RankSnow,0))</f>
        <v>1150</v>
      </c>
      <c r="H160" s="36">
        <f>INDEX($E$8:$E$15,MATCH(4,Sim_RankSnow,0))</f>
        <v>0</v>
      </c>
      <c r="I160" s="36">
        <f>INDEX($E$8:$E$15,MATCH(5,Sim_RankSnow,0))</f>
        <v>0</v>
      </c>
      <c r="J160" s="36">
        <f>INDEX($E$8:$E$15,MATCH(6,Sim_RankSnow,0))</f>
        <v>0</v>
      </c>
      <c r="K160" s="36">
        <f>INDEX($E$8:$E$15,MATCH(7,Sim_RankSnow,0))</f>
        <v>0</v>
      </c>
      <c r="L160" s="36">
        <f>INDEX($E$8:$E$15,MATCH(8,Sim_RankSnow,0))</f>
        <v>0</v>
      </c>
    </row>
    <row r="161">
      <c r="B161" s="17" t="inlineStr">
        <is>
          <t>Meses até quitar</t>
        </is>
      </c>
      <c r="E161" s="40">
        <f>IF(E158&lt;=0,0,IF(U284&gt;0.005,121,COUNTIF(U165:U284,"&gt;0.005")+1))</f>
        <v>3</v>
      </c>
      <c r="F161" s="40">
        <f>IF(F158&lt;=0,0,IF(V284&gt;0.005,121,COUNTIF(V165:V284,"&gt;0.005")+1))</f>
        <v>6</v>
      </c>
      <c r="G161" s="40">
        <f>IF(G158&lt;=0,0,IF(W284&gt;0.005,121,COUNTIF(W165:W284,"&gt;0.005")+1))</f>
        <v>16</v>
      </c>
      <c r="H161" s="40">
        <f>IF(H158&lt;=0,0,IF(X284&gt;0.005,121,COUNTIF(X165:X284,"&gt;0.005")+1))</f>
        <v>0</v>
      </c>
      <c r="I161" s="40">
        <f>IF(I158&lt;=0,0,IF(Y284&gt;0.005,121,COUNTIF(Y165:Y284,"&gt;0.005")+1))</f>
        <v>0</v>
      </c>
      <c r="J161" s="40">
        <f>IF(J158&lt;=0,0,IF(Z284&gt;0.005,121,COUNTIF(Z165:Z284,"&gt;0.005")+1))</f>
        <v>0</v>
      </c>
      <c r="K161" s="40">
        <f>IF(K158&lt;=0,0,IF(AA284&gt;0.005,121,COUNTIF(AA165:AA284,"&gt;0.005")+1))</f>
        <v>0</v>
      </c>
      <c r="L161" s="40">
        <f>IF(L158&lt;=0,0,IF(AB284&gt;0.005,121,COUNTIF(AB165:AB284,"&gt;0.005")+1))</f>
        <v>0</v>
      </c>
    </row>
    <row r="163" ht="30" customHeight="1">
      <c r="B163" s="114" t="inlineStr">
        <is>
          <t>Mês</t>
        </is>
      </c>
      <c r="C163" s="114" t="inlineStr">
        <is>
          <t>Extra disponível</t>
        </is>
      </c>
      <c r="D163" s="114" t="inlineStr">
        <is>
          <t>Mínimos do mês</t>
        </is>
      </c>
      <c r="E163" s="114" t="inlineStr">
        <is>
          <t>Saldo+juros p1</t>
        </is>
      </c>
      <c r="F163" s="114" t="inlineStr">
        <is>
          <t>Saldo+juros p2</t>
        </is>
      </c>
      <c r="G163" s="114" t="inlineStr">
        <is>
          <t>Saldo+juros p3</t>
        </is>
      </c>
      <c r="H163" s="114" t="inlineStr">
        <is>
          <t>Saldo+juros p4</t>
        </is>
      </c>
      <c r="I163" s="114" t="inlineStr">
        <is>
          <t>Saldo+juros p5</t>
        </is>
      </c>
      <c r="J163" s="114" t="inlineStr">
        <is>
          <t>Saldo+juros p6</t>
        </is>
      </c>
      <c r="K163" s="114" t="inlineStr">
        <is>
          <t>Saldo+juros p7</t>
        </is>
      </c>
      <c r="L163" s="114" t="inlineStr">
        <is>
          <t>Saldo+juros p8</t>
        </is>
      </c>
      <c r="M163" s="114" t="inlineStr">
        <is>
          <t>Extra p1</t>
        </is>
      </c>
      <c r="N163" s="114" t="inlineStr">
        <is>
          <t>Extra p2</t>
        </is>
      </c>
      <c r="O163" s="114" t="inlineStr">
        <is>
          <t>Extra p3</t>
        </is>
      </c>
      <c r="P163" s="114" t="inlineStr">
        <is>
          <t>Extra p4</t>
        </is>
      </c>
      <c r="Q163" s="114" t="inlineStr">
        <is>
          <t>Extra p5</t>
        </is>
      </c>
      <c r="R163" s="114" t="inlineStr">
        <is>
          <t>Extra p6</t>
        </is>
      </c>
      <c r="S163" s="114" t="inlineStr">
        <is>
          <t>Extra p7</t>
        </is>
      </c>
      <c r="T163" s="114" t="inlineStr">
        <is>
          <t>Extra p8</t>
        </is>
      </c>
      <c r="U163" s="114" t="inlineStr">
        <is>
          <t>Saldo após p1</t>
        </is>
      </c>
      <c r="V163" s="114" t="inlineStr">
        <is>
          <t>Saldo após p2</t>
        </is>
      </c>
      <c r="W163" s="114" t="inlineStr">
        <is>
          <t>Saldo após p3</t>
        </is>
      </c>
      <c r="X163" s="114" t="inlineStr">
        <is>
          <t>Saldo após p4</t>
        </is>
      </c>
      <c r="Y163" s="114" t="inlineStr">
        <is>
          <t>Saldo após p5</t>
        </is>
      </c>
      <c r="Z163" s="114" t="inlineStr">
        <is>
          <t>Saldo após p6</t>
        </is>
      </c>
      <c r="AA163" s="114" t="inlineStr">
        <is>
          <t>Saldo após p7</t>
        </is>
      </c>
      <c r="AB163" s="114" t="inlineStr">
        <is>
          <t>Saldo após p8</t>
        </is>
      </c>
      <c r="AC163" s="114" t="inlineStr">
        <is>
          <t>Saldo total</t>
        </is>
      </c>
      <c r="AD163" s="114" t="inlineStr">
        <is>
          <t>Pago no mês</t>
        </is>
      </c>
    </row>
    <row r="164">
      <c r="B164" s="40" t="n">
        <v>0</v>
      </c>
      <c r="U164" s="36">
        <f>E$158</f>
        <v>2600</v>
      </c>
      <c r="V164" s="36">
        <f>F$158</f>
        <v>6100</v>
      </c>
      <c r="W164" s="36">
        <f>G$158</f>
        <v>28400</v>
      </c>
      <c r="X164" s="36">
        <f>H$158</f>
        <v>0</v>
      </c>
      <c r="Y164" s="36">
        <f>I$158</f>
        <v>0</v>
      </c>
      <c r="Z164" s="36">
        <f>J$158</f>
        <v>0</v>
      </c>
      <c r="AA164" s="36">
        <f>K$158</f>
        <v>0</v>
      </c>
      <c r="AB164" s="36">
        <f>L$158</f>
        <v>0</v>
      </c>
      <c r="AC164" s="36">
        <f>SUM(U164:AB164)</f>
        <v>37100</v>
      </c>
    </row>
    <row r="165">
      <c r="B165" s="40" t="n">
        <v>1</v>
      </c>
      <c r="C165" s="36">
        <f>MAX(0,Sim_SomaParc+N(Sim_Extra)-D165)</f>
        <v>600</v>
      </c>
      <c r="D165" s="36">
        <f>MIN(E$160,E165)+MIN(F$160,F165)+MIN(G$160,G165)+MIN(H$160,H165)+MIN(I$160,I165)+MIN(J$160,J165)+MIN(K$160,K165)+MIN(L$160,L165)</f>
        <v>2190</v>
      </c>
      <c r="E165" s="36">
        <f>U164*(1+E$159)</f>
        <v>2691</v>
      </c>
      <c r="F165" s="36">
        <f>V164*(1+F$159)</f>
        <v>6197.6</v>
      </c>
      <c r="G165" s="36">
        <f>W164*(1+G$159)</f>
        <v>28968</v>
      </c>
      <c r="H165" s="36">
        <f>X164*(1+H$159)</f>
        <v>0</v>
      </c>
      <c r="I165" s="36">
        <f>Y164*(1+I$159)</f>
        <v>0</v>
      </c>
      <c r="J165" s="36">
        <f>Z164*(1+J$159)</f>
        <v>0</v>
      </c>
      <c r="K165" s="36">
        <f>AA164*(1+K$159)</f>
        <v>0</v>
      </c>
      <c r="L165" s="36">
        <f>AB164*(1+L$159)</f>
        <v>0</v>
      </c>
      <c r="M165" s="36">
        <f>MIN(E165-MIN(E$160,E165),MAX(0,$C165-0))</f>
        <v>600</v>
      </c>
      <c r="N165" s="36">
        <f>MIN(F165-MIN(F$160,F165),MAX(0,$C165-SUM($M165:M165)))</f>
        <v>0</v>
      </c>
      <c r="O165" s="36">
        <f>MIN(G165-MIN(G$160,G165),MAX(0,$C165-SUM($M165:N165)))</f>
        <v>0</v>
      </c>
      <c r="P165" s="36">
        <f>MIN(H165-MIN(H$160,H165),MAX(0,$C165-SUM($M165:O165)))</f>
        <v>0</v>
      </c>
      <c r="Q165" s="36">
        <f>MIN(I165-MIN(I$160,I165),MAX(0,$C165-SUM($M165:P165)))</f>
        <v>0</v>
      </c>
      <c r="R165" s="36">
        <f>MIN(J165-MIN(J$160,J165),MAX(0,$C165-SUM($M165:Q165)))</f>
        <v>0</v>
      </c>
      <c r="S165" s="36">
        <f>MIN(K165-MIN(K$160,K165),MAX(0,$C165-SUM($M165:R165)))</f>
        <v>0</v>
      </c>
      <c r="T165" s="36">
        <f>MIN(L165-MIN(L$160,L165),MAX(0,$C165-SUM($M165:S165)))</f>
        <v>0</v>
      </c>
      <c r="U165" s="36">
        <f>IF(E165-MIN(E$160,E165)-M165&lt;0.005,0,E165-MIN(E$160,E165)-M165)</f>
        <v>1631</v>
      </c>
      <c r="V165" s="36">
        <f>IF(F165-MIN(F$160,F165)-N165&lt;0.005,0,F165-MIN(F$160,F165)-N165)</f>
        <v>5617.6</v>
      </c>
      <c r="W165" s="36">
        <f>IF(G165-MIN(G$160,G165)-O165&lt;0.005,0,G165-MIN(G$160,G165)-O165)</f>
        <v>27818</v>
      </c>
      <c r="X165" s="36">
        <f>IF(H165-MIN(H$160,H165)-P165&lt;0.005,0,H165-MIN(H$160,H165)-P165)</f>
        <v>0</v>
      </c>
      <c r="Y165" s="36">
        <f>IF(I165-MIN(I$160,I165)-Q165&lt;0.005,0,I165-MIN(I$160,I165)-Q165)</f>
        <v>0</v>
      </c>
      <c r="Z165" s="36">
        <f>IF(J165-MIN(J$160,J165)-R165&lt;0.005,0,J165-MIN(J$160,J165)-R165)</f>
        <v>0</v>
      </c>
      <c r="AA165" s="36">
        <f>IF(K165-MIN(K$160,K165)-S165&lt;0.005,0,K165-MIN(K$160,K165)-S165)</f>
        <v>0</v>
      </c>
      <c r="AB165" s="36">
        <f>IF(L165-MIN(L$160,L165)-T165&lt;0.005,0,L165-MIN(L$160,L165)-T165)</f>
        <v>0</v>
      </c>
      <c r="AC165" s="36">
        <f>SUM(U165:AB165)</f>
        <v>35066.6</v>
      </c>
      <c r="AD165" s="36">
        <f>D165+SUM(M165:T165)</f>
        <v>2790</v>
      </c>
    </row>
    <row r="166">
      <c r="B166" s="40" t="n">
        <v>2</v>
      </c>
      <c r="C166" s="36">
        <f>MAX(0,Sim_SomaParc+N(Sim_Extra)-D166)</f>
        <v>600</v>
      </c>
      <c r="D166" s="36">
        <f>MIN(E$160,E166)+MIN(F$160,F166)+MIN(G$160,G166)+MIN(H$160,H166)+MIN(I$160,I166)+MIN(J$160,J166)+MIN(K$160,K166)+MIN(L$160,L166)</f>
        <v>2190</v>
      </c>
      <c r="E166" s="36">
        <f>U165*(1+E$159)</f>
        <v>1688.085</v>
      </c>
      <c r="F166" s="36">
        <f>V165*(1+F$159)</f>
        <v>5707.4816</v>
      </c>
      <c r="G166" s="36">
        <f>W165*(1+G$159)</f>
        <v>28374.36</v>
      </c>
      <c r="H166" s="36">
        <f>X165*(1+H$159)</f>
        <v>0</v>
      </c>
      <c r="I166" s="36">
        <f>Y165*(1+I$159)</f>
        <v>0</v>
      </c>
      <c r="J166" s="36">
        <f>Z165*(1+J$159)</f>
        <v>0</v>
      </c>
      <c r="K166" s="36">
        <f>AA165*(1+K$159)</f>
        <v>0</v>
      </c>
      <c r="L166" s="36">
        <f>AB165*(1+L$159)</f>
        <v>0</v>
      </c>
      <c r="M166" s="36">
        <f>MIN(E166-MIN(E$160,E166),MAX(0,$C166-0))</f>
        <v>600</v>
      </c>
      <c r="N166" s="36">
        <f>MIN(F166-MIN(F$160,F166),MAX(0,$C166-SUM($M166:M166)))</f>
        <v>0</v>
      </c>
      <c r="O166" s="36">
        <f>MIN(G166-MIN(G$160,G166),MAX(0,$C166-SUM($M166:N166)))</f>
        <v>0</v>
      </c>
      <c r="P166" s="36">
        <f>MIN(H166-MIN(H$160,H166),MAX(0,$C166-SUM($M166:O166)))</f>
        <v>0</v>
      </c>
      <c r="Q166" s="36">
        <f>MIN(I166-MIN(I$160,I166),MAX(0,$C166-SUM($M166:P166)))</f>
        <v>0</v>
      </c>
      <c r="R166" s="36">
        <f>MIN(J166-MIN(J$160,J166),MAX(0,$C166-SUM($M166:Q166)))</f>
        <v>0</v>
      </c>
      <c r="S166" s="36">
        <f>MIN(K166-MIN(K$160,K166),MAX(0,$C166-SUM($M166:R166)))</f>
        <v>0</v>
      </c>
      <c r="T166" s="36">
        <f>MIN(L166-MIN(L$160,L166),MAX(0,$C166-SUM($M166:S166)))</f>
        <v>0</v>
      </c>
      <c r="U166" s="36">
        <f>IF(E166-MIN(E$160,E166)-M166&lt;0.005,0,E166-MIN(E$160,E166)-M166)</f>
        <v>628.085</v>
      </c>
      <c r="V166" s="36">
        <f>IF(F166-MIN(F$160,F166)-N166&lt;0.005,0,F166-MIN(F$160,F166)-N166)</f>
        <v>5127.4816</v>
      </c>
      <c r="W166" s="36">
        <f>IF(G166-MIN(G$160,G166)-O166&lt;0.005,0,G166-MIN(G$160,G166)-O166)</f>
        <v>27224.36</v>
      </c>
      <c r="X166" s="36">
        <f>IF(H166-MIN(H$160,H166)-P166&lt;0.005,0,H166-MIN(H$160,H166)-P166)</f>
        <v>0</v>
      </c>
      <c r="Y166" s="36">
        <f>IF(I166-MIN(I$160,I166)-Q166&lt;0.005,0,I166-MIN(I$160,I166)-Q166)</f>
        <v>0</v>
      </c>
      <c r="Z166" s="36">
        <f>IF(J166-MIN(J$160,J166)-R166&lt;0.005,0,J166-MIN(J$160,J166)-R166)</f>
        <v>0</v>
      </c>
      <c r="AA166" s="36">
        <f>IF(K166-MIN(K$160,K166)-S166&lt;0.005,0,K166-MIN(K$160,K166)-S166)</f>
        <v>0</v>
      </c>
      <c r="AB166" s="36">
        <f>IF(L166-MIN(L$160,L166)-T166&lt;0.005,0,L166-MIN(L$160,L166)-T166)</f>
        <v>0</v>
      </c>
      <c r="AC166" s="36">
        <f>SUM(U166:AB166)</f>
        <v>32979.9266</v>
      </c>
      <c r="AD166" s="36">
        <f>D166+SUM(M166:T166)</f>
        <v>2790</v>
      </c>
    </row>
    <row r="167">
      <c r="B167" s="40" t="n">
        <v>3</v>
      </c>
      <c r="C167" s="36">
        <f>MAX(0,Sim_SomaParc+N(Sim_Extra)-D167)</f>
        <v>600</v>
      </c>
      <c r="D167" s="36">
        <f>MIN(E$160,E167)+MIN(F$160,F167)+MIN(G$160,G167)+MIN(H$160,H167)+MIN(I$160,I167)+MIN(J$160,J167)+MIN(K$160,K167)+MIN(L$160,L167)</f>
        <v>2190</v>
      </c>
      <c r="E167" s="36">
        <f>U166*(1+E$159)</f>
        <v>650.067975</v>
      </c>
      <c r="F167" s="36">
        <f>V166*(1+F$159)</f>
        <v>5209.5213056</v>
      </c>
      <c r="G167" s="36">
        <f>W166*(1+G$159)</f>
        <v>27768.8472</v>
      </c>
      <c r="H167" s="36">
        <f>X166*(1+H$159)</f>
        <v>0</v>
      </c>
      <c r="I167" s="36">
        <f>Y166*(1+I$159)</f>
        <v>0</v>
      </c>
      <c r="J167" s="36">
        <f>Z166*(1+J$159)</f>
        <v>0</v>
      </c>
      <c r="K167" s="36">
        <f>AA166*(1+K$159)</f>
        <v>0</v>
      </c>
      <c r="L167" s="36">
        <f>AB166*(1+L$159)</f>
        <v>0</v>
      </c>
      <c r="M167" s="36">
        <f>MIN(E167-MIN(E$160,E167),MAX(0,$C167-0))</f>
        <v>190.067975</v>
      </c>
      <c r="N167" s="36">
        <f>MIN(F167-MIN(F$160,F167),MAX(0,$C167-SUM($M167:M167)))</f>
        <v>409.932025</v>
      </c>
      <c r="O167" s="36">
        <f>MIN(G167-MIN(G$160,G167),MAX(0,$C167-SUM($M167:N167)))</f>
        <v>0</v>
      </c>
      <c r="P167" s="36">
        <f>MIN(H167-MIN(H$160,H167),MAX(0,$C167-SUM($M167:O167)))</f>
        <v>0</v>
      </c>
      <c r="Q167" s="36">
        <f>MIN(I167-MIN(I$160,I167),MAX(0,$C167-SUM($M167:P167)))</f>
        <v>0</v>
      </c>
      <c r="R167" s="36">
        <f>MIN(J167-MIN(J$160,J167),MAX(0,$C167-SUM($M167:Q167)))</f>
        <v>0</v>
      </c>
      <c r="S167" s="36">
        <f>MIN(K167-MIN(K$160,K167),MAX(0,$C167-SUM($M167:R167)))</f>
        <v>0</v>
      </c>
      <c r="T167" s="36">
        <f>MIN(L167-MIN(L$160,L167),MAX(0,$C167-SUM($M167:S167)))</f>
        <v>0</v>
      </c>
      <c r="U167" s="36">
        <f>IF(E167-MIN(E$160,E167)-M167&lt;0.005,0,E167-MIN(E$160,E167)-M167)</f>
        <v>0</v>
      </c>
      <c r="V167" s="36">
        <f>IF(F167-MIN(F$160,F167)-N167&lt;0.005,0,F167-MIN(F$160,F167)-N167)</f>
        <v>4219.5892806</v>
      </c>
      <c r="W167" s="36">
        <f>IF(G167-MIN(G$160,G167)-O167&lt;0.005,0,G167-MIN(G$160,G167)-O167)</f>
        <v>26618.8472</v>
      </c>
      <c r="X167" s="36">
        <f>IF(H167-MIN(H$160,H167)-P167&lt;0.005,0,H167-MIN(H$160,H167)-P167)</f>
        <v>0</v>
      </c>
      <c r="Y167" s="36">
        <f>IF(I167-MIN(I$160,I167)-Q167&lt;0.005,0,I167-MIN(I$160,I167)-Q167)</f>
        <v>0</v>
      </c>
      <c r="Z167" s="36">
        <f>IF(J167-MIN(J$160,J167)-R167&lt;0.005,0,J167-MIN(J$160,J167)-R167)</f>
        <v>0</v>
      </c>
      <c r="AA167" s="36">
        <f>IF(K167-MIN(K$160,K167)-S167&lt;0.005,0,K167-MIN(K$160,K167)-S167)</f>
        <v>0</v>
      </c>
      <c r="AB167" s="36">
        <f>IF(L167-MIN(L$160,L167)-T167&lt;0.005,0,L167-MIN(L$160,L167)-T167)</f>
        <v>0</v>
      </c>
      <c r="AC167" s="36">
        <f>SUM(U167:AB167)</f>
        <v>30838.4364806</v>
      </c>
      <c r="AD167" s="36">
        <f>D167+SUM(M167:T167)</f>
        <v>2790</v>
      </c>
    </row>
    <row r="168">
      <c r="B168" s="40" t="n">
        <v>4</v>
      </c>
      <c r="C168" s="36">
        <f>MAX(0,Sim_SomaParc+N(Sim_Extra)-D168)</f>
        <v>1060</v>
      </c>
      <c r="D168" s="36">
        <f>MIN(E$160,E168)+MIN(F$160,F168)+MIN(G$160,G168)+MIN(H$160,H168)+MIN(I$160,I168)+MIN(J$160,J168)+MIN(K$160,K168)+MIN(L$160,L168)</f>
        <v>1730</v>
      </c>
      <c r="E168" s="36">
        <f>U167*(1+E$159)</f>
        <v>0</v>
      </c>
      <c r="F168" s="36">
        <f>V167*(1+F$159)</f>
        <v>4287.1027090896</v>
      </c>
      <c r="G168" s="36">
        <f>W167*(1+G$159)</f>
        <v>27151.224144</v>
      </c>
      <c r="H168" s="36">
        <f>X167*(1+H$159)</f>
        <v>0</v>
      </c>
      <c r="I168" s="36">
        <f>Y167*(1+I$159)</f>
        <v>0</v>
      </c>
      <c r="J168" s="36">
        <f>Z167*(1+J$159)</f>
        <v>0</v>
      </c>
      <c r="K168" s="36">
        <f>AA167*(1+K$159)</f>
        <v>0</v>
      </c>
      <c r="L168" s="36">
        <f>AB167*(1+L$159)</f>
        <v>0</v>
      </c>
      <c r="M168" s="36">
        <f>MIN(E168-MIN(E$160,E168),MAX(0,$C168-0))</f>
        <v>0</v>
      </c>
      <c r="N168" s="36">
        <f>MIN(F168-MIN(F$160,F168),MAX(0,$C168-SUM($M168:M168)))</f>
        <v>1060</v>
      </c>
      <c r="O168" s="36">
        <f>MIN(G168-MIN(G$160,G168),MAX(0,$C168-SUM($M168:N168)))</f>
        <v>0</v>
      </c>
      <c r="P168" s="36">
        <f>MIN(H168-MIN(H$160,H168),MAX(0,$C168-SUM($M168:O168)))</f>
        <v>0</v>
      </c>
      <c r="Q168" s="36">
        <f>MIN(I168-MIN(I$160,I168),MAX(0,$C168-SUM($M168:P168)))</f>
        <v>0</v>
      </c>
      <c r="R168" s="36">
        <f>MIN(J168-MIN(J$160,J168),MAX(0,$C168-SUM($M168:Q168)))</f>
        <v>0</v>
      </c>
      <c r="S168" s="36">
        <f>MIN(K168-MIN(K$160,K168),MAX(0,$C168-SUM($M168:R168)))</f>
        <v>0</v>
      </c>
      <c r="T168" s="36">
        <f>MIN(L168-MIN(L$160,L168),MAX(0,$C168-SUM($M168:S168)))</f>
        <v>0</v>
      </c>
      <c r="U168" s="36">
        <f>IF(E168-MIN(E$160,E168)-M168&lt;0.005,0,E168-MIN(E$160,E168)-M168)</f>
        <v>0</v>
      </c>
      <c r="V168" s="36">
        <f>IF(F168-MIN(F$160,F168)-N168&lt;0.005,0,F168-MIN(F$160,F168)-N168)</f>
        <v>2647.1027090896</v>
      </c>
      <c r="W168" s="36">
        <f>IF(G168-MIN(G$160,G168)-O168&lt;0.005,0,G168-MIN(G$160,G168)-O168)</f>
        <v>26001.224144</v>
      </c>
      <c r="X168" s="36">
        <f>IF(H168-MIN(H$160,H168)-P168&lt;0.005,0,H168-MIN(H$160,H168)-P168)</f>
        <v>0</v>
      </c>
      <c r="Y168" s="36">
        <f>IF(I168-MIN(I$160,I168)-Q168&lt;0.005,0,I168-MIN(I$160,I168)-Q168)</f>
        <v>0</v>
      </c>
      <c r="Z168" s="36">
        <f>IF(J168-MIN(J$160,J168)-R168&lt;0.005,0,J168-MIN(J$160,J168)-R168)</f>
        <v>0</v>
      </c>
      <c r="AA168" s="36">
        <f>IF(K168-MIN(K$160,K168)-S168&lt;0.005,0,K168-MIN(K$160,K168)-S168)</f>
        <v>0</v>
      </c>
      <c r="AB168" s="36">
        <f>IF(L168-MIN(L$160,L168)-T168&lt;0.005,0,L168-MIN(L$160,L168)-T168)</f>
        <v>0</v>
      </c>
      <c r="AC168" s="36">
        <f>SUM(U168:AB168)</f>
        <v>28648.3268530896</v>
      </c>
      <c r="AD168" s="36">
        <f>D168+SUM(M168:T168)</f>
        <v>2790</v>
      </c>
    </row>
    <row r="169">
      <c r="B169" s="40" t="n">
        <v>5</v>
      </c>
      <c r="C169" s="36">
        <f>MAX(0,Sim_SomaParc+N(Sim_Extra)-D169)</f>
        <v>1060</v>
      </c>
      <c r="D169" s="36">
        <f>MIN(E$160,E169)+MIN(F$160,F169)+MIN(G$160,G169)+MIN(H$160,H169)+MIN(I$160,I169)+MIN(J$160,J169)+MIN(K$160,K169)+MIN(L$160,L169)</f>
        <v>1730</v>
      </c>
      <c r="E169" s="36">
        <f>U168*(1+E$159)</f>
        <v>0</v>
      </c>
      <c r="F169" s="36">
        <f>V168*(1+F$159)</f>
        <v>2689.45635243503</v>
      </c>
      <c r="G169" s="36">
        <f>W168*(1+G$159)</f>
        <v>26521.24862688</v>
      </c>
      <c r="H169" s="36">
        <f>X168*(1+H$159)</f>
        <v>0</v>
      </c>
      <c r="I169" s="36">
        <f>Y168*(1+I$159)</f>
        <v>0</v>
      </c>
      <c r="J169" s="36">
        <f>Z168*(1+J$159)</f>
        <v>0</v>
      </c>
      <c r="K169" s="36">
        <f>AA168*(1+K$159)</f>
        <v>0</v>
      </c>
      <c r="L169" s="36">
        <f>AB168*(1+L$159)</f>
        <v>0</v>
      </c>
      <c r="M169" s="36">
        <f>MIN(E169-MIN(E$160,E169),MAX(0,$C169-0))</f>
        <v>0</v>
      </c>
      <c r="N169" s="36">
        <f>MIN(F169-MIN(F$160,F169),MAX(0,$C169-SUM($M169:M169)))</f>
        <v>1060</v>
      </c>
      <c r="O169" s="36">
        <f>MIN(G169-MIN(G$160,G169),MAX(0,$C169-SUM($M169:N169)))</f>
        <v>0</v>
      </c>
      <c r="P169" s="36">
        <f>MIN(H169-MIN(H$160,H169),MAX(0,$C169-SUM($M169:O169)))</f>
        <v>0</v>
      </c>
      <c r="Q169" s="36">
        <f>MIN(I169-MIN(I$160,I169),MAX(0,$C169-SUM($M169:P169)))</f>
        <v>0</v>
      </c>
      <c r="R169" s="36">
        <f>MIN(J169-MIN(J$160,J169),MAX(0,$C169-SUM($M169:Q169)))</f>
        <v>0</v>
      </c>
      <c r="S169" s="36">
        <f>MIN(K169-MIN(K$160,K169),MAX(0,$C169-SUM($M169:R169)))</f>
        <v>0</v>
      </c>
      <c r="T169" s="36">
        <f>MIN(L169-MIN(L$160,L169),MAX(0,$C169-SUM($M169:S169)))</f>
        <v>0</v>
      </c>
      <c r="U169" s="36">
        <f>IF(E169-MIN(E$160,E169)-M169&lt;0.005,0,E169-MIN(E$160,E169)-M169)</f>
        <v>0</v>
      </c>
      <c r="V169" s="36">
        <f>IF(F169-MIN(F$160,F169)-N169&lt;0.005,0,F169-MIN(F$160,F169)-N169)</f>
        <v>1049.45635243503</v>
      </c>
      <c r="W169" s="36">
        <f>IF(G169-MIN(G$160,G169)-O169&lt;0.005,0,G169-MIN(G$160,G169)-O169)</f>
        <v>25371.24862688</v>
      </c>
      <c r="X169" s="36">
        <f>IF(H169-MIN(H$160,H169)-P169&lt;0.005,0,H169-MIN(H$160,H169)-P169)</f>
        <v>0</v>
      </c>
      <c r="Y169" s="36">
        <f>IF(I169-MIN(I$160,I169)-Q169&lt;0.005,0,I169-MIN(I$160,I169)-Q169)</f>
        <v>0</v>
      </c>
      <c r="Z169" s="36">
        <f>IF(J169-MIN(J$160,J169)-R169&lt;0.005,0,J169-MIN(J$160,J169)-R169)</f>
        <v>0</v>
      </c>
      <c r="AA169" s="36">
        <f>IF(K169-MIN(K$160,K169)-S169&lt;0.005,0,K169-MIN(K$160,K169)-S169)</f>
        <v>0</v>
      </c>
      <c r="AB169" s="36">
        <f>IF(L169-MIN(L$160,L169)-T169&lt;0.005,0,L169-MIN(L$160,L169)-T169)</f>
        <v>0</v>
      </c>
      <c r="AC169" s="36">
        <f>SUM(U169:AB169)</f>
        <v>26420.704979315</v>
      </c>
      <c r="AD169" s="36">
        <f>D169+SUM(M169:T169)</f>
        <v>2790</v>
      </c>
    </row>
    <row r="170">
      <c r="B170" s="40" t="n">
        <v>6</v>
      </c>
      <c r="C170" s="36">
        <f>MAX(0,Sim_SomaParc+N(Sim_Extra)-D170)</f>
        <v>1060</v>
      </c>
      <c r="D170" s="36">
        <f>MIN(E$160,E170)+MIN(F$160,F170)+MIN(G$160,G170)+MIN(H$160,H170)+MIN(I$160,I170)+MIN(J$160,J170)+MIN(K$160,K170)+MIN(L$160,L170)</f>
        <v>1730</v>
      </c>
      <c r="E170" s="36">
        <f>U169*(1+E$159)</f>
        <v>0</v>
      </c>
      <c r="F170" s="36">
        <f>V169*(1+F$159)</f>
        <v>1066.24765407399</v>
      </c>
      <c r="G170" s="36">
        <f>W169*(1+G$159)</f>
        <v>25878.6735994176</v>
      </c>
      <c r="H170" s="36">
        <f>X169*(1+H$159)</f>
        <v>0</v>
      </c>
      <c r="I170" s="36">
        <f>Y169*(1+I$159)</f>
        <v>0</v>
      </c>
      <c r="J170" s="36">
        <f>Z169*(1+J$159)</f>
        <v>0</v>
      </c>
      <c r="K170" s="36">
        <f>AA169*(1+K$159)</f>
        <v>0</v>
      </c>
      <c r="L170" s="36">
        <f>AB169*(1+L$159)</f>
        <v>0</v>
      </c>
      <c r="M170" s="36">
        <f>MIN(E170-MIN(E$160,E170),MAX(0,$C170-0))</f>
        <v>0</v>
      </c>
      <c r="N170" s="36">
        <f>MIN(F170-MIN(F$160,F170),MAX(0,$C170-SUM($M170:M170)))</f>
        <v>486.247654073995</v>
      </c>
      <c r="O170" s="36">
        <f>MIN(G170-MIN(G$160,G170),MAX(0,$C170-SUM($M170:N170)))</f>
        <v>573.752345926005</v>
      </c>
      <c r="P170" s="36">
        <f>MIN(H170-MIN(H$160,H170),MAX(0,$C170-SUM($M170:O170)))</f>
        <v>0</v>
      </c>
      <c r="Q170" s="36">
        <f>MIN(I170-MIN(I$160,I170),MAX(0,$C170-SUM($M170:P170)))</f>
        <v>0</v>
      </c>
      <c r="R170" s="36">
        <f>MIN(J170-MIN(J$160,J170),MAX(0,$C170-SUM($M170:Q170)))</f>
        <v>0</v>
      </c>
      <c r="S170" s="36">
        <f>MIN(K170-MIN(K$160,K170),MAX(0,$C170-SUM($M170:R170)))</f>
        <v>0</v>
      </c>
      <c r="T170" s="36">
        <f>MIN(L170-MIN(L$160,L170),MAX(0,$C170-SUM($M170:S170)))</f>
        <v>0</v>
      </c>
      <c r="U170" s="36">
        <f>IF(E170-MIN(E$160,E170)-M170&lt;0.005,0,E170-MIN(E$160,E170)-M170)</f>
        <v>0</v>
      </c>
      <c r="V170" s="36">
        <f>IF(F170-MIN(F$160,F170)-N170&lt;0.005,0,F170-MIN(F$160,F170)-N170)</f>
        <v>0</v>
      </c>
      <c r="W170" s="36">
        <f>IF(G170-MIN(G$160,G170)-O170&lt;0.005,0,G170-MIN(G$160,G170)-O170)</f>
        <v>24154.9212534916</v>
      </c>
      <c r="X170" s="36">
        <f>IF(H170-MIN(H$160,H170)-P170&lt;0.005,0,H170-MIN(H$160,H170)-P170)</f>
        <v>0</v>
      </c>
      <c r="Y170" s="36">
        <f>IF(I170-MIN(I$160,I170)-Q170&lt;0.005,0,I170-MIN(I$160,I170)-Q170)</f>
        <v>0</v>
      </c>
      <c r="Z170" s="36">
        <f>IF(J170-MIN(J$160,J170)-R170&lt;0.005,0,J170-MIN(J$160,J170)-R170)</f>
        <v>0</v>
      </c>
      <c r="AA170" s="36">
        <f>IF(K170-MIN(K$160,K170)-S170&lt;0.005,0,K170-MIN(K$160,K170)-S170)</f>
        <v>0</v>
      </c>
      <c r="AB170" s="36">
        <f>IF(L170-MIN(L$160,L170)-T170&lt;0.005,0,L170-MIN(L$160,L170)-T170)</f>
        <v>0</v>
      </c>
      <c r="AC170" s="36">
        <f>SUM(U170:AB170)</f>
        <v>24154.9212534916</v>
      </c>
      <c r="AD170" s="36">
        <f>D170+SUM(M170:T170)</f>
        <v>2790</v>
      </c>
    </row>
    <row r="171">
      <c r="B171" s="40" t="n">
        <v>7</v>
      </c>
      <c r="C171" s="36">
        <f>MAX(0,Sim_SomaParc+N(Sim_Extra)-D171)</f>
        <v>1640</v>
      </c>
      <c r="D171" s="36">
        <f>MIN(E$160,E171)+MIN(F$160,F171)+MIN(G$160,G171)+MIN(H$160,H171)+MIN(I$160,I171)+MIN(J$160,J171)+MIN(K$160,K171)+MIN(L$160,L171)</f>
        <v>1150</v>
      </c>
      <c r="E171" s="36">
        <f>U170*(1+E$159)</f>
        <v>0</v>
      </c>
      <c r="F171" s="36">
        <f>V170*(1+F$159)</f>
        <v>0</v>
      </c>
      <c r="G171" s="36">
        <f>W170*(1+G$159)</f>
        <v>24638.0196785614</v>
      </c>
      <c r="H171" s="36">
        <f>X170*(1+H$159)</f>
        <v>0</v>
      </c>
      <c r="I171" s="36">
        <f>Y170*(1+I$159)</f>
        <v>0</v>
      </c>
      <c r="J171" s="36">
        <f>Z170*(1+J$159)</f>
        <v>0</v>
      </c>
      <c r="K171" s="36">
        <f>AA170*(1+K$159)</f>
        <v>0</v>
      </c>
      <c r="L171" s="36">
        <f>AB170*(1+L$159)</f>
        <v>0</v>
      </c>
      <c r="M171" s="36">
        <f>MIN(E171-MIN(E$160,E171),MAX(0,$C171-0))</f>
        <v>0</v>
      </c>
      <c r="N171" s="36">
        <f>MIN(F171-MIN(F$160,F171),MAX(0,$C171-SUM($M171:M171)))</f>
        <v>0</v>
      </c>
      <c r="O171" s="36">
        <f>MIN(G171-MIN(G$160,G171),MAX(0,$C171-SUM($M171:N171)))</f>
        <v>1640</v>
      </c>
      <c r="P171" s="36">
        <f>MIN(H171-MIN(H$160,H171),MAX(0,$C171-SUM($M171:O171)))</f>
        <v>0</v>
      </c>
      <c r="Q171" s="36">
        <f>MIN(I171-MIN(I$160,I171),MAX(0,$C171-SUM($M171:P171)))</f>
        <v>0</v>
      </c>
      <c r="R171" s="36">
        <f>MIN(J171-MIN(J$160,J171),MAX(0,$C171-SUM($M171:Q171)))</f>
        <v>0</v>
      </c>
      <c r="S171" s="36">
        <f>MIN(K171-MIN(K$160,K171),MAX(0,$C171-SUM($M171:R171)))</f>
        <v>0</v>
      </c>
      <c r="T171" s="36">
        <f>MIN(L171-MIN(L$160,L171),MAX(0,$C171-SUM($M171:S171)))</f>
        <v>0</v>
      </c>
      <c r="U171" s="36">
        <f>IF(E171-MIN(E$160,E171)-M171&lt;0.005,0,E171-MIN(E$160,E171)-M171)</f>
        <v>0</v>
      </c>
      <c r="V171" s="36">
        <f>IF(F171-MIN(F$160,F171)-N171&lt;0.005,0,F171-MIN(F$160,F171)-N171)</f>
        <v>0</v>
      </c>
      <c r="W171" s="36">
        <f>IF(G171-MIN(G$160,G171)-O171&lt;0.005,0,G171-MIN(G$160,G171)-O171)</f>
        <v>21848.0196785614</v>
      </c>
      <c r="X171" s="36">
        <f>IF(H171-MIN(H$160,H171)-P171&lt;0.005,0,H171-MIN(H$160,H171)-P171)</f>
        <v>0</v>
      </c>
      <c r="Y171" s="36">
        <f>IF(I171-MIN(I$160,I171)-Q171&lt;0.005,0,I171-MIN(I$160,I171)-Q171)</f>
        <v>0</v>
      </c>
      <c r="Z171" s="36">
        <f>IF(J171-MIN(J$160,J171)-R171&lt;0.005,0,J171-MIN(J$160,J171)-R171)</f>
        <v>0</v>
      </c>
      <c r="AA171" s="36">
        <f>IF(K171-MIN(K$160,K171)-S171&lt;0.005,0,K171-MIN(K$160,K171)-S171)</f>
        <v>0</v>
      </c>
      <c r="AB171" s="36">
        <f>IF(L171-MIN(L$160,L171)-T171&lt;0.005,0,L171-MIN(L$160,L171)-T171)</f>
        <v>0</v>
      </c>
      <c r="AC171" s="36">
        <f>SUM(U171:AB171)</f>
        <v>21848.0196785614</v>
      </c>
      <c r="AD171" s="36">
        <f>D171+SUM(M171:T171)</f>
        <v>2790</v>
      </c>
    </row>
    <row r="172">
      <c r="B172" s="40" t="n">
        <v>8</v>
      </c>
      <c r="C172" s="36">
        <f>MAX(0,Sim_SomaParc+N(Sim_Extra)-D172)</f>
        <v>1640</v>
      </c>
      <c r="D172" s="36">
        <f>MIN(E$160,E172)+MIN(F$160,F172)+MIN(G$160,G172)+MIN(H$160,H172)+MIN(I$160,I172)+MIN(J$160,J172)+MIN(K$160,K172)+MIN(L$160,L172)</f>
        <v>1150</v>
      </c>
      <c r="E172" s="36">
        <f>U171*(1+E$159)</f>
        <v>0</v>
      </c>
      <c r="F172" s="36">
        <f>V171*(1+F$159)</f>
        <v>0</v>
      </c>
      <c r="G172" s="36">
        <f>W171*(1+G$159)</f>
        <v>22284.9800721327</v>
      </c>
      <c r="H172" s="36">
        <f>X171*(1+H$159)</f>
        <v>0</v>
      </c>
      <c r="I172" s="36">
        <f>Y171*(1+I$159)</f>
        <v>0</v>
      </c>
      <c r="J172" s="36">
        <f>Z171*(1+J$159)</f>
        <v>0</v>
      </c>
      <c r="K172" s="36">
        <f>AA171*(1+K$159)</f>
        <v>0</v>
      </c>
      <c r="L172" s="36">
        <f>AB171*(1+L$159)</f>
        <v>0</v>
      </c>
      <c r="M172" s="36">
        <f>MIN(E172-MIN(E$160,E172),MAX(0,$C172-0))</f>
        <v>0</v>
      </c>
      <c r="N172" s="36">
        <f>MIN(F172-MIN(F$160,F172),MAX(0,$C172-SUM($M172:M172)))</f>
        <v>0</v>
      </c>
      <c r="O172" s="36">
        <f>MIN(G172-MIN(G$160,G172),MAX(0,$C172-SUM($M172:N172)))</f>
        <v>1640</v>
      </c>
      <c r="P172" s="36">
        <f>MIN(H172-MIN(H$160,H172),MAX(0,$C172-SUM($M172:O172)))</f>
        <v>0</v>
      </c>
      <c r="Q172" s="36">
        <f>MIN(I172-MIN(I$160,I172),MAX(0,$C172-SUM($M172:P172)))</f>
        <v>0</v>
      </c>
      <c r="R172" s="36">
        <f>MIN(J172-MIN(J$160,J172),MAX(0,$C172-SUM($M172:Q172)))</f>
        <v>0</v>
      </c>
      <c r="S172" s="36">
        <f>MIN(K172-MIN(K$160,K172),MAX(0,$C172-SUM($M172:R172)))</f>
        <v>0</v>
      </c>
      <c r="T172" s="36">
        <f>MIN(L172-MIN(L$160,L172),MAX(0,$C172-SUM($M172:S172)))</f>
        <v>0</v>
      </c>
      <c r="U172" s="36">
        <f>IF(E172-MIN(E$160,E172)-M172&lt;0.005,0,E172-MIN(E$160,E172)-M172)</f>
        <v>0</v>
      </c>
      <c r="V172" s="36">
        <f>IF(F172-MIN(F$160,F172)-N172&lt;0.005,0,F172-MIN(F$160,F172)-N172)</f>
        <v>0</v>
      </c>
      <c r="W172" s="36">
        <f>IF(G172-MIN(G$160,G172)-O172&lt;0.005,0,G172-MIN(G$160,G172)-O172)</f>
        <v>19494.9800721327</v>
      </c>
      <c r="X172" s="36">
        <f>IF(H172-MIN(H$160,H172)-P172&lt;0.005,0,H172-MIN(H$160,H172)-P172)</f>
        <v>0</v>
      </c>
      <c r="Y172" s="36">
        <f>IF(I172-MIN(I$160,I172)-Q172&lt;0.005,0,I172-MIN(I$160,I172)-Q172)</f>
        <v>0</v>
      </c>
      <c r="Z172" s="36">
        <f>IF(J172-MIN(J$160,J172)-R172&lt;0.005,0,J172-MIN(J$160,J172)-R172)</f>
        <v>0</v>
      </c>
      <c r="AA172" s="36">
        <f>IF(K172-MIN(K$160,K172)-S172&lt;0.005,0,K172-MIN(K$160,K172)-S172)</f>
        <v>0</v>
      </c>
      <c r="AB172" s="36">
        <f>IF(L172-MIN(L$160,L172)-T172&lt;0.005,0,L172-MIN(L$160,L172)-T172)</f>
        <v>0</v>
      </c>
      <c r="AC172" s="36">
        <f>SUM(U172:AB172)</f>
        <v>19494.9800721327</v>
      </c>
      <c r="AD172" s="36">
        <f>D172+SUM(M172:T172)</f>
        <v>2790</v>
      </c>
    </row>
    <row r="173">
      <c r="B173" s="40" t="n">
        <v>9</v>
      </c>
      <c r="C173" s="36">
        <f>MAX(0,Sim_SomaParc+N(Sim_Extra)-D173)</f>
        <v>1640</v>
      </c>
      <c r="D173" s="36">
        <f>MIN(E$160,E173)+MIN(F$160,F173)+MIN(G$160,G173)+MIN(H$160,H173)+MIN(I$160,I173)+MIN(J$160,J173)+MIN(K$160,K173)+MIN(L$160,L173)</f>
        <v>1150</v>
      </c>
      <c r="E173" s="36">
        <f>U172*(1+E$159)</f>
        <v>0</v>
      </c>
      <c r="F173" s="36">
        <f>V172*(1+F$159)</f>
        <v>0</v>
      </c>
      <c r="G173" s="36">
        <f>W172*(1+G$159)</f>
        <v>19884.8796735753</v>
      </c>
      <c r="H173" s="36">
        <f>X172*(1+H$159)</f>
        <v>0</v>
      </c>
      <c r="I173" s="36">
        <f>Y172*(1+I$159)</f>
        <v>0</v>
      </c>
      <c r="J173" s="36">
        <f>Z172*(1+J$159)</f>
        <v>0</v>
      </c>
      <c r="K173" s="36">
        <f>AA172*(1+K$159)</f>
        <v>0</v>
      </c>
      <c r="L173" s="36">
        <f>AB172*(1+L$159)</f>
        <v>0</v>
      </c>
      <c r="M173" s="36">
        <f>MIN(E173-MIN(E$160,E173),MAX(0,$C173-0))</f>
        <v>0</v>
      </c>
      <c r="N173" s="36">
        <f>MIN(F173-MIN(F$160,F173),MAX(0,$C173-SUM($M173:M173)))</f>
        <v>0</v>
      </c>
      <c r="O173" s="36">
        <f>MIN(G173-MIN(G$160,G173),MAX(0,$C173-SUM($M173:N173)))</f>
        <v>1640</v>
      </c>
      <c r="P173" s="36">
        <f>MIN(H173-MIN(H$160,H173),MAX(0,$C173-SUM($M173:O173)))</f>
        <v>0</v>
      </c>
      <c r="Q173" s="36">
        <f>MIN(I173-MIN(I$160,I173),MAX(0,$C173-SUM($M173:P173)))</f>
        <v>0</v>
      </c>
      <c r="R173" s="36">
        <f>MIN(J173-MIN(J$160,J173),MAX(0,$C173-SUM($M173:Q173)))</f>
        <v>0</v>
      </c>
      <c r="S173" s="36">
        <f>MIN(K173-MIN(K$160,K173),MAX(0,$C173-SUM($M173:R173)))</f>
        <v>0</v>
      </c>
      <c r="T173" s="36">
        <f>MIN(L173-MIN(L$160,L173),MAX(0,$C173-SUM($M173:S173)))</f>
        <v>0</v>
      </c>
      <c r="U173" s="36">
        <f>IF(E173-MIN(E$160,E173)-M173&lt;0.005,0,E173-MIN(E$160,E173)-M173)</f>
        <v>0</v>
      </c>
      <c r="V173" s="36">
        <f>IF(F173-MIN(F$160,F173)-N173&lt;0.005,0,F173-MIN(F$160,F173)-N173)</f>
        <v>0</v>
      </c>
      <c r="W173" s="36">
        <f>IF(G173-MIN(G$160,G173)-O173&lt;0.005,0,G173-MIN(G$160,G173)-O173)</f>
        <v>17094.8796735753</v>
      </c>
      <c r="X173" s="36">
        <f>IF(H173-MIN(H$160,H173)-P173&lt;0.005,0,H173-MIN(H$160,H173)-P173)</f>
        <v>0</v>
      </c>
      <c r="Y173" s="36">
        <f>IF(I173-MIN(I$160,I173)-Q173&lt;0.005,0,I173-MIN(I$160,I173)-Q173)</f>
        <v>0</v>
      </c>
      <c r="Z173" s="36">
        <f>IF(J173-MIN(J$160,J173)-R173&lt;0.005,0,J173-MIN(J$160,J173)-R173)</f>
        <v>0</v>
      </c>
      <c r="AA173" s="36">
        <f>IF(K173-MIN(K$160,K173)-S173&lt;0.005,0,K173-MIN(K$160,K173)-S173)</f>
        <v>0</v>
      </c>
      <c r="AB173" s="36">
        <f>IF(L173-MIN(L$160,L173)-T173&lt;0.005,0,L173-MIN(L$160,L173)-T173)</f>
        <v>0</v>
      </c>
      <c r="AC173" s="36">
        <f>SUM(U173:AB173)</f>
        <v>17094.8796735753</v>
      </c>
      <c r="AD173" s="36">
        <f>D173+SUM(M173:T173)</f>
        <v>2790</v>
      </c>
    </row>
    <row r="174">
      <c r="B174" s="40" t="n">
        <v>10</v>
      </c>
      <c r="C174" s="36">
        <f>MAX(0,Sim_SomaParc+N(Sim_Extra)-D174)</f>
        <v>1640</v>
      </c>
      <c r="D174" s="36">
        <f>MIN(E$160,E174)+MIN(F$160,F174)+MIN(G$160,G174)+MIN(H$160,H174)+MIN(I$160,I174)+MIN(J$160,J174)+MIN(K$160,K174)+MIN(L$160,L174)</f>
        <v>1150</v>
      </c>
      <c r="E174" s="36">
        <f>U173*(1+E$159)</f>
        <v>0</v>
      </c>
      <c r="F174" s="36">
        <f>V173*(1+F$159)</f>
        <v>0</v>
      </c>
      <c r="G174" s="36">
        <f>W173*(1+G$159)</f>
        <v>17436.7772670468</v>
      </c>
      <c r="H174" s="36">
        <f>X173*(1+H$159)</f>
        <v>0</v>
      </c>
      <c r="I174" s="36">
        <f>Y173*(1+I$159)</f>
        <v>0</v>
      </c>
      <c r="J174" s="36">
        <f>Z173*(1+J$159)</f>
        <v>0</v>
      </c>
      <c r="K174" s="36">
        <f>AA173*(1+K$159)</f>
        <v>0</v>
      </c>
      <c r="L174" s="36">
        <f>AB173*(1+L$159)</f>
        <v>0</v>
      </c>
      <c r="M174" s="36">
        <f>MIN(E174-MIN(E$160,E174),MAX(0,$C174-0))</f>
        <v>0</v>
      </c>
      <c r="N174" s="36">
        <f>MIN(F174-MIN(F$160,F174),MAX(0,$C174-SUM($M174:M174)))</f>
        <v>0</v>
      </c>
      <c r="O174" s="36">
        <f>MIN(G174-MIN(G$160,G174),MAX(0,$C174-SUM($M174:N174)))</f>
        <v>1640</v>
      </c>
      <c r="P174" s="36">
        <f>MIN(H174-MIN(H$160,H174),MAX(0,$C174-SUM($M174:O174)))</f>
        <v>0</v>
      </c>
      <c r="Q174" s="36">
        <f>MIN(I174-MIN(I$160,I174),MAX(0,$C174-SUM($M174:P174)))</f>
        <v>0</v>
      </c>
      <c r="R174" s="36">
        <f>MIN(J174-MIN(J$160,J174),MAX(0,$C174-SUM($M174:Q174)))</f>
        <v>0</v>
      </c>
      <c r="S174" s="36">
        <f>MIN(K174-MIN(K$160,K174),MAX(0,$C174-SUM($M174:R174)))</f>
        <v>0</v>
      </c>
      <c r="T174" s="36">
        <f>MIN(L174-MIN(L$160,L174),MAX(0,$C174-SUM($M174:S174)))</f>
        <v>0</v>
      </c>
      <c r="U174" s="36">
        <f>IF(E174-MIN(E$160,E174)-M174&lt;0.005,0,E174-MIN(E$160,E174)-M174)</f>
        <v>0</v>
      </c>
      <c r="V174" s="36">
        <f>IF(F174-MIN(F$160,F174)-N174&lt;0.005,0,F174-MIN(F$160,F174)-N174)</f>
        <v>0</v>
      </c>
      <c r="W174" s="36">
        <f>IF(G174-MIN(G$160,G174)-O174&lt;0.005,0,G174-MIN(G$160,G174)-O174)</f>
        <v>14646.7772670468</v>
      </c>
      <c r="X174" s="36">
        <f>IF(H174-MIN(H$160,H174)-P174&lt;0.005,0,H174-MIN(H$160,H174)-P174)</f>
        <v>0</v>
      </c>
      <c r="Y174" s="36">
        <f>IF(I174-MIN(I$160,I174)-Q174&lt;0.005,0,I174-MIN(I$160,I174)-Q174)</f>
        <v>0</v>
      </c>
      <c r="Z174" s="36">
        <f>IF(J174-MIN(J$160,J174)-R174&lt;0.005,0,J174-MIN(J$160,J174)-R174)</f>
        <v>0</v>
      </c>
      <c r="AA174" s="36">
        <f>IF(K174-MIN(K$160,K174)-S174&lt;0.005,0,K174-MIN(K$160,K174)-S174)</f>
        <v>0</v>
      </c>
      <c r="AB174" s="36">
        <f>IF(L174-MIN(L$160,L174)-T174&lt;0.005,0,L174-MIN(L$160,L174)-T174)</f>
        <v>0</v>
      </c>
      <c r="AC174" s="36">
        <f>SUM(U174:AB174)</f>
        <v>14646.7772670468</v>
      </c>
      <c r="AD174" s="36">
        <f>D174+SUM(M174:T174)</f>
        <v>2790</v>
      </c>
    </row>
    <row r="175">
      <c r="B175" s="40" t="n">
        <v>11</v>
      </c>
      <c r="C175" s="36">
        <f>MAX(0,Sim_SomaParc+N(Sim_Extra)-D175)</f>
        <v>1640</v>
      </c>
      <c r="D175" s="36">
        <f>MIN(E$160,E175)+MIN(F$160,F175)+MIN(G$160,G175)+MIN(H$160,H175)+MIN(I$160,I175)+MIN(J$160,J175)+MIN(K$160,K175)+MIN(L$160,L175)</f>
        <v>1150</v>
      </c>
      <c r="E175" s="36">
        <f>U174*(1+E$159)</f>
        <v>0</v>
      </c>
      <c r="F175" s="36">
        <f>V174*(1+F$159)</f>
        <v>0</v>
      </c>
      <c r="G175" s="36">
        <f>W174*(1+G$159)</f>
        <v>14939.7128123877</v>
      </c>
      <c r="H175" s="36">
        <f>X174*(1+H$159)</f>
        <v>0</v>
      </c>
      <c r="I175" s="36">
        <f>Y174*(1+I$159)</f>
        <v>0</v>
      </c>
      <c r="J175" s="36">
        <f>Z174*(1+J$159)</f>
        <v>0</v>
      </c>
      <c r="K175" s="36">
        <f>AA174*(1+K$159)</f>
        <v>0</v>
      </c>
      <c r="L175" s="36">
        <f>AB174*(1+L$159)</f>
        <v>0</v>
      </c>
      <c r="M175" s="36">
        <f>MIN(E175-MIN(E$160,E175),MAX(0,$C175-0))</f>
        <v>0</v>
      </c>
      <c r="N175" s="36">
        <f>MIN(F175-MIN(F$160,F175),MAX(0,$C175-SUM($M175:M175)))</f>
        <v>0</v>
      </c>
      <c r="O175" s="36">
        <f>MIN(G175-MIN(G$160,G175),MAX(0,$C175-SUM($M175:N175)))</f>
        <v>1640</v>
      </c>
      <c r="P175" s="36">
        <f>MIN(H175-MIN(H$160,H175),MAX(0,$C175-SUM($M175:O175)))</f>
        <v>0</v>
      </c>
      <c r="Q175" s="36">
        <f>MIN(I175-MIN(I$160,I175),MAX(0,$C175-SUM($M175:P175)))</f>
        <v>0</v>
      </c>
      <c r="R175" s="36">
        <f>MIN(J175-MIN(J$160,J175),MAX(0,$C175-SUM($M175:Q175)))</f>
        <v>0</v>
      </c>
      <c r="S175" s="36">
        <f>MIN(K175-MIN(K$160,K175),MAX(0,$C175-SUM($M175:R175)))</f>
        <v>0</v>
      </c>
      <c r="T175" s="36">
        <f>MIN(L175-MIN(L$160,L175),MAX(0,$C175-SUM($M175:S175)))</f>
        <v>0</v>
      </c>
      <c r="U175" s="36">
        <f>IF(E175-MIN(E$160,E175)-M175&lt;0.005,0,E175-MIN(E$160,E175)-M175)</f>
        <v>0</v>
      </c>
      <c r="V175" s="36">
        <f>IF(F175-MIN(F$160,F175)-N175&lt;0.005,0,F175-MIN(F$160,F175)-N175)</f>
        <v>0</v>
      </c>
      <c r="W175" s="36">
        <f>IF(G175-MIN(G$160,G175)-O175&lt;0.005,0,G175-MIN(G$160,G175)-O175)</f>
        <v>12149.7128123877</v>
      </c>
      <c r="X175" s="36">
        <f>IF(H175-MIN(H$160,H175)-P175&lt;0.005,0,H175-MIN(H$160,H175)-P175)</f>
        <v>0</v>
      </c>
      <c r="Y175" s="36">
        <f>IF(I175-MIN(I$160,I175)-Q175&lt;0.005,0,I175-MIN(I$160,I175)-Q175)</f>
        <v>0</v>
      </c>
      <c r="Z175" s="36">
        <f>IF(J175-MIN(J$160,J175)-R175&lt;0.005,0,J175-MIN(J$160,J175)-R175)</f>
        <v>0</v>
      </c>
      <c r="AA175" s="36">
        <f>IF(K175-MIN(K$160,K175)-S175&lt;0.005,0,K175-MIN(K$160,K175)-S175)</f>
        <v>0</v>
      </c>
      <c r="AB175" s="36">
        <f>IF(L175-MIN(L$160,L175)-T175&lt;0.005,0,L175-MIN(L$160,L175)-T175)</f>
        <v>0</v>
      </c>
      <c r="AC175" s="36">
        <f>SUM(U175:AB175)</f>
        <v>12149.7128123877</v>
      </c>
      <c r="AD175" s="36">
        <f>D175+SUM(M175:T175)</f>
        <v>2790</v>
      </c>
    </row>
    <row r="176">
      <c r="B176" s="40" t="n">
        <v>12</v>
      </c>
      <c r="C176" s="36">
        <f>MAX(0,Sim_SomaParc+N(Sim_Extra)-D176)</f>
        <v>1640</v>
      </c>
      <c r="D176" s="36">
        <f>MIN(E$160,E176)+MIN(F$160,F176)+MIN(G$160,G176)+MIN(H$160,H176)+MIN(I$160,I176)+MIN(J$160,J176)+MIN(K$160,K176)+MIN(L$160,L176)</f>
        <v>1150</v>
      </c>
      <c r="E176" s="36">
        <f>U175*(1+E$159)</f>
        <v>0</v>
      </c>
      <c r="F176" s="36">
        <f>V175*(1+F$159)</f>
        <v>0</v>
      </c>
      <c r="G176" s="36">
        <f>W175*(1+G$159)</f>
        <v>12392.7070686355</v>
      </c>
      <c r="H176" s="36">
        <f>X175*(1+H$159)</f>
        <v>0</v>
      </c>
      <c r="I176" s="36">
        <f>Y175*(1+I$159)</f>
        <v>0</v>
      </c>
      <c r="J176" s="36">
        <f>Z175*(1+J$159)</f>
        <v>0</v>
      </c>
      <c r="K176" s="36">
        <f>AA175*(1+K$159)</f>
        <v>0</v>
      </c>
      <c r="L176" s="36">
        <f>AB175*(1+L$159)</f>
        <v>0</v>
      </c>
      <c r="M176" s="36">
        <f>MIN(E176-MIN(E$160,E176),MAX(0,$C176-0))</f>
        <v>0</v>
      </c>
      <c r="N176" s="36">
        <f>MIN(F176-MIN(F$160,F176),MAX(0,$C176-SUM($M176:M176)))</f>
        <v>0</v>
      </c>
      <c r="O176" s="36">
        <f>MIN(G176-MIN(G$160,G176),MAX(0,$C176-SUM($M176:N176)))</f>
        <v>1640</v>
      </c>
      <c r="P176" s="36">
        <f>MIN(H176-MIN(H$160,H176),MAX(0,$C176-SUM($M176:O176)))</f>
        <v>0</v>
      </c>
      <c r="Q176" s="36">
        <f>MIN(I176-MIN(I$160,I176),MAX(0,$C176-SUM($M176:P176)))</f>
        <v>0</v>
      </c>
      <c r="R176" s="36">
        <f>MIN(J176-MIN(J$160,J176),MAX(0,$C176-SUM($M176:Q176)))</f>
        <v>0</v>
      </c>
      <c r="S176" s="36">
        <f>MIN(K176-MIN(K$160,K176),MAX(0,$C176-SUM($M176:R176)))</f>
        <v>0</v>
      </c>
      <c r="T176" s="36">
        <f>MIN(L176-MIN(L$160,L176),MAX(0,$C176-SUM($M176:S176)))</f>
        <v>0</v>
      </c>
      <c r="U176" s="36">
        <f>IF(E176-MIN(E$160,E176)-M176&lt;0.005,0,E176-MIN(E$160,E176)-M176)</f>
        <v>0</v>
      </c>
      <c r="V176" s="36">
        <f>IF(F176-MIN(F$160,F176)-N176&lt;0.005,0,F176-MIN(F$160,F176)-N176)</f>
        <v>0</v>
      </c>
      <c r="W176" s="36">
        <f>IF(G176-MIN(G$160,G176)-O176&lt;0.005,0,G176-MIN(G$160,G176)-O176)</f>
        <v>9602.7070686355</v>
      </c>
      <c r="X176" s="36">
        <f>IF(H176-MIN(H$160,H176)-P176&lt;0.005,0,H176-MIN(H$160,H176)-P176)</f>
        <v>0</v>
      </c>
      <c r="Y176" s="36">
        <f>IF(I176-MIN(I$160,I176)-Q176&lt;0.005,0,I176-MIN(I$160,I176)-Q176)</f>
        <v>0</v>
      </c>
      <c r="Z176" s="36">
        <f>IF(J176-MIN(J$160,J176)-R176&lt;0.005,0,J176-MIN(J$160,J176)-R176)</f>
        <v>0</v>
      </c>
      <c r="AA176" s="36">
        <f>IF(K176-MIN(K$160,K176)-S176&lt;0.005,0,K176-MIN(K$160,K176)-S176)</f>
        <v>0</v>
      </c>
      <c r="AB176" s="36">
        <f>IF(L176-MIN(L$160,L176)-T176&lt;0.005,0,L176-MIN(L$160,L176)-T176)</f>
        <v>0</v>
      </c>
      <c r="AC176" s="36">
        <f>SUM(U176:AB176)</f>
        <v>9602.7070686355</v>
      </c>
      <c r="AD176" s="36">
        <f>D176+SUM(M176:T176)</f>
        <v>2790</v>
      </c>
    </row>
    <row r="177">
      <c r="B177" s="40" t="n">
        <v>13</v>
      </c>
      <c r="C177" s="36">
        <f>MAX(0,Sim_SomaParc+N(Sim_Extra)-D177)</f>
        <v>1640</v>
      </c>
      <c r="D177" s="36">
        <f>MIN(E$160,E177)+MIN(F$160,F177)+MIN(G$160,G177)+MIN(H$160,H177)+MIN(I$160,I177)+MIN(J$160,J177)+MIN(K$160,K177)+MIN(L$160,L177)</f>
        <v>1150</v>
      </c>
      <c r="E177" s="36">
        <f>U176*(1+E$159)</f>
        <v>0</v>
      </c>
      <c r="F177" s="36">
        <f>V176*(1+F$159)</f>
        <v>0</v>
      </c>
      <c r="G177" s="36">
        <f>W176*(1+G$159)</f>
        <v>9794.76121000821</v>
      </c>
      <c r="H177" s="36">
        <f>X176*(1+H$159)</f>
        <v>0</v>
      </c>
      <c r="I177" s="36">
        <f>Y176*(1+I$159)</f>
        <v>0</v>
      </c>
      <c r="J177" s="36">
        <f>Z176*(1+J$159)</f>
        <v>0</v>
      </c>
      <c r="K177" s="36">
        <f>AA176*(1+K$159)</f>
        <v>0</v>
      </c>
      <c r="L177" s="36">
        <f>AB176*(1+L$159)</f>
        <v>0</v>
      </c>
      <c r="M177" s="36">
        <f>MIN(E177-MIN(E$160,E177),MAX(0,$C177-0))</f>
        <v>0</v>
      </c>
      <c r="N177" s="36">
        <f>MIN(F177-MIN(F$160,F177),MAX(0,$C177-SUM($M177:M177)))</f>
        <v>0</v>
      </c>
      <c r="O177" s="36">
        <f>MIN(G177-MIN(G$160,G177),MAX(0,$C177-SUM($M177:N177)))</f>
        <v>1640</v>
      </c>
      <c r="P177" s="36">
        <f>MIN(H177-MIN(H$160,H177),MAX(0,$C177-SUM($M177:O177)))</f>
        <v>0</v>
      </c>
      <c r="Q177" s="36">
        <f>MIN(I177-MIN(I$160,I177),MAX(0,$C177-SUM($M177:P177)))</f>
        <v>0</v>
      </c>
      <c r="R177" s="36">
        <f>MIN(J177-MIN(J$160,J177),MAX(0,$C177-SUM($M177:Q177)))</f>
        <v>0</v>
      </c>
      <c r="S177" s="36">
        <f>MIN(K177-MIN(K$160,K177),MAX(0,$C177-SUM($M177:R177)))</f>
        <v>0</v>
      </c>
      <c r="T177" s="36">
        <f>MIN(L177-MIN(L$160,L177),MAX(0,$C177-SUM($M177:S177)))</f>
        <v>0</v>
      </c>
      <c r="U177" s="36">
        <f>IF(E177-MIN(E$160,E177)-M177&lt;0.005,0,E177-MIN(E$160,E177)-M177)</f>
        <v>0</v>
      </c>
      <c r="V177" s="36">
        <f>IF(F177-MIN(F$160,F177)-N177&lt;0.005,0,F177-MIN(F$160,F177)-N177)</f>
        <v>0</v>
      </c>
      <c r="W177" s="36">
        <f>IF(G177-MIN(G$160,G177)-O177&lt;0.005,0,G177-MIN(G$160,G177)-O177)</f>
        <v>7004.76121000821</v>
      </c>
      <c r="X177" s="36">
        <f>IF(H177-MIN(H$160,H177)-P177&lt;0.005,0,H177-MIN(H$160,H177)-P177)</f>
        <v>0</v>
      </c>
      <c r="Y177" s="36">
        <f>IF(I177-MIN(I$160,I177)-Q177&lt;0.005,0,I177-MIN(I$160,I177)-Q177)</f>
        <v>0</v>
      </c>
      <c r="Z177" s="36">
        <f>IF(J177-MIN(J$160,J177)-R177&lt;0.005,0,J177-MIN(J$160,J177)-R177)</f>
        <v>0</v>
      </c>
      <c r="AA177" s="36">
        <f>IF(K177-MIN(K$160,K177)-S177&lt;0.005,0,K177-MIN(K$160,K177)-S177)</f>
        <v>0</v>
      </c>
      <c r="AB177" s="36">
        <f>IF(L177-MIN(L$160,L177)-T177&lt;0.005,0,L177-MIN(L$160,L177)-T177)</f>
        <v>0</v>
      </c>
      <c r="AC177" s="36">
        <f>SUM(U177:AB177)</f>
        <v>7004.76121000821</v>
      </c>
      <c r="AD177" s="36">
        <f>D177+SUM(M177:T177)</f>
        <v>2790</v>
      </c>
    </row>
    <row r="178">
      <c r="B178" s="40" t="n">
        <v>14</v>
      </c>
      <c r="C178" s="36">
        <f>MAX(0,Sim_SomaParc+N(Sim_Extra)-D178)</f>
        <v>1640</v>
      </c>
      <c r="D178" s="36">
        <f>MIN(E$160,E178)+MIN(F$160,F178)+MIN(G$160,G178)+MIN(H$160,H178)+MIN(I$160,I178)+MIN(J$160,J178)+MIN(K$160,K178)+MIN(L$160,L178)</f>
        <v>1150</v>
      </c>
      <c r="E178" s="36">
        <f>U177*(1+E$159)</f>
        <v>0</v>
      </c>
      <c r="F178" s="36">
        <f>V177*(1+F$159)</f>
        <v>0</v>
      </c>
      <c r="G178" s="36">
        <f>W177*(1+G$159)</f>
        <v>7144.85643420838</v>
      </c>
      <c r="H178" s="36">
        <f>X177*(1+H$159)</f>
        <v>0</v>
      </c>
      <c r="I178" s="36">
        <f>Y177*(1+I$159)</f>
        <v>0</v>
      </c>
      <c r="J178" s="36">
        <f>Z177*(1+J$159)</f>
        <v>0</v>
      </c>
      <c r="K178" s="36">
        <f>AA177*(1+K$159)</f>
        <v>0</v>
      </c>
      <c r="L178" s="36">
        <f>AB177*(1+L$159)</f>
        <v>0</v>
      </c>
      <c r="M178" s="36">
        <f>MIN(E178-MIN(E$160,E178),MAX(0,$C178-0))</f>
        <v>0</v>
      </c>
      <c r="N178" s="36">
        <f>MIN(F178-MIN(F$160,F178),MAX(0,$C178-SUM($M178:M178)))</f>
        <v>0</v>
      </c>
      <c r="O178" s="36">
        <f>MIN(G178-MIN(G$160,G178),MAX(0,$C178-SUM($M178:N178)))</f>
        <v>1640</v>
      </c>
      <c r="P178" s="36">
        <f>MIN(H178-MIN(H$160,H178),MAX(0,$C178-SUM($M178:O178)))</f>
        <v>0</v>
      </c>
      <c r="Q178" s="36">
        <f>MIN(I178-MIN(I$160,I178),MAX(0,$C178-SUM($M178:P178)))</f>
        <v>0</v>
      </c>
      <c r="R178" s="36">
        <f>MIN(J178-MIN(J$160,J178),MAX(0,$C178-SUM($M178:Q178)))</f>
        <v>0</v>
      </c>
      <c r="S178" s="36">
        <f>MIN(K178-MIN(K$160,K178),MAX(0,$C178-SUM($M178:R178)))</f>
        <v>0</v>
      </c>
      <c r="T178" s="36">
        <f>MIN(L178-MIN(L$160,L178),MAX(0,$C178-SUM($M178:S178)))</f>
        <v>0</v>
      </c>
      <c r="U178" s="36">
        <f>IF(E178-MIN(E$160,E178)-M178&lt;0.005,0,E178-MIN(E$160,E178)-M178)</f>
        <v>0</v>
      </c>
      <c r="V178" s="36">
        <f>IF(F178-MIN(F$160,F178)-N178&lt;0.005,0,F178-MIN(F$160,F178)-N178)</f>
        <v>0</v>
      </c>
      <c r="W178" s="36">
        <f>IF(G178-MIN(G$160,G178)-O178&lt;0.005,0,G178-MIN(G$160,G178)-O178)</f>
        <v>4354.85643420838</v>
      </c>
      <c r="X178" s="36">
        <f>IF(H178-MIN(H$160,H178)-P178&lt;0.005,0,H178-MIN(H$160,H178)-P178)</f>
        <v>0</v>
      </c>
      <c r="Y178" s="36">
        <f>IF(I178-MIN(I$160,I178)-Q178&lt;0.005,0,I178-MIN(I$160,I178)-Q178)</f>
        <v>0</v>
      </c>
      <c r="Z178" s="36">
        <f>IF(J178-MIN(J$160,J178)-R178&lt;0.005,0,J178-MIN(J$160,J178)-R178)</f>
        <v>0</v>
      </c>
      <c r="AA178" s="36">
        <f>IF(K178-MIN(K$160,K178)-S178&lt;0.005,0,K178-MIN(K$160,K178)-S178)</f>
        <v>0</v>
      </c>
      <c r="AB178" s="36">
        <f>IF(L178-MIN(L$160,L178)-T178&lt;0.005,0,L178-MIN(L$160,L178)-T178)</f>
        <v>0</v>
      </c>
      <c r="AC178" s="36">
        <f>SUM(U178:AB178)</f>
        <v>4354.85643420838</v>
      </c>
      <c r="AD178" s="36">
        <f>D178+SUM(M178:T178)</f>
        <v>2790</v>
      </c>
    </row>
    <row r="179">
      <c r="B179" s="40" t="n">
        <v>15</v>
      </c>
      <c r="C179" s="36">
        <f>MAX(0,Sim_SomaParc+N(Sim_Extra)-D179)</f>
        <v>1640</v>
      </c>
      <c r="D179" s="36">
        <f>MIN(E$160,E179)+MIN(F$160,F179)+MIN(G$160,G179)+MIN(H$160,H179)+MIN(I$160,I179)+MIN(J$160,J179)+MIN(K$160,K179)+MIN(L$160,L179)</f>
        <v>1150</v>
      </c>
      <c r="E179" s="36">
        <f>U178*(1+E$159)</f>
        <v>0</v>
      </c>
      <c r="F179" s="36">
        <f>V178*(1+F$159)</f>
        <v>0</v>
      </c>
      <c r="G179" s="36">
        <f>W178*(1+G$159)</f>
        <v>4441.95356289255</v>
      </c>
      <c r="H179" s="36">
        <f>X178*(1+H$159)</f>
        <v>0</v>
      </c>
      <c r="I179" s="36">
        <f>Y178*(1+I$159)</f>
        <v>0</v>
      </c>
      <c r="J179" s="36">
        <f>Z178*(1+J$159)</f>
        <v>0</v>
      </c>
      <c r="K179" s="36">
        <f>AA178*(1+K$159)</f>
        <v>0</v>
      </c>
      <c r="L179" s="36">
        <f>AB178*(1+L$159)</f>
        <v>0</v>
      </c>
      <c r="M179" s="36">
        <f>MIN(E179-MIN(E$160,E179),MAX(0,$C179-0))</f>
        <v>0</v>
      </c>
      <c r="N179" s="36">
        <f>MIN(F179-MIN(F$160,F179),MAX(0,$C179-SUM($M179:M179)))</f>
        <v>0</v>
      </c>
      <c r="O179" s="36">
        <f>MIN(G179-MIN(G$160,G179),MAX(0,$C179-SUM($M179:N179)))</f>
        <v>1640</v>
      </c>
      <c r="P179" s="36">
        <f>MIN(H179-MIN(H$160,H179),MAX(0,$C179-SUM($M179:O179)))</f>
        <v>0</v>
      </c>
      <c r="Q179" s="36">
        <f>MIN(I179-MIN(I$160,I179),MAX(0,$C179-SUM($M179:P179)))</f>
        <v>0</v>
      </c>
      <c r="R179" s="36">
        <f>MIN(J179-MIN(J$160,J179),MAX(0,$C179-SUM($M179:Q179)))</f>
        <v>0</v>
      </c>
      <c r="S179" s="36">
        <f>MIN(K179-MIN(K$160,K179),MAX(0,$C179-SUM($M179:R179)))</f>
        <v>0</v>
      </c>
      <c r="T179" s="36">
        <f>MIN(L179-MIN(L$160,L179),MAX(0,$C179-SUM($M179:S179)))</f>
        <v>0</v>
      </c>
      <c r="U179" s="36">
        <f>IF(E179-MIN(E$160,E179)-M179&lt;0.005,0,E179-MIN(E$160,E179)-M179)</f>
        <v>0</v>
      </c>
      <c r="V179" s="36">
        <f>IF(F179-MIN(F$160,F179)-N179&lt;0.005,0,F179-MIN(F$160,F179)-N179)</f>
        <v>0</v>
      </c>
      <c r="W179" s="36">
        <f>IF(G179-MIN(G$160,G179)-O179&lt;0.005,0,G179-MIN(G$160,G179)-O179)</f>
        <v>1651.95356289255</v>
      </c>
      <c r="X179" s="36">
        <f>IF(H179-MIN(H$160,H179)-P179&lt;0.005,0,H179-MIN(H$160,H179)-P179)</f>
        <v>0</v>
      </c>
      <c r="Y179" s="36">
        <f>IF(I179-MIN(I$160,I179)-Q179&lt;0.005,0,I179-MIN(I$160,I179)-Q179)</f>
        <v>0</v>
      </c>
      <c r="Z179" s="36">
        <f>IF(J179-MIN(J$160,J179)-R179&lt;0.005,0,J179-MIN(J$160,J179)-R179)</f>
        <v>0</v>
      </c>
      <c r="AA179" s="36">
        <f>IF(K179-MIN(K$160,K179)-S179&lt;0.005,0,K179-MIN(K$160,K179)-S179)</f>
        <v>0</v>
      </c>
      <c r="AB179" s="36">
        <f>IF(L179-MIN(L$160,L179)-T179&lt;0.005,0,L179-MIN(L$160,L179)-T179)</f>
        <v>0</v>
      </c>
      <c r="AC179" s="36">
        <f>SUM(U179:AB179)</f>
        <v>1651.95356289255</v>
      </c>
      <c r="AD179" s="36">
        <f>D179+SUM(M179:T179)</f>
        <v>2790</v>
      </c>
    </row>
    <row r="180">
      <c r="B180" s="40" t="n">
        <v>16</v>
      </c>
      <c r="C180" s="36">
        <f>MAX(0,Sim_SomaParc+N(Sim_Extra)-D180)</f>
        <v>1640</v>
      </c>
      <c r="D180" s="36">
        <f>MIN(E$160,E180)+MIN(F$160,F180)+MIN(G$160,G180)+MIN(H$160,H180)+MIN(I$160,I180)+MIN(J$160,J180)+MIN(K$160,K180)+MIN(L$160,L180)</f>
        <v>1150</v>
      </c>
      <c r="E180" s="36">
        <f>U179*(1+E$159)</f>
        <v>0</v>
      </c>
      <c r="F180" s="36">
        <f>V179*(1+F$159)</f>
        <v>0</v>
      </c>
      <c r="G180" s="36">
        <f>W179*(1+G$159)</f>
        <v>1684.9926341504</v>
      </c>
      <c r="H180" s="36">
        <f>X179*(1+H$159)</f>
        <v>0</v>
      </c>
      <c r="I180" s="36">
        <f>Y179*(1+I$159)</f>
        <v>0</v>
      </c>
      <c r="J180" s="36">
        <f>Z179*(1+J$159)</f>
        <v>0</v>
      </c>
      <c r="K180" s="36">
        <f>AA179*(1+K$159)</f>
        <v>0</v>
      </c>
      <c r="L180" s="36">
        <f>AB179*(1+L$159)</f>
        <v>0</v>
      </c>
      <c r="M180" s="36">
        <f>MIN(E180-MIN(E$160,E180),MAX(0,$C180-0))</f>
        <v>0</v>
      </c>
      <c r="N180" s="36">
        <f>MIN(F180-MIN(F$160,F180),MAX(0,$C180-SUM($M180:M180)))</f>
        <v>0</v>
      </c>
      <c r="O180" s="36">
        <f>MIN(G180-MIN(G$160,G180),MAX(0,$C180-SUM($M180:N180)))</f>
        <v>534.992634150396</v>
      </c>
      <c r="P180" s="36">
        <f>MIN(H180-MIN(H$160,H180),MAX(0,$C180-SUM($M180:O180)))</f>
        <v>0</v>
      </c>
      <c r="Q180" s="36">
        <f>MIN(I180-MIN(I$160,I180),MAX(0,$C180-SUM($M180:P180)))</f>
        <v>0</v>
      </c>
      <c r="R180" s="36">
        <f>MIN(J180-MIN(J$160,J180),MAX(0,$C180-SUM($M180:Q180)))</f>
        <v>0</v>
      </c>
      <c r="S180" s="36">
        <f>MIN(K180-MIN(K$160,K180),MAX(0,$C180-SUM($M180:R180)))</f>
        <v>0</v>
      </c>
      <c r="T180" s="36">
        <f>MIN(L180-MIN(L$160,L180),MAX(0,$C180-SUM($M180:S180)))</f>
        <v>0</v>
      </c>
      <c r="U180" s="36">
        <f>IF(E180-MIN(E$160,E180)-M180&lt;0.005,0,E180-MIN(E$160,E180)-M180)</f>
        <v>0</v>
      </c>
      <c r="V180" s="36">
        <f>IF(F180-MIN(F$160,F180)-N180&lt;0.005,0,F180-MIN(F$160,F180)-N180)</f>
        <v>0</v>
      </c>
      <c r="W180" s="36">
        <f>IF(G180-MIN(G$160,G180)-O180&lt;0.005,0,G180-MIN(G$160,G180)-O180)</f>
        <v>0</v>
      </c>
      <c r="X180" s="36">
        <f>IF(H180-MIN(H$160,H180)-P180&lt;0.005,0,H180-MIN(H$160,H180)-P180)</f>
        <v>0</v>
      </c>
      <c r="Y180" s="36">
        <f>IF(I180-MIN(I$160,I180)-Q180&lt;0.005,0,I180-MIN(I$160,I180)-Q180)</f>
        <v>0</v>
      </c>
      <c r="Z180" s="36">
        <f>IF(J180-MIN(J$160,J180)-R180&lt;0.005,0,J180-MIN(J$160,J180)-R180)</f>
        <v>0</v>
      </c>
      <c r="AA180" s="36">
        <f>IF(K180-MIN(K$160,K180)-S180&lt;0.005,0,K180-MIN(K$160,K180)-S180)</f>
        <v>0</v>
      </c>
      <c r="AB180" s="36">
        <f>IF(L180-MIN(L$160,L180)-T180&lt;0.005,0,L180-MIN(L$160,L180)-T180)</f>
        <v>0</v>
      </c>
      <c r="AC180" s="36">
        <f>SUM(U180:AB180)</f>
        <v>0</v>
      </c>
      <c r="AD180" s="36">
        <f>D180+SUM(M180:T180)</f>
        <v>1684.9926341504</v>
      </c>
    </row>
    <row r="181">
      <c r="B181" s="40" t="n">
        <v>17</v>
      </c>
      <c r="C181" s="36">
        <f>MAX(0,Sim_SomaParc+N(Sim_Extra)-D181)</f>
        <v>2790</v>
      </c>
      <c r="D181" s="36">
        <f>MIN(E$160,E181)+MIN(F$160,F181)+MIN(G$160,G181)+MIN(H$160,H181)+MIN(I$160,I181)+MIN(J$160,J181)+MIN(K$160,K181)+MIN(L$160,L181)</f>
        <v>0</v>
      </c>
      <c r="E181" s="36">
        <f>U180*(1+E$159)</f>
        <v>0</v>
      </c>
      <c r="F181" s="36">
        <f>V180*(1+F$159)</f>
        <v>0</v>
      </c>
      <c r="G181" s="36">
        <f>W180*(1+G$159)</f>
        <v>0</v>
      </c>
      <c r="H181" s="36">
        <f>X180*(1+H$159)</f>
        <v>0</v>
      </c>
      <c r="I181" s="36">
        <f>Y180*(1+I$159)</f>
        <v>0</v>
      </c>
      <c r="J181" s="36">
        <f>Z180*(1+J$159)</f>
        <v>0</v>
      </c>
      <c r="K181" s="36">
        <f>AA180*(1+K$159)</f>
        <v>0</v>
      </c>
      <c r="L181" s="36">
        <f>AB180*(1+L$159)</f>
        <v>0</v>
      </c>
      <c r="M181" s="36">
        <f>MIN(E181-MIN(E$160,E181),MAX(0,$C181-0))</f>
        <v>0</v>
      </c>
      <c r="N181" s="36">
        <f>MIN(F181-MIN(F$160,F181),MAX(0,$C181-SUM($M181:M181)))</f>
        <v>0</v>
      </c>
      <c r="O181" s="36">
        <f>MIN(G181-MIN(G$160,G181),MAX(0,$C181-SUM($M181:N181)))</f>
        <v>0</v>
      </c>
      <c r="P181" s="36">
        <f>MIN(H181-MIN(H$160,H181),MAX(0,$C181-SUM($M181:O181)))</f>
        <v>0</v>
      </c>
      <c r="Q181" s="36">
        <f>MIN(I181-MIN(I$160,I181),MAX(0,$C181-SUM($M181:P181)))</f>
        <v>0</v>
      </c>
      <c r="R181" s="36">
        <f>MIN(J181-MIN(J$160,J181),MAX(0,$C181-SUM($M181:Q181)))</f>
        <v>0</v>
      </c>
      <c r="S181" s="36">
        <f>MIN(K181-MIN(K$160,K181),MAX(0,$C181-SUM($M181:R181)))</f>
        <v>0</v>
      </c>
      <c r="T181" s="36">
        <f>MIN(L181-MIN(L$160,L181),MAX(0,$C181-SUM($M181:S181)))</f>
        <v>0</v>
      </c>
      <c r="U181" s="36">
        <f>IF(E181-MIN(E$160,E181)-M181&lt;0.005,0,E181-MIN(E$160,E181)-M181)</f>
        <v>0</v>
      </c>
      <c r="V181" s="36">
        <f>IF(F181-MIN(F$160,F181)-N181&lt;0.005,0,F181-MIN(F$160,F181)-N181)</f>
        <v>0</v>
      </c>
      <c r="W181" s="36">
        <f>IF(G181-MIN(G$160,G181)-O181&lt;0.005,0,G181-MIN(G$160,G181)-O181)</f>
        <v>0</v>
      </c>
      <c r="X181" s="36">
        <f>IF(H181-MIN(H$160,H181)-P181&lt;0.005,0,H181-MIN(H$160,H181)-P181)</f>
        <v>0</v>
      </c>
      <c r="Y181" s="36">
        <f>IF(I181-MIN(I$160,I181)-Q181&lt;0.005,0,I181-MIN(I$160,I181)-Q181)</f>
        <v>0</v>
      </c>
      <c r="Z181" s="36">
        <f>IF(J181-MIN(J$160,J181)-R181&lt;0.005,0,J181-MIN(J$160,J181)-R181)</f>
        <v>0</v>
      </c>
      <c r="AA181" s="36">
        <f>IF(K181-MIN(K$160,K181)-S181&lt;0.005,0,K181-MIN(K$160,K181)-S181)</f>
        <v>0</v>
      </c>
      <c r="AB181" s="36">
        <f>IF(L181-MIN(L$160,L181)-T181&lt;0.005,0,L181-MIN(L$160,L181)-T181)</f>
        <v>0</v>
      </c>
      <c r="AC181" s="36">
        <f>SUM(U181:AB181)</f>
        <v>0</v>
      </c>
      <c r="AD181" s="36">
        <f>D181+SUM(M181:T181)</f>
        <v>0</v>
      </c>
    </row>
    <row r="182">
      <c r="B182" s="40" t="n">
        <v>18</v>
      </c>
      <c r="C182" s="36">
        <f>MAX(0,Sim_SomaParc+N(Sim_Extra)-D182)</f>
        <v>2790</v>
      </c>
      <c r="D182" s="36">
        <f>MIN(E$160,E182)+MIN(F$160,F182)+MIN(G$160,G182)+MIN(H$160,H182)+MIN(I$160,I182)+MIN(J$160,J182)+MIN(K$160,K182)+MIN(L$160,L182)</f>
        <v>0</v>
      </c>
      <c r="E182" s="36">
        <f>U181*(1+E$159)</f>
        <v>0</v>
      </c>
      <c r="F182" s="36">
        <f>V181*(1+F$159)</f>
        <v>0</v>
      </c>
      <c r="G182" s="36">
        <f>W181*(1+G$159)</f>
        <v>0</v>
      </c>
      <c r="H182" s="36">
        <f>X181*(1+H$159)</f>
        <v>0</v>
      </c>
      <c r="I182" s="36">
        <f>Y181*(1+I$159)</f>
        <v>0</v>
      </c>
      <c r="J182" s="36">
        <f>Z181*(1+J$159)</f>
        <v>0</v>
      </c>
      <c r="K182" s="36">
        <f>AA181*(1+K$159)</f>
        <v>0</v>
      </c>
      <c r="L182" s="36">
        <f>AB181*(1+L$159)</f>
        <v>0</v>
      </c>
      <c r="M182" s="36">
        <f>MIN(E182-MIN(E$160,E182),MAX(0,$C182-0))</f>
        <v>0</v>
      </c>
      <c r="N182" s="36">
        <f>MIN(F182-MIN(F$160,F182),MAX(0,$C182-SUM($M182:M182)))</f>
        <v>0</v>
      </c>
      <c r="O182" s="36">
        <f>MIN(G182-MIN(G$160,G182),MAX(0,$C182-SUM($M182:N182)))</f>
        <v>0</v>
      </c>
      <c r="P182" s="36">
        <f>MIN(H182-MIN(H$160,H182),MAX(0,$C182-SUM($M182:O182)))</f>
        <v>0</v>
      </c>
      <c r="Q182" s="36">
        <f>MIN(I182-MIN(I$160,I182),MAX(0,$C182-SUM($M182:P182)))</f>
        <v>0</v>
      </c>
      <c r="R182" s="36">
        <f>MIN(J182-MIN(J$160,J182),MAX(0,$C182-SUM($M182:Q182)))</f>
        <v>0</v>
      </c>
      <c r="S182" s="36">
        <f>MIN(K182-MIN(K$160,K182),MAX(0,$C182-SUM($M182:R182)))</f>
        <v>0</v>
      </c>
      <c r="T182" s="36">
        <f>MIN(L182-MIN(L$160,L182),MAX(0,$C182-SUM($M182:S182)))</f>
        <v>0</v>
      </c>
      <c r="U182" s="36">
        <f>IF(E182-MIN(E$160,E182)-M182&lt;0.005,0,E182-MIN(E$160,E182)-M182)</f>
        <v>0</v>
      </c>
      <c r="V182" s="36">
        <f>IF(F182-MIN(F$160,F182)-N182&lt;0.005,0,F182-MIN(F$160,F182)-N182)</f>
        <v>0</v>
      </c>
      <c r="W182" s="36">
        <f>IF(G182-MIN(G$160,G182)-O182&lt;0.005,0,G182-MIN(G$160,G182)-O182)</f>
        <v>0</v>
      </c>
      <c r="X182" s="36">
        <f>IF(H182-MIN(H$160,H182)-P182&lt;0.005,0,H182-MIN(H$160,H182)-P182)</f>
        <v>0</v>
      </c>
      <c r="Y182" s="36">
        <f>IF(I182-MIN(I$160,I182)-Q182&lt;0.005,0,I182-MIN(I$160,I182)-Q182)</f>
        <v>0</v>
      </c>
      <c r="Z182" s="36">
        <f>IF(J182-MIN(J$160,J182)-R182&lt;0.005,0,J182-MIN(J$160,J182)-R182)</f>
        <v>0</v>
      </c>
      <c r="AA182" s="36">
        <f>IF(K182-MIN(K$160,K182)-S182&lt;0.005,0,K182-MIN(K$160,K182)-S182)</f>
        <v>0</v>
      </c>
      <c r="AB182" s="36">
        <f>IF(L182-MIN(L$160,L182)-T182&lt;0.005,0,L182-MIN(L$160,L182)-T182)</f>
        <v>0</v>
      </c>
      <c r="AC182" s="36">
        <f>SUM(U182:AB182)</f>
        <v>0</v>
      </c>
      <c r="AD182" s="36">
        <f>D182+SUM(M182:T182)</f>
        <v>0</v>
      </c>
    </row>
    <row r="183">
      <c r="B183" s="40" t="n">
        <v>19</v>
      </c>
      <c r="C183" s="36">
        <f>MAX(0,Sim_SomaParc+N(Sim_Extra)-D183)</f>
        <v>2790</v>
      </c>
      <c r="D183" s="36">
        <f>MIN(E$160,E183)+MIN(F$160,F183)+MIN(G$160,G183)+MIN(H$160,H183)+MIN(I$160,I183)+MIN(J$160,J183)+MIN(K$160,K183)+MIN(L$160,L183)</f>
        <v>0</v>
      </c>
      <c r="E183" s="36">
        <f>U182*(1+E$159)</f>
        <v>0</v>
      </c>
      <c r="F183" s="36">
        <f>V182*(1+F$159)</f>
        <v>0</v>
      </c>
      <c r="G183" s="36">
        <f>W182*(1+G$159)</f>
        <v>0</v>
      </c>
      <c r="H183" s="36">
        <f>X182*(1+H$159)</f>
        <v>0</v>
      </c>
      <c r="I183" s="36">
        <f>Y182*(1+I$159)</f>
        <v>0</v>
      </c>
      <c r="J183" s="36">
        <f>Z182*(1+J$159)</f>
        <v>0</v>
      </c>
      <c r="K183" s="36">
        <f>AA182*(1+K$159)</f>
        <v>0</v>
      </c>
      <c r="L183" s="36">
        <f>AB182*(1+L$159)</f>
        <v>0</v>
      </c>
      <c r="M183" s="36">
        <f>MIN(E183-MIN(E$160,E183),MAX(0,$C183-0))</f>
        <v>0</v>
      </c>
      <c r="N183" s="36">
        <f>MIN(F183-MIN(F$160,F183),MAX(0,$C183-SUM($M183:M183)))</f>
        <v>0</v>
      </c>
      <c r="O183" s="36">
        <f>MIN(G183-MIN(G$160,G183),MAX(0,$C183-SUM($M183:N183)))</f>
        <v>0</v>
      </c>
      <c r="P183" s="36">
        <f>MIN(H183-MIN(H$160,H183),MAX(0,$C183-SUM($M183:O183)))</f>
        <v>0</v>
      </c>
      <c r="Q183" s="36">
        <f>MIN(I183-MIN(I$160,I183),MAX(0,$C183-SUM($M183:P183)))</f>
        <v>0</v>
      </c>
      <c r="R183" s="36">
        <f>MIN(J183-MIN(J$160,J183),MAX(0,$C183-SUM($M183:Q183)))</f>
        <v>0</v>
      </c>
      <c r="S183" s="36">
        <f>MIN(K183-MIN(K$160,K183),MAX(0,$C183-SUM($M183:R183)))</f>
        <v>0</v>
      </c>
      <c r="T183" s="36">
        <f>MIN(L183-MIN(L$160,L183),MAX(0,$C183-SUM($M183:S183)))</f>
        <v>0</v>
      </c>
      <c r="U183" s="36">
        <f>IF(E183-MIN(E$160,E183)-M183&lt;0.005,0,E183-MIN(E$160,E183)-M183)</f>
        <v>0</v>
      </c>
      <c r="V183" s="36">
        <f>IF(F183-MIN(F$160,F183)-N183&lt;0.005,0,F183-MIN(F$160,F183)-N183)</f>
        <v>0</v>
      </c>
      <c r="W183" s="36">
        <f>IF(G183-MIN(G$160,G183)-O183&lt;0.005,0,G183-MIN(G$160,G183)-O183)</f>
        <v>0</v>
      </c>
      <c r="X183" s="36">
        <f>IF(H183-MIN(H$160,H183)-P183&lt;0.005,0,H183-MIN(H$160,H183)-P183)</f>
        <v>0</v>
      </c>
      <c r="Y183" s="36">
        <f>IF(I183-MIN(I$160,I183)-Q183&lt;0.005,0,I183-MIN(I$160,I183)-Q183)</f>
        <v>0</v>
      </c>
      <c r="Z183" s="36">
        <f>IF(J183-MIN(J$160,J183)-R183&lt;0.005,0,J183-MIN(J$160,J183)-R183)</f>
        <v>0</v>
      </c>
      <c r="AA183" s="36">
        <f>IF(K183-MIN(K$160,K183)-S183&lt;0.005,0,K183-MIN(K$160,K183)-S183)</f>
        <v>0</v>
      </c>
      <c r="AB183" s="36">
        <f>IF(L183-MIN(L$160,L183)-T183&lt;0.005,0,L183-MIN(L$160,L183)-T183)</f>
        <v>0</v>
      </c>
      <c r="AC183" s="36">
        <f>SUM(U183:AB183)</f>
        <v>0</v>
      </c>
      <c r="AD183" s="36">
        <f>D183+SUM(M183:T183)</f>
        <v>0</v>
      </c>
    </row>
    <row r="184">
      <c r="B184" s="40" t="n">
        <v>20</v>
      </c>
      <c r="C184" s="36">
        <f>MAX(0,Sim_SomaParc+N(Sim_Extra)-D184)</f>
        <v>2790</v>
      </c>
      <c r="D184" s="36">
        <f>MIN(E$160,E184)+MIN(F$160,F184)+MIN(G$160,G184)+MIN(H$160,H184)+MIN(I$160,I184)+MIN(J$160,J184)+MIN(K$160,K184)+MIN(L$160,L184)</f>
        <v>0</v>
      </c>
      <c r="E184" s="36">
        <f>U183*(1+E$159)</f>
        <v>0</v>
      </c>
      <c r="F184" s="36">
        <f>V183*(1+F$159)</f>
        <v>0</v>
      </c>
      <c r="G184" s="36">
        <f>W183*(1+G$159)</f>
        <v>0</v>
      </c>
      <c r="H184" s="36">
        <f>X183*(1+H$159)</f>
        <v>0</v>
      </c>
      <c r="I184" s="36">
        <f>Y183*(1+I$159)</f>
        <v>0</v>
      </c>
      <c r="J184" s="36">
        <f>Z183*(1+J$159)</f>
        <v>0</v>
      </c>
      <c r="K184" s="36">
        <f>AA183*(1+K$159)</f>
        <v>0</v>
      </c>
      <c r="L184" s="36">
        <f>AB183*(1+L$159)</f>
        <v>0</v>
      </c>
      <c r="M184" s="36">
        <f>MIN(E184-MIN(E$160,E184),MAX(0,$C184-0))</f>
        <v>0</v>
      </c>
      <c r="N184" s="36">
        <f>MIN(F184-MIN(F$160,F184),MAX(0,$C184-SUM($M184:M184)))</f>
        <v>0</v>
      </c>
      <c r="O184" s="36">
        <f>MIN(G184-MIN(G$160,G184),MAX(0,$C184-SUM($M184:N184)))</f>
        <v>0</v>
      </c>
      <c r="P184" s="36">
        <f>MIN(H184-MIN(H$160,H184),MAX(0,$C184-SUM($M184:O184)))</f>
        <v>0</v>
      </c>
      <c r="Q184" s="36">
        <f>MIN(I184-MIN(I$160,I184),MAX(0,$C184-SUM($M184:P184)))</f>
        <v>0</v>
      </c>
      <c r="R184" s="36">
        <f>MIN(J184-MIN(J$160,J184),MAX(0,$C184-SUM($M184:Q184)))</f>
        <v>0</v>
      </c>
      <c r="S184" s="36">
        <f>MIN(K184-MIN(K$160,K184),MAX(0,$C184-SUM($M184:R184)))</f>
        <v>0</v>
      </c>
      <c r="T184" s="36">
        <f>MIN(L184-MIN(L$160,L184),MAX(0,$C184-SUM($M184:S184)))</f>
        <v>0</v>
      </c>
      <c r="U184" s="36">
        <f>IF(E184-MIN(E$160,E184)-M184&lt;0.005,0,E184-MIN(E$160,E184)-M184)</f>
        <v>0</v>
      </c>
      <c r="V184" s="36">
        <f>IF(F184-MIN(F$160,F184)-N184&lt;0.005,0,F184-MIN(F$160,F184)-N184)</f>
        <v>0</v>
      </c>
      <c r="W184" s="36">
        <f>IF(G184-MIN(G$160,G184)-O184&lt;0.005,0,G184-MIN(G$160,G184)-O184)</f>
        <v>0</v>
      </c>
      <c r="X184" s="36">
        <f>IF(H184-MIN(H$160,H184)-P184&lt;0.005,0,H184-MIN(H$160,H184)-P184)</f>
        <v>0</v>
      </c>
      <c r="Y184" s="36">
        <f>IF(I184-MIN(I$160,I184)-Q184&lt;0.005,0,I184-MIN(I$160,I184)-Q184)</f>
        <v>0</v>
      </c>
      <c r="Z184" s="36">
        <f>IF(J184-MIN(J$160,J184)-R184&lt;0.005,0,J184-MIN(J$160,J184)-R184)</f>
        <v>0</v>
      </c>
      <c r="AA184" s="36">
        <f>IF(K184-MIN(K$160,K184)-S184&lt;0.005,0,K184-MIN(K$160,K184)-S184)</f>
        <v>0</v>
      </c>
      <c r="AB184" s="36">
        <f>IF(L184-MIN(L$160,L184)-T184&lt;0.005,0,L184-MIN(L$160,L184)-T184)</f>
        <v>0</v>
      </c>
      <c r="AC184" s="36">
        <f>SUM(U184:AB184)</f>
        <v>0</v>
      </c>
      <c r="AD184" s="36">
        <f>D184+SUM(M184:T184)</f>
        <v>0</v>
      </c>
    </row>
    <row r="185">
      <c r="B185" s="40" t="n">
        <v>21</v>
      </c>
      <c r="C185" s="36">
        <f>MAX(0,Sim_SomaParc+N(Sim_Extra)-D185)</f>
        <v>2790</v>
      </c>
      <c r="D185" s="36">
        <f>MIN(E$160,E185)+MIN(F$160,F185)+MIN(G$160,G185)+MIN(H$160,H185)+MIN(I$160,I185)+MIN(J$160,J185)+MIN(K$160,K185)+MIN(L$160,L185)</f>
        <v>0</v>
      </c>
      <c r="E185" s="36">
        <f>U184*(1+E$159)</f>
        <v>0</v>
      </c>
      <c r="F185" s="36">
        <f>V184*(1+F$159)</f>
        <v>0</v>
      </c>
      <c r="G185" s="36">
        <f>W184*(1+G$159)</f>
        <v>0</v>
      </c>
      <c r="H185" s="36">
        <f>X184*(1+H$159)</f>
        <v>0</v>
      </c>
      <c r="I185" s="36">
        <f>Y184*(1+I$159)</f>
        <v>0</v>
      </c>
      <c r="J185" s="36">
        <f>Z184*(1+J$159)</f>
        <v>0</v>
      </c>
      <c r="K185" s="36">
        <f>AA184*(1+K$159)</f>
        <v>0</v>
      </c>
      <c r="L185" s="36">
        <f>AB184*(1+L$159)</f>
        <v>0</v>
      </c>
      <c r="M185" s="36">
        <f>MIN(E185-MIN(E$160,E185),MAX(0,$C185-0))</f>
        <v>0</v>
      </c>
      <c r="N185" s="36">
        <f>MIN(F185-MIN(F$160,F185),MAX(0,$C185-SUM($M185:M185)))</f>
        <v>0</v>
      </c>
      <c r="O185" s="36">
        <f>MIN(G185-MIN(G$160,G185),MAX(0,$C185-SUM($M185:N185)))</f>
        <v>0</v>
      </c>
      <c r="P185" s="36">
        <f>MIN(H185-MIN(H$160,H185),MAX(0,$C185-SUM($M185:O185)))</f>
        <v>0</v>
      </c>
      <c r="Q185" s="36">
        <f>MIN(I185-MIN(I$160,I185),MAX(0,$C185-SUM($M185:P185)))</f>
        <v>0</v>
      </c>
      <c r="R185" s="36">
        <f>MIN(J185-MIN(J$160,J185),MAX(0,$C185-SUM($M185:Q185)))</f>
        <v>0</v>
      </c>
      <c r="S185" s="36">
        <f>MIN(K185-MIN(K$160,K185),MAX(0,$C185-SUM($M185:R185)))</f>
        <v>0</v>
      </c>
      <c r="T185" s="36">
        <f>MIN(L185-MIN(L$160,L185),MAX(0,$C185-SUM($M185:S185)))</f>
        <v>0</v>
      </c>
      <c r="U185" s="36">
        <f>IF(E185-MIN(E$160,E185)-M185&lt;0.005,0,E185-MIN(E$160,E185)-M185)</f>
        <v>0</v>
      </c>
      <c r="V185" s="36">
        <f>IF(F185-MIN(F$160,F185)-N185&lt;0.005,0,F185-MIN(F$160,F185)-N185)</f>
        <v>0</v>
      </c>
      <c r="W185" s="36">
        <f>IF(G185-MIN(G$160,G185)-O185&lt;0.005,0,G185-MIN(G$160,G185)-O185)</f>
        <v>0</v>
      </c>
      <c r="X185" s="36">
        <f>IF(H185-MIN(H$160,H185)-P185&lt;0.005,0,H185-MIN(H$160,H185)-P185)</f>
        <v>0</v>
      </c>
      <c r="Y185" s="36">
        <f>IF(I185-MIN(I$160,I185)-Q185&lt;0.005,0,I185-MIN(I$160,I185)-Q185)</f>
        <v>0</v>
      </c>
      <c r="Z185" s="36">
        <f>IF(J185-MIN(J$160,J185)-R185&lt;0.005,0,J185-MIN(J$160,J185)-R185)</f>
        <v>0</v>
      </c>
      <c r="AA185" s="36">
        <f>IF(K185-MIN(K$160,K185)-S185&lt;0.005,0,K185-MIN(K$160,K185)-S185)</f>
        <v>0</v>
      </c>
      <c r="AB185" s="36">
        <f>IF(L185-MIN(L$160,L185)-T185&lt;0.005,0,L185-MIN(L$160,L185)-T185)</f>
        <v>0</v>
      </c>
      <c r="AC185" s="36">
        <f>SUM(U185:AB185)</f>
        <v>0</v>
      </c>
      <c r="AD185" s="36">
        <f>D185+SUM(M185:T185)</f>
        <v>0</v>
      </c>
    </row>
    <row r="186">
      <c r="B186" s="40" t="n">
        <v>22</v>
      </c>
      <c r="C186" s="36">
        <f>MAX(0,Sim_SomaParc+N(Sim_Extra)-D186)</f>
        <v>2790</v>
      </c>
      <c r="D186" s="36">
        <f>MIN(E$160,E186)+MIN(F$160,F186)+MIN(G$160,G186)+MIN(H$160,H186)+MIN(I$160,I186)+MIN(J$160,J186)+MIN(K$160,K186)+MIN(L$160,L186)</f>
        <v>0</v>
      </c>
      <c r="E186" s="36">
        <f>U185*(1+E$159)</f>
        <v>0</v>
      </c>
      <c r="F186" s="36">
        <f>V185*(1+F$159)</f>
        <v>0</v>
      </c>
      <c r="G186" s="36">
        <f>W185*(1+G$159)</f>
        <v>0</v>
      </c>
      <c r="H186" s="36">
        <f>X185*(1+H$159)</f>
        <v>0</v>
      </c>
      <c r="I186" s="36">
        <f>Y185*(1+I$159)</f>
        <v>0</v>
      </c>
      <c r="J186" s="36">
        <f>Z185*(1+J$159)</f>
        <v>0</v>
      </c>
      <c r="K186" s="36">
        <f>AA185*(1+K$159)</f>
        <v>0</v>
      </c>
      <c r="L186" s="36">
        <f>AB185*(1+L$159)</f>
        <v>0</v>
      </c>
      <c r="M186" s="36">
        <f>MIN(E186-MIN(E$160,E186),MAX(0,$C186-0))</f>
        <v>0</v>
      </c>
      <c r="N186" s="36">
        <f>MIN(F186-MIN(F$160,F186),MAX(0,$C186-SUM($M186:M186)))</f>
        <v>0</v>
      </c>
      <c r="O186" s="36">
        <f>MIN(G186-MIN(G$160,G186),MAX(0,$C186-SUM($M186:N186)))</f>
        <v>0</v>
      </c>
      <c r="P186" s="36">
        <f>MIN(H186-MIN(H$160,H186),MAX(0,$C186-SUM($M186:O186)))</f>
        <v>0</v>
      </c>
      <c r="Q186" s="36">
        <f>MIN(I186-MIN(I$160,I186),MAX(0,$C186-SUM($M186:P186)))</f>
        <v>0</v>
      </c>
      <c r="R186" s="36">
        <f>MIN(J186-MIN(J$160,J186),MAX(0,$C186-SUM($M186:Q186)))</f>
        <v>0</v>
      </c>
      <c r="S186" s="36">
        <f>MIN(K186-MIN(K$160,K186),MAX(0,$C186-SUM($M186:R186)))</f>
        <v>0</v>
      </c>
      <c r="T186" s="36">
        <f>MIN(L186-MIN(L$160,L186),MAX(0,$C186-SUM($M186:S186)))</f>
        <v>0</v>
      </c>
      <c r="U186" s="36">
        <f>IF(E186-MIN(E$160,E186)-M186&lt;0.005,0,E186-MIN(E$160,E186)-M186)</f>
        <v>0</v>
      </c>
      <c r="V186" s="36">
        <f>IF(F186-MIN(F$160,F186)-N186&lt;0.005,0,F186-MIN(F$160,F186)-N186)</f>
        <v>0</v>
      </c>
      <c r="W186" s="36">
        <f>IF(G186-MIN(G$160,G186)-O186&lt;0.005,0,G186-MIN(G$160,G186)-O186)</f>
        <v>0</v>
      </c>
      <c r="X186" s="36">
        <f>IF(H186-MIN(H$160,H186)-P186&lt;0.005,0,H186-MIN(H$160,H186)-P186)</f>
        <v>0</v>
      </c>
      <c r="Y186" s="36">
        <f>IF(I186-MIN(I$160,I186)-Q186&lt;0.005,0,I186-MIN(I$160,I186)-Q186)</f>
        <v>0</v>
      </c>
      <c r="Z186" s="36">
        <f>IF(J186-MIN(J$160,J186)-R186&lt;0.005,0,J186-MIN(J$160,J186)-R186)</f>
        <v>0</v>
      </c>
      <c r="AA186" s="36">
        <f>IF(K186-MIN(K$160,K186)-S186&lt;0.005,0,K186-MIN(K$160,K186)-S186)</f>
        <v>0</v>
      </c>
      <c r="AB186" s="36">
        <f>IF(L186-MIN(L$160,L186)-T186&lt;0.005,0,L186-MIN(L$160,L186)-T186)</f>
        <v>0</v>
      </c>
      <c r="AC186" s="36">
        <f>SUM(U186:AB186)</f>
        <v>0</v>
      </c>
      <c r="AD186" s="36">
        <f>D186+SUM(M186:T186)</f>
        <v>0</v>
      </c>
    </row>
    <row r="187">
      <c r="B187" s="40" t="n">
        <v>23</v>
      </c>
      <c r="C187" s="36">
        <f>MAX(0,Sim_SomaParc+N(Sim_Extra)-D187)</f>
        <v>2790</v>
      </c>
      <c r="D187" s="36">
        <f>MIN(E$160,E187)+MIN(F$160,F187)+MIN(G$160,G187)+MIN(H$160,H187)+MIN(I$160,I187)+MIN(J$160,J187)+MIN(K$160,K187)+MIN(L$160,L187)</f>
        <v>0</v>
      </c>
      <c r="E187" s="36">
        <f>U186*(1+E$159)</f>
        <v>0</v>
      </c>
      <c r="F187" s="36">
        <f>V186*(1+F$159)</f>
        <v>0</v>
      </c>
      <c r="G187" s="36">
        <f>W186*(1+G$159)</f>
        <v>0</v>
      </c>
      <c r="H187" s="36">
        <f>X186*(1+H$159)</f>
        <v>0</v>
      </c>
      <c r="I187" s="36">
        <f>Y186*(1+I$159)</f>
        <v>0</v>
      </c>
      <c r="J187" s="36">
        <f>Z186*(1+J$159)</f>
        <v>0</v>
      </c>
      <c r="K187" s="36">
        <f>AA186*(1+K$159)</f>
        <v>0</v>
      </c>
      <c r="L187" s="36">
        <f>AB186*(1+L$159)</f>
        <v>0</v>
      </c>
      <c r="M187" s="36">
        <f>MIN(E187-MIN(E$160,E187),MAX(0,$C187-0))</f>
        <v>0</v>
      </c>
      <c r="N187" s="36">
        <f>MIN(F187-MIN(F$160,F187),MAX(0,$C187-SUM($M187:M187)))</f>
        <v>0</v>
      </c>
      <c r="O187" s="36">
        <f>MIN(G187-MIN(G$160,G187),MAX(0,$C187-SUM($M187:N187)))</f>
        <v>0</v>
      </c>
      <c r="P187" s="36">
        <f>MIN(H187-MIN(H$160,H187),MAX(0,$C187-SUM($M187:O187)))</f>
        <v>0</v>
      </c>
      <c r="Q187" s="36">
        <f>MIN(I187-MIN(I$160,I187),MAX(0,$C187-SUM($M187:P187)))</f>
        <v>0</v>
      </c>
      <c r="R187" s="36">
        <f>MIN(J187-MIN(J$160,J187),MAX(0,$C187-SUM($M187:Q187)))</f>
        <v>0</v>
      </c>
      <c r="S187" s="36">
        <f>MIN(K187-MIN(K$160,K187),MAX(0,$C187-SUM($M187:R187)))</f>
        <v>0</v>
      </c>
      <c r="T187" s="36">
        <f>MIN(L187-MIN(L$160,L187),MAX(0,$C187-SUM($M187:S187)))</f>
        <v>0</v>
      </c>
      <c r="U187" s="36">
        <f>IF(E187-MIN(E$160,E187)-M187&lt;0.005,0,E187-MIN(E$160,E187)-M187)</f>
        <v>0</v>
      </c>
      <c r="V187" s="36">
        <f>IF(F187-MIN(F$160,F187)-N187&lt;0.005,0,F187-MIN(F$160,F187)-N187)</f>
        <v>0</v>
      </c>
      <c r="W187" s="36">
        <f>IF(G187-MIN(G$160,G187)-O187&lt;0.005,0,G187-MIN(G$160,G187)-O187)</f>
        <v>0</v>
      </c>
      <c r="X187" s="36">
        <f>IF(H187-MIN(H$160,H187)-P187&lt;0.005,0,H187-MIN(H$160,H187)-P187)</f>
        <v>0</v>
      </c>
      <c r="Y187" s="36">
        <f>IF(I187-MIN(I$160,I187)-Q187&lt;0.005,0,I187-MIN(I$160,I187)-Q187)</f>
        <v>0</v>
      </c>
      <c r="Z187" s="36">
        <f>IF(J187-MIN(J$160,J187)-R187&lt;0.005,0,J187-MIN(J$160,J187)-R187)</f>
        <v>0</v>
      </c>
      <c r="AA187" s="36">
        <f>IF(K187-MIN(K$160,K187)-S187&lt;0.005,0,K187-MIN(K$160,K187)-S187)</f>
        <v>0</v>
      </c>
      <c r="AB187" s="36">
        <f>IF(L187-MIN(L$160,L187)-T187&lt;0.005,0,L187-MIN(L$160,L187)-T187)</f>
        <v>0</v>
      </c>
      <c r="AC187" s="36">
        <f>SUM(U187:AB187)</f>
        <v>0</v>
      </c>
      <c r="AD187" s="36">
        <f>D187+SUM(M187:T187)</f>
        <v>0</v>
      </c>
    </row>
    <row r="188">
      <c r="B188" s="40" t="n">
        <v>24</v>
      </c>
      <c r="C188" s="36">
        <f>MAX(0,Sim_SomaParc+N(Sim_Extra)-D188)</f>
        <v>2790</v>
      </c>
      <c r="D188" s="36">
        <f>MIN(E$160,E188)+MIN(F$160,F188)+MIN(G$160,G188)+MIN(H$160,H188)+MIN(I$160,I188)+MIN(J$160,J188)+MIN(K$160,K188)+MIN(L$160,L188)</f>
        <v>0</v>
      </c>
      <c r="E188" s="36">
        <f>U187*(1+E$159)</f>
        <v>0</v>
      </c>
      <c r="F188" s="36">
        <f>V187*(1+F$159)</f>
        <v>0</v>
      </c>
      <c r="G188" s="36">
        <f>W187*(1+G$159)</f>
        <v>0</v>
      </c>
      <c r="H188" s="36">
        <f>X187*(1+H$159)</f>
        <v>0</v>
      </c>
      <c r="I188" s="36">
        <f>Y187*(1+I$159)</f>
        <v>0</v>
      </c>
      <c r="J188" s="36">
        <f>Z187*(1+J$159)</f>
        <v>0</v>
      </c>
      <c r="K188" s="36">
        <f>AA187*(1+K$159)</f>
        <v>0</v>
      </c>
      <c r="L188" s="36">
        <f>AB187*(1+L$159)</f>
        <v>0</v>
      </c>
      <c r="M188" s="36">
        <f>MIN(E188-MIN(E$160,E188),MAX(0,$C188-0))</f>
        <v>0</v>
      </c>
      <c r="N188" s="36">
        <f>MIN(F188-MIN(F$160,F188),MAX(0,$C188-SUM($M188:M188)))</f>
        <v>0</v>
      </c>
      <c r="O188" s="36">
        <f>MIN(G188-MIN(G$160,G188),MAX(0,$C188-SUM($M188:N188)))</f>
        <v>0</v>
      </c>
      <c r="P188" s="36">
        <f>MIN(H188-MIN(H$160,H188),MAX(0,$C188-SUM($M188:O188)))</f>
        <v>0</v>
      </c>
      <c r="Q188" s="36">
        <f>MIN(I188-MIN(I$160,I188),MAX(0,$C188-SUM($M188:P188)))</f>
        <v>0</v>
      </c>
      <c r="R188" s="36">
        <f>MIN(J188-MIN(J$160,J188),MAX(0,$C188-SUM($M188:Q188)))</f>
        <v>0</v>
      </c>
      <c r="S188" s="36">
        <f>MIN(K188-MIN(K$160,K188),MAX(0,$C188-SUM($M188:R188)))</f>
        <v>0</v>
      </c>
      <c r="T188" s="36">
        <f>MIN(L188-MIN(L$160,L188),MAX(0,$C188-SUM($M188:S188)))</f>
        <v>0</v>
      </c>
      <c r="U188" s="36">
        <f>IF(E188-MIN(E$160,E188)-M188&lt;0.005,0,E188-MIN(E$160,E188)-M188)</f>
        <v>0</v>
      </c>
      <c r="V188" s="36">
        <f>IF(F188-MIN(F$160,F188)-N188&lt;0.005,0,F188-MIN(F$160,F188)-N188)</f>
        <v>0</v>
      </c>
      <c r="W188" s="36">
        <f>IF(G188-MIN(G$160,G188)-O188&lt;0.005,0,G188-MIN(G$160,G188)-O188)</f>
        <v>0</v>
      </c>
      <c r="X188" s="36">
        <f>IF(H188-MIN(H$160,H188)-P188&lt;0.005,0,H188-MIN(H$160,H188)-P188)</f>
        <v>0</v>
      </c>
      <c r="Y188" s="36">
        <f>IF(I188-MIN(I$160,I188)-Q188&lt;0.005,0,I188-MIN(I$160,I188)-Q188)</f>
        <v>0</v>
      </c>
      <c r="Z188" s="36">
        <f>IF(J188-MIN(J$160,J188)-R188&lt;0.005,0,J188-MIN(J$160,J188)-R188)</f>
        <v>0</v>
      </c>
      <c r="AA188" s="36">
        <f>IF(K188-MIN(K$160,K188)-S188&lt;0.005,0,K188-MIN(K$160,K188)-S188)</f>
        <v>0</v>
      </c>
      <c r="AB188" s="36">
        <f>IF(L188-MIN(L$160,L188)-T188&lt;0.005,0,L188-MIN(L$160,L188)-T188)</f>
        <v>0</v>
      </c>
      <c r="AC188" s="36">
        <f>SUM(U188:AB188)</f>
        <v>0</v>
      </c>
      <c r="AD188" s="36">
        <f>D188+SUM(M188:T188)</f>
        <v>0</v>
      </c>
    </row>
    <row r="189">
      <c r="B189" s="40" t="n">
        <v>25</v>
      </c>
      <c r="C189" s="36">
        <f>MAX(0,Sim_SomaParc+N(Sim_Extra)-D189)</f>
        <v>2790</v>
      </c>
      <c r="D189" s="36">
        <f>MIN(E$160,E189)+MIN(F$160,F189)+MIN(G$160,G189)+MIN(H$160,H189)+MIN(I$160,I189)+MIN(J$160,J189)+MIN(K$160,K189)+MIN(L$160,L189)</f>
        <v>0</v>
      </c>
      <c r="E189" s="36">
        <f>U188*(1+E$159)</f>
        <v>0</v>
      </c>
      <c r="F189" s="36">
        <f>V188*(1+F$159)</f>
        <v>0</v>
      </c>
      <c r="G189" s="36">
        <f>W188*(1+G$159)</f>
        <v>0</v>
      </c>
      <c r="H189" s="36">
        <f>X188*(1+H$159)</f>
        <v>0</v>
      </c>
      <c r="I189" s="36">
        <f>Y188*(1+I$159)</f>
        <v>0</v>
      </c>
      <c r="J189" s="36">
        <f>Z188*(1+J$159)</f>
        <v>0</v>
      </c>
      <c r="K189" s="36">
        <f>AA188*(1+K$159)</f>
        <v>0</v>
      </c>
      <c r="L189" s="36">
        <f>AB188*(1+L$159)</f>
        <v>0</v>
      </c>
      <c r="M189" s="36">
        <f>MIN(E189-MIN(E$160,E189),MAX(0,$C189-0))</f>
        <v>0</v>
      </c>
      <c r="N189" s="36">
        <f>MIN(F189-MIN(F$160,F189),MAX(0,$C189-SUM($M189:M189)))</f>
        <v>0</v>
      </c>
      <c r="O189" s="36">
        <f>MIN(G189-MIN(G$160,G189),MAX(0,$C189-SUM($M189:N189)))</f>
        <v>0</v>
      </c>
      <c r="P189" s="36">
        <f>MIN(H189-MIN(H$160,H189),MAX(0,$C189-SUM($M189:O189)))</f>
        <v>0</v>
      </c>
      <c r="Q189" s="36">
        <f>MIN(I189-MIN(I$160,I189),MAX(0,$C189-SUM($M189:P189)))</f>
        <v>0</v>
      </c>
      <c r="R189" s="36">
        <f>MIN(J189-MIN(J$160,J189),MAX(0,$C189-SUM($M189:Q189)))</f>
        <v>0</v>
      </c>
      <c r="S189" s="36">
        <f>MIN(K189-MIN(K$160,K189),MAX(0,$C189-SUM($M189:R189)))</f>
        <v>0</v>
      </c>
      <c r="T189" s="36">
        <f>MIN(L189-MIN(L$160,L189),MAX(0,$C189-SUM($M189:S189)))</f>
        <v>0</v>
      </c>
      <c r="U189" s="36">
        <f>IF(E189-MIN(E$160,E189)-M189&lt;0.005,0,E189-MIN(E$160,E189)-M189)</f>
        <v>0</v>
      </c>
      <c r="V189" s="36">
        <f>IF(F189-MIN(F$160,F189)-N189&lt;0.005,0,F189-MIN(F$160,F189)-N189)</f>
        <v>0</v>
      </c>
      <c r="W189" s="36">
        <f>IF(G189-MIN(G$160,G189)-O189&lt;0.005,0,G189-MIN(G$160,G189)-O189)</f>
        <v>0</v>
      </c>
      <c r="X189" s="36">
        <f>IF(H189-MIN(H$160,H189)-P189&lt;0.005,0,H189-MIN(H$160,H189)-P189)</f>
        <v>0</v>
      </c>
      <c r="Y189" s="36">
        <f>IF(I189-MIN(I$160,I189)-Q189&lt;0.005,0,I189-MIN(I$160,I189)-Q189)</f>
        <v>0</v>
      </c>
      <c r="Z189" s="36">
        <f>IF(J189-MIN(J$160,J189)-R189&lt;0.005,0,J189-MIN(J$160,J189)-R189)</f>
        <v>0</v>
      </c>
      <c r="AA189" s="36">
        <f>IF(K189-MIN(K$160,K189)-S189&lt;0.005,0,K189-MIN(K$160,K189)-S189)</f>
        <v>0</v>
      </c>
      <c r="AB189" s="36">
        <f>IF(L189-MIN(L$160,L189)-T189&lt;0.005,0,L189-MIN(L$160,L189)-T189)</f>
        <v>0</v>
      </c>
      <c r="AC189" s="36">
        <f>SUM(U189:AB189)</f>
        <v>0</v>
      </c>
      <c r="AD189" s="36">
        <f>D189+SUM(M189:T189)</f>
        <v>0</v>
      </c>
    </row>
    <row r="190">
      <c r="B190" s="40" t="n">
        <v>26</v>
      </c>
      <c r="C190" s="36">
        <f>MAX(0,Sim_SomaParc+N(Sim_Extra)-D190)</f>
        <v>2790</v>
      </c>
      <c r="D190" s="36">
        <f>MIN(E$160,E190)+MIN(F$160,F190)+MIN(G$160,G190)+MIN(H$160,H190)+MIN(I$160,I190)+MIN(J$160,J190)+MIN(K$160,K190)+MIN(L$160,L190)</f>
        <v>0</v>
      </c>
      <c r="E190" s="36">
        <f>U189*(1+E$159)</f>
        <v>0</v>
      </c>
      <c r="F190" s="36">
        <f>V189*(1+F$159)</f>
        <v>0</v>
      </c>
      <c r="G190" s="36">
        <f>W189*(1+G$159)</f>
        <v>0</v>
      </c>
      <c r="H190" s="36">
        <f>X189*(1+H$159)</f>
        <v>0</v>
      </c>
      <c r="I190" s="36">
        <f>Y189*(1+I$159)</f>
        <v>0</v>
      </c>
      <c r="J190" s="36">
        <f>Z189*(1+J$159)</f>
        <v>0</v>
      </c>
      <c r="K190" s="36">
        <f>AA189*(1+K$159)</f>
        <v>0</v>
      </c>
      <c r="L190" s="36">
        <f>AB189*(1+L$159)</f>
        <v>0</v>
      </c>
      <c r="M190" s="36">
        <f>MIN(E190-MIN(E$160,E190),MAX(0,$C190-0))</f>
        <v>0</v>
      </c>
      <c r="N190" s="36">
        <f>MIN(F190-MIN(F$160,F190),MAX(0,$C190-SUM($M190:M190)))</f>
        <v>0</v>
      </c>
      <c r="O190" s="36">
        <f>MIN(G190-MIN(G$160,G190),MAX(0,$C190-SUM($M190:N190)))</f>
        <v>0</v>
      </c>
      <c r="P190" s="36">
        <f>MIN(H190-MIN(H$160,H190),MAX(0,$C190-SUM($M190:O190)))</f>
        <v>0</v>
      </c>
      <c r="Q190" s="36">
        <f>MIN(I190-MIN(I$160,I190),MAX(0,$C190-SUM($M190:P190)))</f>
        <v>0</v>
      </c>
      <c r="R190" s="36">
        <f>MIN(J190-MIN(J$160,J190),MAX(0,$C190-SUM($M190:Q190)))</f>
        <v>0</v>
      </c>
      <c r="S190" s="36">
        <f>MIN(K190-MIN(K$160,K190),MAX(0,$C190-SUM($M190:R190)))</f>
        <v>0</v>
      </c>
      <c r="T190" s="36">
        <f>MIN(L190-MIN(L$160,L190),MAX(0,$C190-SUM($M190:S190)))</f>
        <v>0</v>
      </c>
      <c r="U190" s="36">
        <f>IF(E190-MIN(E$160,E190)-M190&lt;0.005,0,E190-MIN(E$160,E190)-M190)</f>
        <v>0</v>
      </c>
      <c r="V190" s="36">
        <f>IF(F190-MIN(F$160,F190)-N190&lt;0.005,0,F190-MIN(F$160,F190)-N190)</f>
        <v>0</v>
      </c>
      <c r="W190" s="36">
        <f>IF(G190-MIN(G$160,G190)-O190&lt;0.005,0,G190-MIN(G$160,G190)-O190)</f>
        <v>0</v>
      </c>
      <c r="X190" s="36">
        <f>IF(H190-MIN(H$160,H190)-P190&lt;0.005,0,H190-MIN(H$160,H190)-P190)</f>
        <v>0</v>
      </c>
      <c r="Y190" s="36">
        <f>IF(I190-MIN(I$160,I190)-Q190&lt;0.005,0,I190-MIN(I$160,I190)-Q190)</f>
        <v>0</v>
      </c>
      <c r="Z190" s="36">
        <f>IF(J190-MIN(J$160,J190)-R190&lt;0.005,0,J190-MIN(J$160,J190)-R190)</f>
        <v>0</v>
      </c>
      <c r="AA190" s="36">
        <f>IF(K190-MIN(K$160,K190)-S190&lt;0.005,0,K190-MIN(K$160,K190)-S190)</f>
        <v>0</v>
      </c>
      <c r="AB190" s="36">
        <f>IF(L190-MIN(L$160,L190)-T190&lt;0.005,0,L190-MIN(L$160,L190)-T190)</f>
        <v>0</v>
      </c>
      <c r="AC190" s="36">
        <f>SUM(U190:AB190)</f>
        <v>0</v>
      </c>
      <c r="AD190" s="36">
        <f>D190+SUM(M190:T190)</f>
        <v>0</v>
      </c>
    </row>
    <row r="191">
      <c r="B191" s="40" t="n">
        <v>27</v>
      </c>
      <c r="C191" s="36">
        <f>MAX(0,Sim_SomaParc+N(Sim_Extra)-D191)</f>
        <v>2790</v>
      </c>
      <c r="D191" s="36">
        <f>MIN(E$160,E191)+MIN(F$160,F191)+MIN(G$160,G191)+MIN(H$160,H191)+MIN(I$160,I191)+MIN(J$160,J191)+MIN(K$160,K191)+MIN(L$160,L191)</f>
        <v>0</v>
      </c>
      <c r="E191" s="36">
        <f>U190*(1+E$159)</f>
        <v>0</v>
      </c>
      <c r="F191" s="36">
        <f>V190*(1+F$159)</f>
        <v>0</v>
      </c>
      <c r="G191" s="36">
        <f>W190*(1+G$159)</f>
        <v>0</v>
      </c>
      <c r="H191" s="36">
        <f>X190*(1+H$159)</f>
        <v>0</v>
      </c>
      <c r="I191" s="36">
        <f>Y190*(1+I$159)</f>
        <v>0</v>
      </c>
      <c r="J191" s="36">
        <f>Z190*(1+J$159)</f>
        <v>0</v>
      </c>
      <c r="K191" s="36">
        <f>AA190*(1+K$159)</f>
        <v>0</v>
      </c>
      <c r="L191" s="36">
        <f>AB190*(1+L$159)</f>
        <v>0</v>
      </c>
      <c r="M191" s="36">
        <f>MIN(E191-MIN(E$160,E191),MAX(0,$C191-0))</f>
        <v>0</v>
      </c>
      <c r="N191" s="36">
        <f>MIN(F191-MIN(F$160,F191),MAX(0,$C191-SUM($M191:M191)))</f>
        <v>0</v>
      </c>
      <c r="O191" s="36">
        <f>MIN(G191-MIN(G$160,G191),MAX(0,$C191-SUM($M191:N191)))</f>
        <v>0</v>
      </c>
      <c r="P191" s="36">
        <f>MIN(H191-MIN(H$160,H191),MAX(0,$C191-SUM($M191:O191)))</f>
        <v>0</v>
      </c>
      <c r="Q191" s="36">
        <f>MIN(I191-MIN(I$160,I191),MAX(0,$C191-SUM($M191:P191)))</f>
        <v>0</v>
      </c>
      <c r="R191" s="36">
        <f>MIN(J191-MIN(J$160,J191),MAX(0,$C191-SUM($M191:Q191)))</f>
        <v>0</v>
      </c>
      <c r="S191" s="36">
        <f>MIN(K191-MIN(K$160,K191),MAX(0,$C191-SUM($M191:R191)))</f>
        <v>0</v>
      </c>
      <c r="T191" s="36">
        <f>MIN(L191-MIN(L$160,L191),MAX(0,$C191-SUM($M191:S191)))</f>
        <v>0</v>
      </c>
      <c r="U191" s="36">
        <f>IF(E191-MIN(E$160,E191)-M191&lt;0.005,0,E191-MIN(E$160,E191)-M191)</f>
        <v>0</v>
      </c>
      <c r="V191" s="36">
        <f>IF(F191-MIN(F$160,F191)-N191&lt;0.005,0,F191-MIN(F$160,F191)-N191)</f>
        <v>0</v>
      </c>
      <c r="W191" s="36">
        <f>IF(G191-MIN(G$160,G191)-O191&lt;0.005,0,G191-MIN(G$160,G191)-O191)</f>
        <v>0</v>
      </c>
      <c r="X191" s="36">
        <f>IF(H191-MIN(H$160,H191)-P191&lt;0.005,0,H191-MIN(H$160,H191)-P191)</f>
        <v>0</v>
      </c>
      <c r="Y191" s="36">
        <f>IF(I191-MIN(I$160,I191)-Q191&lt;0.005,0,I191-MIN(I$160,I191)-Q191)</f>
        <v>0</v>
      </c>
      <c r="Z191" s="36">
        <f>IF(J191-MIN(J$160,J191)-R191&lt;0.005,0,J191-MIN(J$160,J191)-R191)</f>
        <v>0</v>
      </c>
      <c r="AA191" s="36">
        <f>IF(K191-MIN(K$160,K191)-S191&lt;0.005,0,K191-MIN(K$160,K191)-S191)</f>
        <v>0</v>
      </c>
      <c r="AB191" s="36">
        <f>IF(L191-MIN(L$160,L191)-T191&lt;0.005,0,L191-MIN(L$160,L191)-T191)</f>
        <v>0</v>
      </c>
      <c r="AC191" s="36">
        <f>SUM(U191:AB191)</f>
        <v>0</v>
      </c>
      <c r="AD191" s="36">
        <f>D191+SUM(M191:T191)</f>
        <v>0</v>
      </c>
    </row>
    <row r="192">
      <c r="B192" s="40" t="n">
        <v>28</v>
      </c>
      <c r="C192" s="36">
        <f>MAX(0,Sim_SomaParc+N(Sim_Extra)-D192)</f>
        <v>2790</v>
      </c>
      <c r="D192" s="36">
        <f>MIN(E$160,E192)+MIN(F$160,F192)+MIN(G$160,G192)+MIN(H$160,H192)+MIN(I$160,I192)+MIN(J$160,J192)+MIN(K$160,K192)+MIN(L$160,L192)</f>
        <v>0</v>
      </c>
      <c r="E192" s="36">
        <f>U191*(1+E$159)</f>
        <v>0</v>
      </c>
      <c r="F192" s="36">
        <f>V191*(1+F$159)</f>
        <v>0</v>
      </c>
      <c r="G192" s="36">
        <f>W191*(1+G$159)</f>
        <v>0</v>
      </c>
      <c r="H192" s="36">
        <f>X191*(1+H$159)</f>
        <v>0</v>
      </c>
      <c r="I192" s="36">
        <f>Y191*(1+I$159)</f>
        <v>0</v>
      </c>
      <c r="J192" s="36">
        <f>Z191*(1+J$159)</f>
        <v>0</v>
      </c>
      <c r="K192" s="36">
        <f>AA191*(1+K$159)</f>
        <v>0</v>
      </c>
      <c r="L192" s="36">
        <f>AB191*(1+L$159)</f>
        <v>0</v>
      </c>
      <c r="M192" s="36">
        <f>MIN(E192-MIN(E$160,E192),MAX(0,$C192-0))</f>
        <v>0</v>
      </c>
      <c r="N192" s="36">
        <f>MIN(F192-MIN(F$160,F192),MAX(0,$C192-SUM($M192:M192)))</f>
        <v>0</v>
      </c>
      <c r="O192" s="36">
        <f>MIN(G192-MIN(G$160,G192),MAX(0,$C192-SUM($M192:N192)))</f>
        <v>0</v>
      </c>
      <c r="P192" s="36">
        <f>MIN(H192-MIN(H$160,H192),MAX(0,$C192-SUM($M192:O192)))</f>
        <v>0</v>
      </c>
      <c r="Q192" s="36">
        <f>MIN(I192-MIN(I$160,I192),MAX(0,$C192-SUM($M192:P192)))</f>
        <v>0</v>
      </c>
      <c r="R192" s="36">
        <f>MIN(J192-MIN(J$160,J192),MAX(0,$C192-SUM($M192:Q192)))</f>
        <v>0</v>
      </c>
      <c r="S192" s="36">
        <f>MIN(K192-MIN(K$160,K192),MAX(0,$C192-SUM($M192:R192)))</f>
        <v>0</v>
      </c>
      <c r="T192" s="36">
        <f>MIN(L192-MIN(L$160,L192),MAX(0,$C192-SUM($M192:S192)))</f>
        <v>0</v>
      </c>
      <c r="U192" s="36">
        <f>IF(E192-MIN(E$160,E192)-M192&lt;0.005,0,E192-MIN(E$160,E192)-M192)</f>
        <v>0</v>
      </c>
      <c r="V192" s="36">
        <f>IF(F192-MIN(F$160,F192)-N192&lt;0.005,0,F192-MIN(F$160,F192)-N192)</f>
        <v>0</v>
      </c>
      <c r="W192" s="36">
        <f>IF(G192-MIN(G$160,G192)-O192&lt;0.005,0,G192-MIN(G$160,G192)-O192)</f>
        <v>0</v>
      </c>
      <c r="X192" s="36">
        <f>IF(H192-MIN(H$160,H192)-P192&lt;0.005,0,H192-MIN(H$160,H192)-P192)</f>
        <v>0</v>
      </c>
      <c r="Y192" s="36">
        <f>IF(I192-MIN(I$160,I192)-Q192&lt;0.005,0,I192-MIN(I$160,I192)-Q192)</f>
        <v>0</v>
      </c>
      <c r="Z192" s="36">
        <f>IF(J192-MIN(J$160,J192)-R192&lt;0.005,0,J192-MIN(J$160,J192)-R192)</f>
        <v>0</v>
      </c>
      <c r="AA192" s="36">
        <f>IF(K192-MIN(K$160,K192)-S192&lt;0.005,0,K192-MIN(K$160,K192)-S192)</f>
        <v>0</v>
      </c>
      <c r="AB192" s="36">
        <f>IF(L192-MIN(L$160,L192)-T192&lt;0.005,0,L192-MIN(L$160,L192)-T192)</f>
        <v>0</v>
      </c>
      <c r="AC192" s="36">
        <f>SUM(U192:AB192)</f>
        <v>0</v>
      </c>
      <c r="AD192" s="36">
        <f>D192+SUM(M192:T192)</f>
        <v>0</v>
      </c>
    </row>
    <row r="193">
      <c r="B193" s="40" t="n">
        <v>29</v>
      </c>
      <c r="C193" s="36">
        <f>MAX(0,Sim_SomaParc+N(Sim_Extra)-D193)</f>
        <v>2790</v>
      </c>
      <c r="D193" s="36">
        <f>MIN(E$160,E193)+MIN(F$160,F193)+MIN(G$160,G193)+MIN(H$160,H193)+MIN(I$160,I193)+MIN(J$160,J193)+MIN(K$160,K193)+MIN(L$160,L193)</f>
        <v>0</v>
      </c>
      <c r="E193" s="36">
        <f>U192*(1+E$159)</f>
        <v>0</v>
      </c>
      <c r="F193" s="36">
        <f>V192*(1+F$159)</f>
        <v>0</v>
      </c>
      <c r="G193" s="36">
        <f>W192*(1+G$159)</f>
        <v>0</v>
      </c>
      <c r="H193" s="36">
        <f>X192*(1+H$159)</f>
        <v>0</v>
      </c>
      <c r="I193" s="36">
        <f>Y192*(1+I$159)</f>
        <v>0</v>
      </c>
      <c r="J193" s="36">
        <f>Z192*(1+J$159)</f>
        <v>0</v>
      </c>
      <c r="K193" s="36">
        <f>AA192*(1+K$159)</f>
        <v>0</v>
      </c>
      <c r="L193" s="36">
        <f>AB192*(1+L$159)</f>
        <v>0</v>
      </c>
      <c r="M193" s="36">
        <f>MIN(E193-MIN(E$160,E193),MAX(0,$C193-0))</f>
        <v>0</v>
      </c>
      <c r="N193" s="36">
        <f>MIN(F193-MIN(F$160,F193),MAX(0,$C193-SUM($M193:M193)))</f>
        <v>0</v>
      </c>
      <c r="O193" s="36">
        <f>MIN(G193-MIN(G$160,G193),MAX(0,$C193-SUM($M193:N193)))</f>
        <v>0</v>
      </c>
      <c r="P193" s="36">
        <f>MIN(H193-MIN(H$160,H193),MAX(0,$C193-SUM($M193:O193)))</f>
        <v>0</v>
      </c>
      <c r="Q193" s="36">
        <f>MIN(I193-MIN(I$160,I193),MAX(0,$C193-SUM($M193:P193)))</f>
        <v>0</v>
      </c>
      <c r="R193" s="36">
        <f>MIN(J193-MIN(J$160,J193),MAX(0,$C193-SUM($M193:Q193)))</f>
        <v>0</v>
      </c>
      <c r="S193" s="36">
        <f>MIN(K193-MIN(K$160,K193),MAX(0,$C193-SUM($M193:R193)))</f>
        <v>0</v>
      </c>
      <c r="T193" s="36">
        <f>MIN(L193-MIN(L$160,L193),MAX(0,$C193-SUM($M193:S193)))</f>
        <v>0</v>
      </c>
      <c r="U193" s="36">
        <f>IF(E193-MIN(E$160,E193)-M193&lt;0.005,0,E193-MIN(E$160,E193)-M193)</f>
        <v>0</v>
      </c>
      <c r="V193" s="36">
        <f>IF(F193-MIN(F$160,F193)-N193&lt;0.005,0,F193-MIN(F$160,F193)-N193)</f>
        <v>0</v>
      </c>
      <c r="W193" s="36">
        <f>IF(G193-MIN(G$160,G193)-O193&lt;0.005,0,G193-MIN(G$160,G193)-O193)</f>
        <v>0</v>
      </c>
      <c r="X193" s="36">
        <f>IF(H193-MIN(H$160,H193)-P193&lt;0.005,0,H193-MIN(H$160,H193)-P193)</f>
        <v>0</v>
      </c>
      <c r="Y193" s="36">
        <f>IF(I193-MIN(I$160,I193)-Q193&lt;0.005,0,I193-MIN(I$160,I193)-Q193)</f>
        <v>0</v>
      </c>
      <c r="Z193" s="36">
        <f>IF(J193-MIN(J$160,J193)-R193&lt;0.005,0,J193-MIN(J$160,J193)-R193)</f>
        <v>0</v>
      </c>
      <c r="AA193" s="36">
        <f>IF(K193-MIN(K$160,K193)-S193&lt;0.005,0,K193-MIN(K$160,K193)-S193)</f>
        <v>0</v>
      </c>
      <c r="AB193" s="36">
        <f>IF(L193-MIN(L$160,L193)-T193&lt;0.005,0,L193-MIN(L$160,L193)-T193)</f>
        <v>0</v>
      </c>
      <c r="AC193" s="36">
        <f>SUM(U193:AB193)</f>
        <v>0</v>
      </c>
      <c r="AD193" s="36">
        <f>D193+SUM(M193:T193)</f>
        <v>0</v>
      </c>
    </row>
    <row r="194">
      <c r="B194" s="40" t="n">
        <v>30</v>
      </c>
      <c r="C194" s="36">
        <f>MAX(0,Sim_SomaParc+N(Sim_Extra)-D194)</f>
        <v>2790</v>
      </c>
      <c r="D194" s="36">
        <f>MIN(E$160,E194)+MIN(F$160,F194)+MIN(G$160,G194)+MIN(H$160,H194)+MIN(I$160,I194)+MIN(J$160,J194)+MIN(K$160,K194)+MIN(L$160,L194)</f>
        <v>0</v>
      </c>
      <c r="E194" s="36">
        <f>U193*(1+E$159)</f>
        <v>0</v>
      </c>
      <c r="F194" s="36">
        <f>V193*(1+F$159)</f>
        <v>0</v>
      </c>
      <c r="G194" s="36">
        <f>W193*(1+G$159)</f>
        <v>0</v>
      </c>
      <c r="H194" s="36">
        <f>X193*(1+H$159)</f>
        <v>0</v>
      </c>
      <c r="I194" s="36">
        <f>Y193*(1+I$159)</f>
        <v>0</v>
      </c>
      <c r="J194" s="36">
        <f>Z193*(1+J$159)</f>
        <v>0</v>
      </c>
      <c r="K194" s="36">
        <f>AA193*(1+K$159)</f>
        <v>0</v>
      </c>
      <c r="L194" s="36">
        <f>AB193*(1+L$159)</f>
        <v>0</v>
      </c>
      <c r="M194" s="36">
        <f>MIN(E194-MIN(E$160,E194),MAX(0,$C194-0))</f>
        <v>0</v>
      </c>
      <c r="N194" s="36">
        <f>MIN(F194-MIN(F$160,F194),MAX(0,$C194-SUM($M194:M194)))</f>
        <v>0</v>
      </c>
      <c r="O194" s="36">
        <f>MIN(G194-MIN(G$160,G194),MAX(0,$C194-SUM($M194:N194)))</f>
        <v>0</v>
      </c>
      <c r="P194" s="36">
        <f>MIN(H194-MIN(H$160,H194),MAX(0,$C194-SUM($M194:O194)))</f>
        <v>0</v>
      </c>
      <c r="Q194" s="36">
        <f>MIN(I194-MIN(I$160,I194),MAX(0,$C194-SUM($M194:P194)))</f>
        <v>0</v>
      </c>
      <c r="R194" s="36">
        <f>MIN(J194-MIN(J$160,J194),MAX(0,$C194-SUM($M194:Q194)))</f>
        <v>0</v>
      </c>
      <c r="S194" s="36">
        <f>MIN(K194-MIN(K$160,K194),MAX(0,$C194-SUM($M194:R194)))</f>
        <v>0</v>
      </c>
      <c r="T194" s="36">
        <f>MIN(L194-MIN(L$160,L194),MAX(0,$C194-SUM($M194:S194)))</f>
        <v>0</v>
      </c>
      <c r="U194" s="36">
        <f>IF(E194-MIN(E$160,E194)-M194&lt;0.005,0,E194-MIN(E$160,E194)-M194)</f>
        <v>0</v>
      </c>
      <c r="V194" s="36">
        <f>IF(F194-MIN(F$160,F194)-N194&lt;0.005,0,F194-MIN(F$160,F194)-N194)</f>
        <v>0</v>
      </c>
      <c r="W194" s="36">
        <f>IF(G194-MIN(G$160,G194)-O194&lt;0.005,0,G194-MIN(G$160,G194)-O194)</f>
        <v>0</v>
      </c>
      <c r="X194" s="36">
        <f>IF(H194-MIN(H$160,H194)-P194&lt;0.005,0,H194-MIN(H$160,H194)-P194)</f>
        <v>0</v>
      </c>
      <c r="Y194" s="36">
        <f>IF(I194-MIN(I$160,I194)-Q194&lt;0.005,0,I194-MIN(I$160,I194)-Q194)</f>
        <v>0</v>
      </c>
      <c r="Z194" s="36">
        <f>IF(J194-MIN(J$160,J194)-R194&lt;0.005,0,J194-MIN(J$160,J194)-R194)</f>
        <v>0</v>
      </c>
      <c r="AA194" s="36">
        <f>IF(K194-MIN(K$160,K194)-S194&lt;0.005,0,K194-MIN(K$160,K194)-S194)</f>
        <v>0</v>
      </c>
      <c r="AB194" s="36">
        <f>IF(L194-MIN(L$160,L194)-T194&lt;0.005,0,L194-MIN(L$160,L194)-T194)</f>
        <v>0</v>
      </c>
      <c r="AC194" s="36">
        <f>SUM(U194:AB194)</f>
        <v>0</v>
      </c>
      <c r="AD194" s="36">
        <f>D194+SUM(M194:T194)</f>
        <v>0</v>
      </c>
    </row>
    <row r="195">
      <c r="B195" s="40" t="n">
        <v>31</v>
      </c>
      <c r="C195" s="36">
        <f>MAX(0,Sim_SomaParc+N(Sim_Extra)-D195)</f>
        <v>2790</v>
      </c>
      <c r="D195" s="36">
        <f>MIN(E$160,E195)+MIN(F$160,F195)+MIN(G$160,G195)+MIN(H$160,H195)+MIN(I$160,I195)+MIN(J$160,J195)+MIN(K$160,K195)+MIN(L$160,L195)</f>
        <v>0</v>
      </c>
      <c r="E195" s="36">
        <f>U194*(1+E$159)</f>
        <v>0</v>
      </c>
      <c r="F195" s="36">
        <f>V194*(1+F$159)</f>
        <v>0</v>
      </c>
      <c r="G195" s="36">
        <f>W194*(1+G$159)</f>
        <v>0</v>
      </c>
      <c r="H195" s="36">
        <f>X194*(1+H$159)</f>
        <v>0</v>
      </c>
      <c r="I195" s="36">
        <f>Y194*(1+I$159)</f>
        <v>0</v>
      </c>
      <c r="J195" s="36">
        <f>Z194*(1+J$159)</f>
        <v>0</v>
      </c>
      <c r="K195" s="36">
        <f>AA194*(1+K$159)</f>
        <v>0</v>
      </c>
      <c r="L195" s="36">
        <f>AB194*(1+L$159)</f>
        <v>0</v>
      </c>
      <c r="M195" s="36">
        <f>MIN(E195-MIN(E$160,E195),MAX(0,$C195-0))</f>
        <v>0</v>
      </c>
      <c r="N195" s="36">
        <f>MIN(F195-MIN(F$160,F195),MAX(0,$C195-SUM($M195:M195)))</f>
        <v>0</v>
      </c>
      <c r="O195" s="36">
        <f>MIN(G195-MIN(G$160,G195),MAX(0,$C195-SUM($M195:N195)))</f>
        <v>0</v>
      </c>
      <c r="P195" s="36">
        <f>MIN(H195-MIN(H$160,H195),MAX(0,$C195-SUM($M195:O195)))</f>
        <v>0</v>
      </c>
      <c r="Q195" s="36">
        <f>MIN(I195-MIN(I$160,I195),MAX(0,$C195-SUM($M195:P195)))</f>
        <v>0</v>
      </c>
      <c r="R195" s="36">
        <f>MIN(J195-MIN(J$160,J195),MAX(0,$C195-SUM($M195:Q195)))</f>
        <v>0</v>
      </c>
      <c r="S195" s="36">
        <f>MIN(K195-MIN(K$160,K195),MAX(0,$C195-SUM($M195:R195)))</f>
        <v>0</v>
      </c>
      <c r="T195" s="36">
        <f>MIN(L195-MIN(L$160,L195),MAX(0,$C195-SUM($M195:S195)))</f>
        <v>0</v>
      </c>
      <c r="U195" s="36">
        <f>IF(E195-MIN(E$160,E195)-M195&lt;0.005,0,E195-MIN(E$160,E195)-M195)</f>
        <v>0</v>
      </c>
      <c r="V195" s="36">
        <f>IF(F195-MIN(F$160,F195)-N195&lt;0.005,0,F195-MIN(F$160,F195)-N195)</f>
        <v>0</v>
      </c>
      <c r="W195" s="36">
        <f>IF(G195-MIN(G$160,G195)-O195&lt;0.005,0,G195-MIN(G$160,G195)-O195)</f>
        <v>0</v>
      </c>
      <c r="X195" s="36">
        <f>IF(H195-MIN(H$160,H195)-P195&lt;0.005,0,H195-MIN(H$160,H195)-P195)</f>
        <v>0</v>
      </c>
      <c r="Y195" s="36">
        <f>IF(I195-MIN(I$160,I195)-Q195&lt;0.005,0,I195-MIN(I$160,I195)-Q195)</f>
        <v>0</v>
      </c>
      <c r="Z195" s="36">
        <f>IF(J195-MIN(J$160,J195)-R195&lt;0.005,0,J195-MIN(J$160,J195)-R195)</f>
        <v>0</v>
      </c>
      <c r="AA195" s="36">
        <f>IF(K195-MIN(K$160,K195)-S195&lt;0.005,0,K195-MIN(K$160,K195)-S195)</f>
        <v>0</v>
      </c>
      <c r="AB195" s="36">
        <f>IF(L195-MIN(L$160,L195)-T195&lt;0.005,0,L195-MIN(L$160,L195)-T195)</f>
        <v>0</v>
      </c>
      <c r="AC195" s="36">
        <f>SUM(U195:AB195)</f>
        <v>0</v>
      </c>
      <c r="AD195" s="36">
        <f>D195+SUM(M195:T195)</f>
        <v>0</v>
      </c>
    </row>
    <row r="196">
      <c r="B196" s="40" t="n">
        <v>32</v>
      </c>
      <c r="C196" s="36">
        <f>MAX(0,Sim_SomaParc+N(Sim_Extra)-D196)</f>
        <v>2790</v>
      </c>
      <c r="D196" s="36">
        <f>MIN(E$160,E196)+MIN(F$160,F196)+MIN(G$160,G196)+MIN(H$160,H196)+MIN(I$160,I196)+MIN(J$160,J196)+MIN(K$160,K196)+MIN(L$160,L196)</f>
        <v>0</v>
      </c>
      <c r="E196" s="36">
        <f>U195*(1+E$159)</f>
        <v>0</v>
      </c>
      <c r="F196" s="36">
        <f>V195*(1+F$159)</f>
        <v>0</v>
      </c>
      <c r="G196" s="36">
        <f>W195*(1+G$159)</f>
        <v>0</v>
      </c>
      <c r="H196" s="36">
        <f>X195*(1+H$159)</f>
        <v>0</v>
      </c>
      <c r="I196" s="36">
        <f>Y195*(1+I$159)</f>
        <v>0</v>
      </c>
      <c r="J196" s="36">
        <f>Z195*(1+J$159)</f>
        <v>0</v>
      </c>
      <c r="K196" s="36">
        <f>AA195*(1+K$159)</f>
        <v>0</v>
      </c>
      <c r="L196" s="36">
        <f>AB195*(1+L$159)</f>
        <v>0</v>
      </c>
      <c r="M196" s="36">
        <f>MIN(E196-MIN(E$160,E196),MAX(0,$C196-0))</f>
        <v>0</v>
      </c>
      <c r="N196" s="36">
        <f>MIN(F196-MIN(F$160,F196),MAX(0,$C196-SUM($M196:M196)))</f>
        <v>0</v>
      </c>
      <c r="O196" s="36">
        <f>MIN(G196-MIN(G$160,G196),MAX(0,$C196-SUM($M196:N196)))</f>
        <v>0</v>
      </c>
      <c r="P196" s="36">
        <f>MIN(H196-MIN(H$160,H196),MAX(0,$C196-SUM($M196:O196)))</f>
        <v>0</v>
      </c>
      <c r="Q196" s="36">
        <f>MIN(I196-MIN(I$160,I196),MAX(0,$C196-SUM($M196:P196)))</f>
        <v>0</v>
      </c>
      <c r="R196" s="36">
        <f>MIN(J196-MIN(J$160,J196),MAX(0,$C196-SUM($M196:Q196)))</f>
        <v>0</v>
      </c>
      <c r="S196" s="36">
        <f>MIN(K196-MIN(K$160,K196),MAX(0,$C196-SUM($M196:R196)))</f>
        <v>0</v>
      </c>
      <c r="T196" s="36">
        <f>MIN(L196-MIN(L$160,L196),MAX(0,$C196-SUM($M196:S196)))</f>
        <v>0</v>
      </c>
      <c r="U196" s="36">
        <f>IF(E196-MIN(E$160,E196)-M196&lt;0.005,0,E196-MIN(E$160,E196)-M196)</f>
        <v>0</v>
      </c>
      <c r="V196" s="36">
        <f>IF(F196-MIN(F$160,F196)-N196&lt;0.005,0,F196-MIN(F$160,F196)-N196)</f>
        <v>0</v>
      </c>
      <c r="W196" s="36">
        <f>IF(G196-MIN(G$160,G196)-O196&lt;0.005,0,G196-MIN(G$160,G196)-O196)</f>
        <v>0</v>
      </c>
      <c r="X196" s="36">
        <f>IF(H196-MIN(H$160,H196)-P196&lt;0.005,0,H196-MIN(H$160,H196)-P196)</f>
        <v>0</v>
      </c>
      <c r="Y196" s="36">
        <f>IF(I196-MIN(I$160,I196)-Q196&lt;0.005,0,I196-MIN(I$160,I196)-Q196)</f>
        <v>0</v>
      </c>
      <c r="Z196" s="36">
        <f>IF(J196-MIN(J$160,J196)-R196&lt;0.005,0,J196-MIN(J$160,J196)-R196)</f>
        <v>0</v>
      </c>
      <c r="AA196" s="36">
        <f>IF(K196-MIN(K$160,K196)-S196&lt;0.005,0,K196-MIN(K$160,K196)-S196)</f>
        <v>0</v>
      </c>
      <c r="AB196" s="36">
        <f>IF(L196-MIN(L$160,L196)-T196&lt;0.005,0,L196-MIN(L$160,L196)-T196)</f>
        <v>0</v>
      </c>
      <c r="AC196" s="36">
        <f>SUM(U196:AB196)</f>
        <v>0</v>
      </c>
      <c r="AD196" s="36">
        <f>D196+SUM(M196:T196)</f>
        <v>0</v>
      </c>
    </row>
    <row r="197">
      <c r="B197" s="40" t="n">
        <v>33</v>
      </c>
      <c r="C197" s="36">
        <f>MAX(0,Sim_SomaParc+N(Sim_Extra)-D197)</f>
        <v>2790</v>
      </c>
      <c r="D197" s="36">
        <f>MIN(E$160,E197)+MIN(F$160,F197)+MIN(G$160,G197)+MIN(H$160,H197)+MIN(I$160,I197)+MIN(J$160,J197)+MIN(K$160,K197)+MIN(L$160,L197)</f>
        <v>0</v>
      </c>
      <c r="E197" s="36">
        <f>U196*(1+E$159)</f>
        <v>0</v>
      </c>
      <c r="F197" s="36">
        <f>V196*(1+F$159)</f>
        <v>0</v>
      </c>
      <c r="G197" s="36">
        <f>W196*(1+G$159)</f>
        <v>0</v>
      </c>
      <c r="H197" s="36">
        <f>X196*(1+H$159)</f>
        <v>0</v>
      </c>
      <c r="I197" s="36">
        <f>Y196*(1+I$159)</f>
        <v>0</v>
      </c>
      <c r="J197" s="36">
        <f>Z196*(1+J$159)</f>
        <v>0</v>
      </c>
      <c r="K197" s="36">
        <f>AA196*(1+K$159)</f>
        <v>0</v>
      </c>
      <c r="L197" s="36">
        <f>AB196*(1+L$159)</f>
        <v>0</v>
      </c>
      <c r="M197" s="36">
        <f>MIN(E197-MIN(E$160,E197),MAX(0,$C197-0))</f>
        <v>0</v>
      </c>
      <c r="N197" s="36">
        <f>MIN(F197-MIN(F$160,F197),MAX(0,$C197-SUM($M197:M197)))</f>
        <v>0</v>
      </c>
      <c r="O197" s="36">
        <f>MIN(G197-MIN(G$160,G197),MAX(0,$C197-SUM($M197:N197)))</f>
        <v>0</v>
      </c>
      <c r="P197" s="36">
        <f>MIN(H197-MIN(H$160,H197),MAX(0,$C197-SUM($M197:O197)))</f>
        <v>0</v>
      </c>
      <c r="Q197" s="36">
        <f>MIN(I197-MIN(I$160,I197),MAX(0,$C197-SUM($M197:P197)))</f>
        <v>0</v>
      </c>
      <c r="R197" s="36">
        <f>MIN(J197-MIN(J$160,J197),MAX(0,$C197-SUM($M197:Q197)))</f>
        <v>0</v>
      </c>
      <c r="S197" s="36">
        <f>MIN(K197-MIN(K$160,K197),MAX(0,$C197-SUM($M197:R197)))</f>
        <v>0</v>
      </c>
      <c r="T197" s="36">
        <f>MIN(L197-MIN(L$160,L197),MAX(0,$C197-SUM($M197:S197)))</f>
        <v>0</v>
      </c>
      <c r="U197" s="36">
        <f>IF(E197-MIN(E$160,E197)-M197&lt;0.005,0,E197-MIN(E$160,E197)-M197)</f>
        <v>0</v>
      </c>
      <c r="V197" s="36">
        <f>IF(F197-MIN(F$160,F197)-N197&lt;0.005,0,F197-MIN(F$160,F197)-N197)</f>
        <v>0</v>
      </c>
      <c r="W197" s="36">
        <f>IF(G197-MIN(G$160,G197)-O197&lt;0.005,0,G197-MIN(G$160,G197)-O197)</f>
        <v>0</v>
      </c>
      <c r="X197" s="36">
        <f>IF(H197-MIN(H$160,H197)-P197&lt;0.005,0,H197-MIN(H$160,H197)-P197)</f>
        <v>0</v>
      </c>
      <c r="Y197" s="36">
        <f>IF(I197-MIN(I$160,I197)-Q197&lt;0.005,0,I197-MIN(I$160,I197)-Q197)</f>
        <v>0</v>
      </c>
      <c r="Z197" s="36">
        <f>IF(J197-MIN(J$160,J197)-R197&lt;0.005,0,J197-MIN(J$160,J197)-R197)</f>
        <v>0</v>
      </c>
      <c r="AA197" s="36">
        <f>IF(K197-MIN(K$160,K197)-S197&lt;0.005,0,K197-MIN(K$160,K197)-S197)</f>
        <v>0</v>
      </c>
      <c r="AB197" s="36">
        <f>IF(L197-MIN(L$160,L197)-T197&lt;0.005,0,L197-MIN(L$160,L197)-T197)</f>
        <v>0</v>
      </c>
      <c r="AC197" s="36">
        <f>SUM(U197:AB197)</f>
        <v>0</v>
      </c>
      <c r="AD197" s="36">
        <f>D197+SUM(M197:T197)</f>
        <v>0</v>
      </c>
    </row>
    <row r="198">
      <c r="B198" s="40" t="n">
        <v>34</v>
      </c>
      <c r="C198" s="36">
        <f>MAX(0,Sim_SomaParc+N(Sim_Extra)-D198)</f>
        <v>2790</v>
      </c>
      <c r="D198" s="36">
        <f>MIN(E$160,E198)+MIN(F$160,F198)+MIN(G$160,G198)+MIN(H$160,H198)+MIN(I$160,I198)+MIN(J$160,J198)+MIN(K$160,K198)+MIN(L$160,L198)</f>
        <v>0</v>
      </c>
      <c r="E198" s="36">
        <f>U197*(1+E$159)</f>
        <v>0</v>
      </c>
      <c r="F198" s="36">
        <f>V197*(1+F$159)</f>
        <v>0</v>
      </c>
      <c r="G198" s="36">
        <f>W197*(1+G$159)</f>
        <v>0</v>
      </c>
      <c r="H198" s="36">
        <f>X197*(1+H$159)</f>
        <v>0</v>
      </c>
      <c r="I198" s="36">
        <f>Y197*(1+I$159)</f>
        <v>0</v>
      </c>
      <c r="J198" s="36">
        <f>Z197*(1+J$159)</f>
        <v>0</v>
      </c>
      <c r="K198" s="36">
        <f>AA197*(1+K$159)</f>
        <v>0</v>
      </c>
      <c r="L198" s="36">
        <f>AB197*(1+L$159)</f>
        <v>0</v>
      </c>
      <c r="M198" s="36">
        <f>MIN(E198-MIN(E$160,E198),MAX(0,$C198-0))</f>
        <v>0</v>
      </c>
      <c r="N198" s="36">
        <f>MIN(F198-MIN(F$160,F198),MAX(0,$C198-SUM($M198:M198)))</f>
        <v>0</v>
      </c>
      <c r="O198" s="36">
        <f>MIN(G198-MIN(G$160,G198),MAX(0,$C198-SUM($M198:N198)))</f>
        <v>0</v>
      </c>
      <c r="P198" s="36">
        <f>MIN(H198-MIN(H$160,H198),MAX(0,$C198-SUM($M198:O198)))</f>
        <v>0</v>
      </c>
      <c r="Q198" s="36">
        <f>MIN(I198-MIN(I$160,I198),MAX(0,$C198-SUM($M198:P198)))</f>
        <v>0</v>
      </c>
      <c r="R198" s="36">
        <f>MIN(J198-MIN(J$160,J198),MAX(0,$C198-SUM($M198:Q198)))</f>
        <v>0</v>
      </c>
      <c r="S198" s="36">
        <f>MIN(K198-MIN(K$160,K198),MAX(0,$C198-SUM($M198:R198)))</f>
        <v>0</v>
      </c>
      <c r="T198" s="36">
        <f>MIN(L198-MIN(L$160,L198),MAX(0,$C198-SUM($M198:S198)))</f>
        <v>0</v>
      </c>
      <c r="U198" s="36">
        <f>IF(E198-MIN(E$160,E198)-M198&lt;0.005,0,E198-MIN(E$160,E198)-M198)</f>
        <v>0</v>
      </c>
      <c r="V198" s="36">
        <f>IF(F198-MIN(F$160,F198)-N198&lt;0.005,0,F198-MIN(F$160,F198)-N198)</f>
        <v>0</v>
      </c>
      <c r="W198" s="36">
        <f>IF(G198-MIN(G$160,G198)-O198&lt;0.005,0,G198-MIN(G$160,G198)-O198)</f>
        <v>0</v>
      </c>
      <c r="X198" s="36">
        <f>IF(H198-MIN(H$160,H198)-P198&lt;0.005,0,H198-MIN(H$160,H198)-P198)</f>
        <v>0</v>
      </c>
      <c r="Y198" s="36">
        <f>IF(I198-MIN(I$160,I198)-Q198&lt;0.005,0,I198-MIN(I$160,I198)-Q198)</f>
        <v>0</v>
      </c>
      <c r="Z198" s="36">
        <f>IF(J198-MIN(J$160,J198)-R198&lt;0.005,0,J198-MIN(J$160,J198)-R198)</f>
        <v>0</v>
      </c>
      <c r="AA198" s="36">
        <f>IF(K198-MIN(K$160,K198)-S198&lt;0.005,0,K198-MIN(K$160,K198)-S198)</f>
        <v>0</v>
      </c>
      <c r="AB198" s="36">
        <f>IF(L198-MIN(L$160,L198)-T198&lt;0.005,0,L198-MIN(L$160,L198)-T198)</f>
        <v>0</v>
      </c>
      <c r="AC198" s="36">
        <f>SUM(U198:AB198)</f>
        <v>0</v>
      </c>
      <c r="AD198" s="36">
        <f>D198+SUM(M198:T198)</f>
        <v>0</v>
      </c>
    </row>
    <row r="199">
      <c r="B199" s="40" t="n">
        <v>35</v>
      </c>
      <c r="C199" s="36">
        <f>MAX(0,Sim_SomaParc+N(Sim_Extra)-D199)</f>
        <v>2790</v>
      </c>
      <c r="D199" s="36">
        <f>MIN(E$160,E199)+MIN(F$160,F199)+MIN(G$160,G199)+MIN(H$160,H199)+MIN(I$160,I199)+MIN(J$160,J199)+MIN(K$160,K199)+MIN(L$160,L199)</f>
        <v>0</v>
      </c>
      <c r="E199" s="36">
        <f>U198*(1+E$159)</f>
        <v>0</v>
      </c>
      <c r="F199" s="36">
        <f>V198*(1+F$159)</f>
        <v>0</v>
      </c>
      <c r="G199" s="36">
        <f>W198*(1+G$159)</f>
        <v>0</v>
      </c>
      <c r="H199" s="36">
        <f>X198*(1+H$159)</f>
        <v>0</v>
      </c>
      <c r="I199" s="36">
        <f>Y198*(1+I$159)</f>
        <v>0</v>
      </c>
      <c r="J199" s="36">
        <f>Z198*(1+J$159)</f>
        <v>0</v>
      </c>
      <c r="K199" s="36">
        <f>AA198*(1+K$159)</f>
        <v>0</v>
      </c>
      <c r="L199" s="36">
        <f>AB198*(1+L$159)</f>
        <v>0</v>
      </c>
      <c r="M199" s="36">
        <f>MIN(E199-MIN(E$160,E199),MAX(0,$C199-0))</f>
        <v>0</v>
      </c>
      <c r="N199" s="36">
        <f>MIN(F199-MIN(F$160,F199),MAX(0,$C199-SUM($M199:M199)))</f>
        <v>0</v>
      </c>
      <c r="O199" s="36">
        <f>MIN(G199-MIN(G$160,G199),MAX(0,$C199-SUM($M199:N199)))</f>
        <v>0</v>
      </c>
      <c r="P199" s="36">
        <f>MIN(H199-MIN(H$160,H199),MAX(0,$C199-SUM($M199:O199)))</f>
        <v>0</v>
      </c>
      <c r="Q199" s="36">
        <f>MIN(I199-MIN(I$160,I199),MAX(0,$C199-SUM($M199:P199)))</f>
        <v>0</v>
      </c>
      <c r="R199" s="36">
        <f>MIN(J199-MIN(J$160,J199),MAX(0,$C199-SUM($M199:Q199)))</f>
        <v>0</v>
      </c>
      <c r="S199" s="36">
        <f>MIN(K199-MIN(K$160,K199),MAX(0,$C199-SUM($M199:R199)))</f>
        <v>0</v>
      </c>
      <c r="T199" s="36">
        <f>MIN(L199-MIN(L$160,L199),MAX(0,$C199-SUM($M199:S199)))</f>
        <v>0</v>
      </c>
      <c r="U199" s="36">
        <f>IF(E199-MIN(E$160,E199)-M199&lt;0.005,0,E199-MIN(E$160,E199)-M199)</f>
        <v>0</v>
      </c>
      <c r="V199" s="36">
        <f>IF(F199-MIN(F$160,F199)-N199&lt;0.005,0,F199-MIN(F$160,F199)-N199)</f>
        <v>0</v>
      </c>
      <c r="W199" s="36">
        <f>IF(G199-MIN(G$160,G199)-O199&lt;0.005,0,G199-MIN(G$160,G199)-O199)</f>
        <v>0</v>
      </c>
      <c r="X199" s="36">
        <f>IF(H199-MIN(H$160,H199)-P199&lt;0.005,0,H199-MIN(H$160,H199)-P199)</f>
        <v>0</v>
      </c>
      <c r="Y199" s="36">
        <f>IF(I199-MIN(I$160,I199)-Q199&lt;0.005,0,I199-MIN(I$160,I199)-Q199)</f>
        <v>0</v>
      </c>
      <c r="Z199" s="36">
        <f>IF(J199-MIN(J$160,J199)-R199&lt;0.005,0,J199-MIN(J$160,J199)-R199)</f>
        <v>0</v>
      </c>
      <c r="AA199" s="36">
        <f>IF(K199-MIN(K$160,K199)-S199&lt;0.005,0,K199-MIN(K$160,K199)-S199)</f>
        <v>0</v>
      </c>
      <c r="AB199" s="36">
        <f>IF(L199-MIN(L$160,L199)-T199&lt;0.005,0,L199-MIN(L$160,L199)-T199)</f>
        <v>0</v>
      </c>
      <c r="AC199" s="36">
        <f>SUM(U199:AB199)</f>
        <v>0</v>
      </c>
      <c r="AD199" s="36">
        <f>D199+SUM(M199:T199)</f>
        <v>0</v>
      </c>
    </row>
    <row r="200">
      <c r="B200" s="40" t="n">
        <v>36</v>
      </c>
      <c r="C200" s="36">
        <f>MAX(0,Sim_SomaParc+N(Sim_Extra)-D200)</f>
        <v>2790</v>
      </c>
      <c r="D200" s="36">
        <f>MIN(E$160,E200)+MIN(F$160,F200)+MIN(G$160,G200)+MIN(H$160,H200)+MIN(I$160,I200)+MIN(J$160,J200)+MIN(K$160,K200)+MIN(L$160,L200)</f>
        <v>0</v>
      </c>
      <c r="E200" s="36">
        <f>U199*(1+E$159)</f>
        <v>0</v>
      </c>
      <c r="F200" s="36">
        <f>V199*(1+F$159)</f>
        <v>0</v>
      </c>
      <c r="G200" s="36">
        <f>W199*(1+G$159)</f>
        <v>0</v>
      </c>
      <c r="H200" s="36">
        <f>X199*(1+H$159)</f>
        <v>0</v>
      </c>
      <c r="I200" s="36">
        <f>Y199*(1+I$159)</f>
        <v>0</v>
      </c>
      <c r="J200" s="36">
        <f>Z199*(1+J$159)</f>
        <v>0</v>
      </c>
      <c r="K200" s="36">
        <f>AA199*(1+K$159)</f>
        <v>0</v>
      </c>
      <c r="L200" s="36">
        <f>AB199*(1+L$159)</f>
        <v>0</v>
      </c>
      <c r="M200" s="36">
        <f>MIN(E200-MIN(E$160,E200),MAX(0,$C200-0))</f>
        <v>0</v>
      </c>
      <c r="N200" s="36">
        <f>MIN(F200-MIN(F$160,F200),MAX(0,$C200-SUM($M200:M200)))</f>
        <v>0</v>
      </c>
      <c r="O200" s="36">
        <f>MIN(G200-MIN(G$160,G200),MAX(0,$C200-SUM($M200:N200)))</f>
        <v>0</v>
      </c>
      <c r="P200" s="36">
        <f>MIN(H200-MIN(H$160,H200),MAX(0,$C200-SUM($M200:O200)))</f>
        <v>0</v>
      </c>
      <c r="Q200" s="36">
        <f>MIN(I200-MIN(I$160,I200),MAX(0,$C200-SUM($M200:P200)))</f>
        <v>0</v>
      </c>
      <c r="R200" s="36">
        <f>MIN(J200-MIN(J$160,J200),MAX(0,$C200-SUM($M200:Q200)))</f>
        <v>0</v>
      </c>
      <c r="S200" s="36">
        <f>MIN(K200-MIN(K$160,K200),MAX(0,$C200-SUM($M200:R200)))</f>
        <v>0</v>
      </c>
      <c r="T200" s="36">
        <f>MIN(L200-MIN(L$160,L200),MAX(0,$C200-SUM($M200:S200)))</f>
        <v>0</v>
      </c>
      <c r="U200" s="36">
        <f>IF(E200-MIN(E$160,E200)-M200&lt;0.005,0,E200-MIN(E$160,E200)-M200)</f>
        <v>0</v>
      </c>
      <c r="V200" s="36">
        <f>IF(F200-MIN(F$160,F200)-N200&lt;0.005,0,F200-MIN(F$160,F200)-N200)</f>
        <v>0</v>
      </c>
      <c r="W200" s="36">
        <f>IF(G200-MIN(G$160,G200)-O200&lt;0.005,0,G200-MIN(G$160,G200)-O200)</f>
        <v>0</v>
      </c>
      <c r="X200" s="36">
        <f>IF(H200-MIN(H$160,H200)-P200&lt;0.005,0,H200-MIN(H$160,H200)-P200)</f>
        <v>0</v>
      </c>
      <c r="Y200" s="36">
        <f>IF(I200-MIN(I$160,I200)-Q200&lt;0.005,0,I200-MIN(I$160,I200)-Q200)</f>
        <v>0</v>
      </c>
      <c r="Z200" s="36">
        <f>IF(J200-MIN(J$160,J200)-R200&lt;0.005,0,J200-MIN(J$160,J200)-R200)</f>
        <v>0</v>
      </c>
      <c r="AA200" s="36">
        <f>IF(K200-MIN(K$160,K200)-S200&lt;0.005,0,K200-MIN(K$160,K200)-S200)</f>
        <v>0</v>
      </c>
      <c r="AB200" s="36">
        <f>IF(L200-MIN(L$160,L200)-T200&lt;0.005,0,L200-MIN(L$160,L200)-T200)</f>
        <v>0</v>
      </c>
      <c r="AC200" s="36">
        <f>SUM(U200:AB200)</f>
        <v>0</v>
      </c>
      <c r="AD200" s="36">
        <f>D200+SUM(M200:T200)</f>
        <v>0</v>
      </c>
    </row>
    <row r="201">
      <c r="B201" s="40" t="n">
        <v>37</v>
      </c>
      <c r="C201" s="36">
        <f>MAX(0,Sim_SomaParc+N(Sim_Extra)-D201)</f>
        <v>2790</v>
      </c>
      <c r="D201" s="36">
        <f>MIN(E$160,E201)+MIN(F$160,F201)+MIN(G$160,G201)+MIN(H$160,H201)+MIN(I$160,I201)+MIN(J$160,J201)+MIN(K$160,K201)+MIN(L$160,L201)</f>
        <v>0</v>
      </c>
      <c r="E201" s="36">
        <f>U200*(1+E$159)</f>
        <v>0</v>
      </c>
      <c r="F201" s="36">
        <f>V200*(1+F$159)</f>
        <v>0</v>
      </c>
      <c r="G201" s="36">
        <f>W200*(1+G$159)</f>
        <v>0</v>
      </c>
      <c r="H201" s="36">
        <f>X200*(1+H$159)</f>
        <v>0</v>
      </c>
      <c r="I201" s="36">
        <f>Y200*(1+I$159)</f>
        <v>0</v>
      </c>
      <c r="J201" s="36">
        <f>Z200*(1+J$159)</f>
        <v>0</v>
      </c>
      <c r="K201" s="36">
        <f>AA200*(1+K$159)</f>
        <v>0</v>
      </c>
      <c r="L201" s="36">
        <f>AB200*(1+L$159)</f>
        <v>0</v>
      </c>
      <c r="M201" s="36">
        <f>MIN(E201-MIN(E$160,E201),MAX(0,$C201-0))</f>
        <v>0</v>
      </c>
      <c r="N201" s="36">
        <f>MIN(F201-MIN(F$160,F201),MAX(0,$C201-SUM($M201:M201)))</f>
        <v>0</v>
      </c>
      <c r="O201" s="36">
        <f>MIN(G201-MIN(G$160,G201),MAX(0,$C201-SUM($M201:N201)))</f>
        <v>0</v>
      </c>
      <c r="P201" s="36">
        <f>MIN(H201-MIN(H$160,H201),MAX(0,$C201-SUM($M201:O201)))</f>
        <v>0</v>
      </c>
      <c r="Q201" s="36">
        <f>MIN(I201-MIN(I$160,I201),MAX(0,$C201-SUM($M201:P201)))</f>
        <v>0</v>
      </c>
      <c r="R201" s="36">
        <f>MIN(J201-MIN(J$160,J201),MAX(0,$C201-SUM($M201:Q201)))</f>
        <v>0</v>
      </c>
      <c r="S201" s="36">
        <f>MIN(K201-MIN(K$160,K201),MAX(0,$C201-SUM($M201:R201)))</f>
        <v>0</v>
      </c>
      <c r="T201" s="36">
        <f>MIN(L201-MIN(L$160,L201),MAX(0,$C201-SUM($M201:S201)))</f>
        <v>0</v>
      </c>
      <c r="U201" s="36">
        <f>IF(E201-MIN(E$160,E201)-M201&lt;0.005,0,E201-MIN(E$160,E201)-M201)</f>
        <v>0</v>
      </c>
      <c r="V201" s="36">
        <f>IF(F201-MIN(F$160,F201)-N201&lt;0.005,0,F201-MIN(F$160,F201)-N201)</f>
        <v>0</v>
      </c>
      <c r="W201" s="36">
        <f>IF(G201-MIN(G$160,G201)-O201&lt;0.005,0,G201-MIN(G$160,G201)-O201)</f>
        <v>0</v>
      </c>
      <c r="X201" s="36">
        <f>IF(H201-MIN(H$160,H201)-P201&lt;0.005,0,H201-MIN(H$160,H201)-P201)</f>
        <v>0</v>
      </c>
      <c r="Y201" s="36">
        <f>IF(I201-MIN(I$160,I201)-Q201&lt;0.005,0,I201-MIN(I$160,I201)-Q201)</f>
        <v>0</v>
      </c>
      <c r="Z201" s="36">
        <f>IF(J201-MIN(J$160,J201)-R201&lt;0.005,0,J201-MIN(J$160,J201)-R201)</f>
        <v>0</v>
      </c>
      <c r="AA201" s="36">
        <f>IF(K201-MIN(K$160,K201)-S201&lt;0.005,0,K201-MIN(K$160,K201)-S201)</f>
        <v>0</v>
      </c>
      <c r="AB201" s="36">
        <f>IF(L201-MIN(L$160,L201)-T201&lt;0.005,0,L201-MIN(L$160,L201)-T201)</f>
        <v>0</v>
      </c>
      <c r="AC201" s="36">
        <f>SUM(U201:AB201)</f>
        <v>0</v>
      </c>
      <c r="AD201" s="36">
        <f>D201+SUM(M201:T201)</f>
        <v>0</v>
      </c>
    </row>
    <row r="202">
      <c r="B202" s="40" t="n">
        <v>38</v>
      </c>
      <c r="C202" s="36">
        <f>MAX(0,Sim_SomaParc+N(Sim_Extra)-D202)</f>
        <v>2790</v>
      </c>
      <c r="D202" s="36">
        <f>MIN(E$160,E202)+MIN(F$160,F202)+MIN(G$160,G202)+MIN(H$160,H202)+MIN(I$160,I202)+MIN(J$160,J202)+MIN(K$160,K202)+MIN(L$160,L202)</f>
        <v>0</v>
      </c>
      <c r="E202" s="36">
        <f>U201*(1+E$159)</f>
        <v>0</v>
      </c>
      <c r="F202" s="36">
        <f>V201*(1+F$159)</f>
        <v>0</v>
      </c>
      <c r="G202" s="36">
        <f>W201*(1+G$159)</f>
        <v>0</v>
      </c>
      <c r="H202" s="36">
        <f>X201*(1+H$159)</f>
        <v>0</v>
      </c>
      <c r="I202" s="36">
        <f>Y201*(1+I$159)</f>
        <v>0</v>
      </c>
      <c r="J202" s="36">
        <f>Z201*(1+J$159)</f>
        <v>0</v>
      </c>
      <c r="K202" s="36">
        <f>AA201*(1+K$159)</f>
        <v>0</v>
      </c>
      <c r="L202" s="36">
        <f>AB201*(1+L$159)</f>
        <v>0</v>
      </c>
      <c r="M202" s="36">
        <f>MIN(E202-MIN(E$160,E202),MAX(0,$C202-0))</f>
        <v>0</v>
      </c>
      <c r="N202" s="36">
        <f>MIN(F202-MIN(F$160,F202),MAX(0,$C202-SUM($M202:M202)))</f>
        <v>0</v>
      </c>
      <c r="O202" s="36">
        <f>MIN(G202-MIN(G$160,G202),MAX(0,$C202-SUM($M202:N202)))</f>
        <v>0</v>
      </c>
      <c r="P202" s="36">
        <f>MIN(H202-MIN(H$160,H202),MAX(0,$C202-SUM($M202:O202)))</f>
        <v>0</v>
      </c>
      <c r="Q202" s="36">
        <f>MIN(I202-MIN(I$160,I202),MAX(0,$C202-SUM($M202:P202)))</f>
        <v>0</v>
      </c>
      <c r="R202" s="36">
        <f>MIN(J202-MIN(J$160,J202),MAX(0,$C202-SUM($M202:Q202)))</f>
        <v>0</v>
      </c>
      <c r="S202" s="36">
        <f>MIN(K202-MIN(K$160,K202),MAX(0,$C202-SUM($M202:R202)))</f>
        <v>0</v>
      </c>
      <c r="T202" s="36">
        <f>MIN(L202-MIN(L$160,L202),MAX(0,$C202-SUM($M202:S202)))</f>
        <v>0</v>
      </c>
      <c r="U202" s="36">
        <f>IF(E202-MIN(E$160,E202)-M202&lt;0.005,0,E202-MIN(E$160,E202)-M202)</f>
        <v>0</v>
      </c>
      <c r="V202" s="36">
        <f>IF(F202-MIN(F$160,F202)-N202&lt;0.005,0,F202-MIN(F$160,F202)-N202)</f>
        <v>0</v>
      </c>
      <c r="W202" s="36">
        <f>IF(G202-MIN(G$160,G202)-O202&lt;0.005,0,G202-MIN(G$160,G202)-O202)</f>
        <v>0</v>
      </c>
      <c r="X202" s="36">
        <f>IF(H202-MIN(H$160,H202)-P202&lt;0.005,0,H202-MIN(H$160,H202)-P202)</f>
        <v>0</v>
      </c>
      <c r="Y202" s="36">
        <f>IF(I202-MIN(I$160,I202)-Q202&lt;0.005,0,I202-MIN(I$160,I202)-Q202)</f>
        <v>0</v>
      </c>
      <c r="Z202" s="36">
        <f>IF(J202-MIN(J$160,J202)-R202&lt;0.005,0,J202-MIN(J$160,J202)-R202)</f>
        <v>0</v>
      </c>
      <c r="AA202" s="36">
        <f>IF(K202-MIN(K$160,K202)-S202&lt;0.005,0,K202-MIN(K$160,K202)-S202)</f>
        <v>0</v>
      </c>
      <c r="AB202" s="36">
        <f>IF(L202-MIN(L$160,L202)-T202&lt;0.005,0,L202-MIN(L$160,L202)-T202)</f>
        <v>0</v>
      </c>
      <c r="AC202" s="36">
        <f>SUM(U202:AB202)</f>
        <v>0</v>
      </c>
      <c r="AD202" s="36">
        <f>D202+SUM(M202:T202)</f>
        <v>0</v>
      </c>
    </row>
    <row r="203">
      <c r="B203" s="40" t="n">
        <v>39</v>
      </c>
      <c r="C203" s="36">
        <f>MAX(0,Sim_SomaParc+N(Sim_Extra)-D203)</f>
        <v>2790</v>
      </c>
      <c r="D203" s="36">
        <f>MIN(E$160,E203)+MIN(F$160,F203)+MIN(G$160,G203)+MIN(H$160,H203)+MIN(I$160,I203)+MIN(J$160,J203)+MIN(K$160,K203)+MIN(L$160,L203)</f>
        <v>0</v>
      </c>
      <c r="E203" s="36">
        <f>U202*(1+E$159)</f>
        <v>0</v>
      </c>
      <c r="F203" s="36">
        <f>V202*(1+F$159)</f>
        <v>0</v>
      </c>
      <c r="G203" s="36">
        <f>W202*(1+G$159)</f>
        <v>0</v>
      </c>
      <c r="H203" s="36">
        <f>X202*(1+H$159)</f>
        <v>0</v>
      </c>
      <c r="I203" s="36">
        <f>Y202*(1+I$159)</f>
        <v>0</v>
      </c>
      <c r="J203" s="36">
        <f>Z202*(1+J$159)</f>
        <v>0</v>
      </c>
      <c r="K203" s="36">
        <f>AA202*(1+K$159)</f>
        <v>0</v>
      </c>
      <c r="L203" s="36">
        <f>AB202*(1+L$159)</f>
        <v>0</v>
      </c>
      <c r="M203" s="36">
        <f>MIN(E203-MIN(E$160,E203),MAX(0,$C203-0))</f>
        <v>0</v>
      </c>
      <c r="N203" s="36">
        <f>MIN(F203-MIN(F$160,F203),MAX(0,$C203-SUM($M203:M203)))</f>
        <v>0</v>
      </c>
      <c r="O203" s="36">
        <f>MIN(G203-MIN(G$160,G203),MAX(0,$C203-SUM($M203:N203)))</f>
        <v>0</v>
      </c>
      <c r="P203" s="36">
        <f>MIN(H203-MIN(H$160,H203),MAX(0,$C203-SUM($M203:O203)))</f>
        <v>0</v>
      </c>
      <c r="Q203" s="36">
        <f>MIN(I203-MIN(I$160,I203),MAX(0,$C203-SUM($M203:P203)))</f>
        <v>0</v>
      </c>
      <c r="R203" s="36">
        <f>MIN(J203-MIN(J$160,J203),MAX(0,$C203-SUM($M203:Q203)))</f>
        <v>0</v>
      </c>
      <c r="S203" s="36">
        <f>MIN(K203-MIN(K$160,K203),MAX(0,$C203-SUM($M203:R203)))</f>
        <v>0</v>
      </c>
      <c r="T203" s="36">
        <f>MIN(L203-MIN(L$160,L203),MAX(0,$C203-SUM($M203:S203)))</f>
        <v>0</v>
      </c>
      <c r="U203" s="36">
        <f>IF(E203-MIN(E$160,E203)-M203&lt;0.005,0,E203-MIN(E$160,E203)-M203)</f>
        <v>0</v>
      </c>
      <c r="V203" s="36">
        <f>IF(F203-MIN(F$160,F203)-N203&lt;0.005,0,F203-MIN(F$160,F203)-N203)</f>
        <v>0</v>
      </c>
      <c r="W203" s="36">
        <f>IF(G203-MIN(G$160,G203)-O203&lt;0.005,0,G203-MIN(G$160,G203)-O203)</f>
        <v>0</v>
      </c>
      <c r="X203" s="36">
        <f>IF(H203-MIN(H$160,H203)-P203&lt;0.005,0,H203-MIN(H$160,H203)-P203)</f>
        <v>0</v>
      </c>
      <c r="Y203" s="36">
        <f>IF(I203-MIN(I$160,I203)-Q203&lt;0.005,0,I203-MIN(I$160,I203)-Q203)</f>
        <v>0</v>
      </c>
      <c r="Z203" s="36">
        <f>IF(J203-MIN(J$160,J203)-R203&lt;0.005,0,J203-MIN(J$160,J203)-R203)</f>
        <v>0</v>
      </c>
      <c r="AA203" s="36">
        <f>IF(K203-MIN(K$160,K203)-S203&lt;0.005,0,K203-MIN(K$160,K203)-S203)</f>
        <v>0</v>
      </c>
      <c r="AB203" s="36">
        <f>IF(L203-MIN(L$160,L203)-T203&lt;0.005,0,L203-MIN(L$160,L203)-T203)</f>
        <v>0</v>
      </c>
      <c r="AC203" s="36">
        <f>SUM(U203:AB203)</f>
        <v>0</v>
      </c>
      <c r="AD203" s="36">
        <f>D203+SUM(M203:T203)</f>
        <v>0</v>
      </c>
    </row>
    <row r="204">
      <c r="B204" s="40" t="n">
        <v>40</v>
      </c>
      <c r="C204" s="36">
        <f>MAX(0,Sim_SomaParc+N(Sim_Extra)-D204)</f>
        <v>2790</v>
      </c>
      <c r="D204" s="36">
        <f>MIN(E$160,E204)+MIN(F$160,F204)+MIN(G$160,G204)+MIN(H$160,H204)+MIN(I$160,I204)+MIN(J$160,J204)+MIN(K$160,K204)+MIN(L$160,L204)</f>
        <v>0</v>
      </c>
      <c r="E204" s="36">
        <f>U203*(1+E$159)</f>
        <v>0</v>
      </c>
      <c r="F204" s="36">
        <f>V203*(1+F$159)</f>
        <v>0</v>
      </c>
      <c r="G204" s="36">
        <f>W203*(1+G$159)</f>
        <v>0</v>
      </c>
      <c r="H204" s="36">
        <f>X203*(1+H$159)</f>
        <v>0</v>
      </c>
      <c r="I204" s="36">
        <f>Y203*(1+I$159)</f>
        <v>0</v>
      </c>
      <c r="J204" s="36">
        <f>Z203*(1+J$159)</f>
        <v>0</v>
      </c>
      <c r="K204" s="36">
        <f>AA203*(1+K$159)</f>
        <v>0</v>
      </c>
      <c r="L204" s="36">
        <f>AB203*(1+L$159)</f>
        <v>0</v>
      </c>
      <c r="M204" s="36">
        <f>MIN(E204-MIN(E$160,E204),MAX(0,$C204-0))</f>
        <v>0</v>
      </c>
      <c r="N204" s="36">
        <f>MIN(F204-MIN(F$160,F204),MAX(0,$C204-SUM($M204:M204)))</f>
        <v>0</v>
      </c>
      <c r="O204" s="36">
        <f>MIN(G204-MIN(G$160,G204),MAX(0,$C204-SUM($M204:N204)))</f>
        <v>0</v>
      </c>
      <c r="P204" s="36">
        <f>MIN(H204-MIN(H$160,H204),MAX(0,$C204-SUM($M204:O204)))</f>
        <v>0</v>
      </c>
      <c r="Q204" s="36">
        <f>MIN(I204-MIN(I$160,I204),MAX(0,$C204-SUM($M204:P204)))</f>
        <v>0</v>
      </c>
      <c r="R204" s="36">
        <f>MIN(J204-MIN(J$160,J204),MAX(0,$C204-SUM($M204:Q204)))</f>
        <v>0</v>
      </c>
      <c r="S204" s="36">
        <f>MIN(K204-MIN(K$160,K204),MAX(0,$C204-SUM($M204:R204)))</f>
        <v>0</v>
      </c>
      <c r="T204" s="36">
        <f>MIN(L204-MIN(L$160,L204),MAX(0,$C204-SUM($M204:S204)))</f>
        <v>0</v>
      </c>
      <c r="U204" s="36">
        <f>IF(E204-MIN(E$160,E204)-M204&lt;0.005,0,E204-MIN(E$160,E204)-M204)</f>
        <v>0</v>
      </c>
      <c r="V204" s="36">
        <f>IF(F204-MIN(F$160,F204)-N204&lt;0.005,0,F204-MIN(F$160,F204)-N204)</f>
        <v>0</v>
      </c>
      <c r="W204" s="36">
        <f>IF(G204-MIN(G$160,G204)-O204&lt;0.005,0,G204-MIN(G$160,G204)-O204)</f>
        <v>0</v>
      </c>
      <c r="X204" s="36">
        <f>IF(H204-MIN(H$160,H204)-P204&lt;0.005,0,H204-MIN(H$160,H204)-P204)</f>
        <v>0</v>
      </c>
      <c r="Y204" s="36">
        <f>IF(I204-MIN(I$160,I204)-Q204&lt;0.005,0,I204-MIN(I$160,I204)-Q204)</f>
        <v>0</v>
      </c>
      <c r="Z204" s="36">
        <f>IF(J204-MIN(J$160,J204)-R204&lt;0.005,0,J204-MIN(J$160,J204)-R204)</f>
        <v>0</v>
      </c>
      <c r="AA204" s="36">
        <f>IF(K204-MIN(K$160,K204)-S204&lt;0.005,0,K204-MIN(K$160,K204)-S204)</f>
        <v>0</v>
      </c>
      <c r="AB204" s="36">
        <f>IF(L204-MIN(L$160,L204)-T204&lt;0.005,0,L204-MIN(L$160,L204)-T204)</f>
        <v>0</v>
      </c>
      <c r="AC204" s="36">
        <f>SUM(U204:AB204)</f>
        <v>0</v>
      </c>
      <c r="AD204" s="36">
        <f>D204+SUM(M204:T204)</f>
        <v>0</v>
      </c>
    </row>
    <row r="205">
      <c r="B205" s="40" t="n">
        <v>41</v>
      </c>
      <c r="C205" s="36">
        <f>MAX(0,Sim_SomaParc+N(Sim_Extra)-D205)</f>
        <v>2790</v>
      </c>
      <c r="D205" s="36">
        <f>MIN(E$160,E205)+MIN(F$160,F205)+MIN(G$160,G205)+MIN(H$160,H205)+MIN(I$160,I205)+MIN(J$160,J205)+MIN(K$160,K205)+MIN(L$160,L205)</f>
        <v>0</v>
      </c>
      <c r="E205" s="36">
        <f>U204*(1+E$159)</f>
        <v>0</v>
      </c>
      <c r="F205" s="36">
        <f>V204*(1+F$159)</f>
        <v>0</v>
      </c>
      <c r="G205" s="36">
        <f>W204*(1+G$159)</f>
        <v>0</v>
      </c>
      <c r="H205" s="36">
        <f>X204*(1+H$159)</f>
        <v>0</v>
      </c>
      <c r="I205" s="36">
        <f>Y204*(1+I$159)</f>
        <v>0</v>
      </c>
      <c r="J205" s="36">
        <f>Z204*(1+J$159)</f>
        <v>0</v>
      </c>
      <c r="K205" s="36">
        <f>AA204*(1+K$159)</f>
        <v>0</v>
      </c>
      <c r="L205" s="36">
        <f>AB204*(1+L$159)</f>
        <v>0</v>
      </c>
      <c r="M205" s="36">
        <f>MIN(E205-MIN(E$160,E205),MAX(0,$C205-0))</f>
        <v>0</v>
      </c>
      <c r="N205" s="36">
        <f>MIN(F205-MIN(F$160,F205),MAX(0,$C205-SUM($M205:M205)))</f>
        <v>0</v>
      </c>
      <c r="O205" s="36">
        <f>MIN(G205-MIN(G$160,G205),MAX(0,$C205-SUM($M205:N205)))</f>
        <v>0</v>
      </c>
      <c r="P205" s="36">
        <f>MIN(H205-MIN(H$160,H205),MAX(0,$C205-SUM($M205:O205)))</f>
        <v>0</v>
      </c>
      <c r="Q205" s="36">
        <f>MIN(I205-MIN(I$160,I205),MAX(0,$C205-SUM($M205:P205)))</f>
        <v>0</v>
      </c>
      <c r="R205" s="36">
        <f>MIN(J205-MIN(J$160,J205),MAX(0,$C205-SUM($M205:Q205)))</f>
        <v>0</v>
      </c>
      <c r="S205" s="36">
        <f>MIN(K205-MIN(K$160,K205),MAX(0,$C205-SUM($M205:R205)))</f>
        <v>0</v>
      </c>
      <c r="T205" s="36">
        <f>MIN(L205-MIN(L$160,L205),MAX(0,$C205-SUM($M205:S205)))</f>
        <v>0</v>
      </c>
      <c r="U205" s="36">
        <f>IF(E205-MIN(E$160,E205)-M205&lt;0.005,0,E205-MIN(E$160,E205)-M205)</f>
        <v>0</v>
      </c>
      <c r="V205" s="36">
        <f>IF(F205-MIN(F$160,F205)-N205&lt;0.005,0,F205-MIN(F$160,F205)-N205)</f>
        <v>0</v>
      </c>
      <c r="W205" s="36">
        <f>IF(G205-MIN(G$160,G205)-O205&lt;0.005,0,G205-MIN(G$160,G205)-O205)</f>
        <v>0</v>
      </c>
      <c r="X205" s="36">
        <f>IF(H205-MIN(H$160,H205)-P205&lt;0.005,0,H205-MIN(H$160,H205)-P205)</f>
        <v>0</v>
      </c>
      <c r="Y205" s="36">
        <f>IF(I205-MIN(I$160,I205)-Q205&lt;0.005,0,I205-MIN(I$160,I205)-Q205)</f>
        <v>0</v>
      </c>
      <c r="Z205" s="36">
        <f>IF(J205-MIN(J$160,J205)-R205&lt;0.005,0,J205-MIN(J$160,J205)-R205)</f>
        <v>0</v>
      </c>
      <c r="AA205" s="36">
        <f>IF(K205-MIN(K$160,K205)-S205&lt;0.005,0,K205-MIN(K$160,K205)-S205)</f>
        <v>0</v>
      </c>
      <c r="AB205" s="36">
        <f>IF(L205-MIN(L$160,L205)-T205&lt;0.005,0,L205-MIN(L$160,L205)-T205)</f>
        <v>0</v>
      </c>
      <c r="AC205" s="36">
        <f>SUM(U205:AB205)</f>
        <v>0</v>
      </c>
      <c r="AD205" s="36">
        <f>D205+SUM(M205:T205)</f>
        <v>0</v>
      </c>
    </row>
    <row r="206">
      <c r="B206" s="40" t="n">
        <v>42</v>
      </c>
      <c r="C206" s="36">
        <f>MAX(0,Sim_SomaParc+N(Sim_Extra)-D206)</f>
        <v>2790</v>
      </c>
      <c r="D206" s="36">
        <f>MIN(E$160,E206)+MIN(F$160,F206)+MIN(G$160,G206)+MIN(H$160,H206)+MIN(I$160,I206)+MIN(J$160,J206)+MIN(K$160,K206)+MIN(L$160,L206)</f>
        <v>0</v>
      </c>
      <c r="E206" s="36">
        <f>U205*(1+E$159)</f>
        <v>0</v>
      </c>
      <c r="F206" s="36">
        <f>V205*(1+F$159)</f>
        <v>0</v>
      </c>
      <c r="G206" s="36">
        <f>W205*(1+G$159)</f>
        <v>0</v>
      </c>
      <c r="H206" s="36">
        <f>X205*(1+H$159)</f>
        <v>0</v>
      </c>
      <c r="I206" s="36">
        <f>Y205*(1+I$159)</f>
        <v>0</v>
      </c>
      <c r="J206" s="36">
        <f>Z205*(1+J$159)</f>
        <v>0</v>
      </c>
      <c r="K206" s="36">
        <f>AA205*(1+K$159)</f>
        <v>0</v>
      </c>
      <c r="L206" s="36">
        <f>AB205*(1+L$159)</f>
        <v>0</v>
      </c>
      <c r="M206" s="36">
        <f>MIN(E206-MIN(E$160,E206),MAX(0,$C206-0))</f>
        <v>0</v>
      </c>
      <c r="N206" s="36">
        <f>MIN(F206-MIN(F$160,F206),MAX(0,$C206-SUM($M206:M206)))</f>
        <v>0</v>
      </c>
      <c r="O206" s="36">
        <f>MIN(G206-MIN(G$160,G206),MAX(0,$C206-SUM($M206:N206)))</f>
        <v>0</v>
      </c>
      <c r="P206" s="36">
        <f>MIN(H206-MIN(H$160,H206),MAX(0,$C206-SUM($M206:O206)))</f>
        <v>0</v>
      </c>
      <c r="Q206" s="36">
        <f>MIN(I206-MIN(I$160,I206),MAX(0,$C206-SUM($M206:P206)))</f>
        <v>0</v>
      </c>
      <c r="R206" s="36">
        <f>MIN(J206-MIN(J$160,J206),MAX(0,$C206-SUM($M206:Q206)))</f>
        <v>0</v>
      </c>
      <c r="S206" s="36">
        <f>MIN(K206-MIN(K$160,K206),MAX(0,$C206-SUM($M206:R206)))</f>
        <v>0</v>
      </c>
      <c r="T206" s="36">
        <f>MIN(L206-MIN(L$160,L206),MAX(0,$C206-SUM($M206:S206)))</f>
        <v>0</v>
      </c>
      <c r="U206" s="36">
        <f>IF(E206-MIN(E$160,E206)-M206&lt;0.005,0,E206-MIN(E$160,E206)-M206)</f>
        <v>0</v>
      </c>
      <c r="V206" s="36">
        <f>IF(F206-MIN(F$160,F206)-N206&lt;0.005,0,F206-MIN(F$160,F206)-N206)</f>
        <v>0</v>
      </c>
      <c r="W206" s="36">
        <f>IF(G206-MIN(G$160,G206)-O206&lt;0.005,0,G206-MIN(G$160,G206)-O206)</f>
        <v>0</v>
      </c>
      <c r="X206" s="36">
        <f>IF(H206-MIN(H$160,H206)-P206&lt;0.005,0,H206-MIN(H$160,H206)-P206)</f>
        <v>0</v>
      </c>
      <c r="Y206" s="36">
        <f>IF(I206-MIN(I$160,I206)-Q206&lt;0.005,0,I206-MIN(I$160,I206)-Q206)</f>
        <v>0</v>
      </c>
      <c r="Z206" s="36">
        <f>IF(J206-MIN(J$160,J206)-R206&lt;0.005,0,J206-MIN(J$160,J206)-R206)</f>
        <v>0</v>
      </c>
      <c r="AA206" s="36">
        <f>IF(K206-MIN(K$160,K206)-S206&lt;0.005,0,K206-MIN(K$160,K206)-S206)</f>
        <v>0</v>
      </c>
      <c r="AB206" s="36">
        <f>IF(L206-MIN(L$160,L206)-T206&lt;0.005,0,L206-MIN(L$160,L206)-T206)</f>
        <v>0</v>
      </c>
      <c r="AC206" s="36">
        <f>SUM(U206:AB206)</f>
        <v>0</v>
      </c>
      <c r="AD206" s="36">
        <f>D206+SUM(M206:T206)</f>
        <v>0</v>
      </c>
    </row>
    <row r="207">
      <c r="B207" s="40" t="n">
        <v>43</v>
      </c>
      <c r="C207" s="36">
        <f>MAX(0,Sim_SomaParc+N(Sim_Extra)-D207)</f>
        <v>2790</v>
      </c>
      <c r="D207" s="36">
        <f>MIN(E$160,E207)+MIN(F$160,F207)+MIN(G$160,G207)+MIN(H$160,H207)+MIN(I$160,I207)+MIN(J$160,J207)+MIN(K$160,K207)+MIN(L$160,L207)</f>
        <v>0</v>
      </c>
      <c r="E207" s="36">
        <f>U206*(1+E$159)</f>
        <v>0</v>
      </c>
      <c r="F207" s="36">
        <f>V206*(1+F$159)</f>
        <v>0</v>
      </c>
      <c r="G207" s="36">
        <f>W206*(1+G$159)</f>
        <v>0</v>
      </c>
      <c r="H207" s="36">
        <f>X206*(1+H$159)</f>
        <v>0</v>
      </c>
      <c r="I207" s="36">
        <f>Y206*(1+I$159)</f>
        <v>0</v>
      </c>
      <c r="J207" s="36">
        <f>Z206*(1+J$159)</f>
        <v>0</v>
      </c>
      <c r="K207" s="36">
        <f>AA206*(1+K$159)</f>
        <v>0</v>
      </c>
      <c r="L207" s="36">
        <f>AB206*(1+L$159)</f>
        <v>0</v>
      </c>
      <c r="M207" s="36">
        <f>MIN(E207-MIN(E$160,E207),MAX(0,$C207-0))</f>
        <v>0</v>
      </c>
      <c r="N207" s="36">
        <f>MIN(F207-MIN(F$160,F207),MAX(0,$C207-SUM($M207:M207)))</f>
        <v>0</v>
      </c>
      <c r="O207" s="36">
        <f>MIN(G207-MIN(G$160,G207),MAX(0,$C207-SUM($M207:N207)))</f>
        <v>0</v>
      </c>
      <c r="P207" s="36">
        <f>MIN(H207-MIN(H$160,H207),MAX(0,$C207-SUM($M207:O207)))</f>
        <v>0</v>
      </c>
      <c r="Q207" s="36">
        <f>MIN(I207-MIN(I$160,I207),MAX(0,$C207-SUM($M207:P207)))</f>
        <v>0</v>
      </c>
      <c r="R207" s="36">
        <f>MIN(J207-MIN(J$160,J207),MAX(0,$C207-SUM($M207:Q207)))</f>
        <v>0</v>
      </c>
      <c r="S207" s="36">
        <f>MIN(K207-MIN(K$160,K207),MAX(0,$C207-SUM($M207:R207)))</f>
        <v>0</v>
      </c>
      <c r="T207" s="36">
        <f>MIN(L207-MIN(L$160,L207),MAX(0,$C207-SUM($M207:S207)))</f>
        <v>0</v>
      </c>
      <c r="U207" s="36">
        <f>IF(E207-MIN(E$160,E207)-M207&lt;0.005,0,E207-MIN(E$160,E207)-M207)</f>
        <v>0</v>
      </c>
      <c r="V207" s="36">
        <f>IF(F207-MIN(F$160,F207)-N207&lt;0.005,0,F207-MIN(F$160,F207)-N207)</f>
        <v>0</v>
      </c>
      <c r="W207" s="36">
        <f>IF(G207-MIN(G$160,G207)-O207&lt;0.005,0,G207-MIN(G$160,G207)-O207)</f>
        <v>0</v>
      </c>
      <c r="X207" s="36">
        <f>IF(H207-MIN(H$160,H207)-P207&lt;0.005,0,H207-MIN(H$160,H207)-P207)</f>
        <v>0</v>
      </c>
      <c r="Y207" s="36">
        <f>IF(I207-MIN(I$160,I207)-Q207&lt;0.005,0,I207-MIN(I$160,I207)-Q207)</f>
        <v>0</v>
      </c>
      <c r="Z207" s="36">
        <f>IF(J207-MIN(J$160,J207)-R207&lt;0.005,0,J207-MIN(J$160,J207)-R207)</f>
        <v>0</v>
      </c>
      <c r="AA207" s="36">
        <f>IF(K207-MIN(K$160,K207)-S207&lt;0.005,0,K207-MIN(K$160,K207)-S207)</f>
        <v>0</v>
      </c>
      <c r="AB207" s="36">
        <f>IF(L207-MIN(L$160,L207)-T207&lt;0.005,0,L207-MIN(L$160,L207)-T207)</f>
        <v>0</v>
      </c>
      <c r="AC207" s="36">
        <f>SUM(U207:AB207)</f>
        <v>0</v>
      </c>
      <c r="AD207" s="36">
        <f>D207+SUM(M207:T207)</f>
        <v>0</v>
      </c>
    </row>
    <row r="208">
      <c r="B208" s="40" t="n">
        <v>44</v>
      </c>
      <c r="C208" s="36">
        <f>MAX(0,Sim_SomaParc+N(Sim_Extra)-D208)</f>
        <v>2790</v>
      </c>
      <c r="D208" s="36">
        <f>MIN(E$160,E208)+MIN(F$160,F208)+MIN(G$160,G208)+MIN(H$160,H208)+MIN(I$160,I208)+MIN(J$160,J208)+MIN(K$160,K208)+MIN(L$160,L208)</f>
        <v>0</v>
      </c>
      <c r="E208" s="36">
        <f>U207*(1+E$159)</f>
        <v>0</v>
      </c>
      <c r="F208" s="36">
        <f>V207*(1+F$159)</f>
        <v>0</v>
      </c>
      <c r="G208" s="36">
        <f>W207*(1+G$159)</f>
        <v>0</v>
      </c>
      <c r="H208" s="36">
        <f>X207*(1+H$159)</f>
        <v>0</v>
      </c>
      <c r="I208" s="36">
        <f>Y207*(1+I$159)</f>
        <v>0</v>
      </c>
      <c r="J208" s="36">
        <f>Z207*(1+J$159)</f>
        <v>0</v>
      </c>
      <c r="K208" s="36">
        <f>AA207*(1+K$159)</f>
        <v>0</v>
      </c>
      <c r="L208" s="36">
        <f>AB207*(1+L$159)</f>
        <v>0</v>
      </c>
      <c r="M208" s="36">
        <f>MIN(E208-MIN(E$160,E208),MAX(0,$C208-0))</f>
        <v>0</v>
      </c>
      <c r="N208" s="36">
        <f>MIN(F208-MIN(F$160,F208),MAX(0,$C208-SUM($M208:M208)))</f>
        <v>0</v>
      </c>
      <c r="O208" s="36">
        <f>MIN(G208-MIN(G$160,G208),MAX(0,$C208-SUM($M208:N208)))</f>
        <v>0</v>
      </c>
      <c r="P208" s="36">
        <f>MIN(H208-MIN(H$160,H208),MAX(0,$C208-SUM($M208:O208)))</f>
        <v>0</v>
      </c>
      <c r="Q208" s="36">
        <f>MIN(I208-MIN(I$160,I208),MAX(0,$C208-SUM($M208:P208)))</f>
        <v>0</v>
      </c>
      <c r="R208" s="36">
        <f>MIN(J208-MIN(J$160,J208),MAX(0,$C208-SUM($M208:Q208)))</f>
        <v>0</v>
      </c>
      <c r="S208" s="36">
        <f>MIN(K208-MIN(K$160,K208),MAX(0,$C208-SUM($M208:R208)))</f>
        <v>0</v>
      </c>
      <c r="T208" s="36">
        <f>MIN(L208-MIN(L$160,L208),MAX(0,$C208-SUM($M208:S208)))</f>
        <v>0</v>
      </c>
      <c r="U208" s="36">
        <f>IF(E208-MIN(E$160,E208)-M208&lt;0.005,0,E208-MIN(E$160,E208)-M208)</f>
        <v>0</v>
      </c>
      <c r="V208" s="36">
        <f>IF(F208-MIN(F$160,F208)-N208&lt;0.005,0,F208-MIN(F$160,F208)-N208)</f>
        <v>0</v>
      </c>
      <c r="W208" s="36">
        <f>IF(G208-MIN(G$160,G208)-O208&lt;0.005,0,G208-MIN(G$160,G208)-O208)</f>
        <v>0</v>
      </c>
      <c r="X208" s="36">
        <f>IF(H208-MIN(H$160,H208)-P208&lt;0.005,0,H208-MIN(H$160,H208)-P208)</f>
        <v>0</v>
      </c>
      <c r="Y208" s="36">
        <f>IF(I208-MIN(I$160,I208)-Q208&lt;0.005,0,I208-MIN(I$160,I208)-Q208)</f>
        <v>0</v>
      </c>
      <c r="Z208" s="36">
        <f>IF(J208-MIN(J$160,J208)-R208&lt;0.005,0,J208-MIN(J$160,J208)-R208)</f>
        <v>0</v>
      </c>
      <c r="AA208" s="36">
        <f>IF(K208-MIN(K$160,K208)-S208&lt;0.005,0,K208-MIN(K$160,K208)-S208)</f>
        <v>0</v>
      </c>
      <c r="AB208" s="36">
        <f>IF(L208-MIN(L$160,L208)-T208&lt;0.005,0,L208-MIN(L$160,L208)-T208)</f>
        <v>0</v>
      </c>
      <c r="AC208" s="36">
        <f>SUM(U208:AB208)</f>
        <v>0</v>
      </c>
      <c r="AD208" s="36">
        <f>D208+SUM(M208:T208)</f>
        <v>0</v>
      </c>
    </row>
    <row r="209">
      <c r="B209" s="40" t="n">
        <v>45</v>
      </c>
      <c r="C209" s="36">
        <f>MAX(0,Sim_SomaParc+N(Sim_Extra)-D209)</f>
        <v>2790</v>
      </c>
      <c r="D209" s="36">
        <f>MIN(E$160,E209)+MIN(F$160,F209)+MIN(G$160,G209)+MIN(H$160,H209)+MIN(I$160,I209)+MIN(J$160,J209)+MIN(K$160,K209)+MIN(L$160,L209)</f>
        <v>0</v>
      </c>
      <c r="E209" s="36">
        <f>U208*(1+E$159)</f>
        <v>0</v>
      </c>
      <c r="F209" s="36">
        <f>V208*(1+F$159)</f>
        <v>0</v>
      </c>
      <c r="G209" s="36">
        <f>W208*(1+G$159)</f>
        <v>0</v>
      </c>
      <c r="H209" s="36">
        <f>X208*(1+H$159)</f>
        <v>0</v>
      </c>
      <c r="I209" s="36">
        <f>Y208*(1+I$159)</f>
        <v>0</v>
      </c>
      <c r="J209" s="36">
        <f>Z208*(1+J$159)</f>
        <v>0</v>
      </c>
      <c r="K209" s="36">
        <f>AA208*(1+K$159)</f>
        <v>0</v>
      </c>
      <c r="L209" s="36">
        <f>AB208*(1+L$159)</f>
        <v>0</v>
      </c>
      <c r="M209" s="36">
        <f>MIN(E209-MIN(E$160,E209),MAX(0,$C209-0))</f>
        <v>0</v>
      </c>
      <c r="N209" s="36">
        <f>MIN(F209-MIN(F$160,F209),MAX(0,$C209-SUM($M209:M209)))</f>
        <v>0</v>
      </c>
      <c r="O209" s="36">
        <f>MIN(G209-MIN(G$160,G209),MAX(0,$C209-SUM($M209:N209)))</f>
        <v>0</v>
      </c>
      <c r="P209" s="36">
        <f>MIN(H209-MIN(H$160,H209),MAX(0,$C209-SUM($M209:O209)))</f>
        <v>0</v>
      </c>
      <c r="Q209" s="36">
        <f>MIN(I209-MIN(I$160,I209),MAX(0,$C209-SUM($M209:P209)))</f>
        <v>0</v>
      </c>
      <c r="R209" s="36">
        <f>MIN(J209-MIN(J$160,J209),MAX(0,$C209-SUM($M209:Q209)))</f>
        <v>0</v>
      </c>
      <c r="S209" s="36">
        <f>MIN(K209-MIN(K$160,K209),MAX(0,$C209-SUM($M209:R209)))</f>
        <v>0</v>
      </c>
      <c r="T209" s="36">
        <f>MIN(L209-MIN(L$160,L209),MAX(0,$C209-SUM($M209:S209)))</f>
        <v>0</v>
      </c>
      <c r="U209" s="36">
        <f>IF(E209-MIN(E$160,E209)-M209&lt;0.005,0,E209-MIN(E$160,E209)-M209)</f>
        <v>0</v>
      </c>
      <c r="V209" s="36">
        <f>IF(F209-MIN(F$160,F209)-N209&lt;0.005,0,F209-MIN(F$160,F209)-N209)</f>
        <v>0</v>
      </c>
      <c r="W209" s="36">
        <f>IF(G209-MIN(G$160,G209)-O209&lt;0.005,0,G209-MIN(G$160,G209)-O209)</f>
        <v>0</v>
      </c>
      <c r="X209" s="36">
        <f>IF(H209-MIN(H$160,H209)-P209&lt;0.005,0,H209-MIN(H$160,H209)-P209)</f>
        <v>0</v>
      </c>
      <c r="Y209" s="36">
        <f>IF(I209-MIN(I$160,I209)-Q209&lt;0.005,0,I209-MIN(I$160,I209)-Q209)</f>
        <v>0</v>
      </c>
      <c r="Z209" s="36">
        <f>IF(J209-MIN(J$160,J209)-R209&lt;0.005,0,J209-MIN(J$160,J209)-R209)</f>
        <v>0</v>
      </c>
      <c r="AA209" s="36">
        <f>IF(K209-MIN(K$160,K209)-S209&lt;0.005,0,K209-MIN(K$160,K209)-S209)</f>
        <v>0</v>
      </c>
      <c r="AB209" s="36">
        <f>IF(L209-MIN(L$160,L209)-T209&lt;0.005,0,L209-MIN(L$160,L209)-T209)</f>
        <v>0</v>
      </c>
      <c r="AC209" s="36">
        <f>SUM(U209:AB209)</f>
        <v>0</v>
      </c>
      <c r="AD209" s="36">
        <f>D209+SUM(M209:T209)</f>
        <v>0</v>
      </c>
    </row>
    <row r="210">
      <c r="B210" s="40" t="n">
        <v>46</v>
      </c>
      <c r="C210" s="36">
        <f>MAX(0,Sim_SomaParc+N(Sim_Extra)-D210)</f>
        <v>2790</v>
      </c>
      <c r="D210" s="36">
        <f>MIN(E$160,E210)+MIN(F$160,F210)+MIN(G$160,G210)+MIN(H$160,H210)+MIN(I$160,I210)+MIN(J$160,J210)+MIN(K$160,K210)+MIN(L$160,L210)</f>
        <v>0</v>
      </c>
      <c r="E210" s="36">
        <f>U209*(1+E$159)</f>
        <v>0</v>
      </c>
      <c r="F210" s="36">
        <f>V209*(1+F$159)</f>
        <v>0</v>
      </c>
      <c r="G210" s="36">
        <f>W209*(1+G$159)</f>
        <v>0</v>
      </c>
      <c r="H210" s="36">
        <f>X209*(1+H$159)</f>
        <v>0</v>
      </c>
      <c r="I210" s="36">
        <f>Y209*(1+I$159)</f>
        <v>0</v>
      </c>
      <c r="J210" s="36">
        <f>Z209*(1+J$159)</f>
        <v>0</v>
      </c>
      <c r="K210" s="36">
        <f>AA209*(1+K$159)</f>
        <v>0</v>
      </c>
      <c r="L210" s="36">
        <f>AB209*(1+L$159)</f>
        <v>0</v>
      </c>
      <c r="M210" s="36">
        <f>MIN(E210-MIN(E$160,E210),MAX(0,$C210-0))</f>
        <v>0</v>
      </c>
      <c r="N210" s="36">
        <f>MIN(F210-MIN(F$160,F210),MAX(0,$C210-SUM($M210:M210)))</f>
        <v>0</v>
      </c>
      <c r="O210" s="36">
        <f>MIN(G210-MIN(G$160,G210),MAX(0,$C210-SUM($M210:N210)))</f>
        <v>0</v>
      </c>
      <c r="P210" s="36">
        <f>MIN(H210-MIN(H$160,H210),MAX(0,$C210-SUM($M210:O210)))</f>
        <v>0</v>
      </c>
      <c r="Q210" s="36">
        <f>MIN(I210-MIN(I$160,I210),MAX(0,$C210-SUM($M210:P210)))</f>
        <v>0</v>
      </c>
      <c r="R210" s="36">
        <f>MIN(J210-MIN(J$160,J210),MAX(0,$C210-SUM($M210:Q210)))</f>
        <v>0</v>
      </c>
      <c r="S210" s="36">
        <f>MIN(K210-MIN(K$160,K210),MAX(0,$C210-SUM($M210:R210)))</f>
        <v>0</v>
      </c>
      <c r="T210" s="36">
        <f>MIN(L210-MIN(L$160,L210),MAX(0,$C210-SUM($M210:S210)))</f>
        <v>0</v>
      </c>
      <c r="U210" s="36">
        <f>IF(E210-MIN(E$160,E210)-M210&lt;0.005,0,E210-MIN(E$160,E210)-M210)</f>
        <v>0</v>
      </c>
      <c r="V210" s="36">
        <f>IF(F210-MIN(F$160,F210)-N210&lt;0.005,0,F210-MIN(F$160,F210)-N210)</f>
        <v>0</v>
      </c>
      <c r="W210" s="36">
        <f>IF(G210-MIN(G$160,G210)-O210&lt;0.005,0,G210-MIN(G$160,G210)-O210)</f>
        <v>0</v>
      </c>
      <c r="X210" s="36">
        <f>IF(H210-MIN(H$160,H210)-P210&lt;0.005,0,H210-MIN(H$160,H210)-P210)</f>
        <v>0</v>
      </c>
      <c r="Y210" s="36">
        <f>IF(I210-MIN(I$160,I210)-Q210&lt;0.005,0,I210-MIN(I$160,I210)-Q210)</f>
        <v>0</v>
      </c>
      <c r="Z210" s="36">
        <f>IF(J210-MIN(J$160,J210)-R210&lt;0.005,0,J210-MIN(J$160,J210)-R210)</f>
        <v>0</v>
      </c>
      <c r="AA210" s="36">
        <f>IF(K210-MIN(K$160,K210)-S210&lt;0.005,0,K210-MIN(K$160,K210)-S210)</f>
        <v>0</v>
      </c>
      <c r="AB210" s="36">
        <f>IF(L210-MIN(L$160,L210)-T210&lt;0.005,0,L210-MIN(L$160,L210)-T210)</f>
        <v>0</v>
      </c>
      <c r="AC210" s="36">
        <f>SUM(U210:AB210)</f>
        <v>0</v>
      </c>
      <c r="AD210" s="36">
        <f>D210+SUM(M210:T210)</f>
        <v>0</v>
      </c>
    </row>
    <row r="211">
      <c r="B211" s="40" t="n">
        <v>47</v>
      </c>
      <c r="C211" s="36">
        <f>MAX(0,Sim_SomaParc+N(Sim_Extra)-D211)</f>
        <v>2790</v>
      </c>
      <c r="D211" s="36">
        <f>MIN(E$160,E211)+MIN(F$160,F211)+MIN(G$160,G211)+MIN(H$160,H211)+MIN(I$160,I211)+MIN(J$160,J211)+MIN(K$160,K211)+MIN(L$160,L211)</f>
        <v>0</v>
      </c>
      <c r="E211" s="36">
        <f>U210*(1+E$159)</f>
        <v>0</v>
      </c>
      <c r="F211" s="36">
        <f>V210*(1+F$159)</f>
        <v>0</v>
      </c>
      <c r="G211" s="36">
        <f>W210*(1+G$159)</f>
        <v>0</v>
      </c>
      <c r="H211" s="36">
        <f>X210*(1+H$159)</f>
        <v>0</v>
      </c>
      <c r="I211" s="36">
        <f>Y210*(1+I$159)</f>
        <v>0</v>
      </c>
      <c r="J211" s="36">
        <f>Z210*(1+J$159)</f>
        <v>0</v>
      </c>
      <c r="K211" s="36">
        <f>AA210*(1+K$159)</f>
        <v>0</v>
      </c>
      <c r="L211" s="36">
        <f>AB210*(1+L$159)</f>
        <v>0</v>
      </c>
      <c r="M211" s="36">
        <f>MIN(E211-MIN(E$160,E211),MAX(0,$C211-0))</f>
        <v>0</v>
      </c>
      <c r="N211" s="36">
        <f>MIN(F211-MIN(F$160,F211),MAX(0,$C211-SUM($M211:M211)))</f>
        <v>0</v>
      </c>
      <c r="O211" s="36">
        <f>MIN(G211-MIN(G$160,G211),MAX(0,$C211-SUM($M211:N211)))</f>
        <v>0</v>
      </c>
      <c r="P211" s="36">
        <f>MIN(H211-MIN(H$160,H211),MAX(0,$C211-SUM($M211:O211)))</f>
        <v>0</v>
      </c>
      <c r="Q211" s="36">
        <f>MIN(I211-MIN(I$160,I211),MAX(0,$C211-SUM($M211:P211)))</f>
        <v>0</v>
      </c>
      <c r="R211" s="36">
        <f>MIN(J211-MIN(J$160,J211),MAX(0,$C211-SUM($M211:Q211)))</f>
        <v>0</v>
      </c>
      <c r="S211" s="36">
        <f>MIN(K211-MIN(K$160,K211),MAX(0,$C211-SUM($M211:R211)))</f>
        <v>0</v>
      </c>
      <c r="T211" s="36">
        <f>MIN(L211-MIN(L$160,L211),MAX(0,$C211-SUM($M211:S211)))</f>
        <v>0</v>
      </c>
      <c r="U211" s="36">
        <f>IF(E211-MIN(E$160,E211)-M211&lt;0.005,0,E211-MIN(E$160,E211)-M211)</f>
        <v>0</v>
      </c>
      <c r="V211" s="36">
        <f>IF(F211-MIN(F$160,F211)-N211&lt;0.005,0,F211-MIN(F$160,F211)-N211)</f>
        <v>0</v>
      </c>
      <c r="W211" s="36">
        <f>IF(G211-MIN(G$160,G211)-O211&lt;0.005,0,G211-MIN(G$160,G211)-O211)</f>
        <v>0</v>
      </c>
      <c r="X211" s="36">
        <f>IF(H211-MIN(H$160,H211)-P211&lt;0.005,0,H211-MIN(H$160,H211)-P211)</f>
        <v>0</v>
      </c>
      <c r="Y211" s="36">
        <f>IF(I211-MIN(I$160,I211)-Q211&lt;0.005,0,I211-MIN(I$160,I211)-Q211)</f>
        <v>0</v>
      </c>
      <c r="Z211" s="36">
        <f>IF(J211-MIN(J$160,J211)-R211&lt;0.005,0,J211-MIN(J$160,J211)-R211)</f>
        <v>0</v>
      </c>
      <c r="AA211" s="36">
        <f>IF(K211-MIN(K$160,K211)-S211&lt;0.005,0,K211-MIN(K$160,K211)-S211)</f>
        <v>0</v>
      </c>
      <c r="AB211" s="36">
        <f>IF(L211-MIN(L$160,L211)-T211&lt;0.005,0,L211-MIN(L$160,L211)-T211)</f>
        <v>0</v>
      </c>
      <c r="AC211" s="36">
        <f>SUM(U211:AB211)</f>
        <v>0</v>
      </c>
      <c r="AD211" s="36">
        <f>D211+SUM(M211:T211)</f>
        <v>0</v>
      </c>
    </row>
    <row r="212">
      <c r="B212" s="40" t="n">
        <v>48</v>
      </c>
      <c r="C212" s="36">
        <f>MAX(0,Sim_SomaParc+N(Sim_Extra)-D212)</f>
        <v>2790</v>
      </c>
      <c r="D212" s="36">
        <f>MIN(E$160,E212)+MIN(F$160,F212)+MIN(G$160,G212)+MIN(H$160,H212)+MIN(I$160,I212)+MIN(J$160,J212)+MIN(K$160,K212)+MIN(L$160,L212)</f>
        <v>0</v>
      </c>
      <c r="E212" s="36">
        <f>U211*(1+E$159)</f>
        <v>0</v>
      </c>
      <c r="F212" s="36">
        <f>V211*(1+F$159)</f>
        <v>0</v>
      </c>
      <c r="G212" s="36">
        <f>W211*(1+G$159)</f>
        <v>0</v>
      </c>
      <c r="H212" s="36">
        <f>X211*(1+H$159)</f>
        <v>0</v>
      </c>
      <c r="I212" s="36">
        <f>Y211*(1+I$159)</f>
        <v>0</v>
      </c>
      <c r="J212" s="36">
        <f>Z211*(1+J$159)</f>
        <v>0</v>
      </c>
      <c r="K212" s="36">
        <f>AA211*(1+K$159)</f>
        <v>0</v>
      </c>
      <c r="L212" s="36">
        <f>AB211*(1+L$159)</f>
        <v>0</v>
      </c>
      <c r="M212" s="36">
        <f>MIN(E212-MIN(E$160,E212),MAX(0,$C212-0))</f>
        <v>0</v>
      </c>
      <c r="N212" s="36">
        <f>MIN(F212-MIN(F$160,F212),MAX(0,$C212-SUM($M212:M212)))</f>
        <v>0</v>
      </c>
      <c r="O212" s="36">
        <f>MIN(G212-MIN(G$160,G212),MAX(0,$C212-SUM($M212:N212)))</f>
        <v>0</v>
      </c>
      <c r="P212" s="36">
        <f>MIN(H212-MIN(H$160,H212),MAX(0,$C212-SUM($M212:O212)))</f>
        <v>0</v>
      </c>
      <c r="Q212" s="36">
        <f>MIN(I212-MIN(I$160,I212),MAX(0,$C212-SUM($M212:P212)))</f>
        <v>0</v>
      </c>
      <c r="R212" s="36">
        <f>MIN(J212-MIN(J$160,J212),MAX(0,$C212-SUM($M212:Q212)))</f>
        <v>0</v>
      </c>
      <c r="S212" s="36">
        <f>MIN(K212-MIN(K$160,K212),MAX(0,$C212-SUM($M212:R212)))</f>
        <v>0</v>
      </c>
      <c r="T212" s="36">
        <f>MIN(L212-MIN(L$160,L212),MAX(0,$C212-SUM($M212:S212)))</f>
        <v>0</v>
      </c>
      <c r="U212" s="36">
        <f>IF(E212-MIN(E$160,E212)-M212&lt;0.005,0,E212-MIN(E$160,E212)-M212)</f>
        <v>0</v>
      </c>
      <c r="V212" s="36">
        <f>IF(F212-MIN(F$160,F212)-N212&lt;0.005,0,F212-MIN(F$160,F212)-N212)</f>
        <v>0</v>
      </c>
      <c r="W212" s="36">
        <f>IF(G212-MIN(G$160,G212)-O212&lt;0.005,0,G212-MIN(G$160,G212)-O212)</f>
        <v>0</v>
      </c>
      <c r="X212" s="36">
        <f>IF(H212-MIN(H$160,H212)-P212&lt;0.005,0,H212-MIN(H$160,H212)-P212)</f>
        <v>0</v>
      </c>
      <c r="Y212" s="36">
        <f>IF(I212-MIN(I$160,I212)-Q212&lt;0.005,0,I212-MIN(I$160,I212)-Q212)</f>
        <v>0</v>
      </c>
      <c r="Z212" s="36">
        <f>IF(J212-MIN(J$160,J212)-R212&lt;0.005,0,J212-MIN(J$160,J212)-R212)</f>
        <v>0</v>
      </c>
      <c r="AA212" s="36">
        <f>IF(K212-MIN(K$160,K212)-S212&lt;0.005,0,K212-MIN(K$160,K212)-S212)</f>
        <v>0</v>
      </c>
      <c r="AB212" s="36">
        <f>IF(L212-MIN(L$160,L212)-T212&lt;0.005,0,L212-MIN(L$160,L212)-T212)</f>
        <v>0</v>
      </c>
      <c r="AC212" s="36">
        <f>SUM(U212:AB212)</f>
        <v>0</v>
      </c>
      <c r="AD212" s="36">
        <f>D212+SUM(M212:T212)</f>
        <v>0</v>
      </c>
    </row>
    <row r="213">
      <c r="B213" s="40" t="n">
        <v>49</v>
      </c>
      <c r="C213" s="36">
        <f>MAX(0,Sim_SomaParc+N(Sim_Extra)-D213)</f>
        <v>2790</v>
      </c>
      <c r="D213" s="36">
        <f>MIN(E$160,E213)+MIN(F$160,F213)+MIN(G$160,G213)+MIN(H$160,H213)+MIN(I$160,I213)+MIN(J$160,J213)+MIN(K$160,K213)+MIN(L$160,L213)</f>
        <v>0</v>
      </c>
      <c r="E213" s="36">
        <f>U212*(1+E$159)</f>
        <v>0</v>
      </c>
      <c r="F213" s="36">
        <f>V212*(1+F$159)</f>
        <v>0</v>
      </c>
      <c r="G213" s="36">
        <f>W212*(1+G$159)</f>
        <v>0</v>
      </c>
      <c r="H213" s="36">
        <f>X212*(1+H$159)</f>
        <v>0</v>
      </c>
      <c r="I213" s="36">
        <f>Y212*(1+I$159)</f>
        <v>0</v>
      </c>
      <c r="J213" s="36">
        <f>Z212*(1+J$159)</f>
        <v>0</v>
      </c>
      <c r="K213" s="36">
        <f>AA212*(1+K$159)</f>
        <v>0</v>
      </c>
      <c r="L213" s="36">
        <f>AB212*(1+L$159)</f>
        <v>0</v>
      </c>
      <c r="M213" s="36">
        <f>MIN(E213-MIN(E$160,E213),MAX(0,$C213-0))</f>
        <v>0</v>
      </c>
      <c r="N213" s="36">
        <f>MIN(F213-MIN(F$160,F213),MAX(0,$C213-SUM($M213:M213)))</f>
        <v>0</v>
      </c>
      <c r="O213" s="36">
        <f>MIN(G213-MIN(G$160,G213),MAX(0,$C213-SUM($M213:N213)))</f>
        <v>0</v>
      </c>
      <c r="P213" s="36">
        <f>MIN(H213-MIN(H$160,H213),MAX(0,$C213-SUM($M213:O213)))</f>
        <v>0</v>
      </c>
      <c r="Q213" s="36">
        <f>MIN(I213-MIN(I$160,I213),MAX(0,$C213-SUM($M213:P213)))</f>
        <v>0</v>
      </c>
      <c r="R213" s="36">
        <f>MIN(J213-MIN(J$160,J213),MAX(0,$C213-SUM($M213:Q213)))</f>
        <v>0</v>
      </c>
      <c r="S213" s="36">
        <f>MIN(K213-MIN(K$160,K213),MAX(0,$C213-SUM($M213:R213)))</f>
        <v>0</v>
      </c>
      <c r="T213" s="36">
        <f>MIN(L213-MIN(L$160,L213),MAX(0,$C213-SUM($M213:S213)))</f>
        <v>0</v>
      </c>
      <c r="U213" s="36">
        <f>IF(E213-MIN(E$160,E213)-M213&lt;0.005,0,E213-MIN(E$160,E213)-M213)</f>
        <v>0</v>
      </c>
      <c r="V213" s="36">
        <f>IF(F213-MIN(F$160,F213)-N213&lt;0.005,0,F213-MIN(F$160,F213)-N213)</f>
        <v>0</v>
      </c>
      <c r="W213" s="36">
        <f>IF(G213-MIN(G$160,G213)-O213&lt;0.005,0,G213-MIN(G$160,G213)-O213)</f>
        <v>0</v>
      </c>
      <c r="X213" s="36">
        <f>IF(H213-MIN(H$160,H213)-P213&lt;0.005,0,H213-MIN(H$160,H213)-P213)</f>
        <v>0</v>
      </c>
      <c r="Y213" s="36">
        <f>IF(I213-MIN(I$160,I213)-Q213&lt;0.005,0,I213-MIN(I$160,I213)-Q213)</f>
        <v>0</v>
      </c>
      <c r="Z213" s="36">
        <f>IF(J213-MIN(J$160,J213)-R213&lt;0.005,0,J213-MIN(J$160,J213)-R213)</f>
        <v>0</v>
      </c>
      <c r="AA213" s="36">
        <f>IF(K213-MIN(K$160,K213)-S213&lt;0.005,0,K213-MIN(K$160,K213)-S213)</f>
        <v>0</v>
      </c>
      <c r="AB213" s="36">
        <f>IF(L213-MIN(L$160,L213)-T213&lt;0.005,0,L213-MIN(L$160,L213)-T213)</f>
        <v>0</v>
      </c>
      <c r="AC213" s="36">
        <f>SUM(U213:AB213)</f>
        <v>0</v>
      </c>
      <c r="AD213" s="36">
        <f>D213+SUM(M213:T213)</f>
        <v>0</v>
      </c>
    </row>
    <row r="214">
      <c r="B214" s="40" t="n">
        <v>50</v>
      </c>
      <c r="C214" s="36">
        <f>MAX(0,Sim_SomaParc+N(Sim_Extra)-D214)</f>
        <v>2790</v>
      </c>
      <c r="D214" s="36">
        <f>MIN(E$160,E214)+MIN(F$160,F214)+MIN(G$160,G214)+MIN(H$160,H214)+MIN(I$160,I214)+MIN(J$160,J214)+MIN(K$160,K214)+MIN(L$160,L214)</f>
        <v>0</v>
      </c>
      <c r="E214" s="36">
        <f>U213*(1+E$159)</f>
        <v>0</v>
      </c>
      <c r="F214" s="36">
        <f>V213*(1+F$159)</f>
        <v>0</v>
      </c>
      <c r="G214" s="36">
        <f>W213*(1+G$159)</f>
        <v>0</v>
      </c>
      <c r="H214" s="36">
        <f>X213*(1+H$159)</f>
        <v>0</v>
      </c>
      <c r="I214" s="36">
        <f>Y213*(1+I$159)</f>
        <v>0</v>
      </c>
      <c r="J214" s="36">
        <f>Z213*(1+J$159)</f>
        <v>0</v>
      </c>
      <c r="K214" s="36">
        <f>AA213*(1+K$159)</f>
        <v>0</v>
      </c>
      <c r="L214" s="36">
        <f>AB213*(1+L$159)</f>
        <v>0</v>
      </c>
      <c r="M214" s="36">
        <f>MIN(E214-MIN(E$160,E214),MAX(0,$C214-0))</f>
        <v>0</v>
      </c>
      <c r="N214" s="36">
        <f>MIN(F214-MIN(F$160,F214),MAX(0,$C214-SUM($M214:M214)))</f>
        <v>0</v>
      </c>
      <c r="O214" s="36">
        <f>MIN(G214-MIN(G$160,G214),MAX(0,$C214-SUM($M214:N214)))</f>
        <v>0</v>
      </c>
      <c r="P214" s="36">
        <f>MIN(H214-MIN(H$160,H214),MAX(0,$C214-SUM($M214:O214)))</f>
        <v>0</v>
      </c>
      <c r="Q214" s="36">
        <f>MIN(I214-MIN(I$160,I214),MAX(0,$C214-SUM($M214:P214)))</f>
        <v>0</v>
      </c>
      <c r="R214" s="36">
        <f>MIN(J214-MIN(J$160,J214),MAX(0,$C214-SUM($M214:Q214)))</f>
        <v>0</v>
      </c>
      <c r="S214" s="36">
        <f>MIN(K214-MIN(K$160,K214),MAX(0,$C214-SUM($M214:R214)))</f>
        <v>0</v>
      </c>
      <c r="T214" s="36">
        <f>MIN(L214-MIN(L$160,L214),MAX(0,$C214-SUM($M214:S214)))</f>
        <v>0</v>
      </c>
      <c r="U214" s="36">
        <f>IF(E214-MIN(E$160,E214)-M214&lt;0.005,0,E214-MIN(E$160,E214)-M214)</f>
        <v>0</v>
      </c>
      <c r="V214" s="36">
        <f>IF(F214-MIN(F$160,F214)-N214&lt;0.005,0,F214-MIN(F$160,F214)-N214)</f>
        <v>0</v>
      </c>
      <c r="W214" s="36">
        <f>IF(G214-MIN(G$160,G214)-O214&lt;0.005,0,G214-MIN(G$160,G214)-O214)</f>
        <v>0</v>
      </c>
      <c r="X214" s="36">
        <f>IF(H214-MIN(H$160,H214)-P214&lt;0.005,0,H214-MIN(H$160,H214)-P214)</f>
        <v>0</v>
      </c>
      <c r="Y214" s="36">
        <f>IF(I214-MIN(I$160,I214)-Q214&lt;0.005,0,I214-MIN(I$160,I214)-Q214)</f>
        <v>0</v>
      </c>
      <c r="Z214" s="36">
        <f>IF(J214-MIN(J$160,J214)-R214&lt;0.005,0,J214-MIN(J$160,J214)-R214)</f>
        <v>0</v>
      </c>
      <c r="AA214" s="36">
        <f>IF(K214-MIN(K$160,K214)-S214&lt;0.005,0,K214-MIN(K$160,K214)-S214)</f>
        <v>0</v>
      </c>
      <c r="AB214" s="36">
        <f>IF(L214-MIN(L$160,L214)-T214&lt;0.005,0,L214-MIN(L$160,L214)-T214)</f>
        <v>0</v>
      </c>
      <c r="AC214" s="36">
        <f>SUM(U214:AB214)</f>
        <v>0</v>
      </c>
      <c r="AD214" s="36">
        <f>D214+SUM(M214:T214)</f>
        <v>0</v>
      </c>
    </row>
    <row r="215">
      <c r="B215" s="40" t="n">
        <v>51</v>
      </c>
      <c r="C215" s="36">
        <f>MAX(0,Sim_SomaParc+N(Sim_Extra)-D215)</f>
        <v>2790</v>
      </c>
      <c r="D215" s="36">
        <f>MIN(E$160,E215)+MIN(F$160,F215)+MIN(G$160,G215)+MIN(H$160,H215)+MIN(I$160,I215)+MIN(J$160,J215)+MIN(K$160,K215)+MIN(L$160,L215)</f>
        <v>0</v>
      </c>
      <c r="E215" s="36">
        <f>U214*(1+E$159)</f>
        <v>0</v>
      </c>
      <c r="F215" s="36">
        <f>V214*(1+F$159)</f>
        <v>0</v>
      </c>
      <c r="G215" s="36">
        <f>W214*(1+G$159)</f>
        <v>0</v>
      </c>
      <c r="H215" s="36">
        <f>X214*(1+H$159)</f>
        <v>0</v>
      </c>
      <c r="I215" s="36">
        <f>Y214*(1+I$159)</f>
        <v>0</v>
      </c>
      <c r="J215" s="36">
        <f>Z214*(1+J$159)</f>
        <v>0</v>
      </c>
      <c r="K215" s="36">
        <f>AA214*(1+K$159)</f>
        <v>0</v>
      </c>
      <c r="L215" s="36">
        <f>AB214*(1+L$159)</f>
        <v>0</v>
      </c>
      <c r="M215" s="36">
        <f>MIN(E215-MIN(E$160,E215),MAX(0,$C215-0))</f>
        <v>0</v>
      </c>
      <c r="N215" s="36">
        <f>MIN(F215-MIN(F$160,F215),MAX(0,$C215-SUM($M215:M215)))</f>
        <v>0</v>
      </c>
      <c r="O215" s="36">
        <f>MIN(G215-MIN(G$160,G215),MAX(0,$C215-SUM($M215:N215)))</f>
        <v>0</v>
      </c>
      <c r="P215" s="36">
        <f>MIN(H215-MIN(H$160,H215),MAX(0,$C215-SUM($M215:O215)))</f>
        <v>0</v>
      </c>
      <c r="Q215" s="36">
        <f>MIN(I215-MIN(I$160,I215),MAX(0,$C215-SUM($M215:P215)))</f>
        <v>0</v>
      </c>
      <c r="R215" s="36">
        <f>MIN(J215-MIN(J$160,J215),MAX(0,$C215-SUM($M215:Q215)))</f>
        <v>0</v>
      </c>
      <c r="S215" s="36">
        <f>MIN(K215-MIN(K$160,K215),MAX(0,$C215-SUM($M215:R215)))</f>
        <v>0</v>
      </c>
      <c r="T215" s="36">
        <f>MIN(L215-MIN(L$160,L215),MAX(0,$C215-SUM($M215:S215)))</f>
        <v>0</v>
      </c>
      <c r="U215" s="36">
        <f>IF(E215-MIN(E$160,E215)-M215&lt;0.005,0,E215-MIN(E$160,E215)-M215)</f>
        <v>0</v>
      </c>
      <c r="V215" s="36">
        <f>IF(F215-MIN(F$160,F215)-N215&lt;0.005,0,F215-MIN(F$160,F215)-N215)</f>
        <v>0</v>
      </c>
      <c r="W215" s="36">
        <f>IF(G215-MIN(G$160,G215)-O215&lt;0.005,0,G215-MIN(G$160,G215)-O215)</f>
        <v>0</v>
      </c>
      <c r="X215" s="36">
        <f>IF(H215-MIN(H$160,H215)-P215&lt;0.005,0,H215-MIN(H$160,H215)-P215)</f>
        <v>0</v>
      </c>
      <c r="Y215" s="36">
        <f>IF(I215-MIN(I$160,I215)-Q215&lt;0.005,0,I215-MIN(I$160,I215)-Q215)</f>
        <v>0</v>
      </c>
      <c r="Z215" s="36">
        <f>IF(J215-MIN(J$160,J215)-R215&lt;0.005,0,J215-MIN(J$160,J215)-R215)</f>
        <v>0</v>
      </c>
      <c r="AA215" s="36">
        <f>IF(K215-MIN(K$160,K215)-S215&lt;0.005,0,K215-MIN(K$160,K215)-S215)</f>
        <v>0</v>
      </c>
      <c r="AB215" s="36">
        <f>IF(L215-MIN(L$160,L215)-T215&lt;0.005,0,L215-MIN(L$160,L215)-T215)</f>
        <v>0</v>
      </c>
      <c r="AC215" s="36">
        <f>SUM(U215:AB215)</f>
        <v>0</v>
      </c>
      <c r="AD215" s="36">
        <f>D215+SUM(M215:T215)</f>
        <v>0</v>
      </c>
    </row>
    <row r="216">
      <c r="B216" s="40" t="n">
        <v>52</v>
      </c>
      <c r="C216" s="36">
        <f>MAX(0,Sim_SomaParc+N(Sim_Extra)-D216)</f>
        <v>2790</v>
      </c>
      <c r="D216" s="36">
        <f>MIN(E$160,E216)+MIN(F$160,F216)+MIN(G$160,G216)+MIN(H$160,H216)+MIN(I$160,I216)+MIN(J$160,J216)+MIN(K$160,K216)+MIN(L$160,L216)</f>
        <v>0</v>
      </c>
      <c r="E216" s="36">
        <f>U215*(1+E$159)</f>
        <v>0</v>
      </c>
      <c r="F216" s="36">
        <f>V215*(1+F$159)</f>
        <v>0</v>
      </c>
      <c r="G216" s="36">
        <f>W215*(1+G$159)</f>
        <v>0</v>
      </c>
      <c r="H216" s="36">
        <f>X215*(1+H$159)</f>
        <v>0</v>
      </c>
      <c r="I216" s="36">
        <f>Y215*(1+I$159)</f>
        <v>0</v>
      </c>
      <c r="J216" s="36">
        <f>Z215*(1+J$159)</f>
        <v>0</v>
      </c>
      <c r="K216" s="36">
        <f>AA215*(1+K$159)</f>
        <v>0</v>
      </c>
      <c r="L216" s="36">
        <f>AB215*(1+L$159)</f>
        <v>0</v>
      </c>
      <c r="M216" s="36">
        <f>MIN(E216-MIN(E$160,E216),MAX(0,$C216-0))</f>
        <v>0</v>
      </c>
      <c r="N216" s="36">
        <f>MIN(F216-MIN(F$160,F216),MAX(0,$C216-SUM($M216:M216)))</f>
        <v>0</v>
      </c>
      <c r="O216" s="36">
        <f>MIN(G216-MIN(G$160,G216),MAX(0,$C216-SUM($M216:N216)))</f>
        <v>0</v>
      </c>
      <c r="P216" s="36">
        <f>MIN(H216-MIN(H$160,H216),MAX(0,$C216-SUM($M216:O216)))</f>
        <v>0</v>
      </c>
      <c r="Q216" s="36">
        <f>MIN(I216-MIN(I$160,I216),MAX(0,$C216-SUM($M216:P216)))</f>
        <v>0</v>
      </c>
      <c r="R216" s="36">
        <f>MIN(J216-MIN(J$160,J216),MAX(0,$C216-SUM($M216:Q216)))</f>
        <v>0</v>
      </c>
      <c r="S216" s="36">
        <f>MIN(K216-MIN(K$160,K216),MAX(0,$C216-SUM($M216:R216)))</f>
        <v>0</v>
      </c>
      <c r="T216" s="36">
        <f>MIN(L216-MIN(L$160,L216),MAX(0,$C216-SUM($M216:S216)))</f>
        <v>0</v>
      </c>
      <c r="U216" s="36">
        <f>IF(E216-MIN(E$160,E216)-M216&lt;0.005,0,E216-MIN(E$160,E216)-M216)</f>
        <v>0</v>
      </c>
      <c r="V216" s="36">
        <f>IF(F216-MIN(F$160,F216)-N216&lt;0.005,0,F216-MIN(F$160,F216)-N216)</f>
        <v>0</v>
      </c>
      <c r="W216" s="36">
        <f>IF(G216-MIN(G$160,G216)-O216&lt;0.005,0,G216-MIN(G$160,G216)-O216)</f>
        <v>0</v>
      </c>
      <c r="X216" s="36">
        <f>IF(H216-MIN(H$160,H216)-P216&lt;0.005,0,H216-MIN(H$160,H216)-P216)</f>
        <v>0</v>
      </c>
      <c r="Y216" s="36">
        <f>IF(I216-MIN(I$160,I216)-Q216&lt;0.005,0,I216-MIN(I$160,I216)-Q216)</f>
        <v>0</v>
      </c>
      <c r="Z216" s="36">
        <f>IF(J216-MIN(J$160,J216)-R216&lt;0.005,0,J216-MIN(J$160,J216)-R216)</f>
        <v>0</v>
      </c>
      <c r="AA216" s="36">
        <f>IF(K216-MIN(K$160,K216)-S216&lt;0.005,0,K216-MIN(K$160,K216)-S216)</f>
        <v>0</v>
      </c>
      <c r="AB216" s="36">
        <f>IF(L216-MIN(L$160,L216)-T216&lt;0.005,0,L216-MIN(L$160,L216)-T216)</f>
        <v>0</v>
      </c>
      <c r="AC216" s="36">
        <f>SUM(U216:AB216)</f>
        <v>0</v>
      </c>
      <c r="AD216" s="36">
        <f>D216+SUM(M216:T216)</f>
        <v>0</v>
      </c>
    </row>
    <row r="217">
      <c r="B217" s="40" t="n">
        <v>53</v>
      </c>
      <c r="C217" s="36">
        <f>MAX(0,Sim_SomaParc+N(Sim_Extra)-D217)</f>
        <v>2790</v>
      </c>
      <c r="D217" s="36">
        <f>MIN(E$160,E217)+MIN(F$160,F217)+MIN(G$160,G217)+MIN(H$160,H217)+MIN(I$160,I217)+MIN(J$160,J217)+MIN(K$160,K217)+MIN(L$160,L217)</f>
        <v>0</v>
      </c>
      <c r="E217" s="36">
        <f>U216*(1+E$159)</f>
        <v>0</v>
      </c>
      <c r="F217" s="36">
        <f>V216*(1+F$159)</f>
        <v>0</v>
      </c>
      <c r="G217" s="36">
        <f>W216*(1+G$159)</f>
        <v>0</v>
      </c>
      <c r="H217" s="36">
        <f>X216*(1+H$159)</f>
        <v>0</v>
      </c>
      <c r="I217" s="36">
        <f>Y216*(1+I$159)</f>
        <v>0</v>
      </c>
      <c r="J217" s="36">
        <f>Z216*(1+J$159)</f>
        <v>0</v>
      </c>
      <c r="K217" s="36">
        <f>AA216*(1+K$159)</f>
        <v>0</v>
      </c>
      <c r="L217" s="36">
        <f>AB216*(1+L$159)</f>
        <v>0</v>
      </c>
      <c r="M217" s="36">
        <f>MIN(E217-MIN(E$160,E217),MAX(0,$C217-0))</f>
        <v>0</v>
      </c>
      <c r="N217" s="36">
        <f>MIN(F217-MIN(F$160,F217),MAX(0,$C217-SUM($M217:M217)))</f>
        <v>0</v>
      </c>
      <c r="O217" s="36">
        <f>MIN(G217-MIN(G$160,G217),MAX(0,$C217-SUM($M217:N217)))</f>
        <v>0</v>
      </c>
      <c r="P217" s="36">
        <f>MIN(H217-MIN(H$160,H217),MAX(0,$C217-SUM($M217:O217)))</f>
        <v>0</v>
      </c>
      <c r="Q217" s="36">
        <f>MIN(I217-MIN(I$160,I217),MAX(0,$C217-SUM($M217:P217)))</f>
        <v>0</v>
      </c>
      <c r="R217" s="36">
        <f>MIN(J217-MIN(J$160,J217),MAX(0,$C217-SUM($M217:Q217)))</f>
        <v>0</v>
      </c>
      <c r="S217" s="36">
        <f>MIN(K217-MIN(K$160,K217),MAX(0,$C217-SUM($M217:R217)))</f>
        <v>0</v>
      </c>
      <c r="T217" s="36">
        <f>MIN(L217-MIN(L$160,L217),MAX(0,$C217-SUM($M217:S217)))</f>
        <v>0</v>
      </c>
      <c r="U217" s="36">
        <f>IF(E217-MIN(E$160,E217)-M217&lt;0.005,0,E217-MIN(E$160,E217)-M217)</f>
        <v>0</v>
      </c>
      <c r="V217" s="36">
        <f>IF(F217-MIN(F$160,F217)-N217&lt;0.005,0,F217-MIN(F$160,F217)-N217)</f>
        <v>0</v>
      </c>
      <c r="W217" s="36">
        <f>IF(G217-MIN(G$160,G217)-O217&lt;0.005,0,G217-MIN(G$160,G217)-O217)</f>
        <v>0</v>
      </c>
      <c r="X217" s="36">
        <f>IF(H217-MIN(H$160,H217)-P217&lt;0.005,0,H217-MIN(H$160,H217)-P217)</f>
        <v>0</v>
      </c>
      <c r="Y217" s="36">
        <f>IF(I217-MIN(I$160,I217)-Q217&lt;0.005,0,I217-MIN(I$160,I217)-Q217)</f>
        <v>0</v>
      </c>
      <c r="Z217" s="36">
        <f>IF(J217-MIN(J$160,J217)-R217&lt;0.005,0,J217-MIN(J$160,J217)-R217)</f>
        <v>0</v>
      </c>
      <c r="AA217" s="36">
        <f>IF(K217-MIN(K$160,K217)-S217&lt;0.005,0,K217-MIN(K$160,K217)-S217)</f>
        <v>0</v>
      </c>
      <c r="AB217" s="36">
        <f>IF(L217-MIN(L$160,L217)-T217&lt;0.005,0,L217-MIN(L$160,L217)-T217)</f>
        <v>0</v>
      </c>
      <c r="AC217" s="36">
        <f>SUM(U217:AB217)</f>
        <v>0</v>
      </c>
      <c r="AD217" s="36">
        <f>D217+SUM(M217:T217)</f>
        <v>0</v>
      </c>
    </row>
    <row r="218">
      <c r="B218" s="40" t="n">
        <v>54</v>
      </c>
      <c r="C218" s="36">
        <f>MAX(0,Sim_SomaParc+N(Sim_Extra)-D218)</f>
        <v>2790</v>
      </c>
      <c r="D218" s="36">
        <f>MIN(E$160,E218)+MIN(F$160,F218)+MIN(G$160,G218)+MIN(H$160,H218)+MIN(I$160,I218)+MIN(J$160,J218)+MIN(K$160,K218)+MIN(L$160,L218)</f>
        <v>0</v>
      </c>
      <c r="E218" s="36">
        <f>U217*(1+E$159)</f>
        <v>0</v>
      </c>
      <c r="F218" s="36">
        <f>V217*(1+F$159)</f>
        <v>0</v>
      </c>
      <c r="G218" s="36">
        <f>W217*(1+G$159)</f>
        <v>0</v>
      </c>
      <c r="H218" s="36">
        <f>X217*(1+H$159)</f>
        <v>0</v>
      </c>
      <c r="I218" s="36">
        <f>Y217*(1+I$159)</f>
        <v>0</v>
      </c>
      <c r="J218" s="36">
        <f>Z217*(1+J$159)</f>
        <v>0</v>
      </c>
      <c r="K218" s="36">
        <f>AA217*(1+K$159)</f>
        <v>0</v>
      </c>
      <c r="L218" s="36">
        <f>AB217*(1+L$159)</f>
        <v>0</v>
      </c>
      <c r="M218" s="36">
        <f>MIN(E218-MIN(E$160,E218),MAX(0,$C218-0))</f>
        <v>0</v>
      </c>
      <c r="N218" s="36">
        <f>MIN(F218-MIN(F$160,F218),MAX(0,$C218-SUM($M218:M218)))</f>
        <v>0</v>
      </c>
      <c r="O218" s="36">
        <f>MIN(G218-MIN(G$160,G218),MAX(0,$C218-SUM($M218:N218)))</f>
        <v>0</v>
      </c>
      <c r="P218" s="36">
        <f>MIN(H218-MIN(H$160,H218),MAX(0,$C218-SUM($M218:O218)))</f>
        <v>0</v>
      </c>
      <c r="Q218" s="36">
        <f>MIN(I218-MIN(I$160,I218),MAX(0,$C218-SUM($M218:P218)))</f>
        <v>0</v>
      </c>
      <c r="R218" s="36">
        <f>MIN(J218-MIN(J$160,J218),MAX(0,$C218-SUM($M218:Q218)))</f>
        <v>0</v>
      </c>
      <c r="S218" s="36">
        <f>MIN(K218-MIN(K$160,K218),MAX(0,$C218-SUM($M218:R218)))</f>
        <v>0</v>
      </c>
      <c r="T218" s="36">
        <f>MIN(L218-MIN(L$160,L218),MAX(0,$C218-SUM($M218:S218)))</f>
        <v>0</v>
      </c>
      <c r="U218" s="36">
        <f>IF(E218-MIN(E$160,E218)-M218&lt;0.005,0,E218-MIN(E$160,E218)-M218)</f>
        <v>0</v>
      </c>
      <c r="V218" s="36">
        <f>IF(F218-MIN(F$160,F218)-N218&lt;0.005,0,F218-MIN(F$160,F218)-N218)</f>
        <v>0</v>
      </c>
      <c r="W218" s="36">
        <f>IF(G218-MIN(G$160,G218)-O218&lt;0.005,0,G218-MIN(G$160,G218)-O218)</f>
        <v>0</v>
      </c>
      <c r="X218" s="36">
        <f>IF(H218-MIN(H$160,H218)-P218&lt;0.005,0,H218-MIN(H$160,H218)-P218)</f>
        <v>0</v>
      </c>
      <c r="Y218" s="36">
        <f>IF(I218-MIN(I$160,I218)-Q218&lt;0.005,0,I218-MIN(I$160,I218)-Q218)</f>
        <v>0</v>
      </c>
      <c r="Z218" s="36">
        <f>IF(J218-MIN(J$160,J218)-R218&lt;0.005,0,J218-MIN(J$160,J218)-R218)</f>
        <v>0</v>
      </c>
      <c r="AA218" s="36">
        <f>IF(K218-MIN(K$160,K218)-S218&lt;0.005,0,K218-MIN(K$160,K218)-S218)</f>
        <v>0</v>
      </c>
      <c r="AB218" s="36">
        <f>IF(L218-MIN(L$160,L218)-T218&lt;0.005,0,L218-MIN(L$160,L218)-T218)</f>
        <v>0</v>
      </c>
      <c r="AC218" s="36">
        <f>SUM(U218:AB218)</f>
        <v>0</v>
      </c>
      <c r="AD218" s="36">
        <f>D218+SUM(M218:T218)</f>
        <v>0</v>
      </c>
    </row>
    <row r="219">
      <c r="B219" s="40" t="n">
        <v>55</v>
      </c>
      <c r="C219" s="36">
        <f>MAX(0,Sim_SomaParc+N(Sim_Extra)-D219)</f>
        <v>2790</v>
      </c>
      <c r="D219" s="36">
        <f>MIN(E$160,E219)+MIN(F$160,F219)+MIN(G$160,G219)+MIN(H$160,H219)+MIN(I$160,I219)+MIN(J$160,J219)+MIN(K$160,K219)+MIN(L$160,L219)</f>
        <v>0</v>
      </c>
      <c r="E219" s="36">
        <f>U218*(1+E$159)</f>
        <v>0</v>
      </c>
      <c r="F219" s="36">
        <f>V218*(1+F$159)</f>
        <v>0</v>
      </c>
      <c r="G219" s="36">
        <f>W218*(1+G$159)</f>
        <v>0</v>
      </c>
      <c r="H219" s="36">
        <f>X218*(1+H$159)</f>
        <v>0</v>
      </c>
      <c r="I219" s="36">
        <f>Y218*(1+I$159)</f>
        <v>0</v>
      </c>
      <c r="J219" s="36">
        <f>Z218*(1+J$159)</f>
        <v>0</v>
      </c>
      <c r="K219" s="36">
        <f>AA218*(1+K$159)</f>
        <v>0</v>
      </c>
      <c r="L219" s="36">
        <f>AB218*(1+L$159)</f>
        <v>0</v>
      </c>
      <c r="M219" s="36">
        <f>MIN(E219-MIN(E$160,E219),MAX(0,$C219-0))</f>
        <v>0</v>
      </c>
      <c r="N219" s="36">
        <f>MIN(F219-MIN(F$160,F219),MAX(0,$C219-SUM($M219:M219)))</f>
        <v>0</v>
      </c>
      <c r="O219" s="36">
        <f>MIN(G219-MIN(G$160,G219),MAX(0,$C219-SUM($M219:N219)))</f>
        <v>0</v>
      </c>
      <c r="P219" s="36">
        <f>MIN(H219-MIN(H$160,H219),MAX(0,$C219-SUM($M219:O219)))</f>
        <v>0</v>
      </c>
      <c r="Q219" s="36">
        <f>MIN(I219-MIN(I$160,I219),MAX(0,$C219-SUM($M219:P219)))</f>
        <v>0</v>
      </c>
      <c r="R219" s="36">
        <f>MIN(J219-MIN(J$160,J219),MAX(0,$C219-SUM($M219:Q219)))</f>
        <v>0</v>
      </c>
      <c r="S219" s="36">
        <f>MIN(K219-MIN(K$160,K219),MAX(0,$C219-SUM($M219:R219)))</f>
        <v>0</v>
      </c>
      <c r="T219" s="36">
        <f>MIN(L219-MIN(L$160,L219),MAX(0,$C219-SUM($M219:S219)))</f>
        <v>0</v>
      </c>
      <c r="U219" s="36">
        <f>IF(E219-MIN(E$160,E219)-M219&lt;0.005,0,E219-MIN(E$160,E219)-M219)</f>
        <v>0</v>
      </c>
      <c r="V219" s="36">
        <f>IF(F219-MIN(F$160,F219)-N219&lt;0.005,0,F219-MIN(F$160,F219)-N219)</f>
        <v>0</v>
      </c>
      <c r="W219" s="36">
        <f>IF(G219-MIN(G$160,G219)-O219&lt;0.005,0,G219-MIN(G$160,G219)-O219)</f>
        <v>0</v>
      </c>
      <c r="X219" s="36">
        <f>IF(H219-MIN(H$160,H219)-P219&lt;0.005,0,H219-MIN(H$160,H219)-P219)</f>
        <v>0</v>
      </c>
      <c r="Y219" s="36">
        <f>IF(I219-MIN(I$160,I219)-Q219&lt;0.005,0,I219-MIN(I$160,I219)-Q219)</f>
        <v>0</v>
      </c>
      <c r="Z219" s="36">
        <f>IF(J219-MIN(J$160,J219)-R219&lt;0.005,0,J219-MIN(J$160,J219)-R219)</f>
        <v>0</v>
      </c>
      <c r="AA219" s="36">
        <f>IF(K219-MIN(K$160,K219)-S219&lt;0.005,0,K219-MIN(K$160,K219)-S219)</f>
        <v>0</v>
      </c>
      <c r="AB219" s="36">
        <f>IF(L219-MIN(L$160,L219)-T219&lt;0.005,0,L219-MIN(L$160,L219)-T219)</f>
        <v>0</v>
      </c>
      <c r="AC219" s="36">
        <f>SUM(U219:AB219)</f>
        <v>0</v>
      </c>
      <c r="AD219" s="36">
        <f>D219+SUM(M219:T219)</f>
        <v>0</v>
      </c>
    </row>
    <row r="220">
      <c r="B220" s="40" t="n">
        <v>56</v>
      </c>
      <c r="C220" s="36">
        <f>MAX(0,Sim_SomaParc+N(Sim_Extra)-D220)</f>
        <v>2790</v>
      </c>
      <c r="D220" s="36">
        <f>MIN(E$160,E220)+MIN(F$160,F220)+MIN(G$160,G220)+MIN(H$160,H220)+MIN(I$160,I220)+MIN(J$160,J220)+MIN(K$160,K220)+MIN(L$160,L220)</f>
        <v>0</v>
      </c>
      <c r="E220" s="36">
        <f>U219*(1+E$159)</f>
        <v>0</v>
      </c>
      <c r="F220" s="36">
        <f>V219*(1+F$159)</f>
        <v>0</v>
      </c>
      <c r="G220" s="36">
        <f>W219*(1+G$159)</f>
        <v>0</v>
      </c>
      <c r="H220" s="36">
        <f>X219*(1+H$159)</f>
        <v>0</v>
      </c>
      <c r="I220" s="36">
        <f>Y219*(1+I$159)</f>
        <v>0</v>
      </c>
      <c r="J220" s="36">
        <f>Z219*(1+J$159)</f>
        <v>0</v>
      </c>
      <c r="K220" s="36">
        <f>AA219*(1+K$159)</f>
        <v>0</v>
      </c>
      <c r="L220" s="36">
        <f>AB219*(1+L$159)</f>
        <v>0</v>
      </c>
      <c r="M220" s="36">
        <f>MIN(E220-MIN(E$160,E220),MAX(0,$C220-0))</f>
        <v>0</v>
      </c>
      <c r="N220" s="36">
        <f>MIN(F220-MIN(F$160,F220),MAX(0,$C220-SUM($M220:M220)))</f>
        <v>0</v>
      </c>
      <c r="O220" s="36">
        <f>MIN(G220-MIN(G$160,G220),MAX(0,$C220-SUM($M220:N220)))</f>
        <v>0</v>
      </c>
      <c r="P220" s="36">
        <f>MIN(H220-MIN(H$160,H220),MAX(0,$C220-SUM($M220:O220)))</f>
        <v>0</v>
      </c>
      <c r="Q220" s="36">
        <f>MIN(I220-MIN(I$160,I220),MAX(0,$C220-SUM($M220:P220)))</f>
        <v>0</v>
      </c>
      <c r="R220" s="36">
        <f>MIN(J220-MIN(J$160,J220),MAX(0,$C220-SUM($M220:Q220)))</f>
        <v>0</v>
      </c>
      <c r="S220" s="36">
        <f>MIN(K220-MIN(K$160,K220),MAX(0,$C220-SUM($M220:R220)))</f>
        <v>0</v>
      </c>
      <c r="T220" s="36">
        <f>MIN(L220-MIN(L$160,L220),MAX(0,$C220-SUM($M220:S220)))</f>
        <v>0</v>
      </c>
      <c r="U220" s="36">
        <f>IF(E220-MIN(E$160,E220)-M220&lt;0.005,0,E220-MIN(E$160,E220)-M220)</f>
        <v>0</v>
      </c>
      <c r="V220" s="36">
        <f>IF(F220-MIN(F$160,F220)-N220&lt;0.005,0,F220-MIN(F$160,F220)-N220)</f>
        <v>0</v>
      </c>
      <c r="W220" s="36">
        <f>IF(G220-MIN(G$160,G220)-O220&lt;0.005,0,G220-MIN(G$160,G220)-O220)</f>
        <v>0</v>
      </c>
      <c r="X220" s="36">
        <f>IF(H220-MIN(H$160,H220)-P220&lt;0.005,0,H220-MIN(H$160,H220)-P220)</f>
        <v>0</v>
      </c>
      <c r="Y220" s="36">
        <f>IF(I220-MIN(I$160,I220)-Q220&lt;0.005,0,I220-MIN(I$160,I220)-Q220)</f>
        <v>0</v>
      </c>
      <c r="Z220" s="36">
        <f>IF(J220-MIN(J$160,J220)-R220&lt;0.005,0,J220-MIN(J$160,J220)-R220)</f>
        <v>0</v>
      </c>
      <c r="AA220" s="36">
        <f>IF(K220-MIN(K$160,K220)-S220&lt;0.005,0,K220-MIN(K$160,K220)-S220)</f>
        <v>0</v>
      </c>
      <c r="AB220" s="36">
        <f>IF(L220-MIN(L$160,L220)-T220&lt;0.005,0,L220-MIN(L$160,L220)-T220)</f>
        <v>0</v>
      </c>
      <c r="AC220" s="36">
        <f>SUM(U220:AB220)</f>
        <v>0</v>
      </c>
      <c r="AD220" s="36">
        <f>D220+SUM(M220:T220)</f>
        <v>0</v>
      </c>
    </row>
    <row r="221">
      <c r="B221" s="40" t="n">
        <v>57</v>
      </c>
      <c r="C221" s="36">
        <f>MAX(0,Sim_SomaParc+N(Sim_Extra)-D221)</f>
        <v>2790</v>
      </c>
      <c r="D221" s="36">
        <f>MIN(E$160,E221)+MIN(F$160,F221)+MIN(G$160,G221)+MIN(H$160,H221)+MIN(I$160,I221)+MIN(J$160,J221)+MIN(K$160,K221)+MIN(L$160,L221)</f>
        <v>0</v>
      </c>
      <c r="E221" s="36">
        <f>U220*(1+E$159)</f>
        <v>0</v>
      </c>
      <c r="F221" s="36">
        <f>V220*(1+F$159)</f>
        <v>0</v>
      </c>
      <c r="G221" s="36">
        <f>W220*(1+G$159)</f>
        <v>0</v>
      </c>
      <c r="H221" s="36">
        <f>X220*(1+H$159)</f>
        <v>0</v>
      </c>
      <c r="I221" s="36">
        <f>Y220*(1+I$159)</f>
        <v>0</v>
      </c>
      <c r="J221" s="36">
        <f>Z220*(1+J$159)</f>
        <v>0</v>
      </c>
      <c r="K221" s="36">
        <f>AA220*(1+K$159)</f>
        <v>0</v>
      </c>
      <c r="L221" s="36">
        <f>AB220*(1+L$159)</f>
        <v>0</v>
      </c>
      <c r="M221" s="36">
        <f>MIN(E221-MIN(E$160,E221),MAX(0,$C221-0))</f>
        <v>0</v>
      </c>
      <c r="N221" s="36">
        <f>MIN(F221-MIN(F$160,F221),MAX(0,$C221-SUM($M221:M221)))</f>
        <v>0</v>
      </c>
      <c r="O221" s="36">
        <f>MIN(G221-MIN(G$160,G221),MAX(0,$C221-SUM($M221:N221)))</f>
        <v>0</v>
      </c>
      <c r="P221" s="36">
        <f>MIN(H221-MIN(H$160,H221),MAX(0,$C221-SUM($M221:O221)))</f>
        <v>0</v>
      </c>
      <c r="Q221" s="36">
        <f>MIN(I221-MIN(I$160,I221),MAX(0,$C221-SUM($M221:P221)))</f>
        <v>0</v>
      </c>
      <c r="R221" s="36">
        <f>MIN(J221-MIN(J$160,J221),MAX(0,$C221-SUM($M221:Q221)))</f>
        <v>0</v>
      </c>
      <c r="S221" s="36">
        <f>MIN(K221-MIN(K$160,K221),MAX(0,$C221-SUM($M221:R221)))</f>
        <v>0</v>
      </c>
      <c r="T221" s="36">
        <f>MIN(L221-MIN(L$160,L221),MAX(0,$C221-SUM($M221:S221)))</f>
        <v>0</v>
      </c>
      <c r="U221" s="36">
        <f>IF(E221-MIN(E$160,E221)-M221&lt;0.005,0,E221-MIN(E$160,E221)-M221)</f>
        <v>0</v>
      </c>
      <c r="V221" s="36">
        <f>IF(F221-MIN(F$160,F221)-N221&lt;0.005,0,F221-MIN(F$160,F221)-N221)</f>
        <v>0</v>
      </c>
      <c r="W221" s="36">
        <f>IF(G221-MIN(G$160,G221)-O221&lt;0.005,0,G221-MIN(G$160,G221)-O221)</f>
        <v>0</v>
      </c>
      <c r="X221" s="36">
        <f>IF(H221-MIN(H$160,H221)-P221&lt;0.005,0,H221-MIN(H$160,H221)-P221)</f>
        <v>0</v>
      </c>
      <c r="Y221" s="36">
        <f>IF(I221-MIN(I$160,I221)-Q221&lt;0.005,0,I221-MIN(I$160,I221)-Q221)</f>
        <v>0</v>
      </c>
      <c r="Z221" s="36">
        <f>IF(J221-MIN(J$160,J221)-R221&lt;0.005,0,J221-MIN(J$160,J221)-R221)</f>
        <v>0</v>
      </c>
      <c r="AA221" s="36">
        <f>IF(K221-MIN(K$160,K221)-S221&lt;0.005,0,K221-MIN(K$160,K221)-S221)</f>
        <v>0</v>
      </c>
      <c r="AB221" s="36">
        <f>IF(L221-MIN(L$160,L221)-T221&lt;0.005,0,L221-MIN(L$160,L221)-T221)</f>
        <v>0</v>
      </c>
      <c r="AC221" s="36">
        <f>SUM(U221:AB221)</f>
        <v>0</v>
      </c>
      <c r="AD221" s="36">
        <f>D221+SUM(M221:T221)</f>
        <v>0</v>
      </c>
    </row>
    <row r="222">
      <c r="B222" s="40" t="n">
        <v>58</v>
      </c>
      <c r="C222" s="36">
        <f>MAX(0,Sim_SomaParc+N(Sim_Extra)-D222)</f>
        <v>2790</v>
      </c>
      <c r="D222" s="36">
        <f>MIN(E$160,E222)+MIN(F$160,F222)+MIN(G$160,G222)+MIN(H$160,H222)+MIN(I$160,I222)+MIN(J$160,J222)+MIN(K$160,K222)+MIN(L$160,L222)</f>
        <v>0</v>
      </c>
      <c r="E222" s="36">
        <f>U221*(1+E$159)</f>
        <v>0</v>
      </c>
      <c r="F222" s="36">
        <f>V221*(1+F$159)</f>
        <v>0</v>
      </c>
      <c r="G222" s="36">
        <f>W221*(1+G$159)</f>
        <v>0</v>
      </c>
      <c r="H222" s="36">
        <f>X221*(1+H$159)</f>
        <v>0</v>
      </c>
      <c r="I222" s="36">
        <f>Y221*(1+I$159)</f>
        <v>0</v>
      </c>
      <c r="J222" s="36">
        <f>Z221*(1+J$159)</f>
        <v>0</v>
      </c>
      <c r="K222" s="36">
        <f>AA221*(1+K$159)</f>
        <v>0</v>
      </c>
      <c r="L222" s="36">
        <f>AB221*(1+L$159)</f>
        <v>0</v>
      </c>
      <c r="M222" s="36">
        <f>MIN(E222-MIN(E$160,E222),MAX(0,$C222-0))</f>
        <v>0</v>
      </c>
      <c r="N222" s="36">
        <f>MIN(F222-MIN(F$160,F222),MAX(0,$C222-SUM($M222:M222)))</f>
        <v>0</v>
      </c>
      <c r="O222" s="36">
        <f>MIN(G222-MIN(G$160,G222),MAX(0,$C222-SUM($M222:N222)))</f>
        <v>0</v>
      </c>
      <c r="P222" s="36">
        <f>MIN(H222-MIN(H$160,H222),MAX(0,$C222-SUM($M222:O222)))</f>
        <v>0</v>
      </c>
      <c r="Q222" s="36">
        <f>MIN(I222-MIN(I$160,I222),MAX(0,$C222-SUM($M222:P222)))</f>
        <v>0</v>
      </c>
      <c r="R222" s="36">
        <f>MIN(J222-MIN(J$160,J222),MAX(0,$C222-SUM($M222:Q222)))</f>
        <v>0</v>
      </c>
      <c r="S222" s="36">
        <f>MIN(K222-MIN(K$160,K222),MAX(0,$C222-SUM($M222:R222)))</f>
        <v>0</v>
      </c>
      <c r="T222" s="36">
        <f>MIN(L222-MIN(L$160,L222),MAX(0,$C222-SUM($M222:S222)))</f>
        <v>0</v>
      </c>
      <c r="U222" s="36">
        <f>IF(E222-MIN(E$160,E222)-M222&lt;0.005,0,E222-MIN(E$160,E222)-M222)</f>
        <v>0</v>
      </c>
      <c r="V222" s="36">
        <f>IF(F222-MIN(F$160,F222)-N222&lt;0.005,0,F222-MIN(F$160,F222)-N222)</f>
        <v>0</v>
      </c>
      <c r="W222" s="36">
        <f>IF(G222-MIN(G$160,G222)-O222&lt;0.005,0,G222-MIN(G$160,G222)-O222)</f>
        <v>0</v>
      </c>
      <c r="X222" s="36">
        <f>IF(H222-MIN(H$160,H222)-P222&lt;0.005,0,H222-MIN(H$160,H222)-P222)</f>
        <v>0</v>
      </c>
      <c r="Y222" s="36">
        <f>IF(I222-MIN(I$160,I222)-Q222&lt;0.005,0,I222-MIN(I$160,I222)-Q222)</f>
        <v>0</v>
      </c>
      <c r="Z222" s="36">
        <f>IF(J222-MIN(J$160,J222)-R222&lt;0.005,0,J222-MIN(J$160,J222)-R222)</f>
        <v>0</v>
      </c>
      <c r="AA222" s="36">
        <f>IF(K222-MIN(K$160,K222)-S222&lt;0.005,0,K222-MIN(K$160,K222)-S222)</f>
        <v>0</v>
      </c>
      <c r="AB222" s="36">
        <f>IF(L222-MIN(L$160,L222)-T222&lt;0.005,0,L222-MIN(L$160,L222)-T222)</f>
        <v>0</v>
      </c>
      <c r="AC222" s="36">
        <f>SUM(U222:AB222)</f>
        <v>0</v>
      </c>
      <c r="AD222" s="36">
        <f>D222+SUM(M222:T222)</f>
        <v>0</v>
      </c>
    </row>
    <row r="223">
      <c r="B223" s="40" t="n">
        <v>59</v>
      </c>
      <c r="C223" s="36">
        <f>MAX(0,Sim_SomaParc+N(Sim_Extra)-D223)</f>
        <v>2790</v>
      </c>
      <c r="D223" s="36">
        <f>MIN(E$160,E223)+MIN(F$160,F223)+MIN(G$160,G223)+MIN(H$160,H223)+MIN(I$160,I223)+MIN(J$160,J223)+MIN(K$160,K223)+MIN(L$160,L223)</f>
        <v>0</v>
      </c>
      <c r="E223" s="36">
        <f>U222*(1+E$159)</f>
        <v>0</v>
      </c>
      <c r="F223" s="36">
        <f>V222*(1+F$159)</f>
        <v>0</v>
      </c>
      <c r="G223" s="36">
        <f>W222*(1+G$159)</f>
        <v>0</v>
      </c>
      <c r="H223" s="36">
        <f>X222*(1+H$159)</f>
        <v>0</v>
      </c>
      <c r="I223" s="36">
        <f>Y222*(1+I$159)</f>
        <v>0</v>
      </c>
      <c r="J223" s="36">
        <f>Z222*(1+J$159)</f>
        <v>0</v>
      </c>
      <c r="K223" s="36">
        <f>AA222*(1+K$159)</f>
        <v>0</v>
      </c>
      <c r="L223" s="36">
        <f>AB222*(1+L$159)</f>
        <v>0</v>
      </c>
      <c r="M223" s="36">
        <f>MIN(E223-MIN(E$160,E223),MAX(0,$C223-0))</f>
        <v>0</v>
      </c>
      <c r="N223" s="36">
        <f>MIN(F223-MIN(F$160,F223),MAX(0,$C223-SUM($M223:M223)))</f>
        <v>0</v>
      </c>
      <c r="O223" s="36">
        <f>MIN(G223-MIN(G$160,G223),MAX(0,$C223-SUM($M223:N223)))</f>
        <v>0</v>
      </c>
      <c r="P223" s="36">
        <f>MIN(H223-MIN(H$160,H223),MAX(0,$C223-SUM($M223:O223)))</f>
        <v>0</v>
      </c>
      <c r="Q223" s="36">
        <f>MIN(I223-MIN(I$160,I223),MAX(0,$C223-SUM($M223:P223)))</f>
        <v>0</v>
      </c>
      <c r="R223" s="36">
        <f>MIN(J223-MIN(J$160,J223),MAX(0,$C223-SUM($M223:Q223)))</f>
        <v>0</v>
      </c>
      <c r="S223" s="36">
        <f>MIN(K223-MIN(K$160,K223),MAX(0,$C223-SUM($M223:R223)))</f>
        <v>0</v>
      </c>
      <c r="T223" s="36">
        <f>MIN(L223-MIN(L$160,L223),MAX(0,$C223-SUM($M223:S223)))</f>
        <v>0</v>
      </c>
      <c r="U223" s="36">
        <f>IF(E223-MIN(E$160,E223)-M223&lt;0.005,0,E223-MIN(E$160,E223)-M223)</f>
        <v>0</v>
      </c>
      <c r="V223" s="36">
        <f>IF(F223-MIN(F$160,F223)-N223&lt;0.005,0,F223-MIN(F$160,F223)-N223)</f>
        <v>0</v>
      </c>
      <c r="W223" s="36">
        <f>IF(G223-MIN(G$160,G223)-O223&lt;0.005,0,G223-MIN(G$160,G223)-O223)</f>
        <v>0</v>
      </c>
      <c r="X223" s="36">
        <f>IF(H223-MIN(H$160,H223)-P223&lt;0.005,0,H223-MIN(H$160,H223)-P223)</f>
        <v>0</v>
      </c>
      <c r="Y223" s="36">
        <f>IF(I223-MIN(I$160,I223)-Q223&lt;0.005,0,I223-MIN(I$160,I223)-Q223)</f>
        <v>0</v>
      </c>
      <c r="Z223" s="36">
        <f>IF(J223-MIN(J$160,J223)-R223&lt;0.005,0,J223-MIN(J$160,J223)-R223)</f>
        <v>0</v>
      </c>
      <c r="AA223" s="36">
        <f>IF(K223-MIN(K$160,K223)-S223&lt;0.005,0,K223-MIN(K$160,K223)-S223)</f>
        <v>0</v>
      </c>
      <c r="AB223" s="36">
        <f>IF(L223-MIN(L$160,L223)-T223&lt;0.005,0,L223-MIN(L$160,L223)-T223)</f>
        <v>0</v>
      </c>
      <c r="AC223" s="36">
        <f>SUM(U223:AB223)</f>
        <v>0</v>
      </c>
      <c r="AD223" s="36">
        <f>D223+SUM(M223:T223)</f>
        <v>0</v>
      </c>
    </row>
    <row r="224">
      <c r="B224" s="40" t="n">
        <v>60</v>
      </c>
      <c r="C224" s="36">
        <f>MAX(0,Sim_SomaParc+N(Sim_Extra)-D224)</f>
        <v>2790</v>
      </c>
      <c r="D224" s="36">
        <f>MIN(E$160,E224)+MIN(F$160,F224)+MIN(G$160,G224)+MIN(H$160,H224)+MIN(I$160,I224)+MIN(J$160,J224)+MIN(K$160,K224)+MIN(L$160,L224)</f>
        <v>0</v>
      </c>
      <c r="E224" s="36">
        <f>U223*(1+E$159)</f>
        <v>0</v>
      </c>
      <c r="F224" s="36">
        <f>V223*(1+F$159)</f>
        <v>0</v>
      </c>
      <c r="G224" s="36">
        <f>W223*(1+G$159)</f>
        <v>0</v>
      </c>
      <c r="H224" s="36">
        <f>X223*(1+H$159)</f>
        <v>0</v>
      </c>
      <c r="I224" s="36">
        <f>Y223*(1+I$159)</f>
        <v>0</v>
      </c>
      <c r="J224" s="36">
        <f>Z223*(1+J$159)</f>
        <v>0</v>
      </c>
      <c r="K224" s="36">
        <f>AA223*(1+K$159)</f>
        <v>0</v>
      </c>
      <c r="L224" s="36">
        <f>AB223*(1+L$159)</f>
        <v>0</v>
      </c>
      <c r="M224" s="36">
        <f>MIN(E224-MIN(E$160,E224),MAX(0,$C224-0))</f>
        <v>0</v>
      </c>
      <c r="N224" s="36">
        <f>MIN(F224-MIN(F$160,F224),MAX(0,$C224-SUM($M224:M224)))</f>
        <v>0</v>
      </c>
      <c r="O224" s="36">
        <f>MIN(G224-MIN(G$160,G224),MAX(0,$C224-SUM($M224:N224)))</f>
        <v>0</v>
      </c>
      <c r="P224" s="36">
        <f>MIN(H224-MIN(H$160,H224),MAX(0,$C224-SUM($M224:O224)))</f>
        <v>0</v>
      </c>
      <c r="Q224" s="36">
        <f>MIN(I224-MIN(I$160,I224),MAX(0,$C224-SUM($M224:P224)))</f>
        <v>0</v>
      </c>
      <c r="R224" s="36">
        <f>MIN(J224-MIN(J$160,J224),MAX(0,$C224-SUM($M224:Q224)))</f>
        <v>0</v>
      </c>
      <c r="S224" s="36">
        <f>MIN(K224-MIN(K$160,K224),MAX(0,$C224-SUM($M224:R224)))</f>
        <v>0</v>
      </c>
      <c r="T224" s="36">
        <f>MIN(L224-MIN(L$160,L224),MAX(0,$C224-SUM($M224:S224)))</f>
        <v>0</v>
      </c>
      <c r="U224" s="36">
        <f>IF(E224-MIN(E$160,E224)-M224&lt;0.005,0,E224-MIN(E$160,E224)-M224)</f>
        <v>0</v>
      </c>
      <c r="V224" s="36">
        <f>IF(F224-MIN(F$160,F224)-N224&lt;0.005,0,F224-MIN(F$160,F224)-N224)</f>
        <v>0</v>
      </c>
      <c r="W224" s="36">
        <f>IF(G224-MIN(G$160,G224)-O224&lt;0.005,0,G224-MIN(G$160,G224)-O224)</f>
        <v>0</v>
      </c>
      <c r="X224" s="36">
        <f>IF(H224-MIN(H$160,H224)-P224&lt;0.005,0,H224-MIN(H$160,H224)-P224)</f>
        <v>0</v>
      </c>
      <c r="Y224" s="36">
        <f>IF(I224-MIN(I$160,I224)-Q224&lt;0.005,0,I224-MIN(I$160,I224)-Q224)</f>
        <v>0</v>
      </c>
      <c r="Z224" s="36">
        <f>IF(J224-MIN(J$160,J224)-R224&lt;0.005,0,J224-MIN(J$160,J224)-R224)</f>
        <v>0</v>
      </c>
      <c r="AA224" s="36">
        <f>IF(K224-MIN(K$160,K224)-S224&lt;0.005,0,K224-MIN(K$160,K224)-S224)</f>
        <v>0</v>
      </c>
      <c r="AB224" s="36">
        <f>IF(L224-MIN(L$160,L224)-T224&lt;0.005,0,L224-MIN(L$160,L224)-T224)</f>
        <v>0</v>
      </c>
      <c r="AC224" s="36">
        <f>SUM(U224:AB224)</f>
        <v>0</v>
      </c>
      <c r="AD224" s="36">
        <f>D224+SUM(M224:T224)</f>
        <v>0</v>
      </c>
    </row>
    <row r="225">
      <c r="B225" s="40" t="n">
        <v>61</v>
      </c>
      <c r="C225" s="36">
        <f>MAX(0,Sim_SomaParc+N(Sim_Extra)-D225)</f>
        <v>2790</v>
      </c>
      <c r="D225" s="36">
        <f>MIN(E$160,E225)+MIN(F$160,F225)+MIN(G$160,G225)+MIN(H$160,H225)+MIN(I$160,I225)+MIN(J$160,J225)+MIN(K$160,K225)+MIN(L$160,L225)</f>
        <v>0</v>
      </c>
      <c r="E225" s="36">
        <f>U224*(1+E$159)</f>
        <v>0</v>
      </c>
      <c r="F225" s="36">
        <f>V224*(1+F$159)</f>
        <v>0</v>
      </c>
      <c r="G225" s="36">
        <f>W224*(1+G$159)</f>
        <v>0</v>
      </c>
      <c r="H225" s="36">
        <f>X224*(1+H$159)</f>
        <v>0</v>
      </c>
      <c r="I225" s="36">
        <f>Y224*(1+I$159)</f>
        <v>0</v>
      </c>
      <c r="J225" s="36">
        <f>Z224*(1+J$159)</f>
        <v>0</v>
      </c>
      <c r="K225" s="36">
        <f>AA224*(1+K$159)</f>
        <v>0</v>
      </c>
      <c r="L225" s="36">
        <f>AB224*(1+L$159)</f>
        <v>0</v>
      </c>
      <c r="M225" s="36">
        <f>MIN(E225-MIN(E$160,E225),MAX(0,$C225-0))</f>
        <v>0</v>
      </c>
      <c r="N225" s="36">
        <f>MIN(F225-MIN(F$160,F225),MAX(0,$C225-SUM($M225:M225)))</f>
        <v>0</v>
      </c>
      <c r="O225" s="36">
        <f>MIN(G225-MIN(G$160,G225),MAX(0,$C225-SUM($M225:N225)))</f>
        <v>0</v>
      </c>
      <c r="P225" s="36">
        <f>MIN(H225-MIN(H$160,H225),MAX(0,$C225-SUM($M225:O225)))</f>
        <v>0</v>
      </c>
      <c r="Q225" s="36">
        <f>MIN(I225-MIN(I$160,I225),MAX(0,$C225-SUM($M225:P225)))</f>
        <v>0</v>
      </c>
      <c r="R225" s="36">
        <f>MIN(J225-MIN(J$160,J225),MAX(0,$C225-SUM($M225:Q225)))</f>
        <v>0</v>
      </c>
      <c r="S225" s="36">
        <f>MIN(K225-MIN(K$160,K225),MAX(0,$C225-SUM($M225:R225)))</f>
        <v>0</v>
      </c>
      <c r="T225" s="36">
        <f>MIN(L225-MIN(L$160,L225),MAX(0,$C225-SUM($M225:S225)))</f>
        <v>0</v>
      </c>
      <c r="U225" s="36">
        <f>IF(E225-MIN(E$160,E225)-M225&lt;0.005,0,E225-MIN(E$160,E225)-M225)</f>
        <v>0</v>
      </c>
      <c r="V225" s="36">
        <f>IF(F225-MIN(F$160,F225)-N225&lt;0.005,0,F225-MIN(F$160,F225)-N225)</f>
        <v>0</v>
      </c>
      <c r="W225" s="36">
        <f>IF(G225-MIN(G$160,G225)-O225&lt;0.005,0,G225-MIN(G$160,G225)-O225)</f>
        <v>0</v>
      </c>
      <c r="X225" s="36">
        <f>IF(H225-MIN(H$160,H225)-P225&lt;0.005,0,H225-MIN(H$160,H225)-P225)</f>
        <v>0</v>
      </c>
      <c r="Y225" s="36">
        <f>IF(I225-MIN(I$160,I225)-Q225&lt;0.005,0,I225-MIN(I$160,I225)-Q225)</f>
        <v>0</v>
      </c>
      <c r="Z225" s="36">
        <f>IF(J225-MIN(J$160,J225)-R225&lt;0.005,0,J225-MIN(J$160,J225)-R225)</f>
        <v>0</v>
      </c>
      <c r="AA225" s="36">
        <f>IF(K225-MIN(K$160,K225)-S225&lt;0.005,0,K225-MIN(K$160,K225)-S225)</f>
        <v>0</v>
      </c>
      <c r="AB225" s="36">
        <f>IF(L225-MIN(L$160,L225)-T225&lt;0.005,0,L225-MIN(L$160,L225)-T225)</f>
        <v>0</v>
      </c>
      <c r="AC225" s="36">
        <f>SUM(U225:AB225)</f>
        <v>0</v>
      </c>
      <c r="AD225" s="36">
        <f>D225+SUM(M225:T225)</f>
        <v>0</v>
      </c>
    </row>
    <row r="226">
      <c r="B226" s="40" t="n">
        <v>62</v>
      </c>
      <c r="C226" s="36">
        <f>MAX(0,Sim_SomaParc+N(Sim_Extra)-D226)</f>
        <v>2790</v>
      </c>
      <c r="D226" s="36">
        <f>MIN(E$160,E226)+MIN(F$160,F226)+MIN(G$160,G226)+MIN(H$160,H226)+MIN(I$160,I226)+MIN(J$160,J226)+MIN(K$160,K226)+MIN(L$160,L226)</f>
        <v>0</v>
      </c>
      <c r="E226" s="36">
        <f>U225*(1+E$159)</f>
        <v>0</v>
      </c>
      <c r="F226" s="36">
        <f>V225*(1+F$159)</f>
        <v>0</v>
      </c>
      <c r="G226" s="36">
        <f>W225*(1+G$159)</f>
        <v>0</v>
      </c>
      <c r="H226" s="36">
        <f>X225*(1+H$159)</f>
        <v>0</v>
      </c>
      <c r="I226" s="36">
        <f>Y225*(1+I$159)</f>
        <v>0</v>
      </c>
      <c r="J226" s="36">
        <f>Z225*(1+J$159)</f>
        <v>0</v>
      </c>
      <c r="K226" s="36">
        <f>AA225*(1+K$159)</f>
        <v>0</v>
      </c>
      <c r="L226" s="36">
        <f>AB225*(1+L$159)</f>
        <v>0</v>
      </c>
      <c r="M226" s="36">
        <f>MIN(E226-MIN(E$160,E226),MAX(0,$C226-0))</f>
        <v>0</v>
      </c>
      <c r="N226" s="36">
        <f>MIN(F226-MIN(F$160,F226),MAX(0,$C226-SUM($M226:M226)))</f>
        <v>0</v>
      </c>
      <c r="O226" s="36">
        <f>MIN(G226-MIN(G$160,G226),MAX(0,$C226-SUM($M226:N226)))</f>
        <v>0</v>
      </c>
      <c r="P226" s="36">
        <f>MIN(H226-MIN(H$160,H226),MAX(0,$C226-SUM($M226:O226)))</f>
        <v>0</v>
      </c>
      <c r="Q226" s="36">
        <f>MIN(I226-MIN(I$160,I226),MAX(0,$C226-SUM($M226:P226)))</f>
        <v>0</v>
      </c>
      <c r="R226" s="36">
        <f>MIN(J226-MIN(J$160,J226),MAX(0,$C226-SUM($M226:Q226)))</f>
        <v>0</v>
      </c>
      <c r="S226" s="36">
        <f>MIN(K226-MIN(K$160,K226),MAX(0,$C226-SUM($M226:R226)))</f>
        <v>0</v>
      </c>
      <c r="T226" s="36">
        <f>MIN(L226-MIN(L$160,L226),MAX(0,$C226-SUM($M226:S226)))</f>
        <v>0</v>
      </c>
      <c r="U226" s="36">
        <f>IF(E226-MIN(E$160,E226)-M226&lt;0.005,0,E226-MIN(E$160,E226)-M226)</f>
        <v>0</v>
      </c>
      <c r="V226" s="36">
        <f>IF(F226-MIN(F$160,F226)-N226&lt;0.005,0,F226-MIN(F$160,F226)-N226)</f>
        <v>0</v>
      </c>
      <c r="W226" s="36">
        <f>IF(G226-MIN(G$160,G226)-O226&lt;0.005,0,G226-MIN(G$160,G226)-O226)</f>
        <v>0</v>
      </c>
      <c r="X226" s="36">
        <f>IF(H226-MIN(H$160,H226)-P226&lt;0.005,0,H226-MIN(H$160,H226)-P226)</f>
        <v>0</v>
      </c>
      <c r="Y226" s="36">
        <f>IF(I226-MIN(I$160,I226)-Q226&lt;0.005,0,I226-MIN(I$160,I226)-Q226)</f>
        <v>0</v>
      </c>
      <c r="Z226" s="36">
        <f>IF(J226-MIN(J$160,J226)-R226&lt;0.005,0,J226-MIN(J$160,J226)-R226)</f>
        <v>0</v>
      </c>
      <c r="AA226" s="36">
        <f>IF(K226-MIN(K$160,K226)-S226&lt;0.005,0,K226-MIN(K$160,K226)-S226)</f>
        <v>0</v>
      </c>
      <c r="AB226" s="36">
        <f>IF(L226-MIN(L$160,L226)-T226&lt;0.005,0,L226-MIN(L$160,L226)-T226)</f>
        <v>0</v>
      </c>
      <c r="AC226" s="36">
        <f>SUM(U226:AB226)</f>
        <v>0</v>
      </c>
      <c r="AD226" s="36">
        <f>D226+SUM(M226:T226)</f>
        <v>0</v>
      </c>
    </row>
    <row r="227">
      <c r="B227" s="40" t="n">
        <v>63</v>
      </c>
      <c r="C227" s="36">
        <f>MAX(0,Sim_SomaParc+N(Sim_Extra)-D227)</f>
        <v>2790</v>
      </c>
      <c r="D227" s="36">
        <f>MIN(E$160,E227)+MIN(F$160,F227)+MIN(G$160,G227)+MIN(H$160,H227)+MIN(I$160,I227)+MIN(J$160,J227)+MIN(K$160,K227)+MIN(L$160,L227)</f>
        <v>0</v>
      </c>
      <c r="E227" s="36">
        <f>U226*(1+E$159)</f>
        <v>0</v>
      </c>
      <c r="F227" s="36">
        <f>V226*(1+F$159)</f>
        <v>0</v>
      </c>
      <c r="G227" s="36">
        <f>W226*(1+G$159)</f>
        <v>0</v>
      </c>
      <c r="H227" s="36">
        <f>X226*(1+H$159)</f>
        <v>0</v>
      </c>
      <c r="I227" s="36">
        <f>Y226*(1+I$159)</f>
        <v>0</v>
      </c>
      <c r="J227" s="36">
        <f>Z226*(1+J$159)</f>
        <v>0</v>
      </c>
      <c r="K227" s="36">
        <f>AA226*(1+K$159)</f>
        <v>0</v>
      </c>
      <c r="L227" s="36">
        <f>AB226*(1+L$159)</f>
        <v>0</v>
      </c>
      <c r="M227" s="36">
        <f>MIN(E227-MIN(E$160,E227),MAX(0,$C227-0))</f>
        <v>0</v>
      </c>
      <c r="N227" s="36">
        <f>MIN(F227-MIN(F$160,F227),MAX(0,$C227-SUM($M227:M227)))</f>
        <v>0</v>
      </c>
      <c r="O227" s="36">
        <f>MIN(G227-MIN(G$160,G227),MAX(0,$C227-SUM($M227:N227)))</f>
        <v>0</v>
      </c>
      <c r="P227" s="36">
        <f>MIN(H227-MIN(H$160,H227),MAX(0,$C227-SUM($M227:O227)))</f>
        <v>0</v>
      </c>
      <c r="Q227" s="36">
        <f>MIN(I227-MIN(I$160,I227),MAX(0,$C227-SUM($M227:P227)))</f>
        <v>0</v>
      </c>
      <c r="R227" s="36">
        <f>MIN(J227-MIN(J$160,J227),MAX(0,$C227-SUM($M227:Q227)))</f>
        <v>0</v>
      </c>
      <c r="S227" s="36">
        <f>MIN(K227-MIN(K$160,K227),MAX(0,$C227-SUM($M227:R227)))</f>
        <v>0</v>
      </c>
      <c r="T227" s="36">
        <f>MIN(L227-MIN(L$160,L227),MAX(0,$C227-SUM($M227:S227)))</f>
        <v>0</v>
      </c>
      <c r="U227" s="36">
        <f>IF(E227-MIN(E$160,E227)-M227&lt;0.005,0,E227-MIN(E$160,E227)-M227)</f>
        <v>0</v>
      </c>
      <c r="V227" s="36">
        <f>IF(F227-MIN(F$160,F227)-N227&lt;0.005,0,F227-MIN(F$160,F227)-N227)</f>
        <v>0</v>
      </c>
      <c r="W227" s="36">
        <f>IF(G227-MIN(G$160,G227)-O227&lt;0.005,0,G227-MIN(G$160,G227)-O227)</f>
        <v>0</v>
      </c>
      <c r="X227" s="36">
        <f>IF(H227-MIN(H$160,H227)-P227&lt;0.005,0,H227-MIN(H$160,H227)-P227)</f>
        <v>0</v>
      </c>
      <c r="Y227" s="36">
        <f>IF(I227-MIN(I$160,I227)-Q227&lt;0.005,0,I227-MIN(I$160,I227)-Q227)</f>
        <v>0</v>
      </c>
      <c r="Z227" s="36">
        <f>IF(J227-MIN(J$160,J227)-R227&lt;0.005,0,J227-MIN(J$160,J227)-R227)</f>
        <v>0</v>
      </c>
      <c r="AA227" s="36">
        <f>IF(K227-MIN(K$160,K227)-S227&lt;0.005,0,K227-MIN(K$160,K227)-S227)</f>
        <v>0</v>
      </c>
      <c r="AB227" s="36">
        <f>IF(L227-MIN(L$160,L227)-T227&lt;0.005,0,L227-MIN(L$160,L227)-T227)</f>
        <v>0</v>
      </c>
      <c r="AC227" s="36">
        <f>SUM(U227:AB227)</f>
        <v>0</v>
      </c>
      <c r="AD227" s="36">
        <f>D227+SUM(M227:T227)</f>
        <v>0</v>
      </c>
    </row>
    <row r="228">
      <c r="B228" s="40" t="n">
        <v>64</v>
      </c>
      <c r="C228" s="36">
        <f>MAX(0,Sim_SomaParc+N(Sim_Extra)-D228)</f>
        <v>2790</v>
      </c>
      <c r="D228" s="36">
        <f>MIN(E$160,E228)+MIN(F$160,F228)+MIN(G$160,G228)+MIN(H$160,H228)+MIN(I$160,I228)+MIN(J$160,J228)+MIN(K$160,K228)+MIN(L$160,L228)</f>
        <v>0</v>
      </c>
      <c r="E228" s="36">
        <f>U227*(1+E$159)</f>
        <v>0</v>
      </c>
      <c r="F228" s="36">
        <f>V227*(1+F$159)</f>
        <v>0</v>
      </c>
      <c r="G228" s="36">
        <f>W227*(1+G$159)</f>
        <v>0</v>
      </c>
      <c r="H228" s="36">
        <f>X227*(1+H$159)</f>
        <v>0</v>
      </c>
      <c r="I228" s="36">
        <f>Y227*(1+I$159)</f>
        <v>0</v>
      </c>
      <c r="J228" s="36">
        <f>Z227*(1+J$159)</f>
        <v>0</v>
      </c>
      <c r="K228" s="36">
        <f>AA227*(1+K$159)</f>
        <v>0</v>
      </c>
      <c r="L228" s="36">
        <f>AB227*(1+L$159)</f>
        <v>0</v>
      </c>
      <c r="M228" s="36">
        <f>MIN(E228-MIN(E$160,E228),MAX(0,$C228-0))</f>
        <v>0</v>
      </c>
      <c r="N228" s="36">
        <f>MIN(F228-MIN(F$160,F228),MAX(0,$C228-SUM($M228:M228)))</f>
        <v>0</v>
      </c>
      <c r="O228" s="36">
        <f>MIN(G228-MIN(G$160,G228),MAX(0,$C228-SUM($M228:N228)))</f>
        <v>0</v>
      </c>
      <c r="P228" s="36">
        <f>MIN(H228-MIN(H$160,H228),MAX(0,$C228-SUM($M228:O228)))</f>
        <v>0</v>
      </c>
      <c r="Q228" s="36">
        <f>MIN(I228-MIN(I$160,I228),MAX(0,$C228-SUM($M228:P228)))</f>
        <v>0</v>
      </c>
      <c r="R228" s="36">
        <f>MIN(J228-MIN(J$160,J228),MAX(0,$C228-SUM($M228:Q228)))</f>
        <v>0</v>
      </c>
      <c r="S228" s="36">
        <f>MIN(K228-MIN(K$160,K228),MAX(0,$C228-SUM($M228:R228)))</f>
        <v>0</v>
      </c>
      <c r="T228" s="36">
        <f>MIN(L228-MIN(L$160,L228),MAX(0,$C228-SUM($M228:S228)))</f>
        <v>0</v>
      </c>
      <c r="U228" s="36">
        <f>IF(E228-MIN(E$160,E228)-M228&lt;0.005,0,E228-MIN(E$160,E228)-M228)</f>
        <v>0</v>
      </c>
      <c r="V228" s="36">
        <f>IF(F228-MIN(F$160,F228)-N228&lt;0.005,0,F228-MIN(F$160,F228)-N228)</f>
        <v>0</v>
      </c>
      <c r="W228" s="36">
        <f>IF(G228-MIN(G$160,G228)-O228&lt;0.005,0,G228-MIN(G$160,G228)-O228)</f>
        <v>0</v>
      </c>
      <c r="X228" s="36">
        <f>IF(H228-MIN(H$160,H228)-P228&lt;0.005,0,H228-MIN(H$160,H228)-P228)</f>
        <v>0</v>
      </c>
      <c r="Y228" s="36">
        <f>IF(I228-MIN(I$160,I228)-Q228&lt;0.005,0,I228-MIN(I$160,I228)-Q228)</f>
        <v>0</v>
      </c>
      <c r="Z228" s="36">
        <f>IF(J228-MIN(J$160,J228)-R228&lt;0.005,0,J228-MIN(J$160,J228)-R228)</f>
        <v>0</v>
      </c>
      <c r="AA228" s="36">
        <f>IF(K228-MIN(K$160,K228)-S228&lt;0.005,0,K228-MIN(K$160,K228)-S228)</f>
        <v>0</v>
      </c>
      <c r="AB228" s="36">
        <f>IF(L228-MIN(L$160,L228)-T228&lt;0.005,0,L228-MIN(L$160,L228)-T228)</f>
        <v>0</v>
      </c>
      <c r="AC228" s="36">
        <f>SUM(U228:AB228)</f>
        <v>0</v>
      </c>
      <c r="AD228" s="36">
        <f>D228+SUM(M228:T228)</f>
        <v>0</v>
      </c>
    </row>
    <row r="229">
      <c r="B229" s="40" t="n">
        <v>65</v>
      </c>
      <c r="C229" s="36">
        <f>MAX(0,Sim_SomaParc+N(Sim_Extra)-D229)</f>
        <v>2790</v>
      </c>
      <c r="D229" s="36">
        <f>MIN(E$160,E229)+MIN(F$160,F229)+MIN(G$160,G229)+MIN(H$160,H229)+MIN(I$160,I229)+MIN(J$160,J229)+MIN(K$160,K229)+MIN(L$160,L229)</f>
        <v>0</v>
      </c>
      <c r="E229" s="36">
        <f>U228*(1+E$159)</f>
        <v>0</v>
      </c>
      <c r="F229" s="36">
        <f>V228*(1+F$159)</f>
        <v>0</v>
      </c>
      <c r="G229" s="36">
        <f>W228*(1+G$159)</f>
        <v>0</v>
      </c>
      <c r="H229" s="36">
        <f>X228*(1+H$159)</f>
        <v>0</v>
      </c>
      <c r="I229" s="36">
        <f>Y228*(1+I$159)</f>
        <v>0</v>
      </c>
      <c r="J229" s="36">
        <f>Z228*(1+J$159)</f>
        <v>0</v>
      </c>
      <c r="K229" s="36">
        <f>AA228*(1+K$159)</f>
        <v>0</v>
      </c>
      <c r="L229" s="36">
        <f>AB228*(1+L$159)</f>
        <v>0</v>
      </c>
      <c r="M229" s="36">
        <f>MIN(E229-MIN(E$160,E229),MAX(0,$C229-0))</f>
        <v>0</v>
      </c>
      <c r="N229" s="36">
        <f>MIN(F229-MIN(F$160,F229),MAX(0,$C229-SUM($M229:M229)))</f>
        <v>0</v>
      </c>
      <c r="O229" s="36">
        <f>MIN(G229-MIN(G$160,G229),MAX(0,$C229-SUM($M229:N229)))</f>
        <v>0</v>
      </c>
      <c r="P229" s="36">
        <f>MIN(H229-MIN(H$160,H229),MAX(0,$C229-SUM($M229:O229)))</f>
        <v>0</v>
      </c>
      <c r="Q229" s="36">
        <f>MIN(I229-MIN(I$160,I229),MAX(0,$C229-SUM($M229:P229)))</f>
        <v>0</v>
      </c>
      <c r="R229" s="36">
        <f>MIN(J229-MIN(J$160,J229),MAX(0,$C229-SUM($M229:Q229)))</f>
        <v>0</v>
      </c>
      <c r="S229" s="36">
        <f>MIN(K229-MIN(K$160,K229),MAX(0,$C229-SUM($M229:R229)))</f>
        <v>0</v>
      </c>
      <c r="T229" s="36">
        <f>MIN(L229-MIN(L$160,L229),MAX(0,$C229-SUM($M229:S229)))</f>
        <v>0</v>
      </c>
      <c r="U229" s="36">
        <f>IF(E229-MIN(E$160,E229)-M229&lt;0.005,0,E229-MIN(E$160,E229)-M229)</f>
        <v>0</v>
      </c>
      <c r="V229" s="36">
        <f>IF(F229-MIN(F$160,F229)-N229&lt;0.005,0,F229-MIN(F$160,F229)-N229)</f>
        <v>0</v>
      </c>
      <c r="W229" s="36">
        <f>IF(G229-MIN(G$160,G229)-O229&lt;0.005,0,G229-MIN(G$160,G229)-O229)</f>
        <v>0</v>
      </c>
      <c r="X229" s="36">
        <f>IF(H229-MIN(H$160,H229)-P229&lt;0.005,0,H229-MIN(H$160,H229)-P229)</f>
        <v>0</v>
      </c>
      <c r="Y229" s="36">
        <f>IF(I229-MIN(I$160,I229)-Q229&lt;0.005,0,I229-MIN(I$160,I229)-Q229)</f>
        <v>0</v>
      </c>
      <c r="Z229" s="36">
        <f>IF(J229-MIN(J$160,J229)-R229&lt;0.005,0,J229-MIN(J$160,J229)-R229)</f>
        <v>0</v>
      </c>
      <c r="AA229" s="36">
        <f>IF(K229-MIN(K$160,K229)-S229&lt;0.005,0,K229-MIN(K$160,K229)-S229)</f>
        <v>0</v>
      </c>
      <c r="AB229" s="36">
        <f>IF(L229-MIN(L$160,L229)-T229&lt;0.005,0,L229-MIN(L$160,L229)-T229)</f>
        <v>0</v>
      </c>
      <c r="AC229" s="36">
        <f>SUM(U229:AB229)</f>
        <v>0</v>
      </c>
      <c r="AD229" s="36">
        <f>D229+SUM(M229:T229)</f>
        <v>0</v>
      </c>
    </row>
    <row r="230">
      <c r="B230" s="40" t="n">
        <v>66</v>
      </c>
      <c r="C230" s="36">
        <f>MAX(0,Sim_SomaParc+N(Sim_Extra)-D230)</f>
        <v>2790</v>
      </c>
      <c r="D230" s="36">
        <f>MIN(E$160,E230)+MIN(F$160,F230)+MIN(G$160,G230)+MIN(H$160,H230)+MIN(I$160,I230)+MIN(J$160,J230)+MIN(K$160,K230)+MIN(L$160,L230)</f>
        <v>0</v>
      </c>
      <c r="E230" s="36">
        <f>U229*(1+E$159)</f>
        <v>0</v>
      </c>
      <c r="F230" s="36">
        <f>V229*(1+F$159)</f>
        <v>0</v>
      </c>
      <c r="G230" s="36">
        <f>W229*(1+G$159)</f>
        <v>0</v>
      </c>
      <c r="H230" s="36">
        <f>X229*(1+H$159)</f>
        <v>0</v>
      </c>
      <c r="I230" s="36">
        <f>Y229*(1+I$159)</f>
        <v>0</v>
      </c>
      <c r="J230" s="36">
        <f>Z229*(1+J$159)</f>
        <v>0</v>
      </c>
      <c r="K230" s="36">
        <f>AA229*(1+K$159)</f>
        <v>0</v>
      </c>
      <c r="L230" s="36">
        <f>AB229*(1+L$159)</f>
        <v>0</v>
      </c>
      <c r="M230" s="36">
        <f>MIN(E230-MIN(E$160,E230),MAX(0,$C230-0))</f>
        <v>0</v>
      </c>
      <c r="N230" s="36">
        <f>MIN(F230-MIN(F$160,F230),MAX(0,$C230-SUM($M230:M230)))</f>
        <v>0</v>
      </c>
      <c r="O230" s="36">
        <f>MIN(G230-MIN(G$160,G230),MAX(0,$C230-SUM($M230:N230)))</f>
        <v>0</v>
      </c>
      <c r="P230" s="36">
        <f>MIN(H230-MIN(H$160,H230),MAX(0,$C230-SUM($M230:O230)))</f>
        <v>0</v>
      </c>
      <c r="Q230" s="36">
        <f>MIN(I230-MIN(I$160,I230),MAX(0,$C230-SUM($M230:P230)))</f>
        <v>0</v>
      </c>
      <c r="R230" s="36">
        <f>MIN(J230-MIN(J$160,J230),MAX(0,$C230-SUM($M230:Q230)))</f>
        <v>0</v>
      </c>
      <c r="S230" s="36">
        <f>MIN(K230-MIN(K$160,K230),MAX(0,$C230-SUM($M230:R230)))</f>
        <v>0</v>
      </c>
      <c r="T230" s="36">
        <f>MIN(L230-MIN(L$160,L230),MAX(0,$C230-SUM($M230:S230)))</f>
        <v>0</v>
      </c>
      <c r="U230" s="36">
        <f>IF(E230-MIN(E$160,E230)-M230&lt;0.005,0,E230-MIN(E$160,E230)-M230)</f>
        <v>0</v>
      </c>
      <c r="V230" s="36">
        <f>IF(F230-MIN(F$160,F230)-N230&lt;0.005,0,F230-MIN(F$160,F230)-N230)</f>
        <v>0</v>
      </c>
      <c r="W230" s="36">
        <f>IF(G230-MIN(G$160,G230)-O230&lt;0.005,0,G230-MIN(G$160,G230)-O230)</f>
        <v>0</v>
      </c>
      <c r="X230" s="36">
        <f>IF(H230-MIN(H$160,H230)-P230&lt;0.005,0,H230-MIN(H$160,H230)-P230)</f>
        <v>0</v>
      </c>
      <c r="Y230" s="36">
        <f>IF(I230-MIN(I$160,I230)-Q230&lt;0.005,0,I230-MIN(I$160,I230)-Q230)</f>
        <v>0</v>
      </c>
      <c r="Z230" s="36">
        <f>IF(J230-MIN(J$160,J230)-R230&lt;0.005,0,J230-MIN(J$160,J230)-R230)</f>
        <v>0</v>
      </c>
      <c r="AA230" s="36">
        <f>IF(K230-MIN(K$160,K230)-S230&lt;0.005,0,K230-MIN(K$160,K230)-S230)</f>
        <v>0</v>
      </c>
      <c r="AB230" s="36">
        <f>IF(L230-MIN(L$160,L230)-T230&lt;0.005,0,L230-MIN(L$160,L230)-T230)</f>
        <v>0</v>
      </c>
      <c r="AC230" s="36">
        <f>SUM(U230:AB230)</f>
        <v>0</v>
      </c>
      <c r="AD230" s="36">
        <f>D230+SUM(M230:T230)</f>
        <v>0</v>
      </c>
    </row>
    <row r="231">
      <c r="B231" s="40" t="n">
        <v>67</v>
      </c>
      <c r="C231" s="36">
        <f>MAX(0,Sim_SomaParc+N(Sim_Extra)-D231)</f>
        <v>2790</v>
      </c>
      <c r="D231" s="36">
        <f>MIN(E$160,E231)+MIN(F$160,F231)+MIN(G$160,G231)+MIN(H$160,H231)+MIN(I$160,I231)+MIN(J$160,J231)+MIN(K$160,K231)+MIN(L$160,L231)</f>
        <v>0</v>
      </c>
      <c r="E231" s="36">
        <f>U230*(1+E$159)</f>
        <v>0</v>
      </c>
      <c r="F231" s="36">
        <f>V230*(1+F$159)</f>
        <v>0</v>
      </c>
      <c r="G231" s="36">
        <f>W230*(1+G$159)</f>
        <v>0</v>
      </c>
      <c r="H231" s="36">
        <f>X230*(1+H$159)</f>
        <v>0</v>
      </c>
      <c r="I231" s="36">
        <f>Y230*(1+I$159)</f>
        <v>0</v>
      </c>
      <c r="J231" s="36">
        <f>Z230*(1+J$159)</f>
        <v>0</v>
      </c>
      <c r="K231" s="36">
        <f>AA230*(1+K$159)</f>
        <v>0</v>
      </c>
      <c r="L231" s="36">
        <f>AB230*(1+L$159)</f>
        <v>0</v>
      </c>
      <c r="M231" s="36">
        <f>MIN(E231-MIN(E$160,E231),MAX(0,$C231-0))</f>
        <v>0</v>
      </c>
      <c r="N231" s="36">
        <f>MIN(F231-MIN(F$160,F231),MAX(0,$C231-SUM($M231:M231)))</f>
        <v>0</v>
      </c>
      <c r="O231" s="36">
        <f>MIN(G231-MIN(G$160,G231),MAX(0,$C231-SUM($M231:N231)))</f>
        <v>0</v>
      </c>
      <c r="P231" s="36">
        <f>MIN(H231-MIN(H$160,H231),MAX(0,$C231-SUM($M231:O231)))</f>
        <v>0</v>
      </c>
      <c r="Q231" s="36">
        <f>MIN(I231-MIN(I$160,I231),MAX(0,$C231-SUM($M231:P231)))</f>
        <v>0</v>
      </c>
      <c r="R231" s="36">
        <f>MIN(J231-MIN(J$160,J231),MAX(0,$C231-SUM($M231:Q231)))</f>
        <v>0</v>
      </c>
      <c r="S231" s="36">
        <f>MIN(K231-MIN(K$160,K231),MAX(0,$C231-SUM($M231:R231)))</f>
        <v>0</v>
      </c>
      <c r="T231" s="36">
        <f>MIN(L231-MIN(L$160,L231),MAX(0,$C231-SUM($M231:S231)))</f>
        <v>0</v>
      </c>
      <c r="U231" s="36">
        <f>IF(E231-MIN(E$160,E231)-M231&lt;0.005,0,E231-MIN(E$160,E231)-M231)</f>
        <v>0</v>
      </c>
      <c r="V231" s="36">
        <f>IF(F231-MIN(F$160,F231)-N231&lt;0.005,0,F231-MIN(F$160,F231)-N231)</f>
        <v>0</v>
      </c>
      <c r="W231" s="36">
        <f>IF(G231-MIN(G$160,G231)-O231&lt;0.005,0,G231-MIN(G$160,G231)-O231)</f>
        <v>0</v>
      </c>
      <c r="X231" s="36">
        <f>IF(H231-MIN(H$160,H231)-P231&lt;0.005,0,H231-MIN(H$160,H231)-P231)</f>
        <v>0</v>
      </c>
      <c r="Y231" s="36">
        <f>IF(I231-MIN(I$160,I231)-Q231&lt;0.005,0,I231-MIN(I$160,I231)-Q231)</f>
        <v>0</v>
      </c>
      <c r="Z231" s="36">
        <f>IF(J231-MIN(J$160,J231)-R231&lt;0.005,0,J231-MIN(J$160,J231)-R231)</f>
        <v>0</v>
      </c>
      <c r="AA231" s="36">
        <f>IF(K231-MIN(K$160,K231)-S231&lt;0.005,0,K231-MIN(K$160,K231)-S231)</f>
        <v>0</v>
      </c>
      <c r="AB231" s="36">
        <f>IF(L231-MIN(L$160,L231)-T231&lt;0.005,0,L231-MIN(L$160,L231)-T231)</f>
        <v>0</v>
      </c>
      <c r="AC231" s="36">
        <f>SUM(U231:AB231)</f>
        <v>0</v>
      </c>
      <c r="AD231" s="36">
        <f>D231+SUM(M231:T231)</f>
        <v>0</v>
      </c>
    </row>
    <row r="232">
      <c r="B232" s="40" t="n">
        <v>68</v>
      </c>
      <c r="C232" s="36">
        <f>MAX(0,Sim_SomaParc+N(Sim_Extra)-D232)</f>
        <v>2790</v>
      </c>
      <c r="D232" s="36">
        <f>MIN(E$160,E232)+MIN(F$160,F232)+MIN(G$160,G232)+MIN(H$160,H232)+MIN(I$160,I232)+MIN(J$160,J232)+MIN(K$160,K232)+MIN(L$160,L232)</f>
        <v>0</v>
      </c>
      <c r="E232" s="36">
        <f>U231*(1+E$159)</f>
        <v>0</v>
      </c>
      <c r="F232" s="36">
        <f>V231*(1+F$159)</f>
        <v>0</v>
      </c>
      <c r="G232" s="36">
        <f>W231*(1+G$159)</f>
        <v>0</v>
      </c>
      <c r="H232" s="36">
        <f>X231*(1+H$159)</f>
        <v>0</v>
      </c>
      <c r="I232" s="36">
        <f>Y231*(1+I$159)</f>
        <v>0</v>
      </c>
      <c r="J232" s="36">
        <f>Z231*(1+J$159)</f>
        <v>0</v>
      </c>
      <c r="K232" s="36">
        <f>AA231*(1+K$159)</f>
        <v>0</v>
      </c>
      <c r="L232" s="36">
        <f>AB231*(1+L$159)</f>
        <v>0</v>
      </c>
      <c r="M232" s="36">
        <f>MIN(E232-MIN(E$160,E232),MAX(0,$C232-0))</f>
        <v>0</v>
      </c>
      <c r="N232" s="36">
        <f>MIN(F232-MIN(F$160,F232),MAX(0,$C232-SUM($M232:M232)))</f>
        <v>0</v>
      </c>
      <c r="O232" s="36">
        <f>MIN(G232-MIN(G$160,G232),MAX(0,$C232-SUM($M232:N232)))</f>
        <v>0</v>
      </c>
      <c r="P232" s="36">
        <f>MIN(H232-MIN(H$160,H232),MAX(0,$C232-SUM($M232:O232)))</f>
        <v>0</v>
      </c>
      <c r="Q232" s="36">
        <f>MIN(I232-MIN(I$160,I232),MAX(0,$C232-SUM($M232:P232)))</f>
        <v>0</v>
      </c>
      <c r="R232" s="36">
        <f>MIN(J232-MIN(J$160,J232),MAX(0,$C232-SUM($M232:Q232)))</f>
        <v>0</v>
      </c>
      <c r="S232" s="36">
        <f>MIN(K232-MIN(K$160,K232),MAX(0,$C232-SUM($M232:R232)))</f>
        <v>0</v>
      </c>
      <c r="T232" s="36">
        <f>MIN(L232-MIN(L$160,L232),MAX(0,$C232-SUM($M232:S232)))</f>
        <v>0</v>
      </c>
      <c r="U232" s="36">
        <f>IF(E232-MIN(E$160,E232)-M232&lt;0.005,0,E232-MIN(E$160,E232)-M232)</f>
        <v>0</v>
      </c>
      <c r="V232" s="36">
        <f>IF(F232-MIN(F$160,F232)-N232&lt;0.005,0,F232-MIN(F$160,F232)-N232)</f>
        <v>0</v>
      </c>
      <c r="W232" s="36">
        <f>IF(G232-MIN(G$160,G232)-O232&lt;0.005,0,G232-MIN(G$160,G232)-O232)</f>
        <v>0</v>
      </c>
      <c r="X232" s="36">
        <f>IF(H232-MIN(H$160,H232)-P232&lt;0.005,0,H232-MIN(H$160,H232)-P232)</f>
        <v>0</v>
      </c>
      <c r="Y232" s="36">
        <f>IF(I232-MIN(I$160,I232)-Q232&lt;0.005,0,I232-MIN(I$160,I232)-Q232)</f>
        <v>0</v>
      </c>
      <c r="Z232" s="36">
        <f>IF(J232-MIN(J$160,J232)-R232&lt;0.005,0,J232-MIN(J$160,J232)-R232)</f>
        <v>0</v>
      </c>
      <c r="AA232" s="36">
        <f>IF(K232-MIN(K$160,K232)-S232&lt;0.005,0,K232-MIN(K$160,K232)-S232)</f>
        <v>0</v>
      </c>
      <c r="AB232" s="36">
        <f>IF(L232-MIN(L$160,L232)-T232&lt;0.005,0,L232-MIN(L$160,L232)-T232)</f>
        <v>0</v>
      </c>
      <c r="AC232" s="36">
        <f>SUM(U232:AB232)</f>
        <v>0</v>
      </c>
      <c r="AD232" s="36">
        <f>D232+SUM(M232:T232)</f>
        <v>0</v>
      </c>
    </row>
    <row r="233">
      <c r="B233" s="40" t="n">
        <v>69</v>
      </c>
      <c r="C233" s="36">
        <f>MAX(0,Sim_SomaParc+N(Sim_Extra)-D233)</f>
        <v>2790</v>
      </c>
      <c r="D233" s="36">
        <f>MIN(E$160,E233)+MIN(F$160,F233)+MIN(G$160,G233)+MIN(H$160,H233)+MIN(I$160,I233)+MIN(J$160,J233)+MIN(K$160,K233)+MIN(L$160,L233)</f>
        <v>0</v>
      </c>
      <c r="E233" s="36">
        <f>U232*(1+E$159)</f>
        <v>0</v>
      </c>
      <c r="F233" s="36">
        <f>V232*(1+F$159)</f>
        <v>0</v>
      </c>
      <c r="G233" s="36">
        <f>W232*(1+G$159)</f>
        <v>0</v>
      </c>
      <c r="H233" s="36">
        <f>X232*(1+H$159)</f>
        <v>0</v>
      </c>
      <c r="I233" s="36">
        <f>Y232*(1+I$159)</f>
        <v>0</v>
      </c>
      <c r="J233" s="36">
        <f>Z232*(1+J$159)</f>
        <v>0</v>
      </c>
      <c r="K233" s="36">
        <f>AA232*(1+K$159)</f>
        <v>0</v>
      </c>
      <c r="L233" s="36">
        <f>AB232*(1+L$159)</f>
        <v>0</v>
      </c>
      <c r="M233" s="36">
        <f>MIN(E233-MIN(E$160,E233),MAX(0,$C233-0))</f>
        <v>0</v>
      </c>
      <c r="N233" s="36">
        <f>MIN(F233-MIN(F$160,F233),MAX(0,$C233-SUM($M233:M233)))</f>
        <v>0</v>
      </c>
      <c r="O233" s="36">
        <f>MIN(G233-MIN(G$160,G233),MAX(0,$C233-SUM($M233:N233)))</f>
        <v>0</v>
      </c>
      <c r="P233" s="36">
        <f>MIN(H233-MIN(H$160,H233),MAX(0,$C233-SUM($M233:O233)))</f>
        <v>0</v>
      </c>
      <c r="Q233" s="36">
        <f>MIN(I233-MIN(I$160,I233),MAX(0,$C233-SUM($M233:P233)))</f>
        <v>0</v>
      </c>
      <c r="R233" s="36">
        <f>MIN(J233-MIN(J$160,J233),MAX(0,$C233-SUM($M233:Q233)))</f>
        <v>0</v>
      </c>
      <c r="S233" s="36">
        <f>MIN(K233-MIN(K$160,K233),MAX(0,$C233-SUM($M233:R233)))</f>
        <v>0</v>
      </c>
      <c r="T233" s="36">
        <f>MIN(L233-MIN(L$160,L233),MAX(0,$C233-SUM($M233:S233)))</f>
        <v>0</v>
      </c>
      <c r="U233" s="36">
        <f>IF(E233-MIN(E$160,E233)-M233&lt;0.005,0,E233-MIN(E$160,E233)-M233)</f>
        <v>0</v>
      </c>
      <c r="V233" s="36">
        <f>IF(F233-MIN(F$160,F233)-N233&lt;0.005,0,F233-MIN(F$160,F233)-N233)</f>
        <v>0</v>
      </c>
      <c r="W233" s="36">
        <f>IF(G233-MIN(G$160,G233)-O233&lt;0.005,0,G233-MIN(G$160,G233)-O233)</f>
        <v>0</v>
      </c>
      <c r="X233" s="36">
        <f>IF(H233-MIN(H$160,H233)-P233&lt;0.005,0,H233-MIN(H$160,H233)-P233)</f>
        <v>0</v>
      </c>
      <c r="Y233" s="36">
        <f>IF(I233-MIN(I$160,I233)-Q233&lt;0.005,0,I233-MIN(I$160,I233)-Q233)</f>
        <v>0</v>
      </c>
      <c r="Z233" s="36">
        <f>IF(J233-MIN(J$160,J233)-R233&lt;0.005,0,J233-MIN(J$160,J233)-R233)</f>
        <v>0</v>
      </c>
      <c r="AA233" s="36">
        <f>IF(K233-MIN(K$160,K233)-S233&lt;0.005,0,K233-MIN(K$160,K233)-S233)</f>
        <v>0</v>
      </c>
      <c r="AB233" s="36">
        <f>IF(L233-MIN(L$160,L233)-T233&lt;0.005,0,L233-MIN(L$160,L233)-T233)</f>
        <v>0</v>
      </c>
      <c r="AC233" s="36">
        <f>SUM(U233:AB233)</f>
        <v>0</v>
      </c>
      <c r="AD233" s="36">
        <f>D233+SUM(M233:T233)</f>
        <v>0</v>
      </c>
    </row>
    <row r="234">
      <c r="B234" s="40" t="n">
        <v>70</v>
      </c>
      <c r="C234" s="36">
        <f>MAX(0,Sim_SomaParc+N(Sim_Extra)-D234)</f>
        <v>2790</v>
      </c>
      <c r="D234" s="36">
        <f>MIN(E$160,E234)+MIN(F$160,F234)+MIN(G$160,G234)+MIN(H$160,H234)+MIN(I$160,I234)+MIN(J$160,J234)+MIN(K$160,K234)+MIN(L$160,L234)</f>
        <v>0</v>
      </c>
      <c r="E234" s="36">
        <f>U233*(1+E$159)</f>
        <v>0</v>
      </c>
      <c r="F234" s="36">
        <f>V233*(1+F$159)</f>
        <v>0</v>
      </c>
      <c r="G234" s="36">
        <f>W233*(1+G$159)</f>
        <v>0</v>
      </c>
      <c r="H234" s="36">
        <f>X233*(1+H$159)</f>
        <v>0</v>
      </c>
      <c r="I234" s="36">
        <f>Y233*(1+I$159)</f>
        <v>0</v>
      </c>
      <c r="J234" s="36">
        <f>Z233*(1+J$159)</f>
        <v>0</v>
      </c>
      <c r="K234" s="36">
        <f>AA233*(1+K$159)</f>
        <v>0</v>
      </c>
      <c r="L234" s="36">
        <f>AB233*(1+L$159)</f>
        <v>0</v>
      </c>
      <c r="M234" s="36">
        <f>MIN(E234-MIN(E$160,E234),MAX(0,$C234-0))</f>
        <v>0</v>
      </c>
      <c r="N234" s="36">
        <f>MIN(F234-MIN(F$160,F234),MAX(0,$C234-SUM($M234:M234)))</f>
        <v>0</v>
      </c>
      <c r="O234" s="36">
        <f>MIN(G234-MIN(G$160,G234),MAX(0,$C234-SUM($M234:N234)))</f>
        <v>0</v>
      </c>
      <c r="P234" s="36">
        <f>MIN(H234-MIN(H$160,H234),MAX(0,$C234-SUM($M234:O234)))</f>
        <v>0</v>
      </c>
      <c r="Q234" s="36">
        <f>MIN(I234-MIN(I$160,I234),MAX(0,$C234-SUM($M234:P234)))</f>
        <v>0</v>
      </c>
      <c r="R234" s="36">
        <f>MIN(J234-MIN(J$160,J234),MAX(0,$C234-SUM($M234:Q234)))</f>
        <v>0</v>
      </c>
      <c r="S234" s="36">
        <f>MIN(K234-MIN(K$160,K234),MAX(0,$C234-SUM($M234:R234)))</f>
        <v>0</v>
      </c>
      <c r="T234" s="36">
        <f>MIN(L234-MIN(L$160,L234),MAX(0,$C234-SUM($M234:S234)))</f>
        <v>0</v>
      </c>
      <c r="U234" s="36">
        <f>IF(E234-MIN(E$160,E234)-M234&lt;0.005,0,E234-MIN(E$160,E234)-M234)</f>
        <v>0</v>
      </c>
      <c r="V234" s="36">
        <f>IF(F234-MIN(F$160,F234)-N234&lt;0.005,0,F234-MIN(F$160,F234)-N234)</f>
        <v>0</v>
      </c>
      <c r="W234" s="36">
        <f>IF(G234-MIN(G$160,G234)-O234&lt;0.005,0,G234-MIN(G$160,G234)-O234)</f>
        <v>0</v>
      </c>
      <c r="X234" s="36">
        <f>IF(H234-MIN(H$160,H234)-P234&lt;0.005,0,H234-MIN(H$160,H234)-P234)</f>
        <v>0</v>
      </c>
      <c r="Y234" s="36">
        <f>IF(I234-MIN(I$160,I234)-Q234&lt;0.005,0,I234-MIN(I$160,I234)-Q234)</f>
        <v>0</v>
      </c>
      <c r="Z234" s="36">
        <f>IF(J234-MIN(J$160,J234)-R234&lt;0.005,0,J234-MIN(J$160,J234)-R234)</f>
        <v>0</v>
      </c>
      <c r="AA234" s="36">
        <f>IF(K234-MIN(K$160,K234)-S234&lt;0.005,0,K234-MIN(K$160,K234)-S234)</f>
        <v>0</v>
      </c>
      <c r="AB234" s="36">
        <f>IF(L234-MIN(L$160,L234)-T234&lt;0.005,0,L234-MIN(L$160,L234)-T234)</f>
        <v>0</v>
      </c>
      <c r="AC234" s="36">
        <f>SUM(U234:AB234)</f>
        <v>0</v>
      </c>
      <c r="AD234" s="36">
        <f>D234+SUM(M234:T234)</f>
        <v>0</v>
      </c>
    </row>
    <row r="235">
      <c r="B235" s="40" t="n">
        <v>71</v>
      </c>
      <c r="C235" s="36">
        <f>MAX(0,Sim_SomaParc+N(Sim_Extra)-D235)</f>
        <v>2790</v>
      </c>
      <c r="D235" s="36">
        <f>MIN(E$160,E235)+MIN(F$160,F235)+MIN(G$160,G235)+MIN(H$160,H235)+MIN(I$160,I235)+MIN(J$160,J235)+MIN(K$160,K235)+MIN(L$160,L235)</f>
        <v>0</v>
      </c>
      <c r="E235" s="36">
        <f>U234*(1+E$159)</f>
        <v>0</v>
      </c>
      <c r="F235" s="36">
        <f>V234*(1+F$159)</f>
        <v>0</v>
      </c>
      <c r="G235" s="36">
        <f>W234*(1+G$159)</f>
        <v>0</v>
      </c>
      <c r="H235" s="36">
        <f>X234*(1+H$159)</f>
        <v>0</v>
      </c>
      <c r="I235" s="36">
        <f>Y234*(1+I$159)</f>
        <v>0</v>
      </c>
      <c r="J235" s="36">
        <f>Z234*(1+J$159)</f>
        <v>0</v>
      </c>
      <c r="K235" s="36">
        <f>AA234*(1+K$159)</f>
        <v>0</v>
      </c>
      <c r="L235" s="36">
        <f>AB234*(1+L$159)</f>
        <v>0</v>
      </c>
      <c r="M235" s="36">
        <f>MIN(E235-MIN(E$160,E235),MAX(0,$C235-0))</f>
        <v>0</v>
      </c>
      <c r="N235" s="36">
        <f>MIN(F235-MIN(F$160,F235),MAX(0,$C235-SUM($M235:M235)))</f>
        <v>0</v>
      </c>
      <c r="O235" s="36">
        <f>MIN(G235-MIN(G$160,G235),MAX(0,$C235-SUM($M235:N235)))</f>
        <v>0</v>
      </c>
      <c r="P235" s="36">
        <f>MIN(H235-MIN(H$160,H235),MAX(0,$C235-SUM($M235:O235)))</f>
        <v>0</v>
      </c>
      <c r="Q235" s="36">
        <f>MIN(I235-MIN(I$160,I235),MAX(0,$C235-SUM($M235:P235)))</f>
        <v>0</v>
      </c>
      <c r="R235" s="36">
        <f>MIN(J235-MIN(J$160,J235),MAX(0,$C235-SUM($M235:Q235)))</f>
        <v>0</v>
      </c>
      <c r="S235" s="36">
        <f>MIN(K235-MIN(K$160,K235),MAX(0,$C235-SUM($M235:R235)))</f>
        <v>0</v>
      </c>
      <c r="T235" s="36">
        <f>MIN(L235-MIN(L$160,L235),MAX(0,$C235-SUM($M235:S235)))</f>
        <v>0</v>
      </c>
      <c r="U235" s="36">
        <f>IF(E235-MIN(E$160,E235)-M235&lt;0.005,0,E235-MIN(E$160,E235)-M235)</f>
        <v>0</v>
      </c>
      <c r="V235" s="36">
        <f>IF(F235-MIN(F$160,F235)-N235&lt;0.005,0,F235-MIN(F$160,F235)-N235)</f>
        <v>0</v>
      </c>
      <c r="W235" s="36">
        <f>IF(G235-MIN(G$160,G235)-O235&lt;0.005,0,G235-MIN(G$160,G235)-O235)</f>
        <v>0</v>
      </c>
      <c r="X235" s="36">
        <f>IF(H235-MIN(H$160,H235)-P235&lt;0.005,0,H235-MIN(H$160,H235)-P235)</f>
        <v>0</v>
      </c>
      <c r="Y235" s="36">
        <f>IF(I235-MIN(I$160,I235)-Q235&lt;0.005,0,I235-MIN(I$160,I235)-Q235)</f>
        <v>0</v>
      </c>
      <c r="Z235" s="36">
        <f>IF(J235-MIN(J$160,J235)-R235&lt;0.005,0,J235-MIN(J$160,J235)-R235)</f>
        <v>0</v>
      </c>
      <c r="AA235" s="36">
        <f>IF(K235-MIN(K$160,K235)-S235&lt;0.005,0,K235-MIN(K$160,K235)-S235)</f>
        <v>0</v>
      </c>
      <c r="AB235" s="36">
        <f>IF(L235-MIN(L$160,L235)-T235&lt;0.005,0,L235-MIN(L$160,L235)-T235)</f>
        <v>0</v>
      </c>
      <c r="AC235" s="36">
        <f>SUM(U235:AB235)</f>
        <v>0</v>
      </c>
      <c r="AD235" s="36">
        <f>D235+SUM(M235:T235)</f>
        <v>0</v>
      </c>
    </row>
    <row r="236">
      <c r="B236" s="40" t="n">
        <v>72</v>
      </c>
      <c r="C236" s="36">
        <f>MAX(0,Sim_SomaParc+N(Sim_Extra)-D236)</f>
        <v>2790</v>
      </c>
      <c r="D236" s="36">
        <f>MIN(E$160,E236)+MIN(F$160,F236)+MIN(G$160,G236)+MIN(H$160,H236)+MIN(I$160,I236)+MIN(J$160,J236)+MIN(K$160,K236)+MIN(L$160,L236)</f>
        <v>0</v>
      </c>
      <c r="E236" s="36">
        <f>U235*(1+E$159)</f>
        <v>0</v>
      </c>
      <c r="F236" s="36">
        <f>V235*(1+F$159)</f>
        <v>0</v>
      </c>
      <c r="G236" s="36">
        <f>W235*(1+G$159)</f>
        <v>0</v>
      </c>
      <c r="H236" s="36">
        <f>X235*(1+H$159)</f>
        <v>0</v>
      </c>
      <c r="I236" s="36">
        <f>Y235*(1+I$159)</f>
        <v>0</v>
      </c>
      <c r="J236" s="36">
        <f>Z235*(1+J$159)</f>
        <v>0</v>
      </c>
      <c r="K236" s="36">
        <f>AA235*(1+K$159)</f>
        <v>0</v>
      </c>
      <c r="L236" s="36">
        <f>AB235*(1+L$159)</f>
        <v>0</v>
      </c>
      <c r="M236" s="36">
        <f>MIN(E236-MIN(E$160,E236),MAX(0,$C236-0))</f>
        <v>0</v>
      </c>
      <c r="N236" s="36">
        <f>MIN(F236-MIN(F$160,F236),MAX(0,$C236-SUM($M236:M236)))</f>
        <v>0</v>
      </c>
      <c r="O236" s="36">
        <f>MIN(G236-MIN(G$160,G236),MAX(0,$C236-SUM($M236:N236)))</f>
        <v>0</v>
      </c>
      <c r="P236" s="36">
        <f>MIN(H236-MIN(H$160,H236),MAX(0,$C236-SUM($M236:O236)))</f>
        <v>0</v>
      </c>
      <c r="Q236" s="36">
        <f>MIN(I236-MIN(I$160,I236),MAX(0,$C236-SUM($M236:P236)))</f>
        <v>0</v>
      </c>
      <c r="R236" s="36">
        <f>MIN(J236-MIN(J$160,J236),MAX(0,$C236-SUM($M236:Q236)))</f>
        <v>0</v>
      </c>
      <c r="S236" s="36">
        <f>MIN(K236-MIN(K$160,K236),MAX(0,$C236-SUM($M236:R236)))</f>
        <v>0</v>
      </c>
      <c r="T236" s="36">
        <f>MIN(L236-MIN(L$160,L236),MAX(0,$C236-SUM($M236:S236)))</f>
        <v>0</v>
      </c>
      <c r="U236" s="36">
        <f>IF(E236-MIN(E$160,E236)-M236&lt;0.005,0,E236-MIN(E$160,E236)-M236)</f>
        <v>0</v>
      </c>
      <c r="V236" s="36">
        <f>IF(F236-MIN(F$160,F236)-N236&lt;0.005,0,F236-MIN(F$160,F236)-N236)</f>
        <v>0</v>
      </c>
      <c r="W236" s="36">
        <f>IF(G236-MIN(G$160,G236)-O236&lt;0.005,0,G236-MIN(G$160,G236)-O236)</f>
        <v>0</v>
      </c>
      <c r="X236" s="36">
        <f>IF(H236-MIN(H$160,H236)-P236&lt;0.005,0,H236-MIN(H$160,H236)-P236)</f>
        <v>0</v>
      </c>
      <c r="Y236" s="36">
        <f>IF(I236-MIN(I$160,I236)-Q236&lt;0.005,0,I236-MIN(I$160,I236)-Q236)</f>
        <v>0</v>
      </c>
      <c r="Z236" s="36">
        <f>IF(J236-MIN(J$160,J236)-R236&lt;0.005,0,J236-MIN(J$160,J236)-R236)</f>
        <v>0</v>
      </c>
      <c r="AA236" s="36">
        <f>IF(K236-MIN(K$160,K236)-S236&lt;0.005,0,K236-MIN(K$160,K236)-S236)</f>
        <v>0</v>
      </c>
      <c r="AB236" s="36">
        <f>IF(L236-MIN(L$160,L236)-T236&lt;0.005,0,L236-MIN(L$160,L236)-T236)</f>
        <v>0</v>
      </c>
      <c r="AC236" s="36">
        <f>SUM(U236:AB236)</f>
        <v>0</v>
      </c>
      <c r="AD236" s="36">
        <f>D236+SUM(M236:T236)</f>
        <v>0</v>
      </c>
    </row>
    <row r="237">
      <c r="B237" s="40" t="n">
        <v>73</v>
      </c>
      <c r="C237" s="36">
        <f>MAX(0,Sim_SomaParc+N(Sim_Extra)-D237)</f>
        <v>2790</v>
      </c>
      <c r="D237" s="36">
        <f>MIN(E$160,E237)+MIN(F$160,F237)+MIN(G$160,G237)+MIN(H$160,H237)+MIN(I$160,I237)+MIN(J$160,J237)+MIN(K$160,K237)+MIN(L$160,L237)</f>
        <v>0</v>
      </c>
      <c r="E237" s="36">
        <f>U236*(1+E$159)</f>
        <v>0</v>
      </c>
      <c r="F237" s="36">
        <f>V236*(1+F$159)</f>
        <v>0</v>
      </c>
      <c r="G237" s="36">
        <f>W236*(1+G$159)</f>
        <v>0</v>
      </c>
      <c r="H237" s="36">
        <f>X236*(1+H$159)</f>
        <v>0</v>
      </c>
      <c r="I237" s="36">
        <f>Y236*(1+I$159)</f>
        <v>0</v>
      </c>
      <c r="J237" s="36">
        <f>Z236*(1+J$159)</f>
        <v>0</v>
      </c>
      <c r="K237" s="36">
        <f>AA236*(1+K$159)</f>
        <v>0</v>
      </c>
      <c r="L237" s="36">
        <f>AB236*(1+L$159)</f>
        <v>0</v>
      </c>
      <c r="M237" s="36">
        <f>MIN(E237-MIN(E$160,E237),MAX(0,$C237-0))</f>
        <v>0</v>
      </c>
      <c r="N237" s="36">
        <f>MIN(F237-MIN(F$160,F237),MAX(0,$C237-SUM($M237:M237)))</f>
        <v>0</v>
      </c>
      <c r="O237" s="36">
        <f>MIN(G237-MIN(G$160,G237),MAX(0,$C237-SUM($M237:N237)))</f>
        <v>0</v>
      </c>
      <c r="P237" s="36">
        <f>MIN(H237-MIN(H$160,H237),MAX(0,$C237-SUM($M237:O237)))</f>
        <v>0</v>
      </c>
      <c r="Q237" s="36">
        <f>MIN(I237-MIN(I$160,I237),MAX(0,$C237-SUM($M237:P237)))</f>
        <v>0</v>
      </c>
      <c r="R237" s="36">
        <f>MIN(J237-MIN(J$160,J237),MAX(0,$C237-SUM($M237:Q237)))</f>
        <v>0</v>
      </c>
      <c r="S237" s="36">
        <f>MIN(K237-MIN(K$160,K237),MAX(0,$C237-SUM($M237:R237)))</f>
        <v>0</v>
      </c>
      <c r="T237" s="36">
        <f>MIN(L237-MIN(L$160,L237),MAX(0,$C237-SUM($M237:S237)))</f>
        <v>0</v>
      </c>
      <c r="U237" s="36">
        <f>IF(E237-MIN(E$160,E237)-M237&lt;0.005,0,E237-MIN(E$160,E237)-M237)</f>
        <v>0</v>
      </c>
      <c r="V237" s="36">
        <f>IF(F237-MIN(F$160,F237)-N237&lt;0.005,0,F237-MIN(F$160,F237)-N237)</f>
        <v>0</v>
      </c>
      <c r="W237" s="36">
        <f>IF(G237-MIN(G$160,G237)-O237&lt;0.005,0,G237-MIN(G$160,G237)-O237)</f>
        <v>0</v>
      </c>
      <c r="X237" s="36">
        <f>IF(H237-MIN(H$160,H237)-P237&lt;0.005,0,H237-MIN(H$160,H237)-P237)</f>
        <v>0</v>
      </c>
      <c r="Y237" s="36">
        <f>IF(I237-MIN(I$160,I237)-Q237&lt;0.005,0,I237-MIN(I$160,I237)-Q237)</f>
        <v>0</v>
      </c>
      <c r="Z237" s="36">
        <f>IF(J237-MIN(J$160,J237)-R237&lt;0.005,0,J237-MIN(J$160,J237)-R237)</f>
        <v>0</v>
      </c>
      <c r="AA237" s="36">
        <f>IF(K237-MIN(K$160,K237)-S237&lt;0.005,0,K237-MIN(K$160,K237)-S237)</f>
        <v>0</v>
      </c>
      <c r="AB237" s="36">
        <f>IF(L237-MIN(L$160,L237)-T237&lt;0.005,0,L237-MIN(L$160,L237)-T237)</f>
        <v>0</v>
      </c>
      <c r="AC237" s="36">
        <f>SUM(U237:AB237)</f>
        <v>0</v>
      </c>
      <c r="AD237" s="36">
        <f>D237+SUM(M237:T237)</f>
        <v>0</v>
      </c>
    </row>
    <row r="238">
      <c r="B238" s="40" t="n">
        <v>74</v>
      </c>
      <c r="C238" s="36">
        <f>MAX(0,Sim_SomaParc+N(Sim_Extra)-D238)</f>
        <v>2790</v>
      </c>
      <c r="D238" s="36">
        <f>MIN(E$160,E238)+MIN(F$160,F238)+MIN(G$160,G238)+MIN(H$160,H238)+MIN(I$160,I238)+MIN(J$160,J238)+MIN(K$160,K238)+MIN(L$160,L238)</f>
        <v>0</v>
      </c>
      <c r="E238" s="36">
        <f>U237*(1+E$159)</f>
        <v>0</v>
      </c>
      <c r="F238" s="36">
        <f>V237*(1+F$159)</f>
        <v>0</v>
      </c>
      <c r="G238" s="36">
        <f>W237*(1+G$159)</f>
        <v>0</v>
      </c>
      <c r="H238" s="36">
        <f>X237*(1+H$159)</f>
        <v>0</v>
      </c>
      <c r="I238" s="36">
        <f>Y237*(1+I$159)</f>
        <v>0</v>
      </c>
      <c r="J238" s="36">
        <f>Z237*(1+J$159)</f>
        <v>0</v>
      </c>
      <c r="K238" s="36">
        <f>AA237*(1+K$159)</f>
        <v>0</v>
      </c>
      <c r="L238" s="36">
        <f>AB237*(1+L$159)</f>
        <v>0</v>
      </c>
      <c r="M238" s="36">
        <f>MIN(E238-MIN(E$160,E238),MAX(0,$C238-0))</f>
        <v>0</v>
      </c>
      <c r="N238" s="36">
        <f>MIN(F238-MIN(F$160,F238),MAX(0,$C238-SUM($M238:M238)))</f>
        <v>0</v>
      </c>
      <c r="O238" s="36">
        <f>MIN(G238-MIN(G$160,G238),MAX(0,$C238-SUM($M238:N238)))</f>
        <v>0</v>
      </c>
      <c r="P238" s="36">
        <f>MIN(H238-MIN(H$160,H238),MAX(0,$C238-SUM($M238:O238)))</f>
        <v>0</v>
      </c>
      <c r="Q238" s="36">
        <f>MIN(I238-MIN(I$160,I238),MAX(0,$C238-SUM($M238:P238)))</f>
        <v>0</v>
      </c>
      <c r="R238" s="36">
        <f>MIN(J238-MIN(J$160,J238),MAX(0,$C238-SUM($M238:Q238)))</f>
        <v>0</v>
      </c>
      <c r="S238" s="36">
        <f>MIN(K238-MIN(K$160,K238),MAX(0,$C238-SUM($M238:R238)))</f>
        <v>0</v>
      </c>
      <c r="T238" s="36">
        <f>MIN(L238-MIN(L$160,L238),MAX(0,$C238-SUM($M238:S238)))</f>
        <v>0</v>
      </c>
      <c r="U238" s="36">
        <f>IF(E238-MIN(E$160,E238)-M238&lt;0.005,0,E238-MIN(E$160,E238)-M238)</f>
        <v>0</v>
      </c>
      <c r="V238" s="36">
        <f>IF(F238-MIN(F$160,F238)-N238&lt;0.005,0,F238-MIN(F$160,F238)-N238)</f>
        <v>0</v>
      </c>
      <c r="W238" s="36">
        <f>IF(G238-MIN(G$160,G238)-O238&lt;0.005,0,G238-MIN(G$160,G238)-O238)</f>
        <v>0</v>
      </c>
      <c r="X238" s="36">
        <f>IF(H238-MIN(H$160,H238)-P238&lt;0.005,0,H238-MIN(H$160,H238)-P238)</f>
        <v>0</v>
      </c>
      <c r="Y238" s="36">
        <f>IF(I238-MIN(I$160,I238)-Q238&lt;0.005,0,I238-MIN(I$160,I238)-Q238)</f>
        <v>0</v>
      </c>
      <c r="Z238" s="36">
        <f>IF(J238-MIN(J$160,J238)-R238&lt;0.005,0,J238-MIN(J$160,J238)-R238)</f>
        <v>0</v>
      </c>
      <c r="AA238" s="36">
        <f>IF(K238-MIN(K$160,K238)-S238&lt;0.005,0,K238-MIN(K$160,K238)-S238)</f>
        <v>0</v>
      </c>
      <c r="AB238" s="36">
        <f>IF(L238-MIN(L$160,L238)-T238&lt;0.005,0,L238-MIN(L$160,L238)-T238)</f>
        <v>0</v>
      </c>
      <c r="AC238" s="36">
        <f>SUM(U238:AB238)</f>
        <v>0</v>
      </c>
      <c r="AD238" s="36">
        <f>D238+SUM(M238:T238)</f>
        <v>0</v>
      </c>
    </row>
    <row r="239">
      <c r="B239" s="40" t="n">
        <v>75</v>
      </c>
      <c r="C239" s="36">
        <f>MAX(0,Sim_SomaParc+N(Sim_Extra)-D239)</f>
        <v>2790</v>
      </c>
      <c r="D239" s="36">
        <f>MIN(E$160,E239)+MIN(F$160,F239)+MIN(G$160,G239)+MIN(H$160,H239)+MIN(I$160,I239)+MIN(J$160,J239)+MIN(K$160,K239)+MIN(L$160,L239)</f>
        <v>0</v>
      </c>
      <c r="E239" s="36">
        <f>U238*(1+E$159)</f>
        <v>0</v>
      </c>
      <c r="F239" s="36">
        <f>V238*(1+F$159)</f>
        <v>0</v>
      </c>
      <c r="G239" s="36">
        <f>W238*(1+G$159)</f>
        <v>0</v>
      </c>
      <c r="H239" s="36">
        <f>X238*(1+H$159)</f>
        <v>0</v>
      </c>
      <c r="I239" s="36">
        <f>Y238*(1+I$159)</f>
        <v>0</v>
      </c>
      <c r="J239" s="36">
        <f>Z238*(1+J$159)</f>
        <v>0</v>
      </c>
      <c r="K239" s="36">
        <f>AA238*(1+K$159)</f>
        <v>0</v>
      </c>
      <c r="L239" s="36">
        <f>AB238*(1+L$159)</f>
        <v>0</v>
      </c>
      <c r="M239" s="36">
        <f>MIN(E239-MIN(E$160,E239),MAX(0,$C239-0))</f>
        <v>0</v>
      </c>
      <c r="N239" s="36">
        <f>MIN(F239-MIN(F$160,F239),MAX(0,$C239-SUM($M239:M239)))</f>
        <v>0</v>
      </c>
      <c r="O239" s="36">
        <f>MIN(G239-MIN(G$160,G239),MAX(0,$C239-SUM($M239:N239)))</f>
        <v>0</v>
      </c>
      <c r="P239" s="36">
        <f>MIN(H239-MIN(H$160,H239),MAX(0,$C239-SUM($M239:O239)))</f>
        <v>0</v>
      </c>
      <c r="Q239" s="36">
        <f>MIN(I239-MIN(I$160,I239),MAX(0,$C239-SUM($M239:P239)))</f>
        <v>0</v>
      </c>
      <c r="R239" s="36">
        <f>MIN(J239-MIN(J$160,J239),MAX(0,$C239-SUM($M239:Q239)))</f>
        <v>0</v>
      </c>
      <c r="S239" s="36">
        <f>MIN(K239-MIN(K$160,K239),MAX(0,$C239-SUM($M239:R239)))</f>
        <v>0</v>
      </c>
      <c r="T239" s="36">
        <f>MIN(L239-MIN(L$160,L239),MAX(0,$C239-SUM($M239:S239)))</f>
        <v>0</v>
      </c>
      <c r="U239" s="36">
        <f>IF(E239-MIN(E$160,E239)-M239&lt;0.005,0,E239-MIN(E$160,E239)-M239)</f>
        <v>0</v>
      </c>
      <c r="V239" s="36">
        <f>IF(F239-MIN(F$160,F239)-N239&lt;0.005,0,F239-MIN(F$160,F239)-N239)</f>
        <v>0</v>
      </c>
      <c r="W239" s="36">
        <f>IF(G239-MIN(G$160,G239)-O239&lt;0.005,0,G239-MIN(G$160,G239)-O239)</f>
        <v>0</v>
      </c>
      <c r="X239" s="36">
        <f>IF(H239-MIN(H$160,H239)-P239&lt;0.005,0,H239-MIN(H$160,H239)-P239)</f>
        <v>0</v>
      </c>
      <c r="Y239" s="36">
        <f>IF(I239-MIN(I$160,I239)-Q239&lt;0.005,0,I239-MIN(I$160,I239)-Q239)</f>
        <v>0</v>
      </c>
      <c r="Z239" s="36">
        <f>IF(J239-MIN(J$160,J239)-R239&lt;0.005,0,J239-MIN(J$160,J239)-R239)</f>
        <v>0</v>
      </c>
      <c r="AA239" s="36">
        <f>IF(K239-MIN(K$160,K239)-S239&lt;0.005,0,K239-MIN(K$160,K239)-S239)</f>
        <v>0</v>
      </c>
      <c r="AB239" s="36">
        <f>IF(L239-MIN(L$160,L239)-T239&lt;0.005,0,L239-MIN(L$160,L239)-T239)</f>
        <v>0</v>
      </c>
      <c r="AC239" s="36">
        <f>SUM(U239:AB239)</f>
        <v>0</v>
      </c>
      <c r="AD239" s="36">
        <f>D239+SUM(M239:T239)</f>
        <v>0</v>
      </c>
    </row>
    <row r="240">
      <c r="B240" s="40" t="n">
        <v>76</v>
      </c>
      <c r="C240" s="36">
        <f>MAX(0,Sim_SomaParc+N(Sim_Extra)-D240)</f>
        <v>2790</v>
      </c>
      <c r="D240" s="36">
        <f>MIN(E$160,E240)+MIN(F$160,F240)+MIN(G$160,G240)+MIN(H$160,H240)+MIN(I$160,I240)+MIN(J$160,J240)+MIN(K$160,K240)+MIN(L$160,L240)</f>
        <v>0</v>
      </c>
      <c r="E240" s="36">
        <f>U239*(1+E$159)</f>
        <v>0</v>
      </c>
      <c r="F240" s="36">
        <f>V239*(1+F$159)</f>
        <v>0</v>
      </c>
      <c r="G240" s="36">
        <f>W239*(1+G$159)</f>
        <v>0</v>
      </c>
      <c r="H240" s="36">
        <f>X239*(1+H$159)</f>
        <v>0</v>
      </c>
      <c r="I240" s="36">
        <f>Y239*(1+I$159)</f>
        <v>0</v>
      </c>
      <c r="J240" s="36">
        <f>Z239*(1+J$159)</f>
        <v>0</v>
      </c>
      <c r="K240" s="36">
        <f>AA239*(1+K$159)</f>
        <v>0</v>
      </c>
      <c r="L240" s="36">
        <f>AB239*(1+L$159)</f>
        <v>0</v>
      </c>
      <c r="M240" s="36">
        <f>MIN(E240-MIN(E$160,E240),MAX(0,$C240-0))</f>
        <v>0</v>
      </c>
      <c r="N240" s="36">
        <f>MIN(F240-MIN(F$160,F240),MAX(0,$C240-SUM($M240:M240)))</f>
        <v>0</v>
      </c>
      <c r="O240" s="36">
        <f>MIN(G240-MIN(G$160,G240),MAX(0,$C240-SUM($M240:N240)))</f>
        <v>0</v>
      </c>
      <c r="P240" s="36">
        <f>MIN(H240-MIN(H$160,H240),MAX(0,$C240-SUM($M240:O240)))</f>
        <v>0</v>
      </c>
      <c r="Q240" s="36">
        <f>MIN(I240-MIN(I$160,I240),MAX(0,$C240-SUM($M240:P240)))</f>
        <v>0</v>
      </c>
      <c r="R240" s="36">
        <f>MIN(J240-MIN(J$160,J240),MAX(0,$C240-SUM($M240:Q240)))</f>
        <v>0</v>
      </c>
      <c r="S240" s="36">
        <f>MIN(K240-MIN(K$160,K240),MAX(0,$C240-SUM($M240:R240)))</f>
        <v>0</v>
      </c>
      <c r="T240" s="36">
        <f>MIN(L240-MIN(L$160,L240),MAX(0,$C240-SUM($M240:S240)))</f>
        <v>0</v>
      </c>
      <c r="U240" s="36">
        <f>IF(E240-MIN(E$160,E240)-M240&lt;0.005,0,E240-MIN(E$160,E240)-M240)</f>
        <v>0</v>
      </c>
      <c r="V240" s="36">
        <f>IF(F240-MIN(F$160,F240)-N240&lt;0.005,0,F240-MIN(F$160,F240)-N240)</f>
        <v>0</v>
      </c>
      <c r="W240" s="36">
        <f>IF(G240-MIN(G$160,G240)-O240&lt;0.005,0,G240-MIN(G$160,G240)-O240)</f>
        <v>0</v>
      </c>
      <c r="X240" s="36">
        <f>IF(H240-MIN(H$160,H240)-P240&lt;0.005,0,H240-MIN(H$160,H240)-P240)</f>
        <v>0</v>
      </c>
      <c r="Y240" s="36">
        <f>IF(I240-MIN(I$160,I240)-Q240&lt;0.005,0,I240-MIN(I$160,I240)-Q240)</f>
        <v>0</v>
      </c>
      <c r="Z240" s="36">
        <f>IF(J240-MIN(J$160,J240)-R240&lt;0.005,0,J240-MIN(J$160,J240)-R240)</f>
        <v>0</v>
      </c>
      <c r="AA240" s="36">
        <f>IF(K240-MIN(K$160,K240)-S240&lt;0.005,0,K240-MIN(K$160,K240)-S240)</f>
        <v>0</v>
      </c>
      <c r="AB240" s="36">
        <f>IF(L240-MIN(L$160,L240)-T240&lt;0.005,0,L240-MIN(L$160,L240)-T240)</f>
        <v>0</v>
      </c>
      <c r="AC240" s="36">
        <f>SUM(U240:AB240)</f>
        <v>0</v>
      </c>
      <c r="AD240" s="36">
        <f>D240+SUM(M240:T240)</f>
        <v>0</v>
      </c>
    </row>
    <row r="241">
      <c r="B241" s="40" t="n">
        <v>77</v>
      </c>
      <c r="C241" s="36">
        <f>MAX(0,Sim_SomaParc+N(Sim_Extra)-D241)</f>
        <v>2790</v>
      </c>
      <c r="D241" s="36">
        <f>MIN(E$160,E241)+MIN(F$160,F241)+MIN(G$160,G241)+MIN(H$160,H241)+MIN(I$160,I241)+MIN(J$160,J241)+MIN(K$160,K241)+MIN(L$160,L241)</f>
        <v>0</v>
      </c>
      <c r="E241" s="36">
        <f>U240*(1+E$159)</f>
        <v>0</v>
      </c>
      <c r="F241" s="36">
        <f>V240*(1+F$159)</f>
        <v>0</v>
      </c>
      <c r="G241" s="36">
        <f>W240*(1+G$159)</f>
        <v>0</v>
      </c>
      <c r="H241" s="36">
        <f>X240*(1+H$159)</f>
        <v>0</v>
      </c>
      <c r="I241" s="36">
        <f>Y240*(1+I$159)</f>
        <v>0</v>
      </c>
      <c r="J241" s="36">
        <f>Z240*(1+J$159)</f>
        <v>0</v>
      </c>
      <c r="K241" s="36">
        <f>AA240*(1+K$159)</f>
        <v>0</v>
      </c>
      <c r="L241" s="36">
        <f>AB240*(1+L$159)</f>
        <v>0</v>
      </c>
      <c r="M241" s="36">
        <f>MIN(E241-MIN(E$160,E241),MAX(0,$C241-0))</f>
        <v>0</v>
      </c>
      <c r="N241" s="36">
        <f>MIN(F241-MIN(F$160,F241),MAX(0,$C241-SUM($M241:M241)))</f>
        <v>0</v>
      </c>
      <c r="O241" s="36">
        <f>MIN(G241-MIN(G$160,G241),MAX(0,$C241-SUM($M241:N241)))</f>
        <v>0</v>
      </c>
      <c r="P241" s="36">
        <f>MIN(H241-MIN(H$160,H241),MAX(0,$C241-SUM($M241:O241)))</f>
        <v>0</v>
      </c>
      <c r="Q241" s="36">
        <f>MIN(I241-MIN(I$160,I241),MAX(0,$C241-SUM($M241:P241)))</f>
        <v>0</v>
      </c>
      <c r="R241" s="36">
        <f>MIN(J241-MIN(J$160,J241),MAX(0,$C241-SUM($M241:Q241)))</f>
        <v>0</v>
      </c>
      <c r="S241" s="36">
        <f>MIN(K241-MIN(K$160,K241),MAX(0,$C241-SUM($M241:R241)))</f>
        <v>0</v>
      </c>
      <c r="T241" s="36">
        <f>MIN(L241-MIN(L$160,L241),MAX(0,$C241-SUM($M241:S241)))</f>
        <v>0</v>
      </c>
      <c r="U241" s="36">
        <f>IF(E241-MIN(E$160,E241)-M241&lt;0.005,0,E241-MIN(E$160,E241)-M241)</f>
        <v>0</v>
      </c>
      <c r="V241" s="36">
        <f>IF(F241-MIN(F$160,F241)-N241&lt;0.005,0,F241-MIN(F$160,F241)-N241)</f>
        <v>0</v>
      </c>
      <c r="W241" s="36">
        <f>IF(G241-MIN(G$160,G241)-O241&lt;0.005,0,G241-MIN(G$160,G241)-O241)</f>
        <v>0</v>
      </c>
      <c r="X241" s="36">
        <f>IF(H241-MIN(H$160,H241)-P241&lt;0.005,0,H241-MIN(H$160,H241)-P241)</f>
        <v>0</v>
      </c>
      <c r="Y241" s="36">
        <f>IF(I241-MIN(I$160,I241)-Q241&lt;0.005,0,I241-MIN(I$160,I241)-Q241)</f>
        <v>0</v>
      </c>
      <c r="Z241" s="36">
        <f>IF(J241-MIN(J$160,J241)-R241&lt;0.005,0,J241-MIN(J$160,J241)-R241)</f>
        <v>0</v>
      </c>
      <c r="AA241" s="36">
        <f>IF(K241-MIN(K$160,K241)-S241&lt;0.005,0,K241-MIN(K$160,K241)-S241)</f>
        <v>0</v>
      </c>
      <c r="AB241" s="36">
        <f>IF(L241-MIN(L$160,L241)-T241&lt;0.005,0,L241-MIN(L$160,L241)-T241)</f>
        <v>0</v>
      </c>
      <c r="AC241" s="36">
        <f>SUM(U241:AB241)</f>
        <v>0</v>
      </c>
      <c r="AD241" s="36">
        <f>D241+SUM(M241:T241)</f>
        <v>0</v>
      </c>
    </row>
    <row r="242">
      <c r="B242" s="40" t="n">
        <v>78</v>
      </c>
      <c r="C242" s="36">
        <f>MAX(0,Sim_SomaParc+N(Sim_Extra)-D242)</f>
        <v>2790</v>
      </c>
      <c r="D242" s="36">
        <f>MIN(E$160,E242)+MIN(F$160,F242)+MIN(G$160,G242)+MIN(H$160,H242)+MIN(I$160,I242)+MIN(J$160,J242)+MIN(K$160,K242)+MIN(L$160,L242)</f>
        <v>0</v>
      </c>
      <c r="E242" s="36">
        <f>U241*(1+E$159)</f>
        <v>0</v>
      </c>
      <c r="F242" s="36">
        <f>V241*(1+F$159)</f>
        <v>0</v>
      </c>
      <c r="G242" s="36">
        <f>W241*(1+G$159)</f>
        <v>0</v>
      </c>
      <c r="H242" s="36">
        <f>X241*(1+H$159)</f>
        <v>0</v>
      </c>
      <c r="I242" s="36">
        <f>Y241*(1+I$159)</f>
        <v>0</v>
      </c>
      <c r="J242" s="36">
        <f>Z241*(1+J$159)</f>
        <v>0</v>
      </c>
      <c r="K242" s="36">
        <f>AA241*(1+K$159)</f>
        <v>0</v>
      </c>
      <c r="L242" s="36">
        <f>AB241*(1+L$159)</f>
        <v>0</v>
      </c>
      <c r="M242" s="36">
        <f>MIN(E242-MIN(E$160,E242),MAX(0,$C242-0))</f>
        <v>0</v>
      </c>
      <c r="N242" s="36">
        <f>MIN(F242-MIN(F$160,F242),MAX(0,$C242-SUM($M242:M242)))</f>
        <v>0</v>
      </c>
      <c r="O242" s="36">
        <f>MIN(G242-MIN(G$160,G242),MAX(0,$C242-SUM($M242:N242)))</f>
        <v>0</v>
      </c>
      <c r="P242" s="36">
        <f>MIN(H242-MIN(H$160,H242),MAX(0,$C242-SUM($M242:O242)))</f>
        <v>0</v>
      </c>
      <c r="Q242" s="36">
        <f>MIN(I242-MIN(I$160,I242),MAX(0,$C242-SUM($M242:P242)))</f>
        <v>0</v>
      </c>
      <c r="R242" s="36">
        <f>MIN(J242-MIN(J$160,J242),MAX(0,$C242-SUM($M242:Q242)))</f>
        <v>0</v>
      </c>
      <c r="S242" s="36">
        <f>MIN(K242-MIN(K$160,K242),MAX(0,$C242-SUM($M242:R242)))</f>
        <v>0</v>
      </c>
      <c r="T242" s="36">
        <f>MIN(L242-MIN(L$160,L242),MAX(0,$C242-SUM($M242:S242)))</f>
        <v>0</v>
      </c>
      <c r="U242" s="36">
        <f>IF(E242-MIN(E$160,E242)-M242&lt;0.005,0,E242-MIN(E$160,E242)-M242)</f>
        <v>0</v>
      </c>
      <c r="V242" s="36">
        <f>IF(F242-MIN(F$160,F242)-N242&lt;0.005,0,F242-MIN(F$160,F242)-N242)</f>
        <v>0</v>
      </c>
      <c r="W242" s="36">
        <f>IF(G242-MIN(G$160,G242)-O242&lt;0.005,0,G242-MIN(G$160,G242)-O242)</f>
        <v>0</v>
      </c>
      <c r="X242" s="36">
        <f>IF(H242-MIN(H$160,H242)-P242&lt;0.005,0,H242-MIN(H$160,H242)-P242)</f>
        <v>0</v>
      </c>
      <c r="Y242" s="36">
        <f>IF(I242-MIN(I$160,I242)-Q242&lt;0.005,0,I242-MIN(I$160,I242)-Q242)</f>
        <v>0</v>
      </c>
      <c r="Z242" s="36">
        <f>IF(J242-MIN(J$160,J242)-R242&lt;0.005,0,J242-MIN(J$160,J242)-R242)</f>
        <v>0</v>
      </c>
      <c r="AA242" s="36">
        <f>IF(K242-MIN(K$160,K242)-S242&lt;0.005,0,K242-MIN(K$160,K242)-S242)</f>
        <v>0</v>
      </c>
      <c r="AB242" s="36">
        <f>IF(L242-MIN(L$160,L242)-T242&lt;0.005,0,L242-MIN(L$160,L242)-T242)</f>
        <v>0</v>
      </c>
      <c r="AC242" s="36">
        <f>SUM(U242:AB242)</f>
        <v>0</v>
      </c>
      <c r="AD242" s="36">
        <f>D242+SUM(M242:T242)</f>
        <v>0</v>
      </c>
    </row>
    <row r="243">
      <c r="B243" s="40" t="n">
        <v>79</v>
      </c>
      <c r="C243" s="36">
        <f>MAX(0,Sim_SomaParc+N(Sim_Extra)-D243)</f>
        <v>2790</v>
      </c>
      <c r="D243" s="36">
        <f>MIN(E$160,E243)+MIN(F$160,F243)+MIN(G$160,G243)+MIN(H$160,H243)+MIN(I$160,I243)+MIN(J$160,J243)+MIN(K$160,K243)+MIN(L$160,L243)</f>
        <v>0</v>
      </c>
      <c r="E243" s="36">
        <f>U242*(1+E$159)</f>
        <v>0</v>
      </c>
      <c r="F243" s="36">
        <f>V242*(1+F$159)</f>
        <v>0</v>
      </c>
      <c r="G243" s="36">
        <f>W242*(1+G$159)</f>
        <v>0</v>
      </c>
      <c r="H243" s="36">
        <f>X242*(1+H$159)</f>
        <v>0</v>
      </c>
      <c r="I243" s="36">
        <f>Y242*(1+I$159)</f>
        <v>0</v>
      </c>
      <c r="J243" s="36">
        <f>Z242*(1+J$159)</f>
        <v>0</v>
      </c>
      <c r="K243" s="36">
        <f>AA242*(1+K$159)</f>
        <v>0</v>
      </c>
      <c r="L243" s="36">
        <f>AB242*(1+L$159)</f>
        <v>0</v>
      </c>
      <c r="M243" s="36">
        <f>MIN(E243-MIN(E$160,E243),MAX(0,$C243-0))</f>
        <v>0</v>
      </c>
      <c r="N243" s="36">
        <f>MIN(F243-MIN(F$160,F243),MAX(0,$C243-SUM($M243:M243)))</f>
        <v>0</v>
      </c>
      <c r="O243" s="36">
        <f>MIN(G243-MIN(G$160,G243),MAX(0,$C243-SUM($M243:N243)))</f>
        <v>0</v>
      </c>
      <c r="P243" s="36">
        <f>MIN(H243-MIN(H$160,H243),MAX(0,$C243-SUM($M243:O243)))</f>
        <v>0</v>
      </c>
      <c r="Q243" s="36">
        <f>MIN(I243-MIN(I$160,I243),MAX(0,$C243-SUM($M243:P243)))</f>
        <v>0</v>
      </c>
      <c r="R243" s="36">
        <f>MIN(J243-MIN(J$160,J243),MAX(0,$C243-SUM($M243:Q243)))</f>
        <v>0</v>
      </c>
      <c r="S243" s="36">
        <f>MIN(K243-MIN(K$160,K243),MAX(0,$C243-SUM($M243:R243)))</f>
        <v>0</v>
      </c>
      <c r="T243" s="36">
        <f>MIN(L243-MIN(L$160,L243),MAX(0,$C243-SUM($M243:S243)))</f>
        <v>0</v>
      </c>
      <c r="U243" s="36">
        <f>IF(E243-MIN(E$160,E243)-M243&lt;0.005,0,E243-MIN(E$160,E243)-M243)</f>
        <v>0</v>
      </c>
      <c r="V243" s="36">
        <f>IF(F243-MIN(F$160,F243)-N243&lt;0.005,0,F243-MIN(F$160,F243)-N243)</f>
        <v>0</v>
      </c>
      <c r="W243" s="36">
        <f>IF(G243-MIN(G$160,G243)-O243&lt;0.005,0,G243-MIN(G$160,G243)-O243)</f>
        <v>0</v>
      </c>
      <c r="X243" s="36">
        <f>IF(H243-MIN(H$160,H243)-P243&lt;0.005,0,H243-MIN(H$160,H243)-P243)</f>
        <v>0</v>
      </c>
      <c r="Y243" s="36">
        <f>IF(I243-MIN(I$160,I243)-Q243&lt;0.005,0,I243-MIN(I$160,I243)-Q243)</f>
        <v>0</v>
      </c>
      <c r="Z243" s="36">
        <f>IF(J243-MIN(J$160,J243)-R243&lt;0.005,0,J243-MIN(J$160,J243)-R243)</f>
        <v>0</v>
      </c>
      <c r="AA243" s="36">
        <f>IF(K243-MIN(K$160,K243)-S243&lt;0.005,0,K243-MIN(K$160,K243)-S243)</f>
        <v>0</v>
      </c>
      <c r="AB243" s="36">
        <f>IF(L243-MIN(L$160,L243)-T243&lt;0.005,0,L243-MIN(L$160,L243)-T243)</f>
        <v>0</v>
      </c>
      <c r="AC243" s="36">
        <f>SUM(U243:AB243)</f>
        <v>0</v>
      </c>
      <c r="AD243" s="36">
        <f>D243+SUM(M243:T243)</f>
        <v>0</v>
      </c>
    </row>
    <row r="244">
      <c r="B244" s="40" t="n">
        <v>80</v>
      </c>
      <c r="C244" s="36">
        <f>MAX(0,Sim_SomaParc+N(Sim_Extra)-D244)</f>
        <v>2790</v>
      </c>
      <c r="D244" s="36">
        <f>MIN(E$160,E244)+MIN(F$160,F244)+MIN(G$160,G244)+MIN(H$160,H244)+MIN(I$160,I244)+MIN(J$160,J244)+MIN(K$160,K244)+MIN(L$160,L244)</f>
        <v>0</v>
      </c>
      <c r="E244" s="36">
        <f>U243*(1+E$159)</f>
        <v>0</v>
      </c>
      <c r="F244" s="36">
        <f>V243*(1+F$159)</f>
        <v>0</v>
      </c>
      <c r="G244" s="36">
        <f>W243*(1+G$159)</f>
        <v>0</v>
      </c>
      <c r="H244" s="36">
        <f>X243*(1+H$159)</f>
        <v>0</v>
      </c>
      <c r="I244" s="36">
        <f>Y243*(1+I$159)</f>
        <v>0</v>
      </c>
      <c r="J244" s="36">
        <f>Z243*(1+J$159)</f>
        <v>0</v>
      </c>
      <c r="K244" s="36">
        <f>AA243*(1+K$159)</f>
        <v>0</v>
      </c>
      <c r="L244" s="36">
        <f>AB243*(1+L$159)</f>
        <v>0</v>
      </c>
      <c r="M244" s="36">
        <f>MIN(E244-MIN(E$160,E244),MAX(0,$C244-0))</f>
        <v>0</v>
      </c>
      <c r="N244" s="36">
        <f>MIN(F244-MIN(F$160,F244),MAX(0,$C244-SUM($M244:M244)))</f>
        <v>0</v>
      </c>
      <c r="O244" s="36">
        <f>MIN(G244-MIN(G$160,G244),MAX(0,$C244-SUM($M244:N244)))</f>
        <v>0</v>
      </c>
      <c r="P244" s="36">
        <f>MIN(H244-MIN(H$160,H244),MAX(0,$C244-SUM($M244:O244)))</f>
        <v>0</v>
      </c>
      <c r="Q244" s="36">
        <f>MIN(I244-MIN(I$160,I244),MAX(0,$C244-SUM($M244:P244)))</f>
        <v>0</v>
      </c>
      <c r="R244" s="36">
        <f>MIN(J244-MIN(J$160,J244),MAX(0,$C244-SUM($M244:Q244)))</f>
        <v>0</v>
      </c>
      <c r="S244" s="36">
        <f>MIN(K244-MIN(K$160,K244),MAX(0,$C244-SUM($M244:R244)))</f>
        <v>0</v>
      </c>
      <c r="T244" s="36">
        <f>MIN(L244-MIN(L$160,L244),MAX(0,$C244-SUM($M244:S244)))</f>
        <v>0</v>
      </c>
      <c r="U244" s="36">
        <f>IF(E244-MIN(E$160,E244)-M244&lt;0.005,0,E244-MIN(E$160,E244)-M244)</f>
        <v>0</v>
      </c>
      <c r="V244" s="36">
        <f>IF(F244-MIN(F$160,F244)-N244&lt;0.005,0,F244-MIN(F$160,F244)-N244)</f>
        <v>0</v>
      </c>
      <c r="W244" s="36">
        <f>IF(G244-MIN(G$160,G244)-O244&lt;0.005,0,G244-MIN(G$160,G244)-O244)</f>
        <v>0</v>
      </c>
      <c r="X244" s="36">
        <f>IF(H244-MIN(H$160,H244)-P244&lt;0.005,0,H244-MIN(H$160,H244)-P244)</f>
        <v>0</v>
      </c>
      <c r="Y244" s="36">
        <f>IF(I244-MIN(I$160,I244)-Q244&lt;0.005,0,I244-MIN(I$160,I244)-Q244)</f>
        <v>0</v>
      </c>
      <c r="Z244" s="36">
        <f>IF(J244-MIN(J$160,J244)-R244&lt;0.005,0,J244-MIN(J$160,J244)-R244)</f>
        <v>0</v>
      </c>
      <c r="AA244" s="36">
        <f>IF(K244-MIN(K$160,K244)-S244&lt;0.005,0,K244-MIN(K$160,K244)-S244)</f>
        <v>0</v>
      </c>
      <c r="AB244" s="36">
        <f>IF(L244-MIN(L$160,L244)-T244&lt;0.005,0,L244-MIN(L$160,L244)-T244)</f>
        <v>0</v>
      </c>
      <c r="AC244" s="36">
        <f>SUM(U244:AB244)</f>
        <v>0</v>
      </c>
      <c r="AD244" s="36">
        <f>D244+SUM(M244:T244)</f>
        <v>0</v>
      </c>
    </row>
    <row r="245">
      <c r="B245" s="40" t="n">
        <v>81</v>
      </c>
      <c r="C245" s="36">
        <f>MAX(0,Sim_SomaParc+N(Sim_Extra)-D245)</f>
        <v>2790</v>
      </c>
      <c r="D245" s="36">
        <f>MIN(E$160,E245)+MIN(F$160,F245)+MIN(G$160,G245)+MIN(H$160,H245)+MIN(I$160,I245)+MIN(J$160,J245)+MIN(K$160,K245)+MIN(L$160,L245)</f>
        <v>0</v>
      </c>
      <c r="E245" s="36">
        <f>U244*(1+E$159)</f>
        <v>0</v>
      </c>
      <c r="F245" s="36">
        <f>V244*(1+F$159)</f>
        <v>0</v>
      </c>
      <c r="G245" s="36">
        <f>W244*(1+G$159)</f>
        <v>0</v>
      </c>
      <c r="H245" s="36">
        <f>X244*(1+H$159)</f>
        <v>0</v>
      </c>
      <c r="I245" s="36">
        <f>Y244*(1+I$159)</f>
        <v>0</v>
      </c>
      <c r="J245" s="36">
        <f>Z244*(1+J$159)</f>
        <v>0</v>
      </c>
      <c r="K245" s="36">
        <f>AA244*(1+K$159)</f>
        <v>0</v>
      </c>
      <c r="L245" s="36">
        <f>AB244*(1+L$159)</f>
        <v>0</v>
      </c>
      <c r="M245" s="36">
        <f>MIN(E245-MIN(E$160,E245),MAX(0,$C245-0))</f>
        <v>0</v>
      </c>
      <c r="N245" s="36">
        <f>MIN(F245-MIN(F$160,F245),MAX(0,$C245-SUM($M245:M245)))</f>
        <v>0</v>
      </c>
      <c r="O245" s="36">
        <f>MIN(G245-MIN(G$160,G245),MAX(0,$C245-SUM($M245:N245)))</f>
        <v>0</v>
      </c>
      <c r="P245" s="36">
        <f>MIN(H245-MIN(H$160,H245),MAX(0,$C245-SUM($M245:O245)))</f>
        <v>0</v>
      </c>
      <c r="Q245" s="36">
        <f>MIN(I245-MIN(I$160,I245),MAX(0,$C245-SUM($M245:P245)))</f>
        <v>0</v>
      </c>
      <c r="R245" s="36">
        <f>MIN(J245-MIN(J$160,J245),MAX(0,$C245-SUM($M245:Q245)))</f>
        <v>0</v>
      </c>
      <c r="S245" s="36">
        <f>MIN(K245-MIN(K$160,K245),MAX(0,$C245-SUM($M245:R245)))</f>
        <v>0</v>
      </c>
      <c r="T245" s="36">
        <f>MIN(L245-MIN(L$160,L245),MAX(0,$C245-SUM($M245:S245)))</f>
        <v>0</v>
      </c>
      <c r="U245" s="36">
        <f>IF(E245-MIN(E$160,E245)-M245&lt;0.005,0,E245-MIN(E$160,E245)-M245)</f>
        <v>0</v>
      </c>
      <c r="V245" s="36">
        <f>IF(F245-MIN(F$160,F245)-N245&lt;0.005,0,F245-MIN(F$160,F245)-N245)</f>
        <v>0</v>
      </c>
      <c r="W245" s="36">
        <f>IF(G245-MIN(G$160,G245)-O245&lt;0.005,0,G245-MIN(G$160,G245)-O245)</f>
        <v>0</v>
      </c>
      <c r="X245" s="36">
        <f>IF(H245-MIN(H$160,H245)-P245&lt;0.005,0,H245-MIN(H$160,H245)-P245)</f>
        <v>0</v>
      </c>
      <c r="Y245" s="36">
        <f>IF(I245-MIN(I$160,I245)-Q245&lt;0.005,0,I245-MIN(I$160,I245)-Q245)</f>
        <v>0</v>
      </c>
      <c r="Z245" s="36">
        <f>IF(J245-MIN(J$160,J245)-R245&lt;0.005,0,J245-MIN(J$160,J245)-R245)</f>
        <v>0</v>
      </c>
      <c r="AA245" s="36">
        <f>IF(K245-MIN(K$160,K245)-S245&lt;0.005,0,K245-MIN(K$160,K245)-S245)</f>
        <v>0</v>
      </c>
      <c r="AB245" s="36">
        <f>IF(L245-MIN(L$160,L245)-T245&lt;0.005,0,L245-MIN(L$160,L245)-T245)</f>
        <v>0</v>
      </c>
      <c r="AC245" s="36">
        <f>SUM(U245:AB245)</f>
        <v>0</v>
      </c>
      <c r="AD245" s="36">
        <f>D245+SUM(M245:T245)</f>
        <v>0</v>
      </c>
    </row>
    <row r="246">
      <c r="B246" s="40" t="n">
        <v>82</v>
      </c>
      <c r="C246" s="36">
        <f>MAX(0,Sim_SomaParc+N(Sim_Extra)-D246)</f>
        <v>2790</v>
      </c>
      <c r="D246" s="36">
        <f>MIN(E$160,E246)+MIN(F$160,F246)+MIN(G$160,G246)+MIN(H$160,H246)+MIN(I$160,I246)+MIN(J$160,J246)+MIN(K$160,K246)+MIN(L$160,L246)</f>
        <v>0</v>
      </c>
      <c r="E246" s="36">
        <f>U245*(1+E$159)</f>
        <v>0</v>
      </c>
      <c r="F246" s="36">
        <f>V245*(1+F$159)</f>
        <v>0</v>
      </c>
      <c r="G246" s="36">
        <f>W245*(1+G$159)</f>
        <v>0</v>
      </c>
      <c r="H246" s="36">
        <f>X245*(1+H$159)</f>
        <v>0</v>
      </c>
      <c r="I246" s="36">
        <f>Y245*(1+I$159)</f>
        <v>0</v>
      </c>
      <c r="J246" s="36">
        <f>Z245*(1+J$159)</f>
        <v>0</v>
      </c>
      <c r="K246" s="36">
        <f>AA245*(1+K$159)</f>
        <v>0</v>
      </c>
      <c r="L246" s="36">
        <f>AB245*(1+L$159)</f>
        <v>0</v>
      </c>
      <c r="M246" s="36">
        <f>MIN(E246-MIN(E$160,E246),MAX(0,$C246-0))</f>
        <v>0</v>
      </c>
      <c r="N246" s="36">
        <f>MIN(F246-MIN(F$160,F246),MAX(0,$C246-SUM($M246:M246)))</f>
        <v>0</v>
      </c>
      <c r="O246" s="36">
        <f>MIN(G246-MIN(G$160,G246),MAX(0,$C246-SUM($M246:N246)))</f>
        <v>0</v>
      </c>
      <c r="P246" s="36">
        <f>MIN(H246-MIN(H$160,H246),MAX(0,$C246-SUM($M246:O246)))</f>
        <v>0</v>
      </c>
      <c r="Q246" s="36">
        <f>MIN(I246-MIN(I$160,I246),MAX(0,$C246-SUM($M246:P246)))</f>
        <v>0</v>
      </c>
      <c r="R246" s="36">
        <f>MIN(J246-MIN(J$160,J246),MAX(0,$C246-SUM($M246:Q246)))</f>
        <v>0</v>
      </c>
      <c r="S246" s="36">
        <f>MIN(K246-MIN(K$160,K246),MAX(0,$C246-SUM($M246:R246)))</f>
        <v>0</v>
      </c>
      <c r="T246" s="36">
        <f>MIN(L246-MIN(L$160,L246),MAX(0,$C246-SUM($M246:S246)))</f>
        <v>0</v>
      </c>
      <c r="U246" s="36">
        <f>IF(E246-MIN(E$160,E246)-M246&lt;0.005,0,E246-MIN(E$160,E246)-M246)</f>
        <v>0</v>
      </c>
      <c r="V246" s="36">
        <f>IF(F246-MIN(F$160,F246)-N246&lt;0.005,0,F246-MIN(F$160,F246)-N246)</f>
        <v>0</v>
      </c>
      <c r="W246" s="36">
        <f>IF(G246-MIN(G$160,G246)-O246&lt;0.005,0,G246-MIN(G$160,G246)-O246)</f>
        <v>0</v>
      </c>
      <c r="X246" s="36">
        <f>IF(H246-MIN(H$160,H246)-P246&lt;0.005,0,H246-MIN(H$160,H246)-P246)</f>
        <v>0</v>
      </c>
      <c r="Y246" s="36">
        <f>IF(I246-MIN(I$160,I246)-Q246&lt;0.005,0,I246-MIN(I$160,I246)-Q246)</f>
        <v>0</v>
      </c>
      <c r="Z246" s="36">
        <f>IF(J246-MIN(J$160,J246)-R246&lt;0.005,0,J246-MIN(J$160,J246)-R246)</f>
        <v>0</v>
      </c>
      <c r="AA246" s="36">
        <f>IF(K246-MIN(K$160,K246)-S246&lt;0.005,0,K246-MIN(K$160,K246)-S246)</f>
        <v>0</v>
      </c>
      <c r="AB246" s="36">
        <f>IF(L246-MIN(L$160,L246)-T246&lt;0.005,0,L246-MIN(L$160,L246)-T246)</f>
        <v>0</v>
      </c>
      <c r="AC246" s="36">
        <f>SUM(U246:AB246)</f>
        <v>0</v>
      </c>
      <c r="AD246" s="36">
        <f>D246+SUM(M246:T246)</f>
        <v>0</v>
      </c>
    </row>
    <row r="247">
      <c r="B247" s="40" t="n">
        <v>83</v>
      </c>
      <c r="C247" s="36">
        <f>MAX(0,Sim_SomaParc+N(Sim_Extra)-D247)</f>
        <v>2790</v>
      </c>
      <c r="D247" s="36">
        <f>MIN(E$160,E247)+MIN(F$160,F247)+MIN(G$160,G247)+MIN(H$160,H247)+MIN(I$160,I247)+MIN(J$160,J247)+MIN(K$160,K247)+MIN(L$160,L247)</f>
        <v>0</v>
      </c>
      <c r="E247" s="36">
        <f>U246*(1+E$159)</f>
        <v>0</v>
      </c>
      <c r="F247" s="36">
        <f>V246*(1+F$159)</f>
        <v>0</v>
      </c>
      <c r="G247" s="36">
        <f>W246*(1+G$159)</f>
        <v>0</v>
      </c>
      <c r="H247" s="36">
        <f>X246*(1+H$159)</f>
        <v>0</v>
      </c>
      <c r="I247" s="36">
        <f>Y246*(1+I$159)</f>
        <v>0</v>
      </c>
      <c r="J247" s="36">
        <f>Z246*(1+J$159)</f>
        <v>0</v>
      </c>
      <c r="K247" s="36">
        <f>AA246*(1+K$159)</f>
        <v>0</v>
      </c>
      <c r="L247" s="36">
        <f>AB246*(1+L$159)</f>
        <v>0</v>
      </c>
      <c r="M247" s="36">
        <f>MIN(E247-MIN(E$160,E247),MAX(0,$C247-0))</f>
        <v>0</v>
      </c>
      <c r="N247" s="36">
        <f>MIN(F247-MIN(F$160,F247),MAX(0,$C247-SUM($M247:M247)))</f>
        <v>0</v>
      </c>
      <c r="O247" s="36">
        <f>MIN(G247-MIN(G$160,G247),MAX(0,$C247-SUM($M247:N247)))</f>
        <v>0</v>
      </c>
      <c r="P247" s="36">
        <f>MIN(H247-MIN(H$160,H247),MAX(0,$C247-SUM($M247:O247)))</f>
        <v>0</v>
      </c>
      <c r="Q247" s="36">
        <f>MIN(I247-MIN(I$160,I247),MAX(0,$C247-SUM($M247:P247)))</f>
        <v>0</v>
      </c>
      <c r="R247" s="36">
        <f>MIN(J247-MIN(J$160,J247),MAX(0,$C247-SUM($M247:Q247)))</f>
        <v>0</v>
      </c>
      <c r="S247" s="36">
        <f>MIN(K247-MIN(K$160,K247),MAX(0,$C247-SUM($M247:R247)))</f>
        <v>0</v>
      </c>
      <c r="T247" s="36">
        <f>MIN(L247-MIN(L$160,L247),MAX(0,$C247-SUM($M247:S247)))</f>
        <v>0</v>
      </c>
      <c r="U247" s="36">
        <f>IF(E247-MIN(E$160,E247)-M247&lt;0.005,0,E247-MIN(E$160,E247)-M247)</f>
        <v>0</v>
      </c>
      <c r="V247" s="36">
        <f>IF(F247-MIN(F$160,F247)-N247&lt;0.005,0,F247-MIN(F$160,F247)-N247)</f>
        <v>0</v>
      </c>
      <c r="W247" s="36">
        <f>IF(G247-MIN(G$160,G247)-O247&lt;0.005,0,G247-MIN(G$160,G247)-O247)</f>
        <v>0</v>
      </c>
      <c r="X247" s="36">
        <f>IF(H247-MIN(H$160,H247)-P247&lt;0.005,0,H247-MIN(H$160,H247)-P247)</f>
        <v>0</v>
      </c>
      <c r="Y247" s="36">
        <f>IF(I247-MIN(I$160,I247)-Q247&lt;0.005,0,I247-MIN(I$160,I247)-Q247)</f>
        <v>0</v>
      </c>
      <c r="Z247" s="36">
        <f>IF(J247-MIN(J$160,J247)-R247&lt;0.005,0,J247-MIN(J$160,J247)-R247)</f>
        <v>0</v>
      </c>
      <c r="AA247" s="36">
        <f>IF(K247-MIN(K$160,K247)-S247&lt;0.005,0,K247-MIN(K$160,K247)-S247)</f>
        <v>0</v>
      </c>
      <c r="AB247" s="36">
        <f>IF(L247-MIN(L$160,L247)-T247&lt;0.005,0,L247-MIN(L$160,L247)-T247)</f>
        <v>0</v>
      </c>
      <c r="AC247" s="36">
        <f>SUM(U247:AB247)</f>
        <v>0</v>
      </c>
      <c r="AD247" s="36">
        <f>D247+SUM(M247:T247)</f>
        <v>0</v>
      </c>
    </row>
    <row r="248">
      <c r="B248" s="40" t="n">
        <v>84</v>
      </c>
      <c r="C248" s="36">
        <f>MAX(0,Sim_SomaParc+N(Sim_Extra)-D248)</f>
        <v>2790</v>
      </c>
      <c r="D248" s="36">
        <f>MIN(E$160,E248)+MIN(F$160,F248)+MIN(G$160,G248)+MIN(H$160,H248)+MIN(I$160,I248)+MIN(J$160,J248)+MIN(K$160,K248)+MIN(L$160,L248)</f>
        <v>0</v>
      </c>
      <c r="E248" s="36">
        <f>U247*(1+E$159)</f>
        <v>0</v>
      </c>
      <c r="F248" s="36">
        <f>V247*(1+F$159)</f>
        <v>0</v>
      </c>
      <c r="G248" s="36">
        <f>W247*(1+G$159)</f>
        <v>0</v>
      </c>
      <c r="H248" s="36">
        <f>X247*(1+H$159)</f>
        <v>0</v>
      </c>
      <c r="I248" s="36">
        <f>Y247*(1+I$159)</f>
        <v>0</v>
      </c>
      <c r="J248" s="36">
        <f>Z247*(1+J$159)</f>
        <v>0</v>
      </c>
      <c r="K248" s="36">
        <f>AA247*(1+K$159)</f>
        <v>0</v>
      </c>
      <c r="L248" s="36">
        <f>AB247*(1+L$159)</f>
        <v>0</v>
      </c>
      <c r="M248" s="36">
        <f>MIN(E248-MIN(E$160,E248),MAX(0,$C248-0))</f>
        <v>0</v>
      </c>
      <c r="N248" s="36">
        <f>MIN(F248-MIN(F$160,F248),MAX(0,$C248-SUM($M248:M248)))</f>
        <v>0</v>
      </c>
      <c r="O248" s="36">
        <f>MIN(G248-MIN(G$160,G248),MAX(0,$C248-SUM($M248:N248)))</f>
        <v>0</v>
      </c>
      <c r="P248" s="36">
        <f>MIN(H248-MIN(H$160,H248),MAX(0,$C248-SUM($M248:O248)))</f>
        <v>0</v>
      </c>
      <c r="Q248" s="36">
        <f>MIN(I248-MIN(I$160,I248),MAX(0,$C248-SUM($M248:P248)))</f>
        <v>0</v>
      </c>
      <c r="R248" s="36">
        <f>MIN(J248-MIN(J$160,J248),MAX(0,$C248-SUM($M248:Q248)))</f>
        <v>0</v>
      </c>
      <c r="S248" s="36">
        <f>MIN(K248-MIN(K$160,K248),MAX(0,$C248-SUM($M248:R248)))</f>
        <v>0</v>
      </c>
      <c r="T248" s="36">
        <f>MIN(L248-MIN(L$160,L248),MAX(0,$C248-SUM($M248:S248)))</f>
        <v>0</v>
      </c>
      <c r="U248" s="36">
        <f>IF(E248-MIN(E$160,E248)-M248&lt;0.005,0,E248-MIN(E$160,E248)-M248)</f>
        <v>0</v>
      </c>
      <c r="V248" s="36">
        <f>IF(F248-MIN(F$160,F248)-N248&lt;0.005,0,F248-MIN(F$160,F248)-N248)</f>
        <v>0</v>
      </c>
      <c r="W248" s="36">
        <f>IF(G248-MIN(G$160,G248)-O248&lt;0.005,0,G248-MIN(G$160,G248)-O248)</f>
        <v>0</v>
      </c>
      <c r="X248" s="36">
        <f>IF(H248-MIN(H$160,H248)-P248&lt;0.005,0,H248-MIN(H$160,H248)-P248)</f>
        <v>0</v>
      </c>
      <c r="Y248" s="36">
        <f>IF(I248-MIN(I$160,I248)-Q248&lt;0.005,0,I248-MIN(I$160,I248)-Q248)</f>
        <v>0</v>
      </c>
      <c r="Z248" s="36">
        <f>IF(J248-MIN(J$160,J248)-R248&lt;0.005,0,J248-MIN(J$160,J248)-R248)</f>
        <v>0</v>
      </c>
      <c r="AA248" s="36">
        <f>IF(K248-MIN(K$160,K248)-S248&lt;0.005,0,K248-MIN(K$160,K248)-S248)</f>
        <v>0</v>
      </c>
      <c r="AB248" s="36">
        <f>IF(L248-MIN(L$160,L248)-T248&lt;0.005,0,L248-MIN(L$160,L248)-T248)</f>
        <v>0</v>
      </c>
      <c r="AC248" s="36">
        <f>SUM(U248:AB248)</f>
        <v>0</v>
      </c>
      <c r="AD248" s="36">
        <f>D248+SUM(M248:T248)</f>
        <v>0</v>
      </c>
    </row>
    <row r="249">
      <c r="B249" s="40" t="n">
        <v>85</v>
      </c>
      <c r="C249" s="36">
        <f>MAX(0,Sim_SomaParc+N(Sim_Extra)-D249)</f>
        <v>2790</v>
      </c>
      <c r="D249" s="36">
        <f>MIN(E$160,E249)+MIN(F$160,F249)+MIN(G$160,G249)+MIN(H$160,H249)+MIN(I$160,I249)+MIN(J$160,J249)+MIN(K$160,K249)+MIN(L$160,L249)</f>
        <v>0</v>
      </c>
      <c r="E249" s="36">
        <f>U248*(1+E$159)</f>
        <v>0</v>
      </c>
      <c r="F249" s="36">
        <f>V248*(1+F$159)</f>
        <v>0</v>
      </c>
      <c r="G249" s="36">
        <f>W248*(1+G$159)</f>
        <v>0</v>
      </c>
      <c r="H249" s="36">
        <f>X248*(1+H$159)</f>
        <v>0</v>
      </c>
      <c r="I249" s="36">
        <f>Y248*(1+I$159)</f>
        <v>0</v>
      </c>
      <c r="J249" s="36">
        <f>Z248*(1+J$159)</f>
        <v>0</v>
      </c>
      <c r="K249" s="36">
        <f>AA248*(1+K$159)</f>
        <v>0</v>
      </c>
      <c r="L249" s="36">
        <f>AB248*(1+L$159)</f>
        <v>0</v>
      </c>
      <c r="M249" s="36">
        <f>MIN(E249-MIN(E$160,E249),MAX(0,$C249-0))</f>
        <v>0</v>
      </c>
      <c r="N249" s="36">
        <f>MIN(F249-MIN(F$160,F249),MAX(0,$C249-SUM($M249:M249)))</f>
        <v>0</v>
      </c>
      <c r="O249" s="36">
        <f>MIN(G249-MIN(G$160,G249),MAX(0,$C249-SUM($M249:N249)))</f>
        <v>0</v>
      </c>
      <c r="P249" s="36">
        <f>MIN(H249-MIN(H$160,H249),MAX(0,$C249-SUM($M249:O249)))</f>
        <v>0</v>
      </c>
      <c r="Q249" s="36">
        <f>MIN(I249-MIN(I$160,I249),MAX(0,$C249-SUM($M249:P249)))</f>
        <v>0</v>
      </c>
      <c r="R249" s="36">
        <f>MIN(J249-MIN(J$160,J249),MAX(0,$C249-SUM($M249:Q249)))</f>
        <v>0</v>
      </c>
      <c r="S249" s="36">
        <f>MIN(K249-MIN(K$160,K249),MAX(0,$C249-SUM($M249:R249)))</f>
        <v>0</v>
      </c>
      <c r="T249" s="36">
        <f>MIN(L249-MIN(L$160,L249),MAX(0,$C249-SUM($M249:S249)))</f>
        <v>0</v>
      </c>
      <c r="U249" s="36">
        <f>IF(E249-MIN(E$160,E249)-M249&lt;0.005,0,E249-MIN(E$160,E249)-M249)</f>
        <v>0</v>
      </c>
      <c r="V249" s="36">
        <f>IF(F249-MIN(F$160,F249)-N249&lt;0.005,0,F249-MIN(F$160,F249)-N249)</f>
        <v>0</v>
      </c>
      <c r="W249" s="36">
        <f>IF(G249-MIN(G$160,G249)-O249&lt;0.005,0,G249-MIN(G$160,G249)-O249)</f>
        <v>0</v>
      </c>
      <c r="X249" s="36">
        <f>IF(H249-MIN(H$160,H249)-P249&lt;0.005,0,H249-MIN(H$160,H249)-P249)</f>
        <v>0</v>
      </c>
      <c r="Y249" s="36">
        <f>IF(I249-MIN(I$160,I249)-Q249&lt;0.005,0,I249-MIN(I$160,I249)-Q249)</f>
        <v>0</v>
      </c>
      <c r="Z249" s="36">
        <f>IF(J249-MIN(J$160,J249)-R249&lt;0.005,0,J249-MIN(J$160,J249)-R249)</f>
        <v>0</v>
      </c>
      <c r="AA249" s="36">
        <f>IF(K249-MIN(K$160,K249)-S249&lt;0.005,0,K249-MIN(K$160,K249)-S249)</f>
        <v>0</v>
      </c>
      <c r="AB249" s="36">
        <f>IF(L249-MIN(L$160,L249)-T249&lt;0.005,0,L249-MIN(L$160,L249)-T249)</f>
        <v>0</v>
      </c>
      <c r="AC249" s="36">
        <f>SUM(U249:AB249)</f>
        <v>0</v>
      </c>
      <c r="AD249" s="36">
        <f>D249+SUM(M249:T249)</f>
        <v>0</v>
      </c>
    </row>
    <row r="250">
      <c r="B250" s="40" t="n">
        <v>86</v>
      </c>
      <c r="C250" s="36">
        <f>MAX(0,Sim_SomaParc+N(Sim_Extra)-D250)</f>
        <v>2790</v>
      </c>
      <c r="D250" s="36">
        <f>MIN(E$160,E250)+MIN(F$160,F250)+MIN(G$160,G250)+MIN(H$160,H250)+MIN(I$160,I250)+MIN(J$160,J250)+MIN(K$160,K250)+MIN(L$160,L250)</f>
        <v>0</v>
      </c>
      <c r="E250" s="36">
        <f>U249*(1+E$159)</f>
        <v>0</v>
      </c>
      <c r="F250" s="36">
        <f>V249*(1+F$159)</f>
        <v>0</v>
      </c>
      <c r="G250" s="36">
        <f>W249*(1+G$159)</f>
        <v>0</v>
      </c>
      <c r="H250" s="36">
        <f>X249*(1+H$159)</f>
        <v>0</v>
      </c>
      <c r="I250" s="36">
        <f>Y249*(1+I$159)</f>
        <v>0</v>
      </c>
      <c r="J250" s="36">
        <f>Z249*(1+J$159)</f>
        <v>0</v>
      </c>
      <c r="K250" s="36">
        <f>AA249*(1+K$159)</f>
        <v>0</v>
      </c>
      <c r="L250" s="36">
        <f>AB249*(1+L$159)</f>
        <v>0</v>
      </c>
      <c r="M250" s="36">
        <f>MIN(E250-MIN(E$160,E250),MAX(0,$C250-0))</f>
        <v>0</v>
      </c>
      <c r="N250" s="36">
        <f>MIN(F250-MIN(F$160,F250),MAX(0,$C250-SUM($M250:M250)))</f>
        <v>0</v>
      </c>
      <c r="O250" s="36">
        <f>MIN(G250-MIN(G$160,G250),MAX(0,$C250-SUM($M250:N250)))</f>
        <v>0</v>
      </c>
      <c r="P250" s="36">
        <f>MIN(H250-MIN(H$160,H250),MAX(0,$C250-SUM($M250:O250)))</f>
        <v>0</v>
      </c>
      <c r="Q250" s="36">
        <f>MIN(I250-MIN(I$160,I250),MAX(0,$C250-SUM($M250:P250)))</f>
        <v>0</v>
      </c>
      <c r="R250" s="36">
        <f>MIN(J250-MIN(J$160,J250),MAX(0,$C250-SUM($M250:Q250)))</f>
        <v>0</v>
      </c>
      <c r="S250" s="36">
        <f>MIN(K250-MIN(K$160,K250),MAX(0,$C250-SUM($M250:R250)))</f>
        <v>0</v>
      </c>
      <c r="T250" s="36">
        <f>MIN(L250-MIN(L$160,L250),MAX(0,$C250-SUM($M250:S250)))</f>
        <v>0</v>
      </c>
      <c r="U250" s="36">
        <f>IF(E250-MIN(E$160,E250)-M250&lt;0.005,0,E250-MIN(E$160,E250)-M250)</f>
        <v>0</v>
      </c>
      <c r="V250" s="36">
        <f>IF(F250-MIN(F$160,F250)-N250&lt;0.005,0,F250-MIN(F$160,F250)-N250)</f>
        <v>0</v>
      </c>
      <c r="W250" s="36">
        <f>IF(G250-MIN(G$160,G250)-O250&lt;0.005,0,G250-MIN(G$160,G250)-O250)</f>
        <v>0</v>
      </c>
      <c r="X250" s="36">
        <f>IF(H250-MIN(H$160,H250)-P250&lt;0.005,0,H250-MIN(H$160,H250)-P250)</f>
        <v>0</v>
      </c>
      <c r="Y250" s="36">
        <f>IF(I250-MIN(I$160,I250)-Q250&lt;0.005,0,I250-MIN(I$160,I250)-Q250)</f>
        <v>0</v>
      </c>
      <c r="Z250" s="36">
        <f>IF(J250-MIN(J$160,J250)-R250&lt;0.005,0,J250-MIN(J$160,J250)-R250)</f>
        <v>0</v>
      </c>
      <c r="AA250" s="36">
        <f>IF(K250-MIN(K$160,K250)-S250&lt;0.005,0,K250-MIN(K$160,K250)-S250)</f>
        <v>0</v>
      </c>
      <c r="AB250" s="36">
        <f>IF(L250-MIN(L$160,L250)-T250&lt;0.005,0,L250-MIN(L$160,L250)-T250)</f>
        <v>0</v>
      </c>
      <c r="AC250" s="36">
        <f>SUM(U250:AB250)</f>
        <v>0</v>
      </c>
      <c r="AD250" s="36">
        <f>D250+SUM(M250:T250)</f>
        <v>0</v>
      </c>
    </row>
    <row r="251">
      <c r="B251" s="40" t="n">
        <v>87</v>
      </c>
      <c r="C251" s="36">
        <f>MAX(0,Sim_SomaParc+N(Sim_Extra)-D251)</f>
        <v>2790</v>
      </c>
      <c r="D251" s="36">
        <f>MIN(E$160,E251)+MIN(F$160,F251)+MIN(G$160,G251)+MIN(H$160,H251)+MIN(I$160,I251)+MIN(J$160,J251)+MIN(K$160,K251)+MIN(L$160,L251)</f>
        <v>0</v>
      </c>
      <c r="E251" s="36">
        <f>U250*(1+E$159)</f>
        <v>0</v>
      </c>
      <c r="F251" s="36">
        <f>V250*(1+F$159)</f>
        <v>0</v>
      </c>
      <c r="G251" s="36">
        <f>W250*(1+G$159)</f>
        <v>0</v>
      </c>
      <c r="H251" s="36">
        <f>X250*(1+H$159)</f>
        <v>0</v>
      </c>
      <c r="I251" s="36">
        <f>Y250*(1+I$159)</f>
        <v>0</v>
      </c>
      <c r="J251" s="36">
        <f>Z250*(1+J$159)</f>
        <v>0</v>
      </c>
      <c r="K251" s="36">
        <f>AA250*(1+K$159)</f>
        <v>0</v>
      </c>
      <c r="L251" s="36">
        <f>AB250*(1+L$159)</f>
        <v>0</v>
      </c>
      <c r="M251" s="36">
        <f>MIN(E251-MIN(E$160,E251),MAX(0,$C251-0))</f>
        <v>0</v>
      </c>
      <c r="N251" s="36">
        <f>MIN(F251-MIN(F$160,F251),MAX(0,$C251-SUM($M251:M251)))</f>
        <v>0</v>
      </c>
      <c r="O251" s="36">
        <f>MIN(G251-MIN(G$160,G251),MAX(0,$C251-SUM($M251:N251)))</f>
        <v>0</v>
      </c>
      <c r="P251" s="36">
        <f>MIN(H251-MIN(H$160,H251),MAX(0,$C251-SUM($M251:O251)))</f>
        <v>0</v>
      </c>
      <c r="Q251" s="36">
        <f>MIN(I251-MIN(I$160,I251),MAX(0,$C251-SUM($M251:P251)))</f>
        <v>0</v>
      </c>
      <c r="R251" s="36">
        <f>MIN(J251-MIN(J$160,J251),MAX(0,$C251-SUM($M251:Q251)))</f>
        <v>0</v>
      </c>
      <c r="S251" s="36">
        <f>MIN(K251-MIN(K$160,K251),MAX(0,$C251-SUM($M251:R251)))</f>
        <v>0</v>
      </c>
      <c r="T251" s="36">
        <f>MIN(L251-MIN(L$160,L251),MAX(0,$C251-SUM($M251:S251)))</f>
        <v>0</v>
      </c>
      <c r="U251" s="36">
        <f>IF(E251-MIN(E$160,E251)-M251&lt;0.005,0,E251-MIN(E$160,E251)-M251)</f>
        <v>0</v>
      </c>
      <c r="V251" s="36">
        <f>IF(F251-MIN(F$160,F251)-N251&lt;0.005,0,F251-MIN(F$160,F251)-N251)</f>
        <v>0</v>
      </c>
      <c r="W251" s="36">
        <f>IF(G251-MIN(G$160,G251)-O251&lt;0.005,0,G251-MIN(G$160,G251)-O251)</f>
        <v>0</v>
      </c>
      <c r="X251" s="36">
        <f>IF(H251-MIN(H$160,H251)-P251&lt;0.005,0,H251-MIN(H$160,H251)-P251)</f>
        <v>0</v>
      </c>
      <c r="Y251" s="36">
        <f>IF(I251-MIN(I$160,I251)-Q251&lt;0.005,0,I251-MIN(I$160,I251)-Q251)</f>
        <v>0</v>
      </c>
      <c r="Z251" s="36">
        <f>IF(J251-MIN(J$160,J251)-R251&lt;0.005,0,J251-MIN(J$160,J251)-R251)</f>
        <v>0</v>
      </c>
      <c r="AA251" s="36">
        <f>IF(K251-MIN(K$160,K251)-S251&lt;0.005,0,K251-MIN(K$160,K251)-S251)</f>
        <v>0</v>
      </c>
      <c r="AB251" s="36">
        <f>IF(L251-MIN(L$160,L251)-T251&lt;0.005,0,L251-MIN(L$160,L251)-T251)</f>
        <v>0</v>
      </c>
      <c r="AC251" s="36">
        <f>SUM(U251:AB251)</f>
        <v>0</v>
      </c>
      <c r="AD251" s="36">
        <f>D251+SUM(M251:T251)</f>
        <v>0</v>
      </c>
    </row>
    <row r="252">
      <c r="B252" s="40" t="n">
        <v>88</v>
      </c>
      <c r="C252" s="36">
        <f>MAX(0,Sim_SomaParc+N(Sim_Extra)-D252)</f>
        <v>2790</v>
      </c>
      <c r="D252" s="36">
        <f>MIN(E$160,E252)+MIN(F$160,F252)+MIN(G$160,G252)+MIN(H$160,H252)+MIN(I$160,I252)+MIN(J$160,J252)+MIN(K$160,K252)+MIN(L$160,L252)</f>
        <v>0</v>
      </c>
      <c r="E252" s="36">
        <f>U251*(1+E$159)</f>
        <v>0</v>
      </c>
      <c r="F252" s="36">
        <f>V251*(1+F$159)</f>
        <v>0</v>
      </c>
      <c r="G252" s="36">
        <f>W251*(1+G$159)</f>
        <v>0</v>
      </c>
      <c r="H252" s="36">
        <f>X251*(1+H$159)</f>
        <v>0</v>
      </c>
      <c r="I252" s="36">
        <f>Y251*(1+I$159)</f>
        <v>0</v>
      </c>
      <c r="J252" s="36">
        <f>Z251*(1+J$159)</f>
        <v>0</v>
      </c>
      <c r="K252" s="36">
        <f>AA251*(1+K$159)</f>
        <v>0</v>
      </c>
      <c r="L252" s="36">
        <f>AB251*(1+L$159)</f>
        <v>0</v>
      </c>
      <c r="M252" s="36">
        <f>MIN(E252-MIN(E$160,E252),MAX(0,$C252-0))</f>
        <v>0</v>
      </c>
      <c r="N252" s="36">
        <f>MIN(F252-MIN(F$160,F252),MAX(0,$C252-SUM($M252:M252)))</f>
        <v>0</v>
      </c>
      <c r="O252" s="36">
        <f>MIN(G252-MIN(G$160,G252),MAX(0,$C252-SUM($M252:N252)))</f>
        <v>0</v>
      </c>
      <c r="P252" s="36">
        <f>MIN(H252-MIN(H$160,H252),MAX(0,$C252-SUM($M252:O252)))</f>
        <v>0</v>
      </c>
      <c r="Q252" s="36">
        <f>MIN(I252-MIN(I$160,I252),MAX(0,$C252-SUM($M252:P252)))</f>
        <v>0</v>
      </c>
      <c r="R252" s="36">
        <f>MIN(J252-MIN(J$160,J252),MAX(0,$C252-SUM($M252:Q252)))</f>
        <v>0</v>
      </c>
      <c r="S252" s="36">
        <f>MIN(K252-MIN(K$160,K252),MAX(0,$C252-SUM($M252:R252)))</f>
        <v>0</v>
      </c>
      <c r="T252" s="36">
        <f>MIN(L252-MIN(L$160,L252),MAX(0,$C252-SUM($M252:S252)))</f>
        <v>0</v>
      </c>
      <c r="U252" s="36">
        <f>IF(E252-MIN(E$160,E252)-M252&lt;0.005,0,E252-MIN(E$160,E252)-M252)</f>
        <v>0</v>
      </c>
      <c r="V252" s="36">
        <f>IF(F252-MIN(F$160,F252)-N252&lt;0.005,0,F252-MIN(F$160,F252)-N252)</f>
        <v>0</v>
      </c>
      <c r="W252" s="36">
        <f>IF(G252-MIN(G$160,G252)-O252&lt;0.005,0,G252-MIN(G$160,G252)-O252)</f>
        <v>0</v>
      </c>
      <c r="X252" s="36">
        <f>IF(H252-MIN(H$160,H252)-P252&lt;0.005,0,H252-MIN(H$160,H252)-P252)</f>
        <v>0</v>
      </c>
      <c r="Y252" s="36">
        <f>IF(I252-MIN(I$160,I252)-Q252&lt;0.005,0,I252-MIN(I$160,I252)-Q252)</f>
        <v>0</v>
      </c>
      <c r="Z252" s="36">
        <f>IF(J252-MIN(J$160,J252)-R252&lt;0.005,0,J252-MIN(J$160,J252)-R252)</f>
        <v>0</v>
      </c>
      <c r="AA252" s="36">
        <f>IF(K252-MIN(K$160,K252)-S252&lt;0.005,0,K252-MIN(K$160,K252)-S252)</f>
        <v>0</v>
      </c>
      <c r="AB252" s="36">
        <f>IF(L252-MIN(L$160,L252)-T252&lt;0.005,0,L252-MIN(L$160,L252)-T252)</f>
        <v>0</v>
      </c>
      <c r="AC252" s="36">
        <f>SUM(U252:AB252)</f>
        <v>0</v>
      </c>
      <c r="AD252" s="36">
        <f>D252+SUM(M252:T252)</f>
        <v>0</v>
      </c>
    </row>
    <row r="253">
      <c r="B253" s="40" t="n">
        <v>89</v>
      </c>
      <c r="C253" s="36">
        <f>MAX(0,Sim_SomaParc+N(Sim_Extra)-D253)</f>
        <v>2790</v>
      </c>
      <c r="D253" s="36">
        <f>MIN(E$160,E253)+MIN(F$160,F253)+MIN(G$160,G253)+MIN(H$160,H253)+MIN(I$160,I253)+MIN(J$160,J253)+MIN(K$160,K253)+MIN(L$160,L253)</f>
        <v>0</v>
      </c>
      <c r="E253" s="36">
        <f>U252*(1+E$159)</f>
        <v>0</v>
      </c>
      <c r="F253" s="36">
        <f>V252*(1+F$159)</f>
        <v>0</v>
      </c>
      <c r="G253" s="36">
        <f>W252*(1+G$159)</f>
        <v>0</v>
      </c>
      <c r="H253" s="36">
        <f>X252*(1+H$159)</f>
        <v>0</v>
      </c>
      <c r="I253" s="36">
        <f>Y252*(1+I$159)</f>
        <v>0</v>
      </c>
      <c r="J253" s="36">
        <f>Z252*(1+J$159)</f>
        <v>0</v>
      </c>
      <c r="K253" s="36">
        <f>AA252*(1+K$159)</f>
        <v>0</v>
      </c>
      <c r="L253" s="36">
        <f>AB252*(1+L$159)</f>
        <v>0</v>
      </c>
      <c r="M253" s="36">
        <f>MIN(E253-MIN(E$160,E253),MAX(0,$C253-0))</f>
        <v>0</v>
      </c>
      <c r="N253" s="36">
        <f>MIN(F253-MIN(F$160,F253),MAX(0,$C253-SUM($M253:M253)))</f>
        <v>0</v>
      </c>
      <c r="O253" s="36">
        <f>MIN(G253-MIN(G$160,G253),MAX(0,$C253-SUM($M253:N253)))</f>
        <v>0</v>
      </c>
      <c r="P253" s="36">
        <f>MIN(H253-MIN(H$160,H253),MAX(0,$C253-SUM($M253:O253)))</f>
        <v>0</v>
      </c>
      <c r="Q253" s="36">
        <f>MIN(I253-MIN(I$160,I253),MAX(0,$C253-SUM($M253:P253)))</f>
        <v>0</v>
      </c>
      <c r="R253" s="36">
        <f>MIN(J253-MIN(J$160,J253),MAX(0,$C253-SUM($M253:Q253)))</f>
        <v>0</v>
      </c>
      <c r="S253" s="36">
        <f>MIN(K253-MIN(K$160,K253),MAX(0,$C253-SUM($M253:R253)))</f>
        <v>0</v>
      </c>
      <c r="T253" s="36">
        <f>MIN(L253-MIN(L$160,L253),MAX(0,$C253-SUM($M253:S253)))</f>
        <v>0</v>
      </c>
      <c r="U253" s="36">
        <f>IF(E253-MIN(E$160,E253)-M253&lt;0.005,0,E253-MIN(E$160,E253)-M253)</f>
        <v>0</v>
      </c>
      <c r="V253" s="36">
        <f>IF(F253-MIN(F$160,F253)-N253&lt;0.005,0,F253-MIN(F$160,F253)-N253)</f>
        <v>0</v>
      </c>
      <c r="W253" s="36">
        <f>IF(G253-MIN(G$160,G253)-O253&lt;0.005,0,G253-MIN(G$160,G253)-O253)</f>
        <v>0</v>
      </c>
      <c r="X253" s="36">
        <f>IF(H253-MIN(H$160,H253)-P253&lt;0.005,0,H253-MIN(H$160,H253)-P253)</f>
        <v>0</v>
      </c>
      <c r="Y253" s="36">
        <f>IF(I253-MIN(I$160,I253)-Q253&lt;0.005,0,I253-MIN(I$160,I253)-Q253)</f>
        <v>0</v>
      </c>
      <c r="Z253" s="36">
        <f>IF(J253-MIN(J$160,J253)-R253&lt;0.005,0,J253-MIN(J$160,J253)-R253)</f>
        <v>0</v>
      </c>
      <c r="AA253" s="36">
        <f>IF(K253-MIN(K$160,K253)-S253&lt;0.005,0,K253-MIN(K$160,K253)-S253)</f>
        <v>0</v>
      </c>
      <c r="AB253" s="36">
        <f>IF(L253-MIN(L$160,L253)-T253&lt;0.005,0,L253-MIN(L$160,L253)-T253)</f>
        <v>0</v>
      </c>
      <c r="AC253" s="36">
        <f>SUM(U253:AB253)</f>
        <v>0</v>
      </c>
      <c r="AD253" s="36">
        <f>D253+SUM(M253:T253)</f>
        <v>0</v>
      </c>
    </row>
    <row r="254">
      <c r="B254" s="40" t="n">
        <v>90</v>
      </c>
      <c r="C254" s="36">
        <f>MAX(0,Sim_SomaParc+N(Sim_Extra)-D254)</f>
        <v>2790</v>
      </c>
      <c r="D254" s="36">
        <f>MIN(E$160,E254)+MIN(F$160,F254)+MIN(G$160,G254)+MIN(H$160,H254)+MIN(I$160,I254)+MIN(J$160,J254)+MIN(K$160,K254)+MIN(L$160,L254)</f>
        <v>0</v>
      </c>
      <c r="E254" s="36">
        <f>U253*(1+E$159)</f>
        <v>0</v>
      </c>
      <c r="F254" s="36">
        <f>V253*(1+F$159)</f>
        <v>0</v>
      </c>
      <c r="G254" s="36">
        <f>W253*(1+G$159)</f>
        <v>0</v>
      </c>
      <c r="H254" s="36">
        <f>X253*(1+H$159)</f>
        <v>0</v>
      </c>
      <c r="I254" s="36">
        <f>Y253*(1+I$159)</f>
        <v>0</v>
      </c>
      <c r="J254" s="36">
        <f>Z253*(1+J$159)</f>
        <v>0</v>
      </c>
      <c r="K254" s="36">
        <f>AA253*(1+K$159)</f>
        <v>0</v>
      </c>
      <c r="L254" s="36">
        <f>AB253*(1+L$159)</f>
        <v>0</v>
      </c>
      <c r="M254" s="36">
        <f>MIN(E254-MIN(E$160,E254),MAX(0,$C254-0))</f>
        <v>0</v>
      </c>
      <c r="N254" s="36">
        <f>MIN(F254-MIN(F$160,F254),MAX(0,$C254-SUM($M254:M254)))</f>
        <v>0</v>
      </c>
      <c r="O254" s="36">
        <f>MIN(G254-MIN(G$160,G254),MAX(0,$C254-SUM($M254:N254)))</f>
        <v>0</v>
      </c>
      <c r="P254" s="36">
        <f>MIN(H254-MIN(H$160,H254),MAX(0,$C254-SUM($M254:O254)))</f>
        <v>0</v>
      </c>
      <c r="Q254" s="36">
        <f>MIN(I254-MIN(I$160,I254),MAX(0,$C254-SUM($M254:P254)))</f>
        <v>0</v>
      </c>
      <c r="R254" s="36">
        <f>MIN(J254-MIN(J$160,J254),MAX(0,$C254-SUM($M254:Q254)))</f>
        <v>0</v>
      </c>
      <c r="S254" s="36">
        <f>MIN(K254-MIN(K$160,K254),MAX(0,$C254-SUM($M254:R254)))</f>
        <v>0</v>
      </c>
      <c r="T254" s="36">
        <f>MIN(L254-MIN(L$160,L254),MAX(0,$C254-SUM($M254:S254)))</f>
        <v>0</v>
      </c>
      <c r="U254" s="36">
        <f>IF(E254-MIN(E$160,E254)-M254&lt;0.005,0,E254-MIN(E$160,E254)-M254)</f>
        <v>0</v>
      </c>
      <c r="V254" s="36">
        <f>IF(F254-MIN(F$160,F254)-N254&lt;0.005,0,F254-MIN(F$160,F254)-N254)</f>
        <v>0</v>
      </c>
      <c r="W254" s="36">
        <f>IF(G254-MIN(G$160,G254)-O254&lt;0.005,0,G254-MIN(G$160,G254)-O254)</f>
        <v>0</v>
      </c>
      <c r="X254" s="36">
        <f>IF(H254-MIN(H$160,H254)-P254&lt;0.005,0,H254-MIN(H$160,H254)-P254)</f>
        <v>0</v>
      </c>
      <c r="Y254" s="36">
        <f>IF(I254-MIN(I$160,I254)-Q254&lt;0.005,0,I254-MIN(I$160,I254)-Q254)</f>
        <v>0</v>
      </c>
      <c r="Z254" s="36">
        <f>IF(J254-MIN(J$160,J254)-R254&lt;0.005,0,J254-MIN(J$160,J254)-R254)</f>
        <v>0</v>
      </c>
      <c r="AA254" s="36">
        <f>IF(K254-MIN(K$160,K254)-S254&lt;0.005,0,K254-MIN(K$160,K254)-S254)</f>
        <v>0</v>
      </c>
      <c r="AB254" s="36">
        <f>IF(L254-MIN(L$160,L254)-T254&lt;0.005,0,L254-MIN(L$160,L254)-T254)</f>
        <v>0</v>
      </c>
      <c r="AC254" s="36">
        <f>SUM(U254:AB254)</f>
        <v>0</v>
      </c>
      <c r="AD254" s="36">
        <f>D254+SUM(M254:T254)</f>
        <v>0</v>
      </c>
    </row>
    <row r="255">
      <c r="B255" s="40" t="n">
        <v>91</v>
      </c>
      <c r="C255" s="36">
        <f>MAX(0,Sim_SomaParc+N(Sim_Extra)-D255)</f>
        <v>2790</v>
      </c>
      <c r="D255" s="36">
        <f>MIN(E$160,E255)+MIN(F$160,F255)+MIN(G$160,G255)+MIN(H$160,H255)+MIN(I$160,I255)+MIN(J$160,J255)+MIN(K$160,K255)+MIN(L$160,L255)</f>
        <v>0</v>
      </c>
      <c r="E255" s="36">
        <f>U254*(1+E$159)</f>
        <v>0</v>
      </c>
      <c r="F255" s="36">
        <f>V254*(1+F$159)</f>
        <v>0</v>
      </c>
      <c r="G255" s="36">
        <f>W254*(1+G$159)</f>
        <v>0</v>
      </c>
      <c r="H255" s="36">
        <f>X254*(1+H$159)</f>
        <v>0</v>
      </c>
      <c r="I255" s="36">
        <f>Y254*(1+I$159)</f>
        <v>0</v>
      </c>
      <c r="J255" s="36">
        <f>Z254*(1+J$159)</f>
        <v>0</v>
      </c>
      <c r="K255" s="36">
        <f>AA254*(1+K$159)</f>
        <v>0</v>
      </c>
      <c r="L255" s="36">
        <f>AB254*(1+L$159)</f>
        <v>0</v>
      </c>
      <c r="M255" s="36">
        <f>MIN(E255-MIN(E$160,E255),MAX(0,$C255-0))</f>
        <v>0</v>
      </c>
      <c r="N255" s="36">
        <f>MIN(F255-MIN(F$160,F255),MAX(0,$C255-SUM($M255:M255)))</f>
        <v>0</v>
      </c>
      <c r="O255" s="36">
        <f>MIN(G255-MIN(G$160,G255),MAX(0,$C255-SUM($M255:N255)))</f>
        <v>0</v>
      </c>
      <c r="P255" s="36">
        <f>MIN(H255-MIN(H$160,H255),MAX(0,$C255-SUM($M255:O255)))</f>
        <v>0</v>
      </c>
      <c r="Q255" s="36">
        <f>MIN(I255-MIN(I$160,I255),MAX(0,$C255-SUM($M255:P255)))</f>
        <v>0</v>
      </c>
      <c r="R255" s="36">
        <f>MIN(J255-MIN(J$160,J255),MAX(0,$C255-SUM($M255:Q255)))</f>
        <v>0</v>
      </c>
      <c r="S255" s="36">
        <f>MIN(K255-MIN(K$160,K255),MAX(0,$C255-SUM($M255:R255)))</f>
        <v>0</v>
      </c>
      <c r="T255" s="36">
        <f>MIN(L255-MIN(L$160,L255),MAX(0,$C255-SUM($M255:S255)))</f>
        <v>0</v>
      </c>
      <c r="U255" s="36">
        <f>IF(E255-MIN(E$160,E255)-M255&lt;0.005,0,E255-MIN(E$160,E255)-M255)</f>
        <v>0</v>
      </c>
      <c r="V255" s="36">
        <f>IF(F255-MIN(F$160,F255)-N255&lt;0.005,0,F255-MIN(F$160,F255)-N255)</f>
        <v>0</v>
      </c>
      <c r="W255" s="36">
        <f>IF(G255-MIN(G$160,G255)-O255&lt;0.005,0,G255-MIN(G$160,G255)-O255)</f>
        <v>0</v>
      </c>
      <c r="X255" s="36">
        <f>IF(H255-MIN(H$160,H255)-P255&lt;0.005,0,H255-MIN(H$160,H255)-P255)</f>
        <v>0</v>
      </c>
      <c r="Y255" s="36">
        <f>IF(I255-MIN(I$160,I255)-Q255&lt;0.005,0,I255-MIN(I$160,I255)-Q255)</f>
        <v>0</v>
      </c>
      <c r="Z255" s="36">
        <f>IF(J255-MIN(J$160,J255)-R255&lt;0.005,0,J255-MIN(J$160,J255)-R255)</f>
        <v>0</v>
      </c>
      <c r="AA255" s="36">
        <f>IF(K255-MIN(K$160,K255)-S255&lt;0.005,0,K255-MIN(K$160,K255)-S255)</f>
        <v>0</v>
      </c>
      <c r="AB255" s="36">
        <f>IF(L255-MIN(L$160,L255)-T255&lt;0.005,0,L255-MIN(L$160,L255)-T255)</f>
        <v>0</v>
      </c>
      <c r="AC255" s="36">
        <f>SUM(U255:AB255)</f>
        <v>0</v>
      </c>
      <c r="AD255" s="36">
        <f>D255+SUM(M255:T255)</f>
        <v>0</v>
      </c>
    </row>
    <row r="256">
      <c r="B256" s="40" t="n">
        <v>92</v>
      </c>
      <c r="C256" s="36">
        <f>MAX(0,Sim_SomaParc+N(Sim_Extra)-D256)</f>
        <v>2790</v>
      </c>
      <c r="D256" s="36">
        <f>MIN(E$160,E256)+MIN(F$160,F256)+MIN(G$160,G256)+MIN(H$160,H256)+MIN(I$160,I256)+MIN(J$160,J256)+MIN(K$160,K256)+MIN(L$160,L256)</f>
        <v>0</v>
      </c>
      <c r="E256" s="36">
        <f>U255*(1+E$159)</f>
        <v>0</v>
      </c>
      <c r="F256" s="36">
        <f>V255*(1+F$159)</f>
        <v>0</v>
      </c>
      <c r="G256" s="36">
        <f>W255*(1+G$159)</f>
        <v>0</v>
      </c>
      <c r="H256" s="36">
        <f>X255*(1+H$159)</f>
        <v>0</v>
      </c>
      <c r="I256" s="36">
        <f>Y255*(1+I$159)</f>
        <v>0</v>
      </c>
      <c r="J256" s="36">
        <f>Z255*(1+J$159)</f>
        <v>0</v>
      </c>
      <c r="K256" s="36">
        <f>AA255*(1+K$159)</f>
        <v>0</v>
      </c>
      <c r="L256" s="36">
        <f>AB255*(1+L$159)</f>
        <v>0</v>
      </c>
      <c r="M256" s="36">
        <f>MIN(E256-MIN(E$160,E256),MAX(0,$C256-0))</f>
        <v>0</v>
      </c>
      <c r="N256" s="36">
        <f>MIN(F256-MIN(F$160,F256),MAX(0,$C256-SUM($M256:M256)))</f>
        <v>0</v>
      </c>
      <c r="O256" s="36">
        <f>MIN(G256-MIN(G$160,G256),MAX(0,$C256-SUM($M256:N256)))</f>
        <v>0</v>
      </c>
      <c r="P256" s="36">
        <f>MIN(H256-MIN(H$160,H256),MAX(0,$C256-SUM($M256:O256)))</f>
        <v>0</v>
      </c>
      <c r="Q256" s="36">
        <f>MIN(I256-MIN(I$160,I256),MAX(0,$C256-SUM($M256:P256)))</f>
        <v>0</v>
      </c>
      <c r="R256" s="36">
        <f>MIN(J256-MIN(J$160,J256),MAX(0,$C256-SUM($M256:Q256)))</f>
        <v>0</v>
      </c>
      <c r="S256" s="36">
        <f>MIN(K256-MIN(K$160,K256),MAX(0,$C256-SUM($M256:R256)))</f>
        <v>0</v>
      </c>
      <c r="T256" s="36">
        <f>MIN(L256-MIN(L$160,L256),MAX(0,$C256-SUM($M256:S256)))</f>
        <v>0</v>
      </c>
      <c r="U256" s="36">
        <f>IF(E256-MIN(E$160,E256)-M256&lt;0.005,0,E256-MIN(E$160,E256)-M256)</f>
        <v>0</v>
      </c>
      <c r="V256" s="36">
        <f>IF(F256-MIN(F$160,F256)-N256&lt;0.005,0,F256-MIN(F$160,F256)-N256)</f>
        <v>0</v>
      </c>
      <c r="W256" s="36">
        <f>IF(G256-MIN(G$160,G256)-O256&lt;0.005,0,G256-MIN(G$160,G256)-O256)</f>
        <v>0</v>
      </c>
      <c r="X256" s="36">
        <f>IF(H256-MIN(H$160,H256)-P256&lt;0.005,0,H256-MIN(H$160,H256)-P256)</f>
        <v>0</v>
      </c>
      <c r="Y256" s="36">
        <f>IF(I256-MIN(I$160,I256)-Q256&lt;0.005,0,I256-MIN(I$160,I256)-Q256)</f>
        <v>0</v>
      </c>
      <c r="Z256" s="36">
        <f>IF(J256-MIN(J$160,J256)-R256&lt;0.005,0,J256-MIN(J$160,J256)-R256)</f>
        <v>0</v>
      </c>
      <c r="AA256" s="36">
        <f>IF(K256-MIN(K$160,K256)-S256&lt;0.005,0,K256-MIN(K$160,K256)-S256)</f>
        <v>0</v>
      </c>
      <c r="AB256" s="36">
        <f>IF(L256-MIN(L$160,L256)-T256&lt;0.005,0,L256-MIN(L$160,L256)-T256)</f>
        <v>0</v>
      </c>
      <c r="AC256" s="36">
        <f>SUM(U256:AB256)</f>
        <v>0</v>
      </c>
      <c r="AD256" s="36">
        <f>D256+SUM(M256:T256)</f>
        <v>0</v>
      </c>
    </row>
    <row r="257">
      <c r="B257" s="40" t="n">
        <v>93</v>
      </c>
      <c r="C257" s="36">
        <f>MAX(0,Sim_SomaParc+N(Sim_Extra)-D257)</f>
        <v>2790</v>
      </c>
      <c r="D257" s="36">
        <f>MIN(E$160,E257)+MIN(F$160,F257)+MIN(G$160,G257)+MIN(H$160,H257)+MIN(I$160,I257)+MIN(J$160,J257)+MIN(K$160,K257)+MIN(L$160,L257)</f>
        <v>0</v>
      </c>
      <c r="E257" s="36">
        <f>U256*(1+E$159)</f>
        <v>0</v>
      </c>
      <c r="F257" s="36">
        <f>V256*(1+F$159)</f>
        <v>0</v>
      </c>
      <c r="G257" s="36">
        <f>W256*(1+G$159)</f>
        <v>0</v>
      </c>
      <c r="H257" s="36">
        <f>X256*(1+H$159)</f>
        <v>0</v>
      </c>
      <c r="I257" s="36">
        <f>Y256*(1+I$159)</f>
        <v>0</v>
      </c>
      <c r="J257" s="36">
        <f>Z256*(1+J$159)</f>
        <v>0</v>
      </c>
      <c r="K257" s="36">
        <f>AA256*(1+K$159)</f>
        <v>0</v>
      </c>
      <c r="L257" s="36">
        <f>AB256*(1+L$159)</f>
        <v>0</v>
      </c>
      <c r="M257" s="36">
        <f>MIN(E257-MIN(E$160,E257),MAX(0,$C257-0))</f>
        <v>0</v>
      </c>
      <c r="N257" s="36">
        <f>MIN(F257-MIN(F$160,F257),MAX(0,$C257-SUM($M257:M257)))</f>
        <v>0</v>
      </c>
      <c r="O257" s="36">
        <f>MIN(G257-MIN(G$160,G257),MAX(0,$C257-SUM($M257:N257)))</f>
        <v>0</v>
      </c>
      <c r="P257" s="36">
        <f>MIN(H257-MIN(H$160,H257),MAX(0,$C257-SUM($M257:O257)))</f>
        <v>0</v>
      </c>
      <c r="Q257" s="36">
        <f>MIN(I257-MIN(I$160,I257),MAX(0,$C257-SUM($M257:P257)))</f>
        <v>0</v>
      </c>
      <c r="R257" s="36">
        <f>MIN(J257-MIN(J$160,J257),MAX(0,$C257-SUM($M257:Q257)))</f>
        <v>0</v>
      </c>
      <c r="S257" s="36">
        <f>MIN(K257-MIN(K$160,K257),MAX(0,$C257-SUM($M257:R257)))</f>
        <v>0</v>
      </c>
      <c r="T257" s="36">
        <f>MIN(L257-MIN(L$160,L257),MAX(0,$C257-SUM($M257:S257)))</f>
        <v>0</v>
      </c>
      <c r="U257" s="36">
        <f>IF(E257-MIN(E$160,E257)-M257&lt;0.005,0,E257-MIN(E$160,E257)-M257)</f>
        <v>0</v>
      </c>
      <c r="V257" s="36">
        <f>IF(F257-MIN(F$160,F257)-N257&lt;0.005,0,F257-MIN(F$160,F257)-N257)</f>
        <v>0</v>
      </c>
      <c r="W257" s="36">
        <f>IF(G257-MIN(G$160,G257)-O257&lt;0.005,0,G257-MIN(G$160,G257)-O257)</f>
        <v>0</v>
      </c>
      <c r="X257" s="36">
        <f>IF(H257-MIN(H$160,H257)-P257&lt;0.005,0,H257-MIN(H$160,H257)-P257)</f>
        <v>0</v>
      </c>
      <c r="Y257" s="36">
        <f>IF(I257-MIN(I$160,I257)-Q257&lt;0.005,0,I257-MIN(I$160,I257)-Q257)</f>
        <v>0</v>
      </c>
      <c r="Z257" s="36">
        <f>IF(J257-MIN(J$160,J257)-R257&lt;0.005,0,J257-MIN(J$160,J257)-R257)</f>
        <v>0</v>
      </c>
      <c r="AA257" s="36">
        <f>IF(K257-MIN(K$160,K257)-S257&lt;0.005,0,K257-MIN(K$160,K257)-S257)</f>
        <v>0</v>
      </c>
      <c r="AB257" s="36">
        <f>IF(L257-MIN(L$160,L257)-T257&lt;0.005,0,L257-MIN(L$160,L257)-T257)</f>
        <v>0</v>
      </c>
      <c r="AC257" s="36">
        <f>SUM(U257:AB257)</f>
        <v>0</v>
      </c>
      <c r="AD257" s="36">
        <f>D257+SUM(M257:T257)</f>
        <v>0</v>
      </c>
    </row>
    <row r="258">
      <c r="B258" s="40" t="n">
        <v>94</v>
      </c>
      <c r="C258" s="36">
        <f>MAX(0,Sim_SomaParc+N(Sim_Extra)-D258)</f>
        <v>2790</v>
      </c>
      <c r="D258" s="36">
        <f>MIN(E$160,E258)+MIN(F$160,F258)+MIN(G$160,G258)+MIN(H$160,H258)+MIN(I$160,I258)+MIN(J$160,J258)+MIN(K$160,K258)+MIN(L$160,L258)</f>
        <v>0</v>
      </c>
      <c r="E258" s="36">
        <f>U257*(1+E$159)</f>
        <v>0</v>
      </c>
      <c r="F258" s="36">
        <f>V257*(1+F$159)</f>
        <v>0</v>
      </c>
      <c r="G258" s="36">
        <f>W257*(1+G$159)</f>
        <v>0</v>
      </c>
      <c r="H258" s="36">
        <f>X257*(1+H$159)</f>
        <v>0</v>
      </c>
      <c r="I258" s="36">
        <f>Y257*(1+I$159)</f>
        <v>0</v>
      </c>
      <c r="J258" s="36">
        <f>Z257*(1+J$159)</f>
        <v>0</v>
      </c>
      <c r="K258" s="36">
        <f>AA257*(1+K$159)</f>
        <v>0</v>
      </c>
      <c r="L258" s="36">
        <f>AB257*(1+L$159)</f>
        <v>0</v>
      </c>
      <c r="M258" s="36">
        <f>MIN(E258-MIN(E$160,E258),MAX(0,$C258-0))</f>
        <v>0</v>
      </c>
      <c r="N258" s="36">
        <f>MIN(F258-MIN(F$160,F258),MAX(0,$C258-SUM($M258:M258)))</f>
        <v>0</v>
      </c>
      <c r="O258" s="36">
        <f>MIN(G258-MIN(G$160,G258),MAX(0,$C258-SUM($M258:N258)))</f>
        <v>0</v>
      </c>
      <c r="P258" s="36">
        <f>MIN(H258-MIN(H$160,H258),MAX(0,$C258-SUM($M258:O258)))</f>
        <v>0</v>
      </c>
      <c r="Q258" s="36">
        <f>MIN(I258-MIN(I$160,I258),MAX(0,$C258-SUM($M258:P258)))</f>
        <v>0</v>
      </c>
      <c r="R258" s="36">
        <f>MIN(J258-MIN(J$160,J258),MAX(0,$C258-SUM($M258:Q258)))</f>
        <v>0</v>
      </c>
      <c r="S258" s="36">
        <f>MIN(K258-MIN(K$160,K258),MAX(0,$C258-SUM($M258:R258)))</f>
        <v>0</v>
      </c>
      <c r="T258" s="36">
        <f>MIN(L258-MIN(L$160,L258),MAX(0,$C258-SUM($M258:S258)))</f>
        <v>0</v>
      </c>
      <c r="U258" s="36">
        <f>IF(E258-MIN(E$160,E258)-M258&lt;0.005,0,E258-MIN(E$160,E258)-M258)</f>
        <v>0</v>
      </c>
      <c r="V258" s="36">
        <f>IF(F258-MIN(F$160,F258)-N258&lt;0.005,0,F258-MIN(F$160,F258)-N258)</f>
        <v>0</v>
      </c>
      <c r="W258" s="36">
        <f>IF(G258-MIN(G$160,G258)-O258&lt;0.005,0,G258-MIN(G$160,G258)-O258)</f>
        <v>0</v>
      </c>
      <c r="X258" s="36">
        <f>IF(H258-MIN(H$160,H258)-P258&lt;0.005,0,H258-MIN(H$160,H258)-P258)</f>
        <v>0</v>
      </c>
      <c r="Y258" s="36">
        <f>IF(I258-MIN(I$160,I258)-Q258&lt;0.005,0,I258-MIN(I$160,I258)-Q258)</f>
        <v>0</v>
      </c>
      <c r="Z258" s="36">
        <f>IF(J258-MIN(J$160,J258)-R258&lt;0.005,0,J258-MIN(J$160,J258)-R258)</f>
        <v>0</v>
      </c>
      <c r="AA258" s="36">
        <f>IF(K258-MIN(K$160,K258)-S258&lt;0.005,0,K258-MIN(K$160,K258)-S258)</f>
        <v>0</v>
      </c>
      <c r="AB258" s="36">
        <f>IF(L258-MIN(L$160,L258)-T258&lt;0.005,0,L258-MIN(L$160,L258)-T258)</f>
        <v>0</v>
      </c>
      <c r="AC258" s="36">
        <f>SUM(U258:AB258)</f>
        <v>0</v>
      </c>
      <c r="AD258" s="36">
        <f>D258+SUM(M258:T258)</f>
        <v>0</v>
      </c>
    </row>
    <row r="259">
      <c r="B259" s="40" t="n">
        <v>95</v>
      </c>
      <c r="C259" s="36">
        <f>MAX(0,Sim_SomaParc+N(Sim_Extra)-D259)</f>
        <v>2790</v>
      </c>
      <c r="D259" s="36">
        <f>MIN(E$160,E259)+MIN(F$160,F259)+MIN(G$160,G259)+MIN(H$160,H259)+MIN(I$160,I259)+MIN(J$160,J259)+MIN(K$160,K259)+MIN(L$160,L259)</f>
        <v>0</v>
      </c>
      <c r="E259" s="36">
        <f>U258*(1+E$159)</f>
        <v>0</v>
      </c>
      <c r="F259" s="36">
        <f>V258*(1+F$159)</f>
        <v>0</v>
      </c>
      <c r="G259" s="36">
        <f>W258*(1+G$159)</f>
        <v>0</v>
      </c>
      <c r="H259" s="36">
        <f>X258*(1+H$159)</f>
        <v>0</v>
      </c>
      <c r="I259" s="36">
        <f>Y258*(1+I$159)</f>
        <v>0</v>
      </c>
      <c r="J259" s="36">
        <f>Z258*(1+J$159)</f>
        <v>0</v>
      </c>
      <c r="K259" s="36">
        <f>AA258*(1+K$159)</f>
        <v>0</v>
      </c>
      <c r="L259" s="36">
        <f>AB258*(1+L$159)</f>
        <v>0</v>
      </c>
      <c r="M259" s="36">
        <f>MIN(E259-MIN(E$160,E259),MAX(0,$C259-0))</f>
        <v>0</v>
      </c>
      <c r="N259" s="36">
        <f>MIN(F259-MIN(F$160,F259),MAX(0,$C259-SUM($M259:M259)))</f>
        <v>0</v>
      </c>
      <c r="O259" s="36">
        <f>MIN(G259-MIN(G$160,G259),MAX(0,$C259-SUM($M259:N259)))</f>
        <v>0</v>
      </c>
      <c r="P259" s="36">
        <f>MIN(H259-MIN(H$160,H259),MAX(0,$C259-SUM($M259:O259)))</f>
        <v>0</v>
      </c>
      <c r="Q259" s="36">
        <f>MIN(I259-MIN(I$160,I259),MAX(0,$C259-SUM($M259:P259)))</f>
        <v>0</v>
      </c>
      <c r="R259" s="36">
        <f>MIN(J259-MIN(J$160,J259),MAX(0,$C259-SUM($M259:Q259)))</f>
        <v>0</v>
      </c>
      <c r="S259" s="36">
        <f>MIN(K259-MIN(K$160,K259),MAX(0,$C259-SUM($M259:R259)))</f>
        <v>0</v>
      </c>
      <c r="T259" s="36">
        <f>MIN(L259-MIN(L$160,L259),MAX(0,$C259-SUM($M259:S259)))</f>
        <v>0</v>
      </c>
      <c r="U259" s="36">
        <f>IF(E259-MIN(E$160,E259)-M259&lt;0.005,0,E259-MIN(E$160,E259)-M259)</f>
        <v>0</v>
      </c>
      <c r="V259" s="36">
        <f>IF(F259-MIN(F$160,F259)-N259&lt;0.005,0,F259-MIN(F$160,F259)-N259)</f>
        <v>0</v>
      </c>
      <c r="W259" s="36">
        <f>IF(G259-MIN(G$160,G259)-O259&lt;0.005,0,G259-MIN(G$160,G259)-O259)</f>
        <v>0</v>
      </c>
      <c r="X259" s="36">
        <f>IF(H259-MIN(H$160,H259)-P259&lt;0.005,0,H259-MIN(H$160,H259)-P259)</f>
        <v>0</v>
      </c>
      <c r="Y259" s="36">
        <f>IF(I259-MIN(I$160,I259)-Q259&lt;0.005,0,I259-MIN(I$160,I259)-Q259)</f>
        <v>0</v>
      </c>
      <c r="Z259" s="36">
        <f>IF(J259-MIN(J$160,J259)-R259&lt;0.005,0,J259-MIN(J$160,J259)-R259)</f>
        <v>0</v>
      </c>
      <c r="AA259" s="36">
        <f>IF(K259-MIN(K$160,K259)-S259&lt;0.005,0,K259-MIN(K$160,K259)-S259)</f>
        <v>0</v>
      </c>
      <c r="AB259" s="36">
        <f>IF(L259-MIN(L$160,L259)-T259&lt;0.005,0,L259-MIN(L$160,L259)-T259)</f>
        <v>0</v>
      </c>
      <c r="AC259" s="36">
        <f>SUM(U259:AB259)</f>
        <v>0</v>
      </c>
      <c r="AD259" s="36">
        <f>D259+SUM(M259:T259)</f>
        <v>0</v>
      </c>
    </row>
    <row r="260">
      <c r="B260" s="40" t="n">
        <v>96</v>
      </c>
      <c r="C260" s="36">
        <f>MAX(0,Sim_SomaParc+N(Sim_Extra)-D260)</f>
        <v>2790</v>
      </c>
      <c r="D260" s="36">
        <f>MIN(E$160,E260)+MIN(F$160,F260)+MIN(G$160,G260)+MIN(H$160,H260)+MIN(I$160,I260)+MIN(J$160,J260)+MIN(K$160,K260)+MIN(L$160,L260)</f>
        <v>0</v>
      </c>
      <c r="E260" s="36">
        <f>U259*(1+E$159)</f>
        <v>0</v>
      </c>
      <c r="F260" s="36">
        <f>V259*(1+F$159)</f>
        <v>0</v>
      </c>
      <c r="G260" s="36">
        <f>W259*(1+G$159)</f>
        <v>0</v>
      </c>
      <c r="H260" s="36">
        <f>X259*(1+H$159)</f>
        <v>0</v>
      </c>
      <c r="I260" s="36">
        <f>Y259*(1+I$159)</f>
        <v>0</v>
      </c>
      <c r="J260" s="36">
        <f>Z259*(1+J$159)</f>
        <v>0</v>
      </c>
      <c r="K260" s="36">
        <f>AA259*(1+K$159)</f>
        <v>0</v>
      </c>
      <c r="L260" s="36">
        <f>AB259*(1+L$159)</f>
        <v>0</v>
      </c>
      <c r="M260" s="36">
        <f>MIN(E260-MIN(E$160,E260),MAX(0,$C260-0))</f>
        <v>0</v>
      </c>
      <c r="N260" s="36">
        <f>MIN(F260-MIN(F$160,F260),MAX(0,$C260-SUM($M260:M260)))</f>
        <v>0</v>
      </c>
      <c r="O260" s="36">
        <f>MIN(G260-MIN(G$160,G260),MAX(0,$C260-SUM($M260:N260)))</f>
        <v>0</v>
      </c>
      <c r="P260" s="36">
        <f>MIN(H260-MIN(H$160,H260),MAX(0,$C260-SUM($M260:O260)))</f>
        <v>0</v>
      </c>
      <c r="Q260" s="36">
        <f>MIN(I260-MIN(I$160,I260),MAX(0,$C260-SUM($M260:P260)))</f>
        <v>0</v>
      </c>
      <c r="R260" s="36">
        <f>MIN(J260-MIN(J$160,J260),MAX(0,$C260-SUM($M260:Q260)))</f>
        <v>0</v>
      </c>
      <c r="S260" s="36">
        <f>MIN(K260-MIN(K$160,K260),MAX(0,$C260-SUM($M260:R260)))</f>
        <v>0</v>
      </c>
      <c r="T260" s="36">
        <f>MIN(L260-MIN(L$160,L260),MAX(0,$C260-SUM($M260:S260)))</f>
        <v>0</v>
      </c>
      <c r="U260" s="36">
        <f>IF(E260-MIN(E$160,E260)-M260&lt;0.005,0,E260-MIN(E$160,E260)-M260)</f>
        <v>0</v>
      </c>
      <c r="V260" s="36">
        <f>IF(F260-MIN(F$160,F260)-N260&lt;0.005,0,F260-MIN(F$160,F260)-N260)</f>
        <v>0</v>
      </c>
      <c r="W260" s="36">
        <f>IF(G260-MIN(G$160,G260)-O260&lt;0.005,0,G260-MIN(G$160,G260)-O260)</f>
        <v>0</v>
      </c>
      <c r="X260" s="36">
        <f>IF(H260-MIN(H$160,H260)-P260&lt;0.005,0,H260-MIN(H$160,H260)-P260)</f>
        <v>0</v>
      </c>
      <c r="Y260" s="36">
        <f>IF(I260-MIN(I$160,I260)-Q260&lt;0.005,0,I260-MIN(I$160,I260)-Q260)</f>
        <v>0</v>
      </c>
      <c r="Z260" s="36">
        <f>IF(J260-MIN(J$160,J260)-R260&lt;0.005,0,J260-MIN(J$160,J260)-R260)</f>
        <v>0</v>
      </c>
      <c r="AA260" s="36">
        <f>IF(K260-MIN(K$160,K260)-S260&lt;0.005,0,K260-MIN(K$160,K260)-S260)</f>
        <v>0</v>
      </c>
      <c r="AB260" s="36">
        <f>IF(L260-MIN(L$160,L260)-T260&lt;0.005,0,L260-MIN(L$160,L260)-T260)</f>
        <v>0</v>
      </c>
      <c r="AC260" s="36">
        <f>SUM(U260:AB260)</f>
        <v>0</v>
      </c>
      <c r="AD260" s="36">
        <f>D260+SUM(M260:T260)</f>
        <v>0</v>
      </c>
    </row>
    <row r="261">
      <c r="B261" s="40" t="n">
        <v>97</v>
      </c>
      <c r="C261" s="36">
        <f>MAX(0,Sim_SomaParc+N(Sim_Extra)-D261)</f>
        <v>2790</v>
      </c>
      <c r="D261" s="36">
        <f>MIN(E$160,E261)+MIN(F$160,F261)+MIN(G$160,G261)+MIN(H$160,H261)+MIN(I$160,I261)+MIN(J$160,J261)+MIN(K$160,K261)+MIN(L$160,L261)</f>
        <v>0</v>
      </c>
      <c r="E261" s="36">
        <f>U260*(1+E$159)</f>
        <v>0</v>
      </c>
      <c r="F261" s="36">
        <f>V260*(1+F$159)</f>
        <v>0</v>
      </c>
      <c r="G261" s="36">
        <f>W260*(1+G$159)</f>
        <v>0</v>
      </c>
      <c r="H261" s="36">
        <f>X260*(1+H$159)</f>
        <v>0</v>
      </c>
      <c r="I261" s="36">
        <f>Y260*(1+I$159)</f>
        <v>0</v>
      </c>
      <c r="J261" s="36">
        <f>Z260*(1+J$159)</f>
        <v>0</v>
      </c>
      <c r="K261" s="36">
        <f>AA260*(1+K$159)</f>
        <v>0</v>
      </c>
      <c r="L261" s="36">
        <f>AB260*(1+L$159)</f>
        <v>0</v>
      </c>
      <c r="M261" s="36">
        <f>MIN(E261-MIN(E$160,E261),MAX(0,$C261-0))</f>
        <v>0</v>
      </c>
      <c r="N261" s="36">
        <f>MIN(F261-MIN(F$160,F261),MAX(0,$C261-SUM($M261:M261)))</f>
        <v>0</v>
      </c>
      <c r="O261" s="36">
        <f>MIN(G261-MIN(G$160,G261),MAX(0,$C261-SUM($M261:N261)))</f>
        <v>0</v>
      </c>
      <c r="P261" s="36">
        <f>MIN(H261-MIN(H$160,H261),MAX(0,$C261-SUM($M261:O261)))</f>
        <v>0</v>
      </c>
      <c r="Q261" s="36">
        <f>MIN(I261-MIN(I$160,I261),MAX(0,$C261-SUM($M261:P261)))</f>
        <v>0</v>
      </c>
      <c r="R261" s="36">
        <f>MIN(J261-MIN(J$160,J261),MAX(0,$C261-SUM($M261:Q261)))</f>
        <v>0</v>
      </c>
      <c r="S261" s="36">
        <f>MIN(K261-MIN(K$160,K261),MAX(0,$C261-SUM($M261:R261)))</f>
        <v>0</v>
      </c>
      <c r="T261" s="36">
        <f>MIN(L261-MIN(L$160,L261),MAX(0,$C261-SUM($M261:S261)))</f>
        <v>0</v>
      </c>
      <c r="U261" s="36">
        <f>IF(E261-MIN(E$160,E261)-M261&lt;0.005,0,E261-MIN(E$160,E261)-M261)</f>
        <v>0</v>
      </c>
      <c r="V261" s="36">
        <f>IF(F261-MIN(F$160,F261)-N261&lt;0.005,0,F261-MIN(F$160,F261)-N261)</f>
        <v>0</v>
      </c>
      <c r="W261" s="36">
        <f>IF(G261-MIN(G$160,G261)-O261&lt;0.005,0,G261-MIN(G$160,G261)-O261)</f>
        <v>0</v>
      </c>
      <c r="X261" s="36">
        <f>IF(H261-MIN(H$160,H261)-P261&lt;0.005,0,H261-MIN(H$160,H261)-P261)</f>
        <v>0</v>
      </c>
      <c r="Y261" s="36">
        <f>IF(I261-MIN(I$160,I261)-Q261&lt;0.005,0,I261-MIN(I$160,I261)-Q261)</f>
        <v>0</v>
      </c>
      <c r="Z261" s="36">
        <f>IF(J261-MIN(J$160,J261)-R261&lt;0.005,0,J261-MIN(J$160,J261)-R261)</f>
        <v>0</v>
      </c>
      <c r="AA261" s="36">
        <f>IF(K261-MIN(K$160,K261)-S261&lt;0.005,0,K261-MIN(K$160,K261)-S261)</f>
        <v>0</v>
      </c>
      <c r="AB261" s="36">
        <f>IF(L261-MIN(L$160,L261)-T261&lt;0.005,0,L261-MIN(L$160,L261)-T261)</f>
        <v>0</v>
      </c>
      <c r="AC261" s="36">
        <f>SUM(U261:AB261)</f>
        <v>0</v>
      </c>
      <c r="AD261" s="36">
        <f>D261+SUM(M261:T261)</f>
        <v>0</v>
      </c>
    </row>
    <row r="262">
      <c r="B262" s="40" t="n">
        <v>98</v>
      </c>
      <c r="C262" s="36">
        <f>MAX(0,Sim_SomaParc+N(Sim_Extra)-D262)</f>
        <v>2790</v>
      </c>
      <c r="D262" s="36">
        <f>MIN(E$160,E262)+MIN(F$160,F262)+MIN(G$160,G262)+MIN(H$160,H262)+MIN(I$160,I262)+MIN(J$160,J262)+MIN(K$160,K262)+MIN(L$160,L262)</f>
        <v>0</v>
      </c>
      <c r="E262" s="36">
        <f>U261*(1+E$159)</f>
        <v>0</v>
      </c>
      <c r="F262" s="36">
        <f>V261*(1+F$159)</f>
        <v>0</v>
      </c>
      <c r="G262" s="36">
        <f>W261*(1+G$159)</f>
        <v>0</v>
      </c>
      <c r="H262" s="36">
        <f>X261*(1+H$159)</f>
        <v>0</v>
      </c>
      <c r="I262" s="36">
        <f>Y261*(1+I$159)</f>
        <v>0</v>
      </c>
      <c r="J262" s="36">
        <f>Z261*(1+J$159)</f>
        <v>0</v>
      </c>
      <c r="K262" s="36">
        <f>AA261*(1+K$159)</f>
        <v>0</v>
      </c>
      <c r="L262" s="36">
        <f>AB261*(1+L$159)</f>
        <v>0</v>
      </c>
      <c r="M262" s="36">
        <f>MIN(E262-MIN(E$160,E262),MAX(0,$C262-0))</f>
        <v>0</v>
      </c>
      <c r="N262" s="36">
        <f>MIN(F262-MIN(F$160,F262),MAX(0,$C262-SUM($M262:M262)))</f>
        <v>0</v>
      </c>
      <c r="O262" s="36">
        <f>MIN(G262-MIN(G$160,G262),MAX(0,$C262-SUM($M262:N262)))</f>
        <v>0</v>
      </c>
      <c r="P262" s="36">
        <f>MIN(H262-MIN(H$160,H262),MAX(0,$C262-SUM($M262:O262)))</f>
        <v>0</v>
      </c>
      <c r="Q262" s="36">
        <f>MIN(I262-MIN(I$160,I262),MAX(0,$C262-SUM($M262:P262)))</f>
        <v>0</v>
      </c>
      <c r="R262" s="36">
        <f>MIN(J262-MIN(J$160,J262),MAX(0,$C262-SUM($M262:Q262)))</f>
        <v>0</v>
      </c>
      <c r="S262" s="36">
        <f>MIN(K262-MIN(K$160,K262),MAX(0,$C262-SUM($M262:R262)))</f>
        <v>0</v>
      </c>
      <c r="T262" s="36">
        <f>MIN(L262-MIN(L$160,L262),MAX(0,$C262-SUM($M262:S262)))</f>
        <v>0</v>
      </c>
      <c r="U262" s="36">
        <f>IF(E262-MIN(E$160,E262)-M262&lt;0.005,0,E262-MIN(E$160,E262)-M262)</f>
        <v>0</v>
      </c>
      <c r="V262" s="36">
        <f>IF(F262-MIN(F$160,F262)-N262&lt;0.005,0,F262-MIN(F$160,F262)-N262)</f>
        <v>0</v>
      </c>
      <c r="W262" s="36">
        <f>IF(G262-MIN(G$160,G262)-O262&lt;0.005,0,G262-MIN(G$160,G262)-O262)</f>
        <v>0</v>
      </c>
      <c r="X262" s="36">
        <f>IF(H262-MIN(H$160,H262)-P262&lt;0.005,0,H262-MIN(H$160,H262)-P262)</f>
        <v>0</v>
      </c>
      <c r="Y262" s="36">
        <f>IF(I262-MIN(I$160,I262)-Q262&lt;0.005,0,I262-MIN(I$160,I262)-Q262)</f>
        <v>0</v>
      </c>
      <c r="Z262" s="36">
        <f>IF(J262-MIN(J$160,J262)-R262&lt;0.005,0,J262-MIN(J$160,J262)-R262)</f>
        <v>0</v>
      </c>
      <c r="AA262" s="36">
        <f>IF(K262-MIN(K$160,K262)-S262&lt;0.005,0,K262-MIN(K$160,K262)-S262)</f>
        <v>0</v>
      </c>
      <c r="AB262" s="36">
        <f>IF(L262-MIN(L$160,L262)-T262&lt;0.005,0,L262-MIN(L$160,L262)-T262)</f>
        <v>0</v>
      </c>
      <c r="AC262" s="36">
        <f>SUM(U262:AB262)</f>
        <v>0</v>
      </c>
      <c r="AD262" s="36">
        <f>D262+SUM(M262:T262)</f>
        <v>0</v>
      </c>
    </row>
    <row r="263">
      <c r="B263" s="40" t="n">
        <v>99</v>
      </c>
      <c r="C263" s="36">
        <f>MAX(0,Sim_SomaParc+N(Sim_Extra)-D263)</f>
        <v>2790</v>
      </c>
      <c r="D263" s="36">
        <f>MIN(E$160,E263)+MIN(F$160,F263)+MIN(G$160,G263)+MIN(H$160,H263)+MIN(I$160,I263)+MIN(J$160,J263)+MIN(K$160,K263)+MIN(L$160,L263)</f>
        <v>0</v>
      </c>
      <c r="E263" s="36">
        <f>U262*(1+E$159)</f>
        <v>0</v>
      </c>
      <c r="F263" s="36">
        <f>V262*(1+F$159)</f>
        <v>0</v>
      </c>
      <c r="G263" s="36">
        <f>W262*(1+G$159)</f>
        <v>0</v>
      </c>
      <c r="H263" s="36">
        <f>X262*(1+H$159)</f>
        <v>0</v>
      </c>
      <c r="I263" s="36">
        <f>Y262*(1+I$159)</f>
        <v>0</v>
      </c>
      <c r="J263" s="36">
        <f>Z262*(1+J$159)</f>
        <v>0</v>
      </c>
      <c r="K263" s="36">
        <f>AA262*(1+K$159)</f>
        <v>0</v>
      </c>
      <c r="L263" s="36">
        <f>AB262*(1+L$159)</f>
        <v>0</v>
      </c>
      <c r="M263" s="36">
        <f>MIN(E263-MIN(E$160,E263),MAX(0,$C263-0))</f>
        <v>0</v>
      </c>
      <c r="N263" s="36">
        <f>MIN(F263-MIN(F$160,F263),MAX(0,$C263-SUM($M263:M263)))</f>
        <v>0</v>
      </c>
      <c r="O263" s="36">
        <f>MIN(G263-MIN(G$160,G263),MAX(0,$C263-SUM($M263:N263)))</f>
        <v>0</v>
      </c>
      <c r="P263" s="36">
        <f>MIN(H263-MIN(H$160,H263),MAX(0,$C263-SUM($M263:O263)))</f>
        <v>0</v>
      </c>
      <c r="Q263" s="36">
        <f>MIN(I263-MIN(I$160,I263),MAX(0,$C263-SUM($M263:P263)))</f>
        <v>0</v>
      </c>
      <c r="R263" s="36">
        <f>MIN(J263-MIN(J$160,J263),MAX(0,$C263-SUM($M263:Q263)))</f>
        <v>0</v>
      </c>
      <c r="S263" s="36">
        <f>MIN(K263-MIN(K$160,K263),MAX(0,$C263-SUM($M263:R263)))</f>
        <v>0</v>
      </c>
      <c r="T263" s="36">
        <f>MIN(L263-MIN(L$160,L263),MAX(0,$C263-SUM($M263:S263)))</f>
        <v>0</v>
      </c>
      <c r="U263" s="36">
        <f>IF(E263-MIN(E$160,E263)-M263&lt;0.005,0,E263-MIN(E$160,E263)-M263)</f>
        <v>0</v>
      </c>
      <c r="V263" s="36">
        <f>IF(F263-MIN(F$160,F263)-N263&lt;0.005,0,F263-MIN(F$160,F263)-N263)</f>
        <v>0</v>
      </c>
      <c r="W263" s="36">
        <f>IF(G263-MIN(G$160,G263)-O263&lt;0.005,0,G263-MIN(G$160,G263)-O263)</f>
        <v>0</v>
      </c>
      <c r="X263" s="36">
        <f>IF(H263-MIN(H$160,H263)-P263&lt;0.005,0,H263-MIN(H$160,H263)-P263)</f>
        <v>0</v>
      </c>
      <c r="Y263" s="36">
        <f>IF(I263-MIN(I$160,I263)-Q263&lt;0.005,0,I263-MIN(I$160,I263)-Q263)</f>
        <v>0</v>
      </c>
      <c r="Z263" s="36">
        <f>IF(J263-MIN(J$160,J263)-R263&lt;0.005,0,J263-MIN(J$160,J263)-R263)</f>
        <v>0</v>
      </c>
      <c r="AA263" s="36">
        <f>IF(K263-MIN(K$160,K263)-S263&lt;0.005,0,K263-MIN(K$160,K263)-S263)</f>
        <v>0</v>
      </c>
      <c r="AB263" s="36">
        <f>IF(L263-MIN(L$160,L263)-T263&lt;0.005,0,L263-MIN(L$160,L263)-T263)</f>
        <v>0</v>
      </c>
      <c r="AC263" s="36">
        <f>SUM(U263:AB263)</f>
        <v>0</v>
      </c>
      <c r="AD263" s="36">
        <f>D263+SUM(M263:T263)</f>
        <v>0</v>
      </c>
    </row>
    <row r="264">
      <c r="B264" s="40" t="n">
        <v>100</v>
      </c>
      <c r="C264" s="36">
        <f>MAX(0,Sim_SomaParc+N(Sim_Extra)-D264)</f>
        <v>2790</v>
      </c>
      <c r="D264" s="36">
        <f>MIN(E$160,E264)+MIN(F$160,F264)+MIN(G$160,G264)+MIN(H$160,H264)+MIN(I$160,I264)+MIN(J$160,J264)+MIN(K$160,K264)+MIN(L$160,L264)</f>
        <v>0</v>
      </c>
      <c r="E264" s="36">
        <f>U263*(1+E$159)</f>
        <v>0</v>
      </c>
      <c r="F264" s="36">
        <f>V263*(1+F$159)</f>
        <v>0</v>
      </c>
      <c r="G264" s="36">
        <f>W263*(1+G$159)</f>
        <v>0</v>
      </c>
      <c r="H264" s="36">
        <f>X263*(1+H$159)</f>
        <v>0</v>
      </c>
      <c r="I264" s="36">
        <f>Y263*(1+I$159)</f>
        <v>0</v>
      </c>
      <c r="J264" s="36">
        <f>Z263*(1+J$159)</f>
        <v>0</v>
      </c>
      <c r="K264" s="36">
        <f>AA263*(1+K$159)</f>
        <v>0</v>
      </c>
      <c r="L264" s="36">
        <f>AB263*(1+L$159)</f>
        <v>0</v>
      </c>
      <c r="M264" s="36">
        <f>MIN(E264-MIN(E$160,E264),MAX(0,$C264-0))</f>
        <v>0</v>
      </c>
      <c r="N264" s="36">
        <f>MIN(F264-MIN(F$160,F264),MAX(0,$C264-SUM($M264:M264)))</f>
        <v>0</v>
      </c>
      <c r="O264" s="36">
        <f>MIN(G264-MIN(G$160,G264),MAX(0,$C264-SUM($M264:N264)))</f>
        <v>0</v>
      </c>
      <c r="P264" s="36">
        <f>MIN(H264-MIN(H$160,H264),MAX(0,$C264-SUM($M264:O264)))</f>
        <v>0</v>
      </c>
      <c r="Q264" s="36">
        <f>MIN(I264-MIN(I$160,I264),MAX(0,$C264-SUM($M264:P264)))</f>
        <v>0</v>
      </c>
      <c r="R264" s="36">
        <f>MIN(J264-MIN(J$160,J264),MAX(0,$C264-SUM($M264:Q264)))</f>
        <v>0</v>
      </c>
      <c r="S264" s="36">
        <f>MIN(K264-MIN(K$160,K264),MAX(0,$C264-SUM($M264:R264)))</f>
        <v>0</v>
      </c>
      <c r="T264" s="36">
        <f>MIN(L264-MIN(L$160,L264),MAX(0,$C264-SUM($M264:S264)))</f>
        <v>0</v>
      </c>
      <c r="U264" s="36">
        <f>IF(E264-MIN(E$160,E264)-M264&lt;0.005,0,E264-MIN(E$160,E264)-M264)</f>
        <v>0</v>
      </c>
      <c r="V264" s="36">
        <f>IF(F264-MIN(F$160,F264)-N264&lt;0.005,0,F264-MIN(F$160,F264)-N264)</f>
        <v>0</v>
      </c>
      <c r="W264" s="36">
        <f>IF(G264-MIN(G$160,G264)-O264&lt;0.005,0,G264-MIN(G$160,G264)-O264)</f>
        <v>0</v>
      </c>
      <c r="X264" s="36">
        <f>IF(H264-MIN(H$160,H264)-P264&lt;0.005,0,H264-MIN(H$160,H264)-P264)</f>
        <v>0</v>
      </c>
      <c r="Y264" s="36">
        <f>IF(I264-MIN(I$160,I264)-Q264&lt;0.005,0,I264-MIN(I$160,I264)-Q264)</f>
        <v>0</v>
      </c>
      <c r="Z264" s="36">
        <f>IF(J264-MIN(J$160,J264)-R264&lt;0.005,0,J264-MIN(J$160,J264)-R264)</f>
        <v>0</v>
      </c>
      <c r="AA264" s="36">
        <f>IF(K264-MIN(K$160,K264)-S264&lt;0.005,0,K264-MIN(K$160,K264)-S264)</f>
        <v>0</v>
      </c>
      <c r="AB264" s="36">
        <f>IF(L264-MIN(L$160,L264)-T264&lt;0.005,0,L264-MIN(L$160,L264)-T264)</f>
        <v>0</v>
      </c>
      <c r="AC264" s="36">
        <f>SUM(U264:AB264)</f>
        <v>0</v>
      </c>
      <c r="AD264" s="36">
        <f>D264+SUM(M264:T264)</f>
        <v>0</v>
      </c>
    </row>
    <row r="265">
      <c r="B265" s="40" t="n">
        <v>101</v>
      </c>
      <c r="C265" s="36">
        <f>MAX(0,Sim_SomaParc+N(Sim_Extra)-D265)</f>
        <v>2790</v>
      </c>
      <c r="D265" s="36">
        <f>MIN(E$160,E265)+MIN(F$160,F265)+MIN(G$160,G265)+MIN(H$160,H265)+MIN(I$160,I265)+MIN(J$160,J265)+MIN(K$160,K265)+MIN(L$160,L265)</f>
        <v>0</v>
      </c>
      <c r="E265" s="36">
        <f>U264*(1+E$159)</f>
        <v>0</v>
      </c>
      <c r="F265" s="36">
        <f>V264*(1+F$159)</f>
        <v>0</v>
      </c>
      <c r="G265" s="36">
        <f>W264*(1+G$159)</f>
        <v>0</v>
      </c>
      <c r="H265" s="36">
        <f>X264*(1+H$159)</f>
        <v>0</v>
      </c>
      <c r="I265" s="36">
        <f>Y264*(1+I$159)</f>
        <v>0</v>
      </c>
      <c r="J265" s="36">
        <f>Z264*(1+J$159)</f>
        <v>0</v>
      </c>
      <c r="K265" s="36">
        <f>AA264*(1+K$159)</f>
        <v>0</v>
      </c>
      <c r="L265" s="36">
        <f>AB264*(1+L$159)</f>
        <v>0</v>
      </c>
      <c r="M265" s="36">
        <f>MIN(E265-MIN(E$160,E265),MAX(0,$C265-0))</f>
        <v>0</v>
      </c>
      <c r="N265" s="36">
        <f>MIN(F265-MIN(F$160,F265),MAX(0,$C265-SUM($M265:M265)))</f>
        <v>0</v>
      </c>
      <c r="O265" s="36">
        <f>MIN(G265-MIN(G$160,G265),MAX(0,$C265-SUM($M265:N265)))</f>
        <v>0</v>
      </c>
      <c r="P265" s="36">
        <f>MIN(H265-MIN(H$160,H265),MAX(0,$C265-SUM($M265:O265)))</f>
        <v>0</v>
      </c>
      <c r="Q265" s="36">
        <f>MIN(I265-MIN(I$160,I265),MAX(0,$C265-SUM($M265:P265)))</f>
        <v>0</v>
      </c>
      <c r="R265" s="36">
        <f>MIN(J265-MIN(J$160,J265),MAX(0,$C265-SUM($M265:Q265)))</f>
        <v>0</v>
      </c>
      <c r="S265" s="36">
        <f>MIN(K265-MIN(K$160,K265),MAX(0,$C265-SUM($M265:R265)))</f>
        <v>0</v>
      </c>
      <c r="T265" s="36">
        <f>MIN(L265-MIN(L$160,L265),MAX(0,$C265-SUM($M265:S265)))</f>
        <v>0</v>
      </c>
      <c r="U265" s="36">
        <f>IF(E265-MIN(E$160,E265)-M265&lt;0.005,0,E265-MIN(E$160,E265)-M265)</f>
        <v>0</v>
      </c>
      <c r="V265" s="36">
        <f>IF(F265-MIN(F$160,F265)-N265&lt;0.005,0,F265-MIN(F$160,F265)-N265)</f>
        <v>0</v>
      </c>
      <c r="W265" s="36">
        <f>IF(G265-MIN(G$160,G265)-O265&lt;0.005,0,G265-MIN(G$160,G265)-O265)</f>
        <v>0</v>
      </c>
      <c r="X265" s="36">
        <f>IF(H265-MIN(H$160,H265)-P265&lt;0.005,0,H265-MIN(H$160,H265)-P265)</f>
        <v>0</v>
      </c>
      <c r="Y265" s="36">
        <f>IF(I265-MIN(I$160,I265)-Q265&lt;0.005,0,I265-MIN(I$160,I265)-Q265)</f>
        <v>0</v>
      </c>
      <c r="Z265" s="36">
        <f>IF(J265-MIN(J$160,J265)-R265&lt;0.005,0,J265-MIN(J$160,J265)-R265)</f>
        <v>0</v>
      </c>
      <c r="AA265" s="36">
        <f>IF(K265-MIN(K$160,K265)-S265&lt;0.005,0,K265-MIN(K$160,K265)-S265)</f>
        <v>0</v>
      </c>
      <c r="AB265" s="36">
        <f>IF(L265-MIN(L$160,L265)-T265&lt;0.005,0,L265-MIN(L$160,L265)-T265)</f>
        <v>0</v>
      </c>
      <c r="AC265" s="36">
        <f>SUM(U265:AB265)</f>
        <v>0</v>
      </c>
      <c r="AD265" s="36">
        <f>D265+SUM(M265:T265)</f>
        <v>0</v>
      </c>
    </row>
    <row r="266">
      <c r="B266" s="40" t="n">
        <v>102</v>
      </c>
      <c r="C266" s="36">
        <f>MAX(0,Sim_SomaParc+N(Sim_Extra)-D266)</f>
        <v>2790</v>
      </c>
      <c r="D266" s="36">
        <f>MIN(E$160,E266)+MIN(F$160,F266)+MIN(G$160,G266)+MIN(H$160,H266)+MIN(I$160,I266)+MIN(J$160,J266)+MIN(K$160,K266)+MIN(L$160,L266)</f>
        <v>0</v>
      </c>
      <c r="E266" s="36">
        <f>U265*(1+E$159)</f>
        <v>0</v>
      </c>
      <c r="F266" s="36">
        <f>V265*(1+F$159)</f>
        <v>0</v>
      </c>
      <c r="G266" s="36">
        <f>W265*(1+G$159)</f>
        <v>0</v>
      </c>
      <c r="H266" s="36">
        <f>X265*(1+H$159)</f>
        <v>0</v>
      </c>
      <c r="I266" s="36">
        <f>Y265*(1+I$159)</f>
        <v>0</v>
      </c>
      <c r="J266" s="36">
        <f>Z265*(1+J$159)</f>
        <v>0</v>
      </c>
      <c r="K266" s="36">
        <f>AA265*(1+K$159)</f>
        <v>0</v>
      </c>
      <c r="L266" s="36">
        <f>AB265*(1+L$159)</f>
        <v>0</v>
      </c>
      <c r="M266" s="36">
        <f>MIN(E266-MIN(E$160,E266),MAX(0,$C266-0))</f>
        <v>0</v>
      </c>
      <c r="N266" s="36">
        <f>MIN(F266-MIN(F$160,F266),MAX(0,$C266-SUM($M266:M266)))</f>
        <v>0</v>
      </c>
      <c r="O266" s="36">
        <f>MIN(G266-MIN(G$160,G266),MAX(0,$C266-SUM($M266:N266)))</f>
        <v>0</v>
      </c>
      <c r="P266" s="36">
        <f>MIN(H266-MIN(H$160,H266),MAX(0,$C266-SUM($M266:O266)))</f>
        <v>0</v>
      </c>
      <c r="Q266" s="36">
        <f>MIN(I266-MIN(I$160,I266),MAX(0,$C266-SUM($M266:P266)))</f>
        <v>0</v>
      </c>
      <c r="R266" s="36">
        <f>MIN(J266-MIN(J$160,J266),MAX(0,$C266-SUM($M266:Q266)))</f>
        <v>0</v>
      </c>
      <c r="S266" s="36">
        <f>MIN(K266-MIN(K$160,K266),MAX(0,$C266-SUM($M266:R266)))</f>
        <v>0</v>
      </c>
      <c r="T266" s="36">
        <f>MIN(L266-MIN(L$160,L266),MAX(0,$C266-SUM($M266:S266)))</f>
        <v>0</v>
      </c>
      <c r="U266" s="36">
        <f>IF(E266-MIN(E$160,E266)-M266&lt;0.005,0,E266-MIN(E$160,E266)-M266)</f>
        <v>0</v>
      </c>
      <c r="V266" s="36">
        <f>IF(F266-MIN(F$160,F266)-N266&lt;0.005,0,F266-MIN(F$160,F266)-N266)</f>
        <v>0</v>
      </c>
      <c r="W266" s="36">
        <f>IF(G266-MIN(G$160,G266)-O266&lt;0.005,0,G266-MIN(G$160,G266)-O266)</f>
        <v>0</v>
      </c>
      <c r="X266" s="36">
        <f>IF(H266-MIN(H$160,H266)-P266&lt;0.005,0,H266-MIN(H$160,H266)-P266)</f>
        <v>0</v>
      </c>
      <c r="Y266" s="36">
        <f>IF(I266-MIN(I$160,I266)-Q266&lt;0.005,0,I266-MIN(I$160,I266)-Q266)</f>
        <v>0</v>
      </c>
      <c r="Z266" s="36">
        <f>IF(J266-MIN(J$160,J266)-R266&lt;0.005,0,J266-MIN(J$160,J266)-R266)</f>
        <v>0</v>
      </c>
      <c r="AA266" s="36">
        <f>IF(K266-MIN(K$160,K266)-S266&lt;0.005,0,K266-MIN(K$160,K266)-S266)</f>
        <v>0</v>
      </c>
      <c r="AB266" s="36">
        <f>IF(L266-MIN(L$160,L266)-T266&lt;0.005,0,L266-MIN(L$160,L266)-T266)</f>
        <v>0</v>
      </c>
      <c r="AC266" s="36">
        <f>SUM(U266:AB266)</f>
        <v>0</v>
      </c>
      <c r="AD266" s="36">
        <f>D266+SUM(M266:T266)</f>
        <v>0</v>
      </c>
    </row>
    <row r="267">
      <c r="B267" s="40" t="n">
        <v>103</v>
      </c>
      <c r="C267" s="36">
        <f>MAX(0,Sim_SomaParc+N(Sim_Extra)-D267)</f>
        <v>2790</v>
      </c>
      <c r="D267" s="36">
        <f>MIN(E$160,E267)+MIN(F$160,F267)+MIN(G$160,G267)+MIN(H$160,H267)+MIN(I$160,I267)+MIN(J$160,J267)+MIN(K$160,K267)+MIN(L$160,L267)</f>
        <v>0</v>
      </c>
      <c r="E267" s="36">
        <f>U266*(1+E$159)</f>
        <v>0</v>
      </c>
      <c r="F267" s="36">
        <f>V266*(1+F$159)</f>
        <v>0</v>
      </c>
      <c r="G267" s="36">
        <f>W266*(1+G$159)</f>
        <v>0</v>
      </c>
      <c r="H267" s="36">
        <f>X266*(1+H$159)</f>
        <v>0</v>
      </c>
      <c r="I267" s="36">
        <f>Y266*(1+I$159)</f>
        <v>0</v>
      </c>
      <c r="J267" s="36">
        <f>Z266*(1+J$159)</f>
        <v>0</v>
      </c>
      <c r="K267" s="36">
        <f>AA266*(1+K$159)</f>
        <v>0</v>
      </c>
      <c r="L267" s="36">
        <f>AB266*(1+L$159)</f>
        <v>0</v>
      </c>
      <c r="M267" s="36">
        <f>MIN(E267-MIN(E$160,E267),MAX(0,$C267-0))</f>
        <v>0</v>
      </c>
      <c r="N267" s="36">
        <f>MIN(F267-MIN(F$160,F267),MAX(0,$C267-SUM($M267:M267)))</f>
        <v>0</v>
      </c>
      <c r="O267" s="36">
        <f>MIN(G267-MIN(G$160,G267),MAX(0,$C267-SUM($M267:N267)))</f>
        <v>0</v>
      </c>
      <c r="P267" s="36">
        <f>MIN(H267-MIN(H$160,H267),MAX(0,$C267-SUM($M267:O267)))</f>
        <v>0</v>
      </c>
      <c r="Q267" s="36">
        <f>MIN(I267-MIN(I$160,I267),MAX(0,$C267-SUM($M267:P267)))</f>
        <v>0</v>
      </c>
      <c r="R267" s="36">
        <f>MIN(J267-MIN(J$160,J267),MAX(0,$C267-SUM($M267:Q267)))</f>
        <v>0</v>
      </c>
      <c r="S267" s="36">
        <f>MIN(K267-MIN(K$160,K267),MAX(0,$C267-SUM($M267:R267)))</f>
        <v>0</v>
      </c>
      <c r="T267" s="36">
        <f>MIN(L267-MIN(L$160,L267),MAX(0,$C267-SUM($M267:S267)))</f>
        <v>0</v>
      </c>
      <c r="U267" s="36">
        <f>IF(E267-MIN(E$160,E267)-M267&lt;0.005,0,E267-MIN(E$160,E267)-M267)</f>
        <v>0</v>
      </c>
      <c r="V267" s="36">
        <f>IF(F267-MIN(F$160,F267)-N267&lt;0.005,0,F267-MIN(F$160,F267)-N267)</f>
        <v>0</v>
      </c>
      <c r="W267" s="36">
        <f>IF(G267-MIN(G$160,G267)-O267&lt;0.005,0,G267-MIN(G$160,G267)-O267)</f>
        <v>0</v>
      </c>
      <c r="X267" s="36">
        <f>IF(H267-MIN(H$160,H267)-P267&lt;0.005,0,H267-MIN(H$160,H267)-P267)</f>
        <v>0</v>
      </c>
      <c r="Y267" s="36">
        <f>IF(I267-MIN(I$160,I267)-Q267&lt;0.005,0,I267-MIN(I$160,I267)-Q267)</f>
        <v>0</v>
      </c>
      <c r="Z267" s="36">
        <f>IF(J267-MIN(J$160,J267)-R267&lt;0.005,0,J267-MIN(J$160,J267)-R267)</f>
        <v>0</v>
      </c>
      <c r="AA267" s="36">
        <f>IF(K267-MIN(K$160,K267)-S267&lt;0.005,0,K267-MIN(K$160,K267)-S267)</f>
        <v>0</v>
      </c>
      <c r="AB267" s="36">
        <f>IF(L267-MIN(L$160,L267)-T267&lt;0.005,0,L267-MIN(L$160,L267)-T267)</f>
        <v>0</v>
      </c>
      <c r="AC267" s="36">
        <f>SUM(U267:AB267)</f>
        <v>0</v>
      </c>
      <c r="AD267" s="36">
        <f>D267+SUM(M267:T267)</f>
        <v>0</v>
      </c>
    </row>
    <row r="268">
      <c r="B268" s="40" t="n">
        <v>104</v>
      </c>
      <c r="C268" s="36">
        <f>MAX(0,Sim_SomaParc+N(Sim_Extra)-D268)</f>
        <v>2790</v>
      </c>
      <c r="D268" s="36">
        <f>MIN(E$160,E268)+MIN(F$160,F268)+MIN(G$160,G268)+MIN(H$160,H268)+MIN(I$160,I268)+MIN(J$160,J268)+MIN(K$160,K268)+MIN(L$160,L268)</f>
        <v>0</v>
      </c>
      <c r="E268" s="36">
        <f>U267*(1+E$159)</f>
        <v>0</v>
      </c>
      <c r="F268" s="36">
        <f>V267*(1+F$159)</f>
        <v>0</v>
      </c>
      <c r="G268" s="36">
        <f>W267*(1+G$159)</f>
        <v>0</v>
      </c>
      <c r="H268" s="36">
        <f>X267*(1+H$159)</f>
        <v>0</v>
      </c>
      <c r="I268" s="36">
        <f>Y267*(1+I$159)</f>
        <v>0</v>
      </c>
      <c r="J268" s="36">
        <f>Z267*(1+J$159)</f>
        <v>0</v>
      </c>
      <c r="K268" s="36">
        <f>AA267*(1+K$159)</f>
        <v>0</v>
      </c>
      <c r="L268" s="36">
        <f>AB267*(1+L$159)</f>
        <v>0</v>
      </c>
      <c r="M268" s="36">
        <f>MIN(E268-MIN(E$160,E268),MAX(0,$C268-0))</f>
        <v>0</v>
      </c>
      <c r="N268" s="36">
        <f>MIN(F268-MIN(F$160,F268),MAX(0,$C268-SUM($M268:M268)))</f>
        <v>0</v>
      </c>
      <c r="O268" s="36">
        <f>MIN(G268-MIN(G$160,G268),MAX(0,$C268-SUM($M268:N268)))</f>
        <v>0</v>
      </c>
      <c r="P268" s="36">
        <f>MIN(H268-MIN(H$160,H268),MAX(0,$C268-SUM($M268:O268)))</f>
        <v>0</v>
      </c>
      <c r="Q268" s="36">
        <f>MIN(I268-MIN(I$160,I268),MAX(0,$C268-SUM($M268:P268)))</f>
        <v>0</v>
      </c>
      <c r="R268" s="36">
        <f>MIN(J268-MIN(J$160,J268),MAX(0,$C268-SUM($M268:Q268)))</f>
        <v>0</v>
      </c>
      <c r="S268" s="36">
        <f>MIN(K268-MIN(K$160,K268),MAX(0,$C268-SUM($M268:R268)))</f>
        <v>0</v>
      </c>
      <c r="T268" s="36">
        <f>MIN(L268-MIN(L$160,L268),MAX(0,$C268-SUM($M268:S268)))</f>
        <v>0</v>
      </c>
      <c r="U268" s="36">
        <f>IF(E268-MIN(E$160,E268)-M268&lt;0.005,0,E268-MIN(E$160,E268)-M268)</f>
        <v>0</v>
      </c>
      <c r="V268" s="36">
        <f>IF(F268-MIN(F$160,F268)-N268&lt;0.005,0,F268-MIN(F$160,F268)-N268)</f>
        <v>0</v>
      </c>
      <c r="W268" s="36">
        <f>IF(G268-MIN(G$160,G268)-O268&lt;0.005,0,G268-MIN(G$160,G268)-O268)</f>
        <v>0</v>
      </c>
      <c r="X268" s="36">
        <f>IF(H268-MIN(H$160,H268)-P268&lt;0.005,0,H268-MIN(H$160,H268)-P268)</f>
        <v>0</v>
      </c>
      <c r="Y268" s="36">
        <f>IF(I268-MIN(I$160,I268)-Q268&lt;0.005,0,I268-MIN(I$160,I268)-Q268)</f>
        <v>0</v>
      </c>
      <c r="Z268" s="36">
        <f>IF(J268-MIN(J$160,J268)-R268&lt;0.005,0,J268-MIN(J$160,J268)-R268)</f>
        <v>0</v>
      </c>
      <c r="AA268" s="36">
        <f>IF(K268-MIN(K$160,K268)-S268&lt;0.005,0,K268-MIN(K$160,K268)-S268)</f>
        <v>0</v>
      </c>
      <c r="AB268" s="36">
        <f>IF(L268-MIN(L$160,L268)-T268&lt;0.005,0,L268-MIN(L$160,L268)-T268)</f>
        <v>0</v>
      </c>
      <c r="AC268" s="36">
        <f>SUM(U268:AB268)</f>
        <v>0</v>
      </c>
      <c r="AD268" s="36">
        <f>D268+SUM(M268:T268)</f>
        <v>0</v>
      </c>
    </row>
    <row r="269">
      <c r="B269" s="40" t="n">
        <v>105</v>
      </c>
      <c r="C269" s="36">
        <f>MAX(0,Sim_SomaParc+N(Sim_Extra)-D269)</f>
        <v>2790</v>
      </c>
      <c r="D269" s="36">
        <f>MIN(E$160,E269)+MIN(F$160,F269)+MIN(G$160,G269)+MIN(H$160,H269)+MIN(I$160,I269)+MIN(J$160,J269)+MIN(K$160,K269)+MIN(L$160,L269)</f>
        <v>0</v>
      </c>
      <c r="E269" s="36">
        <f>U268*(1+E$159)</f>
        <v>0</v>
      </c>
      <c r="F269" s="36">
        <f>V268*(1+F$159)</f>
        <v>0</v>
      </c>
      <c r="G269" s="36">
        <f>W268*(1+G$159)</f>
        <v>0</v>
      </c>
      <c r="H269" s="36">
        <f>X268*(1+H$159)</f>
        <v>0</v>
      </c>
      <c r="I269" s="36">
        <f>Y268*(1+I$159)</f>
        <v>0</v>
      </c>
      <c r="J269" s="36">
        <f>Z268*(1+J$159)</f>
        <v>0</v>
      </c>
      <c r="K269" s="36">
        <f>AA268*(1+K$159)</f>
        <v>0</v>
      </c>
      <c r="L269" s="36">
        <f>AB268*(1+L$159)</f>
        <v>0</v>
      </c>
      <c r="M269" s="36">
        <f>MIN(E269-MIN(E$160,E269),MAX(0,$C269-0))</f>
        <v>0</v>
      </c>
      <c r="N269" s="36">
        <f>MIN(F269-MIN(F$160,F269),MAX(0,$C269-SUM($M269:M269)))</f>
        <v>0</v>
      </c>
      <c r="O269" s="36">
        <f>MIN(G269-MIN(G$160,G269),MAX(0,$C269-SUM($M269:N269)))</f>
        <v>0</v>
      </c>
      <c r="P269" s="36">
        <f>MIN(H269-MIN(H$160,H269),MAX(0,$C269-SUM($M269:O269)))</f>
        <v>0</v>
      </c>
      <c r="Q269" s="36">
        <f>MIN(I269-MIN(I$160,I269),MAX(0,$C269-SUM($M269:P269)))</f>
        <v>0</v>
      </c>
      <c r="R269" s="36">
        <f>MIN(J269-MIN(J$160,J269),MAX(0,$C269-SUM($M269:Q269)))</f>
        <v>0</v>
      </c>
      <c r="S269" s="36">
        <f>MIN(K269-MIN(K$160,K269),MAX(0,$C269-SUM($M269:R269)))</f>
        <v>0</v>
      </c>
      <c r="T269" s="36">
        <f>MIN(L269-MIN(L$160,L269),MAX(0,$C269-SUM($M269:S269)))</f>
        <v>0</v>
      </c>
      <c r="U269" s="36">
        <f>IF(E269-MIN(E$160,E269)-M269&lt;0.005,0,E269-MIN(E$160,E269)-M269)</f>
        <v>0</v>
      </c>
      <c r="V269" s="36">
        <f>IF(F269-MIN(F$160,F269)-N269&lt;0.005,0,F269-MIN(F$160,F269)-N269)</f>
        <v>0</v>
      </c>
      <c r="W269" s="36">
        <f>IF(G269-MIN(G$160,G269)-O269&lt;0.005,0,G269-MIN(G$160,G269)-O269)</f>
        <v>0</v>
      </c>
      <c r="X269" s="36">
        <f>IF(H269-MIN(H$160,H269)-P269&lt;0.005,0,H269-MIN(H$160,H269)-P269)</f>
        <v>0</v>
      </c>
      <c r="Y269" s="36">
        <f>IF(I269-MIN(I$160,I269)-Q269&lt;0.005,0,I269-MIN(I$160,I269)-Q269)</f>
        <v>0</v>
      </c>
      <c r="Z269" s="36">
        <f>IF(J269-MIN(J$160,J269)-R269&lt;0.005,0,J269-MIN(J$160,J269)-R269)</f>
        <v>0</v>
      </c>
      <c r="AA269" s="36">
        <f>IF(K269-MIN(K$160,K269)-S269&lt;0.005,0,K269-MIN(K$160,K269)-S269)</f>
        <v>0</v>
      </c>
      <c r="AB269" s="36">
        <f>IF(L269-MIN(L$160,L269)-T269&lt;0.005,0,L269-MIN(L$160,L269)-T269)</f>
        <v>0</v>
      </c>
      <c r="AC269" s="36">
        <f>SUM(U269:AB269)</f>
        <v>0</v>
      </c>
      <c r="AD269" s="36">
        <f>D269+SUM(M269:T269)</f>
        <v>0</v>
      </c>
    </row>
    <row r="270">
      <c r="B270" s="40" t="n">
        <v>106</v>
      </c>
      <c r="C270" s="36">
        <f>MAX(0,Sim_SomaParc+N(Sim_Extra)-D270)</f>
        <v>2790</v>
      </c>
      <c r="D270" s="36">
        <f>MIN(E$160,E270)+MIN(F$160,F270)+MIN(G$160,G270)+MIN(H$160,H270)+MIN(I$160,I270)+MIN(J$160,J270)+MIN(K$160,K270)+MIN(L$160,L270)</f>
        <v>0</v>
      </c>
      <c r="E270" s="36">
        <f>U269*(1+E$159)</f>
        <v>0</v>
      </c>
      <c r="F270" s="36">
        <f>V269*(1+F$159)</f>
        <v>0</v>
      </c>
      <c r="G270" s="36">
        <f>W269*(1+G$159)</f>
        <v>0</v>
      </c>
      <c r="H270" s="36">
        <f>X269*(1+H$159)</f>
        <v>0</v>
      </c>
      <c r="I270" s="36">
        <f>Y269*(1+I$159)</f>
        <v>0</v>
      </c>
      <c r="J270" s="36">
        <f>Z269*(1+J$159)</f>
        <v>0</v>
      </c>
      <c r="K270" s="36">
        <f>AA269*(1+K$159)</f>
        <v>0</v>
      </c>
      <c r="L270" s="36">
        <f>AB269*(1+L$159)</f>
        <v>0</v>
      </c>
      <c r="M270" s="36">
        <f>MIN(E270-MIN(E$160,E270),MAX(0,$C270-0))</f>
        <v>0</v>
      </c>
      <c r="N270" s="36">
        <f>MIN(F270-MIN(F$160,F270),MAX(0,$C270-SUM($M270:M270)))</f>
        <v>0</v>
      </c>
      <c r="O270" s="36">
        <f>MIN(G270-MIN(G$160,G270),MAX(0,$C270-SUM($M270:N270)))</f>
        <v>0</v>
      </c>
      <c r="P270" s="36">
        <f>MIN(H270-MIN(H$160,H270),MAX(0,$C270-SUM($M270:O270)))</f>
        <v>0</v>
      </c>
      <c r="Q270" s="36">
        <f>MIN(I270-MIN(I$160,I270),MAX(0,$C270-SUM($M270:P270)))</f>
        <v>0</v>
      </c>
      <c r="R270" s="36">
        <f>MIN(J270-MIN(J$160,J270),MAX(0,$C270-SUM($M270:Q270)))</f>
        <v>0</v>
      </c>
      <c r="S270" s="36">
        <f>MIN(K270-MIN(K$160,K270),MAX(0,$C270-SUM($M270:R270)))</f>
        <v>0</v>
      </c>
      <c r="T270" s="36">
        <f>MIN(L270-MIN(L$160,L270),MAX(0,$C270-SUM($M270:S270)))</f>
        <v>0</v>
      </c>
      <c r="U270" s="36">
        <f>IF(E270-MIN(E$160,E270)-M270&lt;0.005,0,E270-MIN(E$160,E270)-M270)</f>
        <v>0</v>
      </c>
      <c r="V270" s="36">
        <f>IF(F270-MIN(F$160,F270)-N270&lt;0.005,0,F270-MIN(F$160,F270)-N270)</f>
        <v>0</v>
      </c>
      <c r="W270" s="36">
        <f>IF(G270-MIN(G$160,G270)-O270&lt;0.005,0,G270-MIN(G$160,G270)-O270)</f>
        <v>0</v>
      </c>
      <c r="X270" s="36">
        <f>IF(H270-MIN(H$160,H270)-P270&lt;0.005,0,H270-MIN(H$160,H270)-P270)</f>
        <v>0</v>
      </c>
      <c r="Y270" s="36">
        <f>IF(I270-MIN(I$160,I270)-Q270&lt;0.005,0,I270-MIN(I$160,I270)-Q270)</f>
        <v>0</v>
      </c>
      <c r="Z270" s="36">
        <f>IF(J270-MIN(J$160,J270)-R270&lt;0.005,0,J270-MIN(J$160,J270)-R270)</f>
        <v>0</v>
      </c>
      <c r="AA270" s="36">
        <f>IF(K270-MIN(K$160,K270)-S270&lt;0.005,0,K270-MIN(K$160,K270)-S270)</f>
        <v>0</v>
      </c>
      <c r="AB270" s="36">
        <f>IF(L270-MIN(L$160,L270)-T270&lt;0.005,0,L270-MIN(L$160,L270)-T270)</f>
        <v>0</v>
      </c>
      <c r="AC270" s="36">
        <f>SUM(U270:AB270)</f>
        <v>0</v>
      </c>
      <c r="AD270" s="36">
        <f>D270+SUM(M270:T270)</f>
        <v>0</v>
      </c>
    </row>
    <row r="271">
      <c r="B271" s="40" t="n">
        <v>107</v>
      </c>
      <c r="C271" s="36">
        <f>MAX(0,Sim_SomaParc+N(Sim_Extra)-D271)</f>
        <v>2790</v>
      </c>
      <c r="D271" s="36">
        <f>MIN(E$160,E271)+MIN(F$160,F271)+MIN(G$160,G271)+MIN(H$160,H271)+MIN(I$160,I271)+MIN(J$160,J271)+MIN(K$160,K271)+MIN(L$160,L271)</f>
        <v>0</v>
      </c>
      <c r="E271" s="36">
        <f>U270*(1+E$159)</f>
        <v>0</v>
      </c>
      <c r="F271" s="36">
        <f>V270*(1+F$159)</f>
        <v>0</v>
      </c>
      <c r="G271" s="36">
        <f>W270*(1+G$159)</f>
        <v>0</v>
      </c>
      <c r="H271" s="36">
        <f>X270*(1+H$159)</f>
        <v>0</v>
      </c>
      <c r="I271" s="36">
        <f>Y270*(1+I$159)</f>
        <v>0</v>
      </c>
      <c r="J271" s="36">
        <f>Z270*(1+J$159)</f>
        <v>0</v>
      </c>
      <c r="K271" s="36">
        <f>AA270*(1+K$159)</f>
        <v>0</v>
      </c>
      <c r="L271" s="36">
        <f>AB270*(1+L$159)</f>
        <v>0</v>
      </c>
      <c r="M271" s="36">
        <f>MIN(E271-MIN(E$160,E271),MAX(0,$C271-0))</f>
        <v>0</v>
      </c>
      <c r="N271" s="36">
        <f>MIN(F271-MIN(F$160,F271),MAX(0,$C271-SUM($M271:M271)))</f>
        <v>0</v>
      </c>
      <c r="O271" s="36">
        <f>MIN(G271-MIN(G$160,G271),MAX(0,$C271-SUM($M271:N271)))</f>
        <v>0</v>
      </c>
      <c r="P271" s="36">
        <f>MIN(H271-MIN(H$160,H271),MAX(0,$C271-SUM($M271:O271)))</f>
        <v>0</v>
      </c>
      <c r="Q271" s="36">
        <f>MIN(I271-MIN(I$160,I271),MAX(0,$C271-SUM($M271:P271)))</f>
        <v>0</v>
      </c>
      <c r="R271" s="36">
        <f>MIN(J271-MIN(J$160,J271),MAX(0,$C271-SUM($M271:Q271)))</f>
        <v>0</v>
      </c>
      <c r="S271" s="36">
        <f>MIN(K271-MIN(K$160,K271),MAX(0,$C271-SUM($M271:R271)))</f>
        <v>0</v>
      </c>
      <c r="T271" s="36">
        <f>MIN(L271-MIN(L$160,L271),MAX(0,$C271-SUM($M271:S271)))</f>
        <v>0</v>
      </c>
      <c r="U271" s="36">
        <f>IF(E271-MIN(E$160,E271)-M271&lt;0.005,0,E271-MIN(E$160,E271)-M271)</f>
        <v>0</v>
      </c>
      <c r="V271" s="36">
        <f>IF(F271-MIN(F$160,F271)-N271&lt;0.005,0,F271-MIN(F$160,F271)-N271)</f>
        <v>0</v>
      </c>
      <c r="W271" s="36">
        <f>IF(G271-MIN(G$160,G271)-O271&lt;0.005,0,G271-MIN(G$160,G271)-O271)</f>
        <v>0</v>
      </c>
      <c r="X271" s="36">
        <f>IF(H271-MIN(H$160,H271)-P271&lt;0.005,0,H271-MIN(H$160,H271)-P271)</f>
        <v>0</v>
      </c>
      <c r="Y271" s="36">
        <f>IF(I271-MIN(I$160,I271)-Q271&lt;0.005,0,I271-MIN(I$160,I271)-Q271)</f>
        <v>0</v>
      </c>
      <c r="Z271" s="36">
        <f>IF(J271-MIN(J$160,J271)-R271&lt;0.005,0,J271-MIN(J$160,J271)-R271)</f>
        <v>0</v>
      </c>
      <c r="AA271" s="36">
        <f>IF(K271-MIN(K$160,K271)-S271&lt;0.005,0,K271-MIN(K$160,K271)-S271)</f>
        <v>0</v>
      </c>
      <c r="AB271" s="36">
        <f>IF(L271-MIN(L$160,L271)-T271&lt;0.005,0,L271-MIN(L$160,L271)-T271)</f>
        <v>0</v>
      </c>
      <c r="AC271" s="36">
        <f>SUM(U271:AB271)</f>
        <v>0</v>
      </c>
      <c r="AD271" s="36">
        <f>D271+SUM(M271:T271)</f>
        <v>0</v>
      </c>
    </row>
    <row r="272">
      <c r="B272" s="40" t="n">
        <v>108</v>
      </c>
      <c r="C272" s="36">
        <f>MAX(0,Sim_SomaParc+N(Sim_Extra)-D272)</f>
        <v>2790</v>
      </c>
      <c r="D272" s="36">
        <f>MIN(E$160,E272)+MIN(F$160,F272)+MIN(G$160,G272)+MIN(H$160,H272)+MIN(I$160,I272)+MIN(J$160,J272)+MIN(K$160,K272)+MIN(L$160,L272)</f>
        <v>0</v>
      </c>
      <c r="E272" s="36">
        <f>U271*(1+E$159)</f>
        <v>0</v>
      </c>
      <c r="F272" s="36">
        <f>V271*(1+F$159)</f>
        <v>0</v>
      </c>
      <c r="G272" s="36">
        <f>W271*(1+G$159)</f>
        <v>0</v>
      </c>
      <c r="H272" s="36">
        <f>X271*(1+H$159)</f>
        <v>0</v>
      </c>
      <c r="I272" s="36">
        <f>Y271*(1+I$159)</f>
        <v>0</v>
      </c>
      <c r="J272" s="36">
        <f>Z271*(1+J$159)</f>
        <v>0</v>
      </c>
      <c r="K272" s="36">
        <f>AA271*(1+K$159)</f>
        <v>0</v>
      </c>
      <c r="L272" s="36">
        <f>AB271*(1+L$159)</f>
        <v>0</v>
      </c>
      <c r="M272" s="36">
        <f>MIN(E272-MIN(E$160,E272),MAX(0,$C272-0))</f>
        <v>0</v>
      </c>
      <c r="N272" s="36">
        <f>MIN(F272-MIN(F$160,F272),MAX(0,$C272-SUM($M272:M272)))</f>
        <v>0</v>
      </c>
      <c r="O272" s="36">
        <f>MIN(G272-MIN(G$160,G272),MAX(0,$C272-SUM($M272:N272)))</f>
        <v>0</v>
      </c>
      <c r="P272" s="36">
        <f>MIN(H272-MIN(H$160,H272),MAX(0,$C272-SUM($M272:O272)))</f>
        <v>0</v>
      </c>
      <c r="Q272" s="36">
        <f>MIN(I272-MIN(I$160,I272),MAX(0,$C272-SUM($M272:P272)))</f>
        <v>0</v>
      </c>
      <c r="R272" s="36">
        <f>MIN(J272-MIN(J$160,J272),MAX(0,$C272-SUM($M272:Q272)))</f>
        <v>0</v>
      </c>
      <c r="S272" s="36">
        <f>MIN(K272-MIN(K$160,K272),MAX(0,$C272-SUM($M272:R272)))</f>
        <v>0</v>
      </c>
      <c r="T272" s="36">
        <f>MIN(L272-MIN(L$160,L272),MAX(0,$C272-SUM($M272:S272)))</f>
        <v>0</v>
      </c>
      <c r="U272" s="36">
        <f>IF(E272-MIN(E$160,E272)-M272&lt;0.005,0,E272-MIN(E$160,E272)-M272)</f>
        <v>0</v>
      </c>
      <c r="V272" s="36">
        <f>IF(F272-MIN(F$160,F272)-N272&lt;0.005,0,F272-MIN(F$160,F272)-N272)</f>
        <v>0</v>
      </c>
      <c r="W272" s="36">
        <f>IF(G272-MIN(G$160,G272)-O272&lt;0.005,0,G272-MIN(G$160,G272)-O272)</f>
        <v>0</v>
      </c>
      <c r="X272" s="36">
        <f>IF(H272-MIN(H$160,H272)-P272&lt;0.005,0,H272-MIN(H$160,H272)-P272)</f>
        <v>0</v>
      </c>
      <c r="Y272" s="36">
        <f>IF(I272-MIN(I$160,I272)-Q272&lt;0.005,0,I272-MIN(I$160,I272)-Q272)</f>
        <v>0</v>
      </c>
      <c r="Z272" s="36">
        <f>IF(J272-MIN(J$160,J272)-R272&lt;0.005,0,J272-MIN(J$160,J272)-R272)</f>
        <v>0</v>
      </c>
      <c r="AA272" s="36">
        <f>IF(K272-MIN(K$160,K272)-S272&lt;0.005,0,K272-MIN(K$160,K272)-S272)</f>
        <v>0</v>
      </c>
      <c r="AB272" s="36">
        <f>IF(L272-MIN(L$160,L272)-T272&lt;0.005,0,L272-MIN(L$160,L272)-T272)</f>
        <v>0</v>
      </c>
      <c r="AC272" s="36">
        <f>SUM(U272:AB272)</f>
        <v>0</v>
      </c>
      <c r="AD272" s="36">
        <f>D272+SUM(M272:T272)</f>
        <v>0</v>
      </c>
    </row>
    <row r="273">
      <c r="B273" s="40" t="n">
        <v>109</v>
      </c>
      <c r="C273" s="36">
        <f>MAX(0,Sim_SomaParc+N(Sim_Extra)-D273)</f>
        <v>2790</v>
      </c>
      <c r="D273" s="36">
        <f>MIN(E$160,E273)+MIN(F$160,F273)+MIN(G$160,G273)+MIN(H$160,H273)+MIN(I$160,I273)+MIN(J$160,J273)+MIN(K$160,K273)+MIN(L$160,L273)</f>
        <v>0</v>
      </c>
      <c r="E273" s="36">
        <f>U272*(1+E$159)</f>
        <v>0</v>
      </c>
      <c r="F273" s="36">
        <f>V272*(1+F$159)</f>
        <v>0</v>
      </c>
      <c r="G273" s="36">
        <f>W272*(1+G$159)</f>
        <v>0</v>
      </c>
      <c r="H273" s="36">
        <f>X272*(1+H$159)</f>
        <v>0</v>
      </c>
      <c r="I273" s="36">
        <f>Y272*(1+I$159)</f>
        <v>0</v>
      </c>
      <c r="J273" s="36">
        <f>Z272*(1+J$159)</f>
        <v>0</v>
      </c>
      <c r="K273" s="36">
        <f>AA272*(1+K$159)</f>
        <v>0</v>
      </c>
      <c r="L273" s="36">
        <f>AB272*(1+L$159)</f>
        <v>0</v>
      </c>
      <c r="M273" s="36">
        <f>MIN(E273-MIN(E$160,E273),MAX(0,$C273-0))</f>
        <v>0</v>
      </c>
      <c r="N273" s="36">
        <f>MIN(F273-MIN(F$160,F273),MAX(0,$C273-SUM($M273:M273)))</f>
        <v>0</v>
      </c>
      <c r="O273" s="36">
        <f>MIN(G273-MIN(G$160,G273),MAX(0,$C273-SUM($M273:N273)))</f>
        <v>0</v>
      </c>
      <c r="P273" s="36">
        <f>MIN(H273-MIN(H$160,H273),MAX(0,$C273-SUM($M273:O273)))</f>
        <v>0</v>
      </c>
      <c r="Q273" s="36">
        <f>MIN(I273-MIN(I$160,I273),MAX(0,$C273-SUM($M273:P273)))</f>
        <v>0</v>
      </c>
      <c r="R273" s="36">
        <f>MIN(J273-MIN(J$160,J273),MAX(0,$C273-SUM($M273:Q273)))</f>
        <v>0</v>
      </c>
      <c r="S273" s="36">
        <f>MIN(K273-MIN(K$160,K273),MAX(0,$C273-SUM($M273:R273)))</f>
        <v>0</v>
      </c>
      <c r="T273" s="36">
        <f>MIN(L273-MIN(L$160,L273),MAX(0,$C273-SUM($M273:S273)))</f>
        <v>0</v>
      </c>
      <c r="U273" s="36">
        <f>IF(E273-MIN(E$160,E273)-M273&lt;0.005,0,E273-MIN(E$160,E273)-M273)</f>
        <v>0</v>
      </c>
      <c r="V273" s="36">
        <f>IF(F273-MIN(F$160,F273)-N273&lt;0.005,0,F273-MIN(F$160,F273)-N273)</f>
        <v>0</v>
      </c>
      <c r="W273" s="36">
        <f>IF(G273-MIN(G$160,G273)-O273&lt;0.005,0,G273-MIN(G$160,G273)-O273)</f>
        <v>0</v>
      </c>
      <c r="X273" s="36">
        <f>IF(H273-MIN(H$160,H273)-P273&lt;0.005,0,H273-MIN(H$160,H273)-P273)</f>
        <v>0</v>
      </c>
      <c r="Y273" s="36">
        <f>IF(I273-MIN(I$160,I273)-Q273&lt;0.005,0,I273-MIN(I$160,I273)-Q273)</f>
        <v>0</v>
      </c>
      <c r="Z273" s="36">
        <f>IF(J273-MIN(J$160,J273)-R273&lt;0.005,0,J273-MIN(J$160,J273)-R273)</f>
        <v>0</v>
      </c>
      <c r="AA273" s="36">
        <f>IF(K273-MIN(K$160,K273)-S273&lt;0.005,0,K273-MIN(K$160,K273)-S273)</f>
        <v>0</v>
      </c>
      <c r="AB273" s="36">
        <f>IF(L273-MIN(L$160,L273)-T273&lt;0.005,0,L273-MIN(L$160,L273)-T273)</f>
        <v>0</v>
      </c>
      <c r="AC273" s="36">
        <f>SUM(U273:AB273)</f>
        <v>0</v>
      </c>
      <c r="AD273" s="36">
        <f>D273+SUM(M273:T273)</f>
        <v>0</v>
      </c>
    </row>
    <row r="274">
      <c r="B274" s="40" t="n">
        <v>110</v>
      </c>
      <c r="C274" s="36">
        <f>MAX(0,Sim_SomaParc+N(Sim_Extra)-D274)</f>
        <v>2790</v>
      </c>
      <c r="D274" s="36">
        <f>MIN(E$160,E274)+MIN(F$160,F274)+MIN(G$160,G274)+MIN(H$160,H274)+MIN(I$160,I274)+MIN(J$160,J274)+MIN(K$160,K274)+MIN(L$160,L274)</f>
        <v>0</v>
      </c>
      <c r="E274" s="36">
        <f>U273*(1+E$159)</f>
        <v>0</v>
      </c>
      <c r="F274" s="36">
        <f>V273*(1+F$159)</f>
        <v>0</v>
      </c>
      <c r="G274" s="36">
        <f>W273*(1+G$159)</f>
        <v>0</v>
      </c>
      <c r="H274" s="36">
        <f>X273*(1+H$159)</f>
        <v>0</v>
      </c>
      <c r="I274" s="36">
        <f>Y273*(1+I$159)</f>
        <v>0</v>
      </c>
      <c r="J274" s="36">
        <f>Z273*(1+J$159)</f>
        <v>0</v>
      </c>
      <c r="K274" s="36">
        <f>AA273*(1+K$159)</f>
        <v>0</v>
      </c>
      <c r="L274" s="36">
        <f>AB273*(1+L$159)</f>
        <v>0</v>
      </c>
      <c r="M274" s="36">
        <f>MIN(E274-MIN(E$160,E274),MAX(0,$C274-0))</f>
        <v>0</v>
      </c>
      <c r="N274" s="36">
        <f>MIN(F274-MIN(F$160,F274),MAX(0,$C274-SUM($M274:M274)))</f>
        <v>0</v>
      </c>
      <c r="O274" s="36">
        <f>MIN(G274-MIN(G$160,G274),MAX(0,$C274-SUM($M274:N274)))</f>
        <v>0</v>
      </c>
      <c r="P274" s="36">
        <f>MIN(H274-MIN(H$160,H274),MAX(0,$C274-SUM($M274:O274)))</f>
        <v>0</v>
      </c>
      <c r="Q274" s="36">
        <f>MIN(I274-MIN(I$160,I274),MAX(0,$C274-SUM($M274:P274)))</f>
        <v>0</v>
      </c>
      <c r="R274" s="36">
        <f>MIN(J274-MIN(J$160,J274),MAX(0,$C274-SUM($M274:Q274)))</f>
        <v>0</v>
      </c>
      <c r="S274" s="36">
        <f>MIN(K274-MIN(K$160,K274),MAX(0,$C274-SUM($M274:R274)))</f>
        <v>0</v>
      </c>
      <c r="T274" s="36">
        <f>MIN(L274-MIN(L$160,L274),MAX(0,$C274-SUM($M274:S274)))</f>
        <v>0</v>
      </c>
      <c r="U274" s="36">
        <f>IF(E274-MIN(E$160,E274)-M274&lt;0.005,0,E274-MIN(E$160,E274)-M274)</f>
        <v>0</v>
      </c>
      <c r="V274" s="36">
        <f>IF(F274-MIN(F$160,F274)-N274&lt;0.005,0,F274-MIN(F$160,F274)-N274)</f>
        <v>0</v>
      </c>
      <c r="W274" s="36">
        <f>IF(G274-MIN(G$160,G274)-O274&lt;0.005,0,G274-MIN(G$160,G274)-O274)</f>
        <v>0</v>
      </c>
      <c r="X274" s="36">
        <f>IF(H274-MIN(H$160,H274)-P274&lt;0.005,0,H274-MIN(H$160,H274)-P274)</f>
        <v>0</v>
      </c>
      <c r="Y274" s="36">
        <f>IF(I274-MIN(I$160,I274)-Q274&lt;0.005,0,I274-MIN(I$160,I274)-Q274)</f>
        <v>0</v>
      </c>
      <c r="Z274" s="36">
        <f>IF(J274-MIN(J$160,J274)-R274&lt;0.005,0,J274-MIN(J$160,J274)-R274)</f>
        <v>0</v>
      </c>
      <c r="AA274" s="36">
        <f>IF(K274-MIN(K$160,K274)-S274&lt;0.005,0,K274-MIN(K$160,K274)-S274)</f>
        <v>0</v>
      </c>
      <c r="AB274" s="36">
        <f>IF(L274-MIN(L$160,L274)-T274&lt;0.005,0,L274-MIN(L$160,L274)-T274)</f>
        <v>0</v>
      </c>
      <c r="AC274" s="36">
        <f>SUM(U274:AB274)</f>
        <v>0</v>
      </c>
      <c r="AD274" s="36">
        <f>D274+SUM(M274:T274)</f>
        <v>0</v>
      </c>
    </row>
    <row r="275">
      <c r="B275" s="40" t="n">
        <v>111</v>
      </c>
      <c r="C275" s="36">
        <f>MAX(0,Sim_SomaParc+N(Sim_Extra)-D275)</f>
        <v>2790</v>
      </c>
      <c r="D275" s="36">
        <f>MIN(E$160,E275)+MIN(F$160,F275)+MIN(G$160,G275)+MIN(H$160,H275)+MIN(I$160,I275)+MIN(J$160,J275)+MIN(K$160,K275)+MIN(L$160,L275)</f>
        <v>0</v>
      </c>
      <c r="E275" s="36">
        <f>U274*(1+E$159)</f>
        <v>0</v>
      </c>
      <c r="F275" s="36">
        <f>V274*(1+F$159)</f>
        <v>0</v>
      </c>
      <c r="G275" s="36">
        <f>W274*(1+G$159)</f>
        <v>0</v>
      </c>
      <c r="H275" s="36">
        <f>X274*(1+H$159)</f>
        <v>0</v>
      </c>
      <c r="I275" s="36">
        <f>Y274*(1+I$159)</f>
        <v>0</v>
      </c>
      <c r="J275" s="36">
        <f>Z274*(1+J$159)</f>
        <v>0</v>
      </c>
      <c r="K275" s="36">
        <f>AA274*(1+K$159)</f>
        <v>0</v>
      </c>
      <c r="L275" s="36">
        <f>AB274*(1+L$159)</f>
        <v>0</v>
      </c>
      <c r="M275" s="36">
        <f>MIN(E275-MIN(E$160,E275),MAX(0,$C275-0))</f>
        <v>0</v>
      </c>
      <c r="N275" s="36">
        <f>MIN(F275-MIN(F$160,F275),MAX(0,$C275-SUM($M275:M275)))</f>
        <v>0</v>
      </c>
      <c r="O275" s="36">
        <f>MIN(G275-MIN(G$160,G275),MAX(0,$C275-SUM($M275:N275)))</f>
        <v>0</v>
      </c>
      <c r="P275" s="36">
        <f>MIN(H275-MIN(H$160,H275),MAX(0,$C275-SUM($M275:O275)))</f>
        <v>0</v>
      </c>
      <c r="Q275" s="36">
        <f>MIN(I275-MIN(I$160,I275),MAX(0,$C275-SUM($M275:P275)))</f>
        <v>0</v>
      </c>
      <c r="R275" s="36">
        <f>MIN(J275-MIN(J$160,J275),MAX(0,$C275-SUM($M275:Q275)))</f>
        <v>0</v>
      </c>
      <c r="S275" s="36">
        <f>MIN(K275-MIN(K$160,K275),MAX(0,$C275-SUM($M275:R275)))</f>
        <v>0</v>
      </c>
      <c r="T275" s="36">
        <f>MIN(L275-MIN(L$160,L275),MAX(0,$C275-SUM($M275:S275)))</f>
        <v>0</v>
      </c>
      <c r="U275" s="36">
        <f>IF(E275-MIN(E$160,E275)-M275&lt;0.005,0,E275-MIN(E$160,E275)-M275)</f>
        <v>0</v>
      </c>
      <c r="V275" s="36">
        <f>IF(F275-MIN(F$160,F275)-N275&lt;0.005,0,F275-MIN(F$160,F275)-N275)</f>
        <v>0</v>
      </c>
      <c r="W275" s="36">
        <f>IF(G275-MIN(G$160,G275)-O275&lt;0.005,0,G275-MIN(G$160,G275)-O275)</f>
        <v>0</v>
      </c>
      <c r="X275" s="36">
        <f>IF(H275-MIN(H$160,H275)-P275&lt;0.005,0,H275-MIN(H$160,H275)-P275)</f>
        <v>0</v>
      </c>
      <c r="Y275" s="36">
        <f>IF(I275-MIN(I$160,I275)-Q275&lt;0.005,0,I275-MIN(I$160,I275)-Q275)</f>
        <v>0</v>
      </c>
      <c r="Z275" s="36">
        <f>IF(J275-MIN(J$160,J275)-R275&lt;0.005,0,J275-MIN(J$160,J275)-R275)</f>
        <v>0</v>
      </c>
      <c r="AA275" s="36">
        <f>IF(K275-MIN(K$160,K275)-S275&lt;0.005,0,K275-MIN(K$160,K275)-S275)</f>
        <v>0</v>
      </c>
      <c r="AB275" s="36">
        <f>IF(L275-MIN(L$160,L275)-T275&lt;0.005,0,L275-MIN(L$160,L275)-T275)</f>
        <v>0</v>
      </c>
      <c r="AC275" s="36">
        <f>SUM(U275:AB275)</f>
        <v>0</v>
      </c>
      <c r="AD275" s="36">
        <f>D275+SUM(M275:T275)</f>
        <v>0</v>
      </c>
    </row>
    <row r="276">
      <c r="B276" s="40" t="n">
        <v>112</v>
      </c>
      <c r="C276" s="36">
        <f>MAX(0,Sim_SomaParc+N(Sim_Extra)-D276)</f>
        <v>2790</v>
      </c>
      <c r="D276" s="36">
        <f>MIN(E$160,E276)+MIN(F$160,F276)+MIN(G$160,G276)+MIN(H$160,H276)+MIN(I$160,I276)+MIN(J$160,J276)+MIN(K$160,K276)+MIN(L$160,L276)</f>
        <v>0</v>
      </c>
      <c r="E276" s="36">
        <f>U275*(1+E$159)</f>
        <v>0</v>
      </c>
      <c r="F276" s="36">
        <f>V275*(1+F$159)</f>
        <v>0</v>
      </c>
      <c r="G276" s="36">
        <f>W275*(1+G$159)</f>
        <v>0</v>
      </c>
      <c r="H276" s="36">
        <f>X275*(1+H$159)</f>
        <v>0</v>
      </c>
      <c r="I276" s="36">
        <f>Y275*(1+I$159)</f>
        <v>0</v>
      </c>
      <c r="J276" s="36">
        <f>Z275*(1+J$159)</f>
        <v>0</v>
      </c>
      <c r="K276" s="36">
        <f>AA275*(1+K$159)</f>
        <v>0</v>
      </c>
      <c r="L276" s="36">
        <f>AB275*(1+L$159)</f>
        <v>0</v>
      </c>
      <c r="M276" s="36">
        <f>MIN(E276-MIN(E$160,E276),MAX(0,$C276-0))</f>
        <v>0</v>
      </c>
      <c r="N276" s="36">
        <f>MIN(F276-MIN(F$160,F276),MAX(0,$C276-SUM($M276:M276)))</f>
        <v>0</v>
      </c>
      <c r="O276" s="36">
        <f>MIN(G276-MIN(G$160,G276),MAX(0,$C276-SUM($M276:N276)))</f>
        <v>0</v>
      </c>
      <c r="P276" s="36">
        <f>MIN(H276-MIN(H$160,H276),MAX(0,$C276-SUM($M276:O276)))</f>
        <v>0</v>
      </c>
      <c r="Q276" s="36">
        <f>MIN(I276-MIN(I$160,I276),MAX(0,$C276-SUM($M276:P276)))</f>
        <v>0</v>
      </c>
      <c r="R276" s="36">
        <f>MIN(J276-MIN(J$160,J276),MAX(0,$C276-SUM($M276:Q276)))</f>
        <v>0</v>
      </c>
      <c r="S276" s="36">
        <f>MIN(K276-MIN(K$160,K276),MAX(0,$C276-SUM($M276:R276)))</f>
        <v>0</v>
      </c>
      <c r="T276" s="36">
        <f>MIN(L276-MIN(L$160,L276),MAX(0,$C276-SUM($M276:S276)))</f>
        <v>0</v>
      </c>
      <c r="U276" s="36">
        <f>IF(E276-MIN(E$160,E276)-M276&lt;0.005,0,E276-MIN(E$160,E276)-M276)</f>
        <v>0</v>
      </c>
      <c r="V276" s="36">
        <f>IF(F276-MIN(F$160,F276)-N276&lt;0.005,0,F276-MIN(F$160,F276)-N276)</f>
        <v>0</v>
      </c>
      <c r="W276" s="36">
        <f>IF(G276-MIN(G$160,G276)-O276&lt;0.005,0,G276-MIN(G$160,G276)-O276)</f>
        <v>0</v>
      </c>
      <c r="X276" s="36">
        <f>IF(H276-MIN(H$160,H276)-P276&lt;0.005,0,H276-MIN(H$160,H276)-P276)</f>
        <v>0</v>
      </c>
      <c r="Y276" s="36">
        <f>IF(I276-MIN(I$160,I276)-Q276&lt;0.005,0,I276-MIN(I$160,I276)-Q276)</f>
        <v>0</v>
      </c>
      <c r="Z276" s="36">
        <f>IF(J276-MIN(J$160,J276)-R276&lt;0.005,0,J276-MIN(J$160,J276)-R276)</f>
        <v>0</v>
      </c>
      <c r="AA276" s="36">
        <f>IF(K276-MIN(K$160,K276)-S276&lt;0.005,0,K276-MIN(K$160,K276)-S276)</f>
        <v>0</v>
      </c>
      <c r="AB276" s="36">
        <f>IF(L276-MIN(L$160,L276)-T276&lt;0.005,0,L276-MIN(L$160,L276)-T276)</f>
        <v>0</v>
      </c>
      <c r="AC276" s="36">
        <f>SUM(U276:AB276)</f>
        <v>0</v>
      </c>
      <c r="AD276" s="36">
        <f>D276+SUM(M276:T276)</f>
        <v>0</v>
      </c>
    </row>
    <row r="277">
      <c r="B277" s="40" t="n">
        <v>113</v>
      </c>
      <c r="C277" s="36">
        <f>MAX(0,Sim_SomaParc+N(Sim_Extra)-D277)</f>
        <v>2790</v>
      </c>
      <c r="D277" s="36">
        <f>MIN(E$160,E277)+MIN(F$160,F277)+MIN(G$160,G277)+MIN(H$160,H277)+MIN(I$160,I277)+MIN(J$160,J277)+MIN(K$160,K277)+MIN(L$160,L277)</f>
        <v>0</v>
      </c>
      <c r="E277" s="36">
        <f>U276*(1+E$159)</f>
        <v>0</v>
      </c>
      <c r="F277" s="36">
        <f>V276*(1+F$159)</f>
        <v>0</v>
      </c>
      <c r="G277" s="36">
        <f>W276*(1+G$159)</f>
        <v>0</v>
      </c>
      <c r="H277" s="36">
        <f>X276*(1+H$159)</f>
        <v>0</v>
      </c>
      <c r="I277" s="36">
        <f>Y276*(1+I$159)</f>
        <v>0</v>
      </c>
      <c r="J277" s="36">
        <f>Z276*(1+J$159)</f>
        <v>0</v>
      </c>
      <c r="K277" s="36">
        <f>AA276*(1+K$159)</f>
        <v>0</v>
      </c>
      <c r="L277" s="36">
        <f>AB276*(1+L$159)</f>
        <v>0</v>
      </c>
      <c r="M277" s="36">
        <f>MIN(E277-MIN(E$160,E277),MAX(0,$C277-0))</f>
        <v>0</v>
      </c>
      <c r="N277" s="36">
        <f>MIN(F277-MIN(F$160,F277),MAX(0,$C277-SUM($M277:M277)))</f>
        <v>0</v>
      </c>
      <c r="O277" s="36">
        <f>MIN(G277-MIN(G$160,G277),MAX(0,$C277-SUM($M277:N277)))</f>
        <v>0</v>
      </c>
      <c r="P277" s="36">
        <f>MIN(H277-MIN(H$160,H277),MAX(0,$C277-SUM($M277:O277)))</f>
        <v>0</v>
      </c>
      <c r="Q277" s="36">
        <f>MIN(I277-MIN(I$160,I277),MAX(0,$C277-SUM($M277:P277)))</f>
        <v>0</v>
      </c>
      <c r="R277" s="36">
        <f>MIN(J277-MIN(J$160,J277),MAX(0,$C277-SUM($M277:Q277)))</f>
        <v>0</v>
      </c>
      <c r="S277" s="36">
        <f>MIN(K277-MIN(K$160,K277),MAX(0,$C277-SUM($M277:R277)))</f>
        <v>0</v>
      </c>
      <c r="T277" s="36">
        <f>MIN(L277-MIN(L$160,L277),MAX(0,$C277-SUM($M277:S277)))</f>
        <v>0</v>
      </c>
      <c r="U277" s="36">
        <f>IF(E277-MIN(E$160,E277)-M277&lt;0.005,0,E277-MIN(E$160,E277)-M277)</f>
        <v>0</v>
      </c>
      <c r="V277" s="36">
        <f>IF(F277-MIN(F$160,F277)-N277&lt;0.005,0,F277-MIN(F$160,F277)-N277)</f>
        <v>0</v>
      </c>
      <c r="W277" s="36">
        <f>IF(G277-MIN(G$160,G277)-O277&lt;0.005,0,G277-MIN(G$160,G277)-O277)</f>
        <v>0</v>
      </c>
      <c r="X277" s="36">
        <f>IF(H277-MIN(H$160,H277)-P277&lt;0.005,0,H277-MIN(H$160,H277)-P277)</f>
        <v>0</v>
      </c>
      <c r="Y277" s="36">
        <f>IF(I277-MIN(I$160,I277)-Q277&lt;0.005,0,I277-MIN(I$160,I277)-Q277)</f>
        <v>0</v>
      </c>
      <c r="Z277" s="36">
        <f>IF(J277-MIN(J$160,J277)-R277&lt;0.005,0,J277-MIN(J$160,J277)-R277)</f>
        <v>0</v>
      </c>
      <c r="AA277" s="36">
        <f>IF(K277-MIN(K$160,K277)-S277&lt;0.005,0,K277-MIN(K$160,K277)-S277)</f>
        <v>0</v>
      </c>
      <c r="AB277" s="36">
        <f>IF(L277-MIN(L$160,L277)-T277&lt;0.005,0,L277-MIN(L$160,L277)-T277)</f>
        <v>0</v>
      </c>
      <c r="AC277" s="36">
        <f>SUM(U277:AB277)</f>
        <v>0</v>
      </c>
      <c r="AD277" s="36">
        <f>D277+SUM(M277:T277)</f>
        <v>0</v>
      </c>
    </row>
    <row r="278">
      <c r="B278" s="40" t="n">
        <v>114</v>
      </c>
      <c r="C278" s="36">
        <f>MAX(0,Sim_SomaParc+N(Sim_Extra)-D278)</f>
        <v>2790</v>
      </c>
      <c r="D278" s="36">
        <f>MIN(E$160,E278)+MIN(F$160,F278)+MIN(G$160,G278)+MIN(H$160,H278)+MIN(I$160,I278)+MIN(J$160,J278)+MIN(K$160,K278)+MIN(L$160,L278)</f>
        <v>0</v>
      </c>
      <c r="E278" s="36">
        <f>U277*(1+E$159)</f>
        <v>0</v>
      </c>
      <c r="F278" s="36">
        <f>V277*(1+F$159)</f>
        <v>0</v>
      </c>
      <c r="G278" s="36">
        <f>W277*(1+G$159)</f>
        <v>0</v>
      </c>
      <c r="H278" s="36">
        <f>X277*(1+H$159)</f>
        <v>0</v>
      </c>
      <c r="I278" s="36">
        <f>Y277*(1+I$159)</f>
        <v>0</v>
      </c>
      <c r="J278" s="36">
        <f>Z277*(1+J$159)</f>
        <v>0</v>
      </c>
      <c r="K278" s="36">
        <f>AA277*(1+K$159)</f>
        <v>0</v>
      </c>
      <c r="L278" s="36">
        <f>AB277*(1+L$159)</f>
        <v>0</v>
      </c>
      <c r="M278" s="36">
        <f>MIN(E278-MIN(E$160,E278),MAX(0,$C278-0))</f>
        <v>0</v>
      </c>
      <c r="N278" s="36">
        <f>MIN(F278-MIN(F$160,F278),MAX(0,$C278-SUM($M278:M278)))</f>
        <v>0</v>
      </c>
      <c r="O278" s="36">
        <f>MIN(G278-MIN(G$160,G278),MAX(0,$C278-SUM($M278:N278)))</f>
        <v>0</v>
      </c>
      <c r="P278" s="36">
        <f>MIN(H278-MIN(H$160,H278),MAX(0,$C278-SUM($M278:O278)))</f>
        <v>0</v>
      </c>
      <c r="Q278" s="36">
        <f>MIN(I278-MIN(I$160,I278),MAX(0,$C278-SUM($M278:P278)))</f>
        <v>0</v>
      </c>
      <c r="R278" s="36">
        <f>MIN(J278-MIN(J$160,J278),MAX(0,$C278-SUM($M278:Q278)))</f>
        <v>0</v>
      </c>
      <c r="S278" s="36">
        <f>MIN(K278-MIN(K$160,K278),MAX(0,$C278-SUM($M278:R278)))</f>
        <v>0</v>
      </c>
      <c r="T278" s="36">
        <f>MIN(L278-MIN(L$160,L278),MAX(0,$C278-SUM($M278:S278)))</f>
        <v>0</v>
      </c>
      <c r="U278" s="36">
        <f>IF(E278-MIN(E$160,E278)-M278&lt;0.005,0,E278-MIN(E$160,E278)-M278)</f>
        <v>0</v>
      </c>
      <c r="V278" s="36">
        <f>IF(F278-MIN(F$160,F278)-N278&lt;0.005,0,F278-MIN(F$160,F278)-N278)</f>
        <v>0</v>
      </c>
      <c r="W278" s="36">
        <f>IF(G278-MIN(G$160,G278)-O278&lt;0.005,0,G278-MIN(G$160,G278)-O278)</f>
        <v>0</v>
      </c>
      <c r="X278" s="36">
        <f>IF(H278-MIN(H$160,H278)-P278&lt;0.005,0,H278-MIN(H$160,H278)-P278)</f>
        <v>0</v>
      </c>
      <c r="Y278" s="36">
        <f>IF(I278-MIN(I$160,I278)-Q278&lt;0.005,0,I278-MIN(I$160,I278)-Q278)</f>
        <v>0</v>
      </c>
      <c r="Z278" s="36">
        <f>IF(J278-MIN(J$160,J278)-R278&lt;0.005,0,J278-MIN(J$160,J278)-R278)</f>
        <v>0</v>
      </c>
      <c r="AA278" s="36">
        <f>IF(K278-MIN(K$160,K278)-S278&lt;0.005,0,K278-MIN(K$160,K278)-S278)</f>
        <v>0</v>
      </c>
      <c r="AB278" s="36">
        <f>IF(L278-MIN(L$160,L278)-T278&lt;0.005,0,L278-MIN(L$160,L278)-T278)</f>
        <v>0</v>
      </c>
      <c r="AC278" s="36">
        <f>SUM(U278:AB278)</f>
        <v>0</v>
      </c>
      <c r="AD278" s="36">
        <f>D278+SUM(M278:T278)</f>
        <v>0</v>
      </c>
    </row>
    <row r="279">
      <c r="B279" s="40" t="n">
        <v>115</v>
      </c>
      <c r="C279" s="36">
        <f>MAX(0,Sim_SomaParc+N(Sim_Extra)-D279)</f>
        <v>2790</v>
      </c>
      <c r="D279" s="36">
        <f>MIN(E$160,E279)+MIN(F$160,F279)+MIN(G$160,G279)+MIN(H$160,H279)+MIN(I$160,I279)+MIN(J$160,J279)+MIN(K$160,K279)+MIN(L$160,L279)</f>
        <v>0</v>
      </c>
      <c r="E279" s="36">
        <f>U278*(1+E$159)</f>
        <v>0</v>
      </c>
      <c r="F279" s="36">
        <f>V278*(1+F$159)</f>
        <v>0</v>
      </c>
      <c r="G279" s="36">
        <f>W278*(1+G$159)</f>
        <v>0</v>
      </c>
      <c r="H279" s="36">
        <f>X278*(1+H$159)</f>
        <v>0</v>
      </c>
      <c r="I279" s="36">
        <f>Y278*(1+I$159)</f>
        <v>0</v>
      </c>
      <c r="J279" s="36">
        <f>Z278*(1+J$159)</f>
        <v>0</v>
      </c>
      <c r="K279" s="36">
        <f>AA278*(1+K$159)</f>
        <v>0</v>
      </c>
      <c r="L279" s="36">
        <f>AB278*(1+L$159)</f>
        <v>0</v>
      </c>
      <c r="M279" s="36">
        <f>MIN(E279-MIN(E$160,E279),MAX(0,$C279-0))</f>
        <v>0</v>
      </c>
      <c r="N279" s="36">
        <f>MIN(F279-MIN(F$160,F279),MAX(0,$C279-SUM($M279:M279)))</f>
        <v>0</v>
      </c>
      <c r="O279" s="36">
        <f>MIN(G279-MIN(G$160,G279),MAX(0,$C279-SUM($M279:N279)))</f>
        <v>0</v>
      </c>
      <c r="P279" s="36">
        <f>MIN(H279-MIN(H$160,H279),MAX(0,$C279-SUM($M279:O279)))</f>
        <v>0</v>
      </c>
      <c r="Q279" s="36">
        <f>MIN(I279-MIN(I$160,I279),MAX(0,$C279-SUM($M279:P279)))</f>
        <v>0</v>
      </c>
      <c r="R279" s="36">
        <f>MIN(J279-MIN(J$160,J279),MAX(0,$C279-SUM($M279:Q279)))</f>
        <v>0</v>
      </c>
      <c r="S279" s="36">
        <f>MIN(K279-MIN(K$160,K279),MAX(0,$C279-SUM($M279:R279)))</f>
        <v>0</v>
      </c>
      <c r="T279" s="36">
        <f>MIN(L279-MIN(L$160,L279),MAX(0,$C279-SUM($M279:S279)))</f>
        <v>0</v>
      </c>
      <c r="U279" s="36">
        <f>IF(E279-MIN(E$160,E279)-M279&lt;0.005,0,E279-MIN(E$160,E279)-M279)</f>
        <v>0</v>
      </c>
      <c r="V279" s="36">
        <f>IF(F279-MIN(F$160,F279)-N279&lt;0.005,0,F279-MIN(F$160,F279)-N279)</f>
        <v>0</v>
      </c>
      <c r="W279" s="36">
        <f>IF(G279-MIN(G$160,G279)-O279&lt;0.005,0,G279-MIN(G$160,G279)-O279)</f>
        <v>0</v>
      </c>
      <c r="X279" s="36">
        <f>IF(H279-MIN(H$160,H279)-P279&lt;0.005,0,H279-MIN(H$160,H279)-P279)</f>
        <v>0</v>
      </c>
      <c r="Y279" s="36">
        <f>IF(I279-MIN(I$160,I279)-Q279&lt;0.005,0,I279-MIN(I$160,I279)-Q279)</f>
        <v>0</v>
      </c>
      <c r="Z279" s="36">
        <f>IF(J279-MIN(J$160,J279)-R279&lt;0.005,0,J279-MIN(J$160,J279)-R279)</f>
        <v>0</v>
      </c>
      <c r="AA279" s="36">
        <f>IF(K279-MIN(K$160,K279)-S279&lt;0.005,0,K279-MIN(K$160,K279)-S279)</f>
        <v>0</v>
      </c>
      <c r="AB279" s="36">
        <f>IF(L279-MIN(L$160,L279)-T279&lt;0.005,0,L279-MIN(L$160,L279)-T279)</f>
        <v>0</v>
      </c>
      <c r="AC279" s="36">
        <f>SUM(U279:AB279)</f>
        <v>0</v>
      </c>
      <c r="AD279" s="36">
        <f>D279+SUM(M279:T279)</f>
        <v>0</v>
      </c>
    </row>
    <row r="280">
      <c r="B280" s="40" t="n">
        <v>116</v>
      </c>
      <c r="C280" s="36">
        <f>MAX(0,Sim_SomaParc+N(Sim_Extra)-D280)</f>
        <v>2790</v>
      </c>
      <c r="D280" s="36">
        <f>MIN(E$160,E280)+MIN(F$160,F280)+MIN(G$160,G280)+MIN(H$160,H280)+MIN(I$160,I280)+MIN(J$160,J280)+MIN(K$160,K280)+MIN(L$160,L280)</f>
        <v>0</v>
      </c>
      <c r="E280" s="36">
        <f>U279*(1+E$159)</f>
        <v>0</v>
      </c>
      <c r="F280" s="36">
        <f>V279*(1+F$159)</f>
        <v>0</v>
      </c>
      <c r="G280" s="36">
        <f>W279*(1+G$159)</f>
        <v>0</v>
      </c>
      <c r="H280" s="36">
        <f>X279*(1+H$159)</f>
        <v>0</v>
      </c>
      <c r="I280" s="36">
        <f>Y279*(1+I$159)</f>
        <v>0</v>
      </c>
      <c r="J280" s="36">
        <f>Z279*(1+J$159)</f>
        <v>0</v>
      </c>
      <c r="K280" s="36">
        <f>AA279*(1+K$159)</f>
        <v>0</v>
      </c>
      <c r="L280" s="36">
        <f>AB279*(1+L$159)</f>
        <v>0</v>
      </c>
      <c r="M280" s="36">
        <f>MIN(E280-MIN(E$160,E280),MAX(0,$C280-0))</f>
        <v>0</v>
      </c>
      <c r="N280" s="36">
        <f>MIN(F280-MIN(F$160,F280),MAX(0,$C280-SUM($M280:M280)))</f>
        <v>0</v>
      </c>
      <c r="O280" s="36">
        <f>MIN(G280-MIN(G$160,G280),MAX(0,$C280-SUM($M280:N280)))</f>
        <v>0</v>
      </c>
      <c r="P280" s="36">
        <f>MIN(H280-MIN(H$160,H280),MAX(0,$C280-SUM($M280:O280)))</f>
        <v>0</v>
      </c>
      <c r="Q280" s="36">
        <f>MIN(I280-MIN(I$160,I280),MAX(0,$C280-SUM($M280:P280)))</f>
        <v>0</v>
      </c>
      <c r="R280" s="36">
        <f>MIN(J280-MIN(J$160,J280),MAX(0,$C280-SUM($M280:Q280)))</f>
        <v>0</v>
      </c>
      <c r="S280" s="36">
        <f>MIN(K280-MIN(K$160,K280),MAX(0,$C280-SUM($M280:R280)))</f>
        <v>0</v>
      </c>
      <c r="T280" s="36">
        <f>MIN(L280-MIN(L$160,L280),MAX(0,$C280-SUM($M280:S280)))</f>
        <v>0</v>
      </c>
      <c r="U280" s="36">
        <f>IF(E280-MIN(E$160,E280)-M280&lt;0.005,0,E280-MIN(E$160,E280)-M280)</f>
        <v>0</v>
      </c>
      <c r="V280" s="36">
        <f>IF(F280-MIN(F$160,F280)-N280&lt;0.005,0,F280-MIN(F$160,F280)-N280)</f>
        <v>0</v>
      </c>
      <c r="W280" s="36">
        <f>IF(G280-MIN(G$160,G280)-O280&lt;0.005,0,G280-MIN(G$160,G280)-O280)</f>
        <v>0</v>
      </c>
      <c r="X280" s="36">
        <f>IF(H280-MIN(H$160,H280)-P280&lt;0.005,0,H280-MIN(H$160,H280)-P280)</f>
        <v>0</v>
      </c>
      <c r="Y280" s="36">
        <f>IF(I280-MIN(I$160,I280)-Q280&lt;0.005,0,I280-MIN(I$160,I280)-Q280)</f>
        <v>0</v>
      </c>
      <c r="Z280" s="36">
        <f>IF(J280-MIN(J$160,J280)-R280&lt;0.005,0,J280-MIN(J$160,J280)-R280)</f>
        <v>0</v>
      </c>
      <c r="AA280" s="36">
        <f>IF(K280-MIN(K$160,K280)-S280&lt;0.005,0,K280-MIN(K$160,K280)-S280)</f>
        <v>0</v>
      </c>
      <c r="AB280" s="36">
        <f>IF(L280-MIN(L$160,L280)-T280&lt;0.005,0,L280-MIN(L$160,L280)-T280)</f>
        <v>0</v>
      </c>
      <c r="AC280" s="36">
        <f>SUM(U280:AB280)</f>
        <v>0</v>
      </c>
      <c r="AD280" s="36">
        <f>D280+SUM(M280:T280)</f>
        <v>0</v>
      </c>
    </row>
    <row r="281">
      <c r="B281" s="40" t="n">
        <v>117</v>
      </c>
      <c r="C281" s="36">
        <f>MAX(0,Sim_SomaParc+N(Sim_Extra)-D281)</f>
        <v>2790</v>
      </c>
      <c r="D281" s="36">
        <f>MIN(E$160,E281)+MIN(F$160,F281)+MIN(G$160,G281)+MIN(H$160,H281)+MIN(I$160,I281)+MIN(J$160,J281)+MIN(K$160,K281)+MIN(L$160,L281)</f>
        <v>0</v>
      </c>
      <c r="E281" s="36">
        <f>U280*(1+E$159)</f>
        <v>0</v>
      </c>
      <c r="F281" s="36">
        <f>V280*(1+F$159)</f>
        <v>0</v>
      </c>
      <c r="G281" s="36">
        <f>W280*(1+G$159)</f>
        <v>0</v>
      </c>
      <c r="H281" s="36">
        <f>X280*(1+H$159)</f>
        <v>0</v>
      </c>
      <c r="I281" s="36">
        <f>Y280*(1+I$159)</f>
        <v>0</v>
      </c>
      <c r="J281" s="36">
        <f>Z280*(1+J$159)</f>
        <v>0</v>
      </c>
      <c r="K281" s="36">
        <f>AA280*(1+K$159)</f>
        <v>0</v>
      </c>
      <c r="L281" s="36">
        <f>AB280*(1+L$159)</f>
        <v>0</v>
      </c>
      <c r="M281" s="36">
        <f>MIN(E281-MIN(E$160,E281),MAX(0,$C281-0))</f>
        <v>0</v>
      </c>
      <c r="N281" s="36">
        <f>MIN(F281-MIN(F$160,F281),MAX(0,$C281-SUM($M281:M281)))</f>
        <v>0</v>
      </c>
      <c r="O281" s="36">
        <f>MIN(G281-MIN(G$160,G281),MAX(0,$C281-SUM($M281:N281)))</f>
        <v>0</v>
      </c>
      <c r="P281" s="36">
        <f>MIN(H281-MIN(H$160,H281),MAX(0,$C281-SUM($M281:O281)))</f>
        <v>0</v>
      </c>
      <c r="Q281" s="36">
        <f>MIN(I281-MIN(I$160,I281),MAX(0,$C281-SUM($M281:P281)))</f>
        <v>0</v>
      </c>
      <c r="R281" s="36">
        <f>MIN(J281-MIN(J$160,J281),MAX(0,$C281-SUM($M281:Q281)))</f>
        <v>0</v>
      </c>
      <c r="S281" s="36">
        <f>MIN(K281-MIN(K$160,K281),MAX(0,$C281-SUM($M281:R281)))</f>
        <v>0</v>
      </c>
      <c r="T281" s="36">
        <f>MIN(L281-MIN(L$160,L281),MAX(0,$C281-SUM($M281:S281)))</f>
        <v>0</v>
      </c>
      <c r="U281" s="36">
        <f>IF(E281-MIN(E$160,E281)-M281&lt;0.005,0,E281-MIN(E$160,E281)-M281)</f>
        <v>0</v>
      </c>
      <c r="V281" s="36">
        <f>IF(F281-MIN(F$160,F281)-N281&lt;0.005,0,F281-MIN(F$160,F281)-N281)</f>
        <v>0</v>
      </c>
      <c r="W281" s="36">
        <f>IF(G281-MIN(G$160,G281)-O281&lt;0.005,0,G281-MIN(G$160,G281)-O281)</f>
        <v>0</v>
      </c>
      <c r="X281" s="36">
        <f>IF(H281-MIN(H$160,H281)-P281&lt;0.005,0,H281-MIN(H$160,H281)-P281)</f>
        <v>0</v>
      </c>
      <c r="Y281" s="36">
        <f>IF(I281-MIN(I$160,I281)-Q281&lt;0.005,0,I281-MIN(I$160,I281)-Q281)</f>
        <v>0</v>
      </c>
      <c r="Z281" s="36">
        <f>IF(J281-MIN(J$160,J281)-R281&lt;0.005,0,J281-MIN(J$160,J281)-R281)</f>
        <v>0</v>
      </c>
      <c r="AA281" s="36">
        <f>IF(K281-MIN(K$160,K281)-S281&lt;0.005,0,K281-MIN(K$160,K281)-S281)</f>
        <v>0</v>
      </c>
      <c r="AB281" s="36">
        <f>IF(L281-MIN(L$160,L281)-T281&lt;0.005,0,L281-MIN(L$160,L281)-T281)</f>
        <v>0</v>
      </c>
      <c r="AC281" s="36">
        <f>SUM(U281:AB281)</f>
        <v>0</v>
      </c>
      <c r="AD281" s="36">
        <f>D281+SUM(M281:T281)</f>
        <v>0</v>
      </c>
    </row>
    <row r="282">
      <c r="B282" s="40" t="n">
        <v>118</v>
      </c>
      <c r="C282" s="36">
        <f>MAX(0,Sim_SomaParc+N(Sim_Extra)-D282)</f>
        <v>2790</v>
      </c>
      <c r="D282" s="36">
        <f>MIN(E$160,E282)+MIN(F$160,F282)+MIN(G$160,G282)+MIN(H$160,H282)+MIN(I$160,I282)+MIN(J$160,J282)+MIN(K$160,K282)+MIN(L$160,L282)</f>
        <v>0</v>
      </c>
      <c r="E282" s="36">
        <f>U281*(1+E$159)</f>
        <v>0</v>
      </c>
      <c r="F282" s="36">
        <f>V281*(1+F$159)</f>
        <v>0</v>
      </c>
      <c r="G282" s="36">
        <f>W281*(1+G$159)</f>
        <v>0</v>
      </c>
      <c r="H282" s="36">
        <f>X281*(1+H$159)</f>
        <v>0</v>
      </c>
      <c r="I282" s="36">
        <f>Y281*(1+I$159)</f>
        <v>0</v>
      </c>
      <c r="J282" s="36">
        <f>Z281*(1+J$159)</f>
        <v>0</v>
      </c>
      <c r="K282" s="36">
        <f>AA281*(1+K$159)</f>
        <v>0</v>
      </c>
      <c r="L282" s="36">
        <f>AB281*(1+L$159)</f>
        <v>0</v>
      </c>
      <c r="M282" s="36">
        <f>MIN(E282-MIN(E$160,E282),MAX(0,$C282-0))</f>
        <v>0</v>
      </c>
      <c r="N282" s="36">
        <f>MIN(F282-MIN(F$160,F282),MAX(0,$C282-SUM($M282:M282)))</f>
        <v>0</v>
      </c>
      <c r="O282" s="36">
        <f>MIN(G282-MIN(G$160,G282),MAX(0,$C282-SUM($M282:N282)))</f>
        <v>0</v>
      </c>
      <c r="P282" s="36">
        <f>MIN(H282-MIN(H$160,H282),MAX(0,$C282-SUM($M282:O282)))</f>
        <v>0</v>
      </c>
      <c r="Q282" s="36">
        <f>MIN(I282-MIN(I$160,I282),MAX(0,$C282-SUM($M282:P282)))</f>
        <v>0</v>
      </c>
      <c r="R282" s="36">
        <f>MIN(J282-MIN(J$160,J282),MAX(0,$C282-SUM($M282:Q282)))</f>
        <v>0</v>
      </c>
      <c r="S282" s="36">
        <f>MIN(K282-MIN(K$160,K282),MAX(0,$C282-SUM($M282:R282)))</f>
        <v>0</v>
      </c>
      <c r="T282" s="36">
        <f>MIN(L282-MIN(L$160,L282),MAX(0,$C282-SUM($M282:S282)))</f>
        <v>0</v>
      </c>
      <c r="U282" s="36">
        <f>IF(E282-MIN(E$160,E282)-M282&lt;0.005,0,E282-MIN(E$160,E282)-M282)</f>
        <v>0</v>
      </c>
      <c r="V282" s="36">
        <f>IF(F282-MIN(F$160,F282)-N282&lt;0.005,0,F282-MIN(F$160,F282)-N282)</f>
        <v>0</v>
      </c>
      <c r="W282" s="36">
        <f>IF(G282-MIN(G$160,G282)-O282&lt;0.005,0,G282-MIN(G$160,G282)-O282)</f>
        <v>0</v>
      </c>
      <c r="X282" s="36">
        <f>IF(H282-MIN(H$160,H282)-P282&lt;0.005,0,H282-MIN(H$160,H282)-P282)</f>
        <v>0</v>
      </c>
      <c r="Y282" s="36">
        <f>IF(I282-MIN(I$160,I282)-Q282&lt;0.005,0,I282-MIN(I$160,I282)-Q282)</f>
        <v>0</v>
      </c>
      <c r="Z282" s="36">
        <f>IF(J282-MIN(J$160,J282)-R282&lt;0.005,0,J282-MIN(J$160,J282)-R282)</f>
        <v>0</v>
      </c>
      <c r="AA282" s="36">
        <f>IF(K282-MIN(K$160,K282)-S282&lt;0.005,0,K282-MIN(K$160,K282)-S282)</f>
        <v>0</v>
      </c>
      <c r="AB282" s="36">
        <f>IF(L282-MIN(L$160,L282)-T282&lt;0.005,0,L282-MIN(L$160,L282)-T282)</f>
        <v>0</v>
      </c>
      <c r="AC282" s="36">
        <f>SUM(U282:AB282)</f>
        <v>0</v>
      </c>
      <c r="AD282" s="36">
        <f>D282+SUM(M282:T282)</f>
        <v>0</v>
      </c>
    </row>
    <row r="283">
      <c r="B283" s="40" t="n">
        <v>119</v>
      </c>
      <c r="C283" s="36">
        <f>MAX(0,Sim_SomaParc+N(Sim_Extra)-D283)</f>
        <v>2790</v>
      </c>
      <c r="D283" s="36">
        <f>MIN(E$160,E283)+MIN(F$160,F283)+MIN(G$160,G283)+MIN(H$160,H283)+MIN(I$160,I283)+MIN(J$160,J283)+MIN(K$160,K283)+MIN(L$160,L283)</f>
        <v>0</v>
      </c>
      <c r="E283" s="36">
        <f>U282*(1+E$159)</f>
        <v>0</v>
      </c>
      <c r="F283" s="36">
        <f>V282*(1+F$159)</f>
        <v>0</v>
      </c>
      <c r="G283" s="36">
        <f>W282*(1+G$159)</f>
        <v>0</v>
      </c>
      <c r="H283" s="36">
        <f>X282*(1+H$159)</f>
        <v>0</v>
      </c>
      <c r="I283" s="36">
        <f>Y282*(1+I$159)</f>
        <v>0</v>
      </c>
      <c r="J283" s="36">
        <f>Z282*(1+J$159)</f>
        <v>0</v>
      </c>
      <c r="K283" s="36">
        <f>AA282*(1+K$159)</f>
        <v>0</v>
      </c>
      <c r="L283" s="36">
        <f>AB282*(1+L$159)</f>
        <v>0</v>
      </c>
      <c r="M283" s="36">
        <f>MIN(E283-MIN(E$160,E283),MAX(0,$C283-0))</f>
        <v>0</v>
      </c>
      <c r="N283" s="36">
        <f>MIN(F283-MIN(F$160,F283),MAX(0,$C283-SUM($M283:M283)))</f>
        <v>0</v>
      </c>
      <c r="O283" s="36">
        <f>MIN(G283-MIN(G$160,G283),MAX(0,$C283-SUM($M283:N283)))</f>
        <v>0</v>
      </c>
      <c r="P283" s="36">
        <f>MIN(H283-MIN(H$160,H283),MAX(0,$C283-SUM($M283:O283)))</f>
        <v>0</v>
      </c>
      <c r="Q283" s="36">
        <f>MIN(I283-MIN(I$160,I283),MAX(0,$C283-SUM($M283:P283)))</f>
        <v>0</v>
      </c>
      <c r="R283" s="36">
        <f>MIN(J283-MIN(J$160,J283),MAX(0,$C283-SUM($M283:Q283)))</f>
        <v>0</v>
      </c>
      <c r="S283" s="36">
        <f>MIN(K283-MIN(K$160,K283),MAX(0,$C283-SUM($M283:R283)))</f>
        <v>0</v>
      </c>
      <c r="T283" s="36">
        <f>MIN(L283-MIN(L$160,L283),MAX(0,$C283-SUM($M283:S283)))</f>
        <v>0</v>
      </c>
      <c r="U283" s="36">
        <f>IF(E283-MIN(E$160,E283)-M283&lt;0.005,0,E283-MIN(E$160,E283)-M283)</f>
        <v>0</v>
      </c>
      <c r="V283" s="36">
        <f>IF(F283-MIN(F$160,F283)-N283&lt;0.005,0,F283-MIN(F$160,F283)-N283)</f>
        <v>0</v>
      </c>
      <c r="W283" s="36">
        <f>IF(G283-MIN(G$160,G283)-O283&lt;0.005,0,G283-MIN(G$160,G283)-O283)</f>
        <v>0</v>
      </c>
      <c r="X283" s="36">
        <f>IF(H283-MIN(H$160,H283)-P283&lt;0.005,0,H283-MIN(H$160,H283)-P283)</f>
        <v>0</v>
      </c>
      <c r="Y283" s="36">
        <f>IF(I283-MIN(I$160,I283)-Q283&lt;0.005,0,I283-MIN(I$160,I283)-Q283)</f>
        <v>0</v>
      </c>
      <c r="Z283" s="36">
        <f>IF(J283-MIN(J$160,J283)-R283&lt;0.005,0,J283-MIN(J$160,J283)-R283)</f>
        <v>0</v>
      </c>
      <c r="AA283" s="36">
        <f>IF(K283-MIN(K$160,K283)-S283&lt;0.005,0,K283-MIN(K$160,K283)-S283)</f>
        <v>0</v>
      </c>
      <c r="AB283" s="36">
        <f>IF(L283-MIN(L$160,L283)-T283&lt;0.005,0,L283-MIN(L$160,L283)-T283)</f>
        <v>0</v>
      </c>
      <c r="AC283" s="36">
        <f>SUM(U283:AB283)</f>
        <v>0</v>
      </c>
      <c r="AD283" s="36">
        <f>D283+SUM(M283:T283)</f>
        <v>0</v>
      </c>
    </row>
    <row r="284">
      <c r="B284" s="40" t="n">
        <v>120</v>
      </c>
      <c r="C284" s="36">
        <f>MAX(0,Sim_SomaParc+N(Sim_Extra)-D284)</f>
        <v>2790</v>
      </c>
      <c r="D284" s="36">
        <f>MIN(E$160,E284)+MIN(F$160,F284)+MIN(G$160,G284)+MIN(H$160,H284)+MIN(I$160,I284)+MIN(J$160,J284)+MIN(K$160,K284)+MIN(L$160,L284)</f>
        <v>0</v>
      </c>
      <c r="E284" s="36">
        <f>U283*(1+E$159)</f>
        <v>0</v>
      </c>
      <c r="F284" s="36">
        <f>V283*(1+F$159)</f>
        <v>0</v>
      </c>
      <c r="G284" s="36">
        <f>W283*(1+G$159)</f>
        <v>0</v>
      </c>
      <c r="H284" s="36">
        <f>X283*(1+H$159)</f>
        <v>0</v>
      </c>
      <c r="I284" s="36">
        <f>Y283*(1+I$159)</f>
        <v>0</v>
      </c>
      <c r="J284" s="36">
        <f>Z283*(1+J$159)</f>
        <v>0</v>
      </c>
      <c r="K284" s="36">
        <f>AA283*(1+K$159)</f>
        <v>0</v>
      </c>
      <c r="L284" s="36">
        <f>AB283*(1+L$159)</f>
        <v>0</v>
      </c>
      <c r="M284" s="36">
        <f>MIN(E284-MIN(E$160,E284),MAX(0,$C284-0))</f>
        <v>0</v>
      </c>
      <c r="N284" s="36">
        <f>MIN(F284-MIN(F$160,F284),MAX(0,$C284-SUM($M284:M284)))</f>
        <v>0</v>
      </c>
      <c r="O284" s="36">
        <f>MIN(G284-MIN(G$160,G284),MAX(0,$C284-SUM($M284:N284)))</f>
        <v>0</v>
      </c>
      <c r="P284" s="36">
        <f>MIN(H284-MIN(H$160,H284),MAX(0,$C284-SUM($M284:O284)))</f>
        <v>0</v>
      </c>
      <c r="Q284" s="36">
        <f>MIN(I284-MIN(I$160,I284),MAX(0,$C284-SUM($M284:P284)))</f>
        <v>0</v>
      </c>
      <c r="R284" s="36">
        <f>MIN(J284-MIN(J$160,J284),MAX(0,$C284-SUM($M284:Q284)))</f>
        <v>0</v>
      </c>
      <c r="S284" s="36">
        <f>MIN(K284-MIN(K$160,K284),MAX(0,$C284-SUM($M284:R284)))</f>
        <v>0</v>
      </c>
      <c r="T284" s="36">
        <f>MIN(L284-MIN(L$160,L284),MAX(0,$C284-SUM($M284:S284)))</f>
        <v>0</v>
      </c>
      <c r="U284" s="36">
        <f>IF(E284-MIN(E$160,E284)-M284&lt;0.005,0,E284-MIN(E$160,E284)-M284)</f>
        <v>0</v>
      </c>
      <c r="V284" s="36">
        <f>IF(F284-MIN(F$160,F284)-N284&lt;0.005,0,F284-MIN(F$160,F284)-N284)</f>
        <v>0</v>
      </c>
      <c r="W284" s="36">
        <f>IF(G284-MIN(G$160,G284)-O284&lt;0.005,0,G284-MIN(G$160,G284)-O284)</f>
        <v>0</v>
      </c>
      <c r="X284" s="36">
        <f>IF(H284-MIN(H$160,H284)-P284&lt;0.005,0,H284-MIN(H$160,H284)-P284)</f>
        <v>0</v>
      </c>
      <c r="Y284" s="36">
        <f>IF(I284-MIN(I$160,I284)-Q284&lt;0.005,0,I284-MIN(I$160,I284)-Q284)</f>
        <v>0</v>
      </c>
      <c r="Z284" s="36">
        <f>IF(J284-MIN(J$160,J284)-R284&lt;0.005,0,J284-MIN(J$160,J284)-R284)</f>
        <v>0</v>
      </c>
      <c r="AA284" s="36">
        <f>IF(K284-MIN(K$160,K284)-S284&lt;0.005,0,K284-MIN(K$160,K284)-S284)</f>
        <v>0</v>
      </c>
      <c r="AB284" s="36">
        <f>IF(L284-MIN(L$160,L284)-T284&lt;0.005,0,L284-MIN(L$160,L284)-T284)</f>
        <v>0</v>
      </c>
      <c r="AC284" s="36">
        <f>SUM(U284:AB284)</f>
        <v>0</v>
      </c>
      <c r="AD284" s="36">
        <f>D284+SUM(M284:T284)</f>
        <v>0</v>
      </c>
    </row>
    <row r="290">
      <c r="B290" s="6" t="inlineStr">
        <is>
          <t>Método: Avalanche</t>
        </is>
      </c>
    </row>
    <row r="291">
      <c r="B291" s="17" t="inlineStr">
        <is>
          <t>Posição p</t>
        </is>
      </c>
      <c r="E291" s="40" t="n">
        <v>1</v>
      </c>
      <c r="F291" s="40" t="n">
        <v>2</v>
      </c>
      <c r="G291" s="40" t="n">
        <v>3</v>
      </c>
      <c r="H291" s="40" t="n">
        <v>4</v>
      </c>
      <c r="I291" s="40" t="n">
        <v>5</v>
      </c>
      <c r="J291" s="40" t="n">
        <v>6</v>
      </c>
      <c r="K291" s="40" t="n">
        <v>7</v>
      </c>
      <c r="L291" s="40" t="n">
        <v>8</v>
      </c>
    </row>
    <row r="292">
      <c r="B292" s="17" t="inlineStr">
        <is>
          <t>Saldo inicial</t>
        </is>
      </c>
      <c r="E292" s="36">
        <f>INDEX($C$8:$C$15,MATCH(1,Sim_RankAva,0))</f>
        <v>2600</v>
      </c>
      <c r="F292" s="36">
        <f>INDEX($C$8:$C$15,MATCH(2,Sim_RankAva,0))</f>
        <v>28400</v>
      </c>
      <c r="G292" s="36">
        <f>INDEX($C$8:$C$15,MATCH(3,Sim_RankAva,0))</f>
        <v>6100</v>
      </c>
      <c r="H292" s="36">
        <f>INDEX($C$8:$C$15,MATCH(4,Sim_RankAva,0))</f>
        <v>0</v>
      </c>
      <c r="I292" s="36">
        <f>INDEX($C$8:$C$15,MATCH(5,Sim_RankAva,0))</f>
        <v>0</v>
      </c>
      <c r="J292" s="36">
        <f>INDEX($C$8:$C$15,MATCH(6,Sim_RankAva,0))</f>
        <v>0</v>
      </c>
      <c r="K292" s="36">
        <f>INDEX($C$8:$C$15,MATCH(7,Sim_RankAva,0))</f>
        <v>0</v>
      </c>
      <c r="L292" s="36">
        <f>INDEX($C$8:$C$15,MATCH(8,Sim_RankAva,0))</f>
        <v>0</v>
      </c>
    </row>
    <row r="293">
      <c r="B293" s="17" t="inlineStr">
        <is>
          <t>Taxa mensal</t>
        </is>
      </c>
      <c r="E293" s="96">
        <f>INDEX($D$8:$D$15,MATCH(1,Sim_RankAva,0))</f>
        <v>0.035</v>
      </c>
      <c r="F293" s="96">
        <f>INDEX($D$8:$D$15,MATCH(2,Sim_RankAva,0))</f>
        <v>0.02</v>
      </c>
      <c r="G293" s="96">
        <f>INDEX($D$8:$D$15,MATCH(3,Sim_RankAva,0))</f>
        <v>0.016</v>
      </c>
      <c r="H293" s="96">
        <f>INDEX($D$8:$D$15,MATCH(4,Sim_RankAva,0))</f>
        <v>0</v>
      </c>
      <c r="I293" s="96">
        <f>INDEX($D$8:$D$15,MATCH(5,Sim_RankAva,0))</f>
        <v>0</v>
      </c>
      <c r="J293" s="96">
        <f>INDEX($D$8:$D$15,MATCH(6,Sim_RankAva,0))</f>
        <v>0</v>
      </c>
      <c r="K293" s="96">
        <f>INDEX($D$8:$D$15,MATCH(7,Sim_RankAva,0))</f>
        <v>0</v>
      </c>
      <c r="L293" s="96">
        <f>INDEX($D$8:$D$15,MATCH(8,Sim_RankAva,0))</f>
        <v>0</v>
      </c>
    </row>
    <row r="294">
      <c r="B294" s="17" t="inlineStr">
        <is>
          <t>Parcela</t>
        </is>
      </c>
      <c r="E294" s="36">
        <f>INDEX($E$8:$E$15,MATCH(1,Sim_RankAva,0))</f>
        <v>460</v>
      </c>
      <c r="F294" s="36">
        <f>INDEX($E$8:$E$15,MATCH(2,Sim_RankAva,0))</f>
        <v>1150</v>
      </c>
      <c r="G294" s="36">
        <f>INDEX($E$8:$E$15,MATCH(3,Sim_RankAva,0))</f>
        <v>580</v>
      </c>
      <c r="H294" s="36">
        <f>INDEX($E$8:$E$15,MATCH(4,Sim_RankAva,0))</f>
        <v>0</v>
      </c>
      <c r="I294" s="36">
        <f>INDEX($E$8:$E$15,MATCH(5,Sim_RankAva,0))</f>
        <v>0</v>
      </c>
      <c r="J294" s="36">
        <f>INDEX($E$8:$E$15,MATCH(6,Sim_RankAva,0))</f>
        <v>0</v>
      </c>
      <c r="K294" s="36">
        <f>INDEX($E$8:$E$15,MATCH(7,Sim_RankAva,0))</f>
        <v>0</v>
      </c>
      <c r="L294" s="36">
        <f>INDEX($E$8:$E$15,MATCH(8,Sim_RankAva,0))</f>
        <v>0</v>
      </c>
    </row>
    <row r="295">
      <c r="B295" s="17" t="inlineStr">
        <is>
          <t>Meses até quitar</t>
        </is>
      </c>
      <c r="E295" s="40">
        <f>IF(E292&lt;=0,0,IF(U418&gt;0.005,121,COUNTIF(U299:U418,"&gt;0.005")+1))</f>
        <v>3</v>
      </c>
      <c r="F295" s="40">
        <f>IF(F292&lt;=0,0,IF(V418&gt;0.005,121,COUNTIF(V299:V418,"&gt;0.005")+1))</f>
        <v>16</v>
      </c>
      <c r="G295" s="40">
        <f>IF(G292&lt;=0,0,IF(W418&gt;0.005,121,COUNTIF(W299:W418,"&gt;0.005")+1))</f>
        <v>12</v>
      </c>
      <c r="H295" s="40">
        <f>IF(H292&lt;=0,0,IF(X418&gt;0.005,121,COUNTIF(X299:X418,"&gt;0.005")+1))</f>
        <v>0</v>
      </c>
      <c r="I295" s="40">
        <f>IF(I292&lt;=0,0,IF(Y418&gt;0.005,121,COUNTIF(Y299:Y418,"&gt;0.005")+1))</f>
        <v>0</v>
      </c>
      <c r="J295" s="40">
        <f>IF(J292&lt;=0,0,IF(Z418&gt;0.005,121,COUNTIF(Z299:Z418,"&gt;0.005")+1))</f>
        <v>0</v>
      </c>
      <c r="K295" s="40">
        <f>IF(K292&lt;=0,0,IF(AA418&gt;0.005,121,COUNTIF(AA299:AA418,"&gt;0.005")+1))</f>
        <v>0</v>
      </c>
      <c r="L295" s="40">
        <f>IF(L292&lt;=0,0,IF(AB418&gt;0.005,121,COUNTIF(AB299:AB418,"&gt;0.005")+1))</f>
        <v>0</v>
      </c>
    </row>
    <row r="297" ht="30" customHeight="1">
      <c r="B297" s="114" t="inlineStr">
        <is>
          <t>Mês</t>
        </is>
      </c>
      <c r="C297" s="114" t="inlineStr">
        <is>
          <t>Extra disponível</t>
        </is>
      </c>
      <c r="D297" s="114" t="inlineStr">
        <is>
          <t>Mínimos do mês</t>
        </is>
      </c>
      <c r="E297" s="114" t="inlineStr">
        <is>
          <t>Saldo+juros p1</t>
        </is>
      </c>
      <c r="F297" s="114" t="inlineStr">
        <is>
          <t>Saldo+juros p2</t>
        </is>
      </c>
      <c r="G297" s="114" t="inlineStr">
        <is>
          <t>Saldo+juros p3</t>
        </is>
      </c>
      <c r="H297" s="114" t="inlineStr">
        <is>
          <t>Saldo+juros p4</t>
        </is>
      </c>
      <c r="I297" s="114" t="inlineStr">
        <is>
          <t>Saldo+juros p5</t>
        </is>
      </c>
      <c r="J297" s="114" t="inlineStr">
        <is>
          <t>Saldo+juros p6</t>
        </is>
      </c>
      <c r="K297" s="114" t="inlineStr">
        <is>
          <t>Saldo+juros p7</t>
        </is>
      </c>
      <c r="L297" s="114" t="inlineStr">
        <is>
          <t>Saldo+juros p8</t>
        </is>
      </c>
      <c r="M297" s="114" t="inlineStr">
        <is>
          <t>Extra p1</t>
        </is>
      </c>
      <c r="N297" s="114" t="inlineStr">
        <is>
          <t>Extra p2</t>
        </is>
      </c>
      <c r="O297" s="114" t="inlineStr">
        <is>
          <t>Extra p3</t>
        </is>
      </c>
      <c r="P297" s="114" t="inlineStr">
        <is>
          <t>Extra p4</t>
        </is>
      </c>
      <c r="Q297" s="114" t="inlineStr">
        <is>
          <t>Extra p5</t>
        </is>
      </c>
      <c r="R297" s="114" t="inlineStr">
        <is>
          <t>Extra p6</t>
        </is>
      </c>
      <c r="S297" s="114" t="inlineStr">
        <is>
          <t>Extra p7</t>
        </is>
      </c>
      <c r="T297" s="114" t="inlineStr">
        <is>
          <t>Extra p8</t>
        </is>
      </c>
      <c r="U297" s="114" t="inlineStr">
        <is>
          <t>Saldo após p1</t>
        </is>
      </c>
      <c r="V297" s="114" t="inlineStr">
        <is>
          <t>Saldo após p2</t>
        </is>
      </c>
      <c r="W297" s="114" t="inlineStr">
        <is>
          <t>Saldo após p3</t>
        </is>
      </c>
      <c r="X297" s="114" t="inlineStr">
        <is>
          <t>Saldo após p4</t>
        </is>
      </c>
      <c r="Y297" s="114" t="inlineStr">
        <is>
          <t>Saldo após p5</t>
        </is>
      </c>
      <c r="Z297" s="114" t="inlineStr">
        <is>
          <t>Saldo após p6</t>
        </is>
      </c>
      <c r="AA297" s="114" t="inlineStr">
        <is>
          <t>Saldo após p7</t>
        </is>
      </c>
      <c r="AB297" s="114" t="inlineStr">
        <is>
          <t>Saldo após p8</t>
        </is>
      </c>
      <c r="AC297" s="114" t="inlineStr">
        <is>
          <t>Saldo total</t>
        </is>
      </c>
      <c r="AD297" s="114" t="inlineStr">
        <is>
          <t>Pago no mês</t>
        </is>
      </c>
    </row>
    <row r="298">
      <c r="B298" s="40" t="n">
        <v>0</v>
      </c>
      <c r="U298" s="36">
        <f>E$292</f>
        <v>2600</v>
      </c>
      <c r="V298" s="36">
        <f>F$292</f>
        <v>28400</v>
      </c>
      <c r="W298" s="36">
        <f>G$292</f>
        <v>6100</v>
      </c>
      <c r="X298" s="36">
        <f>H$292</f>
        <v>0</v>
      </c>
      <c r="Y298" s="36">
        <f>I$292</f>
        <v>0</v>
      </c>
      <c r="Z298" s="36">
        <f>J$292</f>
        <v>0</v>
      </c>
      <c r="AA298" s="36">
        <f>K$292</f>
        <v>0</v>
      </c>
      <c r="AB298" s="36">
        <f>L$292</f>
        <v>0</v>
      </c>
      <c r="AC298" s="36">
        <f>SUM(U298:AB298)</f>
        <v>37100</v>
      </c>
    </row>
    <row r="299">
      <c r="B299" s="40" t="n">
        <v>1</v>
      </c>
      <c r="C299" s="36">
        <f>MAX(0,Sim_SomaParc+N(Sim_Extra)-D299)</f>
        <v>600</v>
      </c>
      <c r="D299" s="36">
        <f>MIN(E$294,E299)+MIN(F$294,F299)+MIN(G$294,G299)+MIN(H$294,H299)+MIN(I$294,I299)+MIN(J$294,J299)+MIN(K$294,K299)+MIN(L$294,L299)</f>
        <v>2190</v>
      </c>
      <c r="E299" s="36">
        <f>U298*(1+E$293)</f>
        <v>2691</v>
      </c>
      <c r="F299" s="36">
        <f>V298*(1+F$293)</f>
        <v>28968</v>
      </c>
      <c r="G299" s="36">
        <f>W298*(1+G$293)</f>
        <v>6197.6</v>
      </c>
      <c r="H299" s="36">
        <f>X298*(1+H$293)</f>
        <v>0</v>
      </c>
      <c r="I299" s="36">
        <f>Y298*(1+I$293)</f>
        <v>0</v>
      </c>
      <c r="J299" s="36">
        <f>Z298*(1+J$293)</f>
        <v>0</v>
      </c>
      <c r="K299" s="36">
        <f>AA298*(1+K$293)</f>
        <v>0</v>
      </c>
      <c r="L299" s="36">
        <f>AB298*(1+L$293)</f>
        <v>0</v>
      </c>
      <c r="M299" s="36">
        <f>MIN(E299-MIN(E$294,E299),MAX(0,$C299-0))</f>
        <v>600</v>
      </c>
      <c r="N299" s="36">
        <f>MIN(F299-MIN(F$294,F299),MAX(0,$C299-SUM($M299:M299)))</f>
        <v>0</v>
      </c>
      <c r="O299" s="36">
        <f>MIN(G299-MIN(G$294,G299),MAX(0,$C299-SUM($M299:N299)))</f>
        <v>0</v>
      </c>
      <c r="P299" s="36">
        <f>MIN(H299-MIN(H$294,H299),MAX(0,$C299-SUM($M299:O299)))</f>
        <v>0</v>
      </c>
      <c r="Q299" s="36">
        <f>MIN(I299-MIN(I$294,I299),MAX(0,$C299-SUM($M299:P299)))</f>
        <v>0</v>
      </c>
      <c r="R299" s="36">
        <f>MIN(J299-MIN(J$294,J299),MAX(0,$C299-SUM($M299:Q299)))</f>
        <v>0</v>
      </c>
      <c r="S299" s="36">
        <f>MIN(K299-MIN(K$294,K299),MAX(0,$C299-SUM($M299:R299)))</f>
        <v>0</v>
      </c>
      <c r="T299" s="36">
        <f>MIN(L299-MIN(L$294,L299),MAX(0,$C299-SUM($M299:S299)))</f>
        <v>0</v>
      </c>
      <c r="U299" s="36">
        <f>IF(E299-MIN(E$294,E299)-M299&lt;0.005,0,E299-MIN(E$294,E299)-M299)</f>
        <v>1631</v>
      </c>
      <c r="V299" s="36">
        <f>IF(F299-MIN(F$294,F299)-N299&lt;0.005,0,F299-MIN(F$294,F299)-N299)</f>
        <v>27818</v>
      </c>
      <c r="W299" s="36">
        <f>IF(G299-MIN(G$294,G299)-O299&lt;0.005,0,G299-MIN(G$294,G299)-O299)</f>
        <v>5617.6</v>
      </c>
      <c r="X299" s="36">
        <f>IF(H299-MIN(H$294,H299)-P299&lt;0.005,0,H299-MIN(H$294,H299)-P299)</f>
        <v>0</v>
      </c>
      <c r="Y299" s="36">
        <f>IF(I299-MIN(I$294,I299)-Q299&lt;0.005,0,I299-MIN(I$294,I299)-Q299)</f>
        <v>0</v>
      </c>
      <c r="Z299" s="36">
        <f>IF(J299-MIN(J$294,J299)-R299&lt;0.005,0,J299-MIN(J$294,J299)-R299)</f>
        <v>0</v>
      </c>
      <c r="AA299" s="36">
        <f>IF(K299-MIN(K$294,K299)-S299&lt;0.005,0,K299-MIN(K$294,K299)-S299)</f>
        <v>0</v>
      </c>
      <c r="AB299" s="36">
        <f>IF(L299-MIN(L$294,L299)-T299&lt;0.005,0,L299-MIN(L$294,L299)-T299)</f>
        <v>0</v>
      </c>
      <c r="AC299" s="36">
        <f>SUM(U299:AB299)</f>
        <v>35066.6</v>
      </c>
      <c r="AD299" s="36">
        <f>D299+SUM(M299:T299)</f>
        <v>2790</v>
      </c>
    </row>
    <row r="300">
      <c r="B300" s="40" t="n">
        <v>2</v>
      </c>
      <c r="C300" s="36">
        <f>MAX(0,Sim_SomaParc+N(Sim_Extra)-D300)</f>
        <v>600</v>
      </c>
      <c r="D300" s="36">
        <f>MIN(E$294,E300)+MIN(F$294,F300)+MIN(G$294,G300)+MIN(H$294,H300)+MIN(I$294,I300)+MIN(J$294,J300)+MIN(K$294,K300)+MIN(L$294,L300)</f>
        <v>2190</v>
      </c>
      <c r="E300" s="36">
        <f>U299*(1+E$293)</f>
        <v>1688.085</v>
      </c>
      <c r="F300" s="36">
        <f>V299*(1+F$293)</f>
        <v>28374.36</v>
      </c>
      <c r="G300" s="36">
        <f>W299*(1+G$293)</f>
        <v>5707.4816</v>
      </c>
      <c r="H300" s="36">
        <f>X299*(1+H$293)</f>
        <v>0</v>
      </c>
      <c r="I300" s="36">
        <f>Y299*(1+I$293)</f>
        <v>0</v>
      </c>
      <c r="J300" s="36">
        <f>Z299*(1+J$293)</f>
        <v>0</v>
      </c>
      <c r="K300" s="36">
        <f>AA299*(1+K$293)</f>
        <v>0</v>
      </c>
      <c r="L300" s="36">
        <f>AB299*(1+L$293)</f>
        <v>0</v>
      </c>
      <c r="M300" s="36">
        <f>MIN(E300-MIN(E$294,E300),MAX(0,$C300-0))</f>
        <v>600</v>
      </c>
      <c r="N300" s="36">
        <f>MIN(F300-MIN(F$294,F300),MAX(0,$C300-SUM($M300:M300)))</f>
        <v>0</v>
      </c>
      <c r="O300" s="36">
        <f>MIN(G300-MIN(G$294,G300),MAX(0,$C300-SUM($M300:N300)))</f>
        <v>0</v>
      </c>
      <c r="P300" s="36">
        <f>MIN(H300-MIN(H$294,H300),MAX(0,$C300-SUM($M300:O300)))</f>
        <v>0</v>
      </c>
      <c r="Q300" s="36">
        <f>MIN(I300-MIN(I$294,I300),MAX(0,$C300-SUM($M300:P300)))</f>
        <v>0</v>
      </c>
      <c r="R300" s="36">
        <f>MIN(J300-MIN(J$294,J300),MAX(0,$C300-SUM($M300:Q300)))</f>
        <v>0</v>
      </c>
      <c r="S300" s="36">
        <f>MIN(K300-MIN(K$294,K300),MAX(0,$C300-SUM($M300:R300)))</f>
        <v>0</v>
      </c>
      <c r="T300" s="36">
        <f>MIN(L300-MIN(L$294,L300),MAX(0,$C300-SUM($M300:S300)))</f>
        <v>0</v>
      </c>
      <c r="U300" s="36">
        <f>IF(E300-MIN(E$294,E300)-M300&lt;0.005,0,E300-MIN(E$294,E300)-M300)</f>
        <v>628.085</v>
      </c>
      <c r="V300" s="36">
        <f>IF(F300-MIN(F$294,F300)-N300&lt;0.005,0,F300-MIN(F$294,F300)-N300)</f>
        <v>27224.36</v>
      </c>
      <c r="W300" s="36">
        <f>IF(G300-MIN(G$294,G300)-O300&lt;0.005,0,G300-MIN(G$294,G300)-O300)</f>
        <v>5127.4816</v>
      </c>
      <c r="X300" s="36">
        <f>IF(H300-MIN(H$294,H300)-P300&lt;0.005,0,H300-MIN(H$294,H300)-P300)</f>
        <v>0</v>
      </c>
      <c r="Y300" s="36">
        <f>IF(I300-MIN(I$294,I300)-Q300&lt;0.005,0,I300-MIN(I$294,I300)-Q300)</f>
        <v>0</v>
      </c>
      <c r="Z300" s="36">
        <f>IF(J300-MIN(J$294,J300)-R300&lt;0.005,0,J300-MIN(J$294,J300)-R300)</f>
        <v>0</v>
      </c>
      <c r="AA300" s="36">
        <f>IF(K300-MIN(K$294,K300)-S300&lt;0.005,0,K300-MIN(K$294,K300)-S300)</f>
        <v>0</v>
      </c>
      <c r="AB300" s="36">
        <f>IF(L300-MIN(L$294,L300)-T300&lt;0.005,0,L300-MIN(L$294,L300)-T300)</f>
        <v>0</v>
      </c>
      <c r="AC300" s="36">
        <f>SUM(U300:AB300)</f>
        <v>32979.9266</v>
      </c>
      <c r="AD300" s="36">
        <f>D300+SUM(M300:T300)</f>
        <v>2790</v>
      </c>
    </row>
    <row r="301">
      <c r="B301" s="40" t="n">
        <v>3</v>
      </c>
      <c r="C301" s="36">
        <f>MAX(0,Sim_SomaParc+N(Sim_Extra)-D301)</f>
        <v>600</v>
      </c>
      <c r="D301" s="36">
        <f>MIN(E$294,E301)+MIN(F$294,F301)+MIN(G$294,G301)+MIN(H$294,H301)+MIN(I$294,I301)+MIN(J$294,J301)+MIN(K$294,K301)+MIN(L$294,L301)</f>
        <v>2190</v>
      </c>
      <c r="E301" s="36">
        <f>U300*(1+E$293)</f>
        <v>650.067975</v>
      </c>
      <c r="F301" s="36">
        <f>V300*(1+F$293)</f>
        <v>27768.8472</v>
      </c>
      <c r="G301" s="36">
        <f>W300*(1+G$293)</f>
        <v>5209.5213056</v>
      </c>
      <c r="H301" s="36">
        <f>X300*(1+H$293)</f>
        <v>0</v>
      </c>
      <c r="I301" s="36">
        <f>Y300*(1+I$293)</f>
        <v>0</v>
      </c>
      <c r="J301" s="36">
        <f>Z300*(1+J$293)</f>
        <v>0</v>
      </c>
      <c r="K301" s="36">
        <f>AA300*(1+K$293)</f>
        <v>0</v>
      </c>
      <c r="L301" s="36">
        <f>AB300*(1+L$293)</f>
        <v>0</v>
      </c>
      <c r="M301" s="36">
        <f>MIN(E301-MIN(E$294,E301),MAX(0,$C301-0))</f>
        <v>190.067975</v>
      </c>
      <c r="N301" s="36">
        <f>MIN(F301-MIN(F$294,F301),MAX(0,$C301-SUM($M301:M301)))</f>
        <v>409.932025</v>
      </c>
      <c r="O301" s="36">
        <f>MIN(G301-MIN(G$294,G301),MAX(0,$C301-SUM($M301:N301)))</f>
        <v>0</v>
      </c>
      <c r="P301" s="36">
        <f>MIN(H301-MIN(H$294,H301),MAX(0,$C301-SUM($M301:O301)))</f>
        <v>0</v>
      </c>
      <c r="Q301" s="36">
        <f>MIN(I301-MIN(I$294,I301),MAX(0,$C301-SUM($M301:P301)))</f>
        <v>0</v>
      </c>
      <c r="R301" s="36">
        <f>MIN(J301-MIN(J$294,J301),MAX(0,$C301-SUM($M301:Q301)))</f>
        <v>0</v>
      </c>
      <c r="S301" s="36">
        <f>MIN(K301-MIN(K$294,K301),MAX(0,$C301-SUM($M301:R301)))</f>
        <v>0</v>
      </c>
      <c r="T301" s="36">
        <f>MIN(L301-MIN(L$294,L301),MAX(0,$C301-SUM($M301:S301)))</f>
        <v>0</v>
      </c>
      <c r="U301" s="36">
        <f>IF(E301-MIN(E$294,E301)-M301&lt;0.005,0,E301-MIN(E$294,E301)-M301)</f>
        <v>0</v>
      </c>
      <c r="V301" s="36">
        <f>IF(F301-MIN(F$294,F301)-N301&lt;0.005,0,F301-MIN(F$294,F301)-N301)</f>
        <v>26208.915175</v>
      </c>
      <c r="W301" s="36">
        <f>IF(G301-MIN(G$294,G301)-O301&lt;0.005,0,G301-MIN(G$294,G301)-O301)</f>
        <v>4629.5213056</v>
      </c>
      <c r="X301" s="36">
        <f>IF(H301-MIN(H$294,H301)-P301&lt;0.005,0,H301-MIN(H$294,H301)-P301)</f>
        <v>0</v>
      </c>
      <c r="Y301" s="36">
        <f>IF(I301-MIN(I$294,I301)-Q301&lt;0.005,0,I301-MIN(I$294,I301)-Q301)</f>
        <v>0</v>
      </c>
      <c r="Z301" s="36">
        <f>IF(J301-MIN(J$294,J301)-R301&lt;0.005,0,J301-MIN(J$294,J301)-R301)</f>
        <v>0</v>
      </c>
      <c r="AA301" s="36">
        <f>IF(K301-MIN(K$294,K301)-S301&lt;0.005,0,K301-MIN(K$294,K301)-S301)</f>
        <v>0</v>
      </c>
      <c r="AB301" s="36">
        <f>IF(L301-MIN(L$294,L301)-T301&lt;0.005,0,L301-MIN(L$294,L301)-T301)</f>
        <v>0</v>
      </c>
      <c r="AC301" s="36">
        <f>SUM(U301:AB301)</f>
        <v>30838.4364806</v>
      </c>
      <c r="AD301" s="36">
        <f>D301+SUM(M301:T301)</f>
        <v>2790</v>
      </c>
    </row>
    <row r="302">
      <c r="B302" s="40" t="n">
        <v>4</v>
      </c>
      <c r="C302" s="36">
        <f>MAX(0,Sim_SomaParc+N(Sim_Extra)-D302)</f>
        <v>1060</v>
      </c>
      <c r="D302" s="36">
        <f>MIN(E$294,E302)+MIN(F$294,F302)+MIN(G$294,G302)+MIN(H$294,H302)+MIN(I$294,I302)+MIN(J$294,J302)+MIN(K$294,K302)+MIN(L$294,L302)</f>
        <v>1730</v>
      </c>
      <c r="E302" s="36">
        <f>U301*(1+E$293)</f>
        <v>0</v>
      </c>
      <c r="F302" s="36">
        <f>V301*(1+F$293)</f>
        <v>26733.0934785</v>
      </c>
      <c r="G302" s="36">
        <f>W301*(1+G$293)</f>
        <v>4703.5936464896</v>
      </c>
      <c r="H302" s="36">
        <f>X301*(1+H$293)</f>
        <v>0</v>
      </c>
      <c r="I302" s="36">
        <f>Y301*(1+I$293)</f>
        <v>0</v>
      </c>
      <c r="J302" s="36">
        <f>Z301*(1+J$293)</f>
        <v>0</v>
      </c>
      <c r="K302" s="36">
        <f>AA301*(1+K$293)</f>
        <v>0</v>
      </c>
      <c r="L302" s="36">
        <f>AB301*(1+L$293)</f>
        <v>0</v>
      </c>
      <c r="M302" s="36">
        <f>MIN(E302-MIN(E$294,E302),MAX(0,$C302-0))</f>
        <v>0</v>
      </c>
      <c r="N302" s="36">
        <f>MIN(F302-MIN(F$294,F302),MAX(0,$C302-SUM($M302:M302)))</f>
        <v>1060</v>
      </c>
      <c r="O302" s="36">
        <f>MIN(G302-MIN(G$294,G302),MAX(0,$C302-SUM($M302:N302)))</f>
        <v>0</v>
      </c>
      <c r="P302" s="36">
        <f>MIN(H302-MIN(H$294,H302),MAX(0,$C302-SUM($M302:O302)))</f>
        <v>0</v>
      </c>
      <c r="Q302" s="36">
        <f>MIN(I302-MIN(I$294,I302),MAX(0,$C302-SUM($M302:P302)))</f>
        <v>0</v>
      </c>
      <c r="R302" s="36">
        <f>MIN(J302-MIN(J$294,J302),MAX(0,$C302-SUM($M302:Q302)))</f>
        <v>0</v>
      </c>
      <c r="S302" s="36">
        <f>MIN(K302-MIN(K$294,K302),MAX(0,$C302-SUM($M302:R302)))</f>
        <v>0</v>
      </c>
      <c r="T302" s="36">
        <f>MIN(L302-MIN(L$294,L302),MAX(0,$C302-SUM($M302:S302)))</f>
        <v>0</v>
      </c>
      <c r="U302" s="36">
        <f>IF(E302-MIN(E$294,E302)-M302&lt;0.005,0,E302-MIN(E$294,E302)-M302)</f>
        <v>0</v>
      </c>
      <c r="V302" s="36">
        <f>IF(F302-MIN(F$294,F302)-N302&lt;0.005,0,F302-MIN(F$294,F302)-N302)</f>
        <v>24523.0934785</v>
      </c>
      <c r="W302" s="36">
        <f>IF(G302-MIN(G$294,G302)-O302&lt;0.005,0,G302-MIN(G$294,G302)-O302)</f>
        <v>4123.5936464896</v>
      </c>
      <c r="X302" s="36">
        <f>IF(H302-MIN(H$294,H302)-P302&lt;0.005,0,H302-MIN(H$294,H302)-P302)</f>
        <v>0</v>
      </c>
      <c r="Y302" s="36">
        <f>IF(I302-MIN(I$294,I302)-Q302&lt;0.005,0,I302-MIN(I$294,I302)-Q302)</f>
        <v>0</v>
      </c>
      <c r="Z302" s="36">
        <f>IF(J302-MIN(J$294,J302)-R302&lt;0.005,0,J302-MIN(J$294,J302)-R302)</f>
        <v>0</v>
      </c>
      <c r="AA302" s="36">
        <f>IF(K302-MIN(K$294,K302)-S302&lt;0.005,0,K302-MIN(K$294,K302)-S302)</f>
        <v>0</v>
      </c>
      <c r="AB302" s="36">
        <f>IF(L302-MIN(L$294,L302)-T302&lt;0.005,0,L302-MIN(L$294,L302)-T302)</f>
        <v>0</v>
      </c>
      <c r="AC302" s="36">
        <f>SUM(U302:AB302)</f>
        <v>28646.6871249896</v>
      </c>
      <c r="AD302" s="36">
        <f>D302+SUM(M302:T302)</f>
        <v>2790</v>
      </c>
    </row>
    <row r="303">
      <c r="B303" s="40" t="n">
        <v>5</v>
      </c>
      <c r="C303" s="36">
        <f>MAX(0,Sim_SomaParc+N(Sim_Extra)-D303)</f>
        <v>1060</v>
      </c>
      <c r="D303" s="36">
        <f>MIN(E$294,E303)+MIN(F$294,F303)+MIN(G$294,G303)+MIN(H$294,H303)+MIN(I$294,I303)+MIN(J$294,J303)+MIN(K$294,K303)+MIN(L$294,L303)</f>
        <v>1730</v>
      </c>
      <c r="E303" s="36">
        <f>U302*(1+E$293)</f>
        <v>0</v>
      </c>
      <c r="F303" s="36">
        <f>V302*(1+F$293)</f>
        <v>25013.55534807</v>
      </c>
      <c r="G303" s="36">
        <f>W302*(1+G$293)</f>
        <v>4189.57114483343</v>
      </c>
      <c r="H303" s="36">
        <f>X302*(1+H$293)</f>
        <v>0</v>
      </c>
      <c r="I303" s="36">
        <f>Y302*(1+I$293)</f>
        <v>0</v>
      </c>
      <c r="J303" s="36">
        <f>Z302*(1+J$293)</f>
        <v>0</v>
      </c>
      <c r="K303" s="36">
        <f>AA302*(1+K$293)</f>
        <v>0</v>
      </c>
      <c r="L303" s="36">
        <f>AB302*(1+L$293)</f>
        <v>0</v>
      </c>
      <c r="M303" s="36">
        <f>MIN(E303-MIN(E$294,E303),MAX(0,$C303-0))</f>
        <v>0</v>
      </c>
      <c r="N303" s="36">
        <f>MIN(F303-MIN(F$294,F303),MAX(0,$C303-SUM($M303:M303)))</f>
        <v>1060</v>
      </c>
      <c r="O303" s="36">
        <f>MIN(G303-MIN(G$294,G303),MAX(0,$C303-SUM($M303:N303)))</f>
        <v>0</v>
      </c>
      <c r="P303" s="36">
        <f>MIN(H303-MIN(H$294,H303),MAX(0,$C303-SUM($M303:O303)))</f>
        <v>0</v>
      </c>
      <c r="Q303" s="36">
        <f>MIN(I303-MIN(I$294,I303),MAX(0,$C303-SUM($M303:P303)))</f>
        <v>0</v>
      </c>
      <c r="R303" s="36">
        <f>MIN(J303-MIN(J$294,J303),MAX(0,$C303-SUM($M303:Q303)))</f>
        <v>0</v>
      </c>
      <c r="S303" s="36">
        <f>MIN(K303-MIN(K$294,K303),MAX(0,$C303-SUM($M303:R303)))</f>
        <v>0</v>
      </c>
      <c r="T303" s="36">
        <f>MIN(L303-MIN(L$294,L303),MAX(0,$C303-SUM($M303:S303)))</f>
        <v>0</v>
      </c>
      <c r="U303" s="36">
        <f>IF(E303-MIN(E$294,E303)-M303&lt;0.005,0,E303-MIN(E$294,E303)-M303)</f>
        <v>0</v>
      </c>
      <c r="V303" s="36">
        <f>IF(F303-MIN(F$294,F303)-N303&lt;0.005,0,F303-MIN(F$294,F303)-N303)</f>
        <v>22803.55534807</v>
      </c>
      <c r="W303" s="36">
        <f>IF(G303-MIN(G$294,G303)-O303&lt;0.005,0,G303-MIN(G$294,G303)-O303)</f>
        <v>3609.57114483343</v>
      </c>
      <c r="X303" s="36">
        <f>IF(H303-MIN(H$294,H303)-P303&lt;0.005,0,H303-MIN(H$294,H303)-P303)</f>
        <v>0</v>
      </c>
      <c r="Y303" s="36">
        <f>IF(I303-MIN(I$294,I303)-Q303&lt;0.005,0,I303-MIN(I$294,I303)-Q303)</f>
        <v>0</v>
      </c>
      <c r="Z303" s="36">
        <f>IF(J303-MIN(J$294,J303)-R303&lt;0.005,0,J303-MIN(J$294,J303)-R303)</f>
        <v>0</v>
      </c>
      <c r="AA303" s="36">
        <f>IF(K303-MIN(K$294,K303)-S303&lt;0.005,0,K303-MIN(K$294,K303)-S303)</f>
        <v>0</v>
      </c>
      <c r="AB303" s="36">
        <f>IF(L303-MIN(L$294,L303)-T303&lt;0.005,0,L303-MIN(L$294,L303)-T303)</f>
        <v>0</v>
      </c>
      <c r="AC303" s="36">
        <f>SUM(U303:AB303)</f>
        <v>26413.1264929034</v>
      </c>
      <c r="AD303" s="36">
        <f>D303+SUM(M303:T303)</f>
        <v>2790</v>
      </c>
    </row>
    <row r="304">
      <c r="B304" s="40" t="n">
        <v>6</v>
      </c>
      <c r="C304" s="36">
        <f>MAX(0,Sim_SomaParc+N(Sim_Extra)-D304)</f>
        <v>1060</v>
      </c>
      <c r="D304" s="36">
        <f>MIN(E$294,E304)+MIN(F$294,F304)+MIN(G$294,G304)+MIN(H$294,H304)+MIN(I$294,I304)+MIN(J$294,J304)+MIN(K$294,K304)+MIN(L$294,L304)</f>
        <v>1730</v>
      </c>
      <c r="E304" s="36">
        <f>U303*(1+E$293)</f>
        <v>0</v>
      </c>
      <c r="F304" s="36">
        <f>V303*(1+F$293)</f>
        <v>23259.6264550314</v>
      </c>
      <c r="G304" s="36">
        <f>W303*(1+G$293)</f>
        <v>3667.32428315077</v>
      </c>
      <c r="H304" s="36">
        <f>X303*(1+H$293)</f>
        <v>0</v>
      </c>
      <c r="I304" s="36">
        <f>Y303*(1+I$293)</f>
        <v>0</v>
      </c>
      <c r="J304" s="36">
        <f>Z303*(1+J$293)</f>
        <v>0</v>
      </c>
      <c r="K304" s="36">
        <f>AA303*(1+K$293)</f>
        <v>0</v>
      </c>
      <c r="L304" s="36">
        <f>AB303*(1+L$293)</f>
        <v>0</v>
      </c>
      <c r="M304" s="36">
        <f>MIN(E304-MIN(E$294,E304),MAX(0,$C304-0))</f>
        <v>0</v>
      </c>
      <c r="N304" s="36">
        <f>MIN(F304-MIN(F$294,F304),MAX(0,$C304-SUM($M304:M304)))</f>
        <v>1060</v>
      </c>
      <c r="O304" s="36">
        <f>MIN(G304-MIN(G$294,G304),MAX(0,$C304-SUM($M304:N304)))</f>
        <v>0</v>
      </c>
      <c r="P304" s="36">
        <f>MIN(H304-MIN(H$294,H304),MAX(0,$C304-SUM($M304:O304)))</f>
        <v>0</v>
      </c>
      <c r="Q304" s="36">
        <f>MIN(I304-MIN(I$294,I304),MAX(0,$C304-SUM($M304:P304)))</f>
        <v>0</v>
      </c>
      <c r="R304" s="36">
        <f>MIN(J304-MIN(J$294,J304),MAX(0,$C304-SUM($M304:Q304)))</f>
        <v>0</v>
      </c>
      <c r="S304" s="36">
        <f>MIN(K304-MIN(K$294,K304),MAX(0,$C304-SUM($M304:R304)))</f>
        <v>0</v>
      </c>
      <c r="T304" s="36">
        <f>MIN(L304-MIN(L$294,L304),MAX(0,$C304-SUM($M304:S304)))</f>
        <v>0</v>
      </c>
      <c r="U304" s="36">
        <f>IF(E304-MIN(E$294,E304)-M304&lt;0.005,0,E304-MIN(E$294,E304)-M304)</f>
        <v>0</v>
      </c>
      <c r="V304" s="36">
        <f>IF(F304-MIN(F$294,F304)-N304&lt;0.005,0,F304-MIN(F$294,F304)-N304)</f>
        <v>21049.6264550314</v>
      </c>
      <c r="W304" s="36">
        <f>IF(G304-MIN(G$294,G304)-O304&lt;0.005,0,G304-MIN(G$294,G304)-O304)</f>
        <v>3087.32428315077</v>
      </c>
      <c r="X304" s="36">
        <f>IF(H304-MIN(H$294,H304)-P304&lt;0.005,0,H304-MIN(H$294,H304)-P304)</f>
        <v>0</v>
      </c>
      <c r="Y304" s="36">
        <f>IF(I304-MIN(I$294,I304)-Q304&lt;0.005,0,I304-MIN(I$294,I304)-Q304)</f>
        <v>0</v>
      </c>
      <c r="Z304" s="36">
        <f>IF(J304-MIN(J$294,J304)-R304&lt;0.005,0,J304-MIN(J$294,J304)-R304)</f>
        <v>0</v>
      </c>
      <c r="AA304" s="36">
        <f>IF(K304-MIN(K$294,K304)-S304&lt;0.005,0,K304-MIN(K$294,K304)-S304)</f>
        <v>0</v>
      </c>
      <c r="AB304" s="36">
        <f>IF(L304-MIN(L$294,L304)-T304&lt;0.005,0,L304-MIN(L$294,L304)-T304)</f>
        <v>0</v>
      </c>
      <c r="AC304" s="36">
        <f>SUM(U304:AB304)</f>
        <v>24136.9507381822</v>
      </c>
      <c r="AD304" s="36">
        <f>D304+SUM(M304:T304)</f>
        <v>2790</v>
      </c>
    </row>
    <row r="305">
      <c r="B305" s="40" t="n">
        <v>7</v>
      </c>
      <c r="C305" s="36">
        <f>MAX(0,Sim_SomaParc+N(Sim_Extra)-D305)</f>
        <v>1060</v>
      </c>
      <c r="D305" s="36">
        <f>MIN(E$294,E305)+MIN(F$294,F305)+MIN(G$294,G305)+MIN(H$294,H305)+MIN(I$294,I305)+MIN(J$294,J305)+MIN(K$294,K305)+MIN(L$294,L305)</f>
        <v>1730</v>
      </c>
      <c r="E305" s="36">
        <f>U304*(1+E$293)</f>
        <v>0</v>
      </c>
      <c r="F305" s="36">
        <f>V304*(1+F$293)</f>
        <v>21470.618984132</v>
      </c>
      <c r="G305" s="36">
        <f>W304*(1+G$293)</f>
        <v>3136.72147168118</v>
      </c>
      <c r="H305" s="36">
        <f>X304*(1+H$293)</f>
        <v>0</v>
      </c>
      <c r="I305" s="36">
        <f>Y304*(1+I$293)</f>
        <v>0</v>
      </c>
      <c r="J305" s="36">
        <f>Z304*(1+J$293)</f>
        <v>0</v>
      </c>
      <c r="K305" s="36">
        <f>AA304*(1+K$293)</f>
        <v>0</v>
      </c>
      <c r="L305" s="36">
        <f>AB304*(1+L$293)</f>
        <v>0</v>
      </c>
      <c r="M305" s="36">
        <f>MIN(E305-MIN(E$294,E305),MAX(0,$C305-0))</f>
        <v>0</v>
      </c>
      <c r="N305" s="36">
        <f>MIN(F305-MIN(F$294,F305),MAX(0,$C305-SUM($M305:M305)))</f>
        <v>1060</v>
      </c>
      <c r="O305" s="36">
        <f>MIN(G305-MIN(G$294,G305),MAX(0,$C305-SUM($M305:N305)))</f>
        <v>0</v>
      </c>
      <c r="P305" s="36">
        <f>MIN(H305-MIN(H$294,H305),MAX(0,$C305-SUM($M305:O305)))</f>
        <v>0</v>
      </c>
      <c r="Q305" s="36">
        <f>MIN(I305-MIN(I$294,I305),MAX(0,$C305-SUM($M305:P305)))</f>
        <v>0</v>
      </c>
      <c r="R305" s="36">
        <f>MIN(J305-MIN(J$294,J305),MAX(0,$C305-SUM($M305:Q305)))</f>
        <v>0</v>
      </c>
      <c r="S305" s="36">
        <f>MIN(K305-MIN(K$294,K305),MAX(0,$C305-SUM($M305:R305)))</f>
        <v>0</v>
      </c>
      <c r="T305" s="36">
        <f>MIN(L305-MIN(L$294,L305),MAX(0,$C305-SUM($M305:S305)))</f>
        <v>0</v>
      </c>
      <c r="U305" s="36">
        <f>IF(E305-MIN(E$294,E305)-M305&lt;0.005,0,E305-MIN(E$294,E305)-M305)</f>
        <v>0</v>
      </c>
      <c r="V305" s="36">
        <f>IF(F305-MIN(F$294,F305)-N305&lt;0.005,0,F305-MIN(F$294,F305)-N305)</f>
        <v>19260.618984132</v>
      </c>
      <c r="W305" s="36">
        <f>IF(G305-MIN(G$294,G305)-O305&lt;0.005,0,G305-MIN(G$294,G305)-O305)</f>
        <v>2556.72147168118</v>
      </c>
      <c r="X305" s="36">
        <f>IF(H305-MIN(H$294,H305)-P305&lt;0.005,0,H305-MIN(H$294,H305)-P305)</f>
        <v>0</v>
      </c>
      <c r="Y305" s="36">
        <f>IF(I305-MIN(I$294,I305)-Q305&lt;0.005,0,I305-MIN(I$294,I305)-Q305)</f>
        <v>0</v>
      </c>
      <c r="Z305" s="36">
        <f>IF(J305-MIN(J$294,J305)-R305&lt;0.005,0,J305-MIN(J$294,J305)-R305)</f>
        <v>0</v>
      </c>
      <c r="AA305" s="36">
        <f>IF(K305-MIN(K$294,K305)-S305&lt;0.005,0,K305-MIN(K$294,K305)-S305)</f>
        <v>0</v>
      </c>
      <c r="AB305" s="36">
        <f>IF(L305-MIN(L$294,L305)-T305&lt;0.005,0,L305-MIN(L$294,L305)-T305)</f>
        <v>0</v>
      </c>
      <c r="AC305" s="36">
        <f>SUM(U305:AB305)</f>
        <v>21817.3404558132</v>
      </c>
      <c r="AD305" s="36">
        <f>D305+SUM(M305:T305)</f>
        <v>2790</v>
      </c>
    </row>
    <row r="306">
      <c r="B306" s="40" t="n">
        <v>8</v>
      </c>
      <c r="C306" s="36">
        <f>MAX(0,Sim_SomaParc+N(Sim_Extra)-D306)</f>
        <v>1060</v>
      </c>
      <c r="D306" s="36">
        <f>MIN(E$294,E306)+MIN(F$294,F306)+MIN(G$294,G306)+MIN(H$294,H306)+MIN(I$294,I306)+MIN(J$294,J306)+MIN(K$294,K306)+MIN(L$294,L306)</f>
        <v>1730</v>
      </c>
      <c r="E306" s="36">
        <f>U305*(1+E$293)</f>
        <v>0</v>
      </c>
      <c r="F306" s="36">
        <f>V305*(1+F$293)</f>
        <v>19645.8313638147</v>
      </c>
      <c r="G306" s="36">
        <f>W305*(1+G$293)</f>
        <v>2597.62901522808</v>
      </c>
      <c r="H306" s="36">
        <f>X305*(1+H$293)</f>
        <v>0</v>
      </c>
      <c r="I306" s="36">
        <f>Y305*(1+I$293)</f>
        <v>0</v>
      </c>
      <c r="J306" s="36">
        <f>Z305*(1+J$293)</f>
        <v>0</v>
      </c>
      <c r="K306" s="36">
        <f>AA305*(1+K$293)</f>
        <v>0</v>
      </c>
      <c r="L306" s="36">
        <f>AB305*(1+L$293)</f>
        <v>0</v>
      </c>
      <c r="M306" s="36">
        <f>MIN(E306-MIN(E$294,E306),MAX(0,$C306-0))</f>
        <v>0</v>
      </c>
      <c r="N306" s="36">
        <f>MIN(F306-MIN(F$294,F306),MAX(0,$C306-SUM($M306:M306)))</f>
        <v>1060</v>
      </c>
      <c r="O306" s="36">
        <f>MIN(G306-MIN(G$294,G306),MAX(0,$C306-SUM($M306:N306)))</f>
        <v>0</v>
      </c>
      <c r="P306" s="36">
        <f>MIN(H306-MIN(H$294,H306),MAX(0,$C306-SUM($M306:O306)))</f>
        <v>0</v>
      </c>
      <c r="Q306" s="36">
        <f>MIN(I306-MIN(I$294,I306),MAX(0,$C306-SUM($M306:P306)))</f>
        <v>0</v>
      </c>
      <c r="R306" s="36">
        <f>MIN(J306-MIN(J$294,J306),MAX(0,$C306-SUM($M306:Q306)))</f>
        <v>0</v>
      </c>
      <c r="S306" s="36">
        <f>MIN(K306-MIN(K$294,K306),MAX(0,$C306-SUM($M306:R306)))</f>
        <v>0</v>
      </c>
      <c r="T306" s="36">
        <f>MIN(L306-MIN(L$294,L306),MAX(0,$C306-SUM($M306:S306)))</f>
        <v>0</v>
      </c>
      <c r="U306" s="36">
        <f>IF(E306-MIN(E$294,E306)-M306&lt;0.005,0,E306-MIN(E$294,E306)-M306)</f>
        <v>0</v>
      </c>
      <c r="V306" s="36">
        <f>IF(F306-MIN(F$294,F306)-N306&lt;0.005,0,F306-MIN(F$294,F306)-N306)</f>
        <v>17435.8313638147</v>
      </c>
      <c r="W306" s="36">
        <f>IF(G306-MIN(G$294,G306)-O306&lt;0.005,0,G306-MIN(G$294,G306)-O306)</f>
        <v>2017.62901522808</v>
      </c>
      <c r="X306" s="36">
        <f>IF(H306-MIN(H$294,H306)-P306&lt;0.005,0,H306-MIN(H$294,H306)-P306)</f>
        <v>0</v>
      </c>
      <c r="Y306" s="36">
        <f>IF(I306-MIN(I$294,I306)-Q306&lt;0.005,0,I306-MIN(I$294,I306)-Q306)</f>
        <v>0</v>
      </c>
      <c r="Z306" s="36">
        <f>IF(J306-MIN(J$294,J306)-R306&lt;0.005,0,J306-MIN(J$294,J306)-R306)</f>
        <v>0</v>
      </c>
      <c r="AA306" s="36">
        <f>IF(K306-MIN(K$294,K306)-S306&lt;0.005,0,K306-MIN(K$294,K306)-S306)</f>
        <v>0</v>
      </c>
      <c r="AB306" s="36">
        <f>IF(L306-MIN(L$294,L306)-T306&lt;0.005,0,L306-MIN(L$294,L306)-T306)</f>
        <v>0</v>
      </c>
      <c r="AC306" s="36">
        <f>SUM(U306:AB306)</f>
        <v>19453.4603790428</v>
      </c>
      <c r="AD306" s="36">
        <f>D306+SUM(M306:T306)</f>
        <v>2790</v>
      </c>
    </row>
    <row r="307">
      <c r="B307" s="40" t="n">
        <v>9</v>
      </c>
      <c r="C307" s="36">
        <f>MAX(0,Sim_SomaParc+N(Sim_Extra)-D307)</f>
        <v>1060</v>
      </c>
      <c r="D307" s="36">
        <f>MIN(E$294,E307)+MIN(F$294,F307)+MIN(G$294,G307)+MIN(H$294,H307)+MIN(I$294,I307)+MIN(J$294,J307)+MIN(K$294,K307)+MIN(L$294,L307)</f>
        <v>1730</v>
      </c>
      <c r="E307" s="36">
        <f>U306*(1+E$293)</f>
        <v>0</v>
      </c>
      <c r="F307" s="36">
        <f>V306*(1+F$293)</f>
        <v>17784.547991091</v>
      </c>
      <c r="G307" s="36">
        <f>W306*(1+G$293)</f>
        <v>2049.91107947173</v>
      </c>
      <c r="H307" s="36">
        <f>X306*(1+H$293)</f>
        <v>0</v>
      </c>
      <c r="I307" s="36">
        <f>Y306*(1+I$293)</f>
        <v>0</v>
      </c>
      <c r="J307" s="36">
        <f>Z306*(1+J$293)</f>
        <v>0</v>
      </c>
      <c r="K307" s="36">
        <f>AA306*(1+K$293)</f>
        <v>0</v>
      </c>
      <c r="L307" s="36">
        <f>AB306*(1+L$293)</f>
        <v>0</v>
      </c>
      <c r="M307" s="36">
        <f>MIN(E307-MIN(E$294,E307),MAX(0,$C307-0))</f>
        <v>0</v>
      </c>
      <c r="N307" s="36">
        <f>MIN(F307-MIN(F$294,F307),MAX(0,$C307-SUM($M307:M307)))</f>
        <v>1060</v>
      </c>
      <c r="O307" s="36">
        <f>MIN(G307-MIN(G$294,G307),MAX(0,$C307-SUM($M307:N307)))</f>
        <v>0</v>
      </c>
      <c r="P307" s="36">
        <f>MIN(H307-MIN(H$294,H307),MAX(0,$C307-SUM($M307:O307)))</f>
        <v>0</v>
      </c>
      <c r="Q307" s="36">
        <f>MIN(I307-MIN(I$294,I307),MAX(0,$C307-SUM($M307:P307)))</f>
        <v>0</v>
      </c>
      <c r="R307" s="36">
        <f>MIN(J307-MIN(J$294,J307),MAX(0,$C307-SUM($M307:Q307)))</f>
        <v>0</v>
      </c>
      <c r="S307" s="36">
        <f>MIN(K307-MIN(K$294,K307),MAX(0,$C307-SUM($M307:R307)))</f>
        <v>0</v>
      </c>
      <c r="T307" s="36">
        <f>MIN(L307-MIN(L$294,L307),MAX(0,$C307-SUM($M307:S307)))</f>
        <v>0</v>
      </c>
      <c r="U307" s="36">
        <f>IF(E307-MIN(E$294,E307)-M307&lt;0.005,0,E307-MIN(E$294,E307)-M307)</f>
        <v>0</v>
      </c>
      <c r="V307" s="36">
        <f>IF(F307-MIN(F$294,F307)-N307&lt;0.005,0,F307-MIN(F$294,F307)-N307)</f>
        <v>15574.547991091</v>
      </c>
      <c r="W307" s="36">
        <f>IF(G307-MIN(G$294,G307)-O307&lt;0.005,0,G307-MIN(G$294,G307)-O307)</f>
        <v>1469.91107947173</v>
      </c>
      <c r="X307" s="36">
        <f>IF(H307-MIN(H$294,H307)-P307&lt;0.005,0,H307-MIN(H$294,H307)-P307)</f>
        <v>0</v>
      </c>
      <c r="Y307" s="36">
        <f>IF(I307-MIN(I$294,I307)-Q307&lt;0.005,0,I307-MIN(I$294,I307)-Q307)</f>
        <v>0</v>
      </c>
      <c r="Z307" s="36">
        <f>IF(J307-MIN(J$294,J307)-R307&lt;0.005,0,J307-MIN(J$294,J307)-R307)</f>
        <v>0</v>
      </c>
      <c r="AA307" s="36">
        <f>IF(K307-MIN(K$294,K307)-S307&lt;0.005,0,K307-MIN(K$294,K307)-S307)</f>
        <v>0</v>
      </c>
      <c r="AB307" s="36">
        <f>IF(L307-MIN(L$294,L307)-T307&lt;0.005,0,L307-MIN(L$294,L307)-T307)</f>
        <v>0</v>
      </c>
      <c r="AC307" s="36">
        <f>SUM(U307:AB307)</f>
        <v>17044.4590705627</v>
      </c>
      <c r="AD307" s="36">
        <f>D307+SUM(M307:T307)</f>
        <v>2790</v>
      </c>
    </row>
    <row r="308">
      <c r="B308" s="40" t="n">
        <v>10</v>
      </c>
      <c r="C308" s="36">
        <f>MAX(0,Sim_SomaParc+N(Sim_Extra)-D308)</f>
        <v>1060</v>
      </c>
      <c r="D308" s="36">
        <f>MIN(E$294,E308)+MIN(F$294,F308)+MIN(G$294,G308)+MIN(H$294,H308)+MIN(I$294,I308)+MIN(J$294,J308)+MIN(K$294,K308)+MIN(L$294,L308)</f>
        <v>1730</v>
      </c>
      <c r="E308" s="36">
        <f>U307*(1+E$293)</f>
        <v>0</v>
      </c>
      <c r="F308" s="36">
        <f>V307*(1+F$293)</f>
        <v>15886.0389509128</v>
      </c>
      <c r="G308" s="36">
        <f>W307*(1+G$293)</f>
        <v>1493.42965674328</v>
      </c>
      <c r="H308" s="36">
        <f>X307*(1+H$293)</f>
        <v>0</v>
      </c>
      <c r="I308" s="36">
        <f>Y307*(1+I$293)</f>
        <v>0</v>
      </c>
      <c r="J308" s="36">
        <f>Z307*(1+J$293)</f>
        <v>0</v>
      </c>
      <c r="K308" s="36">
        <f>AA307*(1+K$293)</f>
        <v>0</v>
      </c>
      <c r="L308" s="36">
        <f>AB307*(1+L$293)</f>
        <v>0</v>
      </c>
      <c r="M308" s="36">
        <f>MIN(E308-MIN(E$294,E308),MAX(0,$C308-0))</f>
        <v>0</v>
      </c>
      <c r="N308" s="36">
        <f>MIN(F308-MIN(F$294,F308),MAX(0,$C308-SUM($M308:M308)))</f>
        <v>1060</v>
      </c>
      <c r="O308" s="36">
        <f>MIN(G308-MIN(G$294,G308),MAX(0,$C308-SUM($M308:N308)))</f>
        <v>0</v>
      </c>
      <c r="P308" s="36">
        <f>MIN(H308-MIN(H$294,H308),MAX(0,$C308-SUM($M308:O308)))</f>
        <v>0</v>
      </c>
      <c r="Q308" s="36">
        <f>MIN(I308-MIN(I$294,I308),MAX(0,$C308-SUM($M308:P308)))</f>
        <v>0</v>
      </c>
      <c r="R308" s="36">
        <f>MIN(J308-MIN(J$294,J308),MAX(0,$C308-SUM($M308:Q308)))</f>
        <v>0</v>
      </c>
      <c r="S308" s="36">
        <f>MIN(K308-MIN(K$294,K308),MAX(0,$C308-SUM($M308:R308)))</f>
        <v>0</v>
      </c>
      <c r="T308" s="36">
        <f>MIN(L308-MIN(L$294,L308),MAX(0,$C308-SUM($M308:S308)))</f>
        <v>0</v>
      </c>
      <c r="U308" s="36">
        <f>IF(E308-MIN(E$294,E308)-M308&lt;0.005,0,E308-MIN(E$294,E308)-M308)</f>
        <v>0</v>
      </c>
      <c r="V308" s="36">
        <f>IF(F308-MIN(F$294,F308)-N308&lt;0.005,0,F308-MIN(F$294,F308)-N308)</f>
        <v>13676.0389509128</v>
      </c>
      <c r="W308" s="36">
        <f>IF(G308-MIN(G$294,G308)-O308&lt;0.005,0,G308-MIN(G$294,G308)-O308)</f>
        <v>913.429656743278</v>
      </c>
      <c r="X308" s="36">
        <f>IF(H308-MIN(H$294,H308)-P308&lt;0.005,0,H308-MIN(H$294,H308)-P308)</f>
        <v>0</v>
      </c>
      <c r="Y308" s="36">
        <f>IF(I308-MIN(I$294,I308)-Q308&lt;0.005,0,I308-MIN(I$294,I308)-Q308)</f>
        <v>0</v>
      </c>
      <c r="Z308" s="36">
        <f>IF(J308-MIN(J$294,J308)-R308&lt;0.005,0,J308-MIN(J$294,J308)-R308)</f>
        <v>0</v>
      </c>
      <c r="AA308" s="36">
        <f>IF(K308-MIN(K$294,K308)-S308&lt;0.005,0,K308-MIN(K$294,K308)-S308)</f>
        <v>0</v>
      </c>
      <c r="AB308" s="36">
        <f>IF(L308-MIN(L$294,L308)-T308&lt;0.005,0,L308-MIN(L$294,L308)-T308)</f>
        <v>0</v>
      </c>
      <c r="AC308" s="36">
        <f>SUM(U308:AB308)</f>
        <v>14589.4686076561</v>
      </c>
      <c r="AD308" s="36">
        <f>D308+SUM(M308:T308)</f>
        <v>2790</v>
      </c>
    </row>
    <row r="309">
      <c r="B309" s="40" t="n">
        <v>11</v>
      </c>
      <c r="C309" s="36">
        <f>MAX(0,Sim_SomaParc+N(Sim_Extra)-D309)</f>
        <v>1060</v>
      </c>
      <c r="D309" s="36">
        <f>MIN(E$294,E309)+MIN(F$294,F309)+MIN(G$294,G309)+MIN(H$294,H309)+MIN(I$294,I309)+MIN(J$294,J309)+MIN(K$294,K309)+MIN(L$294,L309)</f>
        <v>1730</v>
      </c>
      <c r="E309" s="36">
        <f>U308*(1+E$293)</f>
        <v>0</v>
      </c>
      <c r="F309" s="36">
        <f>V308*(1+F$293)</f>
        <v>13949.559729931</v>
      </c>
      <c r="G309" s="36">
        <f>W308*(1+G$293)</f>
        <v>928.04453125117</v>
      </c>
      <c r="H309" s="36">
        <f>X308*(1+H$293)</f>
        <v>0</v>
      </c>
      <c r="I309" s="36">
        <f>Y308*(1+I$293)</f>
        <v>0</v>
      </c>
      <c r="J309" s="36">
        <f>Z308*(1+J$293)</f>
        <v>0</v>
      </c>
      <c r="K309" s="36">
        <f>AA308*(1+K$293)</f>
        <v>0</v>
      </c>
      <c r="L309" s="36">
        <f>AB308*(1+L$293)</f>
        <v>0</v>
      </c>
      <c r="M309" s="36">
        <f>MIN(E309-MIN(E$294,E309),MAX(0,$C309-0))</f>
        <v>0</v>
      </c>
      <c r="N309" s="36">
        <f>MIN(F309-MIN(F$294,F309),MAX(0,$C309-SUM($M309:M309)))</f>
        <v>1060</v>
      </c>
      <c r="O309" s="36">
        <f>MIN(G309-MIN(G$294,G309),MAX(0,$C309-SUM($M309:N309)))</f>
        <v>0</v>
      </c>
      <c r="P309" s="36">
        <f>MIN(H309-MIN(H$294,H309),MAX(0,$C309-SUM($M309:O309)))</f>
        <v>0</v>
      </c>
      <c r="Q309" s="36">
        <f>MIN(I309-MIN(I$294,I309),MAX(0,$C309-SUM($M309:P309)))</f>
        <v>0</v>
      </c>
      <c r="R309" s="36">
        <f>MIN(J309-MIN(J$294,J309),MAX(0,$C309-SUM($M309:Q309)))</f>
        <v>0</v>
      </c>
      <c r="S309" s="36">
        <f>MIN(K309-MIN(K$294,K309),MAX(0,$C309-SUM($M309:R309)))</f>
        <v>0</v>
      </c>
      <c r="T309" s="36">
        <f>MIN(L309-MIN(L$294,L309),MAX(0,$C309-SUM($M309:S309)))</f>
        <v>0</v>
      </c>
      <c r="U309" s="36">
        <f>IF(E309-MIN(E$294,E309)-M309&lt;0.005,0,E309-MIN(E$294,E309)-M309)</f>
        <v>0</v>
      </c>
      <c r="V309" s="36">
        <f>IF(F309-MIN(F$294,F309)-N309&lt;0.005,0,F309-MIN(F$294,F309)-N309)</f>
        <v>11739.559729931</v>
      </c>
      <c r="W309" s="36">
        <f>IF(G309-MIN(G$294,G309)-O309&lt;0.005,0,G309-MIN(G$294,G309)-O309)</f>
        <v>348.04453125117</v>
      </c>
      <c r="X309" s="36">
        <f>IF(H309-MIN(H$294,H309)-P309&lt;0.005,0,H309-MIN(H$294,H309)-P309)</f>
        <v>0</v>
      </c>
      <c r="Y309" s="36">
        <f>IF(I309-MIN(I$294,I309)-Q309&lt;0.005,0,I309-MIN(I$294,I309)-Q309)</f>
        <v>0</v>
      </c>
      <c r="Z309" s="36">
        <f>IF(J309-MIN(J$294,J309)-R309&lt;0.005,0,J309-MIN(J$294,J309)-R309)</f>
        <v>0</v>
      </c>
      <c r="AA309" s="36">
        <f>IF(K309-MIN(K$294,K309)-S309&lt;0.005,0,K309-MIN(K$294,K309)-S309)</f>
        <v>0</v>
      </c>
      <c r="AB309" s="36">
        <f>IF(L309-MIN(L$294,L309)-T309&lt;0.005,0,L309-MIN(L$294,L309)-T309)</f>
        <v>0</v>
      </c>
      <c r="AC309" s="36">
        <f>SUM(U309:AB309)</f>
        <v>12087.6042611822</v>
      </c>
      <c r="AD309" s="36">
        <f>D309+SUM(M309:T309)</f>
        <v>2790</v>
      </c>
    </row>
    <row r="310">
      <c r="B310" s="40" t="n">
        <v>12</v>
      </c>
      <c r="C310" s="36">
        <f>MAX(0,Sim_SomaParc+N(Sim_Extra)-D310)</f>
        <v>1286.38675624881</v>
      </c>
      <c r="D310" s="36">
        <f>MIN(E$294,E310)+MIN(F$294,F310)+MIN(G$294,G310)+MIN(H$294,H310)+MIN(I$294,I310)+MIN(J$294,J310)+MIN(K$294,K310)+MIN(L$294,L310)</f>
        <v>1503.61324375119</v>
      </c>
      <c r="E310" s="36">
        <f>U309*(1+E$293)</f>
        <v>0</v>
      </c>
      <c r="F310" s="36">
        <f>V309*(1+F$293)</f>
        <v>11974.3509245297</v>
      </c>
      <c r="G310" s="36">
        <f>W309*(1+G$293)</f>
        <v>353.613243751189</v>
      </c>
      <c r="H310" s="36">
        <f>X309*(1+H$293)</f>
        <v>0</v>
      </c>
      <c r="I310" s="36">
        <f>Y309*(1+I$293)</f>
        <v>0</v>
      </c>
      <c r="J310" s="36">
        <f>Z309*(1+J$293)</f>
        <v>0</v>
      </c>
      <c r="K310" s="36">
        <f>AA309*(1+K$293)</f>
        <v>0</v>
      </c>
      <c r="L310" s="36">
        <f>AB309*(1+L$293)</f>
        <v>0</v>
      </c>
      <c r="M310" s="36">
        <f>MIN(E310-MIN(E$294,E310),MAX(0,$C310-0))</f>
        <v>0</v>
      </c>
      <c r="N310" s="36">
        <f>MIN(F310-MIN(F$294,F310),MAX(0,$C310-SUM($M310:M310)))</f>
        <v>1286.38675624881</v>
      </c>
      <c r="O310" s="36">
        <f>MIN(G310-MIN(G$294,G310),MAX(0,$C310-SUM($M310:N310)))</f>
        <v>0</v>
      </c>
      <c r="P310" s="36">
        <f>MIN(H310-MIN(H$294,H310),MAX(0,$C310-SUM($M310:O310)))</f>
        <v>0</v>
      </c>
      <c r="Q310" s="36">
        <f>MIN(I310-MIN(I$294,I310),MAX(0,$C310-SUM($M310:P310)))</f>
        <v>0</v>
      </c>
      <c r="R310" s="36">
        <f>MIN(J310-MIN(J$294,J310),MAX(0,$C310-SUM($M310:Q310)))</f>
        <v>0</v>
      </c>
      <c r="S310" s="36">
        <f>MIN(K310-MIN(K$294,K310),MAX(0,$C310-SUM($M310:R310)))</f>
        <v>0</v>
      </c>
      <c r="T310" s="36">
        <f>MIN(L310-MIN(L$294,L310),MAX(0,$C310-SUM($M310:S310)))</f>
        <v>0</v>
      </c>
      <c r="U310" s="36">
        <f>IF(E310-MIN(E$294,E310)-M310&lt;0.005,0,E310-MIN(E$294,E310)-M310)</f>
        <v>0</v>
      </c>
      <c r="V310" s="36">
        <f>IF(F310-MIN(F$294,F310)-N310&lt;0.005,0,F310-MIN(F$294,F310)-N310)</f>
        <v>9537.96416828085</v>
      </c>
      <c r="W310" s="36">
        <f>IF(G310-MIN(G$294,G310)-O310&lt;0.005,0,G310-MIN(G$294,G310)-O310)</f>
        <v>0</v>
      </c>
      <c r="X310" s="36">
        <f>IF(H310-MIN(H$294,H310)-P310&lt;0.005,0,H310-MIN(H$294,H310)-P310)</f>
        <v>0</v>
      </c>
      <c r="Y310" s="36">
        <f>IF(I310-MIN(I$294,I310)-Q310&lt;0.005,0,I310-MIN(I$294,I310)-Q310)</f>
        <v>0</v>
      </c>
      <c r="Z310" s="36">
        <f>IF(J310-MIN(J$294,J310)-R310&lt;0.005,0,J310-MIN(J$294,J310)-R310)</f>
        <v>0</v>
      </c>
      <c r="AA310" s="36">
        <f>IF(K310-MIN(K$294,K310)-S310&lt;0.005,0,K310-MIN(K$294,K310)-S310)</f>
        <v>0</v>
      </c>
      <c r="AB310" s="36">
        <f>IF(L310-MIN(L$294,L310)-T310&lt;0.005,0,L310-MIN(L$294,L310)-T310)</f>
        <v>0</v>
      </c>
      <c r="AC310" s="36">
        <f>SUM(U310:AB310)</f>
        <v>9537.96416828085</v>
      </c>
      <c r="AD310" s="36">
        <f>D310+SUM(M310:T310)</f>
        <v>2790</v>
      </c>
    </row>
    <row r="311">
      <c r="B311" s="40" t="n">
        <v>13</v>
      </c>
      <c r="C311" s="36">
        <f>MAX(0,Sim_SomaParc+N(Sim_Extra)-D311)</f>
        <v>1640</v>
      </c>
      <c r="D311" s="36">
        <f>MIN(E$294,E311)+MIN(F$294,F311)+MIN(G$294,G311)+MIN(H$294,H311)+MIN(I$294,I311)+MIN(J$294,J311)+MIN(K$294,K311)+MIN(L$294,L311)</f>
        <v>1150</v>
      </c>
      <c r="E311" s="36">
        <f>U310*(1+E$293)</f>
        <v>0</v>
      </c>
      <c r="F311" s="36">
        <f>V310*(1+F$293)</f>
        <v>9728.72345164647</v>
      </c>
      <c r="G311" s="36">
        <f>W310*(1+G$293)</f>
        <v>0</v>
      </c>
      <c r="H311" s="36">
        <f>X310*(1+H$293)</f>
        <v>0</v>
      </c>
      <c r="I311" s="36">
        <f>Y310*(1+I$293)</f>
        <v>0</v>
      </c>
      <c r="J311" s="36">
        <f>Z310*(1+J$293)</f>
        <v>0</v>
      </c>
      <c r="K311" s="36">
        <f>AA310*(1+K$293)</f>
        <v>0</v>
      </c>
      <c r="L311" s="36">
        <f>AB310*(1+L$293)</f>
        <v>0</v>
      </c>
      <c r="M311" s="36">
        <f>MIN(E311-MIN(E$294,E311),MAX(0,$C311-0))</f>
        <v>0</v>
      </c>
      <c r="N311" s="36">
        <f>MIN(F311-MIN(F$294,F311),MAX(0,$C311-SUM($M311:M311)))</f>
        <v>1640</v>
      </c>
      <c r="O311" s="36">
        <f>MIN(G311-MIN(G$294,G311),MAX(0,$C311-SUM($M311:N311)))</f>
        <v>0</v>
      </c>
      <c r="P311" s="36">
        <f>MIN(H311-MIN(H$294,H311),MAX(0,$C311-SUM($M311:O311)))</f>
        <v>0</v>
      </c>
      <c r="Q311" s="36">
        <f>MIN(I311-MIN(I$294,I311),MAX(0,$C311-SUM($M311:P311)))</f>
        <v>0</v>
      </c>
      <c r="R311" s="36">
        <f>MIN(J311-MIN(J$294,J311),MAX(0,$C311-SUM($M311:Q311)))</f>
        <v>0</v>
      </c>
      <c r="S311" s="36">
        <f>MIN(K311-MIN(K$294,K311),MAX(0,$C311-SUM($M311:R311)))</f>
        <v>0</v>
      </c>
      <c r="T311" s="36">
        <f>MIN(L311-MIN(L$294,L311),MAX(0,$C311-SUM($M311:S311)))</f>
        <v>0</v>
      </c>
      <c r="U311" s="36">
        <f>IF(E311-MIN(E$294,E311)-M311&lt;0.005,0,E311-MIN(E$294,E311)-M311)</f>
        <v>0</v>
      </c>
      <c r="V311" s="36">
        <f>IF(F311-MIN(F$294,F311)-N311&lt;0.005,0,F311-MIN(F$294,F311)-N311)</f>
        <v>6938.72345164647</v>
      </c>
      <c r="W311" s="36">
        <f>IF(G311-MIN(G$294,G311)-O311&lt;0.005,0,G311-MIN(G$294,G311)-O311)</f>
        <v>0</v>
      </c>
      <c r="X311" s="36">
        <f>IF(H311-MIN(H$294,H311)-P311&lt;0.005,0,H311-MIN(H$294,H311)-P311)</f>
        <v>0</v>
      </c>
      <c r="Y311" s="36">
        <f>IF(I311-MIN(I$294,I311)-Q311&lt;0.005,0,I311-MIN(I$294,I311)-Q311)</f>
        <v>0</v>
      </c>
      <c r="Z311" s="36">
        <f>IF(J311-MIN(J$294,J311)-R311&lt;0.005,0,J311-MIN(J$294,J311)-R311)</f>
        <v>0</v>
      </c>
      <c r="AA311" s="36">
        <f>IF(K311-MIN(K$294,K311)-S311&lt;0.005,0,K311-MIN(K$294,K311)-S311)</f>
        <v>0</v>
      </c>
      <c r="AB311" s="36">
        <f>IF(L311-MIN(L$294,L311)-T311&lt;0.005,0,L311-MIN(L$294,L311)-T311)</f>
        <v>0</v>
      </c>
      <c r="AC311" s="36">
        <f>SUM(U311:AB311)</f>
        <v>6938.72345164647</v>
      </c>
      <c r="AD311" s="36">
        <f>D311+SUM(M311:T311)</f>
        <v>2790</v>
      </c>
    </row>
    <row r="312">
      <c r="B312" s="40" t="n">
        <v>14</v>
      </c>
      <c r="C312" s="36">
        <f>MAX(0,Sim_SomaParc+N(Sim_Extra)-D312)</f>
        <v>1640</v>
      </c>
      <c r="D312" s="36">
        <f>MIN(E$294,E312)+MIN(F$294,F312)+MIN(G$294,G312)+MIN(H$294,H312)+MIN(I$294,I312)+MIN(J$294,J312)+MIN(K$294,K312)+MIN(L$294,L312)</f>
        <v>1150</v>
      </c>
      <c r="E312" s="36">
        <f>U311*(1+E$293)</f>
        <v>0</v>
      </c>
      <c r="F312" s="36">
        <f>V311*(1+F$293)</f>
        <v>7077.4979206794</v>
      </c>
      <c r="G312" s="36">
        <f>W311*(1+G$293)</f>
        <v>0</v>
      </c>
      <c r="H312" s="36">
        <f>X311*(1+H$293)</f>
        <v>0</v>
      </c>
      <c r="I312" s="36">
        <f>Y311*(1+I$293)</f>
        <v>0</v>
      </c>
      <c r="J312" s="36">
        <f>Z311*(1+J$293)</f>
        <v>0</v>
      </c>
      <c r="K312" s="36">
        <f>AA311*(1+K$293)</f>
        <v>0</v>
      </c>
      <c r="L312" s="36">
        <f>AB311*(1+L$293)</f>
        <v>0</v>
      </c>
      <c r="M312" s="36">
        <f>MIN(E312-MIN(E$294,E312),MAX(0,$C312-0))</f>
        <v>0</v>
      </c>
      <c r="N312" s="36">
        <f>MIN(F312-MIN(F$294,F312),MAX(0,$C312-SUM($M312:M312)))</f>
        <v>1640</v>
      </c>
      <c r="O312" s="36">
        <f>MIN(G312-MIN(G$294,G312),MAX(0,$C312-SUM($M312:N312)))</f>
        <v>0</v>
      </c>
      <c r="P312" s="36">
        <f>MIN(H312-MIN(H$294,H312),MAX(0,$C312-SUM($M312:O312)))</f>
        <v>0</v>
      </c>
      <c r="Q312" s="36">
        <f>MIN(I312-MIN(I$294,I312),MAX(0,$C312-SUM($M312:P312)))</f>
        <v>0</v>
      </c>
      <c r="R312" s="36">
        <f>MIN(J312-MIN(J$294,J312),MAX(0,$C312-SUM($M312:Q312)))</f>
        <v>0</v>
      </c>
      <c r="S312" s="36">
        <f>MIN(K312-MIN(K$294,K312),MAX(0,$C312-SUM($M312:R312)))</f>
        <v>0</v>
      </c>
      <c r="T312" s="36">
        <f>MIN(L312-MIN(L$294,L312),MAX(0,$C312-SUM($M312:S312)))</f>
        <v>0</v>
      </c>
      <c r="U312" s="36">
        <f>IF(E312-MIN(E$294,E312)-M312&lt;0.005,0,E312-MIN(E$294,E312)-M312)</f>
        <v>0</v>
      </c>
      <c r="V312" s="36">
        <f>IF(F312-MIN(F$294,F312)-N312&lt;0.005,0,F312-MIN(F$294,F312)-N312)</f>
        <v>4287.4979206794</v>
      </c>
      <c r="W312" s="36">
        <f>IF(G312-MIN(G$294,G312)-O312&lt;0.005,0,G312-MIN(G$294,G312)-O312)</f>
        <v>0</v>
      </c>
      <c r="X312" s="36">
        <f>IF(H312-MIN(H$294,H312)-P312&lt;0.005,0,H312-MIN(H$294,H312)-P312)</f>
        <v>0</v>
      </c>
      <c r="Y312" s="36">
        <f>IF(I312-MIN(I$294,I312)-Q312&lt;0.005,0,I312-MIN(I$294,I312)-Q312)</f>
        <v>0</v>
      </c>
      <c r="Z312" s="36">
        <f>IF(J312-MIN(J$294,J312)-R312&lt;0.005,0,J312-MIN(J$294,J312)-R312)</f>
        <v>0</v>
      </c>
      <c r="AA312" s="36">
        <f>IF(K312-MIN(K$294,K312)-S312&lt;0.005,0,K312-MIN(K$294,K312)-S312)</f>
        <v>0</v>
      </c>
      <c r="AB312" s="36">
        <f>IF(L312-MIN(L$294,L312)-T312&lt;0.005,0,L312-MIN(L$294,L312)-T312)</f>
        <v>0</v>
      </c>
      <c r="AC312" s="36">
        <f>SUM(U312:AB312)</f>
        <v>4287.4979206794</v>
      </c>
      <c r="AD312" s="36">
        <f>D312+SUM(M312:T312)</f>
        <v>2790</v>
      </c>
    </row>
    <row r="313">
      <c r="B313" s="40" t="n">
        <v>15</v>
      </c>
      <c r="C313" s="36">
        <f>MAX(0,Sim_SomaParc+N(Sim_Extra)-D313)</f>
        <v>1640</v>
      </c>
      <c r="D313" s="36">
        <f>MIN(E$294,E313)+MIN(F$294,F313)+MIN(G$294,G313)+MIN(H$294,H313)+MIN(I$294,I313)+MIN(J$294,J313)+MIN(K$294,K313)+MIN(L$294,L313)</f>
        <v>1150</v>
      </c>
      <c r="E313" s="36">
        <f>U312*(1+E$293)</f>
        <v>0</v>
      </c>
      <c r="F313" s="36">
        <f>V312*(1+F$293)</f>
        <v>4373.24787909299</v>
      </c>
      <c r="G313" s="36">
        <f>W312*(1+G$293)</f>
        <v>0</v>
      </c>
      <c r="H313" s="36">
        <f>X312*(1+H$293)</f>
        <v>0</v>
      </c>
      <c r="I313" s="36">
        <f>Y312*(1+I$293)</f>
        <v>0</v>
      </c>
      <c r="J313" s="36">
        <f>Z312*(1+J$293)</f>
        <v>0</v>
      </c>
      <c r="K313" s="36">
        <f>AA312*(1+K$293)</f>
        <v>0</v>
      </c>
      <c r="L313" s="36">
        <f>AB312*(1+L$293)</f>
        <v>0</v>
      </c>
      <c r="M313" s="36">
        <f>MIN(E313-MIN(E$294,E313),MAX(0,$C313-0))</f>
        <v>0</v>
      </c>
      <c r="N313" s="36">
        <f>MIN(F313-MIN(F$294,F313),MAX(0,$C313-SUM($M313:M313)))</f>
        <v>1640</v>
      </c>
      <c r="O313" s="36">
        <f>MIN(G313-MIN(G$294,G313),MAX(0,$C313-SUM($M313:N313)))</f>
        <v>0</v>
      </c>
      <c r="P313" s="36">
        <f>MIN(H313-MIN(H$294,H313),MAX(0,$C313-SUM($M313:O313)))</f>
        <v>0</v>
      </c>
      <c r="Q313" s="36">
        <f>MIN(I313-MIN(I$294,I313),MAX(0,$C313-SUM($M313:P313)))</f>
        <v>0</v>
      </c>
      <c r="R313" s="36">
        <f>MIN(J313-MIN(J$294,J313),MAX(0,$C313-SUM($M313:Q313)))</f>
        <v>0</v>
      </c>
      <c r="S313" s="36">
        <f>MIN(K313-MIN(K$294,K313),MAX(0,$C313-SUM($M313:R313)))</f>
        <v>0</v>
      </c>
      <c r="T313" s="36">
        <f>MIN(L313-MIN(L$294,L313),MAX(0,$C313-SUM($M313:S313)))</f>
        <v>0</v>
      </c>
      <c r="U313" s="36">
        <f>IF(E313-MIN(E$294,E313)-M313&lt;0.005,0,E313-MIN(E$294,E313)-M313)</f>
        <v>0</v>
      </c>
      <c r="V313" s="36">
        <f>IF(F313-MIN(F$294,F313)-N313&lt;0.005,0,F313-MIN(F$294,F313)-N313)</f>
        <v>1583.24787909299</v>
      </c>
      <c r="W313" s="36">
        <f>IF(G313-MIN(G$294,G313)-O313&lt;0.005,0,G313-MIN(G$294,G313)-O313)</f>
        <v>0</v>
      </c>
      <c r="X313" s="36">
        <f>IF(H313-MIN(H$294,H313)-P313&lt;0.005,0,H313-MIN(H$294,H313)-P313)</f>
        <v>0</v>
      </c>
      <c r="Y313" s="36">
        <f>IF(I313-MIN(I$294,I313)-Q313&lt;0.005,0,I313-MIN(I$294,I313)-Q313)</f>
        <v>0</v>
      </c>
      <c r="Z313" s="36">
        <f>IF(J313-MIN(J$294,J313)-R313&lt;0.005,0,J313-MIN(J$294,J313)-R313)</f>
        <v>0</v>
      </c>
      <c r="AA313" s="36">
        <f>IF(K313-MIN(K$294,K313)-S313&lt;0.005,0,K313-MIN(K$294,K313)-S313)</f>
        <v>0</v>
      </c>
      <c r="AB313" s="36">
        <f>IF(L313-MIN(L$294,L313)-T313&lt;0.005,0,L313-MIN(L$294,L313)-T313)</f>
        <v>0</v>
      </c>
      <c r="AC313" s="36">
        <f>SUM(U313:AB313)</f>
        <v>1583.24787909299</v>
      </c>
      <c r="AD313" s="36">
        <f>D313+SUM(M313:T313)</f>
        <v>2790</v>
      </c>
    </row>
    <row r="314">
      <c r="B314" s="40" t="n">
        <v>16</v>
      </c>
      <c r="C314" s="36">
        <f>MAX(0,Sim_SomaParc+N(Sim_Extra)-D314)</f>
        <v>1640</v>
      </c>
      <c r="D314" s="36">
        <f>MIN(E$294,E314)+MIN(F$294,F314)+MIN(G$294,G314)+MIN(H$294,H314)+MIN(I$294,I314)+MIN(J$294,J314)+MIN(K$294,K314)+MIN(L$294,L314)</f>
        <v>1150</v>
      </c>
      <c r="E314" s="36">
        <f>U313*(1+E$293)</f>
        <v>0</v>
      </c>
      <c r="F314" s="36">
        <f>V313*(1+F$293)</f>
        <v>1614.91283667485</v>
      </c>
      <c r="G314" s="36">
        <f>W313*(1+G$293)</f>
        <v>0</v>
      </c>
      <c r="H314" s="36">
        <f>X313*(1+H$293)</f>
        <v>0</v>
      </c>
      <c r="I314" s="36">
        <f>Y313*(1+I$293)</f>
        <v>0</v>
      </c>
      <c r="J314" s="36">
        <f>Z313*(1+J$293)</f>
        <v>0</v>
      </c>
      <c r="K314" s="36">
        <f>AA313*(1+K$293)</f>
        <v>0</v>
      </c>
      <c r="L314" s="36">
        <f>AB313*(1+L$293)</f>
        <v>0</v>
      </c>
      <c r="M314" s="36">
        <f>MIN(E314-MIN(E$294,E314),MAX(0,$C314-0))</f>
        <v>0</v>
      </c>
      <c r="N314" s="36">
        <f>MIN(F314-MIN(F$294,F314),MAX(0,$C314-SUM($M314:M314)))</f>
        <v>464.91283667485</v>
      </c>
      <c r="O314" s="36">
        <f>MIN(G314-MIN(G$294,G314),MAX(0,$C314-SUM($M314:N314)))</f>
        <v>0</v>
      </c>
      <c r="P314" s="36">
        <f>MIN(H314-MIN(H$294,H314),MAX(0,$C314-SUM($M314:O314)))</f>
        <v>0</v>
      </c>
      <c r="Q314" s="36">
        <f>MIN(I314-MIN(I$294,I314),MAX(0,$C314-SUM($M314:P314)))</f>
        <v>0</v>
      </c>
      <c r="R314" s="36">
        <f>MIN(J314-MIN(J$294,J314),MAX(0,$C314-SUM($M314:Q314)))</f>
        <v>0</v>
      </c>
      <c r="S314" s="36">
        <f>MIN(K314-MIN(K$294,K314),MAX(0,$C314-SUM($M314:R314)))</f>
        <v>0</v>
      </c>
      <c r="T314" s="36">
        <f>MIN(L314-MIN(L$294,L314),MAX(0,$C314-SUM($M314:S314)))</f>
        <v>0</v>
      </c>
      <c r="U314" s="36">
        <f>IF(E314-MIN(E$294,E314)-M314&lt;0.005,0,E314-MIN(E$294,E314)-M314)</f>
        <v>0</v>
      </c>
      <c r="V314" s="36">
        <f>IF(F314-MIN(F$294,F314)-N314&lt;0.005,0,F314-MIN(F$294,F314)-N314)</f>
        <v>0</v>
      </c>
      <c r="W314" s="36">
        <f>IF(G314-MIN(G$294,G314)-O314&lt;0.005,0,G314-MIN(G$294,G314)-O314)</f>
        <v>0</v>
      </c>
      <c r="X314" s="36">
        <f>IF(H314-MIN(H$294,H314)-P314&lt;0.005,0,H314-MIN(H$294,H314)-P314)</f>
        <v>0</v>
      </c>
      <c r="Y314" s="36">
        <f>IF(I314-MIN(I$294,I314)-Q314&lt;0.005,0,I314-MIN(I$294,I314)-Q314)</f>
        <v>0</v>
      </c>
      <c r="Z314" s="36">
        <f>IF(J314-MIN(J$294,J314)-R314&lt;0.005,0,J314-MIN(J$294,J314)-R314)</f>
        <v>0</v>
      </c>
      <c r="AA314" s="36">
        <f>IF(K314-MIN(K$294,K314)-S314&lt;0.005,0,K314-MIN(K$294,K314)-S314)</f>
        <v>0</v>
      </c>
      <c r="AB314" s="36">
        <f>IF(L314-MIN(L$294,L314)-T314&lt;0.005,0,L314-MIN(L$294,L314)-T314)</f>
        <v>0</v>
      </c>
      <c r="AC314" s="36">
        <f>SUM(U314:AB314)</f>
        <v>0</v>
      </c>
      <c r="AD314" s="36">
        <f>D314+SUM(M314:T314)</f>
        <v>1614.91283667485</v>
      </c>
    </row>
    <row r="315">
      <c r="B315" s="40" t="n">
        <v>17</v>
      </c>
      <c r="C315" s="36">
        <f>MAX(0,Sim_SomaParc+N(Sim_Extra)-D315)</f>
        <v>2790</v>
      </c>
      <c r="D315" s="36">
        <f>MIN(E$294,E315)+MIN(F$294,F315)+MIN(G$294,G315)+MIN(H$294,H315)+MIN(I$294,I315)+MIN(J$294,J315)+MIN(K$294,K315)+MIN(L$294,L315)</f>
        <v>0</v>
      </c>
      <c r="E315" s="36">
        <f>U314*(1+E$293)</f>
        <v>0</v>
      </c>
      <c r="F315" s="36">
        <f>V314*(1+F$293)</f>
        <v>0</v>
      </c>
      <c r="G315" s="36">
        <f>W314*(1+G$293)</f>
        <v>0</v>
      </c>
      <c r="H315" s="36">
        <f>X314*(1+H$293)</f>
        <v>0</v>
      </c>
      <c r="I315" s="36">
        <f>Y314*(1+I$293)</f>
        <v>0</v>
      </c>
      <c r="J315" s="36">
        <f>Z314*(1+J$293)</f>
        <v>0</v>
      </c>
      <c r="K315" s="36">
        <f>AA314*(1+K$293)</f>
        <v>0</v>
      </c>
      <c r="L315" s="36">
        <f>AB314*(1+L$293)</f>
        <v>0</v>
      </c>
      <c r="M315" s="36">
        <f>MIN(E315-MIN(E$294,E315),MAX(0,$C315-0))</f>
        <v>0</v>
      </c>
      <c r="N315" s="36">
        <f>MIN(F315-MIN(F$294,F315),MAX(0,$C315-SUM($M315:M315)))</f>
        <v>0</v>
      </c>
      <c r="O315" s="36">
        <f>MIN(G315-MIN(G$294,G315),MAX(0,$C315-SUM($M315:N315)))</f>
        <v>0</v>
      </c>
      <c r="P315" s="36">
        <f>MIN(H315-MIN(H$294,H315),MAX(0,$C315-SUM($M315:O315)))</f>
        <v>0</v>
      </c>
      <c r="Q315" s="36">
        <f>MIN(I315-MIN(I$294,I315),MAX(0,$C315-SUM($M315:P315)))</f>
        <v>0</v>
      </c>
      <c r="R315" s="36">
        <f>MIN(J315-MIN(J$294,J315),MAX(0,$C315-SUM($M315:Q315)))</f>
        <v>0</v>
      </c>
      <c r="S315" s="36">
        <f>MIN(K315-MIN(K$294,K315),MAX(0,$C315-SUM($M315:R315)))</f>
        <v>0</v>
      </c>
      <c r="T315" s="36">
        <f>MIN(L315-MIN(L$294,L315),MAX(0,$C315-SUM($M315:S315)))</f>
        <v>0</v>
      </c>
      <c r="U315" s="36">
        <f>IF(E315-MIN(E$294,E315)-M315&lt;0.005,0,E315-MIN(E$294,E315)-M315)</f>
        <v>0</v>
      </c>
      <c r="V315" s="36">
        <f>IF(F315-MIN(F$294,F315)-N315&lt;0.005,0,F315-MIN(F$294,F315)-N315)</f>
        <v>0</v>
      </c>
      <c r="W315" s="36">
        <f>IF(G315-MIN(G$294,G315)-O315&lt;0.005,0,G315-MIN(G$294,G315)-O315)</f>
        <v>0</v>
      </c>
      <c r="X315" s="36">
        <f>IF(H315-MIN(H$294,H315)-P315&lt;0.005,0,H315-MIN(H$294,H315)-P315)</f>
        <v>0</v>
      </c>
      <c r="Y315" s="36">
        <f>IF(I315-MIN(I$294,I315)-Q315&lt;0.005,0,I315-MIN(I$294,I315)-Q315)</f>
        <v>0</v>
      </c>
      <c r="Z315" s="36">
        <f>IF(J315-MIN(J$294,J315)-R315&lt;0.005,0,J315-MIN(J$294,J315)-R315)</f>
        <v>0</v>
      </c>
      <c r="AA315" s="36">
        <f>IF(K315-MIN(K$294,K315)-S315&lt;0.005,0,K315-MIN(K$294,K315)-S315)</f>
        <v>0</v>
      </c>
      <c r="AB315" s="36">
        <f>IF(L315-MIN(L$294,L315)-T315&lt;0.005,0,L315-MIN(L$294,L315)-T315)</f>
        <v>0</v>
      </c>
      <c r="AC315" s="36">
        <f>SUM(U315:AB315)</f>
        <v>0</v>
      </c>
      <c r="AD315" s="36">
        <f>D315+SUM(M315:T315)</f>
        <v>0</v>
      </c>
    </row>
    <row r="316">
      <c r="B316" s="40" t="n">
        <v>18</v>
      </c>
      <c r="C316" s="36">
        <f>MAX(0,Sim_SomaParc+N(Sim_Extra)-D316)</f>
        <v>2790</v>
      </c>
      <c r="D316" s="36">
        <f>MIN(E$294,E316)+MIN(F$294,F316)+MIN(G$294,G316)+MIN(H$294,H316)+MIN(I$294,I316)+MIN(J$294,J316)+MIN(K$294,K316)+MIN(L$294,L316)</f>
        <v>0</v>
      </c>
      <c r="E316" s="36">
        <f>U315*(1+E$293)</f>
        <v>0</v>
      </c>
      <c r="F316" s="36">
        <f>V315*(1+F$293)</f>
        <v>0</v>
      </c>
      <c r="G316" s="36">
        <f>W315*(1+G$293)</f>
        <v>0</v>
      </c>
      <c r="H316" s="36">
        <f>X315*(1+H$293)</f>
        <v>0</v>
      </c>
      <c r="I316" s="36">
        <f>Y315*(1+I$293)</f>
        <v>0</v>
      </c>
      <c r="J316" s="36">
        <f>Z315*(1+J$293)</f>
        <v>0</v>
      </c>
      <c r="K316" s="36">
        <f>AA315*(1+K$293)</f>
        <v>0</v>
      </c>
      <c r="L316" s="36">
        <f>AB315*(1+L$293)</f>
        <v>0</v>
      </c>
      <c r="M316" s="36">
        <f>MIN(E316-MIN(E$294,E316),MAX(0,$C316-0))</f>
        <v>0</v>
      </c>
      <c r="N316" s="36">
        <f>MIN(F316-MIN(F$294,F316),MAX(0,$C316-SUM($M316:M316)))</f>
        <v>0</v>
      </c>
      <c r="O316" s="36">
        <f>MIN(G316-MIN(G$294,G316),MAX(0,$C316-SUM($M316:N316)))</f>
        <v>0</v>
      </c>
      <c r="P316" s="36">
        <f>MIN(H316-MIN(H$294,H316),MAX(0,$C316-SUM($M316:O316)))</f>
        <v>0</v>
      </c>
      <c r="Q316" s="36">
        <f>MIN(I316-MIN(I$294,I316),MAX(0,$C316-SUM($M316:P316)))</f>
        <v>0</v>
      </c>
      <c r="R316" s="36">
        <f>MIN(J316-MIN(J$294,J316),MAX(0,$C316-SUM($M316:Q316)))</f>
        <v>0</v>
      </c>
      <c r="S316" s="36">
        <f>MIN(K316-MIN(K$294,K316),MAX(0,$C316-SUM($M316:R316)))</f>
        <v>0</v>
      </c>
      <c r="T316" s="36">
        <f>MIN(L316-MIN(L$294,L316),MAX(0,$C316-SUM($M316:S316)))</f>
        <v>0</v>
      </c>
      <c r="U316" s="36">
        <f>IF(E316-MIN(E$294,E316)-M316&lt;0.005,0,E316-MIN(E$294,E316)-M316)</f>
        <v>0</v>
      </c>
      <c r="V316" s="36">
        <f>IF(F316-MIN(F$294,F316)-N316&lt;0.005,0,F316-MIN(F$294,F316)-N316)</f>
        <v>0</v>
      </c>
      <c r="W316" s="36">
        <f>IF(G316-MIN(G$294,G316)-O316&lt;0.005,0,G316-MIN(G$294,G316)-O316)</f>
        <v>0</v>
      </c>
      <c r="X316" s="36">
        <f>IF(H316-MIN(H$294,H316)-P316&lt;0.005,0,H316-MIN(H$294,H316)-P316)</f>
        <v>0</v>
      </c>
      <c r="Y316" s="36">
        <f>IF(I316-MIN(I$294,I316)-Q316&lt;0.005,0,I316-MIN(I$294,I316)-Q316)</f>
        <v>0</v>
      </c>
      <c r="Z316" s="36">
        <f>IF(J316-MIN(J$294,J316)-R316&lt;0.005,0,J316-MIN(J$294,J316)-R316)</f>
        <v>0</v>
      </c>
      <c r="AA316" s="36">
        <f>IF(K316-MIN(K$294,K316)-S316&lt;0.005,0,K316-MIN(K$294,K316)-S316)</f>
        <v>0</v>
      </c>
      <c r="AB316" s="36">
        <f>IF(L316-MIN(L$294,L316)-T316&lt;0.005,0,L316-MIN(L$294,L316)-T316)</f>
        <v>0</v>
      </c>
      <c r="AC316" s="36">
        <f>SUM(U316:AB316)</f>
        <v>0</v>
      </c>
      <c r="AD316" s="36">
        <f>D316+SUM(M316:T316)</f>
        <v>0</v>
      </c>
    </row>
    <row r="317">
      <c r="B317" s="40" t="n">
        <v>19</v>
      </c>
      <c r="C317" s="36">
        <f>MAX(0,Sim_SomaParc+N(Sim_Extra)-D317)</f>
        <v>2790</v>
      </c>
      <c r="D317" s="36">
        <f>MIN(E$294,E317)+MIN(F$294,F317)+MIN(G$294,G317)+MIN(H$294,H317)+MIN(I$294,I317)+MIN(J$294,J317)+MIN(K$294,K317)+MIN(L$294,L317)</f>
        <v>0</v>
      </c>
      <c r="E317" s="36">
        <f>U316*(1+E$293)</f>
        <v>0</v>
      </c>
      <c r="F317" s="36">
        <f>V316*(1+F$293)</f>
        <v>0</v>
      </c>
      <c r="G317" s="36">
        <f>W316*(1+G$293)</f>
        <v>0</v>
      </c>
      <c r="H317" s="36">
        <f>X316*(1+H$293)</f>
        <v>0</v>
      </c>
      <c r="I317" s="36">
        <f>Y316*(1+I$293)</f>
        <v>0</v>
      </c>
      <c r="J317" s="36">
        <f>Z316*(1+J$293)</f>
        <v>0</v>
      </c>
      <c r="K317" s="36">
        <f>AA316*(1+K$293)</f>
        <v>0</v>
      </c>
      <c r="L317" s="36">
        <f>AB316*(1+L$293)</f>
        <v>0</v>
      </c>
      <c r="M317" s="36">
        <f>MIN(E317-MIN(E$294,E317),MAX(0,$C317-0))</f>
        <v>0</v>
      </c>
      <c r="N317" s="36">
        <f>MIN(F317-MIN(F$294,F317),MAX(0,$C317-SUM($M317:M317)))</f>
        <v>0</v>
      </c>
      <c r="O317" s="36">
        <f>MIN(G317-MIN(G$294,G317),MAX(0,$C317-SUM($M317:N317)))</f>
        <v>0</v>
      </c>
      <c r="P317" s="36">
        <f>MIN(H317-MIN(H$294,H317),MAX(0,$C317-SUM($M317:O317)))</f>
        <v>0</v>
      </c>
      <c r="Q317" s="36">
        <f>MIN(I317-MIN(I$294,I317),MAX(0,$C317-SUM($M317:P317)))</f>
        <v>0</v>
      </c>
      <c r="R317" s="36">
        <f>MIN(J317-MIN(J$294,J317),MAX(0,$C317-SUM($M317:Q317)))</f>
        <v>0</v>
      </c>
      <c r="S317" s="36">
        <f>MIN(K317-MIN(K$294,K317),MAX(0,$C317-SUM($M317:R317)))</f>
        <v>0</v>
      </c>
      <c r="T317" s="36">
        <f>MIN(L317-MIN(L$294,L317),MAX(0,$C317-SUM($M317:S317)))</f>
        <v>0</v>
      </c>
      <c r="U317" s="36">
        <f>IF(E317-MIN(E$294,E317)-M317&lt;0.005,0,E317-MIN(E$294,E317)-M317)</f>
        <v>0</v>
      </c>
      <c r="V317" s="36">
        <f>IF(F317-MIN(F$294,F317)-N317&lt;0.005,0,F317-MIN(F$294,F317)-N317)</f>
        <v>0</v>
      </c>
      <c r="W317" s="36">
        <f>IF(G317-MIN(G$294,G317)-O317&lt;0.005,0,G317-MIN(G$294,G317)-O317)</f>
        <v>0</v>
      </c>
      <c r="X317" s="36">
        <f>IF(H317-MIN(H$294,H317)-P317&lt;0.005,0,H317-MIN(H$294,H317)-P317)</f>
        <v>0</v>
      </c>
      <c r="Y317" s="36">
        <f>IF(I317-MIN(I$294,I317)-Q317&lt;0.005,0,I317-MIN(I$294,I317)-Q317)</f>
        <v>0</v>
      </c>
      <c r="Z317" s="36">
        <f>IF(J317-MIN(J$294,J317)-R317&lt;0.005,0,J317-MIN(J$294,J317)-R317)</f>
        <v>0</v>
      </c>
      <c r="AA317" s="36">
        <f>IF(K317-MIN(K$294,K317)-S317&lt;0.005,0,K317-MIN(K$294,K317)-S317)</f>
        <v>0</v>
      </c>
      <c r="AB317" s="36">
        <f>IF(L317-MIN(L$294,L317)-T317&lt;0.005,0,L317-MIN(L$294,L317)-T317)</f>
        <v>0</v>
      </c>
      <c r="AC317" s="36">
        <f>SUM(U317:AB317)</f>
        <v>0</v>
      </c>
      <c r="AD317" s="36">
        <f>D317+SUM(M317:T317)</f>
        <v>0</v>
      </c>
    </row>
    <row r="318">
      <c r="B318" s="40" t="n">
        <v>20</v>
      </c>
      <c r="C318" s="36">
        <f>MAX(0,Sim_SomaParc+N(Sim_Extra)-D318)</f>
        <v>2790</v>
      </c>
      <c r="D318" s="36">
        <f>MIN(E$294,E318)+MIN(F$294,F318)+MIN(G$294,G318)+MIN(H$294,H318)+MIN(I$294,I318)+MIN(J$294,J318)+MIN(K$294,K318)+MIN(L$294,L318)</f>
        <v>0</v>
      </c>
      <c r="E318" s="36">
        <f>U317*(1+E$293)</f>
        <v>0</v>
      </c>
      <c r="F318" s="36">
        <f>V317*(1+F$293)</f>
        <v>0</v>
      </c>
      <c r="G318" s="36">
        <f>W317*(1+G$293)</f>
        <v>0</v>
      </c>
      <c r="H318" s="36">
        <f>X317*(1+H$293)</f>
        <v>0</v>
      </c>
      <c r="I318" s="36">
        <f>Y317*(1+I$293)</f>
        <v>0</v>
      </c>
      <c r="J318" s="36">
        <f>Z317*(1+J$293)</f>
        <v>0</v>
      </c>
      <c r="K318" s="36">
        <f>AA317*(1+K$293)</f>
        <v>0</v>
      </c>
      <c r="L318" s="36">
        <f>AB317*(1+L$293)</f>
        <v>0</v>
      </c>
      <c r="M318" s="36">
        <f>MIN(E318-MIN(E$294,E318),MAX(0,$C318-0))</f>
        <v>0</v>
      </c>
      <c r="N318" s="36">
        <f>MIN(F318-MIN(F$294,F318),MAX(0,$C318-SUM($M318:M318)))</f>
        <v>0</v>
      </c>
      <c r="O318" s="36">
        <f>MIN(G318-MIN(G$294,G318),MAX(0,$C318-SUM($M318:N318)))</f>
        <v>0</v>
      </c>
      <c r="P318" s="36">
        <f>MIN(H318-MIN(H$294,H318),MAX(0,$C318-SUM($M318:O318)))</f>
        <v>0</v>
      </c>
      <c r="Q318" s="36">
        <f>MIN(I318-MIN(I$294,I318),MAX(0,$C318-SUM($M318:P318)))</f>
        <v>0</v>
      </c>
      <c r="R318" s="36">
        <f>MIN(J318-MIN(J$294,J318),MAX(0,$C318-SUM($M318:Q318)))</f>
        <v>0</v>
      </c>
      <c r="S318" s="36">
        <f>MIN(K318-MIN(K$294,K318),MAX(0,$C318-SUM($M318:R318)))</f>
        <v>0</v>
      </c>
      <c r="T318" s="36">
        <f>MIN(L318-MIN(L$294,L318),MAX(0,$C318-SUM($M318:S318)))</f>
        <v>0</v>
      </c>
      <c r="U318" s="36">
        <f>IF(E318-MIN(E$294,E318)-M318&lt;0.005,0,E318-MIN(E$294,E318)-M318)</f>
        <v>0</v>
      </c>
      <c r="V318" s="36">
        <f>IF(F318-MIN(F$294,F318)-N318&lt;0.005,0,F318-MIN(F$294,F318)-N318)</f>
        <v>0</v>
      </c>
      <c r="W318" s="36">
        <f>IF(G318-MIN(G$294,G318)-O318&lt;0.005,0,G318-MIN(G$294,G318)-O318)</f>
        <v>0</v>
      </c>
      <c r="X318" s="36">
        <f>IF(H318-MIN(H$294,H318)-P318&lt;0.005,0,H318-MIN(H$294,H318)-P318)</f>
        <v>0</v>
      </c>
      <c r="Y318" s="36">
        <f>IF(I318-MIN(I$294,I318)-Q318&lt;0.005,0,I318-MIN(I$294,I318)-Q318)</f>
        <v>0</v>
      </c>
      <c r="Z318" s="36">
        <f>IF(J318-MIN(J$294,J318)-R318&lt;0.005,0,J318-MIN(J$294,J318)-R318)</f>
        <v>0</v>
      </c>
      <c r="AA318" s="36">
        <f>IF(K318-MIN(K$294,K318)-S318&lt;0.005,0,K318-MIN(K$294,K318)-S318)</f>
        <v>0</v>
      </c>
      <c r="AB318" s="36">
        <f>IF(L318-MIN(L$294,L318)-T318&lt;0.005,0,L318-MIN(L$294,L318)-T318)</f>
        <v>0</v>
      </c>
      <c r="AC318" s="36">
        <f>SUM(U318:AB318)</f>
        <v>0</v>
      </c>
      <c r="AD318" s="36">
        <f>D318+SUM(M318:T318)</f>
        <v>0</v>
      </c>
    </row>
    <row r="319">
      <c r="B319" s="40" t="n">
        <v>21</v>
      </c>
      <c r="C319" s="36">
        <f>MAX(0,Sim_SomaParc+N(Sim_Extra)-D319)</f>
        <v>2790</v>
      </c>
      <c r="D319" s="36">
        <f>MIN(E$294,E319)+MIN(F$294,F319)+MIN(G$294,G319)+MIN(H$294,H319)+MIN(I$294,I319)+MIN(J$294,J319)+MIN(K$294,K319)+MIN(L$294,L319)</f>
        <v>0</v>
      </c>
      <c r="E319" s="36">
        <f>U318*(1+E$293)</f>
        <v>0</v>
      </c>
      <c r="F319" s="36">
        <f>V318*(1+F$293)</f>
        <v>0</v>
      </c>
      <c r="G319" s="36">
        <f>W318*(1+G$293)</f>
        <v>0</v>
      </c>
      <c r="H319" s="36">
        <f>X318*(1+H$293)</f>
        <v>0</v>
      </c>
      <c r="I319" s="36">
        <f>Y318*(1+I$293)</f>
        <v>0</v>
      </c>
      <c r="J319" s="36">
        <f>Z318*(1+J$293)</f>
        <v>0</v>
      </c>
      <c r="K319" s="36">
        <f>AA318*(1+K$293)</f>
        <v>0</v>
      </c>
      <c r="L319" s="36">
        <f>AB318*(1+L$293)</f>
        <v>0</v>
      </c>
      <c r="M319" s="36">
        <f>MIN(E319-MIN(E$294,E319),MAX(0,$C319-0))</f>
        <v>0</v>
      </c>
      <c r="N319" s="36">
        <f>MIN(F319-MIN(F$294,F319),MAX(0,$C319-SUM($M319:M319)))</f>
        <v>0</v>
      </c>
      <c r="O319" s="36">
        <f>MIN(G319-MIN(G$294,G319),MAX(0,$C319-SUM($M319:N319)))</f>
        <v>0</v>
      </c>
      <c r="P319" s="36">
        <f>MIN(H319-MIN(H$294,H319),MAX(0,$C319-SUM($M319:O319)))</f>
        <v>0</v>
      </c>
      <c r="Q319" s="36">
        <f>MIN(I319-MIN(I$294,I319),MAX(0,$C319-SUM($M319:P319)))</f>
        <v>0</v>
      </c>
      <c r="R319" s="36">
        <f>MIN(J319-MIN(J$294,J319),MAX(0,$C319-SUM($M319:Q319)))</f>
        <v>0</v>
      </c>
      <c r="S319" s="36">
        <f>MIN(K319-MIN(K$294,K319),MAX(0,$C319-SUM($M319:R319)))</f>
        <v>0</v>
      </c>
      <c r="T319" s="36">
        <f>MIN(L319-MIN(L$294,L319),MAX(0,$C319-SUM($M319:S319)))</f>
        <v>0</v>
      </c>
      <c r="U319" s="36">
        <f>IF(E319-MIN(E$294,E319)-M319&lt;0.005,0,E319-MIN(E$294,E319)-M319)</f>
        <v>0</v>
      </c>
      <c r="V319" s="36">
        <f>IF(F319-MIN(F$294,F319)-N319&lt;0.005,0,F319-MIN(F$294,F319)-N319)</f>
        <v>0</v>
      </c>
      <c r="W319" s="36">
        <f>IF(G319-MIN(G$294,G319)-O319&lt;0.005,0,G319-MIN(G$294,G319)-O319)</f>
        <v>0</v>
      </c>
      <c r="X319" s="36">
        <f>IF(H319-MIN(H$294,H319)-P319&lt;0.005,0,H319-MIN(H$294,H319)-P319)</f>
        <v>0</v>
      </c>
      <c r="Y319" s="36">
        <f>IF(I319-MIN(I$294,I319)-Q319&lt;0.005,0,I319-MIN(I$294,I319)-Q319)</f>
        <v>0</v>
      </c>
      <c r="Z319" s="36">
        <f>IF(J319-MIN(J$294,J319)-R319&lt;0.005,0,J319-MIN(J$294,J319)-R319)</f>
        <v>0</v>
      </c>
      <c r="AA319" s="36">
        <f>IF(K319-MIN(K$294,K319)-S319&lt;0.005,0,K319-MIN(K$294,K319)-S319)</f>
        <v>0</v>
      </c>
      <c r="AB319" s="36">
        <f>IF(L319-MIN(L$294,L319)-T319&lt;0.005,0,L319-MIN(L$294,L319)-T319)</f>
        <v>0</v>
      </c>
      <c r="AC319" s="36">
        <f>SUM(U319:AB319)</f>
        <v>0</v>
      </c>
      <c r="AD319" s="36">
        <f>D319+SUM(M319:T319)</f>
        <v>0</v>
      </c>
    </row>
    <row r="320">
      <c r="B320" s="40" t="n">
        <v>22</v>
      </c>
      <c r="C320" s="36">
        <f>MAX(0,Sim_SomaParc+N(Sim_Extra)-D320)</f>
        <v>2790</v>
      </c>
      <c r="D320" s="36">
        <f>MIN(E$294,E320)+MIN(F$294,F320)+MIN(G$294,G320)+MIN(H$294,H320)+MIN(I$294,I320)+MIN(J$294,J320)+MIN(K$294,K320)+MIN(L$294,L320)</f>
        <v>0</v>
      </c>
      <c r="E320" s="36">
        <f>U319*(1+E$293)</f>
        <v>0</v>
      </c>
      <c r="F320" s="36">
        <f>V319*(1+F$293)</f>
        <v>0</v>
      </c>
      <c r="G320" s="36">
        <f>W319*(1+G$293)</f>
        <v>0</v>
      </c>
      <c r="H320" s="36">
        <f>X319*(1+H$293)</f>
        <v>0</v>
      </c>
      <c r="I320" s="36">
        <f>Y319*(1+I$293)</f>
        <v>0</v>
      </c>
      <c r="J320" s="36">
        <f>Z319*(1+J$293)</f>
        <v>0</v>
      </c>
      <c r="K320" s="36">
        <f>AA319*(1+K$293)</f>
        <v>0</v>
      </c>
      <c r="L320" s="36">
        <f>AB319*(1+L$293)</f>
        <v>0</v>
      </c>
      <c r="M320" s="36">
        <f>MIN(E320-MIN(E$294,E320),MAX(0,$C320-0))</f>
        <v>0</v>
      </c>
      <c r="N320" s="36">
        <f>MIN(F320-MIN(F$294,F320),MAX(0,$C320-SUM($M320:M320)))</f>
        <v>0</v>
      </c>
      <c r="O320" s="36">
        <f>MIN(G320-MIN(G$294,G320),MAX(0,$C320-SUM($M320:N320)))</f>
        <v>0</v>
      </c>
      <c r="P320" s="36">
        <f>MIN(H320-MIN(H$294,H320),MAX(0,$C320-SUM($M320:O320)))</f>
        <v>0</v>
      </c>
      <c r="Q320" s="36">
        <f>MIN(I320-MIN(I$294,I320),MAX(0,$C320-SUM($M320:P320)))</f>
        <v>0</v>
      </c>
      <c r="R320" s="36">
        <f>MIN(J320-MIN(J$294,J320),MAX(0,$C320-SUM($M320:Q320)))</f>
        <v>0</v>
      </c>
      <c r="S320" s="36">
        <f>MIN(K320-MIN(K$294,K320),MAX(0,$C320-SUM($M320:R320)))</f>
        <v>0</v>
      </c>
      <c r="T320" s="36">
        <f>MIN(L320-MIN(L$294,L320),MAX(0,$C320-SUM($M320:S320)))</f>
        <v>0</v>
      </c>
      <c r="U320" s="36">
        <f>IF(E320-MIN(E$294,E320)-M320&lt;0.005,0,E320-MIN(E$294,E320)-M320)</f>
        <v>0</v>
      </c>
      <c r="V320" s="36">
        <f>IF(F320-MIN(F$294,F320)-N320&lt;0.005,0,F320-MIN(F$294,F320)-N320)</f>
        <v>0</v>
      </c>
      <c r="W320" s="36">
        <f>IF(G320-MIN(G$294,G320)-O320&lt;0.005,0,G320-MIN(G$294,G320)-O320)</f>
        <v>0</v>
      </c>
      <c r="X320" s="36">
        <f>IF(H320-MIN(H$294,H320)-P320&lt;0.005,0,H320-MIN(H$294,H320)-P320)</f>
        <v>0</v>
      </c>
      <c r="Y320" s="36">
        <f>IF(I320-MIN(I$294,I320)-Q320&lt;0.005,0,I320-MIN(I$294,I320)-Q320)</f>
        <v>0</v>
      </c>
      <c r="Z320" s="36">
        <f>IF(J320-MIN(J$294,J320)-R320&lt;0.005,0,J320-MIN(J$294,J320)-R320)</f>
        <v>0</v>
      </c>
      <c r="AA320" s="36">
        <f>IF(K320-MIN(K$294,K320)-S320&lt;0.005,0,K320-MIN(K$294,K320)-S320)</f>
        <v>0</v>
      </c>
      <c r="AB320" s="36">
        <f>IF(L320-MIN(L$294,L320)-T320&lt;0.005,0,L320-MIN(L$294,L320)-T320)</f>
        <v>0</v>
      </c>
      <c r="AC320" s="36">
        <f>SUM(U320:AB320)</f>
        <v>0</v>
      </c>
      <c r="AD320" s="36">
        <f>D320+SUM(M320:T320)</f>
        <v>0</v>
      </c>
    </row>
    <row r="321">
      <c r="B321" s="40" t="n">
        <v>23</v>
      </c>
      <c r="C321" s="36">
        <f>MAX(0,Sim_SomaParc+N(Sim_Extra)-D321)</f>
        <v>2790</v>
      </c>
      <c r="D321" s="36">
        <f>MIN(E$294,E321)+MIN(F$294,F321)+MIN(G$294,G321)+MIN(H$294,H321)+MIN(I$294,I321)+MIN(J$294,J321)+MIN(K$294,K321)+MIN(L$294,L321)</f>
        <v>0</v>
      </c>
      <c r="E321" s="36">
        <f>U320*(1+E$293)</f>
        <v>0</v>
      </c>
      <c r="F321" s="36">
        <f>V320*(1+F$293)</f>
        <v>0</v>
      </c>
      <c r="G321" s="36">
        <f>W320*(1+G$293)</f>
        <v>0</v>
      </c>
      <c r="H321" s="36">
        <f>X320*(1+H$293)</f>
        <v>0</v>
      </c>
      <c r="I321" s="36">
        <f>Y320*(1+I$293)</f>
        <v>0</v>
      </c>
      <c r="J321" s="36">
        <f>Z320*(1+J$293)</f>
        <v>0</v>
      </c>
      <c r="K321" s="36">
        <f>AA320*(1+K$293)</f>
        <v>0</v>
      </c>
      <c r="L321" s="36">
        <f>AB320*(1+L$293)</f>
        <v>0</v>
      </c>
      <c r="M321" s="36">
        <f>MIN(E321-MIN(E$294,E321),MAX(0,$C321-0))</f>
        <v>0</v>
      </c>
      <c r="N321" s="36">
        <f>MIN(F321-MIN(F$294,F321),MAX(0,$C321-SUM($M321:M321)))</f>
        <v>0</v>
      </c>
      <c r="O321" s="36">
        <f>MIN(G321-MIN(G$294,G321),MAX(0,$C321-SUM($M321:N321)))</f>
        <v>0</v>
      </c>
      <c r="P321" s="36">
        <f>MIN(H321-MIN(H$294,H321),MAX(0,$C321-SUM($M321:O321)))</f>
        <v>0</v>
      </c>
      <c r="Q321" s="36">
        <f>MIN(I321-MIN(I$294,I321),MAX(0,$C321-SUM($M321:P321)))</f>
        <v>0</v>
      </c>
      <c r="R321" s="36">
        <f>MIN(J321-MIN(J$294,J321),MAX(0,$C321-SUM($M321:Q321)))</f>
        <v>0</v>
      </c>
      <c r="S321" s="36">
        <f>MIN(K321-MIN(K$294,K321),MAX(0,$C321-SUM($M321:R321)))</f>
        <v>0</v>
      </c>
      <c r="T321" s="36">
        <f>MIN(L321-MIN(L$294,L321),MAX(0,$C321-SUM($M321:S321)))</f>
        <v>0</v>
      </c>
      <c r="U321" s="36">
        <f>IF(E321-MIN(E$294,E321)-M321&lt;0.005,0,E321-MIN(E$294,E321)-M321)</f>
        <v>0</v>
      </c>
      <c r="V321" s="36">
        <f>IF(F321-MIN(F$294,F321)-N321&lt;0.005,0,F321-MIN(F$294,F321)-N321)</f>
        <v>0</v>
      </c>
      <c r="W321" s="36">
        <f>IF(G321-MIN(G$294,G321)-O321&lt;0.005,0,G321-MIN(G$294,G321)-O321)</f>
        <v>0</v>
      </c>
      <c r="X321" s="36">
        <f>IF(H321-MIN(H$294,H321)-P321&lt;0.005,0,H321-MIN(H$294,H321)-P321)</f>
        <v>0</v>
      </c>
      <c r="Y321" s="36">
        <f>IF(I321-MIN(I$294,I321)-Q321&lt;0.005,0,I321-MIN(I$294,I321)-Q321)</f>
        <v>0</v>
      </c>
      <c r="Z321" s="36">
        <f>IF(J321-MIN(J$294,J321)-R321&lt;0.005,0,J321-MIN(J$294,J321)-R321)</f>
        <v>0</v>
      </c>
      <c r="AA321" s="36">
        <f>IF(K321-MIN(K$294,K321)-S321&lt;0.005,0,K321-MIN(K$294,K321)-S321)</f>
        <v>0</v>
      </c>
      <c r="AB321" s="36">
        <f>IF(L321-MIN(L$294,L321)-T321&lt;0.005,0,L321-MIN(L$294,L321)-T321)</f>
        <v>0</v>
      </c>
      <c r="AC321" s="36">
        <f>SUM(U321:AB321)</f>
        <v>0</v>
      </c>
      <c r="AD321" s="36">
        <f>D321+SUM(M321:T321)</f>
        <v>0</v>
      </c>
    </row>
    <row r="322">
      <c r="B322" s="40" t="n">
        <v>24</v>
      </c>
      <c r="C322" s="36">
        <f>MAX(0,Sim_SomaParc+N(Sim_Extra)-D322)</f>
        <v>2790</v>
      </c>
      <c r="D322" s="36">
        <f>MIN(E$294,E322)+MIN(F$294,F322)+MIN(G$294,G322)+MIN(H$294,H322)+MIN(I$294,I322)+MIN(J$294,J322)+MIN(K$294,K322)+MIN(L$294,L322)</f>
        <v>0</v>
      </c>
      <c r="E322" s="36">
        <f>U321*(1+E$293)</f>
        <v>0</v>
      </c>
      <c r="F322" s="36">
        <f>V321*(1+F$293)</f>
        <v>0</v>
      </c>
      <c r="G322" s="36">
        <f>W321*(1+G$293)</f>
        <v>0</v>
      </c>
      <c r="H322" s="36">
        <f>X321*(1+H$293)</f>
        <v>0</v>
      </c>
      <c r="I322" s="36">
        <f>Y321*(1+I$293)</f>
        <v>0</v>
      </c>
      <c r="J322" s="36">
        <f>Z321*(1+J$293)</f>
        <v>0</v>
      </c>
      <c r="K322" s="36">
        <f>AA321*(1+K$293)</f>
        <v>0</v>
      </c>
      <c r="L322" s="36">
        <f>AB321*(1+L$293)</f>
        <v>0</v>
      </c>
      <c r="M322" s="36">
        <f>MIN(E322-MIN(E$294,E322),MAX(0,$C322-0))</f>
        <v>0</v>
      </c>
      <c r="N322" s="36">
        <f>MIN(F322-MIN(F$294,F322),MAX(0,$C322-SUM($M322:M322)))</f>
        <v>0</v>
      </c>
      <c r="O322" s="36">
        <f>MIN(G322-MIN(G$294,G322),MAX(0,$C322-SUM($M322:N322)))</f>
        <v>0</v>
      </c>
      <c r="P322" s="36">
        <f>MIN(H322-MIN(H$294,H322),MAX(0,$C322-SUM($M322:O322)))</f>
        <v>0</v>
      </c>
      <c r="Q322" s="36">
        <f>MIN(I322-MIN(I$294,I322),MAX(0,$C322-SUM($M322:P322)))</f>
        <v>0</v>
      </c>
      <c r="R322" s="36">
        <f>MIN(J322-MIN(J$294,J322),MAX(0,$C322-SUM($M322:Q322)))</f>
        <v>0</v>
      </c>
      <c r="S322" s="36">
        <f>MIN(K322-MIN(K$294,K322),MAX(0,$C322-SUM($M322:R322)))</f>
        <v>0</v>
      </c>
      <c r="T322" s="36">
        <f>MIN(L322-MIN(L$294,L322),MAX(0,$C322-SUM($M322:S322)))</f>
        <v>0</v>
      </c>
      <c r="U322" s="36">
        <f>IF(E322-MIN(E$294,E322)-M322&lt;0.005,0,E322-MIN(E$294,E322)-M322)</f>
        <v>0</v>
      </c>
      <c r="V322" s="36">
        <f>IF(F322-MIN(F$294,F322)-N322&lt;0.005,0,F322-MIN(F$294,F322)-N322)</f>
        <v>0</v>
      </c>
      <c r="W322" s="36">
        <f>IF(G322-MIN(G$294,G322)-O322&lt;0.005,0,G322-MIN(G$294,G322)-O322)</f>
        <v>0</v>
      </c>
      <c r="X322" s="36">
        <f>IF(H322-MIN(H$294,H322)-P322&lt;0.005,0,H322-MIN(H$294,H322)-P322)</f>
        <v>0</v>
      </c>
      <c r="Y322" s="36">
        <f>IF(I322-MIN(I$294,I322)-Q322&lt;0.005,0,I322-MIN(I$294,I322)-Q322)</f>
        <v>0</v>
      </c>
      <c r="Z322" s="36">
        <f>IF(J322-MIN(J$294,J322)-R322&lt;0.005,0,J322-MIN(J$294,J322)-R322)</f>
        <v>0</v>
      </c>
      <c r="AA322" s="36">
        <f>IF(K322-MIN(K$294,K322)-S322&lt;0.005,0,K322-MIN(K$294,K322)-S322)</f>
        <v>0</v>
      </c>
      <c r="AB322" s="36">
        <f>IF(L322-MIN(L$294,L322)-T322&lt;0.005,0,L322-MIN(L$294,L322)-T322)</f>
        <v>0</v>
      </c>
      <c r="AC322" s="36">
        <f>SUM(U322:AB322)</f>
        <v>0</v>
      </c>
      <c r="AD322" s="36">
        <f>D322+SUM(M322:T322)</f>
        <v>0</v>
      </c>
    </row>
    <row r="323">
      <c r="B323" s="40" t="n">
        <v>25</v>
      </c>
      <c r="C323" s="36">
        <f>MAX(0,Sim_SomaParc+N(Sim_Extra)-D323)</f>
        <v>2790</v>
      </c>
      <c r="D323" s="36">
        <f>MIN(E$294,E323)+MIN(F$294,F323)+MIN(G$294,G323)+MIN(H$294,H323)+MIN(I$294,I323)+MIN(J$294,J323)+MIN(K$294,K323)+MIN(L$294,L323)</f>
        <v>0</v>
      </c>
      <c r="E323" s="36">
        <f>U322*(1+E$293)</f>
        <v>0</v>
      </c>
      <c r="F323" s="36">
        <f>V322*(1+F$293)</f>
        <v>0</v>
      </c>
      <c r="G323" s="36">
        <f>W322*(1+G$293)</f>
        <v>0</v>
      </c>
      <c r="H323" s="36">
        <f>X322*(1+H$293)</f>
        <v>0</v>
      </c>
      <c r="I323" s="36">
        <f>Y322*(1+I$293)</f>
        <v>0</v>
      </c>
      <c r="J323" s="36">
        <f>Z322*(1+J$293)</f>
        <v>0</v>
      </c>
      <c r="K323" s="36">
        <f>AA322*(1+K$293)</f>
        <v>0</v>
      </c>
      <c r="L323" s="36">
        <f>AB322*(1+L$293)</f>
        <v>0</v>
      </c>
      <c r="M323" s="36">
        <f>MIN(E323-MIN(E$294,E323),MAX(0,$C323-0))</f>
        <v>0</v>
      </c>
      <c r="N323" s="36">
        <f>MIN(F323-MIN(F$294,F323),MAX(0,$C323-SUM($M323:M323)))</f>
        <v>0</v>
      </c>
      <c r="O323" s="36">
        <f>MIN(G323-MIN(G$294,G323),MAX(0,$C323-SUM($M323:N323)))</f>
        <v>0</v>
      </c>
      <c r="P323" s="36">
        <f>MIN(H323-MIN(H$294,H323),MAX(0,$C323-SUM($M323:O323)))</f>
        <v>0</v>
      </c>
      <c r="Q323" s="36">
        <f>MIN(I323-MIN(I$294,I323),MAX(0,$C323-SUM($M323:P323)))</f>
        <v>0</v>
      </c>
      <c r="R323" s="36">
        <f>MIN(J323-MIN(J$294,J323),MAX(0,$C323-SUM($M323:Q323)))</f>
        <v>0</v>
      </c>
      <c r="S323" s="36">
        <f>MIN(K323-MIN(K$294,K323),MAX(0,$C323-SUM($M323:R323)))</f>
        <v>0</v>
      </c>
      <c r="T323" s="36">
        <f>MIN(L323-MIN(L$294,L323),MAX(0,$C323-SUM($M323:S323)))</f>
        <v>0</v>
      </c>
      <c r="U323" s="36">
        <f>IF(E323-MIN(E$294,E323)-M323&lt;0.005,0,E323-MIN(E$294,E323)-M323)</f>
        <v>0</v>
      </c>
      <c r="V323" s="36">
        <f>IF(F323-MIN(F$294,F323)-N323&lt;0.005,0,F323-MIN(F$294,F323)-N323)</f>
        <v>0</v>
      </c>
      <c r="W323" s="36">
        <f>IF(G323-MIN(G$294,G323)-O323&lt;0.005,0,G323-MIN(G$294,G323)-O323)</f>
        <v>0</v>
      </c>
      <c r="X323" s="36">
        <f>IF(H323-MIN(H$294,H323)-P323&lt;0.005,0,H323-MIN(H$294,H323)-P323)</f>
        <v>0</v>
      </c>
      <c r="Y323" s="36">
        <f>IF(I323-MIN(I$294,I323)-Q323&lt;0.005,0,I323-MIN(I$294,I323)-Q323)</f>
        <v>0</v>
      </c>
      <c r="Z323" s="36">
        <f>IF(J323-MIN(J$294,J323)-R323&lt;0.005,0,J323-MIN(J$294,J323)-R323)</f>
        <v>0</v>
      </c>
      <c r="AA323" s="36">
        <f>IF(K323-MIN(K$294,K323)-S323&lt;0.005,0,K323-MIN(K$294,K323)-S323)</f>
        <v>0</v>
      </c>
      <c r="AB323" s="36">
        <f>IF(L323-MIN(L$294,L323)-T323&lt;0.005,0,L323-MIN(L$294,L323)-T323)</f>
        <v>0</v>
      </c>
      <c r="AC323" s="36">
        <f>SUM(U323:AB323)</f>
        <v>0</v>
      </c>
      <c r="AD323" s="36">
        <f>D323+SUM(M323:T323)</f>
        <v>0</v>
      </c>
    </row>
    <row r="324">
      <c r="B324" s="40" t="n">
        <v>26</v>
      </c>
      <c r="C324" s="36">
        <f>MAX(0,Sim_SomaParc+N(Sim_Extra)-D324)</f>
        <v>2790</v>
      </c>
      <c r="D324" s="36">
        <f>MIN(E$294,E324)+MIN(F$294,F324)+MIN(G$294,G324)+MIN(H$294,H324)+MIN(I$294,I324)+MIN(J$294,J324)+MIN(K$294,K324)+MIN(L$294,L324)</f>
        <v>0</v>
      </c>
      <c r="E324" s="36">
        <f>U323*(1+E$293)</f>
        <v>0</v>
      </c>
      <c r="F324" s="36">
        <f>V323*(1+F$293)</f>
        <v>0</v>
      </c>
      <c r="G324" s="36">
        <f>W323*(1+G$293)</f>
        <v>0</v>
      </c>
      <c r="H324" s="36">
        <f>X323*(1+H$293)</f>
        <v>0</v>
      </c>
      <c r="I324" s="36">
        <f>Y323*(1+I$293)</f>
        <v>0</v>
      </c>
      <c r="J324" s="36">
        <f>Z323*(1+J$293)</f>
        <v>0</v>
      </c>
      <c r="K324" s="36">
        <f>AA323*(1+K$293)</f>
        <v>0</v>
      </c>
      <c r="L324" s="36">
        <f>AB323*(1+L$293)</f>
        <v>0</v>
      </c>
      <c r="M324" s="36">
        <f>MIN(E324-MIN(E$294,E324),MAX(0,$C324-0))</f>
        <v>0</v>
      </c>
      <c r="N324" s="36">
        <f>MIN(F324-MIN(F$294,F324),MAX(0,$C324-SUM($M324:M324)))</f>
        <v>0</v>
      </c>
      <c r="O324" s="36">
        <f>MIN(G324-MIN(G$294,G324),MAX(0,$C324-SUM($M324:N324)))</f>
        <v>0</v>
      </c>
      <c r="P324" s="36">
        <f>MIN(H324-MIN(H$294,H324),MAX(0,$C324-SUM($M324:O324)))</f>
        <v>0</v>
      </c>
      <c r="Q324" s="36">
        <f>MIN(I324-MIN(I$294,I324),MAX(0,$C324-SUM($M324:P324)))</f>
        <v>0</v>
      </c>
      <c r="R324" s="36">
        <f>MIN(J324-MIN(J$294,J324),MAX(0,$C324-SUM($M324:Q324)))</f>
        <v>0</v>
      </c>
      <c r="S324" s="36">
        <f>MIN(K324-MIN(K$294,K324),MAX(0,$C324-SUM($M324:R324)))</f>
        <v>0</v>
      </c>
      <c r="T324" s="36">
        <f>MIN(L324-MIN(L$294,L324),MAX(0,$C324-SUM($M324:S324)))</f>
        <v>0</v>
      </c>
      <c r="U324" s="36">
        <f>IF(E324-MIN(E$294,E324)-M324&lt;0.005,0,E324-MIN(E$294,E324)-M324)</f>
        <v>0</v>
      </c>
      <c r="V324" s="36">
        <f>IF(F324-MIN(F$294,F324)-N324&lt;0.005,0,F324-MIN(F$294,F324)-N324)</f>
        <v>0</v>
      </c>
      <c r="W324" s="36">
        <f>IF(G324-MIN(G$294,G324)-O324&lt;0.005,0,G324-MIN(G$294,G324)-O324)</f>
        <v>0</v>
      </c>
      <c r="X324" s="36">
        <f>IF(H324-MIN(H$294,H324)-P324&lt;0.005,0,H324-MIN(H$294,H324)-P324)</f>
        <v>0</v>
      </c>
      <c r="Y324" s="36">
        <f>IF(I324-MIN(I$294,I324)-Q324&lt;0.005,0,I324-MIN(I$294,I324)-Q324)</f>
        <v>0</v>
      </c>
      <c r="Z324" s="36">
        <f>IF(J324-MIN(J$294,J324)-R324&lt;0.005,0,J324-MIN(J$294,J324)-R324)</f>
        <v>0</v>
      </c>
      <c r="AA324" s="36">
        <f>IF(K324-MIN(K$294,K324)-S324&lt;0.005,0,K324-MIN(K$294,K324)-S324)</f>
        <v>0</v>
      </c>
      <c r="AB324" s="36">
        <f>IF(L324-MIN(L$294,L324)-T324&lt;0.005,0,L324-MIN(L$294,L324)-T324)</f>
        <v>0</v>
      </c>
      <c r="AC324" s="36">
        <f>SUM(U324:AB324)</f>
        <v>0</v>
      </c>
      <c r="AD324" s="36">
        <f>D324+SUM(M324:T324)</f>
        <v>0</v>
      </c>
    </row>
    <row r="325">
      <c r="B325" s="40" t="n">
        <v>27</v>
      </c>
      <c r="C325" s="36">
        <f>MAX(0,Sim_SomaParc+N(Sim_Extra)-D325)</f>
        <v>2790</v>
      </c>
      <c r="D325" s="36">
        <f>MIN(E$294,E325)+MIN(F$294,F325)+MIN(G$294,G325)+MIN(H$294,H325)+MIN(I$294,I325)+MIN(J$294,J325)+MIN(K$294,K325)+MIN(L$294,L325)</f>
        <v>0</v>
      </c>
      <c r="E325" s="36">
        <f>U324*(1+E$293)</f>
        <v>0</v>
      </c>
      <c r="F325" s="36">
        <f>V324*(1+F$293)</f>
        <v>0</v>
      </c>
      <c r="G325" s="36">
        <f>W324*(1+G$293)</f>
        <v>0</v>
      </c>
      <c r="H325" s="36">
        <f>X324*(1+H$293)</f>
        <v>0</v>
      </c>
      <c r="I325" s="36">
        <f>Y324*(1+I$293)</f>
        <v>0</v>
      </c>
      <c r="J325" s="36">
        <f>Z324*(1+J$293)</f>
        <v>0</v>
      </c>
      <c r="K325" s="36">
        <f>AA324*(1+K$293)</f>
        <v>0</v>
      </c>
      <c r="L325" s="36">
        <f>AB324*(1+L$293)</f>
        <v>0</v>
      </c>
      <c r="M325" s="36">
        <f>MIN(E325-MIN(E$294,E325),MAX(0,$C325-0))</f>
        <v>0</v>
      </c>
      <c r="N325" s="36">
        <f>MIN(F325-MIN(F$294,F325),MAX(0,$C325-SUM($M325:M325)))</f>
        <v>0</v>
      </c>
      <c r="O325" s="36">
        <f>MIN(G325-MIN(G$294,G325),MAX(0,$C325-SUM($M325:N325)))</f>
        <v>0</v>
      </c>
      <c r="P325" s="36">
        <f>MIN(H325-MIN(H$294,H325),MAX(0,$C325-SUM($M325:O325)))</f>
        <v>0</v>
      </c>
      <c r="Q325" s="36">
        <f>MIN(I325-MIN(I$294,I325),MAX(0,$C325-SUM($M325:P325)))</f>
        <v>0</v>
      </c>
      <c r="R325" s="36">
        <f>MIN(J325-MIN(J$294,J325),MAX(0,$C325-SUM($M325:Q325)))</f>
        <v>0</v>
      </c>
      <c r="S325" s="36">
        <f>MIN(K325-MIN(K$294,K325),MAX(0,$C325-SUM($M325:R325)))</f>
        <v>0</v>
      </c>
      <c r="T325" s="36">
        <f>MIN(L325-MIN(L$294,L325),MAX(0,$C325-SUM($M325:S325)))</f>
        <v>0</v>
      </c>
      <c r="U325" s="36">
        <f>IF(E325-MIN(E$294,E325)-M325&lt;0.005,0,E325-MIN(E$294,E325)-M325)</f>
        <v>0</v>
      </c>
      <c r="V325" s="36">
        <f>IF(F325-MIN(F$294,F325)-N325&lt;0.005,0,F325-MIN(F$294,F325)-N325)</f>
        <v>0</v>
      </c>
      <c r="W325" s="36">
        <f>IF(G325-MIN(G$294,G325)-O325&lt;0.005,0,G325-MIN(G$294,G325)-O325)</f>
        <v>0</v>
      </c>
      <c r="X325" s="36">
        <f>IF(H325-MIN(H$294,H325)-P325&lt;0.005,0,H325-MIN(H$294,H325)-P325)</f>
        <v>0</v>
      </c>
      <c r="Y325" s="36">
        <f>IF(I325-MIN(I$294,I325)-Q325&lt;0.005,0,I325-MIN(I$294,I325)-Q325)</f>
        <v>0</v>
      </c>
      <c r="Z325" s="36">
        <f>IF(J325-MIN(J$294,J325)-R325&lt;0.005,0,J325-MIN(J$294,J325)-R325)</f>
        <v>0</v>
      </c>
      <c r="AA325" s="36">
        <f>IF(K325-MIN(K$294,K325)-S325&lt;0.005,0,K325-MIN(K$294,K325)-S325)</f>
        <v>0</v>
      </c>
      <c r="AB325" s="36">
        <f>IF(L325-MIN(L$294,L325)-T325&lt;0.005,0,L325-MIN(L$294,L325)-T325)</f>
        <v>0</v>
      </c>
      <c r="AC325" s="36">
        <f>SUM(U325:AB325)</f>
        <v>0</v>
      </c>
      <c r="AD325" s="36">
        <f>D325+SUM(M325:T325)</f>
        <v>0</v>
      </c>
    </row>
    <row r="326">
      <c r="B326" s="40" t="n">
        <v>28</v>
      </c>
      <c r="C326" s="36">
        <f>MAX(0,Sim_SomaParc+N(Sim_Extra)-D326)</f>
        <v>2790</v>
      </c>
      <c r="D326" s="36">
        <f>MIN(E$294,E326)+MIN(F$294,F326)+MIN(G$294,G326)+MIN(H$294,H326)+MIN(I$294,I326)+MIN(J$294,J326)+MIN(K$294,K326)+MIN(L$294,L326)</f>
        <v>0</v>
      </c>
      <c r="E326" s="36">
        <f>U325*(1+E$293)</f>
        <v>0</v>
      </c>
      <c r="F326" s="36">
        <f>V325*(1+F$293)</f>
        <v>0</v>
      </c>
      <c r="G326" s="36">
        <f>W325*(1+G$293)</f>
        <v>0</v>
      </c>
      <c r="H326" s="36">
        <f>X325*(1+H$293)</f>
        <v>0</v>
      </c>
      <c r="I326" s="36">
        <f>Y325*(1+I$293)</f>
        <v>0</v>
      </c>
      <c r="J326" s="36">
        <f>Z325*(1+J$293)</f>
        <v>0</v>
      </c>
      <c r="K326" s="36">
        <f>AA325*(1+K$293)</f>
        <v>0</v>
      </c>
      <c r="L326" s="36">
        <f>AB325*(1+L$293)</f>
        <v>0</v>
      </c>
      <c r="M326" s="36">
        <f>MIN(E326-MIN(E$294,E326),MAX(0,$C326-0))</f>
        <v>0</v>
      </c>
      <c r="N326" s="36">
        <f>MIN(F326-MIN(F$294,F326),MAX(0,$C326-SUM($M326:M326)))</f>
        <v>0</v>
      </c>
      <c r="O326" s="36">
        <f>MIN(G326-MIN(G$294,G326),MAX(0,$C326-SUM($M326:N326)))</f>
        <v>0</v>
      </c>
      <c r="P326" s="36">
        <f>MIN(H326-MIN(H$294,H326),MAX(0,$C326-SUM($M326:O326)))</f>
        <v>0</v>
      </c>
      <c r="Q326" s="36">
        <f>MIN(I326-MIN(I$294,I326),MAX(0,$C326-SUM($M326:P326)))</f>
        <v>0</v>
      </c>
      <c r="R326" s="36">
        <f>MIN(J326-MIN(J$294,J326),MAX(0,$C326-SUM($M326:Q326)))</f>
        <v>0</v>
      </c>
      <c r="S326" s="36">
        <f>MIN(K326-MIN(K$294,K326),MAX(0,$C326-SUM($M326:R326)))</f>
        <v>0</v>
      </c>
      <c r="T326" s="36">
        <f>MIN(L326-MIN(L$294,L326),MAX(0,$C326-SUM($M326:S326)))</f>
        <v>0</v>
      </c>
      <c r="U326" s="36">
        <f>IF(E326-MIN(E$294,E326)-M326&lt;0.005,0,E326-MIN(E$294,E326)-M326)</f>
        <v>0</v>
      </c>
      <c r="V326" s="36">
        <f>IF(F326-MIN(F$294,F326)-N326&lt;0.005,0,F326-MIN(F$294,F326)-N326)</f>
        <v>0</v>
      </c>
      <c r="W326" s="36">
        <f>IF(G326-MIN(G$294,G326)-O326&lt;0.005,0,G326-MIN(G$294,G326)-O326)</f>
        <v>0</v>
      </c>
      <c r="X326" s="36">
        <f>IF(H326-MIN(H$294,H326)-P326&lt;0.005,0,H326-MIN(H$294,H326)-P326)</f>
        <v>0</v>
      </c>
      <c r="Y326" s="36">
        <f>IF(I326-MIN(I$294,I326)-Q326&lt;0.005,0,I326-MIN(I$294,I326)-Q326)</f>
        <v>0</v>
      </c>
      <c r="Z326" s="36">
        <f>IF(J326-MIN(J$294,J326)-R326&lt;0.005,0,J326-MIN(J$294,J326)-R326)</f>
        <v>0</v>
      </c>
      <c r="AA326" s="36">
        <f>IF(K326-MIN(K$294,K326)-S326&lt;0.005,0,K326-MIN(K$294,K326)-S326)</f>
        <v>0</v>
      </c>
      <c r="AB326" s="36">
        <f>IF(L326-MIN(L$294,L326)-T326&lt;0.005,0,L326-MIN(L$294,L326)-T326)</f>
        <v>0</v>
      </c>
      <c r="AC326" s="36">
        <f>SUM(U326:AB326)</f>
        <v>0</v>
      </c>
      <c r="AD326" s="36">
        <f>D326+SUM(M326:T326)</f>
        <v>0</v>
      </c>
    </row>
    <row r="327">
      <c r="B327" s="40" t="n">
        <v>29</v>
      </c>
      <c r="C327" s="36">
        <f>MAX(0,Sim_SomaParc+N(Sim_Extra)-D327)</f>
        <v>2790</v>
      </c>
      <c r="D327" s="36">
        <f>MIN(E$294,E327)+MIN(F$294,F327)+MIN(G$294,G327)+MIN(H$294,H327)+MIN(I$294,I327)+MIN(J$294,J327)+MIN(K$294,K327)+MIN(L$294,L327)</f>
        <v>0</v>
      </c>
      <c r="E327" s="36">
        <f>U326*(1+E$293)</f>
        <v>0</v>
      </c>
      <c r="F327" s="36">
        <f>V326*(1+F$293)</f>
        <v>0</v>
      </c>
      <c r="G327" s="36">
        <f>W326*(1+G$293)</f>
        <v>0</v>
      </c>
      <c r="H327" s="36">
        <f>X326*(1+H$293)</f>
        <v>0</v>
      </c>
      <c r="I327" s="36">
        <f>Y326*(1+I$293)</f>
        <v>0</v>
      </c>
      <c r="J327" s="36">
        <f>Z326*(1+J$293)</f>
        <v>0</v>
      </c>
      <c r="K327" s="36">
        <f>AA326*(1+K$293)</f>
        <v>0</v>
      </c>
      <c r="L327" s="36">
        <f>AB326*(1+L$293)</f>
        <v>0</v>
      </c>
      <c r="M327" s="36">
        <f>MIN(E327-MIN(E$294,E327),MAX(0,$C327-0))</f>
        <v>0</v>
      </c>
      <c r="N327" s="36">
        <f>MIN(F327-MIN(F$294,F327),MAX(0,$C327-SUM($M327:M327)))</f>
        <v>0</v>
      </c>
      <c r="O327" s="36">
        <f>MIN(G327-MIN(G$294,G327),MAX(0,$C327-SUM($M327:N327)))</f>
        <v>0</v>
      </c>
      <c r="P327" s="36">
        <f>MIN(H327-MIN(H$294,H327),MAX(0,$C327-SUM($M327:O327)))</f>
        <v>0</v>
      </c>
      <c r="Q327" s="36">
        <f>MIN(I327-MIN(I$294,I327),MAX(0,$C327-SUM($M327:P327)))</f>
        <v>0</v>
      </c>
      <c r="R327" s="36">
        <f>MIN(J327-MIN(J$294,J327),MAX(0,$C327-SUM($M327:Q327)))</f>
        <v>0</v>
      </c>
      <c r="S327" s="36">
        <f>MIN(K327-MIN(K$294,K327),MAX(0,$C327-SUM($M327:R327)))</f>
        <v>0</v>
      </c>
      <c r="T327" s="36">
        <f>MIN(L327-MIN(L$294,L327),MAX(0,$C327-SUM($M327:S327)))</f>
        <v>0</v>
      </c>
      <c r="U327" s="36">
        <f>IF(E327-MIN(E$294,E327)-M327&lt;0.005,0,E327-MIN(E$294,E327)-M327)</f>
        <v>0</v>
      </c>
      <c r="V327" s="36">
        <f>IF(F327-MIN(F$294,F327)-N327&lt;0.005,0,F327-MIN(F$294,F327)-N327)</f>
        <v>0</v>
      </c>
      <c r="W327" s="36">
        <f>IF(G327-MIN(G$294,G327)-O327&lt;0.005,0,G327-MIN(G$294,G327)-O327)</f>
        <v>0</v>
      </c>
      <c r="X327" s="36">
        <f>IF(H327-MIN(H$294,H327)-P327&lt;0.005,0,H327-MIN(H$294,H327)-P327)</f>
        <v>0</v>
      </c>
      <c r="Y327" s="36">
        <f>IF(I327-MIN(I$294,I327)-Q327&lt;0.005,0,I327-MIN(I$294,I327)-Q327)</f>
        <v>0</v>
      </c>
      <c r="Z327" s="36">
        <f>IF(J327-MIN(J$294,J327)-R327&lt;0.005,0,J327-MIN(J$294,J327)-R327)</f>
        <v>0</v>
      </c>
      <c r="AA327" s="36">
        <f>IF(K327-MIN(K$294,K327)-S327&lt;0.005,0,K327-MIN(K$294,K327)-S327)</f>
        <v>0</v>
      </c>
      <c r="AB327" s="36">
        <f>IF(L327-MIN(L$294,L327)-T327&lt;0.005,0,L327-MIN(L$294,L327)-T327)</f>
        <v>0</v>
      </c>
      <c r="AC327" s="36">
        <f>SUM(U327:AB327)</f>
        <v>0</v>
      </c>
      <c r="AD327" s="36">
        <f>D327+SUM(M327:T327)</f>
        <v>0</v>
      </c>
    </row>
    <row r="328">
      <c r="B328" s="40" t="n">
        <v>30</v>
      </c>
      <c r="C328" s="36">
        <f>MAX(0,Sim_SomaParc+N(Sim_Extra)-D328)</f>
        <v>2790</v>
      </c>
      <c r="D328" s="36">
        <f>MIN(E$294,E328)+MIN(F$294,F328)+MIN(G$294,G328)+MIN(H$294,H328)+MIN(I$294,I328)+MIN(J$294,J328)+MIN(K$294,K328)+MIN(L$294,L328)</f>
        <v>0</v>
      </c>
      <c r="E328" s="36">
        <f>U327*(1+E$293)</f>
        <v>0</v>
      </c>
      <c r="F328" s="36">
        <f>V327*(1+F$293)</f>
        <v>0</v>
      </c>
      <c r="G328" s="36">
        <f>W327*(1+G$293)</f>
        <v>0</v>
      </c>
      <c r="H328" s="36">
        <f>X327*(1+H$293)</f>
        <v>0</v>
      </c>
      <c r="I328" s="36">
        <f>Y327*(1+I$293)</f>
        <v>0</v>
      </c>
      <c r="J328" s="36">
        <f>Z327*(1+J$293)</f>
        <v>0</v>
      </c>
      <c r="K328" s="36">
        <f>AA327*(1+K$293)</f>
        <v>0</v>
      </c>
      <c r="L328" s="36">
        <f>AB327*(1+L$293)</f>
        <v>0</v>
      </c>
      <c r="M328" s="36">
        <f>MIN(E328-MIN(E$294,E328),MAX(0,$C328-0))</f>
        <v>0</v>
      </c>
      <c r="N328" s="36">
        <f>MIN(F328-MIN(F$294,F328),MAX(0,$C328-SUM($M328:M328)))</f>
        <v>0</v>
      </c>
      <c r="O328" s="36">
        <f>MIN(G328-MIN(G$294,G328),MAX(0,$C328-SUM($M328:N328)))</f>
        <v>0</v>
      </c>
      <c r="P328" s="36">
        <f>MIN(H328-MIN(H$294,H328),MAX(0,$C328-SUM($M328:O328)))</f>
        <v>0</v>
      </c>
      <c r="Q328" s="36">
        <f>MIN(I328-MIN(I$294,I328),MAX(0,$C328-SUM($M328:P328)))</f>
        <v>0</v>
      </c>
      <c r="R328" s="36">
        <f>MIN(J328-MIN(J$294,J328),MAX(0,$C328-SUM($M328:Q328)))</f>
        <v>0</v>
      </c>
      <c r="S328" s="36">
        <f>MIN(K328-MIN(K$294,K328),MAX(0,$C328-SUM($M328:R328)))</f>
        <v>0</v>
      </c>
      <c r="T328" s="36">
        <f>MIN(L328-MIN(L$294,L328),MAX(0,$C328-SUM($M328:S328)))</f>
        <v>0</v>
      </c>
      <c r="U328" s="36">
        <f>IF(E328-MIN(E$294,E328)-M328&lt;0.005,0,E328-MIN(E$294,E328)-M328)</f>
        <v>0</v>
      </c>
      <c r="V328" s="36">
        <f>IF(F328-MIN(F$294,F328)-N328&lt;0.005,0,F328-MIN(F$294,F328)-N328)</f>
        <v>0</v>
      </c>
      <c r="W328" s="36">
        <f>IF(G328-MIN(G$294,G328)-O328&lt;0.005,0,G328-MIN(G$294,G328)-O328)</f>
        <v>0</v>
      </c>
      <c r="X328" s="36">
        <f>IF(H328-MIN(H$294,H328)-P328&lt;0.005,0,H328-MIN(H$294,H328)-P328)</f>
        <v>0</v>
      </c>
      <c r="Y328" s="36">
        <f>IF(I328-MIN(I$294,I328)-Q328&lt;0.005,0,I328-MIN(I$294,I328)-Q328)</f>
        <v>0</v>
      </c>
      <c r="Z328" s="36">
        <f>IF(J328-MIN(J$294,J328)-R328&lt;0.005,0,J328-MIN(J$294,J328)-R328)</f>
        <v>0</v>
      </c>
      <c r="AA328" s="36">
        <f>IF(K328-MIN(K$294,K328)-S328&lt;0.005,0,K328-MIN(K$294,K328)-S328)</f>
        <v>0</v>
      </c>
      <c r="AB328" s="36">
        <f>IF(L328-MIN(L$294,L328)-T328&lt;0.005,0,L328-MIN(L$294,L328)-T328)</f>
        <v>0</v>
      </c>
      <c r="AC328" s="36">
        <f>SUM(U328:AB328)</f>
        <v>0</v>
      </c>
      <c r="AD328" s="36">
        <f>D328+SUM(M328:T328)</f>
        <v>0</v>
      </c>
    </row>
    <row r="329">
      <c r="B329" s="40" t="n">
        <v>31</v>
      </c>
      <c r="C329" s="36">
        <f>MAX(0,Sim_SomaParc+N(Sim_Extra)-D329)</f>
        <v>2790</v>
      </c>
      <c r="D329" s="36">
        <f>MIN(E$294,E329)+MIN(F$294,F329)+MIN(G$294,G329)+MIN(H$294,H329)+MIN(I$294,I329)+MIN(J$294,J329)+MIN(K$294,K329)+MIN(L$294,L329)</f>
        <v>0</v>
      </c>
      <c r="E329" s="36">
        <f>U328*(1+E$293)</f>
        <v>0</v>
      </c>
      <c r="F329" s="36">
        <f>V328*(1+F$293)</f>
        <v>0</v>
      </c>
      <c r="G329" s="36">
        <f>W328*(1+G$293)</f>
        <v>0</v>
      </c>
      <c r="H329" s="36">
        <f>X328*(1+H$293)</f>
        <v>0</v>
      </c>
      <c r="I329" s="36">
        <f>Y328*(1+I$293)</f>
        <v>0</v>
      </c>
      <c r="J329" s="36">
        <f>Z328*(1+J$293)</f>
        <v>0</v>
      </c>
      <c r="K329" s="36">
        <f>AA328*(1+K$293)</f>
        <v>0</v>
      </c>
      <c r="L329" s="36">
        <f>AB328*(1+L$293)</f>
        <v>0</v>
      </c>
      <c r="M329" s="36">
        <f>MIN(E329-MIN(E$294,E329),MAX(0,$C329-0))</f>
        <v>0</v>
      </c>
      <c r="N329" s="36">
        <f>MIN(F329-MIN(F$294,F329),MAX(0,$C329-SUM($M329:M329)))</f>
        <v>0</v>
      </c>
      <c r="O329" s="36">
        <f>MIN(G329-MIN(G$294,G329),MAX(0,$C329-SUM($M329:N329)))</f>
        <v>0</v>
      </c>
      <c r="P329" s="36">
        <f>MIN(H329-MIN(H$294,H329),MAX(0,$C329-SUM($M329:O329)))</f>
        <v>0</v>
      </c>
      <c r="Q329" s="36">
        <f>MIN(I329-MIN(I$294,I329),MAX(0,$C329-SUM($M329:P329)))</f>
        <v>0</v>
      </c>
      <c r="R329" s="36">
        <f>MIN(J329-MIN(J$294,J329),MAX(0,$C329-SUM($M329:Q329)))</f>
        <v>0</v>
      </c>
      <c r="S329" s="36">
        <f>MIN(K329-MIN(K$294,K329),MAX(0,$C329-SUM($M329:R329)))</f>
        <v>0</v>
      </c>
      <c r="T329" s="36">
        <f>MIN(L329-MIN(L$294,L329),MAX(0,$C329-SUM($M329:S329)))</f>
        <v>0</v>
      </c>
      <c r="U329" s="36">
        <f>IF(E329-MIN(E$294,E329)-M329&lt;0.005,0,E329-MIN(E$294,E329)-M329)</f>
        <v>0</v>
      </c>
      <c r="V329" s="36">
        <f>IF(F329-MIN(F$294,F329)-N329&lt;0.005,0,F329-MIN(F$294,F329)-N329)</f>
        <v>0</v>
      </c>
      <c r="W329" s="36">
        <f>IF(G329-MIN(G$294,G329)-O329&lt;0.005,0,G329-MIN(G$294,G329)-O329)</f>
        <v>0</v>
      </c>
      <c r="X329" s="36">
        <f>IF(H329-MIN(H$294,H329)-P329&lt;0.005,0,H329-MIN(H$294,H329)-P329)</f>
        <v>0</v>
      </c>
      <c r="Y329" s="36">
        <f>IF(I329-MIN(I$294,I329)-Q329&lt;0.005,0,I329-MIN(I$294,I329)-Q329)</f>
        <v>0</v>
      </c>
      <c r="Z329" s="36">
        <f>IF(J329-MIN(J$294,J329)-R329&lt;0.005,0,J329-MIN(J$294,J329)-R329)</f>
        <v>0</v>
      </c>
      <c r="AA329" s="36">
        <f>IF(K329-MIN(K$294,K329)-S329&lt;0.005,0,K329-MIN(K$294,K329)-S329)</f>
        <v>0</v>
      </c>
      <c r="AB329" s="36">
        <f>IF(L329-MIN(L$294,L329)-T329&lt;0.005,0,L329-MIN(L$294,L329)-T329)</f>
        <v>0</v>
      </c>
      <c r="AC329" s="36">
        <f>SUM(U329:AB329)</f>
        <v>0</v>
      </c>
      <c r="AD329" s="36">
        <f>D329+SUM(M329:T329)</f>
        <v>0</v>
      </c>
    </row>
    <row r="330">
      <c r="B330" s="40" t="n">
        <v>32</v>
      </c>
      <c r="C330" s="36">
        <f>MAX(0,Sim_SomaParc+N(Sim_Extra)-D330)</f>
        <v>2790</v>
      </c>
      <c r="D330" s="36">
        <f>MIN(E$294,E330)+MIN(F$294,F330)+MIN(G$294,G330)+MIN(H$294,H330)+MIN(I$294,I330)+MIN(J$294,J330)+MIN(K$294,K330)+MIN(L$294,L330)</f>
        <v>0</v>
      </c>
      <c r="E330" s="36">
        <f>U329*(1+E$293)</f>
        <v>0</v>
      </c>
      <c r="F330" s="36">
        <f>V329*(1+F$293)</f>
        <v>0</v>
      </c>
      <c r="G330" s="36">
        <f>W329*(1+G$293)</f>
        <v>0</v>
      </c>
      <c r="H330" s="36">
        <f>X329*(1+H$293)</f>
        <v>0</v>
      </c>
      <c r="I330" s="36">
        <f>Y329*(1+I$293)</f>
        <v>0</v>
      </c>
      <c r="J330" s="36">
        <f>Z329*(1+J$293)</f>
        <v>0</v>
      </c>
      <c r="K330" s="36">
        <f>AA329*(1+K$293)</f>
        <v>0</v>
      </c>
      <c r="L330" s="36">
        <f>AB329*(1+L$293)</f>
        <v>0</v>
      </c>
      <c r="M330" s="36">
        <f>MIN(E330-MIN(E$294,E330),MAX(0,$C330-0))</f>
        <v>0</v>
      </c>
      <c r="N330" s="36">
        <f>MIN(F330-MIN(F$294,F330),MAX(0,$C330-SUM($M330:M330)))</f>
        <v>0</v>
      </c>
      <c r="O330" s="36">
        <f>MIN(G330-MIN(G$294,G330),MAX(0,$C330-SUM($M330:N330)))</f>
        <v>0</v>
      </c>
      <c r="P330" s="36">
        <f>MIN(H330-MIN(H$294,H330),MAX(0,$C330-SUM($M330:O330)))</f>
        <v>0</v>
      </c>
      <c r="Q330" s="36">
        <f>MIN(I330-MIN(I$294,I330),MAX(0,$C330-SUM($M330:P330)))</f>
        <v>0</v>
      </c>
      <c r="R330" s="36">
        <f>MIN(J330-MIN(J$294,J330),MAX(0,$C330-SUM($M330:Q330)))</f>
        <v>0</v>
      </c>
      <c r="S330" s="36">
        <f>MIN(K330-MIN(K$294,K330),MAX(0,$C330-SUM($M330:R330)))</f>
        <v>0</v>
      </c>
      <c r="T330" s="36">
        <f>MIN(L330-MIN(L$294,L330),MAX(0,$C330-SUM($M330:S330)))</f>
        <v>0</v>
      </c>
      <c r="U330" s="36">
        <f>IF(E330-MIN(E$294,E330)-M330&lt;0.005,0,E330-MIN(E$294,E330)-M330)</f>
        <v>0</v>
      </c>
      <c r="V330" s="36">
        <f>IF(F330-MIN(F$294,F330)-N330&lt;0.005,0,F330-MIN(F$294,F330)-N330)</f>
        <v>0</v>
      </c>
      <c r="W330" s="36">
        <f>IF(G330-MIN(G$294,G330)-O330&lt;0.005,0,G330-MIN(G$294,G330)-O330)</f>
        <v>0</v>
      </c>
      <c r="X330" s="36">
        <f>IF(H330-MIN(H$294,H330)-P330&lt;0.005,0,H330-MIN(H$294,H330)-P330)</f>
        <v>0</v>
      </c>
      <c r="Y330" s="36">
        <f>IF(I330-MIN(I$294,I330)-Q330&lt;0.005,0,I330-MIN(I$294,I330)-Q330)</f>
        <v>0</v>
      </c>
      <c r="Z330" s="36">
        <f>IF(J330-MIN(J$294,J330)-R330&lt;0.005,0,J330-MIN(J$294,J330)-R330)</f>
        <v>0</v>
      </c>
      <c r="AA330" s="36">
        <f>IF(K330-MIN(K$294,K330)-S330&lt;0.005,0,K330-MIN(K$294,K330)-S330)</f>
        <v>0</v>
      </c>
      <c r="AB330" s="36">
        <f>IF(L330-MIN(L$294,L330)-T330&lt;0.005,0,L330-MIN(L$294,L330)-T330)</f>
        <v>0</v>
      </c>
      <c r="AC330" s="36">
        <f>SUM(U330:AB330)</f>
        <v>0</v>
      </c>
      <c r="AD330" s="36">
        <f>D330+SUM(M330:T330)</f>
        <v>0</v>
      </c>
    </row>
    <row r="331">
      <c r="B331" s="40" t="n">
        <v>33</v>
      </c>
      <c r="C331" s="36">
        <f>MAX(0,Sim_SomaParc+N(Sim_Extra)-D331)</f>
        <v>2790</v>
      </c>
      <c r="D331" s="36">
        <f>MIN(E$294,E331)+MIN(F$294,F331)+MIN(G$294,G331)+MIN(H$294,H331)+MIN(I$294,I331)+MIN(J$294,J331)+MIN(K$294,K331)+MIN(L$294,L331)</f>
        <v>0</v>
      </c>
      <c r="E331" s="36">
        <f>U330*(1+E$293)</f>
        <v>0</v>
      </c>
      <c r="F331" s="36">
        <f>V330*(1+F$293)</f>
        <v>0</v>
      </c>
      <c r="G331" s="36">
        <f>W330*(1+G$293)</f>
        <v>0</v>
      </c>
      <c r="H331" s="36">
        <f>X330*(1+H$293)</f>
        <v>0</v>
      </c>
      <c r="I331" s="36">
        <f>Y330*(1+I$293)</f>
        <v>0</v>
      </c>
      <c r="J331" s="36">
        <f>Z330*(1+J$293)</f>
        <v>0</v>
      </c>
      <c r="K331" s="36">
        <f>AA330*(1+K$293)</f>
        <v>0</v>
      </c>
      <c r="L331" s="36">
        <f>AB330*(1+L$293)</f>
        <v>0</v>
      </c>
      <c r="M331" s="36">
        <f>MIN(E331-MIN(E$294,E331),MAX(0,$C331-0))</f>
        <v>0</v>
      </c>
      <c r="N331" s="36">
        <f>MIN(F331-MIN(F$294,F331),MAX(0,$C331-SUM($M331:M331)))</f>
        <v>0</v>
      </c>
      <c r="O331" s="36">
        <f>MIN(G331-MIN(G$294,G331),MAX(0,$C331-SUM($M331:N331)))</f>
        <v>0</v>
      </c>
      <c r="P331" s="36">
        <f>MIN(H331-MIN(H$294,H331),MAX(0,$C331-SUM($M331:O331)))</f>
        <v>0</v>
      </c>
      <c r="Q331" s="36">
        <f>MIN(I331-MIN(I$294,I331),MAX(0,$C331-SUM($M331:P331)))</f>
        <v>0</v>
      </c>
      <c r="R331" s="36">
        <f>MIN(J331-MIN(J$294,J331),MAX(0,$C331-SUM($M331:Q331)))</f>
        <v>0</v>
      </c>
      <c r="S331" s="36">
        <f>MIN(K331-MIN(K$294,K331),MAX(0,$C331-SUM($M331:R331)))</f>
        <v>0</v>
      </c>
      <c r="T331" s="36">
        <f>MIN(L331-MIN(L$294,L331),MAX(0,$C331-SUM($M331:S331)))</f>
        <v>0</v>
      </c>
      <c r="U331" s="36">
        <f>IF(E331-MIN(E$294,E331)-M331&lt;0.005,0,E331-MIN(E$294,E331)-M331)</f>
        <v>0</v>
      </c>
      <c r="V331" s="36">
        <f>IF(F331-MIN(F$294,F331)-N331&lt;0.005,0,F331-MIN(F$294,F331)-N331)</f>
        <v>0</v>
      </c>
      <c r="W331" s="36">
        <f>IF(G331-MIN(G$294,G331)-O331&lt;0.005,0,G331-MIN(G$294,G331)-O331)</f>
        <v>0</v>
      </c>
      <c r="X331" s="36">
        <f>IF(H331-MIN(H$294,H331)-P331&lt;0.005,0,H331-MIN(H$294,H331)-P331)</f>
        <v>0</v>
      </c>
      <c r="Y331" s="36">
        <f>IF(I331-MIN(I$294,I331)-Q331&lt;0.005,0,I331-MIN(I$294,I331)-Q331)</f>
        <v>0</v>
      </c>
      <c r="Z331" s="36">
        <f>IF(J331-MIN(J$294,J331)-R331&lt;0.005,0,J331-MIN(J$294,J331)-R331)</f>
        <v>0</v>
      </c>
      <c r="AA331" s="36">
        <f>IF(K331-MIN(K$294,K331)-S331&lt;0.005,0,K331-MIN(K$294,K331)-S331)</f>
        <v>0</v>
      </c>
      <c r="AB331" s="36">
        <f>IF(L331-MIN(L$294,L331)-T331&lt;0.005,0,L331-MIN(L$294,L331)-T331)</f>
        <v>0</v>
      </c>
      <c r="AC331" s="36">
        <f>SUM(U331:AB331)</f>
        <v>0</v>
      </c>
      <c r="AD331" s="36">
        <f>D331+SUM(M331:T331)</f>
        <v>0</v>
      </c>
    </row>
    <row r="332">
      <c r="B332" s="40" t="n">
        <v>34</v>
      </c>
      <c r="C332" s="36">
        <f>MAX(0,Sim_SomaParc+N(Sim_Extra)-D332)</f>
        <v>2790</v>
      </c>
      <c r="D332" s="36">
        <f>MIN(E$294,E332)+MIN(F$294,F332)+MIN(G$294,G332)+MIN(H$294,H332)+MIN(I$294,I332)+MIN(J$294,J332)+MIN(K$294,K332)+MIN(L$294,L332)</f>
        <v>0</v>
      </c>
      <c r="E332" s="36">
        <f>U331*(1+E$293)</f>
        <v>0</v>
      </c>
      <c r="F332" s="36">
        <f>V331*(1+F$293)</f>
        <v>0</v>
      </c>
      <c r="G332" s="36">
        <f>W331*(1+G$293)</f>
        <v>0</v>
      </c>
      <c r="H332" s="36">
        <f>X331*(1+H$293)</f>
        <v>0</v>
      </c>
      <c r="I332" s="36">
        <f>Y331*(1+I$293)</f>
        <v>0</v>
      </c>
      <c r="J332" s="36">
        <f>Z331*(1+J$293)</f>
        <v>0</v>
      </c>
      <c r="K332" s="36">
        <f>AA331*(1+K$293)</f>
        <v>0</v>
      </c>
      <c r="L332" s="36">
        <f>AB331*(1+L$293)</f>
        <v>0</v>
      </c>
      <c r="M332" s="36">
        <f>MIN(E332-MIN(E$294,E332),MAX(0,$C332-0))</f>
        <v>0</v>
      </c>
      <c r="N332" s="36">
        <f>MIN(F332-MIN(F$294,F332),MAX(0,$C332-SUM($M332:M332)))</f>
        <v>0</v>
      </c>
      <c r="O332" s="36">
        <f>MIN(G332-MIN(G$294,G332),MAX(0,$C332-SUM($M332:N332)))</f>
        <v>0</v>
      </c>
      <c r="P332" s="36">
        <f>MIN(H332-MIN(H$294,H332),MAX(0,$C332-SUM($M332:O332)))</f>
        <v>0</v>
      </c>
      <c r="Q332" s="36">
        <f>MIN(I332-MIN(I$294,I332),MAX(0,$C332-SUM($M332:P332)))</f>
        <v>0</v>
      </c>
      <c r="R332" s="36">
        <f>MIN(J332-MIN(J$294,J332),MAX(0,$C332-SUM($M332:Q332)))</f>
        <v>0</v>
      </c>
      <c r="S332" s="36">
        <f>MIN(K332-MIN(K$294,K332),MAX(0,$C332-SUM($M332:R332)))</f>
        <v>0</v>
      </c>
      <c r="T332" s="36">
        <f>MIN(L332-MIN(L$294,L332),MAX(0,$C332-SUM($M332:S332)))</f>
        <v>0</v>
      </c>
      <c r="U332" s="36">
        <f>IF(E332-MIN(E$294,E332)-M332&lt;0.005,0,E332-MIN(E$294,E332)-M332)</f>
        <v>0</v>
      </c>
      <c r="V332" s="36">
        <f>IF(F332-MIN(F$294,F332)-N332&lt;0.005,0,F332-MIN(F$294,F332)-N332)</f>
        <v>0</v>
      </c>
      <c r="W332" s="36">
        <f>IF(G332-MIN(G$294,G332)-O332&lt;0.005,0,G332-MIN(G$294,G332)-O332)</f>
        <v>0</v>
      </c>
      <c r="X332" s="36">
        <f>IF(H332-MIN(H$294,H332)-P332&lt;0.005,0,H332-MIN(H$294,H332)-P332)</f>
        <v>0</v>
      </c>
      <c r="Y332" s="36">
        <f>IF(I332-MIN(I$294,I332)-Q332&lt;0.005,0,I332-MIN(I$294,I332)-Q332)</f>
        <v>0</v>
      </c>
      <c r="Z332" s="36">
        <f>IF(J332-MIN(J$294,J332)-R332&lt;0.005,0,J332-MIN(J$294,J332)-R332)</f>
        <v>0</v>
      </c>
      <c r="AA332" s="36">
        <f>IF(K332-MIN(K$294,K332)-S332&lt;0.005,0,K332-MIN(K$294,K332)-S332)</f>
        <v>0</v>
      </c>
      <c r="AB332" s="36">
        <f>IF(L332-MIN(L$294,L332)-T332&lt;0.005,0,L332-MIN(L$294,L332)-T332)</f>
        <v>0</v>
      </c>
      <c r="AC332" s="36">
        <f>SUM(U332:AB332)</f>
        <v>0</v>
      </c>
      <c r="AD332" s="36">
        <f>D332+SUM(M332:T332)</f>
        <v>0</v>
      </c>
    </row>
    <row r="333">
      <c r="B333" s="40" t="n">
        <v>35</v>
      </c>
      <c r="C333" s="36">
        <f>MAX(0,Sim_SomaParc+N(Sim_Extra)-D333)</f>
        <v>2790</v>
      </c>
      <c r="D333" s="36">
        <f>MIN(E$294,E333)+MIN(F$294,F333)+MIN(G$294,G333)+MIN(H$294,H333)+MIN(I$294,I333)+MIN(J$294,J333)+MIN(K$294,K333)+MIN(L$294,L333)</f>
        <v>0</v>
      </c>
      <c r="E333" s="36">
        <f>U332*(1+E$293)</f>
        <v>0</v>
      </c>
      <c r="F333" s="36">
        <f>V332*(1+F$293)</f>
        <v>0</v>
      </c>
      <c r="G333" s="36">
        <f>W332*(1+G$293)</f>
        <v>0</v>
      </c>
      <c r="H333" s="36">
        <f>X332*(1+H$293)</f>
        <v>0</v>
      </c>
      <c r="I333" s="36">
        <f>Y332*(1+I$293)</f>
        <v>0</v>
      </c>
      <c r="J333" s="36">
        <f>Z332*(1+J$293)</f>
        <v>0</v>
      </c>
      <c r="K333" s="36">
        <f>AA332*(1+K$293)</f>
        <v>0</v>
      </c>
      <c r="L333" s="36">
        <f>AB332*(1+L$293)</f>
        <v>0</v>
      </c>
      <c r="M333" s="36">
        <f>MIN(E333-MIN(E$294,E333),MAX(0,$C333-0))</f>
        <v>0</v>
      </c>
      <c r="N333" s="36">
        <f>MIN(F333-MIN(F$294,F333),MAX(0,$C333-SUM($M333:M333)))</f>
        <v>0</v>
      </c>
      <c r="O333" s="36">
        <f>MIN(G333-MIN(G$294,G333),MAX(0,$C333-SUM($M333:N333)))</f>
        <v>0</v>
      </c>
      <c r="P333" s="36">
        <f>MIN(H333-MIN(H$294,H333),MAX(0,$C333-SUM($M333:O333)))</f>
        <v>0</v>
      </c>
      <c r="Q333" s="36">
        <f>MIN(I333-MIN(I$294,I333),MAX(0,$C333-SUM($M333:P333)))</f>
        <v>0</v>
      </c>
      <c r="R333" s="36">
        <f>MIN(J333-MIN(J$294,J333),MAX(0,$C333-SUM($M333:Q333)))</f>
        <v>0</v>
      </c>
      <c r="S333" s="36">
        <f>MIN(K333-MIN(K$294,K333),MAX(0,$C333-SUM($M333:R333)))</f>
        <v>0</v>
      </c>
      <c r="T333" s="36">
        <f>MIN(L333-MIN(L$294,L333),MAX(0,$C333-SUM($M333:S333)))</f>
        <v>0</v>
      </c>
      <c r="U333" s="36">
        <f>IF(E333-MIN(E$294,E333)-M333&lt;0.005,0,E333-MIN(E$294,E333)-M333)</f>
        <v>0</v>
      </c>
      <c r="V333" s="36">
        <f>IF(F333-MIN(F$294,F333)-N333&lt;0.005,0,F333-MIN(F$294,F333)-N333)</f>
        <v>0</v>
      </c>
      <c r="W333" s="36">
        <f>IF(G333-MIN(G$294,G333)-O333&lt;0.005,0,G333-MIN(G$294,G333)-O333)</f>
        <v>0</v>
      </c>
      <c r="X333" s="36">
        <f>IF(H333-MIN(H$294,H333)-P333&lt;0.005,0,H333-MIN(H$294,H333)-P333)</f>
        <v>0</v>
      </c>
      <c r="Y333" s="36">
        <f>IF(I333-MIN(I$294,I333)-Q333&lt;0.005,0,I333-MIN(I$294,I333)-Q333)</f>
        <v>0</v>
      </c>
      <c r="Z333" s="36">
        <f>IF(J333-MIN(J$294,J333)-R333&lt;0.005,0,J333-MIN(J$294,J333)-R333)</f>
        <v>0</v>
      </c>
      <c r="AA333" s="36">
        <f>IF(K333-MIN(K$294,K333)-S333&lt;0.005,0,K333-MIN(K$294,K333)-S333)</f>
        <v>0</v>
      </c>
      <c r="AB333" s="36">
        <f>IF(L333-MIN(L$294,L333)-T333&lt;0.005,0,L333-MIN(L$294,L333)-T333)</f>
        <v>0</v>
      </c>
      <c r="AC333" s="36">
        <f>SUM(U333:AB333)</f>
        <v>0</v>
      </c>
      <c r="AD333" s="36">
        <f>D333+SUM(M333:T333)</f>
        <v>0</v>
      </c>
    </row>
    <row r="334">
      <c r="B334" s="40" t="n">
        <v>36</v>
      </c>
      <c r="C334" s="36">
        <f>MAX(0,Sim_SomaParc+N(Sim_Extra)-D334)</f>
        <v>2790</v>
      </c>
      <c r="D334" s="36">
        <f>MIN(E$294,E334)+MIN(F$294,F334)+MIN(G$294,G334)+MIN(H$294,H334)+MIN(I$294,I334)+MIN(J$294,J334)+MIN(K$294,K334)+MIN(L$294,L334)</f>
        <v>0</v>
      </c>
      <c r="E334" s="36">
        <f>U333*(1+E$293)</f>
        <v>0</v>
      </c>
      <c r="F334" s="36">
        <f>V333*(1+F$293)</f>
        <v>0</v>
      </c>
      <c r="G334" s="36">
        <f>W333*(1+G$293)</f>
        <v>0</v>
      </c>
      <c r="H334" s="36">
        <f>X333*(1+H$293)</f>
        <v>0</v>
      </c>
      <c r="I334" s="36">
        <f>Y333*(1+I$293)</f>
        <v>0</v>
      </c>
      <c r="J334" s="36">
        <f>Z333*(1+J$293)</f>
        <v>0</v>
      </c>
      <c r="K334" s="36">
        <f>AA333*(1+K$293)</f>
        <v>0</v>
      </c>
      <c r="L334" s="36">
        <f>AB333*(1+L$293)</f>
        <v>0</v>
      </c>
      <c r="M334" s="36">
        <f>MIN(E334-MIN(E$294,E334),MAX(0,$C334-0))</f>
        <v>0</v>
      </c>
      <c r="N334" s="36">
        <f>MIN(F334-MIN(F$294,F334),MAX(0,$C334-SUM($M334:M334)))</f>
        <v>0</v>
      </c>
      <c r="O334" s="36">
        <f>MIN(G334-MIN(G$294,G334),MAX(0,$C334-SUM($M334:N334)))</f>
        <v>0</v>
      </c>
      <c r="P334" s="36">
        <f>MIN(H334-MIN(H$294,H334),MAX(0,$C334-SUM($M334:O334)))</f>
        <v>0</v>
      </c>
      <c r="Q334" s="36">
        <f>MIN(I334-MIN(I$294,I334),MAX(0,$C334-SUM($M334:P334)))</f>
        <v>0</v>
      </c>
      <c r="R334" s="36">
        <f>MIN(J334-MIN(J$294,J334),MAX(0,$C334-SUM($M334:Q334)))</f>
        <v>0</v>
      </c>
      <c r="S334" s="36">
        <f>MIN(K334-MIN(K$294,K334),MAX(0,$C334-SUM($M334:R334)))</f>
        <v>0</v>
      </c>
      <c r="T334" s="36">
        <f>MIN(L334-MIN(L$294,L334),MAX(0,$C334-SUM($M334:S334)))</f>
        <v>0</v>
      </c>
      <c r="U334" s="36">
        <f>IF(E334-MIN(E$294,E334)-M334&lt;0.005,0,E334-MIN(E$294,E334)-M334)</f>
        <v>0</v>
      </c>
      <c r="V334" s="36">
        <f>IF(F334-MIN(F$294,F334)-N334&lt;0.005,0,F334-MIN(F$294,F334)-N334)</f>
        <v>0</v>
      </c>
      <c r="W334" s="36">
        <f>IF(G334-MIN(G$294,G334)-O334&lt;0.005,0,G334-MIN(G$294,G334)-O334)</f>
        <v>0</v>
      </c>
      <c r="X334" s="36">
        <f>IF(H334-MIN(H$294,H334)-P334&lt;0.005,0,H334-MIN(H$294,H334)-P334)</f>
        <v>0</v>
      </c>
      <c r="Y334" s="36">
        <f>IF(I334-MIN(I$294,I334)-Q334&lt;0.005,0,I334-MIN(I$294,I334)-Q334)</f>
        <v>0</v>
      </c>
      <c r="Z334" s="36">
        <f>IF(J334-MIN(J$294,J334)-R334&lt;0.005,0,J334-MIN(J$294,J334)-R334)</f>
        <v>0</v>
      </c>
      <c r="AA334" s="36">
        <f>IF(K334-MIN(K$294,K334)-S334&lt;0.005,0,K334-MIN(K$294,K334)-S334)</f>
        <v>0</v>
      </c>
      <c r="AB334" s="36">
        <f>IF(L334-MIN(L$294,L334)-T334&lt;0.005,0,L334-MIN(L$294,L334)-T334)</f>
        <v>0</v>
      </c>
      <c r="AC334" s="36">
        <f>SUM(U334:AB334)</f>
        <v>0</v>
      </c>
      <c r="AD334" s="36">
        <f>D334+SUM(M334:T334)</f>
        <v>0</v>
      </c>
    </row>
    <row r="335">
      <c r="B335" s="40" t="n">
        <v>37</v>
      </c>
      <c r="C335" s="36">
        <f>MAX(0,Sim_SomaParc+N(Sim_Extra)-D335)</f>
        <v>2790</v>
      </c>
      <c r="D335" s="36">
        <f>MIN(E$294,E335)+MIN(F$294,F335)+MIN(G$294,G335)+MIN(H$294,H335)+MIN(I$294,I335)+MIN(J$294,J335)+MIN(K$294,K335)+MIN(L$294,L335)</f>
        <v>0</v>
      </c>
      <c r="E335" s="36">
        <f>U334*(1+E$293)</f>
        <v>0</v>
      </c>
      <c r="F335" s="36">
        <f>V334*(1+F$293)</f>
        <v>0</v>
      </c>
      <c r="G335" s="36">
        <f>W334*(1+G$293)</f>
        <v>0</v>
      </c>
      <c r="H335" s="36">
        <f>X334*(1+H$293)</f>
        <v>0</v>
      </c>
      <c r="I335" s="36">
        <f>Y334*(1+I$293)</f>
        <v>0</v>
      </c>
      <c r="J335" s="36">
        <f>Z334*(1+J$293)</f>
        <v>0</v>
      </c>
      <c r="K335" s="36">
        <f>AA334*(1+K$293)</f>
        <v>0</v>
      </c>
      <c r="L335" s="36">
        <f>AB334*(1+L$293)</f>
        <v>0</v>
      </c>
      <c r="M335" s="36">
        <f>MIN(E335-MIN(E$294,E335),MAX(0,$C335-0))</f>
        <v>0</v>
      </c>
      <c r="N335" s="36">
        <f>MIN(F335-MIN(F$294,F335),MAX(0,$C335-SUM($M335:M335)))</f>
        <v>0</v>
      </c>
      <c r="O335" s="36">
        <f>MIN(G335-MIN(G$294,G335),MAX(0,$C335-SUM($M335:N335)))</f>
        <v>0</v>
      </c>
      <c r="P335" s="36">
        <f>MIN(H335-MIN(H$294,H335),MAX(0,$C335-SUM($M335:O335)))</f>
        <v>0</v>
      </c>
      <c r="Q335" s="36">
        <f>MIN(I335-MIN(I$294,I335),MAX(0,$C335-SUM($M335:P335)))</f>
        <v>0</v>
      </c>
      <c r="R335" s="36">
        <f>MIN(J335-MIN(J$294,J335),MAX(0,$C335-SUM($M335:Q335)))</f>
        <v>0</v>
      </c>
      <c r="S335" s="36">
        <f>MIN(K335-MIN(K$294,K335),MAX(0,$C335-SUM($M335:R335)))</f>
        <v>0</v>
      </c>
      <c r="T335" s="36">
        <f>MIN(L335-MIN(L$294,L335),MAX(0,$C335-SUM($M335:S335)))</f>
        <v>0</v>
      </c>
      <c r="U335" s="36">
        <f>IF(E335-MIN(E$294,E335)-M335&lt;0.005,0,E335-MIN(E$294,E335)-M335)</f>
        <v>0</v>
      </c>
      <c r="V335" s="36">
        <f>IF(F335-MIN(F$294,F335)-N335&lt;0.005,0,F335-MIN(F$294,F335)-N335)</f>
        <v>0</v>
      </c>
      <c r="W335" s="36">
        <f>IF(G335-MIN(G$294,G335)-O335&lt;0.005,0,G335-MIN(G$294,G335)-O335)</f>
        <v>0</v>
      </c>
      <c r="X335" s="36">
        <f>IF(H335-MIN(H$294,H335)-P335&lt;0.005,0,H335-MIN(H$294,H335)-P335)</f>
        <v>0</v>
      </c>
      <c r="Y335" s="36">
        <f>IF(I335-MIN(I$294,I335)-Q335&lt;0.005,0,I335-MIN(I$294,I335)-Q335)</f>
        <v>0</v>
      </c>
      <c r="Z335" s="36">
        <f>IF(J335-MIN(J$294,J335)-R335&lt;0.005,0,J335-MIN(J$294,J335)-R335)</f>
        <v>0</v>
      </c>
      <c r="AA335" s="36">
        <f>IF(K335-MIN(K$294,K335)-S335&lt;0.005,0,K335-MIN(K$294,K335)-S335)</f>
        <v>0</v>
      </c>
      <c r="AB335" s="36">
        <f>IF(L335-MIN(L$294,L335)-T335&lt;0.005,0,L335-MIN(L$294,L335)-T335)</f>
        <v>0</v>
      </c>
      <c r="AC335" s="36">
        <f>SUM(U335:AB335)</f>
        <v>0</v>
      </c>
      <c r="AD335" s="36">
        <f>D335+SUM(M335:T335)</f>
        <v>0</v>
      </c>
    </row>
    <row r="336">
      <c r="B336" s="40" t="n">
        <v>38</v>
      </c>
      <c r="C336" s="36">
        <f>MAX(0,Sim_SomaParc+N(Sim_Extra)-D336)</f>
        <v>2790</v>
      </c>
      <c r="D336" s="36">
        <f>MIN(E$294,E336)+MIN(F$294,F336)+MIN(G$294,G336)+MIN(H$294,H336)+MIN(I$294,I336)+MIN(J$294,J336)+MIN(K$294,K336)+MIN(L$294,L336)</f>
        <v>0</v>
      </c>
      <c r="E336" s="36">
        <f>U335*(1+E$293)</f>
        <v>0</v>
      </c>
      <c r="F336" s="36">
        <f>V335*(1+F$293)</f>
        <v>0</v>
      </c>
      <c r="G336" s="36">
        <f>W335*(1+G$293)</f>
        <v>0</v>
      </c>
      <c r="H336" s="36">
        <f>X335*(1+H$293)</f>
        <v>0</v>
      </c>
      <c r="I336" s="36">
        <f>Y335*(1+I$293)</f>
        <v>0</v>
      </c>
      <c r="J336" s="36">
        <f>Z335*(1+J$293)</f>
        <v>0</v>
      </c>
      <c r="K336" s="36">
        <f>AA335*(1+K$293)</f>
        <v>0</v>
      </c>
      <c r="L336" s="36">
        <f>AB335*(1+L$293)</f>
        <v>0</v>
      </c>
      <c r="M336" s="36">
        <f>MIN(E336-MIN(E$294,E336),MAX(0,$C336-0))</f>
        <v>0</v>
      </c>
      <c r="N336" s="36">
        <f>MIN(F336-MIN(F$294,F336),MAX(0,$C336-SUM($M336:M336)))</f>
        <v>0</v>
      </c>
      <c r="O336" s="36">
        <f>MIN(G336-MIN(G$294,G336),MAX(0,$C336-SUM($M336:N336)))</f>
        <v>0</v>
      </c>
      <c r="P336" s="36">
        <f>MIN(H336-MIN(H$294,H336),MAX(0,$C336-SUM($M336:O336)))</f>
        <v>0</v>
      </c>
      <c r="Q336" s="36">
        <f>MIN(I336-MIN(I$294,I336),MAX(0,$C336-SUM($M336:P336)))</f>
        <v>0</v>
      </c>
      <c r="R336" s="36">
        <f>MIN(J336-MIN(J$294,J336),MAX(0,$C336-SUM($M336:Q336)))</f>
        <v>0</v>
      </c>
      <c r="S336" s="36">
        <f>MIN(K336-MIN(K$294,K336),MAX(0,$C336-SUM($M336:R336)))</f>
        <v>0</v>
      </c>
      <c r="T336" s="36">
        <f>MIN(L336-MIN(L$294,L336),MAX(0,$C336-SUM($M336:S336)))</f>
        <v>0</v>
      </c>
      <c r="U336" s="36">
        <f>IF(E336-MIN(E$294,E336)-M336&lt;0.005,0,E336-MIN(E$294,E336)-M336)</f>
        <v>0</v>
      </c>
      <c r="V336" s="36">
        <f>IF(F336-MIN(F$294,F336)-N336&lt;0.005,0,F336-MIN(F$294,F336)-N336)</f>
        <v>0</v>
      </c>
      <c r="W336" s="36">
        <f>IF(G336-MIN(G$294,G336)-O336&lt;0.005,0,G336-MIN(G$294,G336)-O336)</f>
        <v>0</v>
      </c>
      <c r="X336" s="36">
        <f>IF(H336-MIN(H$294,H336)-P336&lt;0.005,0,H336-MIN(H$294,H336)-P336)</f>
        <v>0</v>
      </c>
      <c r="Y336" s="36">
        <f>IF(I336-MIN(I$294,I336)-Q336&lt;0.005,0,I336-MIN(I$294,I336)-Q336)</f>
        <v>0</v>
      </c>
      <c r="Z336" s="36">
        <f>IF(J336-MIN(J$294,J336)-R336&lt;0.005,0,J336-MIN(J$294,J336)-R336)</f>
        <v>0</v>
      </c>
      <c r="AA336" s="36">
        <f>IF(K336-MIN(K$294,K336)-S336&lt;0.005,0,K336-MIN(K$294,K336)-S336)</f>
        <v>0</v>
      </c>
      <c r="AB336" s="36">
        <f>IF(L336-MIN(L$294,L336)-T336&lt;0.005,0,L336-MIN(L$294,L336)-T336)</f>
        <v>0</v>
      </c>
      <c r="AC336" s="36">
        <f>SUM(U336:AB336)</f>
        <v>0</v>
      </c>
      <c r="AD336" s="36">
        <f>D336+SUM(M336:T336)</f>
        <v>0</v>
      </c>
    </row>
    <row r="337">
      <c r="B337" s="40" t="n">
        <v>39</v>
      </c>
      <c r="C337" s="36">
        <f>MAX(0,Sim_SomaParc+N(Sim_Extra)-D337)</f>
        <v>2790</v>
      </c>
      <c r="D337" s="36">
        <f>MIN(E$294,E337)+MIN(F$294,F337)+MIN(G$294,G337)+MIN(H$294,H337)+MIN(I$294,I337)+MIN(J$294,J337)+MIN(K$294,K337)+MIN(L$294,L337)</f>
        <v>0</v>
      </c>
      <c r="E337" s="36">
        <f>U336*(1+E$293)</f>
        <v>0</v>
      </c>
      <c r="F337" s="36">
        <f>V336*(1+F$293)</f>
        <v>0</v>
      </c>
      <c r="G337" s="36">
        <f>W336*(1+G$293)</f>
        <v>0</v>
      </c>
      <c r="H337" s="36">
        <f>X336*(1+H$293)</f>
        <v>0</v>
      </c>
      <c r="I337" s="36">
        <f>Y336*(1+I$293)</f>
        <v>0</v>
      </c>
      <c r="J337" s="36">
        <f>Z336*(1+J$293)</f>
        <v>0</v>
      </c>
      <c r="K337" s="36">
        <f>AA336*(1+K$293)</f>
        <v>0</v>
      </c>
      <c r="L337" s="36">
        <f>AB336*(1+L$293)</f>
        <v>0</v>
      </c>
      <c r="M337" s="36">
        <f>MIN(E337-MIN(E$294,E337),MAX(0,$C337-0))</f>
        <v>0</v>
      </c>
      <c r="N337" s="36">
        <f>MIN(F337-MIN(F$294,F337),MAX(0,$C337-SUM($M337:M337)))</f>
        <v>0</v>
      </c>
      <c r="O337" s="36">
        <f>MIN(G337-MIN(G$294,G337),MAX(0,$C337-SUM($M337:N337)))</f>
        <v>0</v>
      </c>
      <c r="P337" s="36">
        <f>MIN(H337-MIN(H$294,H337),MAX(0,$C337-SUM($M337:O337)))</f>
        <v>0</v>
      </c>
      <c r="Q337" s="36">
        <f>MIN(I337-MIN(I$294,I337),MAX(0,$C337-SUM($M337:P337)))</f>
        <v>0</v>
      </c>
      <c r="R337" s="36">
        <f>MIN(J337-MIN(J$294,J337),MAX(0,$C337-SUM($M337:Q337)))</f>
        <v>0</v>
      </c>
      <c r="S337" s="36">
        <f>MIN(K337-MIN(K$294,K337),MAX(0,$C337-SUM($M337:R337)))</f>
        <v>0</v>
      </c>
      <c r="T337" s="36">
        <f>MIN(L337-MIN(L$294,L337),MAX(0,$C337-SUM($M337:S337)))</f>
        <v>0</v>
      </c>
      <c r="U337" s="36">
        <f>IF(E337-MIN(E$294,E337)-M337&lt;0.005,0,E337-MIN(E$294,E337)-M337)</f>
        <v>0</v>
      </c>
      <c r="V337" s="36">
        <f>IF(F337-MIN(F$294,F337)-N337&lt;0.005,0,F337-MIN(F$294,F337)-N337)</f>
        <v>0</v>
      </c>
      <c r="W337" s="36">
        <f>IF(G337-MIN(G$294,G337)-O337&lt;0.005,0,G337-MIN(G$294,G337)-O337)</f>
        <v>0</v>
      </c>
      <c r="X337" s="36">
        <f>IF(H337-MIN(H$294,H337)-P337&lt;0.005,0,H337-MIN(H$294,H337)-P337)</f>
        <v>0</v>
      </c>
      <c r="Y337" s="36">
        <f>IF(I337-MIN(I$294,I337)-Q337&lt;0.005,0,I337-MIN(I$294,I337)-Q337)</f>
        <v>0</v>
      </c>
      <c r="Z337" s="36">
        <f>IF(J337-MIN(J$294,J337)-R337&lt;0.005,0,J337-MIN(J$294,J337)-R337)</f>
        <v>0</v>
      </c>
      <c r="AA337" s="36">
        <f>IF(K337-MIN(K$294,K337)-S337&lt;0.005,0,K337-MIN(K$294,K337)-S337)</f>
        <v>0</v>
      </c>
      <c r="AB337" s="36">
        <f>IF(L337-MIN(L$294,L337)-T337&lt;0.005,0,L337-MIN(L$294,L337)-T337)</f>
        <v>0</v>
      </c>
      <c r="AC337" s="36">
        <f>SUM(U337:AB337)</f>
        <v>0</v>
      </c>
      <c r="AD337" s="36">
        <f>D337+SUM(M337:T337)</f>
        <v>0</v>
      </c>
    </row>
    <row r="338">
      <c r="B338" s="40" t="n">
        <v>40</v>
      </c>
      <c r="C338" s="36">
        <f>MAX(0,Sim_SomaParc+N(Sim_Extra)-D338)</f>
        <v>2790</v>
      </c>
      <c r="D338" s="36">
        <f>MIN(E$294,E338)+MIN(F$294,F338)+MIN(G$294,G338)+MIN(H$294,H338)+MIN(I$294,I338)+MIN(J$294,J338)+MIN(K$294,K338)+MIN(L$294,L338)</f>
        <v>0</v>
      </c>
      <c r="E338" s="36">
        <f>U337*(1+E$293)</f>
        <v>0</v>
      </c>
      <c r="F338" s="36">
        <f>V337*(1+F$293)</f>
        <v>0</v>
      </c>
      <c r="G338" s="36">
        <f>W337*(1+G$293)</f>
        <v>0</v>
      </c>
      <c r="H338" s="36">
        <f>X337*(1+H$293)</f>
        <v>0</v>
      </c>
      <c r="I338" s="36">
        <f>Y337*(1+I$293)</f>
        <v>0</v>
      </c>
      <c r="J338" s="36">
        <f>Z337*(1+J$293)</f>
        <v>0</v>
      </c>
      <c r="K338" s="36">
        <f>AA337*(1+K$293)</f>
        <v>0</v>
      </c>
      <c r="L338" s="36">
        <f>AB337*(1+L$293)</f>
        <v>0</v>
      </c>
      <c r="M338" s="36">
        <f>MIN(E338-MIN(E$294,E338),MAX(0,$C338-0))</f>
        <v>0</v>
      </c>
      <c r="N338" s="36">
        <f>MIN(F338-MIN(F$294,F338),MAX(0,$C338-SUM($M338:M338)))</f>
        <v>0</v>
      </c>
      <c r="O338" s="36">
        <f>MIN(G338-MIN(G$294,G338),MAX(0,$C338-SUM($M338:N338)))</f>
        <v>0</v>
      </c>
      <c r="P338" s="36">
        <f>MIN(H338-MIN(H$294,H338),MAX(0,$C338-SUM($M338:O338)))</f>
        <v>0</v>
      </c>
      <c r="Q338" s="36">
        <f>MIN(I338-MIN(I$294,I338),MAX(0,$C338-SUM($M338:P338)))</f>
        <v>0</v>
      </c>
      <c r="R338" s="36">
        <f>MIN(J338-MIN(J$294,J338),MAX(0,$C338-SUM($M338:Q338)))</f>
        <v>0</v>
      </c>
      <c r="S338" s="36">
        <f>MIN(K338-MIN(K$294,K338),MAX(0,$C338-SUM($M338:R338)))</f>
        <v>0</v>
      </c>
      <c r="T338" s="36">
        <f>MIN(L338-MIN(L$294,L338),MAX(0,$C338-SUM($M338:S338)))</f>
        <v>0</v>
      </c>
      <c r="U338" s="36">
        <f>IF(E338-MIN(E$294,E338)-M338&lt;0.005,0,E338-MIN(E$294,E338)-M338)</f>
        <v>0</v>
      </c>
      <c r="V338" s="36">
        <f>IF(F338-MIN(F$294,F338)-N338&lt;0.005,0,F338-MIN(F$294,F338)-N338)</f>
        <v>0</v>
      </c>
      <c r="W338" s="36">
        <f>IF(G338-MIN(G$294,G338)-O338&lt;0.005,0,G338-MIN(G$294,G338)-O338)</f>
        <v>0</v>
      </c>
      <c r="X338" s="36">
        <f>IF(H338-MIN(H$294,H338)-P338&lt;0.005,0,H338-MIN(H$294,H338)-P338)</f>
        <v>0</v>
      </c>
      <c r="Y338" s="36">
        <f>IF(I338-MIN(I$294,I338)-Q338&lt;0.005,0,I338-MIN(I$294,I338)-Q338)</f>
        <v>0</v>
      </c>
      <c r="Z338" s="36">
        <f>IF(J338-MIN(J$294,J338)-R338&lt;0.005,0,J338-MIN(J$294,J338)-R338)</f>
        <v>0</v>
      </c>
      <c r="AA338" s="36">
        <f>IF(K338-MIN(K$294,K338)-S338&lt;0.005,0,K338-MIN(K$294,K338)-S338)</f>
        <v>0</v>
      </c>
      <c r="AB338" s="36">
        <f>IF(L338-MIN(L$294,L338)-T338&lt;0.005,0,L338-MIN(L$294,L338)-T338)</f>
        <v>0</v>
      </c>
      <c r="AC338" s="36">
        <f>SUM(U338:AB338)</f>
        <v>0</v>
      </c>
      <c r="AD338" s="36">
        <f>D338+SUM(M338:T338)</f>
        <v>0</v>
      </c>
    </row>
    <row r="339">
      <c r="B339" s="40" t="n">
        <v>41</v>
      </c>
      <c r="C339" s="36">
        <f>MAX(0,Sim_SomaParc+N(Sim_Extra)-D339)</f>
        <v>2790</v>
      </c>
      <c r="D339" s="36">
        <f>MIN(E$294,E339)+MIN(F$294,F339)+MIN(G$294,G339)+MIN(H$294,H339)+MIN(I$294,I339)+MIN(J$294,J339)+MIN(K$294,K339)+MIN(L$294,L339)</f>
        <v>0</v>
      </c>
      <c r="E339" s="36">
        <f>U338*(1+E$293)</f>
        <v>0</v>
      </c>
      <c r="F339" s="36">
        <f>V338*(1+F$293)</f>
        <v>0</v>
      </c>
      <c r="G339" s="36">
        <f>W338*(1+G$293)</f>
        <v>0</v>
      </c>
      <c r="H339" s="36">
        <f>X338*(1+H$293)</f>
        <v>0</v>
      </c>
      <c r="I339" s="36">
        <f>Y338*(1+I$293)</f>
        <v>0</v>
      </c>
      <c r="J339" s="36">
        <f>Z338*(1+J$293)</f>
        <v>0</v>
      </c>
      <c r="K339" s="36">
        <f>AA338*(1+K$293)</f>
        <v>0</v>
      </c>
      <c r="L339" s="36">
        <f>AB338*(1+L$293)</f>
        <v>0</v>
      </c>
      <c r="M339" s="36">
        <f>MIN(E339-MIN(E$294,E339),MAX(0,$C339-0))</f>
        <v>0</v>
      </c>
      <c r="N339" s="36">
        <f>MIN(F339-MIN(F$294,F339),MAX(0,$C339-SUM($M339:M339)))</f>
        <v>0</v>
      </c>
      <c r="O339" s="36">
        <f>MIN(G339-MIN(G$294,G339),MAX(0,$C339-SUM($M339:N339)))</f>
        <v>0</v>
      </c>
      <c r="P339" s="36">
        <f>MIN(H339-MIN(H$294,H339),MAX(0,$C339-SUM($M339:O339)))</f>
        <v>0</v>
      </c>
      <c r="Q339" s="36">
        <f>MIN(I339-MIN(I$294,I339),MAX(0,$C339-SUM($M339:P339)))</f>
        <v>0</v>
      </c>
      <c r="R339" s="36">
        <f>MIN(J339-MIN(J$294,J339),MAX(0,$C339-SUM($M339:Q339)))</f>
        <v>0</v>
      </c>
      <c r="S339" s="36">
        <f>MIN(K339-MIN(K$294,K339),MAX(0,$C339-SUM($M339:R339)))</f>
        <v>0</v>
      </c>
      <c r="T339" s="36">
        <f>MIN(L339-MIN(L$294,L339),MAX(0,$C339-SUM($M339:S339)))</f>
        <v>0</v>
      </c>
      <c r="U339" s="36">
        <f>IF(E339-MIN(E$294,E339)-M339&lt;0.005,0,E339-MIN(E$294,E339)-M339)</f>
        <v>0</v>
      </c>
      <c r="V339" s="36">
        <f>IF(F339-MIN(F$294,F339)-N339&lt;0.005,0,F339-MIN(F$294,F339)-N339)</f>
        <v>0</v>
      </c>
      <c r="W339" s="36">
        <f>IF(G339-MIN(G$294,G339)-O339&lt;0.005,0,G339-MIN(G$294,G339)-O339)</f>
        <v>0</v>
      </c>
      <c r="X339" s="36">
        <f>IF(H339-MIN(H$294,H339)-P339&lt;0.005,0,H339-MIN(H$294,H339)-P339)</f>
        <v>0</v>
      </c>
      <c r="Y339" s="36">
        <f>IF(I339-MIN(I$294,I339)-Q339&lt;0.005,0,I339-MIN(I$294,I339)-Q339)</f>
        <v>0</v>
      </c>
      <c r="Z339" s="36">
        <f>IF(J339-MIN(J$294,J339)-R339&lt;0.005,0,J339-MIN(J$294,J339)-R339)</f>
        <v>0</v>
      </c>
      <c r="AA339" s="36">
        <f>IF(K339-MIN(K$294,K339)-S339&lt;0.005,0,K339-MIN(K$294,K339)-S339)</f>
        <v>0</v>
      </c>
      <c r="AB339" s="36">
        <f>IF(L339-MIN(L$294,L339)-T339&lt;0.005,0,L339-MIN(L$294,L339)-T339)</f>
        <v>0</v>
      </c>
      <c r="AC339" s="36">
        <f>SUM(U339:AB339)</f>
        <v>0</v>
      </c>
      <c r="AD339" s="36">
        <f>D339+SUM(M339:T339)</f>
        <v>0</v>
      </c>
    </row>
    <row r="340">
      <c r="B340" s="40" t="n">
        <v>42</v>
      </c>
      <c r="C340" s="36">
        <f>MAX(0,Sim_SomaParc+N(Sim_Extra)-D340)</f>
        <v>2790</v>
      </c>
      <c r="D340" s="36">
        <f>MIN(E$294,E340)+MIN(F$294,F340)+MIN(G$294,G340)+MIN(H$294,H340)+MIN(I$294,I340)+MIN(J$294,J340)+MIN(K$294,K340)+MIN(L$294,L340)</f>
        <v>0</v>
      </c>
      <c r="E340" s="36">
        <f>U339*(1+E$293)</f>
        <v>0</v>
      </c>
      <c r="F340" s="36">
        <f>V339*(1+F$293)</f>
        <v>0</v>
      </c>
      <c r="G340" s="36">
        <f>W339*(1+G$293)</f>
        <v>0</v>
      </c>
      <c r="H340" s="36">
        <f>X339*(1+H$293)</f>
        <v>0</v>
      </c>
      <c r="I340" s="36">
        <f>Y339*(1+I$293)</f>
        <v>0</v>
      </c>
      <c r="J340" s="36">
        <f>Z339*(1+J$293)</f>
        <v>0</v>
      </c>
      <c r="K340" s="36">
        <f>AA339*(1+K$293)</f>
        <v>0</v>
      </c>
      <c r="L340" s="36">
        <f>AB339*(1+L$293)</f>
        <v>0</v>
      </c>
      <c r="M340" s="36">
        <f>MIN(E340-MIN(E$294,E340),MAX(0,$C340-0))</f>
        <v>0</v>
      </c>
      <c r="N340" s="36">
        <f>MIN(F340-MIN(F$294,F340),MAX(0,$C340-SUM($M340:M340)))</f>
        <v>0</v>
      </c>
      <c r="O340" s="36">
        <f>MIN(G340-MIN(G$294,G340),MAX(0,$C340-SUM($M340:N340)))</f>
        <v>0</v>
      </c>
      <c r="P340" s="36">
        <f>MIN(H340-MIN(H$294,H340),MAX(0,$C340-SUM($M340:O340)))</f>
        <v>0</v>
      </c>
      <c r="Q340" s="36">
        <f>MIN(I340-MIN(I$294,I340),MAX(0,$C340-SUM($M340:P340)))</f>
        <v>0</v>
      </c>
      <c r="R340" s="36">
        <f>MIN(J340-MIN(J$294,J340),MAX(0,$C340-SUM($M340:Q340)))</f>
        <v>0</v>
      </c>
      <c r="S340" s="36">
        <f>MIN(K340-MIN(K$294,K340),MAX(0,$C340-SUM($M340:R340)))</f>
        <v>0</v>
      </c>
      <c r="T340" s="36">
        <f>MIN(L340-MIN(L$294,L340),MAX(0,$C340-SUM($M340:S340)))</f>
        <v>0</v>
      </c>
      <c r="U340" s="36">
        <f>IF(E340-MIN(E$294,E340)-M340&lt;0.005,0,E340-MIN(E$294,E340)-M340)</f>
        <v>0</v>
      </c>
      <c r="V340" s="36">
        <f>IF(F340-MIN(F$294,F340)-N340&lt;0.005,0,F340-MIN(F$294,F340)-N340)</f>
        <v>0</v>
      </c>
      <c r="W340" s="36">
        <f>IF(G340-MIN(G$294,G340)-O340&lt;0.005,0,G340-MIN(G$294,G340)-O340)</f>
        <v>0</v>
      </c>
      <c r="X340" s="36">
        <f>IF(H340-MIN(H$294,H340)-P340&lt;0.005,0,H340-MIN(H$294,H340)-P340)</f>
        <v>0</v>
      </c>
      <c r="Y340" s="36">
        <f>IF(I340-MIN(I$294,I340)-Q340&lt;0.005,0,I340-MIN(I$294,I340)-Q340)</f>
        <v>0</v>
      </c>
      <c r="Z340" s="36">
        <f>IF(J340-MIN(J$294,J340)-R340&lt;0.005,0,J340-MIN(J$294,J340)-R340)</f>
        <v>0</v>
      </c>
      <c r="AA340" s="36">
        <f>IF(K340-MIN(K$294,K340)-S340&lt;0.005,0,K340-MIN(K$294,K340)-S340)</f>
        <v>0</v>
      </c>
      <c r="AB340" s="36">
        <f>IF(L340-MIN(L$294,L340)-T340&lt;0.005,0,L340-MIN(L$294,L340)-T340)</f>
        <v>0</v>
      </c>
      <c r="AC340" s="36">
        <f>SUM(U340:AB340)</f>
        <v>0</v>
      </c>
      <c r="AD340" s="36">
        <f>D340+SUM(M340:T340)</f>
        <v>0</v>
      </c>
    </row>
    <row r="341">
      <c r="B341" s="40" t="n">
        <v>43</v>
      </c>
      <c r="C341" s="36">
        <f>MAX(0,Sim_SomaParc+N(Sim_Extra)-D341)</f>
        <v>2790</v>
      </c>
      <c r="D341" s="36">
        <f>MIN(E$294,E341)+MIN(F$294,F341)+MIN(G$294,G341)+MIN(H$294,H341)+MIN(I$294,I341)+MIN(J$294,J341)+MIN(K$294,K341)+MIN(L$294,L341)</f>
        <v>0</v>
      </c>
      <c r="E341" s="36">
        <f>U340*(1+E$293)</f>
        <v>0</v>
      </c>
      <c r="F341" s="36">
        <f>V340*(1+F$293)</f>
        <v>0</v>
      </c>
      <c r="G341" s="36">
        <f>W340*(1+G$293)</f>
        <v>0</v>
      </c>
      <c r="H341" s="36">
        <f>X340*(1+H$293)</f>
        <v>0</v>
      </c>
      <c r="I341" s="36">
        <f>Y340*(1+I$293)</f>
        <v>0</v>
      </c>
      <c r="J341" s="36">
        <f>Z340*(1+J$293)</f>
        <v>0</v>
      </c>
      <c r="K341" s="36">
        <f>AA340*(1+K$293)</f>
        <v>0</v>
      </c>
      <c r="L341" s="36">
        <f>AB340*(1+L$293)</f>
        <v>0</v>
      </c>
      <c r="M341" s="36">
        <f>MIN(E341-MIN(E$294,E341),MAX(0,$C341-0))</f>
        <v>0</v>
      </c>
      <c r="N341" s="36">
        <f>MIN(F341-MIN(F$294,F341),MAX(0,$C341-SUM($M341:M341)))</f>
        <v>0</v>
      </c>
      <c r="O341" s="36">
        <f>MIN(G341-MIN(G$294,G341),MAX(0,$C341-SUM($M341:N341)))</f>
        <v>0</v>
      </c>
      <c r="P341" s="36">
        <f>MIN(H341-MIN(H$294,H341),MAX(0,$C341-SUM($M341:O341)))</f>
        <v>0</v>
      </c>
      <c r="Q341" s="36">
        <f>MIN(I341-MIN(I$294,I341),MAX(0,$C341-SUM($M341:P341)))</f>
        <v>0</v>
      </c>
      <c r="R341" s="36">
        <f>MIN(J341-MIN(J$294,J341),MAX(0,$C341-SUM($M341:Q341)))</f>
        <v>0</v>
      </c>
      <c r="S341" s="36">
        <f>MIN(K341-MIN(K$294,K341),MAX(0,$C341-SUM($M341:R341)))</f>
        <v>0</v>
      </c>
      <c r="T341" s="36">
        <f>MIN(L341-MIN(L$294,L341),MAX(0,$C341-SUM($M341:S341)))</f>
        <v>0</v>
      </c>
      <c r="U341" s="36">
        <f>IF(E341-MIN(E$294,E341)-M341&lt;0.005,0,E341-MIN(E$294,E341)-M341)</f>
        <v>0</v>
      </c>
      <c r="V341" s="36">
        <f>IF(F341-MIN(F$294,F341)-N341&lt;0.005,0,F341-MIN(F$294,F341)-N341)</f>
        <v>0</v>
      </c>
      <c r="W341" s="36">
        <f>IF(G341-MIN(G$294,G341)-O341&lt;0.005,0,G341-MIN(G$294,G341)-O341)</f>
        <v>0</v>
      </c>
      <c r="X341" s="36">
        <f>IF(H341-MIN(H$294,H341)-P341&lt;0.005,0,H341-MIN(H$294,H341)-P341)</f>
        <v>0</v>
      </c>
      <c r="Y341" s="36">
        <f>IF(I341-MIN(I$294,I341)-Q341&lt;0.005,0,I341-MIN(I$294,I341)-Q341)</f>
        <v>0</v>
      </c>
      <c r="Z341" s="36">
        <f>IF(J341-MIN(J$294,J341)-R341&lt;0.005,0,J341-MIN(J$294,J341)-R341)</f>
        <v>0</v>
      </c>
      <c r="AA341" s="36">
        <f>IF(K341-MIN(K$294,K341)-S341&lt;0.005,0,K341-MIN(K$294,K341)-S341)</f>
        <v>0</v>
      </c>
      <c r="AB341" s="36">
        <f>IF(L341-MIN(L$294,L341)-T341&lt;0.005,0,L341-MIN(L$294,L341)-T341)</f>
        <v>0</v>
      </c>
      <c r="AC341" s="36">
        <f>SUM(U341:AB341)</f>
        <v>0</v>
      </c>
      <c r="AD341" s="36">
        <f>D341+SUM(M341:T341)</f>
        <v>0</v>
      </c>
    </row>
    <row r="342">
      <c r="B342" s="40" t="n">
        <v>44</v>
      </c>
      <c r="C342" s="36">
        <f>MAX(0,Sim_SomaParc+N(Sim_Extra)-D342)</f>
        <v>2790</v>
      </c>
      <c r="D342" s="36">
        <f>MIN(E$294,E342)+MIN(F$294,F342)+MIN(G$294,G342)+MIN(H$294,H342)+MIN(I$294,I342)+MIN(J$294,J342)+MIN(K$294,K342)+MIN(L$294,L342)</f>
        <v>0</v>
      </c>
      <c r="E342" s="36">
        <f>U341*(1+E$293)</f>
        <v>0</v>
      </c>
      <c r="F342" s="36">
        <f>V341*(1+F$293)</f>
        <v>0</v>
      </c>
      <c r="G342" s="36">
        <f>W341*(1+G$293)</f>
        <v>0</v>
      </c>
      <c r="H342" s="36">
        <f>X341*(1+H$293)</f>
        <v>0</v>
      </c>
      <c r="I342" s="36">
        <f>Y341*(1+I$293)</f>
        <v>0</v>
      </c>
      <c r="J342" s="36">
        <f>Z341*(1+J$293)</f>
        <v>0</v>
      </c>
      <c r="K342" s="36">
        <f>AA341*(1+K$293)</f>
        <v>0</v>
      </c>
      <c r="L342" s="36">
        <f>AB341*(1+L$293)</f>
        <v>0</v>
      </c>
      <c r="M342" s="36">
        <f>MIN(E342-MIN(E$294,E342),MAX(0,$C342-0))</f>
        <v>0</v>
      </c>
      <c r="N342" s="36">
        <f>MIN(F342-MIN(F$294,F342),MAX(0,$C342-SUM($M342:M342)))</f>
        <v>0</v>
      </c>
      <c r="O342" s="36">
        <f>MIN(G342-MIN(G$294,G342),MAX(0,$C342-SUM($M342:N342)))</f>
        <v>0</v>
      </c>
      <c r="P342" s="36">
        <f>MIN(H342-MIN(H$294,H342),MAX(0,$C342-SUM($M342:O342)))</f>
        <v>0</v>
      </c>
      <c r="Q342" s="36">
        <f>MIN(I342-MIN(I$294,I342),MAX(0,$C342-SUM($M342:P342)))</f>
        <v>0</v>
      </c>
      <c r="R342" s="36">
        <f>MIN(J342-MIN(J$294,J342),MAX(0,$C342-SUM($M342:Q342)))</f>
        <v>0</v>
      </c>
      <c r="S342" s="36">
        <f>MIN(K342-MIN(K$294,K342),MAX(0,$C342-SUM($M342:R342)))</f>
        <v>0</v>
      </c>
      <c r="T342" s="36">
        <f>MIN(L342-MIN(L$294,L342),MAX(0,$C342-SUM($M342:S342)))</f>
        <v>0</v>
      </c>
      <c r="U342" s="36">
        <f>IF(E342-MIN(E$294,E342)-M342&lt;0.005,0,E342-MIN(E$294,E342)-M342)</f>
        <v>0</v>
      </c>
      <c r="V342" s="36">
        <f>IF(F342-MIN(F$294,F342)-N342&lt;0.005,0,F342-MIN(F$294,F342)-N342)</f>
        <v>0</v>
      </c>
      <c r="W342" s="36">
        <f>IF(G342-MIN(G$294,G342)-O342&lt;0.005,0,G342-MIN(G$294,G342)-O342)</f>
        <v>0</v>
      </c>
      <c r="X342" s="36">
        <f>IF(H342-MIN(H$294,H342)-P342&lt;0.005,0,H342-MIN(H$294,H342)-P342)</f>
        <v>0</v>
      </c>
      <c r="Y342" s="36">
        <f>IF(I342-MIN(I$294,I342)-Q342&lt;0.005,0,I342-MIN(I$294,I342)-Q342)</f>
        <v>0</v>
      </c>
      <c r="Z342" s="36">
        <f>IF(J342-MIN(J$294,J342)-R342&lt;0.005,0,J342-MIN(J$294,J342)-R342)</f>
        <v>0</v>
      </c>
      <c r="AA342" s="36">
        <f>IF(K342-MIN(K$294,K342)-S342&lt;0.005,0,K342-MIN(K$294,K342)-S342)</f>
        <v>0</v>
      </c>
      <c r="AB342" s="36">
        <f>IF(L342-MIN(L$294,L342)-T342&lt;0.005,0,L342-MIN(L$294,L342)-T342)</f>
        <v>0</v>
      </c>
      <c r="AC342" s="36">
        <f>SUM(U342:AB342)</f>
        <v>0</v>
      </c>
      <c r="AD342" s="36">
        <f>D342+SUM(M342:T342)</f>
        <v>0</v>
      </c>
    </row>
    <row r="343">
      <c r="B343" s="40" t="n">
        <v>45</v>
      </c>
      <c r="C343" s="36">
        <f>MAX(0,Sim_SomaParc+N(Sim_Extra)-D343)</f>
        <v>2790</v>
      </c>
      <c r="D343" s="36">
        <f>MIN(E$294,E343)+MIN(F$294,F343)+MIN(G$294,G343)+MIN(H$294,H343)+MIN(I$294,I343)+MIN(J$294,J343)+MIN(K$294,K343)+MIN(L$294,L343)</f>
        <v>0</v>
      </c>
      <c r="E343" s="36">
        <f>U342*(1+E$293)</f>
        <v>0</v>
      </c>
      <c r="F343" s="36">
        <f>V342*(1+F$293)</f>
        <v>0</v>
      </c>
      <c r="G343" s="36">
        <f>W342*(1+G$293)</f>
        <v>0</v>
      </c>
      <c r="H343" s="36">
        <f>X342*(1+H$293)</f>
        <v>0</v>
      </c>
      <c r="I343" s="36">
        <f>Y342*(1+I$293)</f>
        <v>0</v>
      </c>
      <c r="J343" s="36">
        <f>Z342*(1+J$293)</f>
        <v>0</v>
      </c>
      <c r="K343" s="36">
        <f>AA342*(1+K$293)</f>
        <v>0</v>
      </c>
      <c r="L343" s="36">
        <f>AB342*(1+L$293)</f>
        <v>0</v>
      </c>
      <c r="M343" s="36">
        <f>MIN(E343-MIN(E$294,E343),MAX(0,$C343-0))</f>
        <v>0</v>
      </c>
      <c r="N343" s="36">
        <f>MIN(F343-MIN(F$294,F343),MAX(0,$C343-SUM($M343:M343)))</f>
        <v>0</v>
      </c>
      <c r="O343" s="36">
        <f>MIN(G343-MIN(G$294,G343),MAX(0,$C343-SUM($M343:N343)))</f>
        <v>0</v>
      </c>
      <c r="P343" s="36">
        <f>MIN(H343-MIN(H$294,H343),MAX(0,$C343-SUM($M343:O343)))</f>
        <v>0</v>
      </c>
      <c r="Q343" s="36">
        <f>MIN(I343-MIN(I$294,I343),MAX(0,$C343-SUM($M343:P343)))</f>
        <v>0</v>
      </c>
      <c r="R343" s="36">
        <f>MIN(J343-MIN(J$294,J343),MAX(0,$C343-SUM($M343:Q343)))</f>
        <v>0</v>
      </c>
      <c r="S343" s="36">
        <f>MIN(K343-MIN(K$294,K343),MAX(0,$C343-SUM($M343:R343)))</f>
        <v>0</v>
      </c>
      <c r="T343" s="36">
        <f>MIN(L343-MIN(L$294,L343),MAX(0,$C343-SUM($M343:S343)))</f>
        <v>0</v>
      </c>
      <c r="U343" s="36">
        <f>IF(E343-MIN(E$294,E343)-M343&lt;0.005,0,E343-MIN(E$294,E343)-M343)</f>
        <v>0</v>
      </c>
      <c r="V343" s="36">
        <f>IF(F343-MIN(F$294,F343)-N343&lt;0.005,0,F343-MIN(F$294,F343)-N343)</f>
        <v>0</v>
      </c>
      <c r="W343" s="36">
        <f>IF(G343-MIN(G$294,G343)-O343&lt;0.005,0,G343-MIN(G$294,G343)-O343)</f>
        <v>0</v>
      </c>
      <c r="X343" s="36">
        <f>IF(H343-MIN(H$294,H343)-P343&lt;0.005,0,H343-MIN(H$294,H343)-P343)</f>
        <v>0</v>
      </c>
      <c r="Y343" s="36">
        <f>IF(I343-MIN(I$294,I343)-Q343&lt;0.005,0,I343-MIN(I$294,I343)-Q343)</f>
        <v>0</v>
      </c>
      <c r="Z343" s="36">
        <f>IF(J343-MIN(J$294,J343)-R343&lt;0.005,0,J343-MIN(J$294,J343)-R343)</f>
        <v>0</v>
      </c>
      <c r="AA343" s="36">
        <f>IF(K343-MIN(K$294,K343)-S343&lt;0.005,0,K343-MIN(K$294,K343)-S343)</f>
        <v>0</v>
      </c>
      <c r="AB343" s="36">
        <f>IF(L343-MIN(L$294,L343)-T343&lt;0.005,0,L343-MIN(L$294,L343)-T343)</f>
        <v>0</v>
      </c>
      <c r="AC343" s="36">
        <f>SUM(U343:AB343)</f>
        <v>0</v>
      </c>
      <c r="AD343" s="36">
        <f>D343+SUM(M343:T343)</f>
        <v>0</v>
      </c>
    </row>
    <row r="344">
      <c r="B344" s="40" t="n">
        <v>46</v>
      </c>
      <c r="C344" s="36">
        <f>MAX(0,Sim_SomaParc+N(Sim_Extra)-D344)</f>
        <v>2790</v>
      </c>
      <c r="D344" s="36">
        <f>MIN(E$294,E344)+MIN(F$294,F344)+MIN(G$294,G344)+MIN(H$294,H344)+MIN(I$294,I344)+MIN(J$294,J344)+MIN(K$294,K344)+MIN(L$294,L344)</f>
        <v>0</v>
      </c>
      <c r="E344" s="36">
        <f>U343*(1+E$293)</f>
        <v>0</v>
      </c>
      <c r="F344" s="36">
        <f>V343*(1+F$293)</f>
        <v>0</v>
      </c>
      <c r="G344" s="36">
        <f>W343*(1+G$293)</f>
        <v>0</v>
      </c>
      <c r="H344" s="36">
        <f>X343*(1+H$293)</f>
        <v>0</v>
      </c>
      <c r="I344" s="36">
        <f>Y343*(1+I$293)</f>
        <v>0</v>
      </c>
      <c r="J344" s="36">
        <f>Z343*(1+J$293)</f>
        <v>0</v>
      </c>
      <c r="K344" s="36">
        <f>AA343*(1+K$293)</f>
        <v>0</v>
      </c>
      <c r="L344" s="36">
        <f>AB343*(1+L$293)</f>
        <v>0</v>
      </c>
      <c r="M344" s="36">
        <f>MIN(E344-MIN(E$294,E344),MAX(0,$C344-0))</f>
        <v>0</v>
      </c>
      <c r="N344" s="36">
        <f>MIN(F344-MIN(F$294,F344),MAX(0,$C344-SUM($M344:M344)))</f>
        <v>0</v>
      </c>
      <c r="O344" s="36">
        <f>MIN(G344-MIN(G$294,G344),MAX(0,$C344-SUM($M344:N344)))</f>
        <v>0</v>
      </c>
      <c r="P344" s="36">
        <f>MIN(H344-MIN(H$294,H344),MAX(0,$C344-SUM($M344:O344)))</f>
        <v>0</v>
      </c>
      <c r="Q344" s="36">
        <f>MIN(I344-MIN(I$294,I344),MAX(0,$C344-SUM($M344:P344)))</f>
        <v>0</v>
      </c>
      <c r="R344" s="36">
        <f>MIN(J344-MIN(J$294,J344),MAX(0,$C344-SUM($M344:Q344)))</f>
        <v>0</v>
      </c>
      <c r="S344" s="36">
        <f>MIN(K344-MIN(K$294,K344),MAX(0,$C344-SUM($M344:R344)))</f>
        <v>0</v>
      </c>
      <c r="T344" s="36">
        <f>MIN(L344-MIN(L$294,L344),MAX(0,$C344-SUM($M344:S344)))</f>
        <v>0</v>
      </c>
      <c r="U344" s="36">
        <f>IF(E344-MIN(E$294,E344)-M344&lt;0.005,0,E344-MIN(E$294,E344)-M344)</f>
        <v>0</v>
      </c>
      <c r="V344" s="36">
        <f>IF(F344-MIN(F$294,F344)-N344&lt;0.005,0,F344-MIN(F$294,F344)-N344)</f>
        <v>0</v>
      </c>
      <c r="W344" s="36">
        <f>IF(G344-MIN(G$294,G344)-O344&lt;0.005,0,G344-MIN(G$294,G344)-O344)</f>
        <v>0</v>
      </c>
      <c r="X344" s="36">
        <f>IF(H344-MIN(H$294,H344)-P344&lt;0.005,0,H344-MIN(H$294,H344)-P344)</f>
        <v>0</v>
      </c>
      <c r="Y344" s="36">
        <f>IF(I344-MIN(I$294,I344)-Q344&lt;0.005,0,I344-MIN(I$294,I344)-Q344)</f>
        <v>0</v>
      </c>
      <c r="Z344" s="36">
        <f>IF(J344-MIN(J$294,J344)-R344&lt;0.005,0,J344-MIN(J$294,J344)-R344)</f>
        <v>0</v>
      </c>
      <c r="AA344" s="36">
        <f>IF(K344-MIN(K$294,K344)-S344&lt;0.005,0,K344-MIN(K$294,K344)-S344)</f>
        <v>0</v>
      </c>
      <c r="AB344" s="36">
        <f>IF(L344-MIN(L$294,L344)-T344&lt;0.005,0,L344-MIN(L$294,L344)-T344)</f>
        <v>0</v>
      </c>
      <c r="AC344" s="36">
        <f>SUM(U344:AB344)</f>
        <v>0</v>
      </c>
      <c r="AD344" s="36">
        <f>D344+SUM(M344:T344)</f>
        <v>0</v>
      </c>
    </row>
    <row r="345">
      <c r="B345" s="40" t="n">
        <v>47</v>
      </c>
      <c r="C345" s="36">
        <f>MAX(0,Sim_SomaParc+N(Sim_Extra)-D345)</f>
        <v>2790</v>
      </c>
      <c r="D345" s="36">
        <f>MIN(E$294,E345)+MIN(F$294,F345)+MIN(G$294,G345)+MIN(H$294,H345)+MIN(I$294,I345)+MIN(J$294,J345)+MIN(K$294,K345)+MIN(L$294,L345)</f>
        <v>0</v>
      </c>
      <c r="E345" s="36">
        <f>U344*(1+E$293)</f>
        <v>0</v>
      </c>
      <c r="F345" s="36">
        <f>V344*(1+F$293)</f>
        <v>0</v>
      </c>
      <c r="G345" s="36">
        <f>W344*(1+G$293)</f>
        <v>0</v>
      </c>
      <c r="H345" s="36">
        <f>X344*(1+H$293)</f>
        <v>0</v>
      </c>
      <c r="I345" s="36">
        <f>Y344*(1+I$293)</f>
        <v>0</v>
      </c>
      <c r="J345" s="36">
        <f>Z344*(1+J$293)</f>
        <v>0</v>
      </c>
      <c r="K345" s="36">
        <f>AA344*(1+K$293)</f>
        <v>0</v>
      </c>
      <c r="L345" s="36">
        <f>AB344*(1+L$293)</f>
        <v>0</v>
      </c>
      <c r="M345" s="36">
        <f>MIN(E345-MIN(E$294,E345),MAX(0,$C345-0))</f>
        <v>0</v>
      </c>
      <c r="N345" s="36">
        <f>MIN(F345-MIN(F$294,F345),MAX(0,$C345-SUM($M345:M345)))</f>
        <v>0</v>
      </c>
      <c r="O345" s="36">
        <f>MIN(G345-MIN(G$294,G345),MAX(0,$C345-SUM($M345:N345)))</f>
        <v>0</v>
      </c>
      <c r="P345" s="36">
        <f>MIN(H345-MIN(H$294,H345),MAX(0,$C345-SUM($M345:O345)))</f>
        <v>0</v>
      </c>
      <c r="Q345" s="36">
        <f>MIN(I345-MIN(I$294,I345),MAX(0,$C345-SUM($M345:P345)))</f>
        <v>0</v>
      </c>
      <c r="R345" s="36">
        <f>MIN(J345-MIN(J$294,J345),MAX(0,$C345-SUM($M345:Q345)))</f>
        <v>0</v>
      </c>
      <c r="S345" s="36">
        <f>MIN(K345-MIN(K$294,K345),MAX(0,$C345-SUM($M345:R345)))</f>
        <v>0</v>
      </c>
      <c r="T345" s="36">
        <f>MIN(L345-MIN(L$294,L345),MAX(0,$C345-SUM($M345:S345)))</f>
        <v>0</v>
      </c>
      <c r="U345" s="36">
        <f>IF(E345-MIN(E$294,E345)-M345&lt;0.005,0,E345-MIN(E$294,E345)-M345)</f>
        <v>0</v>
      </c>
      <c r="V345" s="36">
        <f>IF(F345-MIN(F$294,F345)-N345&lt;0.005,0,F345-MIN(F$294,F345)-N345)</f>
        <v>0</v>
      </c>
      <c r="W345" s="36">
        <f>IF(G345-MIN(G$294,G345)-O345&lt;0.005,0,G345-MIN(G$294,G345)-O345)</f>
        <v>0</v>
      </c>
      <c r="X345" s="36">
        <f>IF(H345-MIN(H$294,H345)-P345&lt;0.005,0,H345-MIN(H$294,H345)-P345)</f>
        <v>0</v>
      </c>
      <c r="Y345" s="36">
        <f>IF(I345-MIN(I$294,I345)-Q345&lt;0.005,0,I345-MIN(I$294,I345)-Q345)</f>
        <v>0</v>
      </c>
      <c r="Z345" s="36">
        <f>IF(J345-MIN(J$294,J345)-R345&lt;0.005,0,J345-MIN(J$294,J345)-R345)</f>
        <v>0</v>
      </c>
      <c r="AA345" s="36">
        <f>IF(K345-MIN(K$294,K345)-S345&lt;0.005,0,K345-MIN(K$294,K345)-S345)</f>
        <v>0</v>
      </c>
      <c r="AB345" s="36">
        <f>IF(L345-MIN(L$294,L345)-T345&lt;0.005,0,L345-MIN(L$294,L345)-T345)</f>
        <v>0</v>
      </c>
      <c r="AC345" s="36">
        <f>SUM(U345:AB345)</f>
        <v>0</v>
      </c>
      <c r="AD345" s="36">
        <f>D345+SUM(M345:T345)</f>
        <v>0</v>
      </c>
    </row>
    <row r="346">
      <c r="B346" s="40" t="n">
        <v>48</v>
      </c>
      <c r="C346" s="36">
        <f>MAX(0,Sim_SomaParc+N(Sim_Extra)-D346)</f>
        <v>2790</v>
      </c>
      <c r="D346" s="36">
        <f>MIN(E$294,E346)+MIN(F$294,F346)+MIN(G$294,G346)+MIN(H$294,H346)+MIN(I$294,I346)+MIN(J$294,J346)+MIN(K$294,K346)+MIN(L$294,L346)</f>
        <v>0</v>
      </c>
      <c r="E346" s="36">
        <f>U345*(1+E$293)</f>
        <v>0</v>
      </c>
      <c r="F346" s="36">
        <f>V345*(1+F$293)</f>
        <v>0</v>
      </c>
      <c r="G346" s="36">
        <f>W345*(1+G$293)</f>
        <v>0</v>
      </c>
      <c r="H346" s="36">
        <f>X345*(1+H$293)</f>
        <v>0</v>
      </c>
      <c r="I346" s="36">
        <f>Y345*(1+I$293)</f>
        <v>0</v>
      </c>
      <c r="J346" s="36">
        <f>Z345*(1+J$293)</f>
        <v>0</v>
      </c>
      <c r="K346" s="36">
        <f>AA345*(1+K$293)</f>
        <v>0</v>
      </c>
      <c r="L346" s="36">
        <f>AB345*(1+L$293)</f>
        <v>0</v>
      </c>
      <c r="M346" s="36">
        <f>MIN(E346-MIN(E$294,E346),MAX(0,$C346-0))</f>
        <v>0</v>
      </c>
      <c r="N346" s="36">
        <f>MIN(F346-MIN(F$294,F346),MAX(0,$C346-SUM($M346:M346)))</f>
        <v>0</v>
      </c>
      <c r="O346" s="36">
        <f>MIN(G346-MIN(G$294,G346),MAX(0,$C346-SUM($M346:N346)))</f>
        <v>0</v>
      </c>
      <c r="P346" s="36">
        <f>MIN(H346-MIN(H$294,H346),MAX(0,$C346-SUM($M346:O346)))</f>
        <v>0</v>
      </c>
      <c r="Q346" s="36">
        <f>MIN(I346-MIN(I$294,I346),MAX(0,$C346-SUM($M346:P346)))</f>
        <v>0</v>
      </c>
      <c r="R346" s="36">
        <f>MIN(J346-MIN(J$294,J346),MAX(0,$C346-SUM($M346:Q346)))</f>
        <v>0</v>
      </c>
      <c r="S346" s="36">
        <f>MIN(K346-MIN(K$294,K346),MAX(0,$C346-SUM($M346:R346)))</f>
        <v>0</v>
      </c>
      <c r="T346" s="36">
        <f>MIN(L346-MIN(L$294,L346),MAX(0,$C346-SUM($M346:S346)))</f>
        <v>0</v>
      </c>
      <c r="U346" s="36">
        <f>IF(E346-MIN(E$294,E346)-M346&lt;0.005,0,E346-MIN(E$294,E346)-M346)</f>
        <v>0</v>
      </c>
      <c r="V346" s="36">
        <f>IF(F346-MIN(F$294,F346)-N346&lt;0.005,0,F346-MIN(F$294,F346)-N346)</f>
        <v>0</v>
      </c>
      <c r="W346" s="36">
        <f>IF(G346-MIN(G$294,G346)-O346&lt;0.005,0,G346-MIN(G$294,G346)-O346)</f>
        <v>0</v>
      </c>
      <c r="X346" s="36">
        <f>IF(H346-MIN(H$294,H346)-P346&lt;0.005,0,H346-MIN(H$294,H346)-P346)</f>
        <v>0</v>
      </c>
      <c r="Y346" s="36">
        <f>IF(I346-MIN(I$294,I346)-Q346&lt;0.005,0,I346-MIN(I$294,I346)-Q346)</f>
        <v>0</v>
      </c>
      <c r="Z346" s="36">
        <f>IF(J346-MIN(J$294,J346)-R346&lt;0.005,0,J346-MIN(J$294,J346)-R346)</f>
        <v>0</v>
      </c>
      <c r="AA346" s="36">
        <f>IF(K346-MIN(K$294,K346)-S346&lt;0.005,0,K346-MIN(K$294,K346)-S346)</f>
        <v>0</v>
      </c>
      <c r="AB346" s="36">
        <f>IF(L346-MIN(L$294,L346)-T346&lt;0.005,0,L346-MIN(L$294,L346)-T346)</f>
        <v>0</v>
      </c>
      <c r="AC346" s="36">
        <f>SUM(U346:AB346)</f>
        <v>0</v>
      </c>
      <c r="AD346" s="36">
        <f>D346+SUM(M346:T346)</f>
        <v>0</v>
      </c>
    </row>
    <row r="347">
      <c r="B347" s="40" t="n">
        <v>49</v>
      </c>
      <c r="C347" s="36">
        <f>MAX(0,Sim_SomaParc+N(Sim_Extra)-D347)</f>
        <v>2790</v>
      </c>
      <c r="D347" s="36">
        <f>MIN(E$294,E347)+MIN(F$294,F347)+MIN(G$294,G347)+MIN(H$294,H347)+MIN(I$294,I347)+MIN(J$294,J347)+MIN(K$294,K347)+MIN(L$294,L347)</f>
        <v>0</v>
      </c>
      <c r="E347" s="36">
        <f>U346*(1+E$293)</f>
        <v>0</v>
      </c>
      <c r="F347" s="36">
        <f>V346*(1+F$293)</f>
        <v>0</v>
      </c>
      <c r="G347" s="36">
        <f>W346*(1+G$293)</f>
        <v>0</v>
      </c>
      <c r="H347" s="36">
        <f>X346*(1+H$293)</f>
        <v>0</v>
      </c>
      <c r="I347" s="36">
        <f>Y346*(1+I$293)</f>
        <v>0</v>
      </c>
      <c r="J347" s="36">
        <f>Z346*(1+J$293)</f>
        <v>0</v>
      </c>
      <c r="K347" s="36">
        <f>AA346*(1+K$293)</f>
        <v>0</v>
      </c>
      <c r="L347" s="36">
        <f>AB346*(1+L$293)</f>
        <v>0</v>
      </c>
      <c r="M347" s="36">
        <f>MIN(E347-MIN(E$294,E347),MAX(0,$C347-0))</f>
        <v>0</v>
      </c>
      <c r="N347" s="36">
        <f>MIN(F347-MIN(F$294,F347),MAX(0,$C347-SUM($M347:M347)))</f>
        <v>0</v>
      </c>
      <c r="O347" s="36">
        <f>MIN(G347-MIN(G$294,G347),MAX(0,$C347-SUM($M347:N347)))</f>
        <v>0</v>
      </c>
      <c r="P347" s="36">
        <f>MIN(H347-MIN(H$294,H347),MAX(0,$C347-SUM($M347:O347)))</f>
        <v>0</v>
      </c>
      <c r="Q347" s="36">
        <f>MIN(I347-MIN(I$294,I347),MAX(0,$C347-SUM($M347:P347)))</f>
        <v>0</v>
      </c>
      <c r="R347" s="36">
        <f>MIN(J347-MIN(J$294,J347),MAX(0,$C347-SUM($M347:Q347)))</f>
        <v>0</v>
      </c>
      <c r="S347" s="36">
        <f>MIN(K347-MIN(K$294,K347),MAX(0,$C347-SUM($M347:R347)))</f>
        <v>0</v>
      </c>
      <c r="T347" s="36">
        <f>MIN(L347-MIN(L$294,L347),MAX(0,$C347-SUM($M347:S347)))</f>
        <v>0</v>
      </c>
      <c r="U347" s="36">
        <f>IF(E347-MIN(E$294,E347)-M347&lt;0.005,0,E347-MIN(E$294,E347)-M347)</f>
        <v>0</v>
      </c>
      <c r="V347" s="36">
        <f>IF(F347-MIN(F$294,F347)-N347&lt;0.005,0,F347-MIN(F$294,F347)-N347)</f>
        <v>0</v>
      </c>
      <c r="W347" s="36">
        <f>IF(G347-MIN(G$294,G347)-O347&lt;0.005,0,G347-MIN(G$294,G347)-O347)</f>
        <v>0</v>
      </c>
      <c r="X347" s="36">
        <f>IF(H347-MIN(H$294,H347)-P347&lt;0.005,0,H347-MIN(H$294,H347)-P347)</f>
        <v>0</v>
      </c>
      <c r="Y347" s="36">
        <f>IF(I347-MIN(I$294,I347)-Q347&lt;0.005,0,I347-MIN(I$294,I347)-Q347)</f>
        <v>0</v>
      </c>
      <c r="Z347" s="36">
        <f>IF(J347-MIN(J$294,J347)-R347&lt;0.005,0,J347-MIN(J$294,J347)-R347)</f>
        <v>0</v>
      </c>
      <c r="AA347" s="36">
        <f>IF(K347-MIN(K$294,K347)-S347&lt;0.005,0,K347-MIN(K$294,K347)-S347)</f>
        <v>0</v>
      </c>
      <c r="AB347" s="36">
        <f>IF(L347-MIN(L$294,L347)-T347&lt;0.005,0,L347-MIN(L$294,L347)-T347)</f>
        <v>0</v>
      </c>
      <c r="AC347" s="36">
        <f>SUM(U347:AB347)</f>
        <v>0</v>
      </c>
      <c r="AD347" s="36">
        <f>D347+SUM(M347:T347)</f>
        <v>0</v>
      </c>
    </row>
    <row r="348">
      <c r="B348" s="40" t="n">
        <v>50</v>
      </c>
      <c r="C348" s="36">
        <f>MAX(0,Sim_SomaParc+N(Sim_Extra)-D348)</f>
        <v>2790</v>
      </c>
      <c r="D348" s="36">
        <f>MIN(E$294,E348)+MIN(F$294,F348)+MIN(G$294,G348)+MIN(H$294,H348)+MIN(I$294,I348)+MIN(J$294,J348)+MIN(K$294,K348)+MIN(L$294,L348)</f>
        <v>0</v>
      </c>
      <c r="E348" s="36">
        <f>U347*(1+E$293)</f>
        <v>0</v>
      </c>
      <c r="F348" s="36">
        <f>V347*(1+F$293)</f>
        <v>0</v>
      </c>
      <c r="G348" s="36">
        <f>W347*(1+G$293)</f>
        <v>0</v>
      </c>
      <c r="H348" s="36">
        <f>X347*(1+H$293)</f>
        <v>0</v>
      </c>
      <c r="I348" s="36">
        <f>Y347*(1+I$293)</f>
        <v>0</v>
      </c>
      <c r="J348" s="36">
        <f>Z347*(1+J$293)</f>
        <v>0</v>
      </c>
      <c r="K348" s="36">
        <f>AA347*(1+K$293)</f>
        <v>0</v>
      </c>
      <c r="L348" s="36">
        <f>AB347*(1+L$293)</f>
        <v>0</v>
      </c>
      <c r="M348" s="36">
        <f>MIN(E348-MIN(E$294,E348),MAX(0,$C348-0))</f>
        <v>0</v>
      </c>
      <c r="N348" s="36">
        <f>MIN(F348-MIN(F$294,F348),MAX(0,$C348-SUM($M348:M348)))</f>
        <v>0</v>
      </c>
      <c r="O348" s="36">
        <f>MIN(G348-MIN(G$294,G348),MAX(0,$C348-SUM($M348:N348)))</f>
        <v>0</v>
      </c>
      <c r="P348" s="36">
        <f>MIN(H348-MIN(H$294,H348),MAX(0,$C348-SUM($M348:O348)))</f>
        <v>0</v>
      </c>
      <c r="Q348" s="36">
        <f>MIN(I348-MIN(I$294,I348),MAX(0,$C348-SUM($M348:P348)))</f>
        <v>0</v>
      </c>
      <c r="R348" s="36">
        <f>MIN(J348-MIN(J$294,J348),MAX(0,$C348-SUM($M348:Q348)))</f>
        <v>0</v>
      </c>
      <c r="S348" s="36">
        <f>MIN(K348-MIN(K$294,K348),MAX(0,$C348-SUM($M348:R348)))</f>
        <v>0</v>
      </c>
      <c r="T348" s="36">
        <f>MIN(L348-MIN(L$294,L348),MAX(0,$C348-SUM($M348:S348)))</f>
        <v>0</v>
      </c>
      <c r="U348" s="36">
        <f>IF(E348-MIN(E$294,E348)-M348&lt;0.005,0,E348-MIN(E$294,E348)-M348)</f>
        <v>0</v>
      </c>
      <c r="V348" s="36">
        <f>IF(F348-MIN(F$294,F348)-N348&lt;0.005,0,F348-MIN(F$294,F348)-N348)</f>
        <v>0</v>
      </c>
      <c r="W348" s="36">
        <f>IF(G348-MIN(G$294,G348)-O348&lt;0.005,0,G348-MIN(G$294,G348)-O348)</f>
        <v>0</v>
      </c>
      <c r="X348" s="36">
        <f>IF(H348-MIN(H$294,H348)-P348&lt;0.005,0,H348-MIN(H$294,H348)-P348)</f>
        <v>0</v>
      </c>
      <c r="Y348" s="36">
        <f>IF(I348-MIN(I$294,I348)-Q348&lt;0.005,0,I348-MIN(I$294,I348)-Q348)</f>
        <v>0</v>
      </c>
      <c r="Z348" s="36">
        <f>IF(J348-MIN(J$294,J348)-R348&lt;0.005,0,J348-MIN(J$294,J348)-R348)</f>
        <v>0</v>
      </c>
      <c r="AA348" s="36">
        <f>IF(K348-MIN(K$294,K348)-S348&lt;0.005,0,K348-MIN(K$294,K348)-S348)</f>
        <v>0</v>
      </c>
      <c r="AB348" s="36">
        <f>IF(L348-MIN(L$294,L348)-T348&lt;0.005,0,L348-MIN(L$294,L348)-T348)</f>
        <v>0</v>
      </c>
      <c r="AC348" s="36">
        <f>SUM(U348:AB348)</f>
        <v>0</v>
      </c>
      <c r="AD348" s="36">
        <f>D348+SUM(M348:T348)</f>
        <v>0</v>
      </c>
    </row>
    <row r="349">
      <c r="B349" s="40" t="n">
        <v>51</v>
      </c>
      <c r="C349" s="36">
        <f>MAX(0,Sim_SomaParc+N(Sim_Extra)-D349)</f>
        <v>2790</v>
      </c>
      <c r="D349" s="36">
        <f>MIN(E$294,E349)+MIN(F$294,F349)+MIN(G$294,G349)+MIN(H$294,H349)+MIN(I$294,I349)+MIN(J$294,J349)+MIN(K$294,K349)+MIN(L$294,L349)</f>
        <v>0</v>
      </c>
      <c r="E349" s="36">
        <f>U348*(1+E$293)</f>
        <v>0</v>
      </c>
      <c r="F349" s="36">
        <f>V348*(1+F$293)</f>
        <v>0</v>
      </c>
      <c r="G349" s="36">
        <f>W348*(1+G$293)</f>
        <v>0</v>
      </c>
      <c r="H349" s="36">
        <f>X348*(1+H$293)</f>
        <v>0</v>
      </c>
      <c r="I349" s="36">
        <f>Y348*(1+I$293)</f>
        <v>0</v>
      </c>
      <c r="J349" s="36">
        <f>Z348*(1+J$293)</f>
        <v>0</v>
      </c>
      <c r="K349" s="36">
        <f>AA348*(1+K$293)</f>
        <v>0</v>
      </c>
      <c r="L349" s="36">
        <f>AB348*(1+L$293)</f>
        <v>0</v>
      </c>
      <c r="M349" s="36">
        <f>MIN(E349-MIN(E$294,E349),MAX(0,$C349-0))</f>
        <v>0</v>
      </c>
      <c r="N349" s="36">
        <f>MIN(F349-MIN(F$294,F349),MAX(0,$C349-SUM($M349:M349)))</f>
        <v>0</v>
      </c>
      <c r="O349" s="36">
        <f>MIN(G349-MIN(G$294,G349),MAX(0,$C349-SUM($M349:N349)))</f>
        <v>0</v>
      </c>
      <c r="P349" s="36">
        <f>MIN(H349-MIN(H$294,H349),MAX(0,$C349-SUM($M349:O349)))</f>
        <v>0</v>
      </c>
      <c r="Q349" s="36">
        <f>MIN(I349-MIN(I$294,I349),MAX(0,$C349-SUM($M349:P349)))</f>
        <v>0</v>
      </c>
      <c r="R349" s="36">
        <f>MIN(J349-MIN(J$294,J349),MAX(0,$C349-SUM($M349:Q349)))</f>
        <v>0</v>
      </c>
      <c r="S349" s="36">
        <f>MIN(K349-MIN(K$294,K349),MAX(0,$C349-SUM($M349:R349)))</f>
        <v>0</v>
      </c>
      <c r="T349" s="36">
        <f>MIN(L349-MIN(L$294,L349),MAX(0,$C349-SUM($M349:S349)))</f>
        <v>0</v>
      </c>
      <c r="U349" s="36">
        <f>IF(E349-MIN(E$294,E349)-M349&lt;0.005,0,E349-MIN(E$294,E349)-M349)</f>
        <v>0</v>
      </c>
      <c r="V349" s="36">
        <f>IF(F349-MIN(F$294,F349)-N349&lt;0.005,0,F349-MIN(F$294,F349)-N349)</f>
        <v>0</v>
      </c>
      <c r="W349" s="36">
        <f>IF(G349-MIN(G$294,G349)-O349&lt;0.005,0,G349-MIN(G$294,G349)-O349)</f>
        <v>0</v>
      </c>
      <c r="X349" s="36">
        <f>IF(H349-MIN(H$294,H349)-P349&lt;0.005,0,H349-MIN(H$294,H349)-P349)</f>
        <v>0</v>
      </c>
      <c r="Y349" s="36">
        <f>IF(I349-MIN(I$294,I349)-Q349&lt;0.005,0,I349-MIN(I$294,I349)-Q349)</f>
        <v>0</v>
      </c>
      <c r="Z349" s="36">
        <f>IF(J349-MIN(J$294,J349)-R349&lt;0.005,0,J349-MIN(J$294,J349)-R349)</f>
        <v>0</v>
      </c>
      <c r="AA349" s="36">
        <f>IF(K349-MIN(K$294,K349)-S349&lt;0.005,0,K349-MIN(K$294,K349)-S349)</f>
        <v>0</v>
      </c>
      <c r="AB349" s="36">
        <f>IF(L349-MIN(L$294,L349)-T349&lt;0.005,0,L349-MIN(L$294,L349)-T349)</f>
        <v>0</v>
      </c>
      <c r="AC349" s="36">
        <f>SUM(U349:AB349)</f>
        <v>0</v>
      </c>
      <c r="AD349" s="36">
        <f>D349+SUM(M349:T349)</f>
        <v>0</v>
      </c>
    </row>
    <row r="350">
      <c r="B350" s="40" t="n">
        <v>52</v>
      </c>
      <c r="C350" s="36">
        <f>MAX(0,Sim_SomaParc+N(Sim_Extra)-D350)</f>
        <v>2790</v>
      </c>
      <c r="D350" s="36">
        <f>MIN(E$294,E350)+MIN(F$294,F350)+MIN(G$294,G350)+MIN(H$294,H350)+MIN(I$294,I350)+MIN(J$294,J350)+MIN(K$294,K350)+MIN(L$294,L350)</f>
        <v>0</v>
      </c>
      <c r="E350" s="36">
        <f>U349*(1+E$293)</f>
        <v>0</v>
      </c>
      <c r="F350" s="36">
        <f>V349*(1+F$293)</f>
        <v>0</v>
      </c>
      <c r="G350" s="36">
        <f>W349*(1+G$293)</f>
        <v>0</v>
      </c>
      <c r="H350" s="36">
        <f>X349*(1+H$293)</f>
        <v>0</v>
      </c>
      <c r="I350" s="36">
        <f>Y349*(1+I$293)</f>
        <v>0</v>
      </c>
      <c r="J350" s="36">
        <f>Z349*(1+J$293)</f>
        <v>0</v>
      </c>
      <c r="K350" s="36">
        <f>AA349*(1+K$293)</f>
        <v>0</v>
      </c>
      <c r="L350" s="36">
        <f>AB349*(1+L$293)</f>
        <v>0</v>
      </c>
      <c r="M350" s="36">
        <f>MIN(E350-MIN(E$294,E350),MAX(0,$C350-0))</f>
        <v>0</v>
      </c>
      <c r="N350" s="36">
        <f>MIN(F350-MIN(F$294,F350),MAX(0,$C350-SUM($M350:M350)))</f>
        <v>0</v>
      </c>
      <c r="O350" s="36">
        <f>MIN(G350-MIN(G$294,G350),MAX(0,$C350-SUM($M350:N350)))</f>
        <v>0</v>
      </c>
      <c r="P350" s="36">
        <f>MIN(H350-MIN(H$294,H350),MAX(0,$C350-SUM($M350:O350)))</f>
        <v>0</v>
      </c>
      <c r="Q350" s="36">
        <f>MIN(I350-MIN(I$294,I350),MAX(0,$C350-SUM($M350:P350)))</f>
        <v>0</v>
      </c>
      <c r="R350" s="36">
        <f>MIN(J350-MIN(J$294,J350),MAX(0,$C350-SUM($M350:Q350)))</f>
        <v>0</v>
      </c>
      <c r="S350" s="36">
        <f>MIN(K350-MIN(K$294,K350),MAX(0,$C350-SUM($M350:R350)))</f>
        <v>0</v>
      </c>
      <c r="T350" s="36">
        <f>MIN(L350-MIN(L$294,L350),MAX(0,$C350-SUM($M350:S350)))</f>
        <v>0</v>
      </c>
      <c r="U350" s="36">
        <f>IF(E350-MIN(E$294,E350)-M350&lt;0.005,0,E350-MIN(E$294,E350)-M350)</f>
        <v>0</v>
      </c>
      <c r="V350" s="36">
        <f>IF(F350-MIN(F$294,F350)-N350&lt;0.005,0,F350-MIN(F$294,F350)-N350)</f>
        <v>0</v>
      </c>
      <c r="W350" s="36">
        <f>IF(G350-MIN(G$294,G350)-O350&lt;0.005,0,G350-MIN(G$294,G350)-O350)</f>
        <v>0</v>
      </c>
      <c r="X350" s="36">
        <f>IF(H350-MIN(H$294,H350)-P350&lt;0.005,0,H350-MIN(H$294,H350)-P350)</f>
        <v>0</v>
      </c>
      <c r="Y350" s="36">
        <f>IF(I350-MIN(I$294,I350)-Q350&lt;0.005,0,I350-MIN(I$294,I350)-Q350)</f>
        <v>0</v>
      </c>
      <c r="Z350" s="36">
        <f>IF(J350-MIN(J$294,J350)-R350&lt;0.005,0,J350-MIN(J$294,J350)-R350)</f>
        <v>0</v>
      </c>
      <c r="AA350" s="36">
        <f>IF(K350-MIN(K$294,K350)-S350&lt;0.005,0,K350-MIN(K$294,K350)-S350)</f>
        <v>0</v>
      </c>
      <c r="AB350" s="36">
        <f>IF(L350-MIN(L$294,L350)-T350&lt;0.005,0,L350-MIN(L$294,L350)-T350)</f>
        <v>0</v>
      </c>
      <c r="AC350" s="36">
        <f>SUM(U350:AB350)</f>
        <v>0</v>
      </c>
      <c r="AD350" s="36">
        <f>D350+SUM(M350:T350)</f>
        <v>0</v>
      </c>
    </row>
    <row r="351">
      <c r="B351" s="40" t="n">
        <v>53</v>
      </c>
      <c r="C351" s="36">
        <f>MAX(0,Sim_SomaParc+N(Sim_Extra)-D351)</f>
        <v>2790</v>
      </c>
      <c r="D351" s="36">
        <f>MIN(E$294,E351)+MIN(F$294,F351)+MIN(G$294,G351)+MIN(H$294,H351)+MIN(I$294,I351)+MIN(J$294,J351)+MIN(K$294,K351)+MIN(L$294,L351)</f>
        <v>0</v>
      </c>
      <c r="E351" s="36">
        <f>U350*(1+E$293)</f>
        <v>0</v>
      </c>
      <c r="F351" s="36">
        <f>V350*(1+F$293)</f>
        <v>0</v>
      </c>
      <c r="G351" s="36">
        <f>W350*(1+G$293)</f>
        <v>0</v>
      </c>
      <c r="H351" s="36">
        <f>X350*(1+H$293)</f>
        <v>0</v>
      </c>
      <c r="I351" s="36">
        <f>Y350*(1+I$293)</f>
        <v>0</v>
      </c>
      <c r="J351" s="36">
        <f>Z350*(1+J$293)</f>
        <v>0</v>
      </c>
      <c r="K351" s="36">
        <f>AA350*(1+K$293)</f>
        <v>0</v>
      </c>
      <c r="L351" s="36">
        <f>AB350*(1+L$293)</f>
        <v>0</v>
      </c>
      <c r="M351" s="36">
        <f>MIN(E351-MIN(E$294,E351),MAX(0,$C351-0))</f>
        <v>0</v>
      </c>
      <c r="N351" s="36">
        <f>MIN(F351-MIN(F$294,F351),MAX(0,$C351-SUM($M351:M351)))</f>
        <v>0</v>
      </c>
      <c r="O351" s="36">
        <f>MIN(G351-MIN(G$294,G351),MAX(0,$C351-SUM($M351:N351)))</f>
        <v>0</v>
      </c>
      <c r="P351" s="36">
        <f>MIN(H351-MIN(H$294,H351),MAX(0,$C351-SUM($M351:O351)))</f>
        <v>0</v>
      </c>
      <c r="Q351" s="36">
        <f>MIN(I351-MIN(I$294,I351),MAX(0,$C351-SUM($M351:P351)))</f>
        <v>0</v>
      </c>
      <c r="R351" s="36">
        <f>MIN(J351-MIN(J$294,J351),MAX(0,$C351-SUM($M351:Q351)))</f>
        <v>0</v>
      </c>
      <c r="S351" s="36">
        <f>MIN(K351-MIN(K$294,K351),MAX(0,$C351-SUM($M351:R351)))</f>
        <v>0</v>
      </c>
      <c r="T351" s="36">
        <f>MIN(L351-MIN(L$294,L351),MAX(0,$C351-SUM($M351:S351)))</f>
        <v>0</v>
      </c>
      <c r="U351" s="36">
        <f>IF(E351-MIN(E$294,E351)-M351&lt;0.005,0,E351-MIN(E$294,E351)-M351)</f>
        <v>0</v>
      </c>
      <c r="V351" s="36">
        <f>IF(F351-MIN(F$294,F351)-N351&lt;0.005,0,F351-MIN(F$294,F351)-N351)</f>
        <v>0</v>
      </c>
      <c r="W351" s="36">
        <f>IF(G351-MIN(G$294,G351)-O351&lt;0.005,0,G351-MIN(G$294,G351)-O351)</f>
        <v>0</v>
      </c>
      <c r="X351" s="36">
        <f>IF(H351-MIN(H$294,H351)-P351&lt;0.005,0,H351-MIN(H$294,H351)-P351)</f>
        <v>0</v>
      </c>
      <c r="Y351" s="36">
        <f>IF(I351-MIN(I$294,I351)-Q351&lt;0.005,0,I351-MIN(I$294,I351)-Q351)</f>
        <v>0</v>
      </c>
      <c r="Z351" s="36">
        <f>IF(J351-MIN(J$294,J351)-R351&lt;0.005,0,J351-MIN(J$294,J351)-R351)</f>
        <v>0</v>
      </c>
      <c r="AA351" s="36">
        <f>IF(K351-MIN(K$294,K351)-S351&lt;0.005,0,K351-MIN(K$294,K351)-S351)</f>
        <v>0</v>
      </c>
      <c r="AB351" s="36">
        <f>IF(L351-MIN(L$294,L351)-T351&lt;0.005,0,L351-MIN(L$294,L351)-T351)</f>
        <v>0</v>
      </c>
      <c r="AC351" s="36">
        <f>SUM(U351:AB351)</f>
        <v>0</v>
      </c>
      <c r="AD351" s="36">
        <f>D351+SUM(M351:T351)</f>
        <v>0</v>
      </c>
    </row>
    <row r="352">
      <c r="B352" s="40" t="n">
        <v>54</v>
      </c>
      <c r="C352" s="36">
        <f>MAX(0,Sim_SomaParc+N(Sim_Extra)-D352)</f>
        <v>2790</v>
      </c>
      <c r="D352" s="36">
        <f>MIN(E$294,E352)+MIN(F$294,F352)+MIN(G$294,G352)+MIN(H$294,H352)+MIN(I$294,I352)+MIN(J$294,J352)+MIN(K$294,K352)+MIN(L$294,L352)</f>
        <v>0</v>
      </c>
      <c r="E352" s="36">
        <f>U351*(1+E$293)</f>
        <v>0</v>
      </c>
      <c r="F352" s="36">
        <f>V351*(1+F$293)</f>
        <v>0</v>
      </c>
      <c r="G352" s="36">
        <f>W351*(1+G$293)</f>
        <v>0</v>
      </c>
      <c r="H352" s="36">
        <f>X351*(1+H$293)</f>
        <v>0</v>
      </c>
      <c r="I352" s="36">
        <f>Y351*(1+I$293)</f>
        <v>0</v>
      </c>
      <c r="J352" s="36">
        <f>Z351*(1+J$293)</f>
        <v>0</v>
      </c>
      <c r="K352" s="36">
        <f>AA351*(1+K$293)</f>
        <v>0</v>
      </c>
      <c r="L352" s="36">
        <f>AB351*(1+L$293)</f>
        <v>0</v>
      </c>
      <c r="M352" s="36">
        <f>MIN(E352-MIN(E$294,E352),MAX(0,$C352-0))</f>
        <v>0</v>
      </c>
      <c r="N352" s="36">
        <f>MIN(F352-MIN(F$294,F352),MAX(0,$C352-SUM($M352:M352)))</f>
        <v>0</v>
      </c>
      <c r="O352" s="36">
        <f>MIN(G352-MIN(G$294,G352),MAX(0,$C352-SUM($M352:N352)))</f>
        <v>0</v>
      </c>
      <c r="P352" s="36">
        <f>MIN(H352-MIN(H$294,H352),MAX(0,$C352-SUM($M352:O352)))</f>
        <v>0</v>
      </c>
      <c r="Q352" s="36">
        <f>MIN(I352-MIN(I$294,I352),MAX(0,$C352-SUM($M352:P352)))</f>
        <v>0</v>
      </c>
      <c r="R352" s="36">
        <f>MIN(J352-MIN(J$294,J352),MAX(0,$C352-SUM($M352:Q352)))</f>
        <v>0</v>
      </c>
      <c r="S352" s="36">
        <f>MIN(K352-MIN(K$294,K352),MAX(0,$C352-SUM($M352:R352)))</f>
        <v>0</v>
      </c>
      <c r="T352" s="36">
        <f>MIN(L352-MIN(L$294,L352),MAX(0,$C352-SUM($M352:S352)))</f>
        <v>0</v>
      </c>
      <c r="U352" s="36">
        <f>IF(E352-MIN(E$294,E352)-M352&lt;0.005,0,E352-MIN(E$294,E352)-M352)</f>
        <v>0</v>
      </c>
      <c r="V352" s="36">
        <f>IF(F352-MIN(F$294,F352)-N352&lt;0.005,0,F352-MIN(F$294,F352)-N352)</f>
        <v>0</v>
      </c>
      <c r="W352" s="36">
        <f>IF(G352-MIN(G$294,G352)-O352&lt;0.005,0,G352-MIN(G$294,G352)-O352)</f>
        <v>0</v>
      </c>
      <c r="X352" s="36">
        <f>IF(H352-MIN(H$294,H352)-P352&lt;0.005,0,H352-MIN(H$294,H352)-P352)</f>
        <v>0</v>
      </c>
      <c r="Y352" s="36">
        <f>IF(I352-MIN(I$294,I352)-Q352&lt;0.005,0,I352-MIN(I$294,I352)-Q352)</f>
        <v>0</v>
      </c>
      <c r="Z352" s="36">
        <f>IF(J352-MIN(J$294,J352)-R352&lt;0.005,0,J352-MIN(J$294,J352)-R352)</f>
        <v>0</v>
      </c>
      <c r="AA352" s="36">
        <f>IF(K352-MIN(K$294,K352)-S352&lt;0.005,0,K352-MIN(K$294,K352)-S352)</f>
        <v>0</v>
      </c>
      <c r="AB352" s="36">
        <f>IF(L352-MIN(L$294,L352)-T352&lt;0.005,0,L352-MIN(L$294,L352)-T352)</f>
        <v>0</v>
      </c>
      <c r="AC352" s="36">
        <f>SUM(U352:AB352)</f>
        <v>0</v>
      </c>
      <c r="AD352" s="36">
        <f>D352+SUM(M352:T352)</f>
        <v>0</v>
      </c>
    </row>
    <row r="353">
      <c r="B353" s="40" t="n">
        <v>55</v>
      </c>
      <c r="C353" s="36">
        <f>MAX(0,Sim_SomaParc+N(Sim_Extra)-D353)</f>
        <v>2790</v>
      </c>
      <c r="D353" s="36">
        <f>MIN(E$294,E353)+MIN(F$294,F353)+MIN(G$294,G353)+MIN(H$294,H353)+MIN(I$294,I353)+MIN(J$294,J353)+MIN(K$294,K353)+MIN(L$294,L353)</f>
        <v>0</v>
      </c>
      <c r="E353" s="36">
        <f>U352*(1+E$293)</f>
        <v>0</v>
      </c>
      <c r="F353" s="36">
        <f>V352*(1+F$293)</f>
        <v>0</v>
      </c>
      <c r="G353" s="36">
        <f>W352*(1+G$293)</f>
        <v>0</v>
      </c>
      <c r="H353" s="36">
        <f>X352*(1+H$293)</f>
        <v>0</v>
      </c>
      <c r="I353" s="36">
        <f>Y352*(1+I$293)</f>
        <v>0</v>
      </c>
      <c r="J353" s="36">
        <f>Z352*(1+J$293)</f>
        <v>0</v>
      </c>
      <c r="K353" s="36">
        <f>AA352*(1+K$293)</f>
        <v>0</v>
      </c>
      <c r="L353" s="36">
        <f>AB352*(1+L$293)</f>
        <v>0</v>
      </c>
      <c r="M353" s="36">
        <f>MIN(E353-MIN(E$294,E353),MAX(0,$C353-0))</f>
        <v>0</v>
      </c>
      <c r="N353" s="36">
        <f>MIN(F353-MIN(F$294,F353),MAX(0,$C353-SUM($M353:M353)))</f>
        <v>0</v>
      </c>
      <c r="O353" s="36">
        <f>MIN(G353-MIN(G$294,G353),MAX(0,$C353-SUM($M353:N353)))</f>
        <v>0</v>
      </c>
      <c r="P353" s="36">
        <f>MIN(H353-MIN(H$294,H353),MAX(0,$C353-SUM($M353:O353)))</f>
        <v>0</v>
      </c>
      <c r="Q353" s="36">
        <f>MIN(I353-MIN(I$294,I353),MAX(0,$C353-SUM($M353:P353)))</f>
        <v>0</v>
      </c>
      <c r="R353" s="36">
        <f>MIN(J353-MIN(J$294,J353),MAX(0,$C353-SUM($M353:Q353)))</f>
        <v>0</v>
      </c>
      <c r="S353" s="36">
        <f>MIN(K353-MIN(K$294,K353),MAX(0,$C353-SUM($M353:R353)))</f>
        <v>0</v>
      </c>
      <c r="T353" s="36">
        <f>MIN(L353-MIN(L$294,L353),MAX(0,$C353-SUM($M353:S353)))</f>
        <v>0</v>
      </c>
      <c r="U353" s="36">
        <f>IF(E353-MIN(E$294,E353)-M353&lt;0.005,0,E353-MIN(E$294,E353)-M353)</f>
        <v>0</v>
      </c>
      <c r="V353" s="36">
        <f>IF(F353-MIN(F$294,F353)-N353&lt;0.005,0,F353-MIN(F$294,F353)-N353)</f>
        <v>0</v>
      </c>
      <c r="W353" s="36">
        <f>IF(G353-MIN(G$294,G353)-O353&lt;0.005,0,G353-MIN(G$294,G353)-O353)</f>
        <v>0</v>
      </c>
      <c r="X353" s="36">
        <f>IF(H353-MIN(H$294,H353)-P353&lt;0.005,0,H353-MIN(H$294,H353)-P353)</f>
        <v>0</v>
      </c>
      <c r="Y353" s="36">
        <f>IF(I353-MIN(I$294,I353)-Q353&lt;0.005,0,I353-MIN(I$294,I353)-Q353)</f>
        <v>0</v>
      </c>
      <c r="Z353" s="36">
        <f>IF(J353-MIN(J$294,J353)-R353&lt;0.005,0,J353-MIN(J$294,J353)-R353)</f>
        <v>0</v>
      </c>
      <c r="AA353" s="36">
        <f>IF(K353-MIN(K$294,K353)-S353&lt;0.005,0,K353-MIN(K$294,K353)-S353)</f>
        <v>0</v>
      </c>
      <c r="AB353" s="36">
        <f>IF(L353-MIN(L$294,L353)-T353&lt;0.005,0,L353-MIN(L$294,L353)-T353)</f>
        <v>0</v>
      </c>
      <c r="AC353" s="36">
        <f>SUM(U353:AB353)</f>
        <v>0</v>
      </c>
      <c r="AD353" s="36">
        <f>D353+SUM(M353:T353)</f>
        <v>0</v>
      </c>
    </row>
    <row r="354">
      <c r="B354" s="40" t="n">
        <v>56</v>
      </c>
      <c r="C354" s="36">
        <f>MAX(0,Sim_SomaParc+N(Sim_Extra)-D354)</f>
        <v>2790</v>
      </c>
      <c r="D354" s="36">
        <f>MIN(E$294,E354)+MIN(F$294,F354)+MIN(G$294,G354)+MIN(H$294,H354)+MIN(I$294,I354)+MIN(J$294,J354)+MIN(K$294,K354)+MIN(L$294,L354)</f>
        <v>0</v>
      </c>
      <c r="E354" s="36">
        <f>U353*(1+E$293)</f>
        <v>0</v>
      </c>
      <c r="F354" s="36">
        <f>V353*(1+F$293)</f>
        <v>0</v>
      </c>
      <c r="G354" s="36">
        <f>W353*(1+G$293)</f>
        <v>0</v>
      </c>
      <c r="H354" s="36">
        <f>X353*(1+H$293)</f>
        <v>0</v>
      </c>
      <c r="I354" s="36">
        <f>Y353*(1+I$293)</f>
        <v>0</v>
      </c>
      <c r="J354" s="36">
        <f>Z353*(1+J$293)</f>
        <v>0</v>
      </c>
      <c r="K354" s="36">
        <f>AA353*(1+K$293)</f>
        <v>0</v>
      </c>
      <c r="L354" s="36">
        <f>AB353*(1+L$293)</f>
        <v>0</v>
      </c>
      <c r="M354" s="36">
        <f>MIN(E354-MIN(E$294,E354),MAX(0,$C354-0))</f>
        <v>0</v>
      </c>
      <c r="N354" s="36">
        <f>MIN(F354-MIN(F$294,F354),MAX(0,$C354-SUM($M354:M354)))</f>
        <v>0</v>
      </c>
      <c r="O354" s="36">
        <f>MIN(G354-MIN(G$294,G354),MAX(0,$C354-SUM($M354:N354)))</f>
        <v>0</v>
      </c>
      <c r="P354" s="36">
        <f>MIN(H354-MIN(H$294,H354),MAX(0,$C354-SUM($M354:O354)))</f>
        <v>0</v>
      </c>
      <c r="Q354" s="36">
        <f>MIN(I354-MIN(I$294,I354),MAX(0,$C354-SUM($M354:P354)))</f>
        <v>0</v>
      </c>
      <c r="R354" s="36">
        <f>MIN(J354-MIN(J$294,J354),MAX(0,$C354-SUM($M354:Q354)))</f>
        <v>0</v>
      </c>
      <c r="S354" s="36">
        <f>MIN(K354-MIN(K$294,K354),MAX(0,$C354-SUM($M354:R354)))</f>
        <v>0</v>
      </c>
      <c r="T354" s="36">
        <f>MIN(L354-MIN(L$294,L354),MAX(0,$C354-SUM($M354:S354)))</f>
        <v>0</v>
      </c>
      <c r="U354" s="36">
        <f>IF(E354-MIN(E$294,E354)-M354&lt;0.005,0,E354-MIN(E$294,E354)-M354)</f>
        <v>0</v>
      </c>
      <c r="V354" s="36">
        <f>IF(F354-MIN(F$294,F354)-N354&lt;0.005,0,F354-MIN(F$294,F354)-N354)</f>
        <v>0</v>
      </c>
      <c r="W354" s="36">
        <f>IF(G354-MIN(G$294,G354)-O354&lt;0.005,0,G354-MIN(G$294,G354)-O354)</f>
        <v>0</v>
      </c>
      <c r="X354" s="36">
        <f>IF(H354-MIN(H$294,H354)-P354&lt;0.005,0,H354-MIN(H$294,H354)-P354)</f>
        <v>0</v>
      </c>
      <c r="Y354" s="36">
        <f>IF(I354-MIN(I$294,I354)-Q354&lt;0.005,0,I354-MIN(I$294,I354)-Q354)</f>
        <v>0</v>
      </c>
      <c r="Z354" s="36">
        <f>IF(J354-MIN(J$294,J354)-R354&lt;0.005,0,J354-MIN(J$294,J354)-R354)</f>
        <v>0</v>
      </c>
      <c r="AA354" s="36">
        <f>IF(K354-MIN(K$294,K354)-S354&lt;0.005,0,K354-MIN(K$294,K354)-S354)</f>
        <v>0</v>
      </c>
      <c r="AB354" s="36">
        <f>IF(L354-MIN(L$294,L354)-T354&lt;0.005,0,L354-MIN(L$294,L354)-T354)</f>
        <v>0</v>
      </c>
      <c r="AC354" s="36">
        <f>SUM(U354:AB354)</f>
        <v>0</v>
      </c>
      <c r="AD354" s="36">
        <f>D354+SUM(M354:T354)</f>
        <v>0</v>
      </c>
    </row>
    <row r="355">
      <c r="B355" s="40" t="n">
        <v>57</v>
      </c>
      <c r="C355" s="36">
        <f>MAX(0,Sim_SomaParc+N(Sim_Extra)-D355)</f>
        <v>2790</v>
      </c>
      <c r="D355" s="36">
        <f>MIN(E$294,E355)+MIN(F$294,F355)+MIN(G$294,G355)+MIN(H$294,H355)+MIN(I$294,I355)+MIN(J$294,J355)+MIN(K$294,K355)+MIN(L$294,L355)</f>
        <v>0</v>
      </c>
      <c r="E355" s="36">
        <f>U354*(1+E$293)</f>
        <v>0</v>
      </c>
      <c r="F355" s="36">
        <f>V354*(1+F$293)</f>
        <v>0</v>
      </c>
      <c r="G355" s="36">
        <f>W354*(1+G$293)</f>
        <v>0</v>
      </c>
      <c r="H355" s="36">
        <f>X354*(1+H$293)</f>
        <v>0</v>
      </c>
      <c r="I355" s="36">
        <f>Y354*(1+I$293)</f>
        <v>0</v>
      </c>
      <c r="J355" s="36">
        <f>Z354*(1+J$293)</f>
        <v>0</v>
      </c>
      <c r="K355" s="36">
        <f>AA354*(1+K$293)</f>
        <v>0</v>
      </c>
      <c r="L355" s="36">
        <f>AB354*(1+L$293)</f>
        <v>0</v>
      </c>
      <c r="M355" s="36">
        <f>MIN(E355-MIN(E$294,E355),MAX(0,$C355-0))</f>
        <v>0</v>
      </c>
      <c r="N355" s="36">
        <f>MIN(F355-MIN(F$294,F355),MAX(0,$C355-SUM($M355:M355)))</f>
        <v>0</v>
      </c>
      <c r="O355" s="36">
        <f>MIN(G355-MIN(G$294,G355),MAX(0,$C355-SUM($M355:N355)))</f>
        <v>0</v>
      </c>
      <c r="P355" s="36">
        <f>MIN(H355-MIN(H$294,H355),MAX(0,$C355-SUM($M355:O355)))</f>
        <v>0</v>
      </c>
      <c r="Q355" s="36">
        <f>MIN(I355-MIN(I$294,I355),MAX(0,$C355-SUM($M355:P355)))</f>
        <v>0</v>
      </c>
      <c r="R355" s="36">
        <f>MIN(J355-MIN(J$294,J355),MAX(0,$C355-SUM($M355:Q355)))</f>
        <v>0</v>
      </c>
      <c r="S355" s="36">
        <f>MIN(K355-MIN(K$294,K355),MAX(0,$C355-SUM($M355:R355)))</f>
        <v>0</v>
      </c>
      <c r="T355" s="36">
        <f>MIN(L355-MIN(L$294,L355),MAX(0,$C355-SUM($M355:S355)))</f>
        <v>0</v>
      </c>
      <c r="U355" s="36">
        <f>IF(E355-MIN(E$294,E355)-M355&lt;0.005,0,E355-MIN(E$294,E355)-M355)</f>
        <v>0</v>
      </c>
      <c r="V355" s="36">
        <f>IF(F355-MIN(F$294,F355)-N355&lt;0.005,0,F355-MIN(F$294,F355)-N355)</f>
        <v>0</v>
      </c>
      <c r="W355" s="36">
        <f>IF(G355-MIN(G$294,G355)-O355&lt;0.005,0,G355-MIN(G$294,G355)-O355)</f>
        <v>0</v>
      </c>
      <c r="X355" s="36">
        <f>IF(H355-MIN(H$294,H355)-P355&lt;0.005,0,H355-MIN(H$294,H355)-P355)</f>
        <v>0</v>
      </c>
      <c r="Y355" s="36">
        <f>IF(I355-MIN(I$294,I355)-Q355&lt;0.005,0,I355-MIN(I$294,I355)-Q355)</f>
        <v>0</v>
      </c>
      <c r="Z355" s="36">
        <f>IF(J355-MIN(J$294,J355)-R355&lt;0.005,0,J355-MIN(J$294,J355)-R355)</f>
        <v>0</v>
      </c>
      <c r="AA355" s="36">
        <f>IF(K355-MIN(K$294,K355)-S355&lt;0.005,0,K355-MIN(K$294,K355)-S355)</f>
        <v>0</v>
      </c>
      <c r="AB355" s="36">
        <f>IF(L355-MIN(L$294,L355)-T355&lt;0.005,0,L355-MIN(L$294,L355)-T355)</f>
        <v>0</v>
      </c>
      <c r="AC355" s="36">
        <f>SUM(U355:AB355)</f>
        <v>0</v>
      </c>
      <c r="AD355" s="36">
        <f>D355+SUM(M355:T355)</f>
        <v>0</v>
      </c>
    </row>
    <row r="356">
      <c r="B356" s="40" t="n">
        <v>58</v>
      </c>
      <c r="C356" s="36">
        <f>MAX(0,Sim_SomaParc+N(Sim_Extra)-D356)</f>
        <v>2790</v>
      </c>
      <c r="D356" s="36">
        <f>MIN(E$294,E356)+MIN(F$294,F356)+MIN(G$294,G356)+MIN(H$294,H356)+MIN(I$294,I356)+MIN(J$294,J356)+MIN(K$294,K356)+MIN(L$294,L356)</f>
        <v>0</v>
      </c>
      <c r="E356" s="36">
        <f>U355*(1+E$293)</f>
        <v>0</v>
      </c>
      <c r="F356" s="36">
        <f>V355*(1+F$293)</f>
        <v>0</v>
      </c>
      <c r="G356" s="36">
        <f>W355*(1+G$293)</f>
        <v>0</v>
      </c>
      <c r="H356" s="36">
        <f>X355*(1+H$293)</f>
        <v>0</v>
      </c>
      <c r="I356" s="36">
        <f>Y355*(1+I$293)</f>
        <v>0</v>
      </c>
      <c r="J356" s="36">
        <f>Z355*(1+J$293)</f>
        <v>0</v>
      </c>
      <c r="K356" s="36">
        <f>AA355*(1+K$293)</f>
        <v>0</v>
      </c>
      <c r="L356" s="36">
        <f>AB355*(1+L$293)</f>
        <v>0</v>
      </c>
      <c r="M356" s="36">
        <f>MIN(E356-MIN(E$294,E356),MAX(0,$C356-0))</f>
        <v>0</v>
      </c>
      <c r="N356" s="36">
        <f>MIN(F356-MIN(F$294,F356),MAX(0,$C356-SUM($M356:M356)))</f>
        <v>0</v>
      </c>
      <c r="O356" s="36">
        <f>MIN(G356-MIN(G$294,G356),MAX(0,$C356-SUM($M356:N356)))</f>
        <v>0</v>
      </c>
      <c r="P356" s="36">
        <f>MIN(H356-MIN(H$294,H356),MAX(0,$C356-SUM($M356:O356)))</f>
        <v>0</v>
      </c>
      <c r="Q356" s="36">
        <f>MIN(I356-MIN(I$294,I356),MAX(0,$C356-SUM($M356:P356)))</f>
        <v>0</v>
      </c>
      <c r="R356" s="36">
        <f>MIN(J356-MIN(J$294,J356),MAX(0,$C356-SUM($M356:Q356)))</f>
        <v>0</v>
      </c>
      <c r="S356" s="36">
        <f>MIN(K356-MIN(K$294,K356),MAX(0,$C356-SUM($M356:R356)))</f>
        <v>0</v>
      </c>
      <c r="T356" s="36">
        <f>MIN(L356-MIN(L$294,L356),MAX(0,$C356-SUM($M356:S356)))</f>
        <v>0</v>
      </c>
      <c r="U356" s="36">
        <f>IF(E356-MIN(E$294,E356)-M356&lt;0.005,0,E356-MIN(E$294,E356)-M356)</f>
        <v>0</v>
      </c>
      <c r="V356" s="36">
        <f>IF(F356-MIN(F$294,F356)-N356&lt;0.005,0,F356-MIN(F$294,F356)-N356)</f>
        <v>0</v>
      </c>
      <c r="W356" s="36">
        <f>IF(G356-MIN(G$294,G356)-O356&lt;0.005,0,G356-MIN(G$294,G356)-O356)</f>
        <v>0</v>
      </c>
      <c r="X356" s="36">
        <f>IF(H356-MIN(H$294,H356)-P356&lt;0.005,0,H356-MIN(H$294,H356)-P356)</f>
        <v>0</v>
      </c>
      <c r="Y356" s="36">
        <f>IF(I356-MIN(I$294,I356)-Q356&lt;0.005,0,I356-MIN(I$294,I356)-Q356)</f>
        <v>0</v>
      </c>
      <c r="Z356" s="36">
        <f>IF(J356-MIN(J$294,J356)-R356&lt;0.005,0,J356-MIN(J$294,J356)-R356)</f>
        <v>0</v>
      </c>
      <c r="AA356" s="36">
        <f>IF(K356-MIN(K$294,K356)-S356&lt;0.005,0,K356-MIN(K$294,K356)-S356)</f>
        <v>0</v>
      </c>
      <c r="AB356" s="36">
        <f>IF(L356-MIN(L$294,L356)-T356&lt;0.005,0,L356-MIN(L$294,L356)-T356)</f>
        <v>0</v>
      </c>
      <c r="AC356" s="36">
        <f>SUM(U356:AB356)</f>
        <v>0</v>
      </c>
      <c r="AD356" s="36">
        <f>D356+SUM(M356:T356)</f>
        <v>0</v>
      </c>
    </row>
    <row r="357">
      <c r="B357" s="40" t="n">
        <v>59</v>
      </c>
      <c r="C357" s="36">
        <f>MAX(0,Sim_SomaParc+N(Sim_Extra)-D357)</f>
        <v>2790</v>
      </c>
      <c r="D357" s="36">
        <f>MIN(E$294,E357)+MIN(F$294,F357)+MIN(G$294,G357)+MIN(H$294,H357)+MIN(I$294,I357)+MIN(J$294,J357)+MIN(K$294,K357)+MIN(L$294,L357)</f>
        <v>0</v>
      </c>
      <c r="E357" s="36">
        <f>U356*(1+E$293)</f>
        <v>0</v>
      </c>
      <c r="F357" s="36">
        <f>V356*(1+F$293)</f>
        <v>0</v>
      </c>
      <c r="G357" s="36">
        <f>W356*(1+G$293)</f>
        <v>0</v>
      </c>
      <c r="H357" s="36">
        <f>X356*(1+H$293)</f>
        <v>0</v>
      </c>
      <c r="I357" s="36">
        <f>Y356*(1+I$293)</f>
        <v>0</v>
      </c>
      <c r="J357" s="36">
        <f>Z356*(1+J$293)</f>
        <v>0</v>
      </c>
      <c r="K357" s="36">
        <f>AA356*(1+K$293)</f>
        <v>0</v>
      </c>
      <c r="L357" s="36">
        <f>AB356*(1+L$293)</f>
        <v>0</v>
      </c>
      <c r="M357" s="36">
        <f>MIN(E357-MIN(E$294,E357),MAX(0,$C357-0))</f>
        <v>0</v>
      </c>
      <c r="N357" s="36">
        <f>MIN(F357-MIN(F$294,F357),MAX(0,$C357-SUM($M357:M357)))</f>
        <v>0</v>
      </c>
      <c r="O357" s="36">
        <f>MIN(G357-MIN(G$294,G357),MAX(0,$C357-SUM($M357:N357)))</f>
        <v>0</v>
      </c>
      <c r="P357" s="36">
        <f>MIN(H357-MIN(H$294,H357),MAX(0,$C357-SUM($M357:O357)))</f>
        <v>0</v>
      </c>
      <c r="Q357" s="36">
        <f>MIN(I357-MIN(I$294,I357),MAX(0,$C357-SUM($M357:P357)))</f>
        <v>0</v>
      </c>
      <c r="R357" s="36">
        <f>MIN(J357-MIN(J$294,J357),MAX(0,$C357-SUM($M357:Q357)))</f>
        <v>0</v>
      </c>
      <c r="S357" s="36">
        <f>MIN(K357-MIN(K$294,K357),MAX(0,$C357-SUM($M357:R357)))</f>
        <v>0</v>
      </c>
      <c r="T357" s="36">
        <f>MIN(L357-MIN(L$294,L357),MAX(0,$C357-SUM($M357:S357)))</f>
        <v>0</v>
      </c>
      <c r="U357" s="36">
        <f>IF(E357-MIN(E$294,E357)-M357&lt;0.005,0,E357-MIN(E$294,E357)-M357)</f>
        <v>0</v>
      </c>
      <c r="V357" s="36">
        <f>IF(F357-MIN(F$294,F357)-N357&lt;0.005,0,F357-MIN(F$294,F357)-N357)</f>
        <v>0</v>
      </c>
      <c r="W357" s="36">
        <f>IF(G357-MIN(G$294,G357)-O357&lt;0.005,0,G357-MIN(G$294,G357)-O357)</f>
        <v>0</v>
      </c>
      <c r="X357" s="36">
        <f>IF(H357-MIN(H$294,H357)-P357&lt;0.005,0,H357-MIN(H$294,H357)-P357)</f>
        <v>0</v>
      </c>
      <c r="Y357" s="36">
        <f>IF(I357-MIN(I$294,I357)-Q357&lt;0.005,0,I357-MIN(I$294,I357)-Q357)</f>
        <v>0</v>
      </c>
      <c r="Z357" s="36">
        <f>IF(J357-MIN(J$294,J357)-R357&lt;0.005,0,J357-MIN(J$294,J357)-R357)</f>
        <v>0</v>
      </c>
      <c r="AA357" s="36">
        <f>IF(K357-MIN(K$294,K357)-S357&lt;0.005,0,K357-MIN(K$294,K357)-S357)</f>
        <v>0</v>
      </c>
      <c r="AB357" s="36">
        <f>IF(L357-MIN(L$294,L357)-T357&lt;0.005,0,L357-MIN(L$294,L357)-T357)</f>
        <v>0</v>
      </c>
      <c r="AC357" s="36">
        <f>SUM(U357:AB357)</f>
        <v>0</v>
      </c>
      <c r="AD357" s="36">
        <f>D357+SUM(M357:T357)</f>
        <v>0</v>
      </c>
    </row>
    <row r="358">
      <c r="B358" s="40" t="n">
        <v>60</v>
      </c>
      <c r="C358" s="36">
        <f>MAX(0,Sim_SomaParc+N(Sim_Extra)-D358)</f>
        <v>2790</v>
      </c>
      <c r="D358" s="36">
        <f>MIN(E$294,E358)+MIN(F$294,F358)+MIN(G$294,G358)+MIN(H$294,H358)+MIN(I$294,I358)+MIN(J$294,J358)+MIN(K$294,K358)+MIN(L$294,L358)</f>
        <v>0</v>
      </c>
      <c r="E358" s="36">
        <f>U357*(1+E$293)</f>
        <v>0</v>
      </c>
      <c r="F358" s="36">
        <f>V357*(1+F$293)</f>
        <v>0</v>
      </c>
      <c r="G358" s="36">
        <f>W357*(1+G$293)</f>
        <v>0</v>
      </c>
      <c r="H358" s="36">
        <f>X357*(1+H$293)</f>
        <v>0</v>
      </c>
      <c r="I358" s="36">
        <f>Y357*(1+I$293)</f>
        <v>0</v>
      </c>
      <c r="J358" s="36">
        <f>Z357*(1+J$293)</f>
        <v>0</v>
      </c>
      <c r="K358" s="36">
        <f>AA357*(1+K$293)</f>
        <v>0</v>
      </c>
      <c r="L358" s="36">
        <f>AB357*(1+L$293)</f>
        <v>0</v>
      </c>
      <c r="M358" s="36">
        <f>MIN(E358-MIN(E$294,E358),MAX(0,$C358-0))</f>
        <v>0</v>
      </c>
      <c r="N358" s="36">
        <f>MIN(F358-MIN(F$294,F358),MAX(0,$C358-SUM($M358:M358)))</f>
        <v>0</v>
      </c>
      <c r="O358" s="36">
        <f>MIN(G358-MIN(G$294,G358),MAX(0,$C358-SUM($M358:N358)))</f>
        <v>0</v>
      </c>
      <c r="P358" s="36">
        <f>MIN(H358-MIN(H$294,H358),MAX(0,$C358-SUM($M358:O358)))</f>
        <v>0</v>
      </c>
      <c r="Q358" s="36">
        <f>MIN(I358-MIN(I$294,I358),MAX(0,$C358-SUM($M358:P358)))</f>
        <v>0</v>
      </c>
      <c r="R358" s="36">
        <f>MIN(J358-MIN(J$294,J358),MAX(0,$C358-SUM($M358:Q358)))</f>
        <v>0</v>
      </c>
      <c r="S358" s="36">
        <f>MIN(K358-MIN(K$294,K358),MAX(0,$C358-SUM($M358:R358)))</f>
        <v>0</v>
      </c>
      <c r="T358" s="36">
        <f>MIN(L358-MIN(L$294,L358),MAX(0,$C358-SUM($M358:S358)))</f>
        <v>0</v>
      </c>
      <c r="U358" s="36">
        <f>IF(E358-MIN(E$294,E358)-M358&lt;0.005,0,E358-MIN(E$294,E358)-M358)</f>
        <v>0</v>
      </c>
      <c r="V358" s="36">
        <f>IF(F358-MIN(F$294,F358)-N358&lt;0.005,0,F358-MIN(F$294,F358)-N358)</f>
        <v>0</v>
      </c>
      <c r="W358" s="36">
        <f>IF(G358-MIN(G$294,G358)-O358&lt;0.005,0,G358-MIN(G$294,G358)-O358)</f>
        <v>0</v>
      </c>
      <c r="X358" s="36">
        <f>IF(H358-MIN(H$294,H358)-P358&lt;0.005,0,H358-MIN(H$294,H358)-P358)</f>
        <v>0</v>
      </c>
      <c r="Y358" s="36">
        <f>IF(I358-MIN(I$294,I358)-Q358&lt;0.005,0,I358-MIN(I$294,I358)-Q358)</f>
        <v>0</v>
      </c>
      <c r="Z358" s="36">
        <f>IF(J358-MIN(J$294,J358)-R358&lt;0.005,0,J358-MIN(J$294,J358)-R358)</f>
        <v>0</v>
      </c>
      <c r="AA358" s="36">
        <f>IF(K358-MIN(K$294,K358)-S358&lt;0.005,0,K358-MIN(K$294,K358)-S358)</f>
        <v>0</v>
      </c>
      <c r="AB358" s="36">
        <f>IF(L358-MIN(L$294,L358)-T358&lt;0.005,0,L358-MIN(L$294,L358)-T358)</f>
        <v>0</v>
      </c>
      <c r="AC358" s="36">
        <f>SUM(U358:AB358)</f>
        <v>0</v>
      </c>
      <c r="AD358" s="36">
        <f>D358+SUM(M358:T358)</f>
        <v>0</v>
      </c>
    </row>
    <row r="359">
      <c r="B359" s="40" t="n">
        <v>61</v>
      </c>
      <c r="C359" s="36">
        <f>MAX(0,Sim_SomaParc+N(Sim_Extra)-D359)</f>
        <v>2790</v>
      </c>
      <c r="D359" s="36">
        <f>MIN(E$294,E359)+MIN(F$294,F359)+MIN(G$294,G359)+MIN(H$294,H359)+MIN(I$294,I359)+MIN(J$294,J359)+MIN(K$294,K359)+MIN(L$294,L359)</f>
        <v>0</v>
      </c>
      <c r="E359" s="36">
        <f>U358*(1+E$293)</f>
        <v>0</v>
      </c>
      <c r="F359" s="36">
        <f>V358*(1+F$293)</f>
        <v>0</v>
      </c>
      <c r="G359" s="36">
        <f>W358*(1+G$293)</f>
        <v>0</v>
      </c>
      <c r="H359" s="36">
        <f>X358*(1+H$293)</f>
        <v>0</v>
      </c>
      <c r="I359" s="36">
        <f>Y358*(1+I$293)</f>
        <v>0</v>
      </c>
      <c r="J359" s="36">
        <f>Z358*(1+J$293)</f>
        <v>0</v>
      </c>
      <c r="K359" s="36">
        <f>AA358*(1+K$293)</f>
        <v>0</v>
      </c>
      <c r="L359" s="36">
        <f>AB358*(1+L$293)</f>
        <v>0</v>
      </c>
      <c r="M359" s="36">
        <f>MIN(E359-MIN(E$294,E359),MAX(0,$C359-0))</f>
        <v>0</v>
      </c>
      <c r="N359" s="36">
        <f>MIN(F359-MIN(F$294,F359),MAX(0,$C359-SUM($M359:M359)))</f>
        <v>0</v>
      </c>
      <c r="O359" s="36">
        <f>MIN(G359-MIN(G$294,G359),MAX(0,$C359-SUM($M359:N359)))</f>
        <v>0</v>
      </c>
      <c r="P359" s="36">
        <f>MIN(H359-MIN(H$294,H359),MAX(0,$C359-SUM($M359:O359)))</f>
        <v>0</v>
      </c>
      <c r="Q359" s="36">
        <f>MIN(I359-MIN(I$294,I359),MAX(0,$C359-SUM($M359:P359)))</f>
        <v>0</v>
      </c>
      <c r="R359" s="36">
        <f>MIN(J359-MIN(J$294,J359),MAX(0,$C359-SUM($M359:Q359)))</f>
        <v>0</v>
      </c>
      <c r="S359" s="36">
        <f>MIN(K359-MIN(K$294,K359),MAX(0,$C359-SUM($M359:R359)))</f>
        <v>0</v>
      </c>
      <c r="T359" s="36">
        <f>MIN(L359-MIN(L$294,L359),MAX(0,$C359-SUM($M359:S359)))</f>
        <v>0</v>
      </c>
      <c r="U359" s="36">
        <f>IF(E359-MIN(E$294,E359)-M359&lt;0.005,0,E359-MIN(E$294,E359)-M359)</f>
        <v>0</v>
      </c>
      <c r="V359" s="36">
        <f>IF(F359-MIN(F$294,F359)-N359&lt;0.005,0,F359-MIN(F$294,F359)-N359)</f>
        <v>0</v>
      </c>
      <c r="W359" s="36">
        <f>IF(G359-MIN(G$294,G359)-O359&lt;0.005,0,G359-MIN(G$294,G359)-O359)</f>
        <v>0</v>
      </c>
      <c r="X359" s="36">
        <f>IF(H359-MIN(H$294,H359)-P359&lt;0.005,0,H359-MIN(H$294,H359)-P359)</f>
        <v>0</v>
      </c>
      <c r="Y359" s="36">
        <f>IF(I359-MIN(I$294,I359)-Q359&lt;0.005,0,I359-MIN(I$294,I359)-Q359)</f>
        <v>0</v>
      </c>
      <c r="Z359" s="36">
        <f>IF(J359-MIN(J$294,J359)-R359&lt;0.005,0,J359-MIN(J$294,J359)-R359)</f>
        <v>0</v>
      </c>
      <c r="AA359" s="36">
        <f>IF(K359-MIN(K$294,K359)-S359&lt;0.005,0,K359-MIN(K$294,K359)-S359)</f>
        <v>0</v>
      </c>
      <c r="AB359" s="36">
        <f>IF(L359-MIN(L$294,L359)-T359&lt;0.005,0,L359-MIN(L$294,L359)-T359)</f>
        <v>0</v>
      </c>
      <c r="AC359" s="36">
        <f>SUM(U359:AB359)</f>
        <v>0</v>
      </c>
      <c r="AD359" s="36">
        <f>D359+SUM(M359:T359)</f>
        <v>0</v>
      </c>
    </row>
    <row r="360">
      <c r="B360" s="40" t="n">
        <v>62</v>
      </c>
      <c r="C360" s="36">
        <f>MAX(0,Sim_SomaParc+N(Sim_Extra)-D360)</f>
        <v>2790</v>
      </c>
      <c r="D360" s="36">
        <f>MIN(E$294,E360)+MIN(F$294,F360)+MIN(G$294,G360)+MIN(H$294,H360)+MIN(I$294,I360)+MIN(J$294,J360)+MIN(K$294,K360)+MIN(L$294,L360)</f>
        <v>0</v>
      </c>
      <c r="E360" s="36">
        <f>U359*(1+E$293)</f>
        <v>0</v>
      </c>
      <c r="F360" s="36">
        <f>V359*(1+F$293)</f>
        <v>0</v>
      </c>
      <c r="G360" s="36">
        <f>W359*(1+G$293)</f>
        <v>0</v>
      </c>
      <c r="H360" s="36">
        <f>X359*(1+H$293)</f>
        <v>0</v>
      </c>
      <c r="I360" s="36">
        <f>Y359*(1+I$293)</f>
        <v>0</v>
      </c>
      <c r="J360" s="36">
        <f>Z359*(1+J$293)</f>
        <v>0</v>
      </c>
      <c r="K360" s="36">
        <f>AA359*(1+K$293)</f>
        <v>0</v>
      </c>
      <c r="L360" s="36">
        <f>AB359*(1+L$293)</f>
        <v>0</v>
      </c>
      <c r="M360" s="36">
        <f>MIN(E360-MIN(E$294,E360),MAX(0,$C360-0))</f>
        <v>0</v>
      </c>
      <c r="N360" s="36">
        <f>MIN(F360-MIN(F$294,F360),MAX(0,$C360-SUM($M360:M360)))</f>
        <v>0</v>
      </c>
      <c r="O360" s="36">
        <f>MIN(G360-MIN(G$294,G360),MAX(0,$C360-SUM($M360:N360)))</f>
        <v>0</v>
      </c>
      <c r="P360" s="36">
        <f>MIN(H360-MIN(H$294,H360),MAX(0,$C360-SUM($M360:O360)))</f>
        <v>0</v>
      </c>
      <c r="Q360" s="36">
        <f>MIN(I360-MIN(I$294,I360),MAX(0,$C360-SUM($M360:P360)))</f>
        <v>0</v>
      </c>
      <c r="R360" s="36">
        <f>MIN(J360-MIN(J$294,J360),MAX(0,$C360-SUM($M360:Q360)))</f>
        <v>0</v>
      </c>
      <c r="S360" s="36">
        <f>MIN(K360-MIN(K$294,K360),MAX(0,$C360-SUM($M360:R360)))</f>
        <v>0</v>
      </c>
      <c r="T360" s="36">
        <f>MIN(L360-MIN(L$294,L360),MAX(0,$C360-SUM($M360:S360)))</f>
        <v>0</v>
      </c>
      <c r="U360" s="36">
        <f>IF(E360-MIN(E$294,E360)-M360&lt;0.005,0,E360-MIN(E$294,E360)-M360)</f>
        <v>0</v>
      </c>
      <c r="V360" s="36">
        <f>IF(F360-MIN(F$294,F360)-N360&lt;0.005,0,F360-MIN(F$294,F360)-N360)</f>
        <v>0</v>
      </c>
      <c r="W360" s="36">
        <f>IF(G360-MIN(G$294,G360)-O360&lt;0.005,0,G360-MIN(G$294,G360)-O360)</f>
        <v>0</v>
      </c>
      <c r="X360" s="36">
        <f>IF(H360-MIN(H$294,H360)-P360&lt;0.005,0,H360-MIN(H$294,H360)-P360)</f>
        <v>0</v>
      </c>
      <c r="Y360" s="36">
        <f>IF(I360-MIN(I$294,I360)-Q360&lt;0.005,0,I360-MIN(I$294,I360)-Q360)</f>
        <v>0</v>
      </c>
      <c r="Z360" s="36">
        <f>IF(J360-MIN(J$294,J360)-R360&lt;0.005,0,J360-MIN(J$294,J360)-R360)</f>
        <v>0</v>
      </c>
      <c r="AA360" s="36">
        <f>IF(K360-MIN(K$294,K360)-S360&lt;0.005,0,K360-MIN(K$294,K360)-S360)</f>
        <v>0</v>
      </c>
      <c r="AB360" s="36">
        <f>IF(L360-MIN(L$294,L360)-T360&lt;0.005,0,L360-MIN(L$294,L360)-T360)</f>
        <v>0</v>
      </c>
      <c r="AC360" s="36">
        <f>SUM(U360:AB360)</f>
        <v>0</v>
      </c>
      <c r="AD360" s="36">
        <f>D360+SUM(M360:T360)</f>
        <v>0</v>
      </c>
    </row>
    <row r="361">
      <c r="B361" s="40" t="n">
        <v>63</v>
      </c>
      <c r="C361" s="36">
        <f>MAX(0,Sim_SomaParc+N(Sim_Extra)-D361)</f>
        <v>2790</v>
      </c>
      <c r="D361" s="36">
        <f>MIN(E$294,E361)+MIN(F$294,F361)+MIN(G$294,G361)+MIN(H$294,H361)+MIN(I$294,I361)+MIN(J$294,J361)+MIN(K$294,K361)+MIN(L$294,L361)</f>
        <v>0</v>
      </c>
      <c r="E361" s="36">
        <f>U360*(1+E$293)</f>
        <v>0</v>
      </c>
      <c r="F361" s="36">
        <f>V360*(1+F$293)</f>
        <v>0</v>
      </c>
      <c r="G361" s="36">
        <f>W360*(1+G$293)</f>
        <v>0</v>
      </c>
      <c r="H361" s="36">
        <f>X360*(1+H$293)</f>
        <v>0</v>
      </c>
      <c r="I361" s="36">
        <f>Y360*(1+I$293)</f>
        <v>0</v>
      </c>
      <c r="J361" s="36">
        <f>Z360*(1+J$293)</f>
        <v>0</v>
      </c>
      <c r="K361" s="36">
        <f>AA360*(1+K$293)</f>
        <v>0</v>
      </c>
      <c r="L361" s="36">
        <f>AB360*(1+L$293)</f>
        <v>0</v>
      </c>
      <c r="M361" s="36">
        <f>MIN(E361-MIN(E$294,E361),MAX(0,$C361-0))</f>
        <v>0</v>
      </c>
      <c r="N361" s="36">
        <f>MIN(F361-MIN(F$294,F361),MAX(0,$C361-SUM($M361:M361)))</f>
        <v>0</v>
      </c>
      <c r="O361" s="36">
        <f>MIN(G361-MIN(G$294,G361),MAX(0,$C361-SUM($M361:N361)))</f>
        <v>0</v>
      </c>
      <c r="P361" s="36">
        <f>MIN(H361-MIN(H$294,H361),MAX(0,$C361-SUM($M361:O361)))</f>
        <v>0</v>
      </c>
      <c r="Q361" s="36">
        <f>MIN(I361-MIN(I$294,I361),MAX(0,$C361-SUM($M361:P361)))</f>
        <v>0</v>
      </c>
      <c r="R361" s="36">
        <f>MIN(J361-MIN(J$294,J361),MAX(0,$C361-SUM($M361:Q361)))</f>
        <v>0</v>
      </c>
      <c r="S361" s="36">
        <f>MIN(K361-MIN(K$294,K361),MAX(0,$C361-SUM($M361:R361)))</f>
        <v>0</v>
      </c>
      <c r="T361" s="36">
        <f>MIN(L361-MIN(L$294,L361),MAX(0,$C361-SUM($M361:S361)))</f>
        <v>0</v>
      </c>
      <c r="U361" s="36">
        <f>IF(E361-MIN(E$294,E361)-M361&lt;0.005,0,E361-MIN(E$294,E361)-M361)</f>
        <v>0</v>
      </c>
      <c r="V361" s="36">
        <f>IF(F361-MIN(F$294,F361)-N361&lt;0.005,0,F361-MIN(F$294,F361)-N361)</f>
        <v>0</v>
      </c>
      <c r="W361" s="36">
        <f>IF(G361-MIN(G$294,G361)-O361&lt;0.005,0,G361-MIN(G$294,G361)-O361)</f>
        <v>0</v>
      </c>
      <c r="X361" s="36">
        <f>IF(H361-MIN(H$294,H361)-P361&lt;0.005,0,H361-MIN(H$294,H361)-P361)</f>
        <v>0</v>
      </c>
      <c r="Y361" s="36">
        <f>IF(I361-MIN(I$294,I361)-Q361&lt;0.005,0,I361-MIN(I$294,I361)-Q361)</f>
        <v>0</v>
      </c>
      <c r="Z361" s="36">
        <f>IF(J361-MIN(J$294,J361)-R361&lt;0.005,0,J361-MIN(J$294,J361)-R361)</f>
        <v>0</v>
      </c>
      <c r="AA361" s="36">
        <f>IF(K361-MIN(K$294,K361)-S361&lt;0.005,0,K361-MIN(K$294,K361)-S361)</f>
        <v>0</v>
      </c>
      <c r="AB361" s="36">
        <f>IF(L361-MIN(L$294,L361)-T361&lt;0.005,0,L361-MIN(L$294,L361)-T361)</f>
        <v>0</v>
      </c>
      <c r="AC361" s="36">
        <f>SUM(U361:AB361)</f>
        <v>0</v>
      </c>
      <c r="AD361" s="36">
        <f>D361+SUM(M361:T361)</f>
        <v>0</v>
      </c>
    </row>
    <row r="362">
      <c r="B362" s="40" t="n">
        <v>64</v>
      </c>
      <c r="C362" s="36">
        <f>MAX(0,Sim_SomaParc+N(Sim_Extra)-D362)</f>
        <v>2790</v>
      </c>
      <c r="D362" s="36">
        <f>MIN(E$294,E362)+MIN(F$294,F362)+MIN(G$294,G362)+MIN(H$294,H362)+MIN(I$294,I362)+MIN(J$294,J362)+MIN(K$294,K362)+MIN(L$294,L362)</f>
        <v>0</v>
      </c>
      <c r="E362" s="36">
        <f>U361*(1+E$293)</f>
        <v>0</v>
      </c>
      <c r="F362" s="36">
        <f>V361*(1+F$293)</f>
        <v>0</v>
      </c>
      <c r="G362" s="36">
        <f>W361*(1+G$293)</f>
        <v>0</v>
      </c>
      <c r="H362" s="36">
        <f>X361*(1+H$293)</f>
        <v>0</v>
      </c>
      <c r="I362" s="36">
        <f>Y361*(1+I$293)</f>
        <v>0</v>
      </c>
      <c r="J362" s="36">
        <f>Z361*(1+J$293)</f>
        <v>0</v>
      </c>
      <c r="K362" s="36">
        <f>AA361*(1+K$293)</f>
        <v>0</v>
      </c>
      <c r="L362" s="36">
        <f>AB361*(1+L$293)</f>
        <v>0</v>
      </c>
      <c r="M362" s="36">
        <f>MIN(E362-MIN(E$294,E362),MAX(0,$C362-0))</f>
        <v>0</v>
      </c>
      <c r="N362" s="36">
        <f>MIN(F362-MIN(F$294,F362),MAX(0,$C362-SUM($M362:M362)))</f>
        <v>0</v>
      </c>
      <c r="O362" s="36">
        <f>MIN(G362-MIN(G$294,G362),MAX(0,$C362-SUM($M362:N362)))</f>
        <v>0</v>
      </c>
      <c r="P362" s="36">
        <f>MIN(H362-MIN(H$294,H362),MAX(0,$C362-SUM($M362:O362)))</f>
        <v>0</v>
      </c>
      <c r="Q362" s="36">
        <f>MIN(I362-MIN(I$294,I362),MAX(0,$C362-SUM($M362:P362)))</f>
        <v>0</v>
      </c>
      <c r="R362" s="36">
        <f>MIN(J362-MIN(J$294,J362),MAX(0,$C362-SUM($M362:Q362)))</f>
        <v>0</v>
      </c>
      <c r="S362" s="36">
        <f>MIN(K362-MIN(K$294,K362),MAX(0,$C362-SUM($M362:R362)))</f>
        <v>0</v>
      </c>
      <c r="T362" s="36">
        <f>MIN(L362-MIN(L$294,L362),MAX(0,$C362-SUM($M362:S362)))</f>
        <v>0</v>
      </c>
      <c r="U362" s="36">
        <f>IF(E362-MIN(E$294,E362)-M362&lt;0.005,0,E362-MIN(E$294,E362)-M362)</f>
        <v>0</v>
      </c>
      <c r="V362" s="36">
        <f>IF(F362-MIN(F$294,F362)-N362&lt;0.005,0,F362-MIN(F$294,F362)-N362)</f>
        <v>0</v>
      </c>
      <c r="W362" s="36">
        <f>IF(G362-MIN(G$294,G362)-O362&lt;0.005,0,G362-MIN(G$294,G362)-O362)</f>
        <v>0</v>
      </c>
      <c r="X362" s="36">
        <f>IF(H362-MIN(H$294,H362)-P362&lt;0.005,0,H362-MIN(H$294,H362)-P362)</f>
        <v>0</v>
      </c>
      <c r="Y362" s="36">
        <f>IF(I362-MIN(I$294,I362)-Q362&lt;0.005,0,I362-MIN(I$294,I362)-Q362)</f>
        <v>0</v>
      </c>
      <c r="Z362" s="36">
        <f>IF(J362-MIN(J$294,J362)-R362&lt;0.005,0,J362-MIN(J$294,J362)-R362)</f>
        <v>0</v>
      </c>
      <c r="AA362" s="36">
        <f>IF(K362-MIN(K$294,K362)-S362&lt;0.005,0,K362-MIN(K$294,K362)-S362)</f>
        <v>0</v>
      </c>
      <c r="AB362" s="36">
        <f>IF(L362-MIN(L$294,L362)-T362&lt;0.005,0,L362-MIN(L$294,L362)-T362)</f>
        <v>0</v>
      </c>
      <c r="AC362" s="36">
        <f>SUM(U362:AB362)</f>
        <v>0</v>
      </c>
      <c r="AD362" s="36">
        <f>D362+SUM(M362:T362)</f>
        <v>0</v>
      </c>
    </row>
    <row r="363">
      <c r="B363" s="40" t="n">
        <v>65</v>
      </c>
      <c r="C363" s="36">
        <f>MAX(0,Sim_SomaParc+N(Sim_Extra)-D363)</f>
        <v>2790</v>
      </c>
      <c r="D363" s="36">
        <f>MIN(E$294,E363)+MIN(F$294,F363)+MIN(G$294,G363)+MIN(H$294,H363)+MIN(I$294,I363)+MIN(J$294,J363)+MIN(K$294,K363)+MIN(L$294,L363)</f>
        <v>0</v>
      </c>
      <c r="E363" s="36">
        <f>U362*(1+E$293)</f>
        <v>0</v>
      </c>
      <c r="F363" s="36">
        <f>V362*(1+F$293)</f>
        <v>0</v>
      </c>
      <c r="G363" s="36">
        <f>W362*(1+G$293)</f>
        <v>0</v>
      </c>
      <c r="H363" s="36">
        <f>X362*(1+H$293)</f>
        <v>0</v>
      </c>
      <c r="I363" s="36">
        <f>Y362*(1+I$293)</f>
        <v>0</v>
      </c>
      <c r="J363" s="36">
        <f>Z362*(1+J$293)</f>
        <v>0</v>
      </c>
      <c r="K363" s="36">
        <f>AA362*(1+K$293)</f>
        <v>0</v>
      </c>
      <c r="L363" s="36">
        <f>AB362*(1+L$293)</f>
        <v>0</v>
      </c>
      <c r="M363" s="36">
        <f>MIN(E363-MIN(E$294,E363),MAX(0,$C363-0))</f>
        <v>0</v>
      </c>
      <c r="N363" s="36">
        <f>MIN(F363-MIN(F$294,F363),MAX(0,$C363-SUM($M363:M363)))</f>
        <v>0</v>
      </c>
      <c r="O363" s="36">
        <f>MIN(G363-MIN(G$294,G363),MAX(0,$C363-SUM($M363:N363)))</f>
        <v>0</v>
      </c>
      <c r="P363" s="36">
        <f>MIN(H363-MIN(H$294,H363),MAX(0,$C363-SUM($M363:O363)))</f>
        <v>0</v>
      </c>
      <c r="Q363" s="36">
        <f>MIN(I363-MIN(I$294,I363),MAX(0,$C363-SUM($M363:P363)))</f>
        <v>0</v>
      </c>
      <c r="R363" s="36">
        <f>MIN(J363-MIN(J$294,J363),MAX(0,$C363-SUM($M363:Q363)))</f>
        <v>0</v>
      </c>
      <c r="S363" s="36">
        <f>MIN(K363-MIN(K$294,K363),MAX(0,$C363-SUM($M363:R363)))</f>
        <v>0</v>
      </c>
      <c r="T363" s="36">
        <f>MIN(L363-MIN(L$294,L363),MAX(0,$C363-SUM($M363:S363)))</f>
        <v>0</v>
      </c>
      <c r="U363" s="36">
        <f>IF(E363-MIN(E$294,E363)-M363&lt;0.005,0,E363-MIN(E$294,E363)-M363)</f>
        <v>0</v>
      </c>
      <c r="V363" s="36">
        <f>IF(F363-MIN(F$294,F363)-N363&lt;0.005,0,F363-MIN(F$294,F363)-N363)</f>
        <v>0</v>
      </c>
      <c r="W363" s="36">
        <f>IF(G363-MIN(G$294,G363)-O363&lt;0.005,0,G363-MIN(G$294,G363)-O363)</f>
        <v>0</v>
      </c>
      <c r="X363" s="36">
        <f>IF(H363-MIN(H$294,H363)-P363&lt;0.005,0,H363-MIN(H$294,H363)-P363)</f>
        <v>0</v>
      </c>
      <c r="Y363" s="36">
        <f>IF(I363-MIN(I$294,I363)-Q363&lt;0.005,0,I363-MIN(I$294,I363)-Q363)</f>
        <v>0</v>
      </c>
      <c r="Z363" s="36">
        <f>IF(J363-MIN(J$294,J363)-R363&lt;0.005,0,J363-MIN(J$294,J363)-R363)</f>
        <v>0</v>
      </c>
      <c r="AA363" s="36">
        <f>IF(K363-MIN(K$294,K363)-S363&lt;0.005,0,K363-MIN(K$294,K363)-S363)</f>
        <v>0</v>
      </c>
      <c r="AB363" s="36">
        <f>IF(L363-MIN(L$294,L363)-T363&lt;0.005,0,L363-MIN(L$294,L363)-T363)</f>
        <v>0</v>
      </c>
      <c r="AC363" s="36">
        <f>SUM(U363:AB363)</f>
        <v>0</v>
      </c>
      <c r="AD363" s="36">
        <f>D363+SUM(M363:T363)</f>
        <v>0</v>
      </c>
    </row>
    <row r="364">
      <c r="B364" s="40" t="n">
        <v>66</v>
      </c>
      <c r="C364" s="36">
        <f>MAX(0,Sim_SomaParc+N(Sim_Extra)-D364)</f>
        <v>2790</v>
      </c>
      <c r="D364" s="36">
        <f>MIN(E$294,E364)+MIN(F$294,F364)+MIN(G$294,G364)+MIN(H$294,H364)+MIN(I$294,I364)+MIN(J$294,J364)+MIN(K$294,K364)+MIN(L$294,L364)</f>
        <v>0</v>
      </c>
      <c r="E364" s="36">
        <f>U363*(1+E$293)</f>
        <v>0</v>
      </c>
      <c r="F364" s="36">
        <f>V363*(1+F$293)</f>
        <v>0</v>
      </c>
      <c r="G364" s="36">
        <f>W363*(1+G$293)</f>
        <v>0</v>
      </c>
      <c r="H364" s="36">
        <f>X363*(1+H$293)</f>
        <v>0</v>
      </c>
      <c r="I364" s="36">
        <f>Y363*(1+I$293)</f>
        <v>0</v>
      </c>
      <c r="J364" s="36">
        <f>Z363*(1+J$293)</f>
        <v>0</v>
      </c>
      <c r="K364" s="36">
        <f>AA363*(1+K$293)</f>
        <v>0</v>
      </c>
      <c r="L364" s="36">
        <f>AB363*(1+L$293)</f>
        <v>0</v>
      </c>
      <c r="M364" s="36">
        <f>MIN(E364-MIN(E$294,E364),MAX(0,$C364-0))</f>
        <v>0</v>
      </c>
      <c r="N364" s="36">
        <f>MIN(F364-MIN(F$294,F364),MAX(0,$C364-SUM($M364:M364)))</f>
        <v>0</v>
      </c>
      <c r="O364" s="36">
        <f>MIN(G364-MIN(G$294,G364),MAX(0,$C364-SUM($M364:N364)))</f>
        <v>0</v>
      </c>
      <c r="P364" s="36">
        <f>MIN(H364-MIN(H$294,H364),MAX(0,$C364-SUM($M364:O364)))</f>
        <v>0</v>
      </c>
      <c r="Q364" s="36">
        <f>MIN(I364-MIN(I$294,I364),MAX(0,$C364-SUM($M364:P364)))</f>
        <v>0</v>
      </c>
      <c r="R364" s="36">
        <f>MIN(J364-MIN(J$294,J364),MAX(0,$C364-SUM($M364:Q364)))</f>
        <v>0</v>
      </c>
      <c r="S364" s="36">
        <f>MIN(K364-MIN(K$294,K364),MAX(0,$C364-SUM($M364:R364)))</f>
        <v>0</v>
      </c>
      <c r="T364" s="36">
        <f>MIN(L364-MIN(L$294,L364),MAX(0,$C364-SUM($M364:S364)))</f>
        <v>0</v>
      </c>
      <c r="U364" s="36">
        <f>IF(E364-MIN(E$294,E364)-M364&lt;0.005,0,E364-MIN(E$294,E364)-M364)</f>
        <v>0</v>
      </c>
      <c r="V364" s="36">
        <f>IF(F364-MIN(F$294,F364)-N364&lt;0.005,0,F364-MIN(F$294,F364)-N364)</f>
        <v>0</v>
      </c>
      <c r="W364" s="36">
        <f>IF(G364-MIN(G$294,G364)-O364&lt;0.005,0,G364-MIN(G$294,G364)-O364)</f>
        <v>0</v>
      </c>
      <c r="X364" s="36">
        <f>IF(H364-MIN(H$294,H364)-P364&lt;0.005,0,H364-MIN(H$294,H364)-P364)</f>
        <v>0</v>
      </c>
      <c r="Y364" s="36">
        <f>IF(I364-MIN(I$294,I364)-Q364&lt;0.005,0,I364-MIN(I$294,I364)-Q364)</f>
        <v>0</v>
      </c>
      <c r="Z364" s="36">
        <f>IF(J364-MIN(J$294,J364)-R364&lt;0.005,0,J364-MIN(J$294,J364)-R364)</f>
        <v>0</v>
      </c>
      <c r="AA364" s="36">
        <f>IF(K364-MIN(K$294,K364)-S364&lt;0.005,0,K364-MIN(K$294,K364)-S364)</f>
        <v>0</v>
      </c>
      <c r="AB364" s="36">
        <f>IF(L364-MIN(L$294,L364)-T364&lt;0.005,0,L364-MIN(L$294,L364)-T364)</f>
        <v>0</v>
      </c>
      <c r="AC364" s="36">
        <f>SUM(U364:AB364)</f>
        <v>0</v>
      </c>
      <c r="AD364" s="36">
        <f>D364+SUM(M364:T364)</f>
        <v>0</v>
      </c>
    </row>
    <row r="365">
      <c r="B365" s="40" t="n">
        <v>67</v>
      </c>
      <c r="C365" s="36">
        <f>MAX(0,Sim_SomaParc+N(Sim_Extra)-D365)</f>
        <v>2790</v>
      </c>
      <c r="D365" s="36">
        <f>MIN(E$294,E365)+MIN(F$294,F365)+MIN(G$294,G365)+MIN(H$294,H365)+MIN(I$294,I365)+MIN(J$294,J365)+MIN(K$294,K365)+MIN(L$294,L365)</f>
        <v>0</v>
      </c>
      <c r="E365" s="36">
        <f>U364*(1+E$293)</f>
        <v>0</v>
      </c>
      <c r="F365" s="36">
        <f>V364*(1+F$293)</f>
        <v>0</v>
      </c>
      <c r="G365" s="36">
        <f>W364*(1+G$293)</f>
        <v>0</v>
      </c>
      <c r="H365" s="36">
        <f>X364*(1+H$293)</f>
        <v>0</v>
      </c>
      <c r="I365" s="36">
        <f>Y364*(1+I$293)</f>
        <v>0</v>
      </c>
      <c r="J365" s="36">
        <f>Z364*(1+J$293)</f>
        <v>0</v>
      </c>
      <c r="K365" s="36">
        <f>AA364*(1+K$293)</f>
        <v>0</v>
      </c>
      <c r="L365" s="36">
        <f>AB364*(1+L$293)</f>
        <v>0</v>
      </c>
      <c r="M365" s="36">
        <f>MIN(E365-MIN(E$294,E365),MAX(0,$C365-0))</f>
        <v>0</v>
      </c>
      <c r="N365" s="36">
        <f>MIN(F365-MIN(F$294,F365),MAX(0,$C365-SUM($M365:M365)))</f>
        <v>0</v>
      </c>
      <c r="O365" s="36">
        <f>MIN(G365-MIN(G$294,G365),MAX(0,$C365-SUM($M365:N365)))</f>
        <v>0</v>
      </c>
      <c r="P365" s="36">
        <f>MIN(H365-MIN(H$294,H365),MAX(0,$C365-SUM($M365:O365)))</f>
        <v>0</v>
      </c>
      <c r="Q365" s="36">
        <f>MIN(I365-MIN(I$294,I365),MAX(0,$C365-SUM($M365:P365)))</f>
        <v>0</v>
      </c>
      <c r="R365" s="36">
        <f>MIN(J365-MIN(J$294,J365),MAX(0,$C365-SUM($M365:Q365)))</f>
        <v>0</v>
      </c>
      <c r="S365" s="36">
        <f>MIN(K365-MIN(K$294,K365),MAX(0,$C365-SUM($M365:R365)))</f>
        <v>0</v>
      </c>
      <c r="T365" s="36">
        <f>MIN(L365-MIN(L$294,L365),MAX(0,$C365-SUM($M365:S365)))</f>
        <v>0</v>
      </c>
      <c r="U365" s="36">
        <f>IF(E365-MIN(E$294,E365)-M365&lt;0.005,0,E365-MIN(E$294,E365)-M365)</f>
        <v>0</v>
      </c>
      <c r="V365" s="36">
        <f>IF(F365-MIN(F$294,F365)-N365&lt;0.005,0,F365-MIN(F$294,F365)-N365)</f>
        <v>0</v>
      </c>
      <c r="W365" s="36">
        <f>IF(G365-MIN(G$294,G365)-O365&lt;0.005,0,G365-MIN(G$294,G365)-O365)</f>
        <v>0</v>
      </c>
      <c r="X365" s="36">
        <f>IF(H365-MIN(H$294,H365)-P365&lt;0.005,0,H365-MIN(H$294,H365)-P365)</f>
        <v>0</v>
      </c>
      <c r="Y365" s="36">
        <f>IF(I365-MIN(I$294,I365)-Q365&lt;0.005,0,I365-MIN(I$294,I365)-Q365)</f>
        <v>0</v>
      </c>
      <c r="Z365" s="36">
        <f>IF(J365-MIN(J$294,J365)-R365&lt;0.005,0,J365-MIN(J$294,J365)-R365)</f>
        <v>0</v>
      </c>
      <c r="AA365" s="36">
        <f>IF(K365-MIN(K$294,K365)-S365&lt;0.005,0,K365-MIN(K$294,K365)-S365)</f>
        <v>0</v>
      </c>
      <c r="AB365" s="36">
        <f>IF(L365-MIN(L$294,L365)-T365&lt;0.005,0,L365-MIN(L$294,L365)-T365)</f>
        <v>0</v>
      </c>
      <c r="AC365" s="36">
        <f>SUM(U365:AB365)</f>
        <v>0</v>
      </c>
      <c r="AD365" s="36">
        <f>D365+SUM(M365:T365)</f>
        <v>0</v>
      </c>
    </row>
    <row r="366">
      <c r="B366" s="40" t="n">
        <v>68</v>
      </c>
      <c r="C366" s="36">
        <f>MAX(0,Sim_SomaParc+N(Sim_Extra)-D366)</f>
        <v>2790</v>
      </c>
      <c r="D366" s="36">
        <f>MIN(E$294,E366)+MIN(F$294,F366)+MIN(G$294,G366)+MIN(H$294,H366)+MIN(I$294,I366)+MIN(J$294,J366)+MIN(K$294,K366)+MIN(L$294,L366)</f>
        <v>0</v>
      </c>
      <c r="E366" s="36">
        <f>U365*(1+E$293)</f>
        <v>0</v>
      </c>
      <c r="F366" s="36">
        <f>V365*(1+F$293)</f>
        <v>0</v>
      </c>
      <c r="G366" s="36">
        <f>W365*(1+G$293)</f>
        <v>0</v>
      </c>
      <c r="H366" s="36">
        <f>X365*(1+H$293)</f>
        <v>0</v>
      </c>
      <c r="I366" s="36">
        <f>Y365*(1+I$293)</f>
        <v>0</v>
      </c>
      <c r="J366" s="36">
        <f>Z365*(1+J$293)</f>
        <v>0</v>
      </c>
      <c r="K366" s="36">
        <f>AA365*(1+K$293)</f>
        <v>0</v>
      </c>
      <c r="L366" s="36">
        <f>AB365*(1+L$293)</f>
        <v>0</v>
      </c>
      <c r="M366" s="36">
        <f>MIN(E366-MIN(E$294,E366),MAX(0,$C366-0))</f>
        <v>0</v>
      </c>
      <c r="N366" s="36">
        <f>MIN(F366-MIN(F$294,F366),MAX(0,$C366-SUM($M366:M366)))</f>
        <v>0</v>
      </c>
      <c r="O366" s="36">
        <f>MIN(G366-MIN(G$294,G366),MAX(0,$C366-SUM($M366:N366)))</f>
        <v>0</v>
      </c>
      <c r="P366" s="36">
        <f>MIN(H366-MIN(H$294,H366),MAX(0,$C366-SUM($M366:O366)))</f>
        <v>0</v>
      </c>
      <c r="Q366" s="36">
        <f>MIN(I366-MIN(I$294,I366),MAX(0,$C366-SUM($M366:P366)))</f>
        <v>0</v>
      </c>
      <c r="R366" s="36">
        <f>MIN(J366-MIN(J$294,J366),MAX(0,$C366-SUM($M366:Q366)))</f>
        <v>0</v>
      </c>
      <c r="S366" s="36">
        <f>MIN(K366-MIN(K$294,K366),MAX(0,$C366-SUM($M366:R366)))</f>
        <v>0</v>
      </c>
      <c r="T366" s="36">
        <f>MIN(L366-MIN(L$294,L366),MAX(0,$C366-SUM($M366:S366)))</f>
        <v>0</v>
      </c>
      <c r="U366" s="36">
        <f>IF(E366-MIN(E$294,E366)-M366&lt;0.005,0,E366-MIN(E$294,E366)-M366)</f>
        <v>0</v>
      </c>
      <c r="V366" s="36">
        <f>IF(F366-MIN(F$294,F366)-N366&lt;0.005,0,F366-MIN(F$294,F366)-N366)</f>
        <v>0</v>
      </c>
      <c r="W366" s="36">
        <f>IF(G366-MIN(G$294,G366)-O366&lt;0.005,0,G366-MIN(G$294,G366)-O366)</f>
        <v>0</v>
      </c>
      <c r="X366" s="36">
        <f>IF(H366-MIN(H$294,H366)-P366&lt;0.005,0,H366-MIN(H$294,H366)-P366)</f>
        <v>0</v>
      </c>
      <c r="Y366" s="36">
        <f>IF(I366-MIN(I$294,I366)-Q366&lt;0.005,0,I366-MIN(I$294,I366)-Q366)</f>
        <v>0</v>
      </c>
      <c r="Z366" s="36">
        <f>IF(J366-MIN(J$294,J366)-R366&lt;0.005,0,J366-MIN(J$294,J366)-R366)</f>
        <v>0</v>
      </c>
      <c r="AA366" s="36">
        <f>IF(K366-MIN(K$294,K366)-S366&lt;0.005,0,K366-MIN(K$294,K366)-S366)</f>
        <v>0</v>
      </c>
      <c r="AB366" s="36">
        <f>IF(L366-MIN(L$294,L366)-T366&lt;0.005,0,L366-MIN(L$294,L366)-T366)</f>
        <v>0</v>
      </c>
      <c r="AC366" s="36">
        <f>SUM(U366:AB366)</f>
        <v>0</v>
      </c>
      <c r="AD366" s="36">
        <f>D366+SUM(M366:T366)</f>
        <v>0</v>
      </c>
    </row>
    <row r="367">
      <c r="B367" s="40" t="n">
        <v>69</v>
      </c>
      <c r="C367" s="36">
        <f>MAX(0,Sim_SomaParc+N(Sim_Extra)-D367)</f>
        <v>2790</v>
      </c>
      <c r="D367" s="36">
        <f>MIN(E$294,E367)+MIN(F$294,F367)+MIN(G$294,G367)+MIN(H$294,H367)+MIN(I$294,I367)+MIN(J$294,J367)+MIN(K$294,K367)+MIN(L$294,L367)</f>
        <v>0</v>
      </c>
      <c r="E367" s="36">
        <f>U366*(1+E$293)</f>
        <v>0</v>
      </c>
      <c r="F367" s="36">
        <f>V366*(1+F$293)</f>
        <v>0</v>
      </c>
      <c r="G367" s="36">
        <f>W366*(1+G$293)</f>
        <v>0</v>
      </c>
      <c r="H367" s="36">
        <f>X366*(1+H$293)</f>
        <v>0</v>
      </c>
      <c r="I367" s="36">
        <f>Y366*(1+I$293)</f>
        <v>0</v>
      </c>
      <c r="J367" s="36">
        <f>Z366*(1+J$293)</f>
        <v>0</v>
      </c>
      <c r="K367" s="36">
        <f>AA366*(1+K$293)</f>
        <v>0</v>
      </c>
      <c r="L367" s="36">
        <f>AB366*(1+L$293)</f>
        <v>0</v>
      </c>
      <c r="M367" s="36">
        <f>MIN(E367-MIN(E$294,E367),MAX(0,$C367-0))</f>
        <v>0</v>
      </c>
      <c r="N367" s="36">
        <f>MIN(F367-MIN(F$294,F367),MAX(0,$C367-SUM($M367:M367)))</f>
        <v>0</v>
      </c>
      <c r="O367" s="36">
        <f>MIN(G367-MIN(G$294,G367),MAX(0,$C367-SUM($M367:N367)))</f>
        <v>0</v>
      </c>
      <c r="P367" s="36">
        <f>MIN(H367-MIN(H$294,H367),MAX(0,$C367-SUM($M367:O367)))</f>
        <v>0</v>
      </c>
      <c r="Q367" s="36">
        <f>MIN(I367-MIN(I$294,I367),MAX(0,$C367-SUM($M367:P367)))</f>
        <v>0</v>
      </c>
      <c r="R367" s="36">
        <f>MIN(J367-MIN(J$294,J367),MAX(0,$C367-SUM($M367:Q367)))</f>
        <v>0</v>
      </c>
      <c r="S367" s="36">
        <f>MIN(K367-MIN(K$294,K367),MAX(0,$C367-SUM($M367:R367)))</f>
        <v>0</v>
      </c>
      <c r="T367" s="36">
        <f>MIN(L367-MIN(L$294,L367),MAX(0,$C367-SUM($M367:S367)))</f>
        <v>0</v>
      </c>
      <c r="U367" s="36">
        <f>IF(E367-MIN(E$294,E367)-M367&lt;0.005,0,E367-MIN(E$294,E367)-M367)</f>
        <v>0</v>
      </c>
      <c r="V367" s="36">
        <f>IF(F367-MIN(F$294,F367)-N367&lt;0.005,0,F367-MIN(F$294,F367)-N367)</f>
        <v>0</v>
      </c>
      <c r="W367" s="36">
        <f>IF(G367-MIN(G$294,G367)-O367&lt;0.005,0,G367-MIN(G$294,G367)-O367)</f>
        <v>0</v>
      </c>
      <c r="X367" s="36">
        <f>IF(H367-MIN(H$294,H367)-P367&lt;0.005,0,H367-MIN(H$294,H367)-P367)</f>
        <v>0</v>
      </c>
      <c r="Y367" s="36">
        <f>IF(I367-MIN(I$294,I367)-Q367&lt;0.005,0,I367-MIN(I$294,I367)-Q367)</f>
        <v>0</v>
      </c>
      <c r="Z367" s="36">
        <f>IF(J367-MIN(J$294,J367)-R367&lt;0.005,0,J367-MIN(J$294,J367)-R367)</f>
        <v>0</v>
      </c>
      <c r="AA367" s="36">
        <f>IF(K367-MIN(K$294,K367)-S367&lt;0.005,0,K367-MIN(K$294,K367)-S367)</f>
        <v>0</v>
      </c>
      <c r="AB367" s="36">
        <f>IF(L367-MIN(L$294,L367)-T367&lt;0.005,0,L367-MIN(L$294,L367)-T367)</f>
        <v>0</v>
      </c>
      <c r="AC367" s="36">
        <f>SUM(U367:AB367)</f>
        <v>0</v>
      </c>
      <c r="AD367" s="36">
        <f>D367+SUM(M367:T367)</f>
        <v>0</v>
      </c>
    </row>
    <row r="368">
      <c r="B368" s="40" t="n">
        <v>70</v>
      </c>
      <c r="C368" s="36">
        <f>MAX(0,Sim_SomaParc+N(Sim_Extra)-D368)</f>
        <v>2790</v>
      </c>
      <c r="D368" s="36">
        <f>MIN(E$294,E368)+MIN(F$294,F368)+MIN(G$294,G368)+MIN(H$294,H368)+MIN(I$294,I368)+MIN(J$294,J368)+MIN(K$294,K368)+MIN(L$294,L368)</f>
        <v>0</v>
      </c>
      <c r="E368" s="36">
        <f>U367*(1+E$293)</f>
        <v>0</v>
      </c>
      <c r="F368" s="36">
        <f>V367*(1+F$293)</f>
        <v>0</v>
      </c>
      <c r="G368" s="36">
        <f>W367*(1+G$293)</f>
        <v>0</v>
      </c>
      <c r="H368" s="36">
        <f>X367*(1+H$293)</f>
        <v>0</v>
      </c>
      <c r="I368" s="36">
        <f>Y367*(1+I$293)</f>
        <v>0</v>
      </c>
      <c r="J368" s="36">
        <f>Z367*(1+J$293)</f>
        <v>0</v>
      </c>
      <c r="K368" s="36">
        <f>AA367*(1+K$293)</f>
        <v>0</v>
      </c>
      <c r="L368" s="36">
        <f>AB367*(1+L$293)</f>
        <v>0</v>
      </c>
      <c r="M368" s="36">
        <f>MIN(E368-MIN(E$294,E368),MAX(0,$C368-0))</f>
        <v>0</v>
      </c>
      <c r="N368" s="36">
        <f>MIN(F368-MIN(F$294,F368),MAX(0,$C368-SUM($M368:M368)))</f>
        <v>0</v>
      </c>
      <c r="O368" s="36">
        <f>MIN(G368-MIN(G$294,G368),MAX(0,$C368-SUM($M368:N368)))</f>
        <v>0</v>
      </c>
      <c r="P368" s="36">
        <f>MIN(H368-MIN(H$294,H368),MAX(0,$C368-SUM($M368:O368)))</f>
        <v>0</v>
      </c>
      <c r="Q368" s="36">
        <f>MIN(I368-MIN(I$294,I368),MAX(0,$C368-SUM($M368:P368)))</f>
        <v>0</v>
      </c>
      <c r="R368" s="36">
        <f>MIN(J368-MIN(J$294,J368),MAX(0,$C368-SUM($M368:Q368)))</f>
        <v>0</v>
      </c>
      <c r="S368" s="36">
        <f>MIN(K368-MIN(K$294,K368),MAX(0,$C368-SUM($M368:R368)))</f>
        <v>0</v>
      </c>
      <c r="T368" s="36">
        <f>MIN(L368-MIN(L$294,L368),MAX(0,$C368-SUM($M368:S368)))</f>
        <v>0</v>
      </c>
      <c r="U368" s="36">
        <f>IF(E368-MIN(E$294,E368)-M368&lt;0.005,0,E368-MIN(E$294,E368)-M368)</f>
        <v>0</v>
      </c>
      <c r="V368" s="36">
        <f>IF(F368-MIN(F$294,F368)-N368&lt;0.005,0,F368-MIN(F$294,F368)-N368)</f>
        <v>0</v>
      </c>
      <c r="W368" s="36">
        <f>IF(G368-MIN(G$294,G368)-O368&lt;0.005,0,G368-MIN(G$294,G368)-O368)</f>
        <v>0</v>
      </c>
      <c r="X368" s="36">
        <f>IF(H368-MIN(H$294,H368)-P368&lt;0.005,0,H368-MIN(H$294,H368)-P368)</f>
        <v>0</v>
      </c>
      <c r="Y368" s="36">
        <f>IF(I368-MIN(I$294,I368)-Q368&lt;0.005,0,I368-MIN(I$294,I368)-Q368)</f>
        <v>0</v>
      </c>
      <c r="Z368" s="36">
        <f>IF(J368-MIN(J$294,J368)-R368&lt;0.005,0,J368-MIN(J$294,J368)-R368)</f>
        <v>0</v>
      </c>
      <c r="AA368" s="36">
        <f>IF(K368-MIN(K$294,K368)-S368&lt;0.005,0,K368-MIN(K$294,K368)-S368)</f>
        <v>0</v>
      </c>
      <c r="AB368" s="36">
        <f>IF(L368-MIN(L$294,L368)-T368&lt;0.005,0,L368-MIN(L$294,L368)-T368)</f>
        <v>0</v>
      </c>
      <c r="AC368" s="36">
        <f>SUM(U368:AB368)</f>
        <v>0</v>
      </c>
      <c r="AD368" s="36">
        <f>D368+SUM(M368:T368)</f>
        <v>0</v>
      </c>
    </row>
    <row r="369">
      <c r="B369" s="40" t="n">
        <v>71</v>
      </c>
      <c r="C369" s="36">
        <f>MAX(0,Sim_SomaParc+N(Sim_Extra)-D369)</f>
        <v>2790</v>
      </c>
      <c r="D369" s="36">
        <f>MIN(E$294,E369)+MIN(F$294,F369)+MIN(G$294,G369)+MIN(H$294,H369)+MIN(I$294,I369)+MIN(J$294,J369)+MIN(K$294,K369)+MIN(L$294,L369)</f>
        <v>0</v>
      </c>
      <c r="E369" s="36">
        <f>U368*(1+E$293)</f>
        <v>0</v>
      </c>
      <c r="F369" s="36">
        <f>V368*(1+F$293)</f>
        <v>0</v>
      </c>
      <c r="G369" s="36">
        <f>W368*(1+G$293)</f>
        <v>0</v>
      </c>
      <c r="H369" s="36">
        <f>X368*(1+H$293)</f>
        <v>0</v>
      </c>
      <c r="I369" s="36">
        <f>Y368*(1+I$293)</f>
        <v>0</v>
      </c>
      <c r="J369" s="36">
        <f>Z368*(1+J$293)</f>
        <v>0</v>
      </c>
      <c r="K369" s="36">
        <f>AA368*(1+K$293)</f>
        <v>0</v>
      </c>
      <c r="L369" s="36">
        <f>AB368*(1+L$293)</f>
        <v>0</v>
      </c>
      <c r="M369" s="36">
        <f>MIN(E369-MIN(E$294,E369),MAX(0,$C369-0))</f>
        <v>0</v>
      </c>
      <c r="N369" s="36">
        <f>MIN(F369-MIN(F$294,F369),MAX(0,$C369-SUM($M369:M369)))</f>
        <v>0</v>
      </c>
      <c r="O369" s="36">
        <f>MIN(G369-MIN(G$294,G369),MAX(0,$C369-SUM($M369:N369)))</f>
        <v>0</v>
      </c>
      <c r="P369" s="36">
        <f>MIN(H369-MIN(H$294,H369),MAX(0,$C369-SUM($M369:O369)))</f>
        <v>0</v>
      </c>
      <c r="Q369" s="36">
        <f>MIN(I369-MIN(I$294,I369),MAX(0,$C369-SUM($M369:P369)))</f>
        <v>0</v>
      </c>
      <c r="R369" s="36">
        <f>MIN(J369-MIN(J$294,J369),MAX(0,$C369-SUM($M369:Q369)))</f>
        <v>0</v>
      </c>
      <c r="S369" s="36">
        <f>MIN(K369-MIN(K$294,K369),MAX(0,$C369-SUM($M369:R369)))</f>
        <v>0</v>
      </c>
      <c r="T369" s="36">
        <f>MIN(L369-MIN(L$294,L369),MAX(0,$C369-SUM($M369:S369)))</f>
        <v>0</v>
      </c>
      <c r="U369" s="36">
        <f>IF(E369-MIN(E$294,E369)-M369&lt;0.005,0,E369-MIN(E$294,E369)-M369)</f>
        <v>0</v>
      </c>
      <c r="V369" s="36">
        <f>IF(F369-MIN(F$294,F369)-N369&lt;0.005,0,F369-MIN(F$294,F369)-N369)</f>
        <v>0</v>
      </c>
      <c r="W369" s="36">
        <f>IF(G369-MIN(G$294,G369)-O369&lt;0.005,0,G369-MIN(G$294,G369)-O369)</f>
        <v>0</v>
      </c>
      <c r="X369" s="36">
        <f>IF(H369-MIN(H$294,H369)-P369&lt;0.005,0,H369-MIN(H$294,H369)-P369)</f>
        <v>0</v>
      </c>
      <c r="Y369" s="36">
        <f>IF(I369-MIN(I$294,I369)-Q369&lt;0.005,0,I369-MIN(I$294,I369)-Q369)</f>
        <v>0</v>
      </c>
      <c r="Z369" s="36">
        <f>IF(J369-MIN(J$294,J369)-R369&lt;0.005,0,J369-MIN(J$294,J369)-R369)</f>
        <v>0</v>
      </c>
      <c r="AA369" s="36">
        <f>IF(K369-MIN(K$294,K369)-S369&lt;0.005,0,K369-MIN(K$294,K369)-S369)</f>
        <v>0</v>
      </c>
      <c r="AB369" s="36">
        <f>IF(L369-MIN(L$294,L369)-T369&lt;0.005,0,L369-MIN(L$294,L369)-T369)</f>
        <v>0</v>
      </c>
      <c r="AC369" s="36">
        <f>SUM(U369:AB369)</f>
        <v>0</v>
      </c>
      <c r="AD369" s="36">
        <f>D369+SUM(M369:T369)</f>
        <v>0</v>
      </c>
    </row>
    <row r="370">
      <c r="B370" s="40" t="n">
        <v>72</v>
      </c>
      <c r="C370" s="36">
        <f>MAX(0,Sim_SomaParc+N(Sim_Extra)-D370)</f>
        <v>2790</v>
      </c>
      <c r="D370" s="36">
        <f>MIN(E$294,E370)+MIN(F$294,F370)+MIN(G$294,G370)+MIN(H$294,H370)+MIN(I$294,I370)+MIN(J$294,J370)+MIN(K$294,K370)+MIN(L$294,L370)</f>
        <v>0</v>
      </c>
      <c r="E370" s="36">
        <f>U369*(1+E$293)</f>
        <v>0</v>
      </c>
      <c r="F370" s="36">
        <f>V369*(1+F$293)</f>
        <v>0</v>
      </c>
      <c r="G370" s="36">
        <f>W369*(1+G$293)</f>
        <v>0</v>
      </c>
      <c r="H370" s="36">
        <f>X369*(1+H$293)</f>
        <v>0</v>
      </c>
      <c r="I370" s="36">
        <f>Y369*(1+I$293)</f>
        <v>0</v>
      </c>
      <c r="J370" s="36">
        <f>Z369*(1+J$293)</f>
        <v>0</v>
      </c>
      <c r="K370" s="36">
        <f>AA369*(1+K$293)</f>
        <v>0</v>
      </c>
      <c r="L370" s="36">
        <f>AB369*(1+L$293)</f>
        <v>0</v>
      </c>
      <c r="M370" s="36">
        <f>MIN(E370-MIN(E$294,E370),MAX(0,$C370-0))</f>
        <v>0</v>
      </c>
      <c r="N370" s="36">
        <f>MIN(F370-MIN(F$294,F370),MAX(0,$C370-SUM($M370:M370)))</f>
        <v>0</v>
      </c>
      <c r="O370" s="36">
        <f>MIN(G370-MIN(G$294,G370),MAX(0,$C370-SUM($M370:N370)))</f>
        <v>0</v>
      </c>
      <c r="P370" s="36">
        <f>MIN(H370-MIN(H$294,H370),MAX(0,$C370-SUM($M370:O370)))</f>
        <v>0</v>
      </c>
      <c r="Q370" s="36">
        <f>MIN(I370-MIN(I$294,I370),MAX(0,$C370-SUM($M370:P370)))</f>
        <v>0</v>
      </c>
      <c r="R370" s="36">
        <f>MIN(J370-MIN(J$294,J370),MAX(0,$C370-SUM($M370:Q370)))</f>
        <v>0</v>
      </c>
      <c r="S370" s="36">
        <f>MIN(K370-MIN(K$294,K370),MAX(0,$C370-SUM($M370:R370)))</f>
        <v>0</v>
      </c>
      <c r="T370" s="36">
        <f>MIN(L370-MIN(L$294,L370),MAX(0,$C370-SUM($M370:S370)))</f>
        <v>0</v>
      </c>
      <c r="U370" s="36">
        <f>IF(E370-MIN(E$294,E370)-M370&lt;0.005,0,E370-MIN(E$294,E370)-M370)</f>
        <v>0</v>
      </c>
      <c r="V370" s="36">
        <f>IF(F370-MIN(F$294,F370)-N370&lt;0.005,0,F370-MIN(F$294,F370)-N370)</f>
        <v>0</v>
      </c>
      <c r="W370" s="36">
        <f>IF(G370-MIN(G$294,G370)-O370&lt;0.005,0,G370-MIN(G$294,G370)-O370)</f>
        <v>0</v>
      </c>
      <c r="X370" s="36">
        <f>IF(H370-MIN(H$294,H370)-P370&lt;0.005,0,H370-MIN(H$294,H370)-P370)</f>
        <v>0</v>
      </c>
      <c r="Y370" s="36">
        <f>IF(I370-MIN(I$294,I370)-Q370&lt;0.005,0,I370-MIN(I$294,I370)-Q370)</f>
        <v>0</v>
      </c>
      <c r="Z370" s="36">
        <f>IF(J370-MIN(J$294,J370)-R370&lt;0.005,0,J370-MIN(J$294,J370)-R370)</f>
        <v>0</v>
      </c>
      <c r="AA370" s="36">
        <f>IF(K370-MIN(K$294,K370)-S370&lt;0.005,0,K370-MIN(K$294,K370)-S370)</f>
        <v>0</v>
      </c>
      <c r="AB370" s="36">
        <f>IF(L370-MIN(L$294,L370)-T370&lt;0.005,0,L370-MIN(L$294,L370)-T370)</f>
        <v>0</v>
      </c>
      <c r="AC370" s="36">
        <f>SUM(U370:AB370)</f>
        <v>0</v>
      </c>
      <c r="AD370" s="36">
        <f>D370+SUM(M370:T370)</f>
        <v>0</v>
      </c>
    </row>
    <row r="371">
      <c r="B371" s="40" t="n">
        <v>73</v>
      </c>
      <c r="C371" s="36">
        <f>MAX(0,Sim_SomaParc+N(Sim_Extra)-D371)</f>
        <v>2790</v>
      </c>
      <c r="D371" s="36">
        <f>MIN(E$294,E371)+MIN(F$294,F371)+MIN(G$294,G371)+MIN(H$294,H371)+MIN(I$294,I371)+MIN(J$294,J371)+MIN(K$294,K371)+MIN(L$294,L371)</f>
        <v>0</v>
      </c>
      <c r="E371" s="36">
        <f>U370*(1+E$293)</f>
        <v>0</v>
      </c>
      <c r="F371" s="36">
        <f>V370*(1+F$293)</f>
        <v>0</v>
      </c>
      <c r="G371" s="36">
        <f>W370*(1+G$293)</f>
        <v>0</v>
      </c>
      <c r="H371" s="36">
        <f>X370*(1+H$293)</f>
        <v>0</v>
      </c>
      <c r="I371" s="36">
        <f>Y370*(1+I$293)</f>
        <v>0</v>
      </c>
      <c r="J371" s="36">
        <f>Z370*(1+J$293)</f>
        <v>0</v>
      </c>
      <c r="K371" s="36">
        <f>AA370*(1+K$293)</f>
        <v>0</v>
      </c>
      <c r="L371" s="36">
        <f>AB370*(1+L$293)</f>
        <v>0</v>
      </c>
      <c r="M371" s="36">
        <f>MIN(E371-MIN(E$294,E371),MAX(0,$C371-0))</f>
        <v>0</v>
      </c>
      <c r="N371" s="36">
        <f>MIN(F371-MIN(F$294,F371),MAX(0,$C371-SUM($M371:M371)))</f>
        <v>0</v>
      </c>
      <c r="O371" s="36">
        <f>MIN(G371-MIN(G$294,G371),MAX(0,$C371-SUM($M371:N371)))</f>
        <v>0</v>
      </c>
      <c r="P371" s="36">
        <f>MIN(H371-MIN(H$294,H371),MAX(0,$C371-SUM($M371:O371)))</f>
        <v>0</v>
      </c>
      <c r="Q371" s="36">
        <f>MIN(I371-MIN(I$294,I371),MAX(0,$C371-SUM($M371:P371)))</f>
        <v>0</v>
      </c>
      <c r="R371" s="36">
        <f>MIN(J371-MIN(J$294,J371),MAX(0,$C371-SUM($M371:Q371)))</f>
        <v>0</v>
      </c>
      <c r="S371" s="36">
        <f>MIN(K371-MIN(K$294,K371),MAX(0,$C371-SUM($M371:R371)))</f>
        <v>0</v>
      </c>
      <c r="T371" s="36">
        <f>MIN(L371-MIN(L$294,L371),MAX(0,$C371-SUM($M371:S371)))</f>
        <v>0</v>
      </c>
      <c r="U371" s="36">
        <f>IF(E371-MIN(E$294,E371)-M371&lt;0.005,0,E371-MIN(E$294,E371)-M371)</f>
        <v>0</v>
      </c>
      <c r="V371" s="36">
        <f>IF(F371-MIN(F$294,F371)-N371&lt;0.005,0,F371-MIN(F$294,F371)-N371)</f>
        <v>0</v>
      </c>
      <c r="W371" s="36">
        <f>IF(G371-MIN(G$294,G371)-O371&lt;0.005,0,G371-MIN(G$294,G371)-O371)</f>
        <v>0</v>
      </c>
      <c r="X371" s="36">
        <f>IF(H371-MIN(H$294,H371)-P371&lt;0.005,0,H371-MIN(H$294,H371)-P371)</f>
        <v>0</v>
      </c>
      <c r="Y371" s="36">
        <f>IF(I371-MIN(I$294,I371)-Q371&lt;0.005,0,I371-MIN(I$294,I371)-Q371)</f>
        <v>0</v>
      </c>
      <c r="Z371" s="36">
        <f>IF(J371-MIN(J$294,J371)-R371&lt;0.005,0,J371-MIN(J$294,J371)-R371)</f>
        <v>0</v>
      </c>
      <c r="AA371" s="36">
        <f>IF(K371-MIN(K$294,K371)-S371&lt;0.005,0,K371-MIN(K$294,K371)-S371)</f>
        <v>0</v>
      </c>
      <c r="AB371" s="36">
        <f>IF(L371-MIN(L$294,L371)-T371&lt;0.005,0,L371-MIN(L$294,L371)-T371)</f>
        <v>0</v>
      </c>
      <c r="AC371" s="36">
        <f>SUM(U371:AB371)</f>
        <v>0</v>
      </c>
      <c r="AD371" s="36">
        <f>D371+SUM(M371:T371)</f>
        <v>0</v>
      </c>
    </row>
    <row r="372">
      <c r="B372" s="40" t="n">
        <v>74</v>
      </c>
      <c r="C372" s="36">
        <f>MAX(0,Sim_SomaParc+N(Sim_Extra)-D372)</f>
        <v>2790</v>
      </c>
      <c r="D372" s="36">
        <f>MIN(E$294,E372)+MIN(F$294,F372)+MIN(G$294,G372)+MIN(H$294,H372)+MIN(I$294,I372)+MIN(J$294,J372)+MIN(K$294,K372)+MIN(L$294,L372)</f>
        <v>0</v>
      </c>
      <c r="E372" s="36">
        <f>U371*(1+E$293)</f>
        <v>0</v>
      </c>
      <c r="F372" s="36">
        <f>V371*(1+F$293)</f>
        <v>0</v>
      </c>
      <c r="G372" s="36">
        <f>W371*(1+G$293)</f>
        <v>0</v>
      </c>
      <c r="H372" s="36">
        <f>X371*(1+H$293)</f>
        <v>0</v>
      </c>
      <c r="I372" s="36">
        <f>Y371*(1+I$293)</f>
        <v>0</v>
      </c>
      <c r="J372" s="36">
        <f>Z371*(1+J$293)</f>
        <v>0</v>
      </c>
      <c r="K372" s="36">
        <f>AA371*(1+K$293)</f>
        <v>0</v>
      </c>
      <c r="L372" s="36">
        <f>AB371*(1+L$293)</f>
        <v>0</v>
      </c>
      <c r="M372" s="36">
        <f>MIN(E372-MIN(E$294,E372),MAX(0,$C372-0))</f>
        <v>0</v>
      </c>
      <c r="N372" s="36">
        <f>MIN(F372-MIN(F$294,F372),MAX(0,$C372-SUM($M372:M372)))</f>
        <v>0</v>
      </c>
      <c r="O372" s="36">
        <f>MIN(G372-MIN(G$294,G372),MAX(0,$C372-SUM($M372:N372)))</f>
        <v>0</v>
      </c>
      <c r="P372" s="36">
        <f>MIN(H372-MIN(H$294,H372),MAX(0,$C372-SUM($M372:O372)))</f>
        <v>0</v>
      </c>
      <c r="Q372" s="36">
        <f>MIN(I372-MIN(I$294,I372),MAX(0,$C372-SUM($M372:P372)))</f>
        <v>0</v>
      </c>
      <c r="R372" s="36">
        <f>MIN(J372-MIN(J$294,J372),MAX(0,$C372-SUM($M372:Q372)))</f>
        <v>0</v>
      </c>
      <c r="S372" s="36">
        <f>MIN(K372-MIN(K$294,K372),MAX(0,$C372-SUM($M372:R372)))</f>
        <v>0</v>
      </c>
      <c r="T372" s="36">
        <f>MIN(L372-MIN(L$294,L372),MAX(0,$C372-SUM($M372:S372)))</f>
        <v>0</v>
      </c>
      <c r="U372" s="36">
        <f>IF(E372-MIN(E$294,E372)-M372&lt;0.005,0,E372-MIN(E$294,E372)-M372)</f>
        <v>0</v>
      </c>
      <c r="V372" s="36">
        <f>IF(F372-MIN(F$294,F372)-N372&lt;0.005,0,F372-MIN(F$294,F372)-N372)</f>
        <v>0</v>
      </c>
      <c r="W372" s="36">
        <f>IF(G372-MIN(G$294,G372)-O372&lt;0.005,0,G372-MIN(G$294,G372)-O372)</f>
        <v>0</v>
      </c>
      <c r="X372" s="36">
        <f>IF(H372-MIN(H$294,H372)-P372&lt;0.005,0,H372-MIN(H$294,H372)-P372)</f>
        <v>0</v>
      </c>
      <c r="Y372" s="36">
        <f>IF(I372-MIN(I$294,I372)-Q372&lt;0.005,0,I372-MIN(I$294,I372)-Q372)</f>
        <v>0</v>
      </c>
      <c r="Z372" s="36">
        <f>IF(J372-MIN(J$294,J372)-R372&lt;0.005,0,J372-MIN(J$294,J372)-R372)</f>
        <v>0</v>
      </c>
      <c r="AA372" s="36">
        <f>IF(K372-MIN(K$294,K372)-S372&lt;0.005,0,K372-MIN(K$294,K372)-S372)</f>
        <v>0</v>
      </c>
      <c r="AB372" s="36">
        <f>IF(L372-MIN(L$294,L372)-T372&lt;0.005,0,L372-MIN(L$294,L372)-T372)</f>
        <v>0</v>
      </c>
      <c r="AC372" s="36">
        <f>SUM(U372:AB372)</f>
        <v>0</v>
      </c>
      <c r="AD372" s="36">
        <f>D372+SUM(M372:T372)</f>
        <v>0</v>
      </c>
    </row>
    <row r="373">
      <c r="B373" s="40" t="n">
        <v>75</v>
      </c>
      <c r="C373" s="36">
        <f>MAX(0,Sim_SomaParc+N(Sim_Extra)-D373)</f>
        <v>2790</v>
      </c>
      <c r="D373" s="36">
        <f>MIN(E$294,E373)+MIN(F$294,F373)+MIN(G$294,G373)+MIN(H$294,H373)+MIN(I$294,I373)+MIN(J$294,J373)+MIN(K$294,K373)+MIN(L$294,L373)</f>
        <v>0</v>
      </c>
      <c r="E373" s="36">
        <f>U372*(1+E$293)</f>
        <v>0</v>
      </c>
      <c r="F373" s="36">
        <f>V372*(1+F$293)</f>
        <v>0</v>
      </c>
      <c r="G373" s="36">
        <f>W372*(1+G$293)</f>
        <v>0</v>
      </c>
      <c r="H373" s="36">
        <f>X372*(1+H$293)</f>
        <v>0</v>
      </c>
      <c r="I373" s="36">
        <f>Y372*(1+I$293)</f>
        <v>0</v>
      </c>
      <c r="J373" s="36">
        <f>Z372*(1+J$293)</f>
        <v>0</v>
      </c>
      <c r="K373" s="36">
        <f>AA372*(1+K$293)</f>
        <v>0</v>
      </c>
      <c r="L373" s="36">
        <f>AB372*(1+L$293)</f>
        <v>0</v>
      </c>
      <c r="M373" s="36">
        <f>MIN(E373-MIN(E$294,E373),MAX(0,$C373-0))</f>
        <v>0</v>
      </c>
      <c r="N373" s="36">
        <f>MIN(F373-MIN(F$294,F373),MAX(0,$C373-SUM($M373:M373)))</f>
        <v>0</v>
      </c>
      <c r="O373" s="36">
        <f>MIN(G373-MIN(G$294,G373),MAX(0,$C373-SUM($M373:N373)))</f>
        <v>0</v>
      </c>
      <c r="P373" s="36">
        <f>MIN(H373-MIN(H$294,H373),MAX(0,$C373-SUM($M373:O373)))</f>
        <v>0</v>
      </c>
      <c r="Q373" s="36">
        <f>MIN(I373-MIN(I$294,I373),MAX(0,$C373-SUM($M373:P373)))</f>
        <v>0</v>
      </c>
      <c r="R373" s="36">
        <f>MIN(J373-MIN(J$294,J373),MAX(0,$C373-SUM($M373:Q373)))</f>
        <v>0</v>
      </c>
      <c r="S373" s="36">
        <f>MIN(K373-MIN(K$294,K373),MAX(0,$C373-SUM($M373:R373)))</f>
        <v>0</v>
      </c>
      <c r="T373" s="36">
        <f>MIN(L373-MIN(L$294,L373),MAX(0,$C373-SUM($M373:S373)))</f>
        <v>0</v>
      </c>
      <c r="U373" s="36">
        <f>IF(E373-MIN(E$294,E373)-M373&lt;0.005,0,E373-MIN(E$294,E373)-M373)</f>
        <v>0</v>
      </c>
      <c r="V373" s="36">
        <f>IF(F373-MIN(F$294,F373)-N373&lt;0.005,0,F373-MIN(F$294,F373)-N373)</f>
        <v>0</v>
      </c>
      <c r="W373" s="36">
        <f>IF(G373-MIN(G$294,G373)-O373&lt;0.005,0,G373-MIN(G$294,G373)-O373)</f>
        <v>0</v>
      </c>
      <c r="X373" s="36">
        <f>IF(H373-MIN(H$294,H373)-P373&lt;0.005,0,H373-MIN(H$294,H373)-P373)</f>
        <v>0</v>
      </c>
      <c r="Y373" s="36">
        <f>IF(I373-MIN(I$294,I373)-Q373&lt;0.005,0,I373-MIN(I$294,I373)-Q373)</f>
        <v>0</v>
      </c>
      <c r="Z373" s="36">
        <f>IF(J373-MIN(J$294,J373)-R373&lt;0.005,0,J373-MIN(J$294,J373)-R373)</f>
        <v>0</v>
      </c>
      <c r="AA373" s="36">
        <f>IF(K373-MIN(K$294,K373)-S373&lt;0.005,0,K373-MIN(K$294,K373)-S373)</f>
        <v>0</v>
      </c>
      <c r="AB373" s="36">
        <f>IF(L373-MIN(L$294,L373)-T373&lt;0.005,0,L373-MIN(L$294,L373)-T373)</f>
        <v>0</v>
      </c>
      <c r="AC373" s="36">
        <f>SUM(U373:AB373)</f>
        <v>0</v>
      </c>
      <c r="AD373" s="36">
        <f>D373+SUM(M373:T373)</f>
        <v>0</v>
      </c>
    </row>
    <row r="374">
      <c r="B374" s="40" t="n">
        <v>76</v>
      </c>
      <c r="C374" s="36">
        <f>MAX(0,Sim_SomaParc+N(Sim_Extra)-D374)</f>
        <v>2790</v>
      </c>
      <c r="D374" s="36">
        <f>MIN(E$294,E374)+MIN(F$294,F374)+MIN(G$294,G374)+MIN(H$294,H374)+MIN(I$294,I374)+MIN(J$294,J374)+MIN(K$294,K374)+MIN(L$294,L374)</f>
        <v>0</v>
      </c>
      <c r="E374" s="36">
        <f>U373*(1+E$293)</f>
        <v>0</v>
      </c>
      <c r="F374" s="36">
        <f>V373*(1+F$293)</f>
        <v>0</v>
      </c>
      <c r="G374" s="36">
        <f>W373*(1+G$293)</f>
        <v>0</v>
      </c>
      <c r="H374" s="36">
        <f>X373*(1+H$293)</f>
        <v>0</v>
      </c>
      <c r="I374" s="36">
        <f>Y373*(1+I$293)</f>
        <v>0</v>
      </c>
      <c r="J374" s="36">
        <f>Z373*(1+J$293)</f>
        <v>0</v>
      </c>
      <c r="K374" s="36">
        <f>AA373*(1+K$293)</f>
        <v>0</v>
      </c>
      <c r="L374" s="36">
        <f>AB373*(1+L$293)</f>
        <v>0</v>
      </c>
      <c r="M374" s="36">
        <f>MIN(E374-MIN(E$294,E374),MAX(0,$C374-0))</f>
        <v>0</v>
      </c>
      <c r="N374" s="36">
        <f>MIN(F374-MIN(F$294,F374),MAX(0,$C374-SUM($M374:M374)))</f>
        <v>0</v>
      </c>
      <c r="O374" s="36">
        <f>MIN(G374-MIN(G$294,G374),MAX(0,$C374-SUM($M374:N374)))</f>
        <v>0</v>
      </c>
      <c r="P374" s="36">
        <f>MIN(H374-MIN(H$294,H374),MAX(0,$C374-SUM($M374:O374)))</f>
        <v>0</v>
      </c>
      <c r="Q374" s="36">
        <f>MIN(I374-MIN(I$294,I374),MAX(0,$C374-SUM($M374:P374)))</f>
        <v>0</v>
      </c>
      <c r="R374" s="36">
        <f>MIN(J374-MIN(J$294,J374),MAX(0,$C374-SUM($M374:Q374)))</f>
        <v>0</v>
      </c>
      <c r="S374" s="36">
        <f>MIN(K374-MIN(K$294,K374),MAX(0,$C374-SUM($M374:R374)))</f>
        <v>0</v>
      </c>
      <c r="T374" s="36">
        <f>MIN(L374-MIN(L$294,L374),MAX(0,$C374-SUM($M374:S374)))</f>
        <v>0</v>
      </c>
      <c r="U374" s="36">
        <f>IF(E374-MIN(E$294,E374)-M374&lt;0.005,0,E374-MIN(E$294,E374)-M374)</f>
        <v>0</v>
      </c>
      <c r="V374" s="36">
        <f>IF(F374-MIN(F$294,F374)-N374&lt;0.005,0,F374-MIN(F$294,F374)-N374)</f>
        <v>0</v>
      </c>
      <c r="W374" s="36">
        <f>IF(G374-MIN(G$294,G374)-O374&lt;0.005,0,G374-MIN(G$294,G374)-O374)</f>
        <v>0</v>
      </c>
      <c r="X374" s="36">
        <f>IF(H374-MIN(H$294,H374)-P374&lt;0.005,0,H374-MIN(H$294,H374)-P374)</f>
        <v>0</v>
      </c>
      <c r="Y374" s="36">
        <f>IF(I374-MIN(I$294,I374)-Q374&lt;0.005,0,I374-MIN(I$294,I374)-Q374)</f>
        <v>0</v>
      </c>
      <c r="Z374" s="36">
        <f>IF(J374-MIN(J$294,J374)-R374&lt;0.005,0,J374-MIN(J$294,J374)-R374)</f>
        <v>0</v>
      </c>
      <c r="AA374" s="36">
        <f>IF(K374-MIN(K$294,K374)-S374&lt;0.005,0,K374-MIN(K$294,K374)-S374)</f>
        <v>0</v>
      </c>
      <c r="AB374" s="36">
        <f>IF(L374-MIN(L$294,L374)-T374&lt;0.005,0,L374-MIN(L$294,L374)-T374)</f>
        <v>0</v>
      </c>
      <c r="AC374" s="36">
        <f>SUM(U374:AB374)</f>
        <v>0</v>
      </c>
      <c r="AD374" s="36">
        <f>D374+SUM(M374:T374)</f>
        <v>0</v>
      </c>
    </row>
    <row r="375">
      <c r="B375" s="40" t="n">
        <v>77</v>
      </c>
      <c r="C375" s="36">
        <f>MAX(0,Sim_SomaParc+N(Sim_Extra)-D375)</f>
        <v>2790</v>
      </c>
      <c r="D375" s="36">
        <f>MIN(E$294,E375)+MIN(F$294,F375)+MIN(G$294,G375)+MIN(H$294,H375)+MIN(I$294,I375)+MIN(J$294,J375)+MIN(K$294,K375)+MIN(L$294,L375)</f>
        <v>0</v>
      </c>
      <c r="E375" s="36">
        <f>U374*(1+E$293)</f>
        <v>0</v>
      </c>
      <c r="F375" s="36">
        <f>V374*(1+F$293)</f>
        <v>0</v>
      </c>
      <c r="G375" s="36">
        <f>W374*(1+G$293)</f>
        <v>0</v>
      </c>
      <c r="H375" s="36">
        <f>X374*(1+H$293)</f>
        <v>0</v>
      </c>
      <c r="I375" s="36">
        <f>Y374*(1+I$293)</f>
        <v>0</v>
      </c>
      <c r="J375" s="36">
        <f>Z374*(1+J$293)</f>
        <v>0</v>
      </c>
      <c r="K375" s="36">
        <f>AA374*(1+K$293)</f>
        <v>0</v>
      </c>
      <c r="L375" s="36">
        <f>AB374*(1+L$293)</f>
        <v>0</v>
      </c>
      <c r="M375" s="36">
        <f>MIN(E375-MIN(E$294,E375),MAX(0,$C375-0))</f>
        <v>0</v>
      </c>
      <c r="N375" s="36">
        <f>MIN(F375-MIN(F$294,F375),MAX(0,$C375-SUM($M375:M375)))</f>
        <v>0</v>
      </c>
      <c r="O375" s="36">
        <f>MIN(G375-MIN(G$294,G375),MAX(0,$C375-SUM($M375:N375)))</f>
        <v>0</v>
      </c>
      <c r="P375" s="36">
        <f>MIN(H375-MIN(H$294,H375),MAX(0,$C375-SUM($M375:O375)))</f>
        <v>0</v>
      </c>
      <c r="Q375" s="36">
        <f>MIN(I375-MIN(I$294,I375),MAX(0,$C375-SUM($M375:P375)))</f>
        <v>0</v>
      </c>
      <c r="R375" s="36">
        <f>MIN(J375-MIN(J$294,J375),MAX(0,$C375-SUM($M375:Q375)))</f>
        <v>0</v>
      </c>
      <c r="S375" s="36">
        <f>MIN(K375-MIN(K$294,K375),MAX(0,$C375-SUM($M375:R375)))</f>
        <v>0</v>
      </c>
      <c r="T375" s="36">
        <f>MIN(L375-MIN(L$294,L375),MAX(0,$C375-SUM($M375:S375)))</f>
        <v>0</v>
      </c>
      <c r="U375" s="36">
        <f>IF(E375-MIN(E$294,E375)-M375&lt;0.005,0,E375-MIN(E$294,E375)-M375)</f>
        <v>0</v>
      </c>
      <c r="V375" s="36">
        <f>IF(F375-MIN(F$294,F375)-N375&lt;0.005,0,F375-MIN(F$294,F375)-N375)</f>
        <v>0</v>
      </c>
      <c r="W375" s="36">
        <f>IF(G375-MIN(G$294,G375)-O375&lt;0.005,0,G375-MIN(G$294,G375)-O375)</f>
        <v>0</v>
      </c>
      <c r="X375" s="36">
        <f>IF(H375-MIN(H$294,H375)-P375&lt;0.005,0,H375-MIN(H$294,H375)-P375)</f>
        <v>0</v>
      </c>
      <c r="Y375" s="36">
        <f>IF(I375-MIN(I$294,I375)-Q375&lt;0.005,0,I375-MIN(I$294,I375)-Q375)</f>
        <v>0</v>
      </c>
      <c r="Z375" s="36">
        <f>IF(J375-MIN(J$294,J375)-R375&lt;0.005,0,J375-MIN(J$294,J375)-R375)</f>
        <v>0</v>
      </c>
      <c r="AA375" s="36">
        <f>IF(K375-MIN(K$294,K375)-S375&lt;0.005,0,K375-MIN(K$294,K375)-S375)</f>
        <v>0</v>
      </c>
      <c r="AB375" s="36">
        <f>IF(L375-MIN(L$294,L375)-T375&lt;0.005,0,L375-MIN(L$294,L375)-T375)</f>
        <v>0</v>
      </c>
      <c r="AC375" s="36">
        <f>SUM(U375:AB375)</f>
        <v>0</v>
      </c>
      <c r="AD375" s="36">
        <f>D375+SUM(M375:T375)</f>
        <v>0</v>
      </c>
    </row>
    <row r="376">
      <c r="B376" s="40" t="n">
        <v>78</v>
      </c>
      <c r="C376" s="36">
        <f>MAX(0,Sim_SomaParc+N(Sim_Extra)-D376)</f>
        <v>2790</v>
      </c>
      <c r="D376" s="36">
        <f>MIN(E$294,E376)+MIN(F$294,F376)+MIN(G$294,G376)+MIN(H$294,H376)+MIN(I$294,I376)+MIN(J$294,J376)+MIN(K$294,K376)+MIN(L$294,L376)</f>
        <v>0</v>
      </c>
      <c r="E376" s="36">
        <f>U375*(1+E$293)</f>
        <v>0</v>
      </c>
      <c r="F376" s="36">
        <f>V375*(1+F$293)</f>
        <v>0</v>
      </c>
      <c r="G376" s="36">
        <f>W375*(1+G$293)</f>
        <v>0</v>
      </c>
      <c r="H376" s="36">
        <f>X375*(1+H$293)</f>
        <v>0</v>
      </c>
      <c r="I376" s="36">
        <f>Y375*(1+I$293)</f>
        <v>0</v>
      </c>
      <c r="J376" s="36">
        <f>Z375*(1+J$293)</f>
        <v>0</v>
      </c>
      <c r="K376" s="36">
        <f>AA375*(1+K$293)</f>
        <v>0</v>
      </c>
      <c r="L376" s="36">
        <f>AB375*(1+L$293)</f>
        <v>0</v>
      </c>
      <c r="M376" s="36">
        <f>MIN(E376-MIN(E$294,E376),MAX(0,$C376-0))</f>
        <v>0</v>
      </c>
      <c r="N376" s="36">
        <f>MIN(F376-MIN(F$294,F376),MAX(0,$C376-SUM($M376:M376)))</f>
        <v>0</v>
      </c>
      <c r="O376" s="36">
        <f>MIN(G376-MIN(G$294,G376),MAX(0,$C376-SUM($M376:N376)))</f>
        <v>0</v>
      </c>
      <c r="P376" s="36">
        <f>MIN(H376-MIN(H$294,H376),MAX(0,$C376-SUM($M376:O376)))</f>
        <v>0</v>
      </c>
      <c r="Q376" s="36">
        <f>MIN(I376-MIN(I$294,I376),MAX(0,$C376-SUM($M376:P376)))</f>
        <v>0</v>
      </c>
      <c r="R376" s="36">
        <f>MIN(J376-MIN(J$294,J376),MAX(0,$C376-SUM($M376:Q376)))</f>
        <v>0</v>
      </c>
      <c r="S376" s="36">
        <f>MIN(K376-MIN(K$294,K376),MAX(0,$C376-SUM($M376:R376)))</f>
        <v>0</v>
      </c>
      <c r="T376" s="36">
        <f>MIN(L376-MIN(L$294,L376),MAX(0,$C376-SUM($M376:S376)))</f>
        <v>0</v>
      </c>
      <c r="U376" s="36">
        <f>IF(E376-MIN(E$294,E376)-M376&lt;0.005,0,E376-MIN(E$294,E376)-M376)</f>
        <v>0</v>
      </c>
      <c r="V376" s="36">
        <f>IF(F376-MIN(F$294,F376)-N376&lt;0.005,0,F376-MIN(F$294,F376)-N376)</f>
        <v>0</v>
      </c>
      <c r="W376" s="36">
        <f>IF(G376-MIN(G$294,G376)-O376&lt;0.005,0,G376-MIN(G$294,G376)-O376)</f>
        <v>0</v>
      </c>
      <c r="X376" s="36">
        <f>IF(H376-MIN(H$294,H376)-P376&lt;0.005,0,H376-MIN(H$294,H376)-P376)</f>
        <v>0</v>
      </c>
      <c r="Y376" s="36">
        <f>IF(I376-MIN(I$294,I376)-Q376&lt;0.005,0,I376-MIN(I$294,I376)-Q376)</f>
        <v>0</v>
      </c>
      <c r="Z376" s="36">
        <f>IF(J376-MIN(J$294,J376)-R376&lt;0.005,0,J376-MIN(J$294,J376)-R376)</f>
        <v>0</v>
      </c>
      <c r="AA376" s="36">
        <f>IF(K376-MIN(K$294,K376)-S376&lt;0.005,0,K376-MIN(K$294,K376)-S376)</f>
        <v>0</v>
      </c>
      <c r="AB376" s="36">
        <f>IF(L376-MIN(L$294,L376)-T376&lt;0.005,0,L376-MIN(L$294,L376)-T376)</f>
        <v>0</v>
      </c>
      <c r="AC376" s="36">
        <f>SUM(U376:AB376)</f>
        <v>0</v>
      </c>
      <c r="AD376" s="36">
        <f>D376+SUM(M376:T376)</f>
        <v>0</v>
      </c>
    </row>
    <row r="377">
      <c r="B377" s="40" t="n">
        <v>79</v>
      </c>
      <c r="C377" s="36">
        <f>MAX(0,Sim_SomaParc+N(Sim_Extra)-D377)</f>
        <v>2790</v>
      </c>
      <c r="D377" s="36">
        <f>MIN(E$294,E377)+MIN(F$294,F377)+MIN(G$294,G377)+MIN(H$294,H377)+MIN(I$294,I377)+MIN(J$294,J377)+MIN(K$294,K377)+MIN(L$294,L377)</f>
        <v>0</v>
      </c>
      <c r="E377" s="36">
        <f>U376*(1+E$293)</f>
        <v>0</v>
      </c>
      <c r="F377" s="36">
        <f>V376*(1+F$293)</f>
        <v>0</v>
      </c>
      <c r="G377" s="36">
        <f>W376*(1+G$293)</f>
        <v>0</v>
      </c>
      <c r="H377" s="36">
        <f>X376*(1+H$293)</f>
        <v>0</v>
      </c>
      <c r="I377" s="36">
        <f>Y376*(1+I$293)</f>
        <v>0</v>
      </c>
      <c r="J377" s="36">
        <f>Z376*(1+J$293)</f>
        <v>0</v>
      </c>
      <c r="K377" s="36">
        <f>AA376*(1+K$293)</f>
        <v>0</v>
      </c>
      <c r="L377" s="36">
        <f>AB376*(1+L$293)</f>
        <v>0</v>
      </c>
      <c r="M377" s="36">
        <f>MIN(E377-MIN(E$294,E377),MAX(0,$C377-0))</f>
        <v>0</v>
      </c>
      <c r="N377" s="36">
        <f>MIN(F377-MIN(F$294,F377),MAX(0,$C377-SUM($M377:M377)))</f>
        <v>0</v>
      </c>
      <c r="O377" s="36">
        <f>MIN(G377-MIN(G$294,G377),MAX(0,$C377-SUM($M377:N377)))</f>
        <v>0</v>
      </c>
      <c r="P377" s="36">
        <f>MIN(H377-MIN(H$294,H377),MAX(0,$C377-SUM($M377:O377)))</f>
        <v>0</v>
      </c>
      <c r="Q377" s="36">
        <f>MIN(I377-MIN(I$294,I377),MAX(0,$C377-SUM($M377:P377)))</f>
        <v>0</v>
      </c>
      <c r="R377" s="36">
        <f>MIN(J377-MIN(J$294,J377),MAX(0,$C377-SUM($M377:Q377)))</f>
        <v>0</v>
      </c>
      <c r="S377" s="36">
        <f>MIN(K377-MIN(K$294,K377),MAX(0,$C377-SUM($M377:R377)))</f>
        <v>0</v>
      </c>
      <c r="T377" s="36">
        <f>MIN(L377-MIN(L$294,L377),MAX(0,$C377-SUM($M377:S377)))</f>
        <v>0</v>
      </c>
      <c r="U377" s="36">
        <f>IF(E377-MIN(E$294,E377)-M377&lt;0.005,0,E377-MIN(E$294,E377)-M377)</f>
        <v>0</v>
      </c>
      <c r="V377" s="36">
        <f>IF(F377-MIN(F$294,F377)-N377&lt;0.005,0,F377-MIN(F$294,F377)-N377)</f>
        <v>0</v>
      </c>
      <c r="W377" s="36">
        <f>IF(G377-MIN(G$294,G377)-O377&lt;0.005,0,G377-MIN(G$294,G377)-O377)</f>
        <v>0</v>
      </c>
      <c r="X377" s="36">
        <f>IF(H377-MIN(H$294,H377)-P377&lt;0.005,0,H377-MIN(H$294,H377)-P377)</f>
        <v>0</v>
      </c>
      <c r="Y377" s="36">
        <f>IF(I377-MIN(I$294,I377)-Q377&lt;0.005,0,I377-MIN(I$294,I377)-Q377)</f>
        <v>0</v>
      </c>
      <c r="Z377" s="36">
        <f>IF(J377-MIN(J$294,J377)-R377&lt;0.005,0,J377-MIN(J$294,J377)-R377)</f>
        <v>0</v>
      </c>
      <c r="AA377" s="36">
        <f>IF(K377-MIN(K$294,K377)-S377&lt;0.005,0,K377-MIN(K$294,K377)-S377)</f>
        <v>0</v>
      </c>
      <c r="AB377" s="36">
        <f>IF(L377-MIN(L$294,L377)-T377&lt;0.005,0,L377-MIN(L$294,L377)-T377)</f>
        <v>0</v>
      </c>
      <c r="AC377" s="36">
        <f>SUM(U377:AB377)</f>
        <v>0</v>
      </c>
      <c r="AD377" s="36">
        <f>D377+SUM(M377:T377)</f>
        <v>0</v>
      </c>
    </row>
    <row r="378">
      <c r="B378" s="40" t="n">
        <v>80</v>
      </c>
      <c r="C378" s="36">
        <f>MAX(0,Sim_SomaParc+N(Sim_Extra)-D378)</f>
        <v>2790</v>
      </c>
      <c r="D378" s="36">
        <f>MIN(E$294,E378)+MIN(F$294,F378)+MIN(G$294,G378)+MIN(H$294,H378)+MIN(I$294,I378)+MIN(J$294,J378)+MIN(K$294,K378)+MIN(L$294,L378)</f>
        <v>0</v>
      </c>
      <c r="E378" s="36">
        <f>U377*(1+E$293)</f>
        <v>0</v>
      </c>
      <c r="F378" s="36">
        <f>V377*(1+F$293)</f>
        <v>0</v>
      </c>
      <c r="G378" s="36">
        <f>W377*(1+G$293)</f>
        <v>0</v>
      </c>
      <c r="H378" s="36">
        <f>X377*(1+H$293)</f>
        <v>0</v>
      </c>
      <c r="I378" s="36">
        <f>Y377*(1+I$293)</f>
        <v>0</v>
      </c>
      <c r="J378" s="36">
        <f>Z377*(1+J$293)</f>
        <v>0</v>
      </c>
      <c r="K378" s="36">
        <f>AA377*(1+K$293)</f>
        <v>0</v>
      </c>
      <c r="L378" s="36">
        <f>AB377*(1+L$293)</f>
        <v>0</v>
      </c>
      <c r="M378" s="36">
        <f>MIN(E378-MIN(E$294,E378),MAX(0,$C378-0))</f>
        <v>0</v>
      </c>
      <c r="N378" s="36">
        <f>MIN(F378-MIN(F$294,F378),MAX(0,$C378-SUM($M378:M378)))</f>
        <v>0</v>
      </c>
      <c r="O378" s="36">
        <f>MIN(G378-MIN(G$294,G378),MAX(0,$C378-SUM($M378:N378)))</f>
        <v>0</v>
      </c>
      <c r="P378" s="36">
        <f>MIN(H378-MIN(H$294,H378),MAX(0,$C378-SUM($M378:O378)))</f>
        <v>0</v>
      </c>
      <c r="Q378" s="36">
        <f>MIN(I378-MIN(I$294,I378),MAX(0,$C378-SUM($M378:P378)))</f>
        <v>0</v>
      </c>
      <c r="R378" s="36">
        <f>MIN(J378-MIN(J$294,J378),MAX(0,$C378-SUM($M378:Q378)))</f>
        <v>0</v>
      </c>
      <c r="S378" s="36">
        <f>MIN(K378-MIN(K$294,K378),MAX(0,$C378-SUM($M378:R378)))</f>
        <v>0</v>
      </c>
      <c r="T378" s="36">
        <f>MIN(L378-MIN(L$294,L378),MAX(0,$C378-SUM($M378:S378)))</f>
        <v>0</v>
      </c>
      <c r="U378" s="36">
        <f>IF(E378-MIN(E$294,E378)-M378&lt;0.005,0,E378-MIN(E$294,E378)-M378)</f>
        <v>0</v>
      </c>
      <c r="V378" s="36">
        <f>IF(F378-MIN(F$294,F378)-N378&lt;0.005,0,F378-MIN(F$294,F378)-N378)</f>
        <v>0</v>
      </c>
      <c r="W378" s="36">
        <f>IF(G378-MIN(G$294,G378)-O378&lt;0.005,0,G378-MIN(G$294,G378)-O378)</f>
        <v>0</v>
      </c>
      <c r="X378" s="36">
        <f>IF(H378-MIN(H$294,H378)-P378&lt;0.005,0,H378-MIN(H$294,H378)-P378)</f>
        <v>0</v>
      </c>
      <c r="Y378" s="36">
        <f>IF(I378-MIN(I$294,I378)-Q378&lt;0.005,0,I378-MIN(I$294,I378)-Q378)</f>
        <v>0</v>
      </c>
      <c r="Z378" s="36">
        <f>IF(J378-MIN(J$294,J378)-R378&lt;0.005,0,J378-MIN(J$294,J378)-R378)</f>
        <v>0</v>
      </c>
      <c r="AA378" s="36">
        <f>IF(K378-MIN(K$294,K378)-S378&lt;0.005,0,K378-MIN(K$294,K378)-S378)</f>
        <v>0</v>
      </c>
      <c r="AB378" s="36">
        <f>IF(L378-MIN(L$294,L378)-T378&lt;0.005,0,L378-MIN(L$294,L378)-T378)</f>
        <v>0</v>
      </c>
      <c r="AC378" s="36">
        <f>SUM(U378:AB378)</f>
        <v>0</v>
      </c>
      <c r="AD378" s="36">
        <f>D378+SUM(M378:T378)</f>
        <v>0</v>
      </c>
    </row>
    <row r="379">
      <c r="B379" s="40" t="n">
        <v>81</v>
      </c>
      <c r="C379" s="36">
        <f>MAX(0,Sim_SomaParc+N(Sim_Extra)-D379)</f>
        <v>2790</v>
      </c>
      <c r="D379" s="36">
        <f>MIN(E$294,E379)+MIN(F$294,F379)+MIN(G$294,G379)+MIN(H$294,H379)+MIN(I$294,I379)+MIN(J$294,J379)+MIN(K$294,K379)+MIN(L$294,L379)</f>
        <v>0</v>
      </c>
      <c r="E379" s="36">
        <f>U378*(1+E$293)</f>
        <v>0</v>
      </c>
      <c r="F379" s="36">
        <f>V378*(1+F$293)</f>
        <v>0</v>
      </c>
      <c r="G379" s="36">
        <f>W378*(1+G$293)</f>
        <v>0</v>
      </c>
      <c r="H379" s="36">
        <f>X378*(1+H$293)</f>
        <v>0</v>
      </c>
      <c r="I379" s="36">
        <f>Y378*(1+I$293)</f>
        <v>0</v>
      </c>
      <c r="J379" s="36">
        <f>Z378*(1+J$293)</f>
        <v>0</v>
      </c>
      <c r="K379" s="36">
        <f>AA378*(1+K$293)</f>
        <v>0</v>
      </c>
      <c r="L379" s="36">
        <f>AB378*(1+L$293)</f>
        <v>0</v>
      </c>
      <c r="M379" s="36">
        <f>MIN(E379-MIN(E$294,E379),MAX(0,$C379-0))</f>
        <v>0</v>
      </c>
      <c r="N379" s="36">
        <f>MIN(F379-MIN(F$294,F379),MAX(0,$C379-SUM($M379:M379)))</f>
        <v>0</v>
      </c>
      <c r="O379" s="36">
        <f>MIN(G379-MIN(G$294,G379),MAX(0,$C379-SUM($M379:N379)))</f>
        <v>0</v>
      </c>
      <c r="P379" s="36">
        <f>MIN(H379-MIN(H$294,H379),MAX(0,$C379-SUM($M379:O379)))</f>
        <v>0</v>
      </c>
      <c r="Q379" s="36">
        <f>MIN(I379-MIN(I$294,I379),MAX(0,$C379-SUM($M379:P379)))</f>
        <v>0</v>
      </c>
      <c r="R379" s="36">
        <f>MIN(J379-MIN(J$294,J379),MAX(0,$C379-SUM($M379:Q379)))</f>
        <v>0</v>
      </c>
      <c r="S379" s="36">
        <f>MIN(K379-MIN(K$294,K379),MAX(0,$C379-SUM($M379:R379)))</f>
        <v>0</v>
      </c>
      <c r="T379" s="36">
        <f>MIN(L379-MIN(L$294,L379),MAX(0,$C379-SUM($M379:S379)))</f>
        <v>0</v>
      </c>
      <c r="U379" s="36">
        <f>IF(E379-MIN(E$294,E379)-M379&lt;0.005,0,E379-MIN(E$294,E379)-M379)</f>
        <v>0</v>
      </c>
      <c r="V379" s="36">
        <f>IF(F379-MIN(F$294,F379)-N379&lt;0.005,0,F379-MIN(F$294,F379)-N379)</f>
        <v>0</v>
      </c>
      <c r="W379" s="36">
        <f>IF(G379-MIN(G$294,G379)-O379&lt;0.005,0,G379-MIN(G$294,G379)-O379)</f>
        <v>0</v>
      </c>
      <c r="X379" s="36">
        <f>IF(H379-MIN(H$294,H379)-P379&lt;0.005,0,H379-MIN(H$294,H379)-P379)</f>
        <v>0</v>
      </c>
      <c r="Y379" s="36">
        <f>IF(I379-MIN(I$294,I379)-Q379&lt;0.005,0,I379-MIN(I$294,I379)-Q379)</f>
        <v>0</v>
      </c>
      <c r="Z379" s="36">
        <f>IF(J379-MIN(J$294,J379)-R379&lt;0.005,0,J379-MIN(J$294,J379)-R379)</f>
        <v>0</v>
      </c>
      <c r="AA379" s="36">
        <f>IF(K379-MIN(K$294,K379)-S379&lt;0.005,0,K379-MIN(K$294,K379)-S379)</f>
        <v>0</v>
      </c>
      <c r="AB379" s="36">
        <f>IF(L379-MIN(L$294,L379)-T379&lt;0.005,0,L379-MIN(L$294,L379)-T379)</f>
        <v>0</v>
      </c>
      <c r="AC379" s="36">
        <f>SUM(U379:AB379)</f>
        <v>0</v>
      </c>
      <c r="AD379" s="36">
        <f>D379+SUM(M379:T379)</f>
        <v>0</v>
      </c>
    </row>
    <row r="380">
      <c r="B380" s="40" t="n">
        <v>82</v>
      </c>
      <c r="C380" s="36">
        <f>MAX(0,Sim_SomaParc+N(Sim_Extra)-D380)</f>
        <v>2790</v>
      </c>
      <c r="D380" s="36">
        <f>MIN(E$294,E380)+MIN(F$294,F380)+MIN(G$294,G380)+MIN(H$294,H380)+MIN(I$294,I380)+MIN(J$294,J380)+MIN(K$294,K380)+MIN(L$294,L380)</f>
        <v>0</v>
      </c>
      <c r="E380" s="36">
        <f>U379*(1+E$293)</f>
        <v>0</v>
      </c>
      <c r="F380" s="36">
        <f>V379*(1+F$293)</f>
        <v>0</v>
      </c>
      <c r="G380" s="36">
        <f>W379*(1+G$293)</f>
        <v>0</v>
      </c>
      <c r="H380" s="36">
        <f>X379*(1+H$293)</f>
        <v>0</v>
      </c>
      <c r="I380" s="36">
        <f>Y379*(1+I$293)</f>
        <v>0</v>
      </c>
      <c r="J380" s="36">
        <f>Z379*(1+J$293)</f>
        <v>0</v>
      </c>
      <c r="K380" s="36">
        <f>AA379*(1+K$293)</f>
        <v>0</v>
      </c>
      <c r="L380" s="36">
        <f>AB379*(1+L$293)</f>
        <v>0</v>
      </c>
      <c r="M380" s="36">
        <f>MIN(E380-MIN(E$294,E380),MAX(0,$C380-0))</f>
        <v>0</v>
      </c>
      <c r="N380" s="36">
        <f>MIN(F380-MIN(F$294,F380),MAX(0,$C380-SUM($M380:M380)))</f>
        <v>0</v>
      </c>
      <c r="O380" s="36">
        <f>MIN(G380-MIN(G$294,G380),MAX(0,$C380-SUM($M380:N380)))</f>
        <v>0</v>
      </c>
      <c r="P380" s="36">
        <f>MIN(H380-MIN(H$294,H380),MAX(0,$C380-SUM($M380:O380)))</f>
        <v>0</v>
      </c>
      <c r="Q380" s="36">
        <f>MIN(I380-MIN(I$294,I380),MAX(0,$C380-SUM($M380:P380)))</f>
        <v>0</v>
      </c>
      <c r="R380" s="36">
        <f>MIN(J380-MIN(J$294,J380),MAX(0,$C380-SUM($M380:Q380)))</f>
        <v>0</v>
      </c>
      <c r="S380" s="36">
        <f>MIN(K380-MIN(K$294,K380),MAX(0,$C380-SUM($M380:R380)))</f>
        <v>0</v>
      </c>
      <c r="T380" s="36">
        <f>MIN(L380-MIN(L$294,L380),MAX(0,$C380-SUM($M380:S380)))</f>
        <v>0</v>
      </c>
      <c r="U380" s="36">
        <f>IF(E380-MIN(E$294,E380)-M380&lt;0.005,0,E380-MIN(E$294,E380)-M380)</f>
        <v>0</v>
      </c>
      <c r="V380" s="36">
        <f>IF(F380-MIN(F$294,F380)-N380&lt;0.005,0,F380-MIN(F$294,F380)-N380)</f>
        <v>0</v>
      </c>
      <c r="W380" s="36">
        <f>IF(G380-MIN(G$294,G380)-O380&lt;0.005,0,G380-MIN(G$294,G380)-O380)</f>
        <v>0</v>
      </c>
      <c r="X380" s="36">
        <f>IF(H380-MIN(H$294,H380)-P380&lt;0.005,0,H380-MIN(H$294,H380)-P380)</f>
        <v>0</v>
      </c>
      <c r="Y380" s="36">
        <f>IF(I380-MIN(I$294,I380)-Q380&lt;0.005,0,I380-MIN(I$294,I380)-Q380)</f>
        <v>0</v>
      </c>
      <c r="Z380" s="36">
        <f>IF(J380-MIN(J$294,J380)-R380&lt;0.005,0,J380-MIN(J$294,J380)-R380)</f>
        <v>0</v>
      </c>
      <c r="AA380" s="36">
        <f>IF(K380-MIN(K$294,K380)-S380&lt;0.005,0,K380-MIN(K$294,K380)-S380)</f>
        <v>0</v>
      </c>
      <c r="AB380" s="36">
        <f>IF(L380-MIN(L$294,L380)-T380&lt;0.005,0,L380-MIN(L$294,L380)-T380)</f>
        <v>0</v>
      </c>
      <c r="AC380" s="36">
        <f>SUM(U380:AB380)</f>
        <v>0</v>
      </c>
      <c r="AD380" s="36">
        <f>D380+SUM(M380:T380)</f>
        <v>0</v>
      </c>
    </row>
    <row r="381">
      <c r="B381" s="40" t="n">
        <v>83</v>
      </c>
      <c r="C381" s="36">
        <f>MAX(0,Sim_SomaParc+N(Sim_Extra)-D381)</f>
        <v>2790</v>
      </c>
      <c r="D381" s="36">
        <f>MIN(E$294,E381)+MIN(F$294,F381)+MIN(G$294,G381)+MIN(H$294,H381)+MIN(I$294,I381)+MIN(J$294,J381)+MIN(K$294,K381)+MIN(L$294,L381)</f>
        <v>0</v>
      </c>
      <c r="E381" s="36">
        <f>U380*(1+E$293)</f>
        <v>0</v>
      </c>
      <c r="F381" s="36">
        <f>V380*(1+F$293)</f>
        <v>0</v>
      </c>
      <c r="G381" s="36">
        <f>W380*(1+G$293)</f>
        <v>0</v>
      </c>
      <c r="H381" s="36">
        <f>X380*(1+H$293)</f>
        <v>0</v>
      </c>
      <c r="I381" s="36">
        <f>Y380*(1+I$293)</f>
        <v>0</v>
      </c>
      <c r="J381" s="36">
        <f>Z380*(1+J$293)</f>
        <v>0</v>
      </c>
      <c r="K381" s="36">
        <f>AA380*(1+K$293)</f>
        <v>0</v>
      </c>
      <c r="L381" s="36">
        <f>AB380*(1+L$293)</f>
        <v>0</v>
      </c>
      <c r="M381" s="36">
        <f>MIN(E381-MIN(E$294,E381),MAX(0,$C381-0))</f>
        <v>0</v>
      </c>
      <c r="N381" s="36">
        <f>MIN(F381-MIN(F$294,F381),MAX(0,$C381-SUM($M381:M381)))</f>
        <v>0</v>
      </c>
      <c r="O381" s="36">
        <f>MIN(G381-MIN(G$294,G381),MAX(0,$C381-SUM($M381:N381)))</f>
        <v>0</v>
      </c>
      <c r="P381" s="36">
        <f>MIN(H381-MIN(H$294,H381),MAX(0,$C381-SUM($M381:O381)))</f>
        <v>0</v>
      </c>
      <c r="Q381" s="36">
        <f>MIN(I381-MIN(I$294,I381),MAX(0,$C381-SUM($M381:P381)))</f>
        <v>0</v>
      </c>
      <c r="R381" s="36">
        <f>MIN(J381-MIN(J$294,J381),MAX(0,$C381-SUM($M381:Q381)))</f>
        <v>0</v>
      </c>
      <c r="S381" s="36">
        <f>MIN(K381-MIN(K$294,K381),MAX(0,$C381-SUM($M381:R381)))</f>
        <v>0</v>
      </c>
      <c r="T381" s="36">
        <f>MIN(L381-MIN(L$294,L381),MAX(0,$C381-SUM($M381:S381)))</f>
        <v>0</v>
      </c>
      <c r="U381" s="36">
        <f>IF(E381-MIN(E$294,E381)-M381&lt;0.005,0,E381-MIN(E$294,E381)-M381)</f>
        <v>0</v>
      </c>
      <c r="V381" s="36">
        <f>IF(F381-MIN(F$294,F381)-N381&lt;0.005,0,F381-MIN(F$294,F381)-N381)</f>
        <v>0</v>
      </c>
      <c r="W381" s="36">
        <f>IF(G381-MIN(G$294,G381)-O381&lt;0.005,0,G381-MIN(G$294,G381)-O381)</f>
        <v>0</v>
      </c>
      <c r="X381" s="36">
        <f>IF(H381-MIN(H$294,H381)-P381&lt;0.005,0,H381-MIN(H$294,H381)-P381)</f>
        <v>0</v>
      </c>
      <c r="Y381" s="36">
        <f>IF(I381-MIN(I$294,I381)-Q381&lt;0.005,0,I381-MIN(I$294,I381)-Q381)</f>
        <v>0</v>
      </c>
      <c r="Z381" s="36">
        <f>IF(J381-MIN(J$294,J381)-R381&lt;0.005,0,J381-MIN(J$294,J381)-R381)</f>
        <v>0</v>
      </c>
      <c r="AA381" s="36">
        <f>IF(K381-MIN(K$294,K381)-S381&lt;0.005,0,K381-MIN(K$294,K381)-S381)</f>
        <v>0</v>
      </c>
      <c r="AB381" s="36">
        <f>IF(L381-MIN(L$294,L381)-T381&lt;0.005,0,L381-MIN(L$294,L381)-T381)</f>
        <v>0</v>
      </c>
      <c r="AC381" s="36">
        <f>SUM(U381:AB381)</f>
        <v>0</v>
      </c>
      <c r="AD381" s="36">
        <f>D381+SUM(M381:T381)</f>
        <v>0</v>
      </c>
    </row>
    <row r="382">
      <c r="B382" s="40" t="n">
        <v>84</v>
      </c>
      <c r="C382" s="36">
        <f>MAX(0,Sim_SomaParc+N(Sim_Extra)-D382)</f>
        <v>2790</v>
      </c>
      <c r="D382" s="36">
        <f>MIN(E$294,E382)+MIN(F$294,F382)+MIN(G$294,G382)+MIN(H$294,H382)+MIN(I$294,I382)+MIN(J$294,J382)+MIN(K$294,K382)+MIN(L$294,L382)</f>
        <v>0</v>
      </c>
      <c r="E382" s="36">
        <f>U381*(1+E$293)</f>
        <v>0</v>
      </c>
      <c r="F382" s="36">
        <f>V381*(1+F$293)</f>
        <v>0</v>
      </c>
      <c r="G382" s="36">
        <f>W381*(1+G$293)</f>
        <v>0</v>
      </c>
      <c r="H382" s="36">
        <f>X381*(1+H$293)</f>
        <v>0</v>
      </c>
      <c r="I382" s="36">
        <f>Y381*(1+I$293)</f>
        <v>0</v>
      </c>
      <c r="J382" s="36">
        <f>Z381*(1+J$293)</f>
        <v>0</v>
      </c>
      <c r="K382" s="36">
        <f>AA381*(1+K$293)</f>
        <v>0</v>
      </c>
      <c r="L382" s="36">
        <f>AB381*(1+L$293)</f>
        <v>0</v>
      </c>
      <c r="M382" s="36">
        <f>MIN(E382-MIN(E$294,E382),MAX(0,$C382-0))</f>
        <v>0</v>
      </c>
      <c r="N382" s="36">
        <f>MIN(F382-MIN(F$294,F382),MAX(0,$C382-SUM($M382:M382)))</f>
        <v>0</v>
      </c>
      <c r="O382" s="36">
        <f>MIN(G382-MIN(G$294,G382),MAX(0,$C382-SUM($M382:N382)))</f>
        <v>0</v>
      </c>
      <c r="P382" s="36">
        <f>MIN(H382-MIN(H$294,H382),MAX(0,$C382-SUM($M382:O382)))</f>
        <v>0</v>
      </c>
      <c r="Q382" s="36">
        <f>MIN(I382-MIN(I$294,I382),MAX(0,$C382-SUM($M382:P382)))</f>
        <v>0</v>
      </c>
      <c r="R382" s="36">
        <f>MIN(J382-MIN(J$294,J382),MAX(0,$C382-SUM($M382:Q382)))</f>
        <v>0</v>
      </c>
      <c r="S382" s="36">
        <f>MIN(K382-MIN(K$294,K382),MAX(0,$C382-SUM($M382:R382)))</f>
        <v>0</v>
      </c>
      <c r="T382" s="36">
        <f>MIN(L382-MIN(L$294,L382),MAX(0,$C382-SUM($M382:S382)))</f>
        <v>0</v>
      </c>
      <c r="U382" s="36">
        <f>IF(E382-MIN(E$294,E382)-M382&lt;0.005,0,E382-MIN(E$294,E382)-M382)</f>
        <v>0</v>
      </c>
      <c r="V382" s="36">
        <f>IF(F382-MIN(F$294,F382)-N382&lt;0.005,0,F382-MIN(F$294,F382)-N382)</f>
        <v>0</v>
      </c>
      <c r="W382" s="36">
        <f>IF(G382-MIN(G$294,G382)-O382&lt;0.005,0,G382-MIN(G$294,G382)-O382)</f>
        <v>0</v>
      </c>
      <c r="X382" s="36">
        <f>IF(H382-MIN(H$294,H382)-P382&lt;0.005,0,H382-MIN(H$294,H382)-P382)</f>
        <v>0</v>
      </c>
      <c r="Y382" s="36">
        <f>IF(I382-MIN(I$294,I382)-Q382&lt;0.005,0,I382-MIN(I$294,I382)-Q382)</f>
        <v>0</v>
      </c>
      <c r="Z382" s="36">
        <f>IF(J382-MIN(J$294,J382)-R382&lt;0.005,0,J382-MIN(J$294,J382)-R382)</f>
        <v>0</v>
      </c>
      <c r="AA382" s="36">
        <f>IF(K382-MIN(K$294,K382)-S382&lt;0.005,0,K382-MIN(K$294,K382)-S382)</f>
        <v>0</v>
      </c>
      <c r="AB382" s="36">
        <f>IF(L382-MIN(L$294,L382)-T382&lt;0.005,0,L382-MIN(L$294,L382)-T382)</f>
        <v>0</v>
      </c>
      <c r="AC382" s="36">
        <f>SUM(U382:AB382)</f>
        <v>0</v>
      </c>
      <c r="AD382" s="36">
        <f>D382+SUM(M382:T382)</f>
        <v>0</v>
      </c>
    </row>
    <row r="383">
      <c r="B383" s="40" t="n">
        <v>85</v>
      </c>
      <c r="C383" s="36">
        <f>MAX(0,Sim_SomaParc+N(Sim_Extra)-D383)</f>
        <v>2790</v>
      </c>
      <c r="D383" s="36">
        <f>MIN(E$294,E383)+MIN(F$294,F383)+MIN(G$294,G383)+MIN(H$294,H383)+MIN(I$294,I383)+MIN(J$294,J383)+MIN(K$294,K383)+MIN(L$294,L383)</f>
        <v>0</v>
      </c>
      <c r="E383" s="36">
        <f>U382*(1+E$293)</f>
        <v>0</v>
      </c>
      <c r="F383" s="36">
        <f>V382*(1+F$293)</f>
        <v>0</v>
      </c>
      <c r="G383" s="36">
        <f>W382*(1+G$293)</f>
        <v>0</v>
      </c>
      <c r="H383" s="36">
        <f>X382*(1+H$293)</f>
        <v>0</v>
      </c>
      <c r="I383" s="36">
        <f>Y382*(1+I$293)</f>
        <v>0</v>
      </c>
      <c r="J383" s="36">
        <f>Z382*(1+J$293)</f>
        <v>0</v>
      </c>
      <c r="K383" s="36">
        <f>AA382*(1+K$293)</f>
        <v>0</v>
      </c>
      <c r="L383" s="36">
        <f>AB382*(1+L$293)</f>
        <v>0</v>
      </c>
      <c r="M383" s="36">
        <f>MIN(E383-MIN(E$294,E383),MAX(0,$C383-0))</f>
        <v>0</v>
      </c>
      <c r="N383" s="36">
        <f>MIN(F383-MIN(F$294,F383),MAX(0,$C383-SUM($M383:M383)))</f>
        <v>0</v>
      </c>
      <c r="O383" s="36">
        <f>MIN(G383-MIN(G$294,G383),MAX(0,$C383-SUM($M383:N383)))</f>
        <v>0</v>
      </c>
      <c r="P383" s="36">
        <f>MIN(H383-MIN(H$294,H383),MAX(0,$C383-SUM($M383:O383)))</f>
        <v>0</v>
      </c>
      <c r="Q383" s="36">
        <f>MIN(I383-MIN(I$294,I383),MAX(0,$C383-SUM($M383:P383)))</f>
        <v>0</v>
      </c>
      <c r="R383" s="36">
        <f>MIN(J383-MIN(J$294,J383),MAX(0,$C383-SUM($M383:Q383)))</f>
        <v>0</v>
      </c>
      <c r="S383" s="36">
        <f>MIN(K383-MIN(K$294,K383),MAX(0,$C383-SUM($M383:R383)))</f>
        <v>0</v>
      </c>
      <c r="T383" s="36">
        <f>MIN(L383-MIN(L$294,L383),MAX(0,$C383-SUM($M383:S383)))</f>
        <v>0</v>
      </c>
      <c r="U383" s="36">
        <f>IF(E383-MIN(E$294,E383)-M383&lt;0.005,0,E383-MIN(E$294,E383)-M383)</f>
        <v>0</v>
      </c>
      <c r="V383" s="36">
        <f>IF(F383-MIN(F$294,F383)-N383&lt;0.005,0,F383-MIN(F$294,F383)-N383)</f>
        <v>0</v>
      </c>
      <c r="W383" s="36">
        <f>IF(G383-MIN(G$294,G383)-O383&lt;0.005,0,G383-MIN(G$294,G383)-O383)</f>
        <v>0</v>
      </c>
      <c r="X383" s="36">
        <f>IF(H383-MIN(H$294,H383)-P383&lt;0.005,0,H383-MIN(H$294,H383)-P383)</f>
        <v>0</v>
      </c>
      <c r="Y383" s="36">
        <f>IF(I383-MIN(I$294,I383)-Q383&lt;0.005,0,I383-MIN(I$294,I383)-Q383)</f>
        <v>0</v>
      </c>
      <c r="Z383" s="36">
        <f>IF(J383-MIN(J$294,J383)-R383&lt;0.005,0,J383-MIN(J$294,J383)-R383)</f>
        <v>0</v>
      </c>
      <c r="AA383" s="36">
        <f>IF(K383-MIN(K$294,K383)-S383&lt;0.005,0,K383-MIN(K$294,K383)-S383)</f>
        <v>0</v>
      </c>
      <c r="AB383" s="36">
        <f>IF(L383-MIN(L$294,L383)-T383&lt;0.005,0,L383-MIN(L$294,L383)-T383)</f>
        <v>0</v>
      </c>
      <c r="AC383" s="36">
        <f>SUM(U383:AB383)</f>
        <v>0</v>
      </c>
      <c r="AD383" s="36">
        <f>D383+SUM(M383:T383)</f>
        <v>0</v>
      </c>
    </row>
    <row r="384">
      <c r="B384" s="40" t="n">
        <v>86</v>
      </c>
      <c r="C384" s="36">
        <f>MAX(0,Sim_SomaParc+N(Sim_Extra)-D384)</f>
        <v>2790</v>
      </c>
      <c r="D384" s="36">
        <f>MIN(E$294,E384)+MIN(F$294,F384)+MIN(G$294,G384)+MIN(H$294,H384)+MIN(I$294,I384)+MIN(J$294,J384)+MIN(K$294,K384)+MIN(L$294,L384)</f>
        <v>0</v>
      </c>
      <c r="E384" s="36">
        <f>U383*(1+E$293)</f>
        <v>0</v>
      </c>
      <c r="F384" s="36">
        <f>V383*(1+F$293)</f>
        <v>0</v>
      </c>
      <c r="G384" s="36">
        <f>W383*(1+G$293)</f>
        <v>0</v>
      </c>
      <c r="H384" s="36">
        <f>X383*(1+H$293)</f>
        <v>0</v>
      </c>
      <c r="I384" s="36">
        <f>Y383*(1+I$293)</f>
        <v>0</v>
      </c>
      <c r="J384" s="36">
        <f>Z383*(1+J$293)</f>
        <v>0</v>
      </c>
      <c r="K384" s="36">
        <f>AA383*(1+K$293)</f>
        <v>0</v>
      </c>
      <c r="L384" s="36">
        <f>AB383*(1+L$293)</f>
        <v>0</v>
      </c>
      <c r="M384" s="36">
        <f>MIN(E384-MIN(E$294,E384),MAX(0,$C384-0))</f>
        <v>0</v>
      </c>
      <c r="N384" s="36">
        <f>MIN(F384-MIN(F$294,F384),MAX(0,$C384-SUM($M384:M384)))</f>
        <v>0</v>
      </c>
      <c r="O384" s="36">
        <f>MIN(G384-MIN(G$294,G384),MAX(0,$C384-SUM($M384:N384)))</f>
        <v>0</v>
      </c>
      <c r="P384" s="36">
        <f>MIN(H384-MIN(H$294,H384),MAX(0,$C384-SUM($M384:O384)))</f>
        <v>0</v>
      </c>
      <c r="Q384" s="36">
        <f>MIN(I384-MIN(I$294,I384),MAX(0,$C384-SUM($M384:P384)))</f>
        <v>0</v>
      </c>
      <c r="R384" s="36">
        <f>MIN(J384-MIN(J$294,J384),MAX(0,$C384-SUM($M384:Q384)))</f>
        <v>0</v>
      </c>
      <c r="S384" s="36">
        <f>MIN(K384-MIN(K$294,K384),MAX(0,$C384-SUM($M384:R384)))</f>
        <v>0</v>
      </c>
      <c r="T384" s="36">
        <f>MIN(L384-MIN(L$294,L384),MAX(0,$C384-SUM($M384:S384)))</f>
        <v>0</v>
      </c>
      <c r="U384" s="36">
        <f>IF(E384-MIN(E$294,E384)-M384&lt;0.005,0,E384-MIN(E$294,E384)-M384)</f>
        <v>0</v>
      </c>
      <c r="V384" s="36">
        <f>IF(F384-MIN(F$294,F384)-N384&lt;0.005,0,F384-MIN(F$294,F384)-N384)</f>
        <v>0</v>
      </c>
      <c r="W384" s="36">
        <f>IF(G384-MIN(G$294,G384)-O384&lt;0.005,0,G384-MIN(G$294,G384)-O384)</f>
        <v>0</v>
      </c>
      <c r="X384" s="36">
        <f>IF(H384-MIN(H$294,H384)-P384&lt;0.005,0,H384-MIN(H$294,H384)-P384)</f>
        <v>0</v>
      </c>
      <c r="Y384" s="36">
        <f>IF(I384-MIN(I$294,I384)-Q384&lt;0.005,0,I384-MIN(I$294,I384)-Q384)</f>
        <v>0</v>
      </c>
      <c r="Z384" s="36">
        <f>IF(J384-MIN(J$294,J384)-R384&lt;0.005,0,J384-MIN(J$294,J384)-R384)</f>
        <v>0</v>
      </c>
      <c r="AA384" s="36">
        <f>IF(K384-MIN(K$294,K384)-S384&lt;0.005,0,K384-MIN(K$294,K384)-S384)</f>
        <v>0</v>
      </c>
      <c r="AB384" s="36">
        <f>IF(L384-MIN(L$294,L384)-T384&lt;0.005,0,L384-MIN(L$294,L384)-T384)</f>
        <v>0</v>
      </c>
      <c r="AC384" s="36">
        <f>SUM(U384:AB384)</f>
        <v>0</v>
      </c>
      <c r="AD384" s="36">
        <f>D384+SUM(M384:T384)</f>
        <v>0</v>
      </c>
    </row>
    <row r="385">
      <c r="B385" s="40" t="n">
        <v>87</v>
      </c>
      <c r="C385" s="36">
        <f>MAX(0,Sim_SomaParc+N(Sim_Extra)-D385)</f>
        <v>2790</v>
      </c>
      <c r="D385" s="36">
        <f>MIN(E$294,E385)+MIN(F$294,F385)+MIN(G$294,G385)+MIN(H$294,H385)+MIN(I$294,I385)+MIN(J$294,J385)+MIN(K$294,K385)+MIN(L$294,L385)</f>
        <v>0</v>
      </c>
      <c r="E385" s="36">
        <f>U384*(1+E$293)</f>
        <v>0</v>
      </c>
      <c r="F385" s="36">
        <f>V384*(1+F$293)</f>
        <v>0</v>
      </c>
      <c r="G385" s="36">
        <f>W384*(1+G$293)</f>
        <v>0</v>
      </c>
      <c r="H385" s="36">
        <f>X384*(1+H$293)</f>
        <v>0</v>
      </c>
      <c r="I385" s="36">
        <f>Y384*(1+I$293)</f>
        <v>0</v>
      </c>
      <c r="J385" s="36">
        <f>Z384*(1+J$293)</f>
        <v>0</v>
      </c>
      <c r="K385" s="36">
        <f>AA384*(1+K$293)</f>
        <v>0</v>
      </c>
      <c r="L385" s="36">
        <f>AB384*(1+L$293)</f>
        <v>0</v>
      </c>
      <c r="M385" s="36">
        <f>MIN(E385-MIN(E$294,E385),MAX(0,$C385-0))</f>
        <v>0</v>
      </c>
      <c r="N385" s="36">
        <f>MIN(F385-MIN(F$294,F385),MAX(0,$C385-SUM($M385:M385)))</f>
        <v>0</v>
      </c>
      <c r="O385" s="36">
        <f>MIN(G385-MIN(G$294,G385),MAX(0,$C385-SUM($M385:N385)))</f>
        <v>0</v>
      </c>
      <c r="P385" s="36">
        <f>MIN(H385-MIN(H$294,H385),MAX(0,$C385-SUM($M385:O385)))</f>
        <v>0</v>
      </c>
      <c r="Q385" s="36">
        <f>MIN(I385-MIN(I$294,I385),MAX(0,$C385-SUM($M385:P385)))</f>
        <v>0</v>
      </c>
      <c r="R385" s="36">
        <f>MIN(J385-MIN(J$294,J385),MAX(0,$C385-SUM($M385:Q385)))</f>
        <v>0</v>
      </c>
      <c r="S385" s="36">
        <f>MIN(K385-MIN(K$294,K385),MAX(0,$C385-SUM($M385:R385)))</f>
        <v>0</v>
      </c>
      <c r="T385" s="36">
        <f>MIN(L385-MIN(L$294,L385),MAX(0,$C385-SUM($M385:S385)))</f>
        <v>0</v>
      </c>
      <c r="U385" s="36">
        <f>IF(E385-MIN(E$294,E385)-M385&lt;0.005,0,E385-MIN(E$294,E385)-M385)</f>
        <v>0</v>
      </c>
      <c r="V385" s="36">
        <f>IF(F385-MIN(F$294,F385)-N385&lt;0.005,0,F385-MIN(F$294,F385)-N385)</f>
        <v>0</v>
      </c>
      <c r="W385" s="36">
        <f>IF(G385-MIN(G$294,G385)-O385&lt;0.005,0,G385-MIN(G$294,G385)-O385)</f>
        <v>0</v>
      </c>
      <c r="X385" s="36">
        <f>IF(H385-MIN(H$294,H385)-P385&lt;0.005,0,H385-MIN(H$294,H385)-P385)</f>
        <v>0</v>
      </c>
      <c r="Y385" s="36">
        <f>IF(I385-MIN(I$294,I385)-Q385&lt;0.005,0,I385-MIN(I$294,I385)-Q385)</f>
        <v>0</v>
      </c>
      <c r="Z385" s="36">
        <f>IF(J385-MIN(J$294,J385)-R385&lt;0.005,0,J385-MIN(J$294,J385)-R385)</f>
        <v>0</v>
      </c>
      <c r="AA385" s="36">
        <f>IF(K385-MIN(K$294,K385)-S385&lt;0.005,0,K385-MIN(K$294,K385)-S385)</f>
        <v>0</v>
      </c>
      <c r="AB385" s="36">
        <f>IF(L385-MIN(L$294,L385)-T385&lt;0.005,0,L385-MIN(L$294,L385)-T385)</f>
        <v>0</v>
      </c>
      <c r="AC385" s="36">
        <f>SUM(U385:AB385)</f>
        <v>0</v>
      </c>
      <c r="AD385" s="36">
        <f>D385+SUM(M385:T385)</f>
        <v>0</v>
      </c>
    </row>
    <row r="386">
      <c r="B386" s="40" t="n">
        <v>88</v>
      </c>
      <c r="C386" s="36">
        <f>MAX(0,Sim_SomaParc+N(Sim_Extra)-D386)</f>
        <v>2790</v>
      </c>
      <c r="D386" s="36">
        <f>MIN(E$294,E386)+MIN(F$294,F386)+MIN(G$294,G386)+MIN(H$294,H386)+MIN(I$294,I386)+MIN(J$294,J386)+MIN(K$294,K386)+MIN(L$294,L386)</f>
        <v>0</v>
      </c>
      <c r="E386" s="36">
        <f>U385*(1+E$293)</f>
        <v>0</v>
      </c>
      <c r="F386" s="36">
        <f>V385*(1+F$293)</f>
        <v>0</v>
      </c>
      <c r="G386" s="36">
        <f>W385*(1+G$293)</f>
        <v>0</v>
      </c>
      <c r="H386" s="36">
        <f>X385*(1+H$293)</f>
        <v>0</v>
      </c>
      <c r="I386" s="36">
        <f>Y385*(1+I$293)</f>
        <v>0</v>
      </c>
      <c r="J386" s="36">
        <f>Z385*(1+J$293)</f>
        <v>0</v>
      </c>
      <c r="K386" s="36">
        <f>AA385*(1+K$293)</f>
        <v>0</v>
      </c>
      <c r="L386" s="36">
        <f>AB385*(1+L$293)</f>
        <v>0</v>
      </c>
      <c r="M386" s="36">
        <f>MIN(E386-MIN(E$294,E386),MAX(0,$C386-0))</f>
        <v>0</v>
      </c>
      <c r="N386" s="36">
        <f>MIN(F386-MIN(F$294,F386),MAX(0,$C386-SUM($M386:M386)))</f>
        <v>0</v>
      </c>
      <c r="O386" s="36">
        <f>MIN(G386-MIN(G$294,G386),MAX(0,$C386-SUM($M386:N386)))</f>
        <v>0</v>
      </c>
      <c r="P386" s="36">
        <f>MIN(H386-MIN(H$294,H386),MAX(0,$C386-SUM($M386:O386)))</f>
        <v>0</v>
      </c>
      <c r="Q386" s="36">
        <f>MIN(I386-MIN(I$294,I386),MAX(0,$C386-SUM($M386:P386)))</f>
        <v>0</v>
      </c>
      <c r="R386" s="36">
        <f>MIN(J386-MIN(J$294,J386),MAX(0,$C386-SUM($M386:Q386)))</f>
        <v>0</v>
      </c>
      <c r="S386" s="36">
        <f>MIN(K386-MIN(K$294,K386),MAX(0,$C386-SUM($M386:R386)))</f>
        <v>0</v>
      </c>
      <c r="T386" s="36">
        <f>MIN(L386-MIN(L$294,L386),MAX(0,$C386-SUM($M386:S386)))</f>
        <v>0</v>
      </c>
      <c r="U386" s="36">
        <f>IF(E386-MIN(E$294,E386)-M386&lt;0.005,0,E386-MIN(E$294,E386)-M386)</f>
        <v>0</v>
      </c>
      <c r="V386" s="36">
        <f>IF(F386-MIN(F$294,F386)-N386&lt;0.005,0,F386-MIN(F$294,F386)-N386)</f>
        <v>0</v>
      </c>
      <c r="W386" s="36">
        <f>IF(G386-MIN(G$294,G386)-O386&lt;0.005,0,G386-MIN(G$294,G386)-O386)</f>
        <v>0</v>
      </c>
      <c r="X386" s="36">
        <f>IF(H386-MIN(H$294,H386)-P386&lt;0.005,0,H386-MIN(H$294,H386)-P386)</f>
        <v>0</v>
      </c>
      <c r="Y386" s="36">
        <f>IF(I386-MIN(I$294,I386)-Q386&lt;0.005,0,I386-MIN(I$294,I386)-Q386)</f>
        <v>0</v>
      </c>
      <c r="Z386" s="36">
        <f>IF(J386-MIN(J$294,J386)-R386&lt;0.005,0,J386-MIN(J$294,J386)-R386)</f>
        <v>0</v>
      </c>
      <c r="AA386" s="36">
        <f>IF(K386-MIN(K$294,K386)-S386&lt;0.005,0,K386-MIN(K$294,K386)-S386)</f>
        <v>0</v>
      </c>
      <c r="AB386" s="36">
        <f>IF(L386-MIN(L$294,L386)-T386&lt;0.005,0,L386-MIN(L$294,L386)-T386)</f>
        <v>0</v>
      </c>
      <c r="AC386" s="36">
        <f>SUM(U386:AB386)</f>
        <v>0</v>
      </c>
      <c r="AD386" s="36">
        <f>D386+SUM(M386:T386)</f>
        <v>0</v>
      </c>
    </row>
    <row r="387">
      <c r="B387" s="40" t="n">
        <v>89</v>
      </c>
      <c r="C387" s="36">
        <f>MAX(0,Sim_SomaParc+N(Sim_Extra)-D387)</f>
        <v>2790</v>
      </c>
      <c r="D387" s="36">
        <f>MIN(E$294,E387)+MIN(F$294,F387)+MIN(G$294,G387)+MIN(H$294,H387)+MIN(I$294,I387)+MIN(J$294,J387)+MIN(K$294,K387)+MIN(L$294,L387)</f>
        <v>0</v>
      </c>
      <c r="E387" s="36">
        <f>U386*(1+E$293)</f>
        <v>0</v>
      </c>
      <c r="F387" s="36">
        <f>V386*(1+F$293)</f>
        <v>0</v>
      </c>
      <c r="G387" s="36">
        <f>W386*(1+G$293)</f>
        <v>0</v>
      </c>
      <c r="H387" s="36">
        <f>X386*(1+H$293)</f>
        <v>0</v>
      </c>
      <c r="I387" s="36">
        <f>Y386*(1+I$293)</f>
        <v>0</v>
      </c>
      <c r="J387" s="36">
        <f>Z386*(1+J$293)</f>
        <v>0</v>
      </c>
      <c r="K387" s="36">
        <f>AA386*(1+K$293)</f>
        <v>0</v>
      </c>
      <c r="L387" s="36">
        <f>AB386*(1+L$293)</f>
        <v>0</v>
      </c>
      <c r="M387" s="36">
        <f>MIN(E387-MIN(E$294,E387),MAX(0,$C387-0))</f>
        <v>0</v>
      </c>
      <c r="N387" s="36">
        <f>MIN(F387-MIN(F$294,F387),MAX(0,$C387-SUM($M387:M387)))</f>
        <v>0</v>
      </c>
      <c r="O387" s="36">
        <f>MIN(G387-MIN(G$294,G387),MAX(0,$C387-SUM($M387:N387)))</f>
        <v>0</v>
      </c>
      <c r="P387" s="36">
        <f>MIN(H387-MIN(H$294,H387),MAX(0,$C387-SUM($M387:O387)))</f>
        <v>0</v>
      </c>
      <c r="Q387" s="36">
        <f>MIN(I387-MIN(I$294,I387),MAX(0,$C387-SUM($M387:P387)))</f>
        <v>0</v>
      </c>
      <c r="R387" s="36">
        <f>MIN(J387-MIN(J$294,J387),MAX(0,$C387-SUM($M387:Q387)))</f>
        <v>0</v>
      </c>
      <c r="S387" s="36">
        <f>MIN(K387-MIN(K$294,K387),MAX(0,$C387-SUM($M387:R387)))</f>
        <v>0</v>
      </c>
      <c r="T387" s="36">
        <f>MIN(L387-MIN(L$294,L387),MAX(0,$C387-SUM($M387:S387)))</f>
        <v>0</v>
      </c>
      <c r="U387" s="36">
        <f>IF(E387-MIN(E$294,E387)-M387&lt;0.005,0,E387-MIN(E$294,E387)-M387)</f>
        <v>0</v>
      </c>
      <c r="V387" s="36">
        <f>IF(F387-MIN(F$294,F387)-N387&lt;0.005,0,F387-MIN(F$294,F387)-N387)</f>
        <v>0</v>
      </c>
      <c r="W387" s="36">
        <f>IF(G387-MIN(G$294,G387)-O387&lt;0.005,0,G387-MIN(G$294,G387)-O387)</f>
        <v>0</v>
      </c>
      <c r="X387" s="36">
        <f>IF(H387-MIN(H$294,H387)-P387&lt;0.005,0,H387-MIN(H$294,H387)-P387)</f>
        <v>0</v>
      </c>
      <c r="Y387" s="36">
        <f>IF(I387-MIN(I$294,I387)-Q387&lt;0.005,0,I387-MIN(I$294,I387)-Q387)</f>
        <v>0</v>
      </c>
      <c r="Z387" s="36">
        <f>IF(J387-MIN(J$294,J387)-R387&lt;0.005,0,J387-MIN(J$294,J387)-R387)</f>
        <v>0</v>
      </c>
      <c r="AA387" s="36">
        <f>IF(K387-MIN(K$294,K387)-S387&lt;0.005,0,K387-MIN(K$294,K387)-S387)</f>
        <v>0</v>
      </c>
      <c r="AB387" s="36">
        <f>IF(L387-MIN(L$294,L387)-T387&lt;0.005,0,L387-MIN(L$294,L387)-T387)</f>
        <v>0</v>
      </c>
      <c r="AC387" s="36">
        <f>SUM(U387:AB387)</f>
        <v>0</v>
      </c>
      <c r="AD387" s="36">
        <f>D387+SUM(M387:T387)</f>
        <v>0</v>
      </c>
    </row>
    <row r="388">
      <c r="B388" s="40" t="n">
        <v>90</v>
      </c>
      <c r="C388" s="36">
        <f>MAX(0,Sim_SomaParc+N(Sim_Extra)-D388)</f>
        <v>2790</v>
      </c>
      <c r="D388" s="36">
        <f>MIN(E$294,E388)+MIN(F$294,F388)+MIN(G$294,G388)+MIN(H$294,H388)+MIN(I$294,I388)+MIN(J$294,J388)+MIN(K$294,K388)+MIN(L$294,L388)</f>
        <v>0</v>
      </c>
      <c r="E388" s="36">
        <f>U387*(1+E$293)</f>
        <v>0</v>
      </c>
      <c r="F388" s="36">
        <f>V387*(1+F$293)</f>
        <v>0</v>
      </c>
      <c r="G388" s="36">
        <f>W387*(1+G$293)</f>
        <v>0</v>
      </c>
      <c r="H388" s="36">
        <f>X387*(1+H$293)</f>
        <v>0</v>
      </c>
      <c r="I388" s="36">
        <f>Y387*(1+I$293)</f>
        <v>0</v>
      </c>
      <c r="J388" s="36">
        <f>Z387*(1+J$293)</f>
        <v>0</v>
      </c>
      <c r="K388" s="36">
        <f>AA387*(1+K$293)</f>
        <v>0</v>
      </c>
      <c r="L388" s="36">
        <f>AB387*(1+L$293)</f>
        <v>0</v>
      </c>
      <c r="M388" s="36">
        <f>MIN(E388-MIN(E$294,E388),MAX(0,$C388-0))</f>
        <v>0</v>
      </c>
      <c r="N388" s="36">
        <f>MIN(F388-MIN(F$294,F388),MAX(0,$C388-SUM($M388:M388)))</f>
        <v>0</v>
      </c>
      <c r="O388" s="36">
        <f>MIN(G388-MIN(G$294,G388),MAX(0,$C388-SUM($M388:N388)))</f>
        <v>0</v>
      </c>
      <c r="P388" s="36">
        <f>MIN(H388-MIN(H$294,H388),MAX(0,$C388-SUM($M388:O388)))</f>
        <v>0</v>
      </c>
      <c r="Q388" s="36">
        <f>MIN(I388-MIN(I$294,I388),MAX(0,$C388-SUM($M388:P388)))</f>
        <v>0</v>
      </c>
      <c r="R388" s="36">
        <f>MIN(J388-MIN(J$294,J388),MAX(0,$C388-SUM($M388:Q388)))</f>
        <v>0</v>
      </c>
      <c r="S388" s="36">
        <f>MIN(K388-MIN(K$294,K388),MAX(0,$C388-SUM($M388:R388)))</f>
        <v>0</v>
      </c>
      <c r="T388" s="36">
        <f>MIN(L388-MIN(L$294,L388),MAX(0,$C388-SUM($M388:S388)))</f>
        <v>0</v>
      </c>
      <c r="U388" s="36">
        <f>IF(E388-MIN(E$294,E388)-M388&lt;0.005,0,E388-MIN(E$294,E388)-M388)</f>
        <v>0</v>
      </c>
      <c r="V388" s="36">
        <f>IF(F388-MIN(F$294,F388)-N388&lt;0.005,0,F388-MIN(F$294,F388)-N388)</f>
        <v>0</v>
      </c>
      <c r="W388" s="36">
        <f>IF(G388-MIN(G$294,G388)-O388&lt;0.005,0,G388-MIN(G$294,G388)-O388)</f>
        <v>0</v>
      </c>
      <c r="X388" s="36">
        <f>IF(H388-MIN(H$294,H388)-P388&lt;0.005,0,H388-MIN(H$294,H388)-P388)</f>
        <v>0</v>
      </c>
      <c r="Y388" s="36">
        <f>IF(I388-MIN(I$294,I388)-Q388&lt;0.005,0,I388-MIN(I$294,I388)-Q388)</f>
        <v>0</v>
      </c>
      <c r="Z388" s="36">
        <f>IF(J388-MIN(J$294,J388)-R388&lt;0.005,0,J388-MIN(J$294,J388)-R388)</f>
        <v>0</v>
      </c>
      <c r="AA388" s="36">
        <f>IF(K388-MIN(K$294,K388)-S388&lt;0.005,0,K388-MIN(K$294,K388)-S388)</f>
        <v>0</v>
      </c>
      <c r="AB388" s="36">
        <f>IF(L388-MIN(L$294,L388)-T388&lt;0.005,0,L388-MIN(L$294,L388)-T388)</f>
        <v>0</v>
      </c>
      <c r="AC388" s="36">
        <f>SUM(U388:AB388)</f>
        <v>0</v>
      </c>
      <c r="AD388" s="36">
        <f>D388+SUM(M388:T388)</f>
        <v>0</v>
      </c>
    </row>
    <row r="389">
      <c r="B389" s="40" t="n">
        <v>91</v>
      </c>
      <c r="C389" s="36">
        <f>MAX(0,Sim_SomaParc+N(Sim_Extra)-D389)</f>
        <v>2790</v>
      </c>
      <c r="D389" s="36">
        <f>MIN(E$294,E389)+MIN(F$294,F389)+MIN(G$294,G389)+MIN(H$294,H389)+MIN(I$294,I389)+MIN(J$294,J389)+MIN(K$294,K389)+MIN(L$294,L389)</f>
        <v>0</v>
      </c>
      <c r="E389" s="36">
        <f>U388*(1+E$293)</f>
        <v>0</v>
      </c>
      <c r="F389" s="36">
        <f>V388*(1+F$293)</f>
        <v>0</v>
      </c>
      <c r="G389" s="36">
        <f>W388*(1+G$293)</f>
        <v>0</v>
      </c>
      <c r="H389" s="36">
        <f>X388*(1+H$293)</f>
        <v>0</v>
      </c>
      <c r="I389" s="36">
        <f>Y388*(1+I$293)</f>
        <v>0</v>
      </c>
      <c r="J389" s="36">
        <f>Z388*(1+J$293)</f>
        <v>0</v>
      </c>
      <c r="K389" s="36">
        <f>AA388*(1+K$293)</f>
        <v>0</v>
      </c>
      <c r="L389" s="36">
        <f>AB388*(1+L$293)</f>
        <v>0</v>
      </c>
      <c r="M389" s="36">
        <f>MIN(E389-MIN(E$294,E389),MAX(0,$C389-0))</f>
        <v>0</v>
      </c>
      <c r="N389" s="36">
        <f>MIN(F389-MIN(F$294,F389),MAX(0,$C389-SUM($M389:M389)))</f>
        <v>0</v>
      </c>
      <c r="O389" s="36">
        <f>MIN(G389-MIN(G$294,G389),MAX(0,$C389-SUM($M389:N389)))</f>
        <v>0</v>
      </c>
      <c r="P389" s="36">
        <f>MIN(H389-MIN(H$294,H389),MAX(0,$C389-SUM($M389:O389)))</f>
        <v>0</v>
      </c>
      <c r="Q389" s="36">
        <f>MIN(I389-MIN(I$294,I389),MAX(0,$C389-SUM($M389:P389)))</f>
        <v>0</v>
      </c>
      <c r="R389" s="36">
        <f>MIN(J389-MIN(J$294,J389),MAX(0,$C389-SUM($M389:Q389)))</f>
        <v>0</v>
      </c>
      <c r="S389" s="36">
        <f>MIN(K389-MIN(K$294,K389),MAX(0,$C389-SUM($M389:R389)))</f>
        <v>0</v>
      </c>
      <c r="T389" s="36">
        <f>MIN(L389-MIN(L$294,L389),MAX(0,$C389-SUM($M389:S389)))</f>
        <v>0</v>
      </c>
      <c r="U389" s="36">
        <f>IF(E389-MIN(E$294,E389)-M389&lt;0.005,0,E389-MIN(E$294,E389)-M389)</f>
        <v>0</v>
      </c>
      <c r="V389" s="36">
        <f>IF(F389-MIN(F$294,F389)-N389&lt;0.005,0,F389-MIN(F$294,F389)-N389)</f>
        <v>0</v>
      </c>
      <c r="W389" s="36">
        <f>IF(G389-MIN(G$294,G389)-O389&lt;0.005,0,G389-MIN(G$294,G389)-O389)</f>
        <v>0</v>
      </c>
      <c r="X389" s="36">
        <f>IF(H389-MIN(H$294,H389)-P389&lt;0.005,0,H389-MIN(H$294,H389)-P389)</f>
        <v>0</v>
      </c>
      <c r="Y389" s="36">
        <f>IF(I389-MIN(I$294,I389)-Q389&lt;0.005,0,I389-MIN(I$294,I389)-Q389)</f>
        <v>0</v>
      </c>
      <c r="Z389" s="36">
        <f>IF(J389-MIN(J$294,J389)-R389&lt;0.005,0,J389-MIN(J$294,J389)-R389)</f>
        <v>0</v>
      </c>
      <c r="AA389" s="36">
        <f>IF(K389-MIN(K$294,K389)-S389&lt;0.005,0,K389-MIN(K$294,K389)-S389)</f>
        <v>0</v>
      </c>
      <c r="AB389" s="36">
        <f>IF(L389-MIN(L$294,L389)-T389&lt;0.005,0,L389-MIN(L$294,L389)-T389)</f>
        <v>0</v>
      </c>
      <c r="AC389" s="36">
        <f>SUM(U389:AB389)</f>
        <v>0</v>
      </c>
      <c r="AD389" s="36">
        <f>D389+SUM(M389:T389)</f>
        <v>0</v>
      </c>
    </row>
    <row r="390">
      <c r="B390" s="40" t="n">
        <v>92</v>
      </c>
      <c r="C390" s="36">
        <f>MAX(0,Sim_SomaParc+N(Sim_Extra)-D390)</f>
        <v>2790</v>
      </c>
      <c r="D390" s="36">
        <f>MIN(E$294,E390)+MIN(F$294,F390)+MIN(G$294,G390)+MIN(H$294,H390)+MIN(I$294,I390)+MIN(J$294,J390)+MIN(K$294,K390)+MIN(L$294,L390)</f>
        <v>0</v>
      </c>
      <c r="E390" s="36">
        <f>U389*(1+E$293)</f>
        <v>0</v>
      </c>
      <c r="F390" s="36">
        <f>V389*(1+F$293)</f>
        <v>0</v>
      </c>
      <c r="G390" s="36">
        <f>W389*(1+G$293)</f>
        <v>0</v>
      </c>
      <c r="H390" s="36">
        <f>X389*(1+H$293)</f>
        <v>0</v>
      </c>
      <c r="I390" s="36">
        <f>Y389*(1+I$293)</f>
        <v>0</v>
      </c>
      <c r="J390" s="36">
        <f>Z389*(1+J$293)</f>
        <v>0</v>
      </c>
      <c r="K390" s="36">
        <f>AA389*(1+K$293)</f>
        <v>0</v>
      </c>
      <c r="L390" s="36">
        <f>AB389*(1+L$293)</f>
        <v>0</v>
      </c>
      <c r="M390" s="36">
        <f>MIN(E390-MIN(E$294,E390),MAX(0,$C390-0))</f>
        <v>0</v>
      </c>
      <c r="N390" s="36">
        <f>MIN(F390-MIN(F$294,F390),MAX(0,$C390-SUM($M390:M390)))</f>
        <v>0</v>
      </c>
      <c r="O390" s="36">
        <f>MIN(G390-MIN(G$294,G390),MAX(0,$C390-SUM($M390:N390)))</f>
        <v>0</v>
      </c>
      <c r="P390" s="36">
        <f>MIN(H390-MIN(H$294,H390),MAX(0,$C390-SUM($M390:O390)))</f>
        <v>0</v>
      </c>
      <c r="Q390" s="36">
        <f>MIN(I390-MIN(I$294,I390),MAX(0,$C390-SUM($M390:P390)))</f>
        <v>0</v>
      </c>
      <c r="R390" s="36">
        <f>MIN(J390-MIN(J$294,J390),MAX(0,$C390-SUM($M390:Q390)))</f>
        <v>0</v>
      </c>
      <c r="S390" s="36">
        <f>MIN(K390-MIN(K$294,K390),MAX(0,$C390-SUM($M390:R390)))</f>
        <v>0</v>
      </c>
      <c r="T390" s="36">
        <f>MIN(L390-MIN(L$294,L390),MAX(0,$C390-SUM($M390:S390)))</f>
        <v>0</v>
      </c>
      <c r="U390" s="36">
        <f>IF(E390-MIN(E$294,E390)-M390&lt;0.005,0,E390-MIN(E$294,E390)-M390)</f>
        <v>0</v>
      </c>
      <c r="V390" s="36">
        <f>IF(F390-MIN(F$294,F390)-N390&lt;0.005,0,F390-MIN(F$294,F390)-N390)</f>
        <v>0</v>
      </c>
      <c r="W390" s="36">
        <f>IF(G390-MIN(G$294,G390)-O390&lt;0.005,0,G390-MIN(G$294,G390)-O390)</f>
        <v>0</v>
      </c>
      <c r="X390" s="36">
        <f>IF(H390-MIN(H$294,H390)-P390&lt;0.005,0,H390-MIN(H$294,H390)-P390)</f>
        <v>0</v>
      </c>
      <c r="Y390" s="36">
        <f>IF(I390-MIN(I$294,I390)-Q390&lt;0.005,0,I390-MIN(I$294,I390)-Q390)</f>
        <v>0</v>
      </c>
      <c r="Z390" s="36">
        <f>IF(J390-MIN(J$294,J390)-R390&lt;0.005,0,J390-MIN(J$294,J390)-R390)</f>
        <v>0</v>
      </c>
      <c r="AA390" s="36">
        <f>IF(K390-MIN(K$294,K390)-S390&lt;0.005,0,K390-MIN(K$294,K390)-S390)</f>
        <v>0</v>
      </c>
      <c r="AB390" s="36">
        <f>IF(L390-MIN(L$294,L390)-T390&lt;0.005,0,L390-MIN(L$294,L390)-T390)</f>
        <v>0</v>
      </c>
      <c r="AC390" s="36">
        <f>SUM(U390:AB390)</f>
        <v>0</v>
      </c>
      <c r="AD390" s="36">
        <f>D390+SUM(M390:T390)</f>
        <v>0</v>
      </c>
    </row>
    <row r="391">
      <c r="B391" s="40" t="n">
        <v>93</v>
      </c>
      <c r="C391" s="36">
        <f>MAX(0,Sim_SomaParc+N(Sim_Extra)-D391)</f>
        <v>2790</v>
      </c>
      <c r="D391" s="36">
        <f>MIN(E$294,E391)+MIN(F$294,F391)+MIN(G$294,G391)+MIN(H$294,H391)+MIN(I$294,I391)+MIN(J$294,J391)+MIN(K$294,K391)+MIN(L$294,L391)</f>
        <v>0</v>
      </c>
      <c r="E391" s="36">
        <f>U390*(1+E$293)</f>
        <v>0</v>
      </c>
      <c r="F391" s="36">
        <f>V390*(1+F$293)</f>
        <v>0</v>
      </c>
      <c r="G391" s="36">
        <f>W390*(1+G$293)</f>
        <v>0</v>
      </c>
      <c r="H391" s="36">
        <f>X390*(1+H$293)</f>
        <v>0</v>
      </c>
      <c r="I391" s="36">
        <f>Y390*(1+I$293)</f>
        <v>0</v>
      </c>
      <c r="J391" s="36">
        <f>Z390*(1+J$293)</f>
        <v>0</v>
      </c>
      <c r="K391" s="36">
        <f>AA390*(1+K$293)</f>
        <v>0</v>
      </c>
      <c r="L391" s="36">
        <f>AB390*(1+L$293)</f>
        <v>0</v>
      </c>
      <c r="M391" s="36">
        <f>MIN(E391-MIN(E$294,E391),MAX(0,$C391-0))</f>
        <v>0</v>
      </c>
      <c r="N391" s="36">
        <f>MIN(F391-MIN(F$294,F391),MAX(0,$C391-SUM($M391:M391)))</f>
        <v>0</v>
      </c>
      <c r="O391" s="36">
        <f>MIN(G391-MIN(G$294,G391),MAX(0,$C391-SUM($M391:N391)))</f>
        <v>0</v>
      </c>
      <c r="P391" s="36">
        <f>MIN(H391-MIN(H$294,H391),MAX(0,$C391-SUM($M391:O391)))</f>
        <v>0</v>
      </c>
      <c r="Q391" s="36">
        <f>MIN(I391-MIN(I$294,I391),MAX(0,$C391-SUM($M391:P391)))</f>
        <v>0</v>
      </c>
      <c r="R391" s="36">
        <f>MIN(J391-MIN(J$294,J391),MAX(0,$C391-SUM($M391:Q391)))</f>
        <v>0</v>
      </c>
      <c r="S391" s="36">
        <f>MIN(K391-MIN(K$294,K391),MAX(0,$C391-SUM($M391:R391)))</f>
        <v>0</v>
      </c>
      <c r="T391" s="36">
        <f>MIN(L391-MIN(L$294,L391),MAX(0,$C391-SUM($M391:S391)))</f>
        <v>0</v>
      </c>
      <c r="U391" s="36">
        <f>IF(E391-MIN(E$294,E391)-M391&lt;0.005,0,E391-MIN(E$294,E391)-M391)</f>
        <v>0</v>
      </c>
      <c r="V391" s="36">
        <f>IF(F391-MIN(F$294,F391)-N391&lt;0.005,0,F391-MIN(F$294,F391)-N391)</f>
        <v>0</v>
      </c>
      <c r="W391" s="36">
        <f>IF(G391-MIN(G$294,G391)-O391&lt;0.005,0,G391-MIN(G$294,G391)-O391)</f>
        <v>0</v>
      </c>
      <c r="X391" s="36">
        <f>IF(H391-MIN(H$294,H391)-P391&lt;0.005,0,H391-MIN(H$294,H391)-P391)</f>
        <v>0</v>
      </c>
      <c r="Y391" s="36">
        <f>IF(I391-MIN(I$294,I391)-Q391&lt;0.005,0,I391-MIN(I$294,I391)-Q391)</f>
        <v>0</v>
      </c>
      <c r="Z391" s="36">
        <f>IF(J391-MIN(J$294,J391)-R391&lt;0.005,0,J391-MIN(J$294,J391)-R391)</f>
        <v>0</v>
      </c>
      <c r="AA391" s="36">
        <f>IF(K391-MIN(K$294,K391)-S391&lt;0.005,0,K391-MIN(K$294,K391)-S391)</f>
        <v>0</v>
      </c>
      <c r="AB391" s="36">
        <f>IF(L391-MIN(L$294,L391)-T391&lt;0.005,0,L391-MIN(L$294,L391)-T391)</f>
        <v>0</v>
      </c>
      <c r="AC391" s="36">
        <f>SUM(U391:AB391)</f>
        <v>0</v>
      </c>
      <c r="AD391" s="36">
        <f>D391+SUM(M391:T391)</f>
        <v>0</v>
      </c>
    </row>
    <row r="392">
      <c r="B392" s="40" t="n">
        <v>94</v>
      </c>
      <c r="C392" s="36">
        <f>MAX(0,Sim_SomaParc+N(Sim_Extra)-D392)</f>
        <v>2790</v>
      </c>
      <c r="D392" s="36">
        <f>MIN(E$294,E392)+MIN(F$294,F392)+MIN(G$294,G392)+MIN(H$294,H392)+MIN(I$294,I392)+MIN(J$294,J392)+MIN(K$294,K392)+MIN(L$294,L392)</f>
        <v>0</v>
      </c>
      <c r="E392" s="36">
        <f>U391*(1+E$293)</f>
        <v>0</v>
      </c>
      <c r="F392" s="36">
        <f>V391*(1+F$293)</f>
        <v>0</v>
      </c>
      <c r="G392" s="36">
        <f>W391*(1+G$293)</f>
        <v>0</v>
      </c>
      <c r="H392" s="36">
        <f>X391*(1+H$293)</f>
        <v>0</v>
      </c>
      <c r="I392" s="36">
        <f>Y391*(1+I$293)</f>
        <v>0</v>
      </c>
      <c r="J392" s="36">
        <f>Z391*(1+J$293)</f>
        <v>0</v>
      </c>
      <c r="K392" s="36">
        <f>AA391*(1+K$293)</f>
        <v>0</v>
      </c>
      <c r="L392" s="36">
        <f>AB391*(1+L$293)</f>
        <v>0</v>
      </c>
      <c r="M392" s="36">
        <f>MIN(E392-MIN(E$294,E392),MAX(0,$C392-0))</f>
        <v>0</v>
      </c>
      <c r="N392" s="36">
        <f>MIN(F392-MIN(F$294,F392),MAX(0,$C392-SUM($M392:M392)))</f>
        <v>0</v>
      </c>
      <c r="O392" s="36">
        <f>MIN(G392-MIN(G$294,G392),MAX(0,$C392-SUM($M392:N392)))</f>
        <v>0</v>
      </c>
      <c r="P392" s="36">
        <f>MIN(H392-MIN(H$294,H392),MAX(0,$C392-SUM($M392:O392)))</f>
        <v>0</v>
      </c>
      <c r="Q392" s="36">
        <f>MIN(I392-MIN(I$294,I392),MAX(0,$C392-SUM($M392:P392)))</f>
        <v>0</v>
      </c>
      <c r="R392" s="36">
        <f>MIN(J392-MIN(J$294,J392),MAX(0,$C392-SUM($M392:Q392)))</f>
        <v>0</v>
      </c>
      <c r="S392" s="36">
        <f>MIN(K392-MIN(K$294,K392),MAX(0,$C392-SUM($M392:R392)))</f>
        <v>0</v>
      </c>
      <c r="T392" s="36">
        <f>MIN(L392-MIN(L$294,L392),MAX(0,$C392-SUM($M392:S392)))</f>
        <v>0</v>
      </c>
      <c r="U392" s="36">
        <f>IF(E392-MIN(E$294,E392)-M392&lt;0.005,0,E392-MIN(E$294,E392)-M392)</f>
        <v>0</v>
      </c>
      <c r="V392" s="36">
        <f>IF(F392-MIN(F$294,F392)-N392&lt;0.005,0,F392-MIN(F$294,F392)-N392)</f>
        <v>0</v>
      </c>
      <c r="W392" s="36">
        <f>IF(G392-MIN(G$294,G392)-O392&lt;0.005,0,G392-MIN(G$294,G392)-O392)</f>
        <v>0</v>
      </c>
      <c r="X392" s="36">
        <f>IF(H392-MIN(H$294,H392)-P392&lt;0.005,0,H392-MIN(H$294,H392)-P392)</f>
        <v>0</v>
      </c>
      <c r="Y392" s="36">
        <f>IF(I392-MIN(I$294,I392)-Q392&lt;0.005,0,I392-MIN(I$294,I392)-Q392)</f>
        <v>0</v>
      </c>
      <c r="Z392" s="36">
        <f>IF(J392-MIN(J$294,J392)-R392&lt;0.005,0,J392-MIN(J$294,J392)-R392)</f>
        <v>0</v>
      </c>
      <c r="AA392" s="36">
        <f>IF(K392-MIN(K$294,K392)-S392&lt;0.005,0,K392-MIN(K$294,K392)-S392)</f>
        <v>0</v>
      </c>
      <c r="AB392" s="36">
        <f>IF(L392-MIN(L$294,L392)-T392&lt;0.005,0,L392-MIN(L$294,L392)-T392)</f>
        <v>0</v>
      </c>
      <c r="AC392" s="36">
        <f>SUM(U392:AB392)</f>
        <v>0</v>
      </c>
      <c r="AD392" s="36">
        <f>D392+SUM(M392:T392)</f>
        <v>0</v>
      </c>
    </row>
    <row r="393">
      <c r="B393" s="40" t="n">
        <v>95</v>
      </c>
      <c r="C393" s="36">
        <f>MAX(0,Sim_SomaParc+N(Sim_Extra)-D393)</f>
        <v>2790</v>
      </c>
      <c r="D393" s="36">
        <f>MIN(E$294,E393)+MIN(F$294,F393)+MIN(G$294,G393)+MIN(H$294,H393)+MIN(I$294,I393)+MIN(J$294,J393)+MIN(K$294,K393)+MIN(L$294,L393)</f>
        <v>0</v>
      </c>
      <c r="E393" s="36">
        <f>U392*(1+E$293)</f>
        <v>0</v>
      </c>
      <c r="F393" s="36">
        <f>V392*(1+F$293)</f>
        <v>0</v>
      </c>
      <c r="G393" s="36">
        <f>W392*(1+G$293)</f>
        <v>0</v>
      </c>
      <c r="H393" s="36">
        <f>X392*(1+H$293)</f>
        <v>0</v>
      </c>
      <c r="I393" s="36">
        <f>Y392*(1+I$293)</f>
        <v>0</v>
      </c>
      <c r="J393" s="36">
        <f>Z392*(1+J$293)</f>
        <v>0</v>
      </c>
      <c r="K393" s="36">
        <f>AA392*(1+K$293)</f>
        <v>0</v>
      </c>
      <c r="L393" s="36">
        <f>AB392*(1+L$293)</f>
        <v>0</v>
      </c>
      <c r="M393" s="36">
        <f>MIN(E393-MIN(E$294,E393),MAX(0,$C393-0))</f>
        <v>0</v>
      </c>
      <c r="N393" s="36">
        <f>MIN(F393-MIN(F$294,F393),MAX(0,$C393-SUM($M393:M393)))</f>
        <v>0</v>
      </c>
      <c r="O393" s="36">
        <f>MIN(G393-MIN(G$294,G393),MAX(0,$C393-SUM($M393:N393)))</f>
        <v>0</v>
      </c>
      <c r="P393" s="36">
        <f>MIN(H393-MIN(H$294,H393),MAX(0,$C393-SUM($M393:O393)))</f>
        <v>0</v>
      </c>
      <c r="Q393" s="36">
        <f>MIN(I393-MIN(I$294,I393),MAX(0,$C393-SUM($M393:P393)))</f>
        <v>0</v>
      </c>
      <c r="R393" s="36">
        <f>MIN(J393-MIN(J$294,J393),MAX(0,$C393-SUM($M393:Q393)))</f>
        <v>0</v>
      </c>
      <c r="S393" s="36">
        <f>MIN(K393-MIN(K$294,K393),MAX(0,$C393-SUM($M393:R393)))</f>
        <v>0</v>
      </c>
      <c r="T393" s="36">
        <f>MIN(L393-MIN(L$294,L393),MAX(0,$C393-SUM($M393:S393)))</f>
        <v>0</v>
      </c>
      <c r="U393" s="36">
        <f>IF(E393-MIN(E$294,E393)-M393&lt;0.005,0,E393-MIN(E$294,E393)-M393)</f>
        <v>0</v>
      </c>
      <c r="V393" s="36">
        <f>IF(F393-MIN(F$294,F393)-N393&lt;0.005,0,F393-MIN(F$294,F393)-N393)</f>
        <v>0</v>
      </c>
      <c r="W393" s="36">
        <f>IF(G393-MIN(G$294,G393)-O393&lt;0.005,0,G393-MIN(G$294,G393)-O393)</f>
        <v>0</v>
      </c>
      <c r="X393" s="36">
        <f>IF(H393-MIN(H$294,H393)-P393&lt;0.005,0,H393-MIN(H$294,H393)-P393)</f>
        <v>0</v>
      </c>
      <c r="Y393" s="36">
        <f>IF(I393-MIN(I$294,I393)-Q393&lt;0.005,0,I393-MIN(I$294,I393)-Q393)</f>
        <v>0</v>
      </c>
      <c r="Z393" s="36">
        <f>IF(J393-MIN(J$294,J393)-R393&lt;0.005,0,J393-MIN(J$294,J393)-R393)</f>
        <v>0</v>
      </c>
      <c r="AA393" s="36">
        <f>IF(K393-MIN(K$294,K393)-S393&lt;0.005,0,K393-MIN(K$294,K393)-S393)</f>
        <v>0</v>
      </c>
      <c r="AB393" s="36">
        <f>IF(L393-MIN(L$294,L393)-T393&lt;0.005,0,L393-MIN(L$294,L393)-T393)</f>
        <v>0</v>
      </c>
      <c r="AC393" s="36">
        <f>SUM(U393:AB393)</f>
        <v>0</v>
      </c>
      <c r="AD393" s="36">
        <f>D393+SUM(M393:T393)</f>
        <v>0</v>
      </c>
    </row>
    <row r="394">
      <c r="B394" s="40" t="n">
        <v>96</v>
      </c>
      <c r="C394" s="36">
        <f>MAX(0,Sim_SomaParc+N(Sim_Extra)-D394)</f>
        <v>2790</v>
      </c>
      <c r="D394" s="36">
        <f>MIN(E$294,E394)+MIN(F$294,F394)+MIN(G$294,G394)+MIN(H$294,H394)+MIN(I$294,I394)+MIN(J$294,J394)+MIN(K$294,K394)+MIN(L$294,L394)</f>
        <v>0</v>
      </c>
      <c r="E394" s="36">
        <f>U393*(1+E$293)</f>
        <v>0</v>
      </c>
      <c r="F394" s="36">
        <f>V393*(1+F$293)</f>
        <v>0</v>
      </c>
      <c r="G394" s="36">
        <f>W393*(1+G$293)</f>
        <v>0</v>
      </c>
      <c r="H394" s="36">
        <f>X393*(1+H$293)</f>
        <v>0</v>
      </c>
      <c r="I394" s="36">
        <f>Y393*(1+I$293)</f>
        <v>0</v>
      </c>
      <c r="J394" s="36">
        <f>Z393*(1+J$293)</f>
        <v>0</v>
      </c>
      <c r="K394" s="36">
        <f>AA393*(1+K$293)</f>
        <v>0</v>
      </c>
      <c r="L394" s="36">
        <f>AB393*(1+L$293)</f>
        <v>0</v>
      </c>
      <c r="M394" s="36">
        <f>MIN(E394-MIN(E$294,E394),MAX(0,$C394-0))</f>
        <v>0</v>
      </c>
      <c r="N394" s="36">
        <f>MIN(F394-MIN(F$294,F394),MAX(0,$C394-SUM($M394:M394)))</f>
        <v>0</v>
      </c>
      <c r="O394" s="36">
        <f>MIN(G394-MIN(G$294,G394),MAX(0,$C394-SUM($M394:N394)))</f>
        <v>0</v>
      </c>
      <c r="P394" s="36">
        <f>MIN(H394-MIN(H$294,H394),MAX(0,$C394-SUM($M394:O394)))</f>
        <v>0</v>
      </c>
      <c r="Q394" s="36">
        <f>MIN(I394-MIN(I$294,I394),MAX(0,$C394-SUM($M394:P394)))</f>
        <v>0</v>
      </c>
      <c r="R394" s="36">
        <f>MIN(J394-MIN(J$294,J394),MAX(0,$C394-SUM($M394:Q394)))</f>
        <v>0</v>
      </c>
      <c r="S394" s="36">
        <f>MIN(K394-MIN(K$294,K394),MAX(0,$C394-SUM($M394:R394)))</f>
        <v>0</v>
      </c>
      <c r="T394" s="36">
        <f>MIN(L394-MIN(L$294,L394),MAX(0,$C394-SUM($M394:S394)))</f>
        <v>0</v>
      </c>
      <c r="U394" s="36">
        <f>IF(E394-MIN(E$294,E394)-M394&lt;0.005,0,E394-MIN(E$294,E394)-M394)</f>
        <v>0</v>
      </c>
      <c r="V394" s="36">
        <f>IF(F394-MIN(F$294,F394)-N394&lt;0.005,0,F394-MIN(F$294,F394)-N394)</f>
        <v>0</v>
      </c>
      <c r="W394" s="36">
        <f>IF(G394-MIN(G$294,G394)-O394&lt;0.005,0,G394-MIN(G$294,G394)-O394)</f>
        <v>0</v>
      </c>
      <c r="X394" s="36">
        <f>IF(H394-MIN(H$294,H394)-P394&lt;0.005,0,H394-MIN(H$294,H394)-P394)</f>
        <v>0</v>
      </c>
      <c r="Y394" s="36">
        <f>IF(I394-MIN(I$294,I394)-Q394&lt;0.005,0,I394-MIN(I$294,I394)-Q394)</f>
        <v>0</v>
      </c>
      <c r="Z394" s="36">
        <f>IF(J394-MIN(J$294,J394)-R394&lt;0.005,0,J394-MIN(J$294,J394)-R394)</f>
        <v>0</v>
      </c>
      <c r="AA394" s="36">
        <f>IF(K394-MIN(K$294,K394)-S394&lt;0.005,0,K394-MIN(K$294,K394)-S394)</f>
        <v>0</v>
      </c>
      <c r="AB394" s="36">
        <f>IF(L394-MIN(L$294,L394)-T394&lt;0.005,0,L394-MIN(L$294,L394)-T394)</f>
        <v>0</v>
      </c>
      <c r="AC394" s="36">
        <f>SUM(U394:AB394)</f>
        <v>0</v>
      </c>
      <c r="AD394" s="36">
        <f>D394+SUM(M394:T394)</f>
        <v>0</v>
      </c>
    </row>
    <row r="395">
      <c r="B395" s="40" t="n">
        <v>97</v>
      </c>
      <c r="C395" s="36">
        <f>MAX(0,Sim_SomaParc+N(Sim_Extra)-D395)</f>
        <v>2790</v>
      </c>
      <c r="D395" s="36">
        <f>MIN(E$294,E395)+MIN(F$294,F395)+MIN(G$294,G395)+MIN(H$294,H395)+MIN(I$294,I395)+MIN(J$294,J395)+MIN(K$294,K395)+MIN(L$294,L395)</f>
        <v>0</v>
      </c>
      <c r="E395" s="36">
        <f>U394*(1+E$293)</f>
        <v>0</v>
      </c>
      <c r="F395" s="36">
        <f>V394*(1+F$293)</f>
        <v>0</v>
      </c>
      <c r="G395" s="36">
        <f>W394*(1+G$293)</f>
        <v>0</v>
      </c>
      <c r="H395" s="36">
        <f>X394*(1+H$293)</f>
        <v>0</v>
      </c>
      <c r="I395" s="36">
        <f>Y394*(1+I$293)</f>
        <v>0</v>
      </c>
      <c r="J395" s="36">
        <f>Z394*(1+J$293)</f>
        <v>0</v>
      </c>
      <c r="K395" s="36">
        <f>AA394*(1+K$293)</f>
        <v>0</v>
      </c>
      <c r="L395" s="36">
        <f>AB394*(1+L$293)</f>
        <v>0</v>
      </c>
      <c r="M395" s="36">
        <f>MIN(E395-MIN(E$294,E395),MAX(0,$C395-0))</f>
        <v>0</v>
      </c>
      <c r="N395" s="36">
        <f>MIN(F395-MIN(F$294,F395),MAX(0,$C395-SUM($M395:M395)))</f>
        <v>0</v>
      </c>
      <c r="O395" s="36">
        <f>MIN(G395-MIN(G$294,G395),MAX(0,$C395-SUM($M395:N395)))</f>
        <v>0</v>
      </c>
      <c r="P395" s="36">
        <f>MIN(H395-MIN(H$294,H395),MAX(0,$C395-SUM($M395:O395)))</f>
        <v>0</v>
      </c>
      <c r="Q395" s="36">
        <f>MIN(I395-MIN(I$294,I395),MAX(0,$C395-SUM($M395:P395)))</f>
        <v>0</v>
      </c>
      <c r="R395" s="36">
        <f>MIN(J395-MIN(J$294,J395),MAX(0,$C395-SUM($M395:Q395)))</f>
        <v>0</v>
      </c>
      <c r="S395" s="36">
        <f>MIN(K395-MIN(K$294,K395),MAX(0,$C395-SUM($M395:R395)))</f>
        <v>0</v>
      </c>
      <c r="T395" s="36">
        <f>MIN(L395-MIN(L$294,L395),MAX(0,$C395-SUM($M395:S395)))</f>
        <v>0</v>
      </c>
      <c r="U395" s="36">
        <f>IF(E395-MIN(E$294,E395)-M395&lt;0.005,0,E395-MIN(E$294,E395)-M395)</f>
        <v>0</v>
      </c>
      <c r="V395" s="36">
        <f>IF(F395-MIN(F$294,F395)-N395&lt;0.005,0,F395-MIN(F$294,F395)-N395)</f>
        <v>0</v>
      </c>
      <c r="W395" s="36">
        <f>IF(G395-MIN(G$294,G395)-O395&lt;0.005,0,G395-MIN(G$294,G395)-O395)</f>
        <v>0</v>
      </c>
      <c r="X395" s="36">
        <f>IF(H395-MIN(H$294,H395)-P395&lt;0.005,0,H395-MIN(H$294,H395)-P395)</f>
        <v>0</v>
      </c>
      <c r="Y395" s="36">
        <f>IF(I395-MIN(I$294,I395)-Q395&lt;0.005,0,I395-MIN(I$294,I395)-Q395)</f>
        <v>0</v>
      </c>
      <c r="Z395" s="36">
        <f>IF(J395-MIN(J$294,J395)-R395&lt;0.005,0,J395-MIN(J$294,J395)-R395)</f>
        <v>0</v>
      </c>
      <c r="AA395" s="36">
        <f>IF(K395-MIN(K$294,K395)-S395&lt;0.005,0,K395-MIN(K$294,K395)-S395)</f>
        <v>0</v>
      </c>
      <c r="AB395" s="36">
        <f>IF(L395-MIN(L$294,L395)-T395&lt;0.005,0,L395-MIN(L$294,L395)-T395)</f>
        <v>0</v>
      </c>
      <c r="AC395" s="36">
        <f>SUM(U395:AB395)</f>
        <v>0</v>
      </c>
      <c r="AD395" s="36">
        <f>D395+SUM(M395:T395)</f>
        <v>0</v>
      </c>
    </row>
    <row r="396">
      <c r="B396" s="40" t="n">
        <v>98</v>
      </c>
      <c r="C396" s="36">
        <f>MAX(0,Sim_SomaParc+N(Sim_Extra)-D396)</f>
        <v>2790</v>
      </c>
      <c r="D396" s="36">
        <f>MIN(E$294,E396)+MIN(F$294,F396)+MIN(G$294,G396)+MIN(H$294,H396)+MIN(I$294,I396)+MIN(J$294,J396)+MIN(K$294,K396)+MIN(L$294,L396)</f>
        <v>0</v>
      </c>
      <c r="E396" s="36">
        <f>U395*(1+E$293)</f>
        <v>0</v>
      </c>
      <c r="F396" s="36">
        <f>V395*(1+F$293)</f>
        <v>0</v>
      </c>
      <c r="G396" s="36">
        <f>W395*(1+G$293)</f>
        <v>0</v>
      </c>
      <c r="H396" s="36">
        <f>X395*(1+H$293)</f>
        <v>0</v>
      </c>
      <c r="I396" s="36">
        <f>Y395*(1+I$293)</f>
        <v>0</v>
      </c>
      <c r="J396" s="36">
        <f>Z395*(1+J$293)</f>
        <v>0</v>
      </c>
      <c r="K396" s="36">
        <f>AA395*(1+K$293)</f>
        <v>0</v>
      </c>
      <c r="L396" s="36">
        <f>AB395*(1+L$293)</f>
        <v>0</v>
      </c>
      <c r="M396" s="36">
        <f>MIN(E396-MIN(E$294,E396),MAX(0,$C396-0))</f>
        <v>0</v>
      </c>
      <c r="N396" s="36">
        <f>MIN(F396-MIN(F$294,F396),MAX(0,$C396-SUM($M396:M396)))</f>
        <v>0</v>
      </c>
      <c r="O396" s="36">
        <f>MIN(G396-MIN(G$294,G396),MAX(0,$C396-SUM($M396:N396)))</f>
        <v>0</v>
      </c>
      <c r="P396" s="36">
        <f>MIN(H396-MIN(H$294,H396),MAX(0,$C396-SUM($M396:O396)))</f>
        <v>0</v>
      </c>
      <c r="Q396" s="36">
        <f>MIN(I396-MIN(I$294,I396),MAX(0,$C396-SUM($M396:P396)))</f>
        <v>0</v>
      </c>
      <c r="R396" s="36">
        <f>MIN(J396-MIN(J$294,J396),MAX(0,$C396-SUM($M396:Q396)))</f>
        <v>0</v>
      </c>
      <c r="S396" s="36">
        <f>MIN(K396-MIN(K$294,K396),MAX(0,$C396-SUM($M396:R396)))</f>
        <v>0</v>
      </c>
      <c r="T396" s="36">
        <f>MIN(L396-MIN(L$294,L396),MAX(0,$C396-SUM($M396:S396)))</f>
        <v>0</v>
      </c>
      <c r="U396" s="36">
        <f>IF(E396-MIN(E$294,E396)-M396&lt;0.005,0,E396-MIN(E$294,E396)-M396)</f>
        <v>0</v>
      </c>
      <c r="V396" s="36">
        <f>IF(F396-MIN(F$294,F396)-N396&lt;0.005,0,F396-MIN(F$294,F396)-N396)</f>
        <v>0</v>
      </c>
      <c r="W396" s="36">
        <f>IF(G396-MIN(G$294,G396)-O396&lt;0.005,0,G396-MIN(G$294,G396)-O396)</f>
        <v>0</v>
      </c>
      <c r="X396" s="36">
        <f>IF(H396-MIN(H$294,H396)-P396&lt;0.005,0,H396-MIN(H$294,H396)-P396)</f>
        <v>0</v>
      </c>
      <c r="Y396" s="36">
        <f>IF(I396-MIN(I$294,I396)-Q396&lt;0.005,0,I396-MIN(I$294,I396)-Q396)</f>
        <v>0</v>
      </c>
      <c r="Z396" s="36">
        <f>IF(J396-MIN(J$294,J396)-R396&lt;0.005,0,J396-MIN(J$294,J396)-R396)</f>
        <v>0</v>
      </c>
      <c r="AA396" s="36">
        <f>IF(K396-MIN(K$294,K396)-S396&lt;0.005,0,K396-MIN(K$294,K396)-S396)</f>
        <v>0</v>
      </c>
      <c r="AB396" s="36">
        <f>IF(L396-MIN(L$294,L396)-T396&lt;0.005,0,L396-MIN(L$294,L396)-T396)</f>
        <v>0</v>
      </c>
      <c r="AC396" s="36">
        <f>SUM(U396:AB396)</f>
        <v>0</v>
      </c>
      <c r="AD396" s="36">
        <f>D396+SUM(M396:T396)</f>
        <v>0</v>
      </c>
    </row>
    <row r="397">
      <c r="B397" s="40" t="n">
        <v>99</v>
      </c>
      <c r="C397" s="36">
        <f>MAX(0,Sim_SomaParc+N(Sim_Extra)-D397)</f>
        <v>2790</v>
      </c>
      <c r="D397" s="36">
        <f>MIN(E$294,E397)+MIN(F$294,F397)+MIN(G$294,G397)+MIN(H$294,H397)+MIN(I$294,I397)+MIN(J$294,J397)+MIN(K$294,K397)+MIN(L$294,L397)</f>
        <v>0</v>
      </c>
      <c r="E397" s="36">
        <f>U396*(1+E$293)</f>
        <v>0</v>
      </c>
      <c r="F397" s="36">
        <f>V396*(1+F$293)</f>
        <v>0</v>
      </c>
      <c r="G397" s="36">
        <f>W396*(1+G$293)</f>
        <v>0</v>
      </c>
      <c r="H397" s="36">
        <f>X396*(1+H$293)</f>
        <v>0</v>
      </c>
      <c r="I397" s="36">
        <f>Y396*(1+I$293)</f>
        <v>0</v>
      </c>
      <c r="J397" s="36">
        <f>Z396*(1+J$293)</f>
        <v>0</v>
      </c>
      <c r="K397" s="36">
        <f>AA396*(1+K$293)</f>
        <v>0</v>
      </c>
      <c r="L397" s="36">
        <f>AB396*(1+L$293)</f>
        <v>0</v>
      </c>
      <c r="M397" s="36">
        <f>MIN(E397-MIN(E$294,E397),MAX(0,$C397-0))</f>
        <v>0</v>
      </c>
      <c r="N397" s="36">
        <f>MIN(F397-MIN(F$294,F397),MAX(0,$C397-SUM($M397:M397)))</f>
        <v>0</v>
      </c>
      <c r="O397" s="36">
        <f>MIN(G397-MIN(G$294,G397),MAX(0,$C397-SUM($M397:N397)))</f>
        <v>0</v>
      </c>
      <c r="P397" s="36">
        <f>MIN(H397-MIN(H$294,H397),MAX(0,$C397-SUM($M397:O397)))</f>
        <v>0</v>
      </c>
      <c r="Q397" s="36">
        <f>MIN(I397-MIN(I$294,I397),MAX(0,$C397-SUM($M397:P397)))</f>
        <v>0</v>
      </c>
      <c r="R397" s="36">
        <f>MIN(J397-MIN(J$294,J397),MAX(0,$C397-SUM($M397:Q397)))</f>
        <v>0</v>
      </c>
      <c r="S397" s="36">
        <f>MIN(K397-MIN(K$294,K397),MAX(0,$C397-SUM($M397:R397)))</f>
        <v>0</v>
      </c>
      <c r="T397" s="36">
        <f>MIN(L397-MIN(L$294,L397),MAX(0,$C397-SUM($M397:S397)))</f>
        <v>0</v>
      </c>
      <c r="U397" s="36">
        <f>IF(E397-MIN(E$294,E397)-M397&lt;0.005,0,E397-MIN(E$294,E397)-M397)</f>
        <v>0</v>
      </c>
      <c r="V397" s="36">
        <f>IF(F397-MIN(F$294,F397)-N397&lt;0.005,0,F397-MIN(F$294,F397)-N397)</f>
        <v>0</v>
      </c>
      <c r="W397" s="36">
        <f>IF(G397-MIN(G$294,G397)-O397&lt;0.005,0,G397-MIN(G$294,G397)-O397)</f>
        <v>0</v>
      </c>
      <c r="X397" s="36">
        <f>IF(H397-MIN(H$294,H397)-P397&lt;0.005,0,H397-MIN(H$294,H397)-P397)</f>
        <v>0</v>
      </c>
      <c r="Y397" s="36">
        <f>IF(I397-MIN(I$294,I397)-Q397&lt;0.005,0,I397-MIN(I$294,I397)-Q397)</f>
        <v>0</v>
      </c>
      <c r="Z397" s="36">
        <f>IF(J397-MIN(J$294,J397)-R397&lt;0.005,0,J397-MIN(J$294,J397)-R397)</f>
        <v>0</v>
      </c>
      <c r="AA397" s="36">
        <f>IF(K397-MIN(K$294,K397)-S397&lt;0.005,0,K397-MIN(K$294,K397)-S397)</f>
        <v>0</v>
      </c>
      <c r="AB397" s="36">
        <f>IF(L397-MIN(L$294,L397)-T397&lt;0.005,0,L397-MIN(L$294,L397)-T397)</f>
        <v>0</v>
      </c>
      <c r="AC397" s="36">
        <f>SUM(U397:AB397)</f>
        <v>0</v>
      </c>
      <c r="AD397" s="36">
        <f>D397+SUM(M397:T397)</f>
        <v>0</v>
      </c>
    </row>
    <row r="398">
      <c r="B398" s="40" t="n">
        <v>100</v>
      </c>
      <c r="C398" s="36">
        <f>MAX(0,Sim_SomaParc+N(Sim_Extra)-D398)</f>
        <v>2790</v>
      </c>
      <c r="D398" s="36">
        <f>MIN(E$294,E398)+MIN(F$294,F398)+MIN(G$294,G398)+MIN(H$294,H398)+MIN(I$294,I398)+MIN(J$294,J398)+MIN(K$294,K398)+MIN(L$294,L398)</f>
        <v>0</v>
      </c>
      <c r="E398" s="36">
        <f>U397*(1+E$293)</f>
        <v>0</v>
      </c>
      <c r="F398" s="36">
        <f>V397*(1+F$293)</f>
        <v>0</v>
      </c>
      <c r="G398" s="36">
        <f>W397*(1+G$293)</f>
        <v>0</v>
      </c>
      <c r="H398" s="36">
        <f>X397*(1+H$293)</f>
        <v>0</v>
      </c>
      <c r="I398" s="36">
        <f>Y397*(1+I$293)</f>
        <v>0</v>
      </c>
      <c r="J398" s="36">
        <f>Z397*(1+J$293)</f>
        <v>0</v>
      </c>
      <c r="K398" s="36">
        <f>AA397*(1+K$293)</f>
        <v>0</v>
      </c>
      <c r="L398" s="36">
        <f>AB397*(1+L$293)</f>
        <v>0</v>
      </c>
      <c r="M398" s="36">
        <f>MIN(E398-MIN(E$294,E398),MAX(0,$C398-0))</f>
        <v>0</v>
      </c>
      <c r="N398" s="36">
        <f>MIN(F398-MIN(F$294,F398),MAX(0,$C398-SUM($M398:M398)))</f>
        <v>0</v>
      </c>
      <c r="O398" s="36">
        <f>MIN(G398-MIN(G$294,G398),MAX(0,$C398-SUM($M398:N398)))</f>
        <v>0</v>
      </c>
      <c r="P398" s="36">
        <f>MIN(H398-MIN(H$294,H398),MAX(0,$C398-SUM($M398:O398)))</f>
        <v>0</v>
      </c>
      <c r="Q398" s="36">
        <f>MIN(I398-MIN(I$294,I398),MAX(0,$C398-SUM($M398:P398)))</f>
        <v>0</v>
      </c>
      <c r="R398" s="36">
        <f>MIN(J398-MIN(J$294,J398),MAX(0,$C398-SUM($M398:Q398)))</f>
        <v>0</v>
      </c>
      <c r="S398" s="36">
        <f>MIN(K398-MIN(K$294,K398),MAX(0,$C398-SUM($M398:R398)))</f>
        <v>0</v>
      </c>
      <c r="T398" s="36">
        <f>MIN(L398-MIN(L$294,L398),MAX(0,$C398-SUM($M398:S398)))</f>
        <v>0</v>
      </c>
      <c r="U398" s="36">
        <f>IF(E398-MIN(E$294,E398)-M398&lt;0.005,0,E398-MIN(E$294,E398)-M398)</f>
        <v>0</v>
      </c>
      <c r="V398" s="36">
        <f>IF(F398-MIN(F$294,F398)-N398&lt;0.005,0,F398-MIN(F$294,F398)-N398)</f>
        <v>0</v>
      </c>
      <c r="W398" s="36">
        <f>IF(G398-MIN(G$294,G398)-O398&lt;0.005,0,G398-MIN(G$294,G398)-O398)</f>
        <v>0</v>
      </c>
      <c r="X398" s="36">
        <f>IF(H398-MIN(H$294,H398)-P398&lt;0.005,0,H398-MIN(H$294,H398)-P398)</f>
        <v>0</v>
      </c>
      <c r="Y398" s="36">
        <f>IF(I398-MIN(I$294,I398)-Q398&lt;0.005,0,I398-MIN(I$294,I398)-Q398)</f>
        <v>0</v>
      </c>
      <c r="Z398" s="36">
        <f>IF(J398-MIN(J$294,J398)-R398&lt;0.005,0,J398-MIN(J$294,J398)-R398)</f>
        <v>0</v>
      </c>
      <c r="AA398" s="36">
        <f>IF(K398-MIN(K$294,K398)-S398&lt;0.005,0,K398-MIN(K$294,K398)-S398)</f>
        <v>0</v>
      </c>
      <c r="AB398" s="36">
        <f>IF(L398-MIN(L$294,L398)-T398&lt;0.005,0,L398-MIN(L$294,L398)-T398)</f>
        <v>0</v>
      </c>
      <c r="AC398" s="36">
        <f>SUM(U398:AB398)</f>
        <v>0</v>
      </c>
      <c r="AD398" s="36">
        <f>D398+SUM(M398:T398)</f>
        <v>0</v>
      </c>
    </row>
    <row r="399">
      <c r="B399" s="40" t="n">
        <v>101</v>
      </c>
      <c r="C399" s="36">
        <f>MAX(0,Sim_SomaParc+N(Sim_Extra)-D399)</f>
        <v>2790</v>
      </c>
      <c r="D399" s="36">
        <f>MIN(E$294,E399)+MIN(F$294,F399)+MIN(G$294,G399)+MIN(H$294,H399)+MIN(I$294,I399)+MIN(J$294,J399)+MIN(K$294,K399)+MIN(L$294,L399)</f>
        <v>0</v>
      </c>
      <c r="E399" s="36">
        <f>U398*(1+E$293)</f>
        <v>0</v>
      </c>
      <c r="F399" s="36">
        <f>V398*(1+F$293)</f>
        <v>0</v>
      </c>
      <c r="G399" s="36">
        <f>W398*(1+G$293)</f>
        <v>0</v>
      </c>
      <c r="H399" s="36">
        <f>X398*(1+H$293)</f>
        <v>0</v>
      </c>
      <c r="I399" s="36">
        <f>Y398*(1+I$293)</f>
        <v>0</v>
      </c>
      <c r="J399" s="36">
        <f>Z398*(1+J$293)</f>
        <v>0</v>
      </c>
      <c r="K399" s="36">
        <f>AA398*(1+K$293)</f>
        <v>0</v>
      </c>
      <c r="L399" s="36">
        <f>AB398*(1+L$293)</f>
        <v>0</v>
      </c>
      <c r="M399" s="36">
        <f>MIN(E399-MIN(E$294,E399),MAX(0,$C399-0))</f>
        <v>0</v>
      </c>
      <c r="N399" s="36">
        <f>MIN(F399-MIN(F$294,F399),MAX(0,$C399-SUM($M399:M399)))</f>
        <v>0</v>
      </c>
      <c r="O399" s="36">
        <f>MIN(G399-MIN(G$294,G399),MAX(0,$C399-SUM($M399:N399)))</f>
        <v>0</v>
      </c>
      <c r="P399" s="36">
        <f>MIN(H399-MIN(H$294,H399),MAX(0,$C399-SUM($M399:O399)))</f>
        <v>0</v>
      </c>
      <c r="Q399" s="36">
        <f>MIN(I399-MIN(I$294,I399),MAX(0,$C399-SUM($M399:P399)))</f>
        <v>0</v>
      </c>
      <c r="R399" s="36">
        <f>MIN(J399-MIN(J$294,J399),MAX(0,$C399-SUM($M399:Q399)))</f>
        <v>0</v>
      </c>
      <c r="S399" s="36">
        <f>MIN(K399-MIN(K$294,K399),MAX(0,$C399-SUM($M399:R399)))</f>
        <v>0</v>
      </c>
      <c r="T399" s="36">
        <f>MIN(L399-MIN(L$294,L399),MAX(0,$C399-SUM($M399:S399)))</f>
        <v>0</v>
      </c>
      <c r="U399" s="36">
        <f>IF(E399-MIN(E$294,E399)-M399&lt;0.005,0,E399-MIN(E$294,E399)-M399)</f>
        <v>0</v>
      </c>
      <c r="V399" s="36">
        <f>IF(F399-MIN(F$294,F399)-N399&lt;0.005,0,F399-MIN(F$294,F399)-N399)</f>
        <v>0</v>
      </c>
      <c r="W399" s="36">
        <f>IF(G399-MIN(G$294,G399)-O399&lt;0.005,0,G399-MIN(G$294,G399)-O399)</f>
        <v>0</v>
      </c>
      <c r="X399" s="36">
        <f>IF(H399-MIN(H$294,H399)-P399&lt;0.005,0,H399-MIN(H$294,H399)-P399)</f>
        <v>0</v>
      </c>
      <c r="Y399" s="36">
        <f>IF(I399-MIN(I$294,I399)-Q399&lt;0.005,0,I399-MIN(I$294,I399)-Q399)</f>
        <v>0</v>
      </c>
      <c r="Z399" s="36">
        <f>IF(J399-MIN(J$294,J399)-R399&lt;0.005,0,J399-MIN(J$294,J399)-R399)</f>
        <v>0</v>
      </c>
      <c r="AA399" s="36">
        <f>IF(K399-MIN(K$294,K399)-S399&lt;0.005,0,K399-MIN(K$294,K399)-S399)</f>
        <v>0</v>
      </c>
      <c r="AB399" s="36">
        <f>IF(L399-MIN(L$294,L399)-T399&lt;0.005,0,L399-MIN(L$294,L399)-T399)</f>
        <v>0</v>
      </c>
      <c r="AC399" s="36">
        <f>SUM(U399:AB399)</f>
        <v>0</v>
      </c>
      <c r="AD399" s="36">
        <f>D399+SUM(M399:T399)</f>
        <v>0</v>
      </c>
    </row>
    <row r="400">
      <c r="B400" s="40" t="n">
        <v>102</v>
      </c>
      <c r="C400" s="36">
        <f>MAX(0,Sim_SomaParc+N(Sim_Extra)-D400)</f>
        <v>2790</v>
      </c>
      <c r="D400" s="36">
        <f>MIN(E$294,E400)+MIN(F$294,F400)+MIN(G$294,G400)+MIN(H$294,H400)+MIN(I$294,I400)+MIN(J$294,J400)+MIN(K$294,K400)+MIN(L$294,L400)</f>
        <v>0</v>
      </c>
      <c r="E400" s="36">
        <f>U399*(1+E$293)</f>
        <v>0</v>
      </c>
      <c r="F400" s="36">
        <f>V399*(1+F$293)</f>
        <v>0</v>
      </c>
      <c r="G400" s="36">
        <f>W399*(1+G$293)</f>
        <v>0</v>
      </c>
      <c r="H400" s="36">
        <f>X399*(1+H$293)</f>
        <v>0</v>
      </c>
      <c r="I400" s="36">
        <f>Y399*(1+I$293)</f>
        <v>0</v>
      </c>
      <c r="J400" s="36">
        <f>Z399*(1+J$293)</f>
        <v>0</v>
      </c>
      <c r="K400" s="36">
        <f>AA399*(1+K$293)</f>
        <v>0</v>
      </c>
      <c r="L400" s="36">
        <f>AB399*(1+L$293)</f>
        <v>0</v>
      </c>
      <c r="M400" s="36">
        <f>MIN(E400-MIN(E$294,E400),MAX(0,$C400-0))</f>
        <v>0</v>
      </c>
      <c r="N400" s="36">
        <f>MIN(F400-MIN(F$294,F400),MAX(0,$C400-SUM($M400:M400)))</f>
        <v>0</v>
      </c>
      <c r="O400" s="36">
        <f>MIN(G400-MIN(G$294,G400),MAX(0,$C400-SUM($M400:N400)))</f>
        <v>0</v>
      </c>
      <c r="P400" s="36">
        <f>MIN(H400-MIN(H$294,H400),MAX(0,$C400-SUM($M400:O400)))</f>
        <v>0</v>
      </c>
      <c r="Q400" s="36">
        <f>MIN(I400-MIN(I$294,I400),MAX(0,$C400-SUM($M400:P400)))</f>
        <v>0</v>
      </c>
      <c r="R400" s="36">
        <f>MIN(J400-MIN(J$294,J400),MAX(0,$C400-SUM($M400:Q400)))</f>
        <v>0</v>
      </c>
      <c r="S400" s="36">
        <f>MIN(K400-MIN(K$294,K400),MAX(0,$C400-SUM($M400:R400)))</f>
        <v>0</v>
      </c>
      <c r="T400" s="36">
        <f>MIN(L400-MIN(L$294,L400),MAX(0,$C400-SUM($M400:S400)))</f>
        <v>0</v>
      </c>
      <c r="U400" s="36">
        <f>IF(E400-MIN(E$294,E400)-M400&lt;0.005,0,E400-MIN(E$294,E400)-M400)</f>
        <v>0</v>
      </c>
      <c r="V400" s="36">
        <f>IF(F400-MIN(F$294,F400)-N400&lt;0.005,0,F400-MIN(F$294,F400)-N400)</f>
        <v>0</v>
      </c>
      <c r="W400" s="36">
        <f>IF(G400-MIN(G$294,G400)-O400&lt;0.005,0,G400-MIN(G$294,G400)-O400)</f>
        <v>0</v>
      </c>
      <c r="X400" s="36">
        <f>IF(H400-MIN(H$294,H400)-P400&lt;0.005,0,H400-MIN(H$294,H400)-P400)</f>
        <v>0</v>
      </c>
      <c r="Y400" s="36">
        <f>IF(I400-MIN(I$294,I400)-Q400&lt;0.005,0,I400-MIN(I$294,I400)-Q400)</f>
        <v>0</v>
      </c>
      <c r="Z400" s="36">
        <f>IF(J400-MIN(J$294,J400)-R400&lt;0.005,0,J400-MIN(J$294,J400)-R400)</f>
        <v>0</v>
      </c>
      <c r="AA400" s="36">
        <f>IF(K400-MIN(K$294,K400)-S400&lt;0.005,0,K400-MIN(K$294,K400)-S400)</f>
        <v>0</v>
      </c>
      <c r="AB400" s="36">
        <f>IF(L400-MIN(L$294,L400)-T400&lt;0.005,0,L400-MIN(L$294,L400)-T400)</f>
        <v>0</v>
      </c>
      <c r="AC400" s="36">
        <f>SUM(U400:AB400)</f>
        <v>0</v>
      </c>
      <c r="AD400" s="36">
        <f>D400+SUM(M400:T400)</f>
        <v>0</v>
      </c>
    </row>
    <row r="401">
      <c r="B401" s="40" t="n">
        <v>103</v>
      </c>
      <c r="C401" s="36">
        <f>MAX(0,Sim_SomaParc+N(Sim_Extra)-D401)</f>
        <v>2790</v>
      </c>
      <c r="D401" s="36">
        <f>MIN(E$294,E401)+MIN(F$294,F401)+MIN(G$294,G401)+MIN(H$294,H401)+MIN(I$294,I401)+MIN(J$294,J401)+MIN(K$294,K401)+MIN(L$294,L401)</f>
        <v>0</v>
      </c>
      <c r="E401" s="36">
        <f>U400*(1+E$293)</f>
        <v>0</v>
      </c>
      <c r="F401" s="36">
        <f>V400*(1+F$293)</f>
        <v>0</v>
      </c>
      <c r="G401" s="36">
        <f>W400*(1+G$293)</f>
        <v>0</v>
      </c>
      <c r="H401" s="36">
        <f>X400*(1+H$293)</f>
        <v>0</v>
      </c>
      <c r="I401" s="36">
        <f>Y400*(1+I$293)</f>
        <v>0</v>
      </c>
      <c r="J401" s="36">
        <f>Z400*(1+J$293)</f>
        <v>0</v>
      </c>
      <c r="K401" s="36">
        <f>AA400*(1+K$293)</f>
        <v>0</v>
      </c>
      <c r="L401" s="36">
        <f>AB400*(1+L$293)</f>
        <v>0</v>
      </c>
      <c r="M401" s="36">
        <f>MIN(E401-MIN(E$294,E401),MAX(0,$C401-0))</f>
        <v>0</v>
      </c>
      <c r="N401" s="36">
        <f>MIN(F401-MIN(F$294,F401),MAX(0,$C401-SUM($M401:M401)))</f>
        <v>0</v>
      </c>
      <c r="O401" s="36">
        <f>MIN(G401-MIN(G$294,G401),MAX(0,$C401-SUM($M401:N401)))</f>
        <v>0</v>
      </c>
      <c r="P401" s="36">
        <f>MIN(H401-MIN(H$294,H401),MAX(0,$C401-SUM($M401:O401)))</f>
        <v>0</v>
      </c>
      <c r="Q401" s="36">
        <f>MIN(I401-MIN(I$294,I401),MAX(0,$C401-SUM($M401:P401)))</f>
        <v>0</v>
      </c>
      <c r="R401" s="36">
        <f>MIN(J401-MIN(J$294,J401),MAX(0,$C401-SUM($M401:Q401)))</f>
        <v>0</v>
      </c>
      <c r="S401" s="36">
        <f>MIN(K401-MIN(K$294,K401),MAX(0,$C401-SUM($M401:R401)))</f>
        <v>0</v>
      </c>
      <c r="T401" s="36">
        <f>MIN(L401-MIN(L$294,L401),MAX(0,$C401-SUM($M401:S401)))</f>
        <v>0</v>
      </c>
      <c r="U401" s="36">
        <f>IF(E401-MIN(E$294,E401)-M401&lt;0.005,0,E401-MIN(E$294,E401)-M401)</f>
        <v>0</v>
      </c>
      <c r="V401" s="36">
        <f>IF(F401-MIN(F$294,F401)-N401&lt;0.005,0,F401-MIN(F$294,F401)-N401)</f>
        <v>0</v>
      </c>
      <c r="W401" s="36">
        <f>IF(G401-MIN(G$294,G401)-O401&lt;0.005,0,G401-MIN(G$294,G401)-O401)</f>
        <v>0</v>
      </c>
      <c r="X401" s="36">
        <f>IF(H401-MIN(H$294,H401)-P401&lt;0.005,0,H401-MIN(H$294,H401)-P401)</f>
        <v>0</v>
      </c>
      <c r="Y401" s="36">
        <f>IF(I401-MIN(I$294,I401)-Q401&lt;0.005,0,I401-MIN(I$294,I401)-Q401)</f>
        <v>0</v>
      </c>
      <c r="Z401" s="36">
        <f>IF(J401-MIN(J$294,J401)-R401&lt;0.005,0,J401-MIN(J$294,J401)-R401)</f>
        <v>0</v>
      </c>
      <c r="AA401" s="36">
        <f>IF(K401-MIN(K$294,K401)-S401&lt;0.005,0,K401-MIN(K$294,K401)-S401)</f>
        <v>0</v>
      </c>
      <c r="AB401" s="36">
        <f>IF(L401-MIN(L$294,L401)-T401&lt;0.005,0,L401-MIN(L$294,L401)-T401)</f>
        <v>0</v>
      </c>
      <c r="AC401" s="36">
        <f>SUM(U401:AB401)</f>
        <v>0</v>
      </c>
      <c r="AD401" s="36">
        <f>D401+SUM(M401:T401)</f>
        <v>0</v>
      </c>
    </row>
    <row r="402">
      <c r="B402" s="40" t="n">
        <v>104</v>
      </c>
      <c r="C402" s="36">
        <f>MAX(0,Sim_SomaParc+N(Sim_Extra)-D402)</f>
        <v>2790</v>
      </c>
      <c r="D402" s="36">
        <f>MIN(E$294,E402)+MIN(F$294,F402)+MIN(G$294,G402)+MIN(H$294,H402)+MIN(I$294,I402)+MIN(J$294,J402)+MIN(K$294,K402)+MIN(L$294,L402)</f>
        <v>0</v>
      </c>
      <c r="E402" s="36">
        <f>U401*(1+E$293)</f>
        <v>0</v>
      </c>
      <c r="F402" s="36">
        <f>V401*(1+F$293)</f>
        <v>0</v>
      </c>
      <c r="G402" s="36">
        <f>W401*(1+G$293)</f>
        <v>0</v>
      </c>
      <c r="H402" s="36">
        <f>X401*(1+H$293)</f>
        <v>0</v>
      </c>
      <c r="I402" s="36">
        <f>Y401*(1+I$293)</f>
        <v>0</v>
      </c>
      <c r="J402" s="36">
        <f>Z401*(1+J$293)</f>
        <v>0</v>
      </c>
      <c r="K402" s="36">
        <f>AA401*(1+K$293)</f>
        <v>0</v>
      </c>
      <c r="L402" s="36">
        <f>AB401*(1+L$293)</f>
        <v>0</v>
      </c>
      <c r="M402" s="36">
        <f>MIN(E402-MIN(E$294,E402),MAX(0,$C402-0))</f>
        <v>0</v>
      </c>
      <c r="N402" s="36">
        <f>MIN(F402-MIN(F$294,F402),MAX(0,$C402-SUM($M402:M402)))</f>
        <v>0</v>
      </c>
      <c r="O402" s="36">
        <f>MIN(G402-MIN(G$294,G402),MAX(0,$C402-SUM($M402:N402)))</f>
        <v>0</v>
      </c>
      <c r="P402" s="36">
        <f>MIN(H402-MIN(H$294,H402),MAX(0,$C402-SUM($M402:O402)))</f>
        <v>0</v>
      </c>
      <c r="Q402" s="36">
        <f>MIN(I402-MIN(I$294,I402),MAX(0,$C402-SUM($M402:P402)))</f>
        <v>0</v>
      </c>
      <c r="R402" s="36">
        <f>MIN(J402-MIN(J$294,J402),MAX(0,$C402-SUM($M402:Q402)))</f>
        <v>0</v>
      </c>
      <c r="S402" s="36">
        <f>MIN(K402-MIN(K$294,K402),MAX(0,$C402-SUM($M402:R402)))</f>
        <v>0</v>
      </c>
      <c r="T402" s="36">
        <f>MIN(L402-MIN(L$294,L402),MAX(0,$C402-SUM($M402:S402)))</f>
        <v>0</v>
      </c>
      <c r="U402" s="36">
        <f>IF(E402-MIN(E$294,E402)-M402&lt;0.005,0,E402-MIN(E$294,E402)-M402)</f>
        <v>0</v>
      </c>
      <c r="V402" s="36">
        <f>IF(F402-MIN(F$294,F402)-N402&lt;0.005,0,F402-MIN(F$294,F402)-N402)</f>
        <v>0</v>
      </c>
      <c r="W402" s="36">
        <f>IF(G402-MIN(G$294,G402)-O402&lt;0.005,0,G402-MIN(G$294,G402)-O402)</f>
        <v>0</v>
      </c>
      <c r="X402" s="36">
        <f>IF(H402-MIN(H$294,H402)-P402&lt;0.005,0,H402-MIN(H$294,H402)-P402)</f>
        <v>0</v>
      </c>
      <c r="Y402" s="36">
        <f>IF(I402-MIN(I$294,I402)-Q402&lt;0.005,0,I402-MIN(I$294,I402)-Q402)</f>
        <v>0</v>
      </c>
      <c r="Z402" s="36">
        <f>IF(J402-MIN(J$294,J402)-R402&lt;0.005,0,J402-MIN(J$294,J402)-R402)</f>
        <v>0</v>
      </c>
      <c r="AA402" s="36">
        <f>IF(K402-MIN(K$294,K402)-S402&lt;0.005,0,K402-MIN(K$294,K402)-S402)</f>
        <v>0</v>
      </c>
      <c r="AB402" s="36">
        <f>IF(L402-MIN(L$294,L402)-T402&lt;0.005,0,L402-MIN(L$294,L402)-T402)</f>
        <v>0</v>
      </c>
      <c r="AC402" s="36">
        <f>SUM(U402:AB402)</f>
        <v>0</v>
      </c>
      <c r="AD402" s="36">
        <f>D402+SUM(M402:T402)</f>
        <v>0</v>
      </c>
    </row>
    <row r="403">
      <c r="B403" s="40" t="n">
        <v>105</v>
      </c>
      <c r="C403" s="36">
        <f>MAX(0,Sim_SomaParc+N(Sim_Extra)-D403)</f>
        <v>2790</v>
      </c>
      <c r="D403" s="36">
        <f>MIN(E$294,E403)+MIN(F$294,F403)+MIN(G$294,G403)+MIN(H$294,H403)+MIN(I$294,I403)+MIN(J$294,J403)+MIN(K$294,K403)+MIN(L$294,L403)</f>
        <v>0</v>
      </c>
      <c r="E403" s="36">
        <f>U402*(1+E$293)</f>
        <v>0</v>
      </c>
      <c r="F403" s="36">
        <f>V402*(1+F$293)</f>
        <v>0</v>
      </c>
      <c r="G403" s="36">
        <f>W402*(1+G$293)</f>
        <v>0</v>
      </c>
      <c r="H403" s="36">
        <f>X402*(1+H$293)</f>
        <v>0</v>
      </c>
      <c r="I403" s="36">
        <f>Y402*(1+I$293)</f>
        <v>0</v>
      </c>
      <c r="J403" s="36">
        <f>Z402*(1+J$293)</f>
        <v>0</v>
      </c>
      <c r="K403" s="36">
        <f>AA402*(1+K$293)</f>
        <v>0</v>
      </c>
      <c r="L403" s="36">
        <f>AB402*(1+L$293)</f>
        <v>0</v>
      </c>
      <c r="M403" s="36">
        <f>MIN(E403-MIN(E$294,E403),MAX(0,$C403-0))</f>
        <v>0</v>
      </c>
      <c r="N403" s="36">
        <f>MIN(F403-MIN(F$294,F403),MAX(0,$C403-SUM($M403:M403)))</f>
        <v>0</v>
      </c>
      <c r="O403" s="36">
        <f>MIN(G403-MIN(G$294,G403),MAX(0,$C403-SUM($M403:N403)))</f>
        <v>0</v>
      </c>
      <c r="P403" s="36">
        <f>MIN(H403-MIN(H$294,H403),MAX(0,$C403-SUM($M403:O403)))</f>
        <v>0</v>
      </c>
      <c r="Q403" s="36">
        <f>MIN(I403-MIN(I$294,I403),MAX(0,$C403-SUM($M403:P403)))</f>
        <v>0</v>
      </c>
      <c r="R403" s="36">
        <f>MIN(J403-MIN(J$294,J403),MAX(0,$C403-SUM($M403:Q403)))</f>
        <v>0</v>
      </c>
      <c r="S403" s="36">
        <f>MIN(K403-MIN(K$294,K403),MAX(0,$C403-SUM($M403:R403)))</f>
        <v>0</v>
      </c>
      <c r="T403" s="36">
        <f>MIN(L403-MIN(L$294,L403),MAX(0,$C403-SUM($M403:S403)))</f>
        <v>0</v>
      </c>
      <c r="U403" s="36">
        <f>IF(E403-MIN(E$294,E403)-M403&lt;0.005,0,E403-MIN(E$294,E403)-M403)</f>
        <v>0</v>
      </c>
      <c r="V403" s="36">
        <f>IF(F403-MIN(F$294,F403)-N403&lt;0.005,0,F403-MIN(F$294,F403)-N403)</f>
        <v>0</v>
      </c>
      <c r="W403" s="36">
        <f>IF(G403-MIN(G$294,G403)-O403&lt;0.005,0,G403-MIN(G$294,G403)-O403)</f>
        <v>0</v>
      </c>
      <c r="X403" s="36">
        <f>IF(H403-MIN(H$294,H403)-P403&lt;0.005,0,H403-MIN(H$294,H403)-P403)</f>
        <v>0</v>
      </c>
      <c r="Y403" s="36">
        <f>IF(I403-MIN(I$294,I403)-Q403&lt;0.005,0,I403-MIN(I$294,I403)-Q403)</f>
        <v>0</v>
      </c>
      <c r="Z403" s="36">
        <f>IF(J403-MIN(J$294,J403)-R403&lt;0.005,0,J403-MIN(J$294,J403)-R403)</f>
        <v>0</v>
      </c>
      <c r="AA403" s="36">
        <f>IF(K403-MIN(K$294,K403)-S403&lt;0.005,0,K403-MIN(K$294,K403)-S403)</f>
        <v>0</v>
      </c>
      <c r="AB403" s="36">
        <f>IF(L403-MIN(L$294,L403)-T403&lt;0.005,0,L403-MIN(L$294,L403)-T403)</f>
        <v>0</v>
      </c>
      <c r="AC403" s="36">
        <f>SUM(U403:AB403)</f>
        <v>0</v>
      </c>
      <c r="AD403" s="36">
        <f>D403+SUM(M403:T403)</f>
        <v>0</v>
      </c>
    </row>
    <row r="404">
      <c r="B404" s="40" t="n">
        <v>106</v>
      </c>
      <c r="C404" s="36">
        <f>MAX(0,Sim_SomaParc+N(Sim_Extra)-D404)</f>
        <v>2790</v>
      </c>
      <c r="D404" s="36">
        <f>MIN(E$294,E404)+MIN(F$294,F404)+MIN(G$294,G404)+MIN(H$294,H404)+MIN(I$294,I404)+MIN(J$294,J404)+MIN(K$294,K404)+MIN(L$294,L404)</f>
        <v>0</v>
      </c>
      <c r="E404" s="36">
        <f>U403*(1+E$293)</f>
        <v>0</v>
      </c>
      <c r="F404" s="36">
        <f>V403*(1+F$293)</f>
        <v>0</v>
      </c>
      <c r="G404" s="36">
        <f>W403*(1+G$293)</f>
        <v>0</v>
      </c>
      <c r="H404" s="36">
        <f>X403*(1+H$293)</f>
        <v>0</v>
      </c>
      <c r="I404" s="36">
        <f>Y403*(1+I$293)</f>
        <v>0</v>
      </c>
      <c r="J404" s="36">
        <f>Z403*(1+J$293)</f>
        <v>0</v>
      </c>
      <c r="K404" s="36">
        <f>AA403*(1+K$293)</f>
        <v>0</v>
      </c>
      <c r="L404" s="36">
        <f>AB403*(1+L$293)</f>
        <v>0</v>
      </c>
      <c r="M404" s="36">
        <f>MIN(E404-MIN(E$294,E404),MAX(0,$C404-0))</f>
        <v>0</v>
      </c>
      <c r="N404" s="36">
        <f>MIN(F404-MIN(F$294,F404),MAX(0,$C404-SUM($M404:M404)))</f>
        <v>0</v>
      </c>
      <c r="O404" s="36">
        <f>MIN(G404-MIN(G$294,G404),MAX(0,$C404-SUM($M404:N404)))</f>
        <v>0</v>
      </c>
      <c r="P404" s="36">
        <f>MIN(H404-MIN(H$294,H404),MAX(0,$C404-SUM($M404:O404)))</f>
        <v>0</v>
      </c>
      <c r="Q404" s="36">
        <f>MIN(I404-MIN(I$294,I404),MAX(0,$C404-SUM($M404:P404)))</f>
        <v>0</v>
      </c>
      <c r="R404" s="36">
        <f>MIN(J404-MIN(J$294,J404),MAX(0,$C404-SUM($M404:Q404)))</f>
        <v>0</v>
      </c>
      <c r="S404" s="36">
        <f>MIN(K404-MIN(K$294,K404),MAX(0,$C404-SUM($M404:R404)))</f>
        <v>0</v>
      </c>
      <c r="T404" s="36">
        <f>MIN(L404-MIN(L$294,L404),MAX(0,$C404-SUM($M404:S404)))</f>
        <v>0</v>
      </c>
      <c r="U404" s="36">
        <f>IF(E404-MIN(E$294,E404)-M404&lt;0.005,0,E404-MIN(E$294,E404)-M404)</f>
        <v>0</v>
      </c>
      <c r="V404" s="36">
        <f>IF(F404-MIN(F$294,F404)-N404&lt;0.005,0,F404-MIN(F$294,F404)-N404)</f>
        <v>0</v>
      </c>
      <c r="W404" s="36">
        <f>IF(G404-MIN(G$294,G404)-O404&lt;0.005,0,G404-MIN(G$294,G404)-O404)</f>
        <v>0</v>
      </c>
      <c r="X404" s="36">
        <f>IF(H404-MIN(H$294,H404)-P404&lt;0.005,0,H404-MIN(H$294,H404)-P404)</f>
        <v>0</v>
      </c>
      <c r="Y404" s="36">
        <f>IF(I404-MIN(I$294,I404)-Q404&lt;0.005,0,I404-MIN(I$294,I404)-Q404)</f>
        <v>0</v>
      </c>
      <c r="Z404" s="36">
        <f>IF(J404-MIN(J$294,J404)-R404&lt;0.005,0,J404-MIN(J$294,J404)-R404)</f>
        <v>0</v>
      </c>
      <c r="AA404" s="36">
        <f>IF(K404-MIN(K$294,K404)-S404&lt;0.005,0,K404-MIN(K$294,K404)-S404)</f>
        <v>0</v>
      </c>
      <c r="AB404" s="36">
        <f>IF(L404-MIN(L$294,L404)-T404&lt;0.005,0,L404-MIN(L$294,L404)-T404)</f>
        <v>0</v>
      </c>
      <c r="AC404" s="36">
        <f>SUM(U404:AB404)</f>
        <v>0</v>
      </c>
      <c r="AD404" s="36">
        <f>D404+SUM(M404:T404)</f>
        <v>0</v>
      </c>
    </row>
    <row r="405">
      <c r="B405" s="40" t="n">
        <v>107</v>
      </c>
      <c r="C405" s="36">
        <f>MAX(0,Sim_SomaParc+N(Sim_Extra)-D405)</f>
        <v>2790</v>
      </c>
      <c r="D405" s="36">
        <f>MIN(E$294,E405)+MIN(F$294,F405)+MIN(G$294,G405)+MIN(H$294,H405)+MIN(I$294,I405)+MIN(J$294,J405)+MIN(K$294,K405)+MIN(L$294,L405)</f>
        <v>0</v>
      </c>
      <c r="E405" s="36">
        <f>U404*(1+E$293)</f>
        <v>0</v>
      </c>
      <c r="F405" s="36">
        <f>V404*(1+F$293)</f>
        <v>0</v>
      </c>
      <c r="G405" s="36">
        <f>W404*(1+G$293)</f>
        <v>0</v>
      </c>
      <c r="H405" s="36">
        <f>X404*(1+H$293)</f>
        <v>0</v>
      </c>
      <c r="I405" s="36">
        <f>Y404*(1+I$293)</f>
        <v>0</v>
      </c>
      <c r="J405" s="36">
        <f>Z404*(1+J$293)</f>
        <v>0</v>
      </c>
      <c r="K405" s="36">
        <f>AA404*(1+K$293)</f>
        <v>0</v>
      </c>
      <c r="L405" s="36">
        <f>AB404*(1+L$293)</f>
        <v>0</v>
      </c>
      <c r="M405" s="36">
        <f>MIN(E405-MIN(E$294,E405),MAX(0,$C405-0))</f>
        <v>0</v>
      </c>
      <c r="N405" s="36">
        <f>MIN(F405-MIN(F$294,F405),MAX(0,$C405-SUM($M405:M405)))</f>
        <v>0</v>
      </c>
      <c r="O405" s="36">
        <f>MIN(G405-MIN(G$294,G405),MAX(0,$C405-SUM($M405:N405)))</f>
        <v>0</v>
      </c>
      <c r="P405" s="36">
        <f>MIN(H405-MIN(H$294,H405),MAX(0,$C405-SUM($M405:O405)))</f>
        <v>0</v>
      </c>
      <c r="Q405" s="36">
        <f>MIN(I405-MIN(I$294,I405),MAX(0,$C405-SUM($M405:P405)))</f>
        <v>0</v>
      </c>
      <c r="R405" s="36">
        <f>MIN(J405-MIN(J$294,J405),MAX(0,$C405-SUM($M405:Q405)))</f>
        <v>0</v>
      </c>
      <c r="S405" s="36">
        <f>MIN(K405-MIN(K$294,K405),MAX(0,$C405-SUM($M405:R405)))</f>
        <v>0</v>
      </c>
      <c r="T405" s="36">
        <f>MIN(L405-MIN(L$294,L405),MAX(0,$C405-SUM($M405:S405)))</f>
        <v>0</v>
      </c>
      <c r="U405" s="36">
        <f>IF(E405-MIN(E$294,E405)-M405&lt;0.005,0,E405-MIN(E$294,E405)-M405)</f>
        <v>0</v>
      </c>
      <c r="V405" s="36">
        <f>IF(F405-MIN(F$294,F405)-N405&lt;0.005,0,F405-MIN(F$294,F405)-N405)</f>
        <v>0</v>
      </c>
      <c r="W405" s="36">
        <f>IF(G405-MIN(G$294,G405)-O405&lt;0.005,0,G405-MIN(G$294,G405)-O405)</f>
        <v>0</v>
      </c>
      <c r="X405" s="36">
        <f>IF(H405-MIN(H$294,H405)-P405&lt;0.005,0,H405-MIN(H$294,H405)-P405)</f>
        <v>0</v>
      </c>
      <c r="Y405" s="36">
        <f>IF(I405-MIN(I$294,I405)-Q405&lt;0.005,0,I405-MIN(I$294,I405)-Q405)</f>
        <v>0</v>
      </c>
      <c r="Z405" s="36">
        <f>IF(J405-MIN(J$294,J405)-R405&lt;0.005,0,J405-MIN(J$294,J405)-R405)</f>
        <v>0</v>
      </c>
      <c r="AA405" s="36">
        <f>IF(K405-MIN(K$294,K405)-S405&lt;0.005,0,K405-MIN(K$294,K405)-S405)</f>
        <v>0</v>
      </c>
      <c r="AB405" s="36">
        <f>IF(L405-MIN(L$294,L405)-T405&lt;0.005,0,L405-MIN(L$294,L405)-T405)</f>
        <v>0</v>
      </c>
      <c r="AC405" s="36">
        <f>SUM(U405:AB405)</f>
        <v>0</v>
      </c>
      <c r="AD405" s="36">
        <f>D405+SUM(M405:T405)</f>
        <v>0</v>
      </c>
    </row>
    <row r="406">
      <c r="B406" s="40" t="n">
        <v>108</v>
      </c>
      <c r="C406" s="36">
        <f>MAX(0,Sim_SomaParc+N(Sim_Extra)-D406)</f>
        <v>2790</v>
      </c>
      <c r="D406" s="36">
        <f>MIN(E$294,E406)+MIN(F$294,F406)+MIN(G$294,G406)+MIN(H$294,H406)+MIN(I$294,I406)+MIN(J$294,J406)+MIN(K$294,K406)+MIN(L$294,L406)</f>
        <v>0</v>
      </c>
      <c r="E406" s="36">
        <f>U405*(1+E$293)</f>
        <v>0</v>
      </c>
      <c r="F406" s="36">
        <f>V405*(1+F$293)</f>
        <v>0</v>
      </c>
      <c r="G406" s="36">
        <f>W405*(1+G$293)</f>
        <v>0</v>
      </c>
      <c r="H406" s="36">
        <f>X405*(1+H$293)</f>
        <v>0</v>
      </c>
      <c r="I406" s="36">
        <f>Y405*(1+I$293)</f>
        <v>0</v>
      </c>
      <c r="J406" s="36">
        <f>Z405*(1+J$293)</f>
        <v>0</v>
      </c>
      <c r="K406" s="36">
        <f>AA405*(1+K$293)</f>
        <v>0</v>
      </c>
      <c r="L406" s="36">
        <f>AB405*(1+L$293)</f>
        <v>0</v>
      </c>
      <c r="M406" s="36">
        <f>MIN(E406-MIN(E$294,E406),MAX(0,$C406-0))</f>
        <v>0</v>
      </c>
      <c r="N406" s="36">
        <f>MIN(F406-MIN(F$294,F406),MAX(0,$C406-SUM($M406:M406)))</f>
        <v>0</v>
      </c>
      <c r="O406" s="36">
        <f>MIN(G406-MIN(G$294,G406),MAX(0,$C406-SUM($M406:N406)))</f>
        <v>0</v>
      </c>
      <c r="P406" s="36">
        <f>MIN(H406-MIN(H$294,H406),MAX(0,$C406-SUM($M406:O406)))</f>
        <v>0</v>
      </c>
      <c r="Q406" s="36">
        <f>MIN(I406-MIN(I$294,I406),MAX(0,$C406-SUM($M406:P406)))</f>
        <v>0</v>
      </c>
      <c r="R406" s="36">
        <f>MIN(J406-MIN(J$294,J406),MAX(0,$C406-SUM($M406:Q406)))</f>
        <v>0</v>
      </c>
      <c r="S406" s="36">
        <f>MIN(K406-MIN(K$294,K406),MAX(0,$C406-SUM($M406:R406)))</f>
        <v>0</v>
      </c>
      <c r="T406" s="36">
        <f>MIN(L406-MIN(L$294,L406),MAX(0,$C406-SUM($M406:S406)))</f>
        <v>0</v>
      </c>
      <c r="U406" s="36">
        <f>IF(E406-MIN(E$294,E406)-M406&lt;0.005,0,E406-MIN(E$294,E406)-M406)</f>
        <v>0</v>
      </c>
      <c r="V406" s="36">
        <f>IF(F406-MIN(F$294,F406)-N406&lt;0.005,0,F406-MIN(F$294,F406)-N406)</f>
        <v>0</v>
      </c>
      <c r="W406" s="36">
        <f>IF(G406-MIN(G$294,G406)-O406&lt;0.005,0,G406-MIN(G$294,G406)-O406)</f>
        <v>0</v>
      </c>
      <c r="X406" s="36">
        <f>IF(H406-MIN(H$294,H406)-P406&lt;0.005,0,H406-MIN(H$294,H406)-P406)</f>
        <v>0</v>
      </c>
      <c r="Y406" s="36">
        <f>IF(I406-MIN(I$294,I406)-Q406&lt;0.005,0,I406-MIN(I$294,I406)-Q406)</f>
        <v>0</v>
      </c>
      <c r="Z406" s="36">
        <f>IF(J406-MIN(J$294,J406)-R406&lt;0.005,0,J406-MIN(J$294,J406)-R406)</f>
        <v>0</v>
      </c>
      <c r="AA406" s="36">
        <f>IF(K406-MIN(K$294,K406)-S406&lt;0.005,0,K406-MIN(K$294,K406)-S406)</f>
        <v>0</v>
      </c>
      <c r="AB406" s="36">
        <f>IF(L406-MIN(L$294,L406)-T406&lt;0.005,0,L406-MIN(L$294,L406)-T406)</f>
        <v>0</v>
      </c>
      <c r="AC406" s="36">
        <f>SUM(U406:AB406)</f>
        <v>0</v>
      </c>
      <c r="AD406" s="36">
        <f>D406+SUM(M406:T406)</f>
        <v>0</v>
      </c>
    </row>
    <row r="407">
      <c r="B407" s="40" t="n">
        <v>109</v>
      </c>
      <c r="C407" s="36">
        <f>MAX(0,Sim_SomaParc+N(Sim_Extra)-D407)</f>
        <v>2790</v>
      </c>
      <c r="D407" s="36">
        <f>MIN(E$294,E407)+MIN(F$294,F407)+MIN(G$294,G407)+MIN(H$294,H407)+MIN(I$294,I407)+MIN(J$294,J407)+MIN(K$294,K407)+MIN(L$294,L407)</f>
        <v>0</v>
      </c>
      <c r="E407" s="36">
        <f>U406*(1+E$293)</f>
        <v>0</v>
      </c>
      <c r="F407" s="36">
        <f>V406*(1+F$293)</f>
        <v>0</v>
      </c>
      <c r="G407" s="36">
        <f>W406*(1+G$293)</f>
        <v>0</v>
      </c>
      <c r="H407" s="36">
        <f>X406*(1+H$293)</f>
        <v>0</v>
      </c>
      <c r="I407" s="36">
        <f>Y406*(1+I$293)</f>
        <v>0</v>
      </c>
      <c r="J407" s="36">
        <f>Z406*(1+J$293)</f>
        <v>0</v>
      </c>
      <c r="K407" s="36">
        <f>AA406*(1+K$293)</f>
        <v>0</v>
      </c>
      <c r="L407" s="36">
        <f>AB406*(1+L$293)</f>
        <v>0</v>
      </c>
      <c r="M407" s="36">
        <f>MIN(E407-MIN(E$294,E407),MAX(0,$C407-0))</f>
        <v>0</v>
      </c>
      <c r="N407" s="36">
        <f>MIN(F407-MIN(F$294,F407),MAX(0,$C407-SUM($M407:M407)))</f>
        <v>0</v>
      </c>
      <c r="O407" s="36">
        <f>MIN(G407-MIN(G$294,G407),MAX(0,$C407-SUM($M407:N407)))</f>
        <v>0</v>
      </c>
      <c r="P407" s="36">
        <f>MIN(H407-MIN(H$294,H407),MAX(0,$C407-SUM($M407:O407)))</f>
        <v>0</v>
      </c>
      <c r="Q407" s="36">
        <f>MIN(I407-MIN(I$294,I407),MAX(0,$C407-SUM($M407:P407)))</f>
        <v>0</v>
      </c>
      <c r="R407" s="36">
        <f>MIN(J407-MIN(J$294,J407),MAX(0,$C407-SUM($M407:Q407)))</f>
        <v>0</v>
      </c>
      <c r="S407" s="36">
        <f>MIN(K407-MIN(K$294,K407),MAX(0,$C407-SUM($M407:R407)))</f>
        <v>0</v>
      </c>
      <c r="T407" s="36">
        <f>MIN(L407-MIN(L$294,L407),MAX(0,$C407-SUM($M407:S407)))</f>
        <v>0</v>
      </c>
      <c r="U407" s="36">
        <f>IF(E407-MIN(E$294,E407)-M407&lt;0.005,0,E407-MIN(E$294,E407)-M407)</f>
        <v>0</v>
      </c>
      <c r="V407" s="36">
        <f>IF(F407-MIN(F$294,F407)-N407&lt;0.005,0,F407-MIN(F$294,F407)-N407)</f>
        <v>0</v>
      </c>
      <c r="W407" s="36">
        <f>IF(G407-MIN(G$294,G407)-O407&lt;0.005,0,G407-MIN(G$294,G407)-O407)</f>
        <v>0</v>
      </c>
      <c r="X407" s="36">
        <f>IF(H407-MIN(H$294,H407)-P407&lt;0.005,0,H407-MIN(H$294,H407)-P407)</f>
        <v>0</v>
      </c>
      <c r="Y407" s="36">
        <f>IF(I407-MIN(I$294,I407)-Q407&lt;0.005,0,I407-MIN(I$294,I407)-Q407)</f>
        <v>0</v>
      </c>
      <c r="Z407" s="36">
        <f>IF(J407-MIN(J$294,J407)-R407&lt;0.005,0,J407-MIN(J$294,J407)-R407)</f>
        <v>0</v>
      </c>
      <c r="AA407" s="36">
        <f>IF(K407-MIN(K$294,K407)-S407&lt;0.005,0,K407-MIN(K$294,K407)-S407)</f>
        <v>0</v>
      </c>
      <c r="AB407" s="36">
        <f>IF(L407-MIN(L$294,L407)-T407&lt;0.005,0,L407-MIN(L$294,L407)-T407)</f>
        <v>0</v>
      </c>
      <c r="AC407" s="36">
        <f>SUM(U407:AB407)</f>
        <v>0</v>
      </c>
      <c r="AD407" s="36">
        <f>D407+SUM(M407:T407)</f>
        <v>0</v>
      </c>
    </row>
    <row r="408">
      <c r="B408" s="40" t="n">
        <v>110</v>
      </c>
      <c r="C408" s="36">
        <f>MAX(0,Sim_SomaParc+N(Sim_Extra)-D408)</f>
        <v>2790</v>
      </c>
      <c r="D408" s="36">
        <f>MIN(E$294,E408)+MIN(F$294,F408)+MIN(G$294,G408)+MIN(H$294,H408)+MIN(I$294,I408)+MIN(J$294,J408)+MIN(K$294,K408)+MIN(L$294,L408)</f>
        <v>0</v>
      </c>
      <c r="E408" s="36">
        <f>U407*(1+E$293)</f>
        <v>0</v>
      </c>
      <c r="F408" s="36">
        <f>V407*(1+F$293)</f>
        <v>0</v>
      </c>
      <c r="G408" s="36">
        <f>W407*(1+G$293)</f>
        <v>0</v>
      </c>
      <c r="H408" s="36">
        <f>X407*(1+H$293)</f>
        <v>0</v>
      </c>
      <c r="I408" s="36">
        <f>Y407*(1+I$293)</f>
        <v>0</v>
      </c>
      <c r="J408" s="36">
        <f>Z407*(1+J$293)</f>
        <v>0</v>
      </c>
      <c r="K408" s="36">
        <f>AA407*(1+K$293)</f>
        <v>0</v>
      </c>
      <c r="L408" s="36">
        <f>AB407*(1+L$293)</f>
        <v>0</v>
      </c>
      <c r="M408" s="36">
        <f>MIN(E408-MIN(E$294,E408),MAX(0,$C408-0))</f>
        <v>0</v>
      </c>
      <c r="N408" s="36">
        <f>MIN(F408-MIN(F$294,F408),MAX(0,$C408-SUM($M408:M408)))</f>
        <v>0</v>
      </c>
      <c r="O408" s="36">
        <f>MIN(G408-MIN(G$294,G408),MAX(0,$C408-SUM($M408:N408)))</f>
        <v>0</v>
      </c>
      <c r="P408" s="36">
        <f>MIN(H408-MIN(H$294,H408),MAX(0,$C408-SUM($M408:O408)))</f>
        <v>0</v>
      </c>
      <c r="Q408" s="36">
        <f>MIN(I408-MIN(I$294,I408),MAX(0,$C408-SUM($M408:P408)))</f>
        <v>0</v>
      </c>
      <c r="R408" s="36">
        <f>MIN(J408-MIN(J$294,J408),MAX(0,$C408-SUM($M408:Q408)))</f>
        <v>0</v>
      </c>
      <c r="S408" s="36">
        <f>MIN(K408-MIN(K$294,K408),MAX(0,$C408-SUM($M408:R408)))</f>
        <v>0</v>
      </c>
      <c r="T408" s="36">
        <f>MIN(L408-MIN(L$294,L408),MAX(0,$C408-SUM($M408:S408)))</f>
        <v>0</v>
      </c>
      <c r="U408" s="36">
        <f>IF(E408-MIN(E$294,E408)-M408&lt;0.005,0,E408-MIN(E$294,E408)-M408)</f>
        <v>0</v>
      </c>
      <c r="V408" s="36">
        <f>IF(F408-MIN(F$294,F408)-N408&lt;0.005,0,F408-MIN(F$294,F408)-N408)</f>
        <v>0</v>
      </c>
      <c r="W408" s="36">
        <f>IF(G408-MIN(G$294,G408)-O408&lt;0.005,0,G408-MIN(G$294,G408)-O408)</f>
        <v>0</v>
      </c>
      <c r="X408" s="36">
        <f>IF(H408-MIN(H$294,H408)-P408&lt;0.005,0,H408-MIN(H$294,H408)-P408)</f>
        <v>0</v>
      </c>
      <c r="Y408" s="36">
        <f>IF(I408-MIN(I$294,I408)-Q408&lt;0.005,0,I408-MIN(I$294,I408)-Q408)</f>
        <v>0</v>
      </c>
      <c r="Z408" s="36">
        <f>IF(J408-MIN(J$294,J408)-R408&lt;0.005,0,J408-MIN(J$294,J408)-R408)</f>
        <v>0</v>
      </c>
      <c r="AA408" s="36">
        <f>IF(K408-MIN(K$294,K408)-S408&lt;0.005,0,K408-MIN(K$294,K408)-S408)</f>
        <v>0</v>
      </c>
      <c r="AB408" s="36">
        <f>IF(L408-MIN(L$294,L408)-T408&lt;0.005,0,L408-MIN(L$294,L408)-T408)</f>
        <v>0</v>
      </c>
      <c r="AC408" s="36">
        <f>SUM(U408:AB408)</f>
        <v>0</v>
      </c>
      <c r="AD408" s="36">
        <f>D408+SUM(M408:T408)</f>
        <v>0</v>
      </c>
    </row>
    <row r="409">
      <c r="B409" s="40" t="n">
        <v>111</v>
      </c>
      <c r="C409" s="36">
        <f>MAX(0,Sim_SomaParc+N(Sim_Extra)-D409)</f>
        <v>2790</v>
      </c>
      <c r="D409" s="36">
        <f>MIN(E$294,E409)+MIN(F$294,F409)+MIN(G$294,G409)+MIN(H$294,H409)+MIN(I$294,I409)+MIN(J$294,J409)+MIN(K$294,K409)+MIN(L$294,L409)</f>
        <v>0</v>
      </c>
      <c r="E409" s="36">
        <f>U408*(1+E$293)</f>
        <v>0</v>
      </c>
      <c r="F409" s="36">
        <f>V408*(1+F$293)</f>
        <v>0</v>
      </c>
      <c r="G409" s="36">
        <f>W408*(1+G$293)</f>
        <v>0</v>
      </c>
      <c r="H409" s="36">
        <f>X408*(1+H$293)</f>
        <v>0</v>
      </c>
      <c r="I409" s="36">
        <f>Y408*(1+I$293)</f>
        <v>0</v>
      </c>
      <c r="J409" s="36">
        <f>Z408*(1+J$293)</f>
        <v>0</v>
      </c>
      <c r="K409" s="36">
        <f>AA408*(1+K$293)</f>
        <v>0</v>
      </c>
      <c r="L409" s="36">
        <f>AB408*(1+L$293)</f>
        <v>0</v>
      </c>
      <c r="M409" s="36">
        <f>MIN(E409-MIN(E$294,E409),MAX(0,$C409-0))</f>
        <v>0</v>
      </c>
      <c r="N409" s="36">
        <f>MIN(F409-MIN(F$294,F409),MAX(0,$C409-SUM($M409:M409)))</f>
        <v>0</v>
      </c>
      <c r="O409" s="36">
        <f>MIN(G409-MIN(G$294,G409),MAX(0,$C409-SUM($M409:N409)))</f>
        <v>0</v>
      </c>
      <c r="P409" s="36">
        <f>MIN(H409-MIN(H$294,H409),MAX(0,$C409-SUM($M409:O409)))</f>
        <v>0</v>
      </c>
      <c r="Q409" s="36">
        <f>MIN(I409-MIN(I$294,I409),MAX(0,$C409-SUM($M409:P409)))</f>
        <v>0</v>
      </c>
      <c r="R409" s="36">
        <f>MIN(J409-MIN(J$294,J409),MAX(0,$C409-SUM($M409:Q409)))</f>
        <v>0</v>
      </c>
      <c r="S409" s="36">
        <f>MIN(K409-MIN(K$294,K409),MAX(0,$C409-SUM($M409:R409)))</f>
        <v>0</v>
      </c>
      <c r="T409" s="36">
        <f>MIN(L409-MIN(L$294,L409),MAX(0,$C409-SUM($M409:S409)))</f>
        <v>0</v>
      </c>
      <c r="U409" s="36">
        <f>IF(E409-MIN(E$294,E409)-M409&lt;0.005,0,E409-MIN(E$294,E409)-M409)</f>
        <v>0</v>
      </c>
      <c r="V409" s="36">
        <f>IF(F409-MIN(F$294,F409)-N409&lt;0.005,0,F409-MIN(F$294,F409)-N409)</f>
        <v>0</v>
      </c>
      <c r="W409" s="36">
        <f>IF(G409-MIN(G$294,G409)-O409&lt;0.005,0,G409-MIN(G$294,G409)-O409)</f>
        <v>0</v>
      </c>
      <c r="X409" s="36">
        <f>IF(H409-MIN(H$294,H409)-P409&lt;0.005,0,H409-MIN(H$294,H409)-P409)</f>
        <v>0</v>
      </c>
      <c r="Y409" s="36">
        <f>IF(I409-MIN(I$294,I409)-Q409&lt;0.005,0,I409-MIN(I$294,I409)-Q409)</f>
        <v>0</v>
      </c>
      <c r="Z409" s="36">
        <f>IF(J409-MIN(J$294,J409)-R409&lt;0.005,0,J409-MIN(J$294,J409)-R409)</f>
        <v>0</v>
      </c>
      <c r="AA409" s="36">
        <f>IF(K409-MIN(K$294,K409)-S409&lt;0.005,0,K409-MIN(K$294,K409)-S409)</f>
        <v>0</v>
      </c>
      <c r="AB409" s="36">
        <f>IF(L409-MIN(L$294,L409)-T409&lt;0.005,0,L409-MIN(L$294,L409)-T409)</f>
        <v>0</v>
      </c>
      <c r="AC409" s="36">
        <f>SUM(U409:AB409)</f>
        <v>0</v>
      </c>
      <c r="AD409" s="36">
        <f>D409+SUM(M409:T409)</f>
        <v>0</v>
      </c>
    </row>
    <row r="410">
      <c r="B410" s="40" t="n">
        <v>112</v>
      </c>
      <c r="C410" s="36">
        <f>MAX(0,Sim_SomaParc+N(Sim_Extra)-D410)</f>
        <v>2790</v>
      </c>
      <c r="D410" s="36">
        <f>MIN(E$294,E410)+MIN(F$294,F410)+MIN(G$294,G410)+MIN(H$294,H410)+MIN(I$294,I410)+MIN(J$294,J410)+MIN(K$294,K410)+MIN(L$294,L410)</f>
        <v>0</v>
      </c>
      <c r="E410" s="36">
        <f>U409*(1+E$293)</f>
        <v>0</v>
      </c>
      <c r="F410" s="36">
        <f>V409*(1+F$293)</f>
        <v>0</v>
      </c>
      <c r="G410" s="36">
        <f>W409*(1+G$293)</f>
        <v>0</v>
      </c>
      <c r="H410" s="36">
        <f>X409*(1+H$293)</f>
        <v>0</v>
      </c>
      <c r="I410" s="36">
        <f>Y409*(1+I$293)</f>
        <v>0</v>
      </c>
      <c r="J410" s="36">
        <f>Z409*(1+J$293)</f>
        <v>0</v>
      </c>
      <c r="K410" s="36">
        <f>AA409*(1+K$293)</f>
        <v>0</v>
      </c>
      <c r="L410" s="36">
        <f>AB409*(1+L$293)</f>
        <v>0</v>
      </c>
      <c r="M410" s="36">
        <f>MIN(E410-MIN(E$294,E410),MAX(0,$C410-0))</f>
        <v>0</v>
      </c>
      <c r="N410" s="36">
        <f>MIN(F410-MIN(F$294,F410),MAX(0,$C410-SUM($M410:M410)))</f>
        <v>0</v>
      </c>
      <c r="O410" s="36">
        <f>MIN(G410-MIN(G$294,G410),MAX(0,$C410-SUM($M410:N410)))</f>
        <v>0</v>
      </c>
      <c r="P410" s="36">
        <f>MIN(H410-MIN(H$294,H410),MAX(0,$C410-SUM($M410:O410)))</f>
        <v>0</v>
      </c>
      <c r="Q410" s="36">
        <f>MIN(I410-MIN(I$294,I410),MAX(0,$C410-SUM($M410:P410)))</f>
        <v>0</v>
      </c>
      <c r="R410" s="36">
        <f>MIN(J410-MIN(J$294,J410),MAX(0,$C410-SUM($M410:Q410)))</f>
        <v>0</v>
      </c>
      <c r="S410" s="36">
        <f>MIN(K410-MIN(K$294,K410),MAX(0,$C410-SUM($M410:R410)))</f>
        <v>0</v>
      </c>
      <c r="T410" s="36">
        <f>MIN(L410-MIN(L$294,L410),MAX(0,$C410-SUM($M410:S410)))</f>
        <v>0</v>
      </c>
      <c r="U410" s="36">
        <f>IF(E410-MIN(E$294,E410)-M410&lt;0.005,0,E410-MIN(E$294,E410)-M410)</f>
        <v>0</v>
      </c>
      <c r="V410" s="36">
        <f>IF(F410-MIN(F$294,F410)-N410&lt;0.005,0,F410-MIN(F$294,F410)-N410)</f>
        <v>0</v>
      </c>
      <c r="W410" s="36">
        <f>IF(G410-MIN(G$294,G410)-O410&lt;0.005,0,G410-MIN(G$294,G410)-O410)</f>
        <v>0</v>
      </c>
      <c r="X410" s="36">
        <f>IF(H410-MIN(H$294,H410)-P410&lt;0.005,0,H410-MIN(H$294,H410)-P410)</f>
        <v>0</v>
      </c>
      <c r="Y410" s="36">
        <f>IF(I410-MIN(I$294,I410)-Q410&lt;0.005,0,I410-MIN(I$294,I410)-Q410)</f>
        <v>0</v>
      </c>
      <c r="Z410" s="36">
        <f>IF(J410-MIN(J$294,J410)-R410&lt;0.005,0,J410-MIN(J$294,J410)-R410)</f>
        <v>0</v>
      </c>
      <c r="AA410" s="36">
        <f>IF(K410-MIN(K$294,K410)-S410&lt;0.005,0,K410-MIN(K$294,K410)-S410)</f>
        <v>0</v>
      </c>
      <c r="AB410" s="36">
        <f>IF(L410-MIN(L$294,L410)-T410&lt;0.005,0,L410-MIN(L$294,L410)-T410)</f>
        <v>0</v>
      </c>
      <c r="AC410" s="36">
        <f>SUM(U410:AB410)</f>
        <v>0</v>
      </c>
      <c r="AD410" s="36">
        <f>D410+SUM(M410:T410)</f>
        <v>0</v>
      </c>
    </row>
    <row r="411">
      <c r="B411" s="40" t="n">
        <v>113</v>
      </c>
      <c r="C411" s="36">
        <f>MAX(0,Sim_SomaParc+N(Sim_Extra)-D411)</f>
        <v>2790</v>
      </c>
      <c r="D411" s="36">
        <f>MIN(E$294,E411)+MIN(F$294,F411)+MIN(G$294,G411)+MIN(H$294,H411)+MIN(I$294,I411)+MIN(J$294,J411)+MIN(K$294,K411)+MIN(L$294,L411)</f>
        <v>0</v>
      </c>
      <c r="E411" s="36">
        <f>U410*(1+E$293)</f>
        <v>0</v>
      </c>
      <c r="F411" s="36">
        <f>V410*(1+F$293)</f>
        <v>0</v>
      </c>
      <c r="G411" s="36">
        <f>W410*(1+G$293)</f>
        <v>0</v>
      </c>
      <c r="H411" s="36">
        <f>X410*(1+H$293)</f>
        <v>0</v>
      </c>
      <c r="I411" s="36">
        <f>Y410*(1+I$293)</f>
        <v>0</v>
      </c>
      <c r="J411" s="36">
        <f>Z410*(1+J$293)</f>
        <v>0</v>
      </c>
      <c r="K411" s="36">
        <f>AA410*(1+K$293)</f>
        <v>0</v>
      </c>
      <c r="L411" s="36">
        <f>AB410*(1+L$293)</f>
        <v>0</v>
      </c>
      <c r="M411" s="36">
        <f>MIN(E411-MIN(E$294,E411),MAX(0,$C411-0))</f>
        <v>0</v>
      </c>
      <c r="N411" s="36">
        <f>MIN(F411-MIN(F$294,F411),MAX(0,$C411-SUM($M411:M411)))</f>
        <v>0</v>
      </c>
      <c r="O411" s="36">
        <f>MIN(G411-MIN(G$294,G411),MAX(0,$C411-SUM($M411:N411)))</f>
        <v>0</v>
      </c>
      <c r="P411" s="36">
        <f>MIN(H411-MIN(H$294,H411),MAX(0,$C411-SUM($M411:O411)))</f>
        <v>0</v>
      </c>
      <c r="Q411" s="36">
        <f>MIN(I411-MIN(I$294,I411),MAX(0,$C411-SUM($M411:P411)))</f>
        <v>0</v>
      </c>
      <c r="R411" s="36">
        <f>MIN(J411-MIN(J$294,J411),MAX(0,$C411-SUM($M411:Q411)))</f>
        <v>0</v>
      </c>
      <c r="S411" s="36">
        <f>MIN(K411-MIN(K$294,K411),MAX(0,$C411-SUM($M411:R411)))</f>
        <v>0</v>
      </c>
      <c r="T411" s="36">
        <f>MIN(L411-MIN(L$294,L411),MAX(0,$C411-SUM($M411:S411)))</f>
        <v>0</v>
      </c>
      <c r="U411" s="36">
        <f>IF(E411-MIN(E$294,E411)-M411&lt;0.005,0,E411-MIN(E$294,E411)-M411)</f>
        <v>0</v>
      </c>
      <c r="V411" s="36">
        <f>IF(F411-MIN(F$294,F411)-N411&lt;0.005,0,F411-MIN(F$294,F411)-N411)</f>
        <v>0</v>
      </c>
      <c r="W411" s="36">
        <f>IF(G411-MIN(G$294,G411)-O411&lt;0.005,0,G411-MIN(G$294,G411)-O411)</f>
        <v>0</v>
      </c>
      <c r="X411" s="36">
        <f>IF(H411-MIN(H$294,H411)-P411&lt;0.005,0,H411-MIN(H$294,H411)-P411)</f>
        <v>0</v>
      </c>
      <c r="Y411" s="36">
        <f>IF(I411-MIN(I$294,I411)-Q411&lt;0.005,0,I411-MIN(I$294,I411)-Q411)</f>
        <v>0</v>
      </c>
      <c r="Z411" s="36">
        <f>IF(J411-MIN(J$294,J411)-R411&lt;0.005,0,J411-MIN(J$294,J411)-R411)</f>
        <v>0</v>
      </c>
      <c r="AA411" s="36">
        <f>IF(K411-MIN(K$294,K411)-S411&lt;0.005,0,K411-MIN(K$294,K411)-S411)</f>
        <v>0</v>
      </c>
      <c r="AB411" s="36">
        <f>IF(L411-MIN(L$294,L411)-T411&lt;0.005,0,L411-MIN(L$294,L411)-T411)</f>
        <v>0</v>
      </c>
      <c r="AC411" s="36">
        <f>SUM(U411:AB411)</f>
        <v>0</v>
      </c>
      <c r="AD411" s="36">
        <f>D411+SUM(M411:T411)</f>
        <v>0</v>
      </c>
    </row>
    <row r="412">
      <c r="B412" s="40" t="n">
        <v>114</v>
      </c>
      <c r="C412" s="36">
        <f>MAX(0,Sim_SomaParc+N(Sim_Extra)-D412)</f>
        <v>2790</v>
      </c>
      <c r="D412" s="36">
        <f>MIN(E$294,E412)+MIN(F$294,F412)+MIN(G$294,G412)+MIN(H$294,H412)+MIN(I$294,I412)+MIN(J$294,J412)+MIN(K$294,K412)+MIN(L$294,L412)</f>
        <v>0</v>
      </c>
      <c r="E412" s="36">
        <f>U411*(1+E$293)</f>
        <v>0</v>
      </c>
      <c r="F412" s="36">
        <f>V411*(1+F$293)</f>
        <v>0</v>
      </c>
      <c r="G412" s="36">
        <f>W411*(1+G$293)</f>
        <v>0</v>
      </c>
      <c r="H412" s="36">
        <f>X411*(1+H$293)</f>
        <v>0</v>
      </c>
      <c r="I412" s="36">
        <f>Y411*(1+I$293)</f>
        <v>0</v>
      </c>
      <c r="J412" s="36">
        <f>Z411*(1+J$293)</f>
        <v>0</v>
      </c>
      <c r="K412" s="36">
        <f>AA411*(1+K$293)</f>
        <v>0</v>
      </c>
      <c r="L412" s="36">
        <f>AB411*(1+L$293)</f>
        <v>0</v>
      </c>
      <c r="M412" s="36">
        <f>MIN(E412-MIN(E$294,E412),MAX(0,$C412-0))</f>
        <v>0</v>
      </c>
      <c r="N412" s="36">
        <f>MIN(F412-MIN(F$294,F412),MAX(0,$C412-SUM($M412:M412)))</f>
        <v>0</v>
      </c>
      <c r="O412" s="36">
        <f>MIN(G412-MIN(G$294,G412),MAX(0,$C412-SUM($M412:N412)))</f>
        <v>0</v>
      </c>
      <c r="P412" s="36">
        <f>MIN(H412-MIN(H$294,H412),MAX(0,$C412-SUM($M412:O412)))</f>
        <v>0</v>
      </c>
      <c r="Q412" s="36">
        <f>MIN(I412-MIN(I$294,I412),MAX(0,$C412-SUM($M412:P412)))</f>
        <v>0</v>
      </c>
      <c r="R412" s="36">
        <f>MIN(J412-MIN(J$294,J412),MAX(0,$C412-SUM($M412:Q412)))</f>
        <v>0</v>
      </c>
      <c r="S412" s="36">
        <f>MIN(K412-MIN(K$294,K412),MAX(0,$C412-SUM($M412:R412)))</f>
        <v>0</v>
      </c>
      <c r="T412" s="36">
        <f>MIN(L412-MIN(L$294,L412),MAX(0,$C412-SUM($M412:S412)))</f>
        <v>0</v>
      </c>
      <c r="U412" s="36">
        <f>IF(E412-MIN(E$294,E412)-M412&lt;0.005,0,E412-MIN(E$294,E412)-M412)</f>
        <v>0</v>
      </c>
      <c r="V412" s="36">
        <f>IF(F412-MIN(F$294,F412)-N412&lt;0.005,0,F412-MIN(F$294,F412)-N412)</f>
        <v>0</v>
      </c>
      <c r="W412" s="36">
        <f>IF(G412-MIN(G$294,G412)-O412&lt;0.005,0,G412-MIN(G$294,G412)-O412)</f>
        <v>0</v>
      </c>
      <c r="X412" s="36">
        <f>IF(H412-MIN(H$294,H412)-P412&lt;0.005,0,H412-MIN(H$294,H412)-P412)</f>
        <v>0</v>
      </c>
      <c r="Y412" s="36">
        <f>IF(I412-MIN(I$294,I412)-Q412&lt;0.005,0,I412-MIN(I$294,I412)-Q412)</f>
        <v>0</v>
      </c>
      <c r="Z412" s="36">
        <f>IF(J412-MIN(J$294,J412)-R412&lt;0.005,0,J412-MIN(J$294,J412)-R412)</f>
        <v>0</v>
      </c>
      <c r="AA412" s="36">
        <f>IF(K412-MIN(K$294,K412)-S412&lt;0.005,0,K412-MIN(K$294,K412)-S412)</f>
        <v>0</v>
      </c>
      <c r="AB412" s="36">
        <f>IF(L412-MIN(L$294,L412)-T412&lt;0.005,0,L412-MIN(L$294,L412)-T412)</f>
        <v>0</v>
      </c>
      <c r="AC412" s="36">
        <f>SUM(U412:AB412)</f>
        <v>0</v>
      </c>
      <c r="AD412" s="36">
        <f>D412+SUM(M412:T412)</f>
        <v>0</v>
      </c>
    </row>
    <row r="413">
      <c r="B413" s="40" t="n">
        <v>115</v>
      </c>
      <c r="C413" s="36">
        <f>MAX(0,Sim_SomaParc+N(Sim_Extra)-D413)</f>
        <v>2790</v>
      </c>
      <c r="D413" s="36">
        <f>MIN(E$294,E413)+MIN(F$294,F413)+MIN(G$294,G413)+MIN(H$294,H413)+MIN(I$294,I413)+MIN(J$294,J413)+MIN(K$294,K413)+MIN(L$294,L413)</f>
        <v>0</v>
      </c>
      <c r="E413" s="36">
        <f>U412*(1+E$293)</f>
        <v>0</v>
      </c>
      <c r="F413" s="36">
        <f>V412*(1+F$293)</f>
        <v>0</v>
      </c>
      <c r="G413" s="36">
        <f>W412*(1+G$293)</f>
        <v>0</v>
      </c>
      <c r="H413" s="36">
        <f>X412*(1+H$293)</f>
        <v>0</v>
      </c>
      <c r="I413" s="36">
        <f>Y412*(1+I$293)</f>
        <v>0</v>
      </c>
      <c r="J413" s="36">
        <f>Z412*(1+J$293)</f>
        <v>0</v>
      </c>
      <c r="K413" s="36">
        <f>AA412*(1+K$293)</f>
        <v>0</v>
      </c>
      <c r="L413" s="36">
        <f>AB412*(1+L$293)</f>
        <v>0</v>
      </c>
      <c r="M413" s="36">
        <f>MIN(E413-MIN(E$294,E413),MAX(0,$C413-0))</f>
        <v>0</v>
      </c>
      <c r="N413" s="36">
        <f>MIN(F413-MIN(F$294,F413),MAX(0,$C413-SUM($M413:M413)))</f>
        <v>0</v>
      </c>
      <c r="O413" s="36">
        <f>MIN(G413-MIN(G$294,G413),MAX(0,$C413-SUM($M413:N413)))</f>
        <v>0</v>
      </c>
      <c r="P413" s="36">
        <f>MIN(H413-MIN(H$294,H413),MAX(0,$C413-SUM($M413:O413)))</f>
        <v>0</v>
      </c>
      <c r="Q413" s="36">
        <f>MIN(I413-MIN(I$294,I413),MAX(0,$C413-SUM($M413:P413)))</f>
        <v>0</v>
      </c>
      <c r="R413" s="36">
        <f>MIN(J413-MIN(J$294,J413),MAX(0,$C413-SUM($M413:Q413)))</f>
        <v>0</v>
      </c>
      <c r="S413" s="36">
        <f>MIN(K413-MIN(K$294,K413),MAX(0,$C413-SUM($M413:R413)))</f>
        <v>0</v>
      </c>
      <c r="T413" s="36">
        <f>MIN(L413-MIN(L$294,L413),MAX(0,$C413-SUM($M413:S413)))</f>
        <v>0</v>
      </c>
      <c r="U413" s="36">
        <f>IF(E413-MIN(E$294,E413)-M413&lt;0.005,0,E413-MIN(E$294,E413)-M413)</f>
        <v>0</v>
      </c>
      <c r="V413" s="36">
        <f>IF(F413-MIN(F$294,F413)-N413&lt;0.005,0,F413-MIN(F$294,F413)-N413)</f>
        <v>0</v>
      </c>
      <c r="W413" s="36">
        <f>IF(G413-MIN(G$294,G413)-O413&lt;0.005,0,G413-MIN(G$294,G413)-O413)</f>
        <v>0</v>
      </c>
      <c r="X413" s="36">
        <f>IF(H413-MIN(H$294,H413)-P413&lt;0.005,0,H413-MIN(H$294,H413)-P413)</f>
        <v>0</v>
      </c>
      <c r="Y413" s="36">
        <f>IF(I413-MIN(I$294,I413)-Q413&lt;0.005,0,I413-MIN(I$294,I413)-Q413)</f>
        <v>0</v>
      </c>
      <c r="Z413" s="36">
        <f>IF(J413-MIN(J$294,J413)-R413&lt;0.005,0,J413-MIN(J$294,J413)-R413)</f>
        <v>0</v>
      </c>
      <c r="AA413" s="36">
        <f>IF(K413-MIN(K$294,K413)-S413&lt;0.005,0,K413-MIN(K$294,K413)-S413)</f>
        <v>0</v>
      </c>
      <c r="AB413" s="36">
        <f>IF(L413-MIN(L$294,L413)-T413&lt;0.005,0,L413-MIN(L$294,L413)-T413)</f>
        <v>0</v>
      </c>
      <c r="AC413" s="36">
        <f>SUM(U413:AB413)</f>
        <v>0</v>
      </c>
      <c r="AD413" s="36">
        <f>D413+SUM(M413:T413)</f>
        <v>0</v>
      </c>
    </row>
    <row r="414">
      <c r="B414" s="40" t="n">
        <v>116</v>
      </c>
      <c r="C414" s="36">
        <f>MAX(0,Sim_SomaParc+N(Sim_Extra)-D414)</f>
        <v>2790</v>
      </c>
      <c r="D414" s="36">
        <f>MIN(E$294,E414)+MIN(F$294,F414)+MIN(G$294,G414)+MIN(H$294,H414)+MIN(I$294,I414)+MIN(J$294,J414)+MIN(K$294,K414)+MIN(L$294,L414)</f>
        <v>0</v>
      </c>
      <c r="E414" s="36">
        <f>U413*(1+E$293)</f>
        <v>0</v>
      </c>
      <c r="F414" s="36">
        <f>V413*(1+F$293)</f>
        <v>0</v>
      </c>
      <c r="G414" s="36">
        <f>W413*(1+G$293)</f>
        <v>0</v>
      </c>
      <c r="H414" s="36">
        <f>X413*(1+H$293)</f>
        <v>0</v>
      </c>
      <c r="I414" s="36">
        <f>Y413*(1+I$293)</f>
        <v>0</v>
      </c>
      <c r="J414" s="36">
        <f>Z413*(1+J$293)</f>
        <v>0</v>
      </c>
      <c r="K414" s="36">
        <f>AA413*(1+K$293)</f>
        <v>0</v>
      </c>
      <c r="L414" s="36">
        <f>AB413*(1+L$293)</f>
        <v>0</v>
      </c>
      <c r="M414" s="36">
        <f>MIN(E414-MIN(E$294,E414),MAX(0,$C414-0))</f>
        <v>0</v>
      </c>
      <c r="N414" s="36">
        <f>MIN(F414-MIN(F$294,F414),MAX(0,$C414-SUM($M414:M414)))</f>
        <v>0</v>
      </c>
      <c r="O414" s="36">
        <f>MIN(G414-MIN(G$294,G414),MAX(0,$C414-SUM($M414:N414)))</f>
        <v>0</v>
      </c>
      <c r="P414" s="36">
        <f>MIN(H414-MIN(H$294,H414),MAX(0,$C414-SUM($M414:O414)))</f>
        <v>0</v>
      </c>
      <c r="Q414" s="36">
        <f>MIN(I414-MIN(I$294,I414),MAX(0,$C414-SUM($M414:P414)))</f>
        <v>0</v>
      </c>
      <c r="R414" s="36">
        <f>MIN(J414-MIN(J$294,J414),MAX(0,$C414-SUM($M414:Q414)))</f>
        <v>0</v>
      </c>
      <c r="S414" s="36">
        <f>MIN(K414-MIN(K$294,K414),MAX(0,$C414-SUM($M414:R414)))</f>
        <v>0</v>
      </c>
      <c r="T414" s="36">
        <f>MIN(L414-MIN(L$294,L414),MAX(0,$C414-SUM($M414:S414)))</f>
        <v>0</v>
      </c>
      <c r="U414" s="36">
        <f>IF(E414-MIN(E$294,E414)-M414&lt;0.005,0,E414-MIN(E$294,E414)-M414)</f>
        <v>0</v>
      </c>
      <c r="V414" s="36">
        <f>IF(F414-MIN(F$294,F414)-N414&lt;0.005,0,F414-MIN(F$294,F414)-N414)</f>
        <v>0</v>
      </c>
      <c r="W414" s="36">
        <f>IF(G414-MIN(G$294,G414)-O414&lt;0.005,0,G414-MIN(G$294,G414)-O414)</f>
        <v>0</v>
      </c>
      <c r="X414" s="36">
        <f>IF(H414-MIN(H$294,H414)-P414&lt;0.005,0,H414-MIN(H$294,H414)-P414)</f>
        <v>0</v>
      </c>
      <c r="Y414" s="36">
        <f>IF(I414-MIN(I$294,I414)-Q414&lt;0.005,0,I414-MIN(I$294,I414)-Q414)</f>
        <v>0</v>
      </c>
      <c r="Z414" s="36">
        <f>IF(J414-MIN(J$294,J414)-R414&lt;0.005,0,J414-MIN(J$294,J414)-R414)</f>
        <v>0</v>
      </c>
      <c r="AA414" s="36">
        <f>IF(K414-MIN(K$294,K414)-S414&lt;0.005,0,K414-MIN(K$294,K414)-S414)</f>
        <v>0</v>
      </c>
      <c r="AB414" s="36">
        <f>IF(L414-MIN(L$294,L414)-T414&lt;0.005,0,L414-MIN(L$294,L414)-T414)</f>
        <v>0</v>
      </c>
      <c r="AC414" s="36">
        <f>SUM(U414:AB414)</f>
        <v>0</v>
      </c>
      <c r="AD414" s="36">
        <f>D414+SUM(M414:T414)</f>
        <v>0</v>
      </c>
    </row>
    <row r="415">
      <c r="B415" s="40" t="n">
        <v>117</v>
      </c>
      <c r="C415" s="36">
        <f>MAX(0,Sim_SomaParc+N(Sim_Extra)-D415)</f>
        <v>2790</v>
      </c>
      <c r="D415" s="36">
        <f>MIN(E$294,E415)+MIN(F$294,F415)+MIN(G$294,G415)+MIN(H$294,H415)+MIN(I$294,I415)+MIN(J$294,J415)+MIN(K$294,K415)+MIN(L$294,L415)</f>
        <v>0</v>
      </c>
      <c r="E415" s="36">
        <f>U414*(1+E$293)</f>
        <v>0</v>
      </c>
      <c r="F415" s="36">
        <f>V414*(1+F$293)</f>
        <v>0</v>
      </c>
      <c r="G415" s="36">
        <f>W414*(1+G$293)</f>
        <v>0</v>
      </c>
      <c r="H415" s="36">
        <f>X414*(1+H$293)</f>
        <v>0</v>
      </c>
      <c r="I415" s="36">
        <f>Y414*(1+I$293)</f>
        <v>0</v>
      </c>
      <c r="J415" s="36">
        <f>Z414*(1+J$293)</f>
        <v>0</v>
      </c>
      <c r="K415" s="36">
        <f>AA414*(1+K$293)</f>
        <v>0</v>
      </c>
      <c r="L415" s="36">
        <f>AB414*(1+L$293)</f>
        <v>0</v>
      </c>
      <c r="M415" s="36">
        <f>MIN(E415-MIN(E$294,E415),MAX(0,$C415-0))</f>
        <v>0</v>
      </c>
      <c r="N415" s="36">
        <f>MIN(F415-MIN(F$294,F415),MAX(0,$C415-SUM($M415:M415)))</f>
        <v>0</v>
      </c>
      <c r="O415" s="36">
        <f>MIN(G415-MIN(G$294,G415),MAX(0,$C415-SUM($M415:N415)))</f>
        <v>0</v>
      </c>
      <c r="P415" s="36">
        <f>MIN(H415-MIN(H$294,H415),MAX(0,$C415-SUM($M415:O415)))</f>
        <v>0</v>
      </c>
      <c r="Q415" s="36">
        <f>MIN(I415-MIN(I$294,I415),MAX(0,$C415-SUM($M415:P415)))</f>
        <v>0</v>
      </c>
      <c r="R415" s="36">
        <f>MIN(J415-MIN(J$294,J415),MAX(0,$C415-SUM($M415:Q415)))</f>
        <v>0</v>
      </c>
      <c r="S415" s="36">
        <f>MIN(K415-MIN(K$294,K415),MAX(0,$C415-SUM($M415:R415)))</f>
        <v>0</v>
      </c>
      <c r="T415" s="36">
        <f>MIN(L415-MIN(L$294,L415),MAX(0,$C415-SUM($M415:S415)))</f>
        <v>0</v>
      </c>
      <c r="U415" s="36">
        <f>IF(E415-MIN(E$294,E415)-M415&lt;0.005,0,E415-MIN(E$294,E415)-M415)</f>
        <v>0</v>
      </c>
      <c r="V415" s="36">
        <f>IF(F415-MIN(F$294,F415)-N415&lt;0.005,0,F415-MIN(F$294,F415)-N415)</f>
        <v>0</v>
      </c>
      <c r="W415" s="36">
        <f>IF(G415-MIN(G$294,G415)-O415&lt;0.005,0,G415-MIN(G$294,G415)-O415)</f>
        <v>0</v>
      </c>
      <c r="X415" s="36">
        <f>IF(H415-MIN(H$294,H415)-P415&lt;0.005,0,H415-MIN(H$294,H415)-P415)</f>
        <v>0</v>
      </c>
      <c r="Y415" s="36">
        <f>IF(I415-MIN(I$294,I415)-Q415&lt;0.005,0,I415-MIN(I$294,I415)-Q415)</f>
        <v>0</v>
      </c>
      <c r="Z415" s="36">
        <f>IF(J415-MIN(J$294,J415)-R415&lt;0.005,0,J415-MIN(J$294,J415)-R415)</f>
        <v>0</v>
      </c>
      <c r="AA415" s="36">
        <f>IF(K415-MIN(K$294,K415)-S415&lt;0.005,0,K415-MIN(K$294,K415)-S415)</f>
        <v>0</v>
      </c>
      <c r="AB415" s="36">
        <f>IF(L415-MIN(L$294,L415)-T415&lt;0.005,0,L415-MIN(L$294,L415)-T415)</f>
        <v>0</v>
      </c>
      <c r="AC415" s="36">
        <f>SUM(U415:AB415)</f>
        <v>0</v>
      </c>
      <c r="AD415" s="36">
        <f>D415+SUM(M415:T415)</f>
        <v>0</v>
      </c>
    </row>
    <row r="416">
      <c r="B416" s="40" t="n">
        <v>118</v>
      </c>
      <c r="C416" s="36">
        <f>MAX(0,Sim_SomaParc+N(Sim_Extra)-D416)</f>
        <v>2790</v>
      </c>
      <c r="D416" s="36">
        <f>MIN(E$294,E416)+MIN(F$294,F416)+MIN(G$294,G416)+MIN(H$294,H416)+MIN(I$294,I416)+MIN(J$294,J416)+MIN(K$294,K416)+MIN(L$294,L416)</f>
        <v>0</v>
      </c>
      <c r="E416" s="36">
        <f>U415*(1+E$293)</f>
        <v>0</v>
      </c>
      <c r="F416" s="36">
        <f>V415*(1+F$293)</f>
        <v>0</v>
      </c>
      <c r="G416" s="36">
        <f>W415*(1+G$293)</f>
        <v>0</v>
      </c>
      <c r="H416" s="36">
        <f>X415*(1+H$293)</f>
        <v>0</v>
      </c>
      <c r="I416" s="36">
        <f>Y415*(1+I$293)</f>
        <v>0</v>
      </c>
      <c r="J416" s="36">
        <f>Z415*(1+J$293)</f>
        <v>0</v>
      </c>
      <c r="K416" s="36">
        <f>AA415*(1+K$293)</f>
        <v>0</v>
      </c>
      <c r="L416" s="36">
        <f>AB415*(1+L$293)</f>
        <v>0</v>
      </c>
      <c r="M416" s="36">
        <f>MIN(E416-MIN(E$294,E416),MAX(0,$C416-0))</f>
        <v>0</v>
      </c>
      <c r="N416" s="36">
        <f>MIN(F416-MIN(F$294,F416),MAX(0,$C416-SUM($M416:M416)))</f>
        <v>0</v>
      </c>
      <c r="O416" s="36">
        <f>MIN(G416-MIN(G$294,G416),MAX(0,$C416-SUM($M416:N416)))</f>
        <v>0</v>
      </c>
      <c r="P416" s="36">
        <f>MIN(H416-MIN(H$294,H416),MAX(0,$C416-SUM($M416:O416)))</f>
        <v>0</v>
      </c>
      <c r="Q416" s="36">
        <f>MIN(I416-MIN(I$294,I416),MAX(0,$C416-SUM($M416:P416)))</f>
        <v>0</v>
      </c>
      <c r="R416" s="36">
        <f>MIN(J416-MIN(J$294,J416),MAX(0,$C416-SUM($M416:Q416)))</f>
        <v>0</v>
      </c>
      <c r="S416" s="36">
        <f>MIN(K416-MIN(K$294,K416),MAX(0,$C416-SUM($M416:R416)))</f>
        <v>0</v>
      </c>
      <c r="T416" s="36">
        <f>MIN(L416-MIN(L$294,L416),MAX(0,$C416-SUM($M416:S416)))</f>
        <v>0</v>
      </c>
      <c r="U416" s="36">
        <f>IF(E416-MIN(E$294,E416)-M416&lt;0.005,0,E416-MIN(E$294,E416)-M416)</f>
        <v>0</v>
      </c>
      <c r="V416" s="36">
        <f>IF(F416-MIN(F$294,F416)-N416&lt;0.005,0,F416-MIN(F$294,F416)-N416)</f>
        <v>0</v>
      </c>
      <c r="W416" s="36">
        <f>IF(G416-MIN(G$294,G416)-O416&lt;0.005,0,G416-MIN(G$294,G416)-O416)</f>
        <v>0</v>
      </c>
      <c r="X416" s="36">
        <f>IF(H416-MIN(H$294,H416)-P416&lt;0.005,0,H416-MIN(H$294,H416)-P416)</f>
        <v>0</v>
      </c>
      <c r="Y416" s="36">
        <f>IF(I416-MIN(I$294,I416)-Q416&lt;0.005,0,I416-MIN(I$294,I416)-Q416)</f>
        <v>0</v>
      </c>
      <c r="Z416" s="36">
        <f>IF(J416-MIN(J$294,J416)-R416&lt;0.005,0,J416-MIN(J$294,J416)-R416)</f>
        <v>0</v>
      </c>
      <c r="AA416" s="36">
        <f>IF(K416-MIN(K$294,K416)-S416&lt;0.005,0,K416-MIN(K$294,K416)-S416)</f>
        <v>0</v>
      </c>
      <c r="AB416" s="36">
        <f>IF(L416-MIN(L$294,L416)-T416&lt;0.005,0,L416-MIN(L$294,L416)-T416)</f>
        <v>0</v>
      </c>
      <c r="AC416" s="36">
        <f>SUM(U416:AB416)</f>
        <v>0</v>
      </c>
      <c r="AD416" s="36">
        <f>D416+SUM(M416:T416)</f>
        <v>0</v>
      </c>
    </row>
    <row r="417">
      <c r="B417" s="40" t="n">
        <v>119</v>
      </c>
      <c r="C417" s="36">
        <f>MAX(0,Sim_SomaParc+N(Sim_Extra)-D417)</f>
        <v>2790</v>
      </c>
      <c r="D417" s="36">
        <f>MIN(E$294,E417)+MIN(F$294,F417)+MIN(G$294,G417)+MIN(H$294,H417)+MIN(I$294,I417)+MIN(J$294,J417)+MIN(K$294,K417)+MIN(L$294,L417)</f>
        <v>0</v>
      </c>
      <c r="E417" s="36">
        <f>U416*(1+E$293)</f>
        <v>0</v>
      </c>
      <c r="F417" s="36">
        <f>V416*(1+F$293)</f>
        <v>0</v>
      </c>
      <c r="G417" s="36">
        <f>W416*(1+G$293)</f>
        <v>0</v>
      </c>
      <c r="H417" s="36">
        <f>X416*(1+H$293)</f>
        <v>0</v>
      </c>
      <c r="I417" s="36">
        <f>Y416*(1+I$293)</f>
        <v>0</v>
      </c>
      <c r="J417" s="36">
        <f>Z416*(1+J$293)</f>
        <v>0</v>
      </c>
      <c r="K417" s="36">
        <f>AA416*(1+K$293)</f>
        <v>0</v>
      </c>
      <c r="L417" s="36">
        <f>AB416*(1+L$293)</f>
        <v>0</v>
      </c>
      <c r="M417" s="36">
        <f>MIN(E417-MIN(E$294,E417),MAX(0,$C417-0))</f>
        <v>0</v>
      </c>
      <c r="N417" s="36">
        <f>MIN(F417-MIN(F$294,F417),MAX(0,$C417-SUM($M417:M417)))</f>
        <v>0</v>
      </c>
      <c r="O417" s="36">
        <f>MIN(G417-MIN(G$294,G417),MAX(0,$C417-SUM($M417:N417)))</f>
        <v>0</v>
      </c>
      <c r="P417" s="36">
        <f>MIN(H417-MIN(H$294,H417),MAX(0,$C417-SUM($M417:O417)))</f>
        <v>0</v>
      </c>
      <c r="Q417" s="36">
        <f>MIN(I417-MIN(I$294,I417),MAX(0,$C417-SUM($M417:P417)))</f>
        <v>0</v>
      </c>
      <c r="R417" s="36">
        <f>MIN(J417-MIN(J$294,J417),MAX(0,$C417-SUM($M417:Q417)))</f>
        <v>0</v>
      </c>
      <c r="S417" s="36">
        <f>MIN(K417-MIN(K$294,K417),MAX(0,$C417-SUM($M417:R417)))</f>
        <v>0</v>
      </c>
      <c r="T417" s="36">
        <f>MIN(L417-MIN(L$294,L417),MAX(0,$C417-SUM($M417:S417)))</f>
        <v>0</v>
      </c>
      <c r="U417" s="36">
        <f>IF(E417-MIN(E$294,E417)-M417&lt;0.005,0,E417-MIN(E$294,E417)-M417)</f>
        <v>0</v>
      </c>
      <c r="V417" s="36">
        <f>IF(F417-MIN(F$294,F417)-N417&lt;0.005,0,F417-MIN(F$294,F417)-N417)</f>
        <v>0</v>
      </c>
      <c r="W417" s="36">
        <f>IF(G417-MIN(G$294,G417)-O417&lt;0.005,0,G417-MIN(G$294,G417)-O417)</f>
        <v>0</v>
      </c>
      <c r="X417" s="36">
        <f>IF(H417-MIN(H$294,H417)-P417&lt;0.005,0,H417-MIN(H$294,H417)-P417)</f>
        <v>0</v>
      </c>
      <c r="Y417" s="36">
        <f>IF(I417-MIN(I$294,I417)-Q417&lt;0.005,0,I417-MIN(I$294,I417)-Q417)</f>
        <v>0</v>
      </c>
      <c r="Z417" s="36">
        <f>IF(J417-MIN(J$294,J417)-R417&lt;0.005,0,J417-MIN(J$294,J417)-R417)</f>
        <v>0</v>
      </c>
      <c r="AA417" s="36">
        <f>IF(K417-MIN(K$294,K417)-S417&lt;0.005,0,K417-MIN(K$294,K417)-S417)</f>
        <v>0</v>
      </c>
      <c r="AB417" s="36">
        <f>IF(L417-MIN(L$294,L417)-T417&lt;0.005,0,L417-MIN(L$294,L417)-T417)</f>
        <v>0</v>
      </c>
      <c r="AC417" s="36">
        <f>SUM(U417:AB417)</f>
        <v>0</v>
      </c>
      <c r="AD417" s="36">
        <f>D417+SUM(M417:T417)</f>
        <v>0</v>
      </c>
    </row>
    <row r="418">
      <c r="B418" s="40" t="n">
        <v>120</v>
      </c>
      <c r="C418" s="36">
        <f>MAX(0,Sim_SomaParc+N(Sim_Extra)-D418)</f>
        <v>2790</v>
      </c>
      <c r="D418" s="36">
        <f>MIN(E$294,E418)+MIN(F$294,F418)+MIN(G$294,G418)+MIN(H$294,H418)+MIN(I$294,I418)+MIN(J$294,J418)+MIN(K$294,K418)+MIN(L$294,L418)</f>
        <v>0</v>
      </c>
      <c r="E418" s="36">
        <f>U417*(1+E$293)</f>
        <v>0</v>
      </c>
      <c r="F418" s="36">
        <f>V417*(1+F$293)</f>
        <v>0</v>
      </c>
      <c r="G418" s="36">
        <f>W417*(1+G$293)</f>
        <v>0</v>
      </c>
      <c r="H418" s="36">
        <f>X417*(1+H$293)</f>
        <v>0</v>
      </c>
      <c r="I418" s="36">
        <f>Y417*(1+I$293)</f>
        <v>0</v>
      </c>
      <c r="J418" s="36">
        <f>Z417*(1+J$293)</f>
        <v>0</v>
      </c>
      <c r="K418" s="36">
        <f>AA417*(1+K$293)</f>
        <v>0</v>
      </c>
      <c r="L418" s="36">
        <f>AB417*(1+L$293)</f>
        <v>0</v>
      </c>
      <c r="M418" s="36">
        <f>MIN(E418-MIN(E$294,E418),MAX(0,$C418-0))</f>
        <v>0</v>
      </c>
      <c r="N418" s="36">
        <f>MIN(F418-MIN(F$294,F418),MAX(0,$C418-SUM($M418:M418)))</f>
        <v>0</v>
      </c>
      <c r="O418" s="36">
        <f>MIN(G418-MIN(G$294,G418),MAX(0,$C418-SUM($M418:N418)))</f>
        <v>0</v>
      </c>
      <c r="P418" s="36">
        <f>MIN(H418-MIN(H$294,H418),MAX(0,$C418-SUM($M418:O418)))</f>
        <v>0</v>
      </c>
      <c r="Q418" s="36">
        <f>MIN(I418-MIN(I$294,I418),MAX(0,$C418-SUM($M418:P418)))</f>
        <v>0</v>
      </c>
      <c r="R418" s="36">
        <f>MIN(J418-MIN(J$294,J418),MAX(0,$C418-SUM($M418:Q418)))</f>
        <v>0</v>
      </c>
      <c r="S418" s="36">
        <f>MIN(K418-MIN(K$294,K418),MAX(0,$C418-SUM($M418:R418)))</f>
        <v>0</v>
      </c>
      <c r="T418" s="36">
        <f>MIN(L418-MIN(L$294,L418),MAX(0,$C418-SUM($M418:S418)))</f>
        <v>0</v>
      </c>
      <c r="U418" s="36">
        <f>IF(E418-MIN(E$294,E418)-M418&lt;0.005,0,E418-MIN(E$294,E418)-M418)</f>
        <v>0</v>
      </c>
      <c r="V418" s="36">
        <f>IF(F418-MIN(F$294,F418)-N418&lt;0.005,0,F418-MIN(F$294,F418)-N418)</f>
        <v>0</v>
      </c>
      <c r="W418" s="36">
        <f>IF(G418-MIN(G$294,G418)-O418&lt;0.005,0,G418-MIN(G$294,G418)-O418)</f>
        <v>0</v>
      </c>
      <c r="X418" s="36">
        <f>IF(H418-MIN(H$294,H418)-P418&lt;0.005,0,H418-MIN(H$294,H418)-P418)</f>
        <v>0</v>
      </c>
      <c r="Y418" s="36">
        <f>IF(I418-MIN(I$294,I418)-Q418&lt;0.005,0,I418-MIN(I$294,I418)-Q418)</f>
        <v>0</v>
      </c>
      <c r="Z418" s="36">
        <f>IF(J418-MIN(J$294,J418)-R418&lt;0.005,0,J418-MIN(J$294,J418)-R418)</f>
        <v>0</v>
      </c>
      <c r="AA418" s="36">
        <f>IF(K418-MIN(K$294,K418)-S418&lt;0.005,0,K418-MIN(K$294,K418)-S418)</f>
        <v>0</v>
      </c>
      <c r="AB418" s="36">
        <f>IF(L418-MIN(L$294,L418)-T418&lt;0.005,0,L418-MIN(L$294,L418)-T418)</f>
        <v>0</v>
      </c>
      <c r="AC418" s="36">
        <f>SUM(U418:AB418)</f>
        <v>0</v>
      </c>
      <c r="AD418" s="36">
        <f>D418+SUM(M418:T418)</f>
        <v>0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K2"/>
  </mergeCells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  <hyperlink ref="I4" location="'BACKUP'!A1" display="Backup"/>
  </hyperlinks>
  <printOptions horizontalCentered="1"/>
  <pageMargins left="0.4" right="0.4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tabColor rgb="00667085"/>
    <outlinePr summaryBelow="1" summaryRight="1"/>
    <pageSetUpPr fitToPage="1"/>
  </sheetPr>
  <dimension ref="B1:J35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" customWidth="1" min="2" max="2"/>
    <col width="90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B1" s="1" t="inlineStr">
        <is>
          <t>BACKUP E VERSIONAMENTO</t>
        </is>
      </c>
    </row>
    <row r="2" ht="32" customHeight="1">
      <c r="B2" s="2" t="inlineStr">
        <is>
          <t>Seus dados vivem neste arquivo: proteja-o. Instruções de backup, controle de versões, premissas e limitações conhecidas.</t>
        </is>
      </c>
    </row>
    <row r="3" ht="18" customHeight="1">
      <c r="B3" s="3" t="inlineStr">
        <is>
          <t>◀ Voltar ao Dashboard</t>
        </is>
      </c>
      <c r="C3" s="4" t="inlineStr">
        <is>
          <t>Começar aqui</t>
        </is>
      </c>
      <c r="D3" s="4" t="inlineStr">
        <is>
          <t>Configurações</t>
        </is>
      </c>
      <c r="E3" s="4" t="inlineStr">
        <is>
          <t>Lançamentos</t>
        </is>
      </c>
      <c r="F3" s="4" t="inlineStr">
        <is>
          <t>Recorrentes</t>
        </is>
      </c>
      <c r="G3" s="4" t="inlineStr">
        <is>
          <t>Orçamento</t>
        </is>
      </c>
      <c r="H3" s="4" t="inlineStr">
        <is>
          <t>Fluxo de caixa</t>
        </is>
      </c>
      <c r="I3" s="4" t="inlineStr">
        <is>
          <t>Projeções</t>
        </is>
      </c>
      <c r="J3" s="4" t="inlineStr">
        <is>
          <t>Cartões</t>
        </is>
      </c>
    </row>
    <row r="4" ht="18" customHeight="1">
      <c r="B4" s="4" t="inlineStr">
        <is>
          <t>Dívidas</t>
        </is>
      </c>
      <c r="C4" s="4" t="inlineStr">
        <is>
          <t>Investimentos</t>
        </is>
      </c>
      <c r="D4" s="4" t="inlineStr">
        <is>
          <t>Metas</t>
        </is>
      </c>
      <c r="E4" s="4" t="inlineStr">
        <is>
          <t>Patrimônio</t>
        </is>
      </c>
      <c r="F4" s="4" t="inlineStr">
        <is>
          <t>Calendário</t>
        </is>
      </c>
      <c r="G4" s="4" t="inlineStr">
        <is>
          <t>Imposto de Renda</t>
        </is>
      </c>
      <c r="H4" s="4" t="inlineStr">
        <is>
          <t>Análises</t>
        </is>
      </c>
    </row>
    <row r="5">
      <c r="B5" s="6" t="inlineStr">
        <is>
          <t>Controle de backup</t>
        </is>
      </c>
    </row>
    <row r="6">
      <c r="C6" s="44" t="inlineStr">
        <is>
          <t>Data do último backup (digite aqui):</t>
        </is>
      </c>
      <c r="D6" s="38" t="n">
        <v>46293</v>
      </c>
    </row>
    <row r="7">
      <c r="C7" s="95" t="inlineStr">
        <is>
          <t>Dias desde o último backup:</t>
        </is>
      </c>
      <c r="D7" s="69">
        <f>IF(ISNUMBER(D6),Cfg_Hoje-D6,"—")</f>
        <v>5</v>
      </c>
      <c r="E7" s="9" t="str">
        <f>IF(NOT(ISNUMBER(D7)),"⚠ faça um backup",IF(D7&gt;30,"⚠ backup atrasado","✔ em dia"))</f>
        <v>✔ em dia</v>
      </c>
    </row>
    <row r="9">
      <c r="C9" s="131" t="inlineStr">
        <is>
          <t>Como fazer backup</t>
        </is>
      </c>
    </row>
    <row r="10" ht="32" customHeight="1">
      <c r="C10" s="132" t="inlineStr">
        <is>
          <t>1. Uma vez por mês (de preferência no dia em que você faz o fechamento), use Arquivo &gt; Salvar como e grave uma CÓPIA com a data no nome. Ex.: Planilha_Financeira_2026-10.xlsx.</t>
        </is>
      </c>
    </row>
    <row r="11" ht="32" customHeight="1">
      <c r="C11" s="132" t="inlineStr">
        <is>
          <t>2. Guarde a cópia em um lugar diferente do original: nuvem (Google Drive, OneDrive, iCloud, Dropbox) e, de vez em quando, um pen drive ou HD externo.</t>
        </is>
      </c>
    </row>
    <row r="12" ht="32" customHeight="1">
      <c r="C12" s="132" t="inlineStr">
        <is>
          <t>3. Ative o histórico de versões da nuvem (Excel/OneDrive: Arquivo &gt; Informações &gt; Histórico de versões). Ele permite voltar a um estado anterior se você apagar algo sem querer.</t>
        </is>
      </c>
    </row>
    <row r="13" ht="32" customHeight="1">
      <c r="C13" s="132" t="inlineStr">
        <is>
          <t>4. Antes de mudanças grandes (limpar exemplos, colar muitas linhas, trocar de ano), faça uma cópia extra.</t>
        </is>
      </c>
    </row>
    <row r="14" ht="32" customHeight="1">
      <c r="C14" s="132" t="inlineStr">
        <is>
          <t>5. Uma vez por ano, exporte LANÇAMENTOS para CSV (Salvar como &gt; CSV) e arquive junto com os comprovantes do Imposto de Renda.</t>
        </is>
      </c>
    </row>
    <row r="15">
      <c r="C15" s="131" t="inlineStr">
        <is>
          <t>Versionamento sugerido</t>
        </is>
      </c>
    </row>
    <row r="16" ht="32" customHeight="1">
      <c r="C16" s="132" t="inlineStr">
        <is>
          <t>• Nome do arquivo de trabalho: Planilha_Financeira_Avancada.xlsx (sempre o mesmo). Cópias mensais: _AAAA-MM. Ao virar o ano, salve uma cópia "_AAAA_fechado" e continue no mesmo arquivo (a planilha trata vários anos).</t>
        </is>
      </c>
    </row>
    <row r="17" ht="32" customHeight="1">
      <c r="C17" s="132" t="inlineStr">
        <is>
          <t>• Anote em um caderno ou neste campo quando fizer mudanças estruturais (novas categorias, novos cartões).</t>
        </is>
      </c>
    </row>
    <row r="18">
      <c r="C18" s="131" t="inlineStr">
        <is>
          <t>Reexibir abas ocultas</t>
        </is>
      </c>
    </row>
    <row r="19" ht="32" customHeight="1">
      <c r="C19" s="132" t="inlineStr">
        <is>
          <t>• As abas TABELAS, CÁLCULOS e SIM_DÍVIDAS ficam ocultas (apoio). Para ver: clique com o botão direito em qualquer aba &gt; Reexibir.</t>
        </is>
      </c>
    </row>
    <row r="20">
      <c r="C20" s="131" t="inlineStr">
        <is>
          <t>Proteção</t>
        </is>
      </c>
    </row>
    <row r="21" ht="32" customHeight="1">
      <c r="C21" s="132" t="inlineStr">
        <is>
          <t>• As abas estão protegidas SEM senha para evitar apagar fórmulas sem querer. Para editar uma célula calculada: Revisão &gt; Desproteger Planilha. Lembre de proteger de novo depois.</t>
        </is>
      </c>
    </row>
    <row r="22">
      <c r="C22" s="131" t="inlineStr">
        <is>
          <t>Premissas adotadas</t>
        </is>
      </c>
    </row>
    <row r="23" ht="32" customHeight="1">
      <c r="C23" s="132" t="inlineStr">
        <is>
          <t>• Realizado = todos os lançamentos do mês (qualquer status, regime de competência pela data). O saldo das contas considera só os lançamentos PAGOS.</t>
        </is>
      </c>
    </row>
    <row r="24" ht="32" customHeight="1">
      <c r="C24" s="132" t="inlineStr">
        <is>
          <t>• Orçamento planejado vale para qualquer ano (12 colunas de meses). Ajuste os valores ao virar o ano, se mudarem.</t>
        </is>
      </c>
    </row>
    <row r="25" ht="32" customHeight="1">
      <c r="C25" s="132" t="inlineStr">
        <is>
          <t>• Compras no cartão entram nos gastos pela data da compra (parcelas mês a mês); a fatura de referência segue o dia de fechamento.</t>
        </is>
      </c>
    </row>
    <row r="26" ht="32" customHeight="1">
      <c r="C26" s="132" t="inlineStr">
        <is>
          <t>• Reserva de emergência = soma do valor guardado das metas da categoria "Reserva". Poupança = (receitas − despesas) ÷ receitas.</t>
        </is>
      </c>
    </row>
    <row r="27" ht="32" customHeight="1">
      <c r="C27" s="132" t="inlineStr">
        <is>
          <t>• Projeções: receitas e despesas fixas vêm de RECORRENTES (se não houver, usa renda configurada e média histórica); despesas variáveis = média dos últimos 3 meses fechados corrigida pela inflação.</t>
        </is>
      </c>
    </row>
    <row r="28" ht="32" customHeight="1">
      <c r="C28" s="132" t="inlineStr">
        <is>
          <t>• Ritmo de aporte das metas = média dos 3 últimos meses fechados anteriores ao mês atual de CONFIGURAÇÕES.</t>
        </is>
      </c>
    </row>
    <row r="29">
      <c r="C29" s="131" t="inlineStr">
        <is>
          <t>Limitações conhecidas</t>
        </is>
      </c>
    </row>
    <row r="30" ht="32" customHeight="1">
      <c r="C30" s="132" t="inlineStr">
        <is>
          <t>• Capacidade: 1.500 lançamentos, 40 recorrentes, 15 metas, 8 cartões, 8 dívidas, 30 ativos, 18 categorias de despesa e 9 de receita (aumentar exige estender os intervalos).</t>
        </is>
      </c>
    </row>
    <row r="31" ht="32" customHeight="1">
      <c r="C31" s="132" t="inlineStr">
        <is>
          <t>• Sem macros: "copiar orçamento do mês anterior" e "limpar exemplos" são feitos com Ctrl+C/Ctrl+V e a Caixa de Nomes.</t>
        </is>
      </c>
    </row>
    <row r="32" ht="32" customHeight="1">
      <c r="C32" s="132" t="inlineStr">
        <is>
          <t>• Gráficos usam as 8-10 maiores categorias; categorias novas aparecem automaticamente se estiverem entre as maiores do mês.</t>
        </is>
      </c>
    </row>
    <row r="33" ht="32" customHeight="1">
      <c r="C33" s="132" t="inlineStr">
        <is>
          <t>• Simulador de dívidas: horizonte de 10 anos, ordem de ataque fixa (calculada pelo saldo/juros iniciais).</t>
        </is>
      </c>
    </row>
    <row r="34" ht="32" customHeight="1">
      <c r="C34" s="132" t="inlineStr">
        <is>
          <t>• Imposto de Renda: apenas organização; limites de dedução são valores de referência editáveis.</t>
        </is>
      </c>
    </row>
    <row r="35" ht="32" customHeight="1">
      <c r="C35" s="132" t="inlineStr">
        <is>
          <t>• Funciona no Excel, LibreOffice e Google Planilhas; algumas formatações condicionais e barras de dados podem variar entre programas.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2:G2"/>
  </mergeCells>
  <conditionalFormatting sqref="E7">
    <cfRule type="expression" priority="1" dxfId="0" stopIfTrue="0">
      <formula>LEFT(E7,1)="⚠"</formula>
    </cfRule>
    <cfRule type="expression" priority="2" dxfId="1" stopIfTrue="0">
      <formula>LEFT(E7,1)="✔"</formula>
    </cfRule>
  </conditionalFormatting>
  <hyperlinks>
    <hyperlink ref="B3" location="'DASHBOARD'!A1" display="◀ Voltar ao Dashboard"/>
    <hyperlink ref="C3" location="'COMEÇAR AQUI'!A1" display="Começar aqui"/>
    <hyperlink ref="D3" location="'CONFIGURAÇÕES'!A1" display="Configurações"/>
    <hyperlink ref="E3" location="'LANÇAMENTOS'!A1" display="Lançamentos"/>
    <hyperlink ref="F3" location="'RECORRENTES'!A1" display="Recorrentes"/>
    <hyperlink ref="G3" location="'ORÇAMENTO'!A1" display="Orçamento"/>
    <hyperlink ref="H3" location="'FLUXO DE CAIXA'!A1" display="Fluxo de caixa"/>
    <hyperlink ref="I3" location="'PROJEÇÕES E CENÁRIOS'!A1" display="Projeções"/>
    <hyperlink ref="J3" location="'CARTÕES DE CRÉDITO'!A1" display="Cartões"/>
    <hyperlink ref="B4" location="'DÍVIDAS E FINANCIAMENTOS'!A1" display="Dívidas"/>
    <hyperlink ref="C4" location="'INVESTIMENTOS'!A1" display="Investimentos"/>
    <hyperlink ref="D4" location="'METAS E OBJETIVOS'!A1" display="Metas"/>
    <hyperlink ref="E4" location="'PATRIMÔNIO LÍQUIDO'!A1" display="Patrimônio"/>
    <hyperlink ref="F4" location="'CALENDÁRIO DE CONTAS'!A1" display="Calendário"/>
    <hyperlink ref="G4" location="'IMPOSTO DE RENDA'!A1" display="Imposto de Renda"/>
    <hyperlink ref="H4" location="'HISTÓRICO E ANÁLISES'!A1" display="Análises"/>
  </hyperlinks>
  <printOptions horizontalCentered="1"/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2026-10-03T17:40:25Z</dcterms:created>
  <dcterms:modified xsi:type="dcterms:W3CDTF">2026-10-03T17:40:33Z</dcterms:modified>
</cp:coreProperties>
</file>